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поком_подтянуть_su\"/>
    </mc:Choice>
  </mc:AlternateContent>
  <xr:revisionPtr revIDLastSave="0" documentId="13_ncr:1_{39DDF8A9-C744-43C4-8570-110D17AB678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Sheet!$A$3:$AI$133</definedName>
  </definedNames>
  <calcPr calcId="191029"/>
</workbook>
</file>

<file path=xl/calcChain.xml><?xml version="1.0" encoding="utf-8"?>
<calcChain xmlns="http://schemas.openxmlformats.org/spreadsheetml/2006/main">
  <c r="U133" i="1" l="1"/>
  <c r="AI133" i="1" s="1"/>
  <c r="S133" i="1"/>
  <c r="W133" i="1" s="1"/>
  <c r="L133" i="1"/>
  <c r="S132" i="1"/>
  <c r="W132" i="1" s="1"/>
  <c r="L132" i="1"/>
  <c r="W131" i="1"/>
  <c r="U131" i="1"/>
  <c r="AI131" i="1" s="1"/>
  <c r="S131" i="1"/>
  <c r="V131" i="1" s="1"/>
  <c r="L131" i="1"/>
  <c r="S130" i="1"/>
  <c r="W130" i="1" s="1"/>
  <c r="L130" i="1"/>
  <c r="U129" i="1"/>
  <c r="AI129" i="1" s="1"/>
  <c r="S129" i="1"/>
  <c r="W129" i="1" s="1"/>
  <c r="L129" i="1"/>
  <c r="U128" i="1"/>
  <c r="S128" i="1"/>
  <c r="W128" i="1" s="1"/>
  <c r="L128" i="1"/>
  <c r="AI127" i="1"/>
  <c r="U127" i="1"/>
  <c r="S127" i="1"/>
  <c r="W127" i="1" s="1"/>
  <c r="L127" i="1"/>
  <c r="AI126" i="1"/>
  <c r="U126" i="1"/>
  <c r="F126" i="1"/>
  <c r="E126" i="1"/>
  <c r="S126" i="1" s="1"/>
  <c r="W126" i="1" s="1"/>
  <c r="U125" i="1"/>
  <c r="S125" i="1"/>
  <c r="W125" i="1" s="1"/>
  <c r="L125" i="1"/>
  <c r="W124" i="1"/>
  <c r="S124" i="1"/>
  <c r="T124" i="1" s="1"/>
  <c r="U124" i="1" s="1"/>
  <c r="L124" i="1"/>
  <c r="S123" i="1"/>
  <c r="W123" i="1" s="1"/>
  <c r="L123" i="1"/>
  <c r="S122" i="1"/>
  <c r="W122" i="1" s="1"/>
  <c r="L122" i="1"/>
  <c r="S121" i="1"/>
  <c r="W121" i="1" s="1"/>
  <c r="L121" i="1"/>
  <c r="U120" i="1"/>
  <c r="AI120" i="1" s="1"/>
  <c r="S120" i="1"/>
  <c r="W120" i="1" s="1"/>
  <c r="L120" i="1"/>
  <c r="AI119" i="1"/>
  <c r="U119" i="1"/>
  <c r="S119" i="1"/>
  <c r="W119" i="1" s="1"/>
  <c r="L119" i="1"/>
  <c r="U118" i="1"/>
  <c r="AI118" i="1" s="1"/>
  <c r="S118" i="1"/>
  <c r="W118" i="1" s="1"/>
  <c r="L118" i="1"/>
  <c r="U117" i="1"/>
  <c r="AI117" i="1" s="1"/>
  <c r="S117" i="1"/>
  <c r="W117" i="1" s="1"/>
  <c r="L117" i="1"/>
  <c r="U116" i="1"/>
  <c r="AI116" i="1" s="1"/>
  <c r="S116" i="1"/>
  <c r="W116" i="1" s="1"/>
  <c r="L116" i="1"/>
  <c r="W115" i="1"/>
  <c r="U115" i="1"/>
  <c r="S115" i="1"/>
  <c r="L115" i="1"/>
  <c r="U114" i="1"/>
  <c r="AI114" i="1" s="1"/>
  <c r="S114" i="1"/>
  <c r="W114" i="1" s="1"/>
  <c r="L114" i="1"/>
  <c r="S113" i="1"/>
  <c r="W113" i="1" s="1"/>
  <c r="L113" i="1"/>
  <c r="U112" i="1"/>
  <c r="AI112" i="1" s="1"/>
  <c r="S112" i="1"/>
  <c r="W112" i="1" s="1"/>
  <c r="L112" i="1"/>
  <c r="U111" i="1"/>
  <c r="AI111" i="1" s="1"/>
  <c r="S111" i="1"/>
  <c r="W111" i="1" s="1"/>
  <c r="L111" i="1"/>
  <c r="U110" i="1"/>
  <c r="AI110" i="1" s="1"/>
  <c r="S110" i="1"/>
  <c r="W110" i="1" s="1"/>
  <c r="L110" i="1"/>
  <c r="U109" i="1"/>
  <c r="AI109" i="1" s="1"/>
  <c r="S109" i="1"/>
  <c r="W109" i="1" s="1"/>
  <c r="L109" i="1"/>
  <c r="U108" i="1"/>
  <c r="AI108" i="1" s="1"/>
  <c r="S108" i="1"/>
  <c r="V108" i="1" s="1"/>
  <c r="L108" i="1"/>
  <c r="U107" i="1"/>
  <c r="AI107" i="1" s="1"/>
  <c r="S107" i="1"/>
  <c r="W107" i="1" s="1"/>
  <c r="L107" i="1"/>
  <c r="W106" i="1"/>
  <c r="T106" i="1"/>
  <c r="U106" i="1" s="1"/>
  <c r="S106" i="1"/>
  <c r="L106" i="1"/>
  <c r="S105" i="1"/>
  <c r="T105" i="1" s="1"/>
  <c r="U105" i="1" s="1"/>
  <c r="L105" i="1"/>
  <c r="U104" i="1"/>
  <c r="V104" i="1" s="1"/>
  <c r="S104" i="1"/>
  <c r="W104" i="1" s="1"/>
  <c r="L104" i="1"/>
  <c r="W103" i="1"/>
  <c r="U103" i="1"/>
  <c r="S103" i="1"/>
  <c r="L103" i="1"/>
  <c r="W102" i="1"/>
  <c r="U102" i="1"/>
  <c r="V102" i="1" s="1"/>
  <c r="S102" i="1"/>
  <c r="L102" i="1"/>
  <c r="U101" i="1"/>
  <c r="AI101" i="1" s="1"/>
  <c r="S101" i="1"/>
  <c r="W101" i="1" s="1"/>
  <c r="L101" i="1"/>
  <c r="U100" i="1"/>
  <c r="S100" i="1"/>
  <c r="W100" i="1" s="1"/>
  <c r="L100" i="1"/>
  <c r="U99" i="1"/>
  <c r="AI99" i="1" s="1"/>
  <c r="S99" i="1"/>
  <c r="W99" i="1" s="1"/>
  <c r="L99" i="1"/>
  <c r="S98" i="1"/>
  <c r="W98" i="1" s="1"/>
  <c r="L98" i="1"/>
  <c r="U97" i="1"/>
  <c r="AI97" i="1" s="1"/>
  <c r="S97" i="1"/>
  <c r="W97" i="1" s="1"/>
  <c r="L97" i="1"/>
  <c r="S96" i="1"/>
  <c r="L96" i="1"/>
  <c r="U95" i="1"/>
  <c r="AI95" i="1" s="1"/>
  <c r="S95" i="1"/>
  <c r="W95" i="1" s="1"/>
  <c r="L95" i="1"/>
  <c r="U94" i="1"/>
  <c r="AI94" i="1" s="1"/>
  <c r="S94" i="1"/>
  <c r="W94" i="1" s="1"/>
  <c r="L94" i="1"/>
  <c r="U93" i="1"/>
  <c r="AI93" i="1" s="1"/>
  <c r="S93" i="1"/>
  <c r="W93" i="1" s="1"/>
  <c r="L93" i="1"/>
  <c r="AI92" i="1"/>
  <c r="S92" i="1"/>
  <c r="V92" i="1" s="1"/>
  <c r="L92" i="1"/>
  <c r="AI91" i="1"/>
  <c r="S91" i="1"/>
  <c r="W91" i="1" s="1"/>
  <c r="L91" i="1"/>
  <c r="U90" i="1"/>
  <c r="V90" i="1" s="1"/>
  <c r="S90" i="1"/>
  <c r="W90" i="1" s="1"/>
  <c r="L90" i="1"/>
  <c r="AI89" i="1"/>
  <c r="W89" i="1"/>
  <c r="V89" i="1"/>
  <c r="U89" i="1"/>
  <c r="S89" i="1"/>
  <c r="L89" i="1"/>
  <c r="W88" i="1"/>
  <c r="S88" i="1"/>
  <c r="T88" i="1" s="1"/>
  <c r="U88" i="1" s="1"/>
  <c r="L88" i="1"/>
  <c r="U87" i="1"/>
  <c r="AI87" i="1" s="1"/>
  <c r="S87" i="1"/>
  <c r="W87" i="1" s="1"/>
  <c r="L87" i="1"/>
  <c r="U86" i="1"/>
  <c r="S86" i="1"/>
  <c r="W86" i="1" s="1"/>
  <c r="L86" i="1"/>
  <c r="W85" i="1"/>
  <c r="V85" i="1"/>
  <c r="U85" i="1"/>
  <c r="AI85" i="1" s="1"/>
  <c r="S85" i="1"/>
  <c r="L85" i="1"/>
  <c r="U84" i="1"/>
  <c r="AI84" i="1" s="1"/>
  <c r="S84" i="1"/>
  <c r="W84" i="1" s="1"/>
  <c r="L84" i="1"/>
  <c r="U83" i="1"/>
  <c r="AI83" i="1" s="1"/>
  <c r="S83" i="1"/>
  <c r="W83" i="1" s="1"/>
  <c r="L83" i="1"/>
  <c r="U82" i="1"/>
  <c r="S82" i="1"/>
  <c r="W82" i="1" s="1"/>
  <c r="L82" i="1"/>
  <c r="W81" i="1"/>
  <c r="U81" i="1"/>
  <c r="AI81" i="1" s="1"/>
  <c r="S81" i="1"/>
  <c r="L81" i="1"/>
  <c r="S80" i="1"/>
  <c r="W80" i="1" s="1"/>
  <c r="L80" i="1"/>
  <c r="AI79" i="1"/>
  <c r="U79" i="1"/>
  <c r="S79" i="1"/>
  <c r="W79" i="1" s="1"/>
  <c r="L79" i="1"/>
  <c r="S78" i="1"/>
  <c r="W78" i="1" s="1"/>
  <c r="L78" i="1"/>
  <c r="S77" i="1"/>
  <c r="W77" i="1" s="1"/>
  <c r="L77" i="1"/>
  <c r="S76" i="1"/>
  <c r="W76" i="1" s="1"/>
  <c r="L76" i="1"/>
  <c r="S75" i="1"/>
  <c r="W75" i="1" s="1"/>
  <c r="L75" i="1"/>
  <c r="S74" i="1"/>
  <c r="W74" i="1" s="1"/>
  <c r="L74" i="1"/>
  <c r="AI73" i="1"/>
  <c r="U73" i="1"/>
  <c r="S73" i="1"/>
  <c r="W73" i="1" s="1"/>
  <c r="L73" i="1"/>
  <c r="AI72" i="1"/>
  <c r="W72" i="1"/>
  <c r="V72" i="1"/>
  <c r="T72" i="1"/>
  <c r="S72" i="1"/>
  <c r="L72" i="1"/>
  <c r="U71" i="1"/>
  <c r="V71" i="1" s="1"/>
  <c r="S71" i="1"/>
  <c r="W71" i="1" s="1"/>
  <c r="L71" i="1"/>
  <c r="S70" i="1"/>
  <c r="T70" i="1" s="1"/>
  <c r="U70" i="1" s="1"/>
  <c r="L70" i="1"/>
  <c r="S69" i="1"/>
  <c r="W69" i="1" s="1"/>
  <c r="L69" i="1"/>
  <c r="AI68" i="1"/>
  <c r="U68" i="1"/>
  <c r="S68" i="1"/>
  <c r="W68" i="1" s="1"/>
  <c r="L68" i="1"/>
  <c r="W67" i="1"/>
  <c r="U67" i="1"/>
  <c r="AI67" i="1" s="1"/>
  <c r="S67" i="1"/>
  <c r="L67" i="1"/>
  <c r="W66" i="1"/>
  <c r="U66" i="1"/>
  <c r="V66" i="1" s="1"/>
  <c r="S66" i="1"/>
  <c r="L66" i="1"/>
  <c r="S65" i="1"/>
  <c r="T65" i="1" s="1"/>
  <c r="U65" i="1" s="1"/>
  <c r="AI65" i="1" s="1"/>
  <c r="L65" i="1"/>
  <c r="W64" i="1"/>
  <c r="S64" i="1"/>
  <c r="T64" i="1" s="1"/>
  <c r="U64" i="1" s="1"/>
  <c r="AI64" i="1" s="1"/>
  <c r="L64" i="1"/>
  <c r="U63" i="1"/>
  <c r="S63" i="1"/>
  <c r="W63" i="1" s="1"/>
  <c r="L63" i="1"/>
  <c r="V62" i="1"/>
  <c r="U62" i="1"/>
  <c r="AI62" i="1" s="1"/>
  <c r="S62" i="1"/>
  <c r="W62" i="1" s="1"/>
  <c r="L62" i="1"/>
  <c r="W61" i="1"/>
  <c r="U61" i="1"/>
  <c r="T61" i="1"/>
  <c r="S61" i="1"/>
  <c r="L61" i="1"/>
  <c r="AI60" i="1"/>
  <c r="W60" i="1"/>
  <c r="V60" i="1"/>
  <c r="U60" i="1"/>
  <c r="S60" i="1"/>
  <c r="L60" i="1"/>
  <c r="U59" i="1"/>
  <c r="S59" i="1"/>
  <c r="W59" i="1" s="1"/>
  <c r="L59" i="1"/>
  <c r="T58" i="1"/>
  <c r="U58" i="1" s="1"/>
  <c r="S58" i="1"/>
  <c r="W58" i="1" s="1"/>
  <c r="L58" i="1"/>
  <c r="S57" i="1"/>
  <c r="T57" i="1" s="1"/>
  <c r="U57" i="1" s="1"/>
  <c r="L57" i="1"/>
  <c r="U56" i="1"/>
  <c r="S56" i="1"/>
  <c r="W56" i="1" s="1"/>
  <c r="L56" i="1"/>
  <c r="U55" i="1"/>
  <c r="AI55" i="1" s="1"/>
  <c r="S55" i="1"/>
  <c r="W55" i="1" s="1"/>
  <c r="L55" i="1"/>
  <c r="W54" i="1"/>
  <c r="S54" i="1"/>
  <c r="T54" i="1" s="1"/>
  <c r="U54" i="1" s="1"/>
  <c r="AI54" i="1" s="1"/>
  <c r="L54" i="1"/>
  <c r="S53" i="1"/>
  <c r="W53" i="1" s="1"/>
  <c r="L53" i="1"/>
  <c r="U52" i="1"/>
  <c r="AI52" i="1" s="1"/>
  <c r="S52" i="1"/>
  <c r="W52" i="1" s="1"/>
  <c r="L52" i="1"/>
  <c r="T51" i="1"/>
  <c r="U51" i="1" s="1"/>
  <c r="AI51" i="1" s="1"/>
  <c r="S51" i="1"/>
  <c r="W51" i="1" s="1"/>
  <c r="L51" i="1"/>
  <c r="U50" i="1"/>
  <c r="AI50" i="1" s="1"/>
  <c r="S50" i="1"/>
  <c r="W50" i="1" s="1"/>
  <c r="L50" i="1"/>
  <c r="U49" i="1"/>
  <c r="AI49" i="1" s="1"/>
  <c r="S49" i="1"/>
  <c r="W49" i="1" s="1"/>
  <c r="L49" i="1"/>
  <c r="AI48" i="1"/>
  <c r="U48" i="1"/>
  <c r="S48" i="1"/>
  <c r="W48" i="1" s="1"/>
  <c r="L48" i="1"/>
  <c r="W47" i="1"/>
  <c r="U47" i="1"/>
  <c r="AI47" i="1" s="1"/>
  <c r="S47" i="1"/>
  <c r="L47" i="1"/>
  <c r="U46" i="1"/>
  <c r="V46" i="1" s="1"/>
  <c r="S46" i="1"/>
  <c r="W46" i="1" s="1"/>
  <c r="L46" i="1"/>
  <c r="AI45" i="1"/>
  <c r="U45" i="1"/>
  <c r="V45" i="1" s="1"/>
  <c r="S45" i="1"/>
  <c r="W45" i="1" s="1"/>
  <c r="L45" i="1"/>
  <c r="AI44" i="1"/>
  <c r="W44" i="1"/>
  <c r="U44" i="1"/>
  <c r="V44" i="1" s="1"/>
  <c r="S44" i="1"/>
  <c r="L44" i="1"/>
  <c r="V43" i="1"/>
  <c r="U43" i="1"/>
  <c r="AI43" i="1" s="1"/>
  <c r="S43" i="1"/>
  <c r="W43" i="1" s="1"/>
  <c r="L43" i="1"/>
  <c r="U42" i="1"/>
  <c r="S42" i="1"/>
  <c r="W42" i="1" s="1"/>
  <c r="L42" i="1"/>
  <c r="W41" i="1"/>
  <c r="S41" i="1"/>
  <c r="T41" i="1" s="1"/>
  <c r="U41" i="1" s="1"/>
  <c r="L41" i="1"/>
  <c r="U40" i="1"/>
  <c r="S40" i="1"/>
  <c r="W40" i="1" s="1"/>
  <c r="L40" i="1"/>
  <c r="U39" i="1"/>
  <c r="AI39" i="1" s="1"/>
  <c r="S39" i="1"/>
  <c r="W39" i="1" s="1"/>
  <c r="L39" i="1"/>
  <c r="U38" i="1"/>
  <c r="AI38" i="1" s="1"/>
  <c r="S38" i="1"/>
  <c r="W38" i="1" s="1"/>
  <c r="L38" i="1"/>
  <c r="S37" i="1"/>
  <c r="W37" i="1" s="1"/>
  <c r="L37" i="1"/>
  <c r="U36" i="1"/>
  <c r="AI36" i="1" s="1"/>
  <c r="S36" i="1"/>
  <c r="W36" i="1" s="1"/>
  <c r="L36" i="1"/>
  <c r="U35" i="1"/>
  <c r="V35" i="1" s="1"/>
  <c r="S35" i="1"/>
  <c r="W35" i="1" s="1"/>
  <c r="L35" i="1"/>
  <c r="W34" i="1"/>
  <c r="U34" i="1"/>
  <c r="AI34" i="1" s="1"/>
  <c r="S34" i="1"/>
  <c r="L34" i="1"/>
  <c r="S33" i="1"/>
  <c r="W33" i="1" s="1"/>
  <c r="L33" i="1"/>
  <c r="S32" i="1"/>
  <c r="W32" i="1" s="1"/>
  <c r="L32" i="1"/>
  <c r="W31" i="1"/>
  <c r="U31" i="1"/>
  <c r="AI31" i="1" s="1"/>
  <c r="S31" i="1"/>
  <c r="L31" i="1"/>
  <c r="AI30" i="1"/>
  <c r="U30" i="1"/>
  <c r="V30" i="1" s="1"/>
  <c r="S30" i="1"/>
  <c r="W30" i="1" s="1"/>
  <c r="L30" i="1"/>
  <c r="U29" i="1"/>
  <c r="AI29" i="1" s="1"/>
  <c r="S29" i="1"/>
  <c r="W29" i="1" s="1"/>
  <c r="L29" i="1"/>
  <c r="U28" i="1"/>
  <c r="S28" i="1"/>
  <c r="W28" i="1" s="1"/>
  <c r="L28" i="1"/>
  <c r="S27" i="1"/>
  <c r="T27" i="1" s="1"/>
  <c r="U27" i="1" s="1"/>
  <c r="AI27" i="1" s="1"/>
  <c r="L27" i="1"/>
  <c r="U26" i="1"/>
  <c r="AI26" i="1" s="1"/>
  <c r="S26" i="1"/>
  <c r="W26" i="1" s="1"/>
  <c r="L26" i="1"/>
  <c r="AI25" i="1"/>
  <c r="U25" i="1"/>
  <c r="S25" i="1"/>
  <c r="W25" i="1" s="1"/>
  <c r="L25" i="1"/>
  <c r="S24" i="1"/>
  <c r="W24" i="1" s="1"/>
  <c r="L24" i="1"/>
  <c r="S23" i="1"/>
  <c r="T23" i="1" s="1"/>
  <c r="U23" i="1" s="1"/>
  <c r="AI23" i="1" s="1"/>
  <c r="L23" i="1"/>
  <c r="W22" i="1"/>
  <c r="S22" i="1"/>
  <c r="T22" i="1" s="1"/>
  <c r="U22" i="1" s="1"/>
  <c r="L22" i="1"/>
  <c r="V21" i="1"/>
  <c r="S21" i="1"/>
  <c r="T21" i="1" s="1"/>
  <c r="U21" i="1" s="1"/>
  <c r="AI21" i="1" s="1"/>
  <c r="L21" i="1"/>
  <c r="W20" i="1"/>
  <c r="S20" i="1"/>
  <c r="T20" i="1" s="1"/>
  <c r="U20" i="1" s="1"/>
  <c r="AI20" i="1" s="1"/>
  <c r="L20" i="1"/>
  <c r="W19" i="1"/>
  <c r="S19" i="1"/>
  <c r="T19" i="1" s="1"/>
  <c r="U19" i="1" s="1"/>
  <c r="L19" i="1"/>
  <c r="U18" i="1"/>
  <c r="AI18" i="1" s="1"/>
  <c r="S18" i="1"/>
  <c r="W18" i="1" s="1"/>
  <c r="L18" i="1"/>
  <c r="V17" i="1"/>
  <c r="U17" i="1"/>
  <c r="AI17" i="1" s="1"/>
  <c r="S17" i="1"/>
  <c r="W17" i="1" s="1"/>
  <c r="L17" i="1"/>
  <c r="AI16" i="1"/>
  <c r="S16" i="1"/>
  <c r="T16" i="1" s="1"/>
  <c r="L16" i="1"/>
  <c r="S15" i="1"/>
  <c r="W15" i="1" s="1"/>
  <c r="L15" i="1"/>
  <c r="W14" i="1"/>
  <c r="S14" i="1"/>
  <c r="T14" i="1" s="1"/>
  <c r="U14" i="1" s="1"/>
  <c r="AI14" i="1" s="1"/>
  <c r="L14" i="1"/>
  <c r="AI13" i="1"/>
  <c r="W13" i="1"/>
  <c r="V13" i="1"/>
  <c r="U13" i="1"/>
  <c r="S13" i="1"/>
  <c r="L13" i="1"/>
  <c r="U12" i="1"/>
  <c r="AI12" i="1" s="1"/>
  <c r="S12" i="1"/>
  <c r="W12" i="1" s="1"/>
  <c r="L12" i="1"/>
  <c r="S11" i="1"/>
  <c r="T11" i="1" s="1"/>
  <c r="U11" i="1" s="1"/>
  <c r="L11" i="1"/>
  <c r="W10" i="1"/>
  <c r="S10" i="1"/>
  <c r="T10" i="1" s="1"/>
  <c r="U10" i="1" s="1"/>
  <c r="L10" i="1"/>
  <c r="S9" i="1"/>
  <c r="W9" i="1" s="1"/>
  <c r="L9" i="1"/>
  <c r="S8" i="1"/>
  <c r="W8" i="1" s="1"/>
  <c r="L8" i="1"/>
  <c r="W7" i="1"/>
  <c r="S7" i="1"/>
  <c r="T7" i="1" s="1"/>
  <c r="U7" i="1" s="1"/>
  <c r="L7" i="1"/>
  <c r="S6" i="1"/>
  <c r="T6" i="1" s="1"/>
  <c r="L6" i="1"/>
  <c r="AG5" i="1"/>
  <c r="AF5" i="1"/>
  <c r="AE5" i="1"/>
  <c r="AD5" i="1"/>
  <c r="AC5" i="1"/>
  <c r="AB5" i="1"/>
  <c r="AA5" i="1"/>
  <c r="Z5" i="1"/>
  <c r="Y5" i="1"/>
  <c r="X5" i="1"/>
  <c r="R5" i="1"/>
  <c r="Q5" i="1"/>
  <c r="P5" i="1"/>
  <c r="O5" i="1"/>
  <c r="N5" i="1"/>
  <c r="M5" i="1"/>
  <c r="K5" i="1"/>
  <c r="F5" i="1"/>
  <c r="E5" i="1"/>
  <c r="T8" i="1" l="1"/>
  <c r="U8" i="1" s="1"/>
  <c r="W23" i="1"/>
  <c r="W65" i="1"/>
  <c r="V82" i="1"/>
  <c r="V87" i="1"/>
  <c r="T98" i="1"/>
  <c r="U98" i="1" s="1"/>
  <c r="AI98" i="1" s="1"/>
  <c r="AI102" i="1"/>
  <c r="T123" i="1"/>
  <c r="U123" i="1" s="1"/>
  <c r="V128" i="1"/>
  <c r="V28" i="1"/>
  <c r="AI28" i="1"/>
  <c r="W70" i="1"/>
  <c r="AI82" i="1"/>
  <c r="W92" i="1"/>
  <c r="T113" i="1"/>
  <c r="U113" i="1" s="1"/>
  <c r="AI113" i="1" s="1"/>
  <c r="AI128" i="1"/>
  <c r="V103" i="1"/>
  <c r="W108" i="1"/>
  <c r="V118" i="1"/>
  <c r="V29" i="1"/>
  <c r="AI66" i="1"/>
  <c r="AI71" i="1"/>
  <c r="AI103" i="1"/>
  <c r="V18" i="1"/>
  <c r="V25" i="1"/>
  <c r="T78" i="1"/>
  <c r="U78" i="1" s="1"/>
  <c r="V114" i="1"/>
  <c r="V125" i="1"/>
  <c r="V20" i="1"/>
  <c r="AI35" i="1"/>
  <c r="AI46" i="1"/>
  <c r="W57" i="1"/>
  <c r="AI125" i="1"/>
  <c r="T69" i="1"/>
  <c r="U69" i="1" s="1"/>
  <c r="AI69" i="1" s="1"/>
  <c r="V107" i="1"/>
  <c r="V16" i="1"/>
  <c r="V67" i="1"/>
  <c r="V79" i="1"/>
  <c r="AI104" i="1"/>
  <c r="V119" i="1"/>
  <c r="V126" i="1"/>
  <c r="W16" i="1"/>
  <c r="W21" i="1"/>
  <c r="V26" i="1"/>
  <c r="T53" i="1"/>
  <c r="U53" i="1" s="1"/>
  <c r="V63" i="1"/>
  <c r="V101" i="1"/>
  <c r="W105" i="1"/>
  <c r="W6" i="1"/>
  <c r="V48" i="1"/>
  <c r="AI63" i="1"/>
  <c r="V68" i="1"/>
  <c r="V73" i="1"/>
  <c r="AI90" i="1"/>
  <c r="V116" i="1"/>
  <c r="V127" i="1"/>
  <c r="W27" i="1"/>
  <c r="AI8" i="1"/>
  <c r="V8" i="1"/>
  <c r="AI56" i="1"/>
  <c r="V56" i="1"/>
  <c r="AI57" i="1"/>
  <c r="V57" i="1"/>
  <c r="AI22" i="1"/>
  <c r="V22" i="1"/>
  <c r="AI42" i="1"/>
  <c r="V42" i="1"/>
  <c r="AI123" i="1"/>
  <c r="V123" i="1"/>
  <c r="AI88" i="1"/>
  <c r="V88" i="1"/>
  <c r="V124" i="1"/>
  <c r="AI124" i="1"/>
  <c r="AI58" i="1"/>
  <c r="V58" i="1"/>
  <c r="AI78" i="1"/>
  <c r="V78" i="1"/>
  <c r="V27" i="1"/>
  <c r="T37" i="1"/>
  <c r="U37" i="1" s="1"/>
  <c r="AI59" i="1"/>
  <c r="V59" i="1"/>
  <c r="AI100" i="1"/>
  <c r="V100" i="1"/>
  <c r="AI10" i="1"/>
  <c r="V10" i="1"/>
  <c r="V14" i="1"/>
  <c r="AI115" i="1"/>
  <c r="V115" i="1"/>
  <c r="AI53" i="1"/>
  <c r="V53" i="1"/>
  <c r="V23" i="1"/>
  <c r="AI19" i="1"/>
  <c r="V19" i="1"/>
  <c r="V105" i="1"/>
  <c r="AI105" i="1"/>
  <c r="U6" i="1"/>
  <c r="S5" i="1"/>
  <c r="W11" i="1"/>
  <c r="V64" i="1"/>
  <c r="AI11" i="1"/>
  <c r="V11" i="1"/>
  <c r="W96" i="1"/>
  <c r="T96" i="1"/>
  <c r="U96" i="1" s="1"/>
  <c r="V86" i="1"/>
  <c r="AI86" i="1"/>
  <c r="AI106" i="1"/>
  <c r="V106" i="1"/>
  <c r="AI7" i="1"/>
  <c r="V7" i="1"/>
  <c r="V70" i="1"/>
  <c r="AI70" i="1"/>
  <c r="AI40" i="1"/>
  <c r="V40" i="1"/>
  <c r="V65" i="1"/>
  <c r="V12" i="1"/>
  <c r="AI41" i="1"/>
  <c r="V41" i="1"/>
  <c r="V61" i="1"/>
  <c r="AI61" i="1"/>
  <c r="V52" i="1"/>
  <c r="V55" i="1"/>
  <c r="T74" i="1"/>
  <c r="U74" i="1" s="1"/>
  <c r="V99" i="1"/>
  <c r="V112" i="1"/>
  <c r="T33" i="1"/>
  <c r="U33" i="1" s="1"/>
  <c r="V36" i="1"/>
  <c r="V49" i="1"/>
  <c r="T77" i="1"/>
  <c r="U77" i="1" s="1"/>
  <c r="T80" i="1"/>
  <c r="U80" i="1" s="1"/>
  <c r="V83" i="1"/>
  <c r="T122" i="1"/>
  <c r="U122" i="1" s="1"/>
  <c r="V39" i="1"/>
  <c r="V93" i="1"/>
  <c r="V109" i="1"/>
  <c r="T9" i="1"/>
  <c r="U9" i="1" s="1"/>
  <c r="T15" i="1"/>
  <c r="U15" i="1" s="1"/>
  <c r="T24" i="1"/>
  <c r="U24" i="1" s="1"/>
  <c r="V50" i="1"/>
  <c r="T75" i="1"/>
  <c r="U75" i="1" s="1"/>
  <c r="V84" i="1"/>
  <c r="V97" i="1"/>
  <c r="T132" i="1"/>
  <c r="U132" i="1" s="1"/>
  <c r="V94" i="1"/>
  <c r="V110" i="1"/>
  <c r="L126" i="1"/>
  <c r="L5" i="1" s="1"/>
  <c r="V31" i="1"/>
  <c r="V34" i="1"/>
  <c r="V47" i="1"/>
  <c r="V81" i="1"/>
  <c r="T91" i="1"/>
  <c r="V120" i="1"/>
  <c r="V129" i="1"/>
  <c r="V91" i="1"/>
  <c r="V117" i="1"/>
  <c r="V133" i="1"/>
  <c r="T32" i="1"/>
  <c r="U32" i="1" s="1"/>
  <c r="V38" i="1"/>
  <c r="V51" i="1"/>
  <c r="V54" i="1"/>
  <c r="T76" i="1"/>
  <c r="U76" i="1" s="1"/>
  <c r="V95" i="1"/>
  <c r="V98" i="1"/>
  <c r="V111" i="1"/>
  <c r="T121" i="1"/>
  <c r="U121" i="1" s="1"/>
  <c r="T130" i="1"/>
  <c r="U130" i="1" s="1"/>
  <c r="T92" i="1"/>
  <c r="V69" i="1" l="1"/>
  <c r="V113" i="1"/>
  <c r="V77" i="1"/>
  <c r="AI77" i="1"/>
  <c r="V130" i="1"/>
  <c r="AI130" i="1"/>
  <c r="V80" i="1"/>
  <c r="AI80" i="1"/>
  <c r="V122" i="1"/>
  <c r="AI122" i="1"/>
  <c r="V121" i="1"/>
  <c r="AI121" i="1"/>
  <c r="V33" i="1"/>
  <c r="AI33" i="1"/>
  <c r="AI96" i="1"/>
  <c r="V96" i="1"/>
  <c r="AI74" i="1"/>
  <c r="V74" i="1"/>
  <c r="AI132" i="1"/>
  <c r="V132" i="1"/>
  <c r="V76" i="1"/>
  <c r="AI76" i="1"/>
  <c r="AI75" i="1"/>
  <c r="V75" i="1"/>
  <c r="AI15" i="1"/>
  <c r="V15" i="1"/>
  <c r="AI37" i="1"/>
  <c r="V37" i="1"/>
  <c r="AI24" i="1"/>
  <c r="V24" i="1"/>
  <c r="AI9" i="1"/>
  <c r="V9" i="1"/>
  <c r="T5" i="1"/>
  <c r="V32" i="1"/>
  <c r="AI32" i="1"/>
  <c r="U5" i="1"/>
  <c r="AI6" i="1"/>
  <c r="V6" i="1"/>
  <c r="AI5" i="1" l="1"/>
</calcChain>
</file>

<file path=xl/sharedStrings.xml><?xml version="1.0" encoding="utf-8"?>
<sst xmlns="http://schemas.openxmlformats.org/spreadsheetml/2006/main" count="596" uniqueCount="309">
  <si>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</si>
  <si>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</si>
  <si>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</si>
  <si>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</si>
  <si>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</si>
  <si>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</si>
  <si>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</si>
  <si>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</si>
  <si>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</si>
  <si>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</si>
  <si>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</si>
  <si>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</si>
  <si>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</si>
  <si>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</si>
  <si>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</si>
  <si>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</si>
  <si>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</si>
  <si>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</si>
  <si>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</si>
  <si>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кон ост</t>
  </si>
  <si>
    <t>факт</t>
  </si>
  <si>
    <t>ср</t>
  </si>
  <si>
    <t>комментарии</t>
  </si>
  <si>
    <t>вес</t>
  </si>
  <si>
    <t>17,08,</t>
  </si>
  <si>
    <t>17,08,недогр</t>
  </si>
  <si>
    <t>17,08,доз</t>
  </si>
  <si>
    <t>17,08,доз2</t>
  </si>
  <si>
    <t>20,08,</t>
  </si>
  <si>
    <t>24,08,</t>
  </si>
  <si>
    <t>18,08,</t>
  </si>
  <si>
    <t>13,08,</t>
  </si>
  <si>
    <t>11,08,</t>
  </si>
  <si>
    <t>06,08,</t>
  </si>
  <si>
    <t>04,08,</t>
  </si>
  <si>
    <t>30,07,</t>
  </si>
  <si>
    <t>28,07,</t>
  </si>
  <si>
    <t>23,07,</t>
  </si>
  <si>
    <t>21,07,</t>
  </si>
  <si>
    <t>16,07,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</si>
  <si>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</si>
  <si>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</si>
  <si>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</si>
  <si>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</si>
  <si>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</si>
  <si>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</si>
  <si>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</si>
  <si>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</si>
  <si>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</si>
  <si>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</si>
  <si>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</si>
  <si>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</si>
  <si>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</si>
  <si>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</si>
  <si>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</si>
  <si>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</si>
  <si>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047  Кол Баварская, белков.обол. в термоусад. пакете 0.17 кг, ТМ Стародворье  ПОКОМ</t>
  </si>
  <si>
    <t>нет потребности</t>
  </si>
  <si>
    <t>SU002092</t>
  </si>
  <si>
    <t xml:space="preserve"> 062  Колбаса Кракушка пряная с сальцем, 0.3кг в/у п/к, БАВАРУШКА ПОКОМ</t>
  </si>
  <si>
    <t>НЕДОГРУЗ / матрица</t>
  </si>
  <si>
    <t>SU002252</t>
  </si>
  <si>
    <t xml:space="preserve"> 083  Колбаса Швейцарская 0,17 кг., ШТ., сырокопченая   ПОКОМ</t>
  </si>
  <si>
    <t>SU001869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</si>
  <si>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</si>
  <si>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</si>
  <si>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</si>
  <si>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</si>
  <si>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</si>
  <si>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</si>
  <si>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</si>
  <si>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</si>
  <si>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</si>
  <si>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</si>
  <si>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</si>
  <si>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</si>
  <si>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</si>
  <si>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</si>
  <si>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</si>
  <si>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</si>
  <si>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</si>
  <si>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</si>
  <si>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</si>
  <si>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</si>
  <si>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243  Колбаса Сервелат Зернистый, ВЕС.  ПОКОМ</t>
  </si>
  <si>
    <t>не в матрице</t>
  </si>
  <si>
    <t>SU001820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</si>
  <si>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</si>
  <si>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</si>
  <si>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</si>
  <si>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</si>
  <si>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</si>
  <si>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</si>
  <si>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</si>
  <si>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</si>
  <si>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</si>
  <si>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</si>
  <si>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</si>
  <si>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</si>
  <si>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</si>
  <si>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</si>
  <si>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</si>
  <si>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</si>
  <si>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266  Колбаса Филейбургская с сочным окороком, ВЕС, ТМ Баварушка  ПОКОМ</t>
  </si>
  <si>
    <t>SU002613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</si>
  <si>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</si>
  <si>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</si>
  <si>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</si>
  <si>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</si>
  <si>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</si>
  <si>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</si>
  <si>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</si>
  <si>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</si>
  <si>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</si>
  <si>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</si>
  <si>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</si>
  <si>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</si>
  <si>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</si>
  <si>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</si>
  <si>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</si>
  <si>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</si>
  <si>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</si>
  <si>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</si>
  <si>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</si>
  <si>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</si>
  <si>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</si>
  <si>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</si>
  <si>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304  Колбаса Салями Мясорубская с рубленным шпиком ВЕС ТМ Стародворье  ПОКОМ</t>
  </si>
  <si>
    <t>SU002876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</si>
  <si>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</si>
  <si>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</si>
  <si>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</si>
  <si>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</si>
  <si>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</si>
  <si>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</si>
  <si>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</si>
  <si>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нужно увеличить продажи!!!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</si>
  <si>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</si>
  <si>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</si>
  <si>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</si>
  <si>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</si>
  <si>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</si>
  <si>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</si>
  <si>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</si>
  <si>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</si>
  <si>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</si>
  <si>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</si>
  <si>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</si>
  <si>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</si>
  <si>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</si>
  <si>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</si>
  <si>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</si>
  <si>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</si>
  <si>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</si>
  <si>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</si>
  <si>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</si>
  <si>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</si>
  <si>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</si>
  <si>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</si>
  <si>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</si>
  <si>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</si>
  <si>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нужно увеличить продажи</t>
  </si>
  <si>
    <t>SU002831</t>
  </si>
  <si>
    <t xml:space="preserve"> 340  Сосиски Сочинки Молочные ТМ Стародворье, ВЕС ПОКОМ</t>
  </si>
  <si>
    <t>80кг задача ТК (31,07,26)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</si>
  <si>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</si>
  <si>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</si>
  <si>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</si>
  <si>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</si>
  <si>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</si>
  <si>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</si>
  <si>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</si>
  <si>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</si>
  <si>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</si>
  <si>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</si>
  <si>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</si>
  <si>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</si>
  <si>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</si>
  <si>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</si>
  <si>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</si>
  <si>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</si>
  <si>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</si>
  <si>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</si>
  <si>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</si>
  <si>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</si>
  <si>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</si>
  <si>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</si>
  <si>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</si>
  <si>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</si>
  <si>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</si>
  <si>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</si>
  <si>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</si>
  <si>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</si>
  <si>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</si>
  <si>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</si>
  <si>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</si>
  <si>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</si>
  <si>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</si>
  <si>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</si>
  <si>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</si>
  <si>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</si>
  <si>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</si>
  <si>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</si>
  <si>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</si>
  <si>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</si>
  <si>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</si>
  <si>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</si>
  <si>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</si>
  <si>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</si>
  <si>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</si>
  <si>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435  Колбаса Молочная Стародворская  с молоком в оболочке полиамид 0,4 кг.ТМ Стародворье ПОКОМ</t>
  </si>
  <si>
    <t>SU003274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</si>
  <si>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</si>
  <si>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</si>
  <si>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</si>
  <si>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</si>
  <si>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</si>
  <si>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</si>
  <si>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</si>
  <si>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</si>
  <si>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</si>
  <si>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</si>
  <si>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</si>
  <si>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</si>
  <si>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</si>
  <si>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</si>
  <si>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</si>
  <si>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</si>
  <si>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</si>
  <si>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</si>
  <si>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</si>
  <si>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</si>
  <si>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</si>
  <si>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</si>
  <si>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</si>
  <si>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</si>
  <si>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</si>
  <si>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</si>
  <si>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530  Окорок Хамон выдержанный нарезка 0,055кг ТМ Стародворье  ПОКОМ</t>
  </si>
  <si>
    <t>нет в бланке</t>
  </si>
  <si>
    <t>SU003923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</si>
  <si>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</si>
  <si>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</si>
  <si>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</si>
  <si>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</si>
  <si>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</si>
  <si>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</si>
  <si>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</si>
  <si>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</si>
  <si>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</si>
  <si>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</si>
  <si>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</si>
  <si>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</si>
  <si>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</si>
  <si>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</si>
  <si>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</si>
  <si>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</si>
  <si>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</si>
  <si>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</si>
  <si>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</si>
  <si>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</si>
  <si>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</si>
  <si>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</si>
  <si>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</si>
  <si>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</si>
  <si>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</si>
  <si>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</si>
  <si>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</si>
  <si>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</si>
  <si>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</si>
  <si>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</si>
  <si>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</si>
  <si>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</si>
  <si>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</si>
  <si>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</si>
  <si>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</si>
  <si>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</si>
  <si>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</si>
  <si>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</si>
  <si>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</si>
  <si>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</si>
  <si>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</si>
  <si>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</si>
  <si>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</si>
  <si>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</si>
  <si>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</si>
  <si>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</si>
  <si>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</si>
  <si>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SU004238</t>
  </si>
  <si>
    <t xml:space="preserve"> 614  Буженина в пряном маринаде 0,25 кг консервы из мяса индейки ТМ Стародворье  ПОКОМ</t>
  </si>
  <si>
    <t>новинка / 500шт Боярко (05,08,26)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</si>
  <si>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</si>
  <si>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</si>
  <si>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</si>
  <si>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</si>
  <si>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</si>
  <si>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</si>
  <si>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</si>
  <si>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</si>
  <si>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159 шт списание (04,07,26 - инвентаризация)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</si>
  <si>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</si>
  <si>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</si>
  <si>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</si>
  <si>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</si>
  <si>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</si>
  <si>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</si>
  <si>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</si>
  <si>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БОНУС_615  Гречка по-купечески с говядиной и овощами 0,325кг ТМ Стародворье  ПОКОМ</t>
  </si>
  <si>
    <t>бонус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</si>
</sst>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6" fillId="0" borderId="1"/>
  </cellStyleXfs>
  <cellXfs count="17">
    <xf numFmtId="0" fontId="0" fillId="0" borderId="0" xfId="0" applyBorder="1"/>
    <xf numFmtId="164" fontId="1" fillId="0" borderId="1" xfId="1" applyNumberFormat="1" applyFon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ont="1" applyFill="1"/>
    <xf numFmtId="164" fontId="1" fillId="0" borderId="2" xfId="1" applyNumberFormat="1" applyFont="1" applyBorder="1"/>
    <xf numFmtId="2" fontId="0" fillId="0" borderId="0" xfId="0" applyNumberFormat="1" applyBorder="1"/>
    <xf numFmtId="2" fontId="1" fillId="0" borderId="1" xfId="1" applyNumberFormat="1" applyFont="1"/>
    <xf numFmtId="2" fontId="2" fillId="2" borderId="1" xfId="1" applyNumberFormat="1" applyFont="1" applyFill="1"/>
    <xf numFmtId="164" fontId="1" fillId="4" borderId="1" xfId="1" applyNumberFormat="1" applyFont="1" applyFill="1"/>
    <xf numFmtId="2" fontId="1" fillId="4" borderId="1" xfId="1" applyNumberFormat="1" applyFont="1" applyFill="1"/>
    <xf numFmtId="164" fontId="1" fillId="4" borderId="2" xfId="1" applyNumberFormat="1" applyFont="1" applyFill="1" applyBorder="1"/>
    <xf numFmtId="164" fontId="1" fillId="5" borderId="1" xfId="1" applyNumberFormat="1" applyFont="1" applyFill="1"/>
    <xf numFmtId="164" fontId="4" fillId="6" borderId="1" xfId="1" applyNumberFormat="1" applyFont="1" applyFill="1"/>
    <xf numFmtId="164" fontId="5" fillId="7" borderId="1" xfId="1" applyNumberFormat="1" applyFont="1" applyFill="1"/>
    <xf numFmtId="164" fontId="6" fillId="7" borderId="1" xfId="1" applyNumberFormat="1" applyFill="1"/>
    <xf numFmtId="165" fontId="1" fillId="0" borderId="1" xfId="1" applyNumberFormat="1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K3" sqref="AK3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21" width="7" customWidth="1"/>
    <col min="22" max="23" width="5" customWidth="1"/>
    <col min="24" max="33" width="6" customWidth="1"/>
    <col min="34" max="34" width="30.28515625" customWidth="1"/>
    <col min="35" max="35" width="7" customWidth="1"/>
  </cols>
  <sheetData>
    <row r="1" spans="1:36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6">
        <v>-1.23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6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 t="s">
        <v>0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</row>
    <row r="3" spans="1:36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15</v>
      </c>
      <c r="S3" s="2" t="s">
        <v>16</v>
      </c>
      <c r="T3" s="3" t="s">
        <v>17</v>
      </c>
      <c r="U3" s="3" t="s">
        <v>18</v>
      </c>
      <c r="V3" s="2" t="s">
        <v>19</v>
      </c>
      <c r="W3" s="2" t="s">
        <v>20</v>
      </c>
      <c r="X3" s="2" t="s">
        <v>21</v>
      </c>
      <c r="Y3" s="2" t="s">
        <v>21</v>
      </c>
      <c r="Z3" s="2" t="s">
        <v>21</v>
      </c>
      <c r="AA3" s="2" t="s">
        <v>21</v>
      </c>
      <c r="AB3" s="2" t="s">
        <v>21</v>
      </c>
      <c r="AC3" s="2" t="s">
        <v>21</v>
      </c>
      <c r="AD3" s="2" t="s">
        <v>21</v>
      </c>
      <c r="AE3" s="2" t="s">
        <v>21</v>
      </c>
      <c r="AF3" s="2" t="s">
        <v>21</v>
      </c>
      <c r="AG3" s="2" t="s">
        <v>21</v>
      </c>
      <c r="AH3" s="2" t="s">
        <v>22</v>
      </c>
      <c r="AI3" s="2" t="s">
        <v>23</v>
      </c>
    </row>
    <row r="4" spans="1:36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 t="s">
        <v>27</v>
      </c>
      <c r="S4" s="1" t="s">
        <v>28</v>
      </c>
      <c r="T4" s="1"/>
      <c r="U4" s="1" t="s">
        <v>29</v>
      </c>
      <c r="V4" s="1"/>
      <c r="W4" s="1"/>
      <c r="X4" s="1" t="s">
        <v>30</v>
      </c>
      <c r="Y4" s="1" t="s">
        <v>31</v>
      </c>
      <c r="Z4" s="1" t="s">
        <v>32</v>
      </c>
      <c r="AA4" s="1" t="s">
        <v>33</v>
      </c>
      <c r="AB4" s="1" t="s">
        <v>34</v>
      </c>
      <c r="AC4" s="1" t="s">
        <v>35</v>
      </c>
      <c r="AD4" s="1" t="s">
        <v>36</v>
      </c>
      <c r="AE4" s="1" t="s">
        <v>37</v>
      </c>
      <c r="AF4" s="1" t="s">
        <v>38</v>
      </c>
      <c r="AG4" s="1" t="s">
        <v>39</v>
      </c>
      <c r="AH4" s="1"/>
      <c r="AI4" s="1"/>
    </row>
    <row r="5" spans="1:36" x14ac:dyDescent="0.25">
      <c r="A5" s="1"/>
      <c r="B5" s="1"/>
      <c r="C5" s="1"/>
      <c r="D5" s="1"/>
      <c r="E5" s="4">
        <f>SUM(E6:E499)</f>
        <v>21038.849000000006</v>
      </c>
      <c r="F5" s="4">
        <f>SUM(F6:F499)</f>
        <v>20020.031000000003</v>
      </c>
      <c r="G5" s="7"/>
      <c r="H5" s="1"/>
      <c r="I5" s="1"/>
      <c r="J5" s="1"/>
      <c r="K5" s="4">
        <f t="shared" ref="K5:U5" si="0">SUM(K6:K499)</f>
        <v>23158.229000000007</v>
      </c>
      <c r="L5" s="4">
        <f t="shared" si="0"/>
        <v>-2119.38</v>
      </c>
      <c r="M5" s="4">
        <f t="shared" si="0"/>
        <v>0</v>
      </c>
      <c r="N5" s="4">
        <f t="shared" si="0"/>
        <v>0</v>
      </c>
      <c r="O5" s="4">
        <f t="shared" si="0"/>
        <v>10291.902212000003</v>
      </c>
      <c r="P5" s="4">
        <f t="shared" si="0"/>
        <v>-2944.3139999999999</v>
      </c>
      <c r="Q5" s="4">
        <f t="shared" si="0"/>
        <v>2100</v>
      </c>
      <c r="R5" s="4">
        <f t="shared" si="0"/>
        <v>700</v>
      </c>
      <c r="S5" s="4">
        <f t="shared" si="0"/>
        <v>4207.7697999999991</v>
      </c>
      <c r="T5" s="4">
        <f t="shared" si="0"/>
        <v>15288.725411999993</v>
      </c>
      <c r="U5" s="4">
        <f t="shared" si="0"/>
        <v>9690.9552299999978</v>
      </c>
      <c r="V5" s="1"/>
      <c r="W5" s="1"/>
      <c r="X5" s="4">
        <f t="shared" ref="X5:AG5" si="1">SUM(X6:X499)</f>
        <v>3443.0367999999989</v>
      </c>
      <c r="Y5" s="4">
        <f t="shared" si="1"/>
        <v>3963.5633999999986</v>
      </c>
      <c r="Z5" s="4">
        <f t="shared" si="1"/>
        <v>3762.9608000000012</v>
      </c>
      <c r="AA5" s="4">
        <f t="shared" si="1"/>
        <v>3888.003999999999</v>
      </c>
      <c r="AB5" s="4">
        <f t="shared" si="1"/>
        <v>4297.2658000000001</v>
      </c>
      <c r="AC5" s="4">
        <f t="shared" si="1"/>
        <v>4684.4022000000004</v>
      </c>
      <c r="AD5" s="4">
        <f t="shared" si="1"/>
        <v>4934.9677999999976</v>
      </c>
      <c r="AE5" s="4">
        <f t="shared" si="1"/>
        <v>5484.3842000000004</v>
      </c>
      <c r="AF5" s="4">
        <f t="shared" si="1"/>
        <v>5313.1188000000011</v>
      </c>
      <c r="AG5" s="4">
        <f t="shared" si="1"/>
        <v>4949.6584000000003</v>
      </c>
      <c r="AH5" s="1"/>
      <c r="AI5" s="4">
        <f>SUM(AI6:AI499)</f>
        <v>5923</v>
      </c>
    </row>
    <row r="6" spans="1:36" x14ac:dyDescent="0.25">
      <c r="A6" s="1" t="s">
        <v>40</v>
      </c>
      <c r="B6" s="1" t="s">
        <v>41</v>
      </c>
      <c r="C6" s="1">
        <v>292.637</v>
      </c>
      <c r="D6" s="1">
        <v>274.35500000000002</v>
      </c>
      <c r="E6" s="1">
        <v>234.572</v>
      </c>
      <c r="F6" s="1">
        <v>266.65300000000002</v>
      </c>
      <c r="G6" s="7">
        <v>1</v>
      </c>
      <c r="H6" s="1">
        <v>50</v>
      </c>
      <c r="I6" s="1" t="s">
        <v>42</v>
      </c>
      <c r="J6" s="1"/>
      <c r="K6" s="1">
        <v>240.55</v>
      </c>
      <c r="L6" s="1">
        <f t="shared" ref="L6:L37" si="2">E6-K6</f>
        <v>-5.9780000000000086</v>
      </c>
      <c r="M6" s="1"/>
      <c r="N6" s="1"/>
      <c r="O6" s="1">
        <v>164.77141199999991</v>
      </c>
      <c r="P6" s="1"/>
      <c r="Q6" s="1"/>
      <c r="R6" s="1"/>
      <c r="S6" s="1">
        <f t="shared" ref="S6:S37" si="3">E6/5</f>
        <v>46.914400000000001</v>
      </c>
      <c r="T6" s="5">
        <f>12*S6-R6-Q6-P6-O6-F6</f>
        <v>131.54838800000005</v>
      </c>
      <c r="U6" s="5">
        <f>T6+$U$1*S6</f>
        <v>73.843676000000045</v>
      </c>
      <c r="V6" s="1">
        <f t="shared" ref="V6:V37" si="4">(F6+O6+P6+Q6+R6+U6)/S6</f>
        <v>10.770000000000001</v>
      </c>
      <c r="W6" s="1">
        <f t="shared" ref="W6:W37" si="5">(F6+O6+P6+Q6+R6)/S6</f>
        <v>9.1959912521528562</v>
      </c>
      <c r="X6" s="1">
        <v>34.5426</v>
      </c>
      <c r="Y6" s="1">
        <v>43.8718</v>
      </c>
      <c r="Z6" s="1">
        <v>37.962800000000001</v>
      </c>
      <c r="AA6" s="1">
        <v>34.125799999999998</v>
      </c>
      <c r="AB6" s="1">
        <v>48.797400000000003</v>
      </c>
      <c r="AC6" s="1">
        <v>48.463799999999999</v>
      </c>
      <c r="AD6" s="1">
        <v>38.078200000000002</v>
      </c>
      <c r="AE6" s="1">
        <v>53.040599999999998</v>
      </c>
      <c r="AF6" s="1">
        <v>62.256600000000013</v>
      </c>
      <c r="AG6" s="1">
        <v>66.852599999999995</v>
      </c>
      <c r="AH6" s="1"/>
      <c r="AI6" s="1">
        <f t="shared" ref="AI6:AI37" si="6">ROUND(G6*U6,0)</f>
        <v>74</v>
      </c>
      <c r="AJ6" t="s">
        <v>43</v>
      </c>
    </row>
    <row r="7" spans="1:36" x14ac:dyDescent="0.25">
      <c r="A7" s="1" t="s">
        <v>44</v>
      </c>
      <c r="B7" s="1" t="s">
        <v>41</v>
      </c>
      <c r="C7" s="1">
        <v>399.24700000000001</v>
      </c>
      <c r="D7" s="1">
        <v>1486.43</v>
      </c>
      <c r="E7" s="1">
        <v>856.75</v>
      </c>
      <c r="F7" s="1">
        <v>820.64800000000002</v>
      </c>
      <c r="G7" s="7">
        <v>1</v>
      </c>
      <c r="H7" s="1">
        <v>45</v>
      </c>
      <c r="I7" s="1" t="s">
        <v>42</v>
      </c>
      <c r="J7" s="1"/>
      <c r="K7" s="1">
        <v>803.9</v>
      </c>
      <c r="L7" s="1">
        <f t="shared" si="2"/>
        <v>52.850000000000023</v>
      </c>
      <c r="M7" s="1"/>
      <c r="N7" s="1"/>
      <c r="O7" s="1">
        <v>639.46720600000015</v>
      </c>
      <c r="P7" s="1"/>
      <c r="Q7" s="1"/>
      <c r="R7" s="1"/>
      <c r="S7" s="1">
        <f t="shared" si="3"/>
        <v>171.35</v>
      </c>
      <c r="T7" s="5">
        <f>12*S7-R7-Q7-P7-O7-F7</f>
        <v>596.08479399999953</v>
      </c>
      <c r="U7" s="5">
        <f>T7+$U$1*S7</f>
        <v>385.32429399999955</v>
      </c>
      <c r="V7" s="1">
        <f t="shared" si="4"/>
        <v>10.77</v>
      </c>
      <c r="W7" s="1">
        <f t="shared" si="5"/>
        <v>8.5212442719579826</v>
      </c>
      <c r="X7" s="1">
        <v>161.2954</v>
      </c>
      <c r="Y7" s="1">
        <v>174.07939999999999</v>
      </c>
      <c r="Z7" s="1">
        <v>156.54300000000001</v>
      </c>
      <c r="AA7" s="1">
        <v>115.7188</v>
      </c>
      <c r="AB7" s="1">
        <v>123.2384</v>
      </c>
      <c r="AC7" s="1">
        <v>165.91419999999999</v>
      </c>
      <c r="AD7" s="1">
        <v>160.22540000000001</v>
      </c>
      <c r="AE7" s="1">
        <v>155.3356</v>
      </c>
      <c r="AF7" s="1">
        <v>161.36680000000001</v>
      </c>
      <c r="AG7" s="1">
        <v>149.6454</v>
      </c>
      <c r="AH7" s="1"/>
      <c r="AI7" s="1">
        <f t="shared" si="6"/>
        <v>385</v>
      </c>
      <c r="AJ7" t="s">
        <v>45</v>
      </c>
    </row>
    <row r="8" spans="1:36" x14ac:dyDescent="0.25">
      <c r="A8" s="1" t="s">
        <v>46</v>
      </c>
      <c r="B8" s="1" t="s">
        <v>41</v>
      </c>
      <c r="C8" s="1">
        <v>672.84699999999998</v>
      </c>
      <c r="D8" s="1">
        <v>1022.551</v>
      </c>
      <c r="E8" s="1">
        <v>880.69</v>
      </c>
      <c r="F8" s="1">
        <v>599.548</v>
      </c>
      <c r="G8" s="7">
        <v>1</v>
      </c>
      <c r="H8" s="1">
        <v>45</v>
      </c>
      <c r="I8" s="1" t="s">
        <v>42</v>
      </c>
      <c r="J8" s="1"/>
      <c r="K8" s="1">
        <v>863.88199999999995</v>
      </c>
      <c r="L8" s="1">
        <f t="shared" si="2"/>
        <v>16.808000000000106</v>
      </c>
      <c r="M8" s="1"/>
      <c r="N8" s="1"/>
      <c r="O8" s="1">
        <v>644.28089799999998</v>
      </c>
      <c r="P8" s="1"/>
      <c r="Q8" s="1"/>
      <c r="R8" s="1"/>
      <c r="S8" s="1">
        <f t="shared" si="3"/>
        <v>176.13800000000001</v>
      </c>
      <c r="T8" s="5">
        <f>12*S8-R8-Q8-P8-O8-F8</f>
        <v>869.82710199999997</v>
      </c>
      <c r="U8" s="5">
        <f>T8+$U$1*S8</f>
        <v>653.1773619999999</v>
      </c>
      <c r="V8" s="1">
        <f t="shared" si="4"/>
        <v>10.77</v>
      </c>
      <c r="W8" s="1">
        <f t="shared" si="5"/>
        <v>7.0616726543959842</v>
      </c>
      <c r="X8" s="1">
        <v>166.39340000000001</v>
      </c>
      <c r="Y8" s="1">
        <v>154.95760000000001</v>
      </c>
      <c r="Z8" s="1">
        <v>140.4342</v>
      </c>
      <c r="AA8" s="1">
        <v>130.178</v>
      </c>
      <c r="AB8" s="1">
        <v>141.642</v>
      </c>
      <c r="AC8" s="1">
        <v>157.6602</v>
      </c>
      <c r="AD8" s="1">
        <v>153.99100000000001</v>
      </c>
      <c r="AE8" s="1">
        <v>162.184</v>
      </c>
      <c r="AF8" s="1">
        <v>168.56280000000001</v>
      </c>
      <c r="AG8" s="1">
        <v>152.89080000000001</v>
      </c>
      <c r="AH8" s="1"/>
      <c r="AI8" s="1">
        <f t="shared" si="6"/>
        <v>653</v>
      </c>
      <c r="AJ8" t="s">
        <v>47</v>
      </c>
    </row>
    <row r="9" spans="1:36" x14ac:dyDescent="0.25">
      <c r="A9" s="1" t="s">
        <v>48</v>
      </c>
      <c r="B9" s="1" t="s">
        <v>49</v>
      </c>
      <c r="C9" s="1">
        <v>24</v>
      </c>
      <c r="D9" s="1">
        <v>12</v>
      </c>
      <c r="E9" s="1">
        <v>31</v>
      </c>
      <c r="F9" s="1">
        <v>3</v>
      </c>
      <c r="G9" s="7">
        <v>0.4</v>
      </c>
      <c r="H9" s="1">
        <v>50</v>
      </c>
      <c r="I9" s="1" t="s">
        <v>42</v>
      </c>
      <c r="J9" s="1"/>
      <c r="K9" s="1">
        <v>38</v>
      </c>
      <c r="L9" s="1">
        <f t="shared" si="2"/>
        <v>-7</v>
      </c>
      <c r="M9" s="1"/>
      <c r="N9" s="1"/>
      <c r="O9" s="1">
        <v>0</v>
      </c>
      <c r="P9" s="1"/>
      <c r="Q9" s="1"/>
      <c r="R9" s="1"/>
      <c r="S9" s="1">
        <f t="shared" si="3"/>
        <v>6.2</v>
      </c>
      <c r="T9" s="5">
        <f>7*S9-R9-Q9-P9-O9-F9</f>
        <v>40.4</v>
      </c>
      <c r="U9" s="5">
        <f>T9</f>
        <v>40.4</v>
      </c>
      <c r="V9" s="1">
        <f t="shared" si="4"/>
        <v>7</v>
      </c>
      <c r="W9" s="1">
        <f t="shared" si="5"/>
        <v>0.48387096774193544</v>
      </c>
      <c r="X9" s="1">
        <v>4.5999999999999996</v>
      </c>
      <c r="Y9" s="1">
        <v>2</v>
      </c>
      <c r="Z9" s="1">
        <v>2.6</v>
      </c>
      <c r="AA9" s="1">
        <v>1.4</v>
      </c>
      <c r="AB9" s="1">
        <v>0.2</v>
      </c>
      <c r="AC9" s="1">
        <v>1</v>
      </c>
      <c r="AD9" s="1">
        <v>3.2</v>
      </c>
      <c r="AE9" s="1">
        <v>2.6</v>
      </c>
      <c r="AF9" s="1">
        <v>0.4</v>
      </c>
      <c r="AG9" s="1">
        <v>0</v>
      </c>
      <c r="AH9" s="1" t="s">
        <v>50</v>
      </c>
      <c r="AI9" s="1">
        <f t="shared" si="6"/>
        <v>16</v>
      </c>
      <c r="AJ9" t="s">
        <v>51</v>
      </c>
    </row>
    <row r="10" spans="1:36" x14ac:dyDescent="0.25">
      <c r="A10" s="1" t="s">
        <v>52</v>
      </c>
      <c r="B10" s="1" t="s">
        <v>49</v>
      </c>
      <c r="C10" s="1">
        <v>254</v>
      </c>
      <c r="D10" s="1">
        <v>166</v>
      </c>
      <c r="E10" s="1">
        <v>323</v>
      </c>
      <c r="F10" s="1">
        <v>-8</v>
      </c>
      <c r="G10" s="7">
        <v>0.45</v>
      </c>
      <c r="H10" s="1">
        <v>45</v>
      </c>
      <c r="I10" s="1" t="s">
        <v>42</v>
      </c>
      <c r="J10" s="1"/>
      <c r="K10" s="1">
        <v>395</v>
      </c>
      <c r="L10" s="1">
        <f t="shared" si="2"/>
        <v>-72</v>
      </c>
      <c r="M10" s="1"/>
      <c r="N10" s="1"/>
      <c r="O10" s="1">
        <v>287.72399999999988</v>
      </c>
      <c r="P10" s="1"/>
      <c r="Q10" s="1"/>
      <c r="R10" s="1"/>
      <c r="S10" s="1">
        <f t="shared" si="3"/>
        <v>64.599999999999994</v>
      </c>
      <c r="T10" s="5">
        <f>11*S10-R10-Q10-P10-O10-F10</f>
        <v>430.87600000000003</v>
      </c>
      <c r="U10" s="5">
        <f>T10+$U$1*S10</f>
        <v>351.41800000000001</v>
      </c>
      <c r="V10" s="1">
        <f t="shared" si="4"/>
        <v>9.7699999999999978</v>
      </c>
      <c r="W10" s="1">
        <f t="shared" si="5"/>
        <v>4.3300928792569646</v>
      </c>
      <c r="X10" s="1">
        <v>52.4</v>
      </c>
      <c r="Y10" s="1">
        <v>54.8</v>
      </c>
      <c r="Z10" s="1">
        <v>47.6</v>
      </c>
      <c r="AA10" s="1">
        <v>31.2</v>
      </c>
      <c r="AB10" s="1">
        <v>38.4</v>
      </c>
      <c r="AC10" s="1">
        <v>60.4</v>
      </c>
      <c r="AD10" s="1">
        <v>57.4</v>
      </c>
      <c r="AE10" s="1">
        <v>77</v>
      </c>
      <c r="AF10" s="1">
        <v>68.599999999999994</v>
      </c>
      <c r="AG10" s="1">
        <v>57</v>
      </c>
      <c r="AH10" s="1"/>
      <c r="AI10" s="1">
        <f t="shared" si="6"/>
        <v>158</v>
      </c>
      <c r="AJ10" t="s">
        <v>53</v>
      </c>
    </row>
    <row r="11" spans="1:36" x14ac:dyDescent="0.25">
      <c r="A11" s="1" t="s">
        <v>54</v>
      </c>
      <c r="B11" s="1" t="s">
        <v>49</v>
      </c>
      <c r="C11" s="1">
        <v>478</v>
      </c>
      <c r="D11" s="1">
        <v>183</v>
      </c>
      <c r="E11" s="1">
        <v>414</v>
      </c>
      <c r="F11" s="1">
        <v>4</v>
      </c>
      <c r="G11" s="7">
        <v>0.45</v>
      </c>
      <c r="H11" s="1">
        <v>45</v>
      </c>
      <c r="I11" s="1" t="s">
        <v>42</v>
      </c>
      <c r="J11" s="1"/>
      <c r="K11" s="1">
        <v>537</v>
      </c>
      <c r="L11" s="1">
        <f t="shared" si="2"/>
        <v>-123</v>
      </c>
      <c r="M11" s="1"/>
      <c r="N11" s="1"/>
      <c r="O11" s="1">
        <v>256.09999999999991</v>
      </c>
      <c r="P11" s="1"/>
      <c r="Q11" s="1"/>
      <c r="R11" s="1"/>
      <c r="S11" s="1">
        <f t="shared" si="3"/>
        <v>82.8</v>
      </c>
      <c r="T11" s="5">
        <f>10*S11-R11-Q11-P11-O11-F11</f>
        <v>567.90000000000009</v>
      </c>
      <c r="U11" s="5">
        <f>T11+$U$1*S11</f>
        <v>466.0560000000001</v>
      </c>
      <c r="V11" s="1">
        <f t="shared" si="4"/>
        <v>8.77</v>
      </c>
      <c r="W11" s="1">
        <f t="shared" si="5"/>
        <v>3.141304347826086</v>
      </c>
      <c r="X11" s="1">
        <v>80.599999999999994</v>
      </c>
      <c r="Y11" s="1">
        <v>70</v>
      </c>
      <c r="Z11" s="1">
        <v>63.8</v>
      </c>
      <c r="AA11" s="1">
        <v>57.2</v>
      </c>
      <c r="AB11" s="1">
        <v>72.2</v>
      </c>
      <c r="AC11" s="1">
        <v>90</v>
      </c>
      <c r="AD11" s="1">
        <v>77.2</v>
      </c>
      <c r="AE11" s="1">
        <v>93.8</v>
      </c>
      <c r="AF11" s="1">
        <v>88.6</v>
      </c>
      <c r="AG11" s="1">
        <v>85.2</v>
      </c>
      <c r="AH11" s="1"/>
      <c r="AI11" s="1">
        <f t="shared" si="6"/>
        <v>210</v>
      </c>
      <c r="AJ11" t="s">
        <v>55</v>
      </c>
    </row>
    <row r="12" spans="1:36" x14ac:dyDescent="0.25">
      <c r="A12" s="9" t="s">
        <v>56</v>
      </c>
      <c r="B12" s="9" t="s">
        <v>49</v>
      </c>
      <c r="C12" s="9"/>
      <c r="D12" s="9"/>
      <c r="E12" s="9"/>
      <c r="F12" s="9"/>
      <c r="G12" s="10">
        <v>0</v>
      </c>
      <c r="H12" s="9"/>
      <c r="I12" s="9" t="s">
        <v>42</v>
      </c>
      <c r="J12" s="9"/>
      <c r="K12" s="9"/>
      <c r="L12" s="9">
        <f t="shared" si="2"/>
        <v>0</v>
      </c>
      <c r="M12" s="9"/>
      <c r="N12" s="9"/>
      <c r="O12" s="9">
        <v>0</v>
      </c>
      <c r="P12" s="9"/>
      <c r="Q12" s="9"/>
      <c r="R12" s="9"/>
      <c r="S12" s="9">
        <f t="shared" si="3"/>
        <v>0</v>
      </c>
      <c r="T12" s="11"/>
      <c r="U12" s="5">
        <f>T12</f>
        <v>0</v>
      </c>
      <c r="V12" s="1" t="e">
        <f t="shared" si="4"/>
        <v>#DIV/0!</v>
      </c>
      <c r="W12" s="9" t="e">
        <f t="shared" si="5"/>
        <v>#DIV/0!</v>
      </c>
      <c r="X12" s="9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>
        <v>0</v>
      </c>
      <c r="AH12" s="9" t="s">
        <v>57</v>
      </c>
      <c r="AI12" s="1">
        <f t="shared" si="6"/>
        <v>0</v>
      </c>
      <c r="AJ12" t="s">
        <v>58</v>
      </c>
    </row>
    <row r="13" spans="1:36" x14ac:dyDescent="0.25">
      <c r="A13" s="1" t="s">
        <v>59</v>
      </c>
      <c r="B13" s="1" t="s">
        <v>49</v>
      </c>
      <c r="C13" s="1">
        <v>73</v>
      </c>
      <c r="D13" s="1">
        <v>158</v>
      </c>
      <c r="E13" s="1">
        <v>125</v>
      </c>
      <c r="F13" s="1">
        <v>68</v>
      </c>
      <c r="G13" s="7">
        <v>0.3</v>
      </c>
      <c r="H13" s="1">
        <v>40</v>
      </c>
      <c r="I13" s="12" t="s">
        <v>60</v>
      </c>
      <c r="J13" s="1"/>
      <c r="K13" s="1">
        <v>149</v>
      </c>
      <c r="L13" s="1">
        <f t="shared" si="2"/>
        <v>-24</v>
      </c>
      <c r="M13" s="1"/>
      <c r="N13" s="1"/>
      <c r="O13" s="1">
        <v>80.199999999999932</v>
      </c>
      <c r="P13" s="1">
        <v>-84</v>
      </c>
      <c r="Q13" s="1"/>
      <c r="R13" s="1"/>
      <c r="S13" s="1">
        <f t="shared" si="3"/>
        <v>25</v>
      </c>
      <c r="T13" s="5">
        <v>50</v>
      </c>
      <c r="U13" s="5">
        <f>T13*0.5</f>
        <v>25</v>
      </c>
      <c r="V13" s="1">
        <f t="shared" si="4"/>
        <v>3.5679999999999974</v>
      </c>
      <c r="W13" s="1">
        <f t="shared" si="5"/>
        <v>2.5679999999999974</v>
      </c>
      <c r="X13" s="1">
        <v>19.399999999999999</v>
      </c>
      <c r="Y13" s="1">
        <v>21.6</v>
      </c>
      <c r="Z13" s="1">
        <v>19.8</v>
      </c>
      <c r="AA13" s="1">
        <v>20.2</v>
      </c>
      <c r="AB13" s="1">
        <v>21.4</v>
      </c>
      <c r="AC13" s="1">
        <v>22.4</v>
      </c>
      <c r="AD13" s="1">
        <v>23.8</v>
      </c>
      <c r="AE13" s="1">
        <v>23</v>
      </c>
      <c r="AF13" s="1">
        <v>19.8</v>
      </c>
      <c r="AG13" s="1">
        <v>18</v>
      </c>
      <c r="AH13" s="1"/>
      <c r="AI13" s="1">
        <f t="shared" si="6"/>
        <v>8</v>
      </c>
      <c r="AJ13" t="s">
        <v>61</v>
      </c>
    </row>
    <row r="14" spans="1:36" x14ac:dyDescent="0.25">
      <c r="A14" s="1" t="s">
        <v>62</v>
      </c>
      <c r="B14" s="1" t="s">
        <v>49</v>
      </c>
      <c r="C14" s="1">
        <v>67</v>
      </c>
      <c r="D14" s="1">
        <v>160</v>
      </c>
      <c r="E14" s="1">
        <v>161</v>
      </c>
      <c r="F14" s="1">
        <v>35</v>
      </c>
      <c r="G14" s="7">
        <v>0.17</v>
      </c>
      <c r="H14" s="1">
        <v>180</v>
      </c>
      <c r="I14" s="1" t="s">
        <v>42</v>
      </c>
      <c r="J14" s="1"/>
      <c r="K14" s="1">
        <v>161</v>
      </c>
      <c r="L14" s="1">
        <f t="shared" si="2"/>
        <v>0</v>
      </c>
      <c r="M14" s="1"/>
      <c r="N14" s="1"/>
      <c r="O14" s="1">
        <v>8</v>
      </c>
      <c r="P14" s="1"/>
      <c r="Q14" s="1"/>
      <c r="R14" s="1"/>
      <c r="S14" s="1">
        <f t="shared" si="3"/>
        <v>32.200000000000003</v>
      </c>
      <c r="T14" s="5">
        <f>8*S14-R14-Q14-P14-O14-F14</f>
        <v>214.60000000000002</v>
      </c>
      <c r="U14" s="5">
        <f>T14+$U$1*S14</f>
        <v>174.99400000000003</v>
      </c>
      <c r="V14" s="1">
        <f t="shared" si="4"/>
        <v>6.7700000000000005</v>
      </c>
      <c r="W14" s="1">
        <f t="shared" si="5"/>
        <v>1.3354037267080745</v>
      </c>
      <c r="X14" s="1">
        <v>17.8</v>
      </c>
      <c r="Y14" s="1">
        <v>16.2</v>
      </c>
      <c r="Z14" s="1">
        <v>18</v>
      </c>
      <c r="AA14" s="1">
        <v>19.2</v>
      </c>
      <c r="AB14" s="1">
        <v>22</v>
      </c>
      <c r="AC14" s="1">
        <v>18.8</v>
      </c>
      <c r="AD14" s="1">
        <v>15.8</v>
      </c>
      <c r="AE14" s="1">
        <v>17.600000000000001</v>
      </c>
      <c r="AF14" s="1">
        <v>19.8</v>
      </c>
      <c r="AG14" s="1">
        <v>14.8</v>
      </c>
      <c r="AH14" s="1"/>
      <c r="AI14" s="1">
        <f t="shared" si="6"/>
        <v>30</v>
      </c>
      <c r="AJ14" t="s">
        <v>63</v>
      </c>
    </row>
    <row r="15" spans="1:36" x14ac:dyDescent="0.25">
      <c r="A15" s="1" t="s">
        <v>64</v>
      </c>
      <c r="B15" s="1" t="s">
        <v>41</v>
      </c>
      <c r="C15" s="1">
        <v>386.05900000000003</v>
      </c>
      <c r="D15" s="1">
        <v>611.25599999999997</v>
      </c>
      <c r="E15" s="1">
        <v>339.99900000000002</v>
      </c>
      <c r="F15" s="1">
        <v>599.42100000000005</v>
      </c>
      <c r="G15" s="7">
        <v>1</v>
      </c>
      <c r="H15" s="1">
        <v>70</v>
      </c>
      <c r="I15" s="1" t="s">
        <v>42</v>
      </c>
      <c r="J15" s="1"/>
      <c r="K15" s="1">
        <v>318.64</v>
      </c>
      <c r="L15" s="1">
        <f t="shared" si="2"/>
        <v>21.359000000000037</v>
      </c>
      <c r="M15" s="1"/>
      <c r="N15" s="1"/>
      <c r="O15" s="1">
        <v>36.585680000000018</v>
      </c>
      <c r="P15" s="1"/>
      <c r="Q15" s="1"/>
      <c r="R15" s="1"/>
      <c r="S15" s="1">
        <f t="shared" si="3"/>
        <v>67.999800000000008</v>
      </c>
      <c r="T15" s="5">
        <f>12*S15-R15-Q15-P15-O15-F15</f>
        <v>179.99092000000007</v>
      </c>
      <c r="U15" s="5">
        <f>T15+$U$1*S15</f>
        <v>96.351166000000063</v>
      </c>
      <c r="V15" s="1">
        <f t="shared" si="4"/>
        <v>10.77</v>
      </c>
      <c r="W15" s="1">
        <f t="shared" si="5"/>
        <v>9.3530669207850607</v>
      </c>
      <c r="X15" s="1">
        <v>67.419600000000003</v>
      </c>
      <c r="Y15" s="1">
        <v>63.860999999999997</v>
      </c>
      <c r="Z15" s="1">
        <v>64.120199999999997</v>
      </c>
      <c r="AA15" s="1">
        <v>71.404200000000003</v>
      </c>
      <c r="AB15" s="1">
        <v>76.710000000000008</v>
      </c>
      <c r="AC15" s="1">
        <v>82.161599999999993</v>
      </c>
      <c r="AD15" s="1">
        <v>77.837599999999995</v>
      </c>
      <c r="AE15" s="1">
        <v>83.318399999999997</v>
      </c>
      <c r="AF15" s="1">
        <v>95.534199999999998</v>
      </c>
      <c r="AG15" s="1">
        <v>52.246799999999993</v>
      </c>
      <c r="AH15" s="1"/>
      <c r="AI15" s="1">
        <f t="shared" si="6"/>
        <v>96</v>
      </c>
      <c r="AJ15" t="s">
        <v>65</v>
      </c>
    </row>
    <row r="16" spans="1:36" x14ac:dyDescent="0.25">
      <c r="A16" s="1" t="s">
        <v>66</v>
      </c>
      <c r="B16" s="1" t="s">
        <v>41</v>
      </c>
      <c r="C16" s="1">
        <v>2091.3110000000001</v>
      </c>
      <c r="D16" s="1">
        <v>1166.1600000000001</v>
      </c>
      <c r="E16" s="1">
        <v>1694.6130000000001</v>
      </c>
      <c r="F16" s="1">
        <v>1128.096</v>
      </c>
      <c r="G16" s="7">
        <v>1</v>
      </c>
      <c r="H16" s="1">
        <v>50</v>
      </c>
      <c r="I16" s="1" t="s">
        <v>42</v>
      </c>
      <c r="J16" s="1"/>
      <c r="K16" s="1">
        <v>1742.2</v>
      </c>
      <c r="L16" s="1">
        <f t="shared" si="2"/>
        <v>-47.586999999999989</v>
      </c>
      <c r="M16" s="1"/>
      <c r="N16" s="1"/>
      <c r="O16" s="1">
        <v>1430.3971919999999</v>
      </c>
      <c r="P16" s="1"/>
      <c r="Q16" s="1">
        <v>1100</v>
      </c>
      <c r="R16" s="1"/>
      <c r="S16" s="1">
        <f t="shared" si="3"/>
        <v>338.92259999999999</v>
      </c>
      <c r="T16" s="5">
        <f>12*S16-R16-Q16-P16-O16-F16</f>
        <v>408.57800799999995</v>
      </c>
      <c r="U16" s="5">
        <v>0</v>
      </c>
      <c r="V16" s="1">
        <f t="shared" si="4"/>
        <v>10.794479895999853</v>
      </c>
      <c r="W16" s="1">
        <f t="shared" si="5"/>
        <v>10.794479895999853</v>
      </c>
      <c r="X16" s="1">
        <v>312.99419999999998</v>
      </c>
      <c r="Y16" s="1">
        <v>340.73579999999998</v>
      </c>
      <c r="Z16" s="1">
        <v>301.46600000000001</v>
      </c>
      <c r="AA16" s="1">
        <v>223.81219999999999</v>
      </c>
      <c r="AB16" s="1">
        <v>225.41679999999999</v>
      </c>
      <c r="AC16" s="1">
        <v>363.58780000000002</v>
      </c>
      <c r="AD16" s="1">
        <v>414.27560000000011</v>
      </c>
      <c r="AE16" s="1">
        <v>403.12939999999998</v>
      </c>
      <c r="AF16" s="1">
        <v>368.91160000000002</v>
      </c>
      <c r="AG16" s="1">
        <v>333.24779999999998</v>
      </c>
      <c r="AH16" s="1"/>
      <c r="AI16" s="1">
        <f t="shared" si="6"/>
        <v>0</v>
      </c>
      <c r="AJ16" t="s">
        <v>67</v>
      </c>
    </row>
    <row r="17" spans="1:36" x14ac:dyDescent="0.25">
      <c r="A17" s="1" t="s">
        <v>68</v>
      </c>
      <c r="B17" s="1" t="s">
        <v>41</v>
      </c>
      <c r="C17" s="1">
        <v>96.784999999999997</v>
      </c>
      <c r="D17" s="1">
        <v>90.974999999999994</v>
      </c>
      <c r="E17" s="1">
        <v>43.295999999999999</v>
      </c>
      <c r="F17" s="1">
        <v>128.60599999999999</v>
      </c>
      <c r="G17" s="7">
        <v>1</v>
      </c>
      <c r="H17" s="1">
        <v>60</v>
      </c>
      <c r="I17" s="1" t="s">
        <v>42</v>
      </c>
      <c r="J17" s="1"/>
      <c r="K17" s="1">
        <v>46.4</v>
      </c>
      <c r="L17" s="1">
        <f t="shared" si="2"/>
        <v>-3.1039999999999992</v>
      </c>
      <c r="M17" s="1"/>
      <c r="N17" s="1"/>
      <c r="O17" s="1">
        <v>0</v>
      </c>
      <c r="P17" s="1"/>
      <c r="Q17" s="1"/>
      <c r="R17" s="1"/>
      <c r="S17" s="1">
        <f t="shared" si="3"/>
        <v>8.6592000000000002</v>
      </c>
      <c r="T17" s="5"/>
      <c r="U17" s="5">
        <f>T17</f>
        <v>0</v>
      </c>
      <c r="V17" s="1">
        <f t="shared" si="4"/>
        <v>14.851949371766445</v>
      </c>
      <c r="W17" s="1">
        <f t="shared" si="5"/>
        <v>14.851949371766445</v>
      </c>
      <c r="X17" s="1">
        <v>14.825799999999999</v>
      </c>
      <c r="Y17" s="1">
        <v>13.7936</v>
      </c>
      <c r="Z17" s="1">
        <v>9.2590000000000003</v>
      </c>
      <c r="AA17" s="1">
        <v>15.664400000000001</v>
      </c>
      <c r="AB17" s="1">
        <v>19.814599999999999</v>
      </c>
      <c r="AC17" s="1">
        <v>17.560199999999998</v>
      </c>
      <c r="AD17" s="1">
        <v>20.452200000000001</v>
      </c>
      <c r="AE17" s="1">
        <v>22.732399999999998</v>
      </c>
      <c r="AF17" s="1">
        <v>16.6022</v>
      </c>
      <c r="AG17" s="1">
        <v>18.7286</v>
      </c>
      <c r="AH17" s="1"/>
      <c r="AI17" s="1">
        <f t="shared" si="6"/>
        <v>0</v>
      </c>
      <c r="AJ17" t="s">
        <v>69</v>
      </c>
    </row>
    <row r="18" spans="1:36" x14ac:dyDescent="0.25">
      <c r="A18" s="1" t="s">
        <v>70</v>
      </c>
      <c r="B18" s="1" t="s">
        <v>41</v>
      </c>
      <c r="C18" s="1">
        <v>53.588000000000001</v>
      </c>
      <c r="D18" s="1">
        <v>0.89500000000000002</v>
      </c>
      <c r="E18" s="1">
        <v>23.07</v>
      </c>
      <c r="F18" s="1">
        <v>21.974</v>
      </c>
      <c r="G18" s="7">
        <v>1</v>
      </c>
      <c r="H18" s="1">
        <v>60</v>
      </c>
      <c r="I18" s="1" t="s">
        <v>42</v>
      </c>
      <c r="J18" s="1"/>
      <c r="K18" s="1">
        <v>21.1</v>
      </c>
      <c r="L18" s="1">
        <f t="shared" si="2"/>
        <v>1.9699999999999989</v>
      </c>
      <c r="M18" s="1"/>
      <c r="N18" s="1"/>
      <c r="O18" s="1">
        <v>71.01100000000001</v>
      </c>
      <c r="P18" s="1"/>
      <c r="Q18" s="1"/>
      <c r="R18" s="1"/>
      <c r="S18" s="1">
        <f t="shared" si="3"/>
        <v>4.6139999999999999</v>
      </c>
      <c r="T18" s="5"/>
      <c r="U18" s="5">
        <f>T18</f>
        <v>0</v>
      </c>
      <c r="V18" s="1">
        <f t="shared" si="4"/>
        <v>20.152795838751629</v>
      </c>
      <c r="W18" s="1">
        <f t="shared" si="5"/>
        <v>20.152795838751629</v>
      </c>
      <c r="X18" s="1">
        <v>9.6975999999999996</v>
      </c>
      <c r="Y18" s="1">
        <v>9.870000000000001</v>
      </c>
      <c r="Z18" s="1">
        <v>4.0758000000000001</v>
      </c>
      <c r="AA18" s="1">
        <v>5.8464</v>
      </c>
      <c r="AB18" s="1">
        <v>11.7798</v>
      </c>
      <c r="AC18" s="1">
        <v>9.9963999999999995</v>
      </c>
      <c r="AD18" s="1">
        <v>9.1463999999999999</v>
      </c>
      <c r="AE18" s="1">
        <v>10.711600000000001</v>
      </c>
      <c r="AF18" s="1">
        <v>10.7</v>
      </c>
      <c r="AG18" s="1">
        <v>9.6920000000000002</v>
      </c>
      <c r="AH18" s="1"/>
      <c r="AI18" s="1">
        <f t="shared" si="6"/>
        <v>0</v>
      </c>
      <c r="AJ18" t="s">
        <v>71</v>
      </c>
    </row>
    <row r="19" spans="1:36" x14ac:dyDescent="0.25">
      <c r="A19" s="1" t="s">
        <v>72</v>
      </c>
      <c r="B19" s="1" t="s">
        <v>41</v>
      </c>
      <c r="C19" s="1">
        <v>9.1460000000000008</v>
      </c>
      <c r="D19" s="1">
        <v>28.395</v>
      </c>
      <c r="E19" s="1">
        <v>23.475999999999999</v>
      </c>
      <c r="F19" s="1">
        <v>4.1020000000000003</v>
      </c>
      <c r="G19" s="7">
        <v>1</v>
      </c>
      <c r="H19" s="1">
        <v>180</v>
      </c>
      <c r="I19" s="1" t="s">
        <v>42</v>
      </c>
      <c r="J19" s="1"/>
      <c r="K19" s="1">
        <v>46.02</v>
      </c>
      <c r="L19" s="1">
        <f t="shared" si="2"/>
        <v>-22.544000000000004</v>
      </c>
      <c r="M19" s="1"/>
      <c r="N19" s="1"/>
      <c r="O19" s="1">
        <v>30.536599999999989</v>
      </c>
      <c r="P19" s="1"/>
      <c r="Q19" s="1"/>
      <c r="R19" s="1"/>
      <c r="S19" s="1">
        <f t="shared" si="3"/>
        <v>4.6951999999999998</v>
      </c>
      <c r="T19" s="5">
        <f t="shared" ref="T19:T24" si="7">12*S19-R19-Q19-P19-O19-F19</f>
        <v>21.703800000000008</v>
      </c>
      <c r="U19" s="5">
        <f>T19</f>
        <v>21.703800000000008</v>
      </c>
      <c r="V19" s="1">
        <f t="shared" si="4"/>
        <v>12</v>
      </c>
      <c r="W19" s="1">
        <f t="shared" si="5"/>
        <v>7.3774493099335476</v>
      </c>
      <c r="X19" s="1">
        <v>3.7277999999999998</v>
      </c>
      <c r="Y19" s="1">
        <v>4.875</v>
      </c>
      <c r="Z19" s="1">
        <v>3.3774000000000002</v>
      </c>
      <c r="AA19" s="1">
        <v>2.6214</v>
      </c>
      <c r="AB19" s="1">
        <v>3.2532000000000001</v>
      </c>
      <c r="AC19" s="1">
        <v>2.9756</v>
      </c>
      <c r="AD19" s="1">
        <v>3.4765999999999999</v>
      </c>
      <c r="AE19" s="1">
        <v>3.2033999999999998</v>
      </c>
      <c r="AF19" s="1">
        <v>2.6796000000000002</v>
      </c>
      <c r="AG19" s="1">
        <v>5.3262</v>
      </c>
      <c r="AH19" s="1"/>
      <c r="AI19" s="1">
        <f t="shared" si="6"/>
        <v>22</v>
      </c>
      <c r="AJ19" t="s">
        <v>73</v>
      </c>
    </row>
    <row r="20" spans="1:36" x14ac:dyDescent="0.25">
      <c r="A20" s="1" t="s">
        <v>74</v>
      </c>
      <c r="B20" s="1" t="s">
        <v>41</v>
      </c>
      <c r="C20" s="1">
        <v>311.50700000000001</v>
      </c>
      <c r="D20" s="1">
        <v>624.23400000000004</v>
      </c>
      <c r="E20" s="1">
        <v>375.05399999999997</v>
      </c>
      <c r="F20" s="1">
        <v>483.98899999999998</v>
      </c>
      <c r="G20" s="7">
        <v>1</v>
      </c>
      <c r="H20" s="1">
        <v>60</v>
      </c>
      <c r="I20" s="1" t="s">
        <v>42</v>
      </c>
      <c r="J20" s="1"/>
      <c r="K20" s="1">
        <v>345.42</v>
      </c>
      <c r="L20" s="1">
        <f t="shared" si="2"/>
        <v>29.633999999999958</v>
      </c>
      <c r="M20" s="1"/>
      <c r="N20" s="1"/>
      <c r="O20" s="1">
        <v>95.781790000000285</v>
      </c>
      <c r="P20" s="1"/>
      <c r="Q20" s="1"/>
      <c r="R20" s="1"/>
      <c r="S20" s="1">
        <f t="shared" si="3"/>
        <v>75.010799999999989</v>
      </c>
      <c r="T20" s="5">
        <f t="shared" si="7"/>
        <v>320.35880999999955</v>
      </c>
      <c r="U20" s="5">
        <f>T20+$U$1*S20</f>
        <v>228.09552599999955</v>
      </c>
      <c r="V20" s="1">
        <f t="shared" si="4"/>
        <v>10.77</v>
      </c>
      <c r="W20" s="1">
        <f t="shared" si="5"/>
        <v>7.7291642003551537</v>
      </c>
      <c r="X20" s="1">
        <v>77.209599999999995</v>
      </c>
      <c r="Y20" s="1">
        <v>79.551599999999993</v>
      </c>
      <c r="Z20" s="1">
        <v>73.747199999999992</v>
      </c>
      <c r="AA20" s="1">
        <v>84.715599999999995</v>
      </c>
      <c r="AB20" s="1">
        <v>89.979399999999998</v>
      </c>
      <c r="AC20" s="1">
        <v>85.64500000000001</v>
      </c>
      <c r="AD20" s="1">
        <v>82.814400000000006</v>
      </c>
      <c r="AE20" s="1">
        <v>99.254800000000003</v>
      </c>
      <c r="AF20" s="1">
        <v>109.6948</v>
      </c>
      <c r="AG20" s="1">
        <v>108.2616</v>
      </c>
      <c r="AH20" s="1"/>
      <c r="AI20" s="1">
        <f t="shared" si="6"/>
        <v>228</v>
      </c>
      <c r="AJ20" t="s">
        <v>75</v>
      </c>
    </row>
    <row r="21" spans="1:36" x14ac:dyDescent="0.25">
      <c r="A21" s="1" t="s">
        <v>76</v>
      </c>
      <c r="B21" s="1" t="s">
        <v>41</v>
      </c>
      <c r="C21" s="1">
        <v>219.255</v>
      </c>
      <c r="D21" s="1">
        <v>7.9619999999999997</v>
      </c>
      <c r="E21" s="1">
        <v>77.201999999999998</v>
      </c>
      <c r="F21" s="1">
        <v>128.387</v>
      </c>
      <c r="G21" s="7">
        <v>1</v>
      </c>
      <c r="H21" s="1">
        <v>70</v>
      </c>
      <c r="I21" s="1" t="s">
        <v>42</v>
      </c>
      <c r="J21" s="1"/>
      <c r="K21" s="1">
        <v>74.599999999999994</v>
      </c>
      <c r="L21" s="1">
        <f t="shared" si="2"/>
        <v>2.6020000000000039</v>
      </c>
      <c r="M21" s="1"/>
      <c r="N21" s="1"/>
      <c r="O21" s="1">
        <v>44.206999999999972</v>
      </c>
      <c r="P21" s="1"/>
      <c r="Q21" s="1"/>
      <c r="R21" s="1"/>
      <c r="S21" s="1">
        <f t="shared" si="3"/>
        <v>15.4404</v>
      </c>
      <c r="T21" s="5">
        <f t="shared" si="7"/>
        <v>12.690800000000053</v>
      </c>
      <c r="U21" s="5">
        <f>T21</f>
        <v>12.690800000000053</v>
      </c>
      <c r="V21" s="1">
        <f t="shared" si="4"/>
        <v>12.000000000000002</v>
      </c>
      <c r="W21" s="1">
        <f t="shared" si="5"/>
        <v>11.178078288127248</v>
      </c>
      <c r="X21" s="1">
        <v>13</v>
      </c>
      <c r="Y21" s="1">
        <v>21.806999999999999</v>
      </c>
      <c r="Z21" s="1">
        <v>21.227</v>
      </c>
      <c r="AA21" s="1">
        <v>14.3834</v>
      </c>
      <c r="AB21" s="1">
        <v>19.766999999999999</v>
      </c>
      <c r="AC21" s="1">
        <v>31.105599999999999</v>
      </c>
      <c r="AD21" s="1">
        <v>31.758400000000002</v>
      </c>
      <c r="AE21" s="1">
        <v>22.8048</v>
      </c>
      <c r="AF21" s="1">
        <v>16.5824</v>
      </c>
      <c r="AG21" s="1">
        <v>21.981400000000001</v>
      </c>
      <c r="AH21" s="1"/>
      <c r="AI21" s="1">
        <f t="shared" si="6"/>
        <v>13</v>
      </c>
      <c r="AJ21" t="s">
        <v>77</v>
      </c>
    </row>
    <row r="22" spans="1:36" x14ac:dyDescent="0.25">
      <c r="A22" s="1" t="s">
        <v>78</v>
      </c>
      <c r="B22" s="1" t="s">
        <v>41</v>
      </c>
      <c r="C22" s="1">
        <v>142.441</v>
      </c>
      <c r="D22" s="1">
        <v>254.755</v>
      </c>
      <c r="E22" s="1">
        <v>218.49600000000001</v>
      </c>
      <c r="F22" s="1">
        <v>154.06800000000001</v>
      </c>
      <c r="G22" s="7">
        <v>1</v>
      </c>
      <c r="H22" s="1">
        <v>70</v>
      </c>
      <c r="I22" s="1" t="s">
        <v>42</v>
      </c>
      <c r="J22" s="1"/>
      <c r="K22" s="1">
        <v>204.98</v>
      </c>
      <c r="L22" s="1">
        <f t="shared" si="2"/>
        <v>13.51600000000002</v>
      </c>
      <c r="M22" s="1"/>
      <c r="N22" s="1"/>
      <c r="O22" s="1">
        <v>144.06731199999999</v>
      </c>
      <c r="P22" s="1"/>
      <c r="Q22" s="1"/>
      <c r="R22" s="1"/>
      <c r="S22" s="1">
        <f t="shared" si="3"/>
        <v>43.699200000000005</v>
      </c>
      <c r="T22" s="5">
        <f t="shared" si="7"/>
        <v>226.25508799999997</v>
      </c>
      <c r="U22" s="5">
        <f>T22+$U$1*S22</f>
        <v>172.50507199999998</v>
      </c>
      <c r="V22" s="1">
        <f t="shared" si="4"/>
        <v>10.769999999999998</v>
      </c>
      <c r="W22" s="1">
        <f t="shared" si="5"/>
        <v>6.8224432483889856</v>
      </c>
      <c r="X22" s="1">
        <v>38.575599999999987</v>
      </c>
      <c r="Y22" s="1">
        <v>44.986800000000002</v>
      </c>
      <c r="Z22" s="1">
        <v>38.965000000000003</v>
      </c>
      <c r="AA22" s="1">
        <v>37.324399999999997</v>
      </c>
      <c r="AB22" s="1">
        <v>42.604799999999997</v>
      </c>
      <c r="AC22" s="1">
        <v>42.156199999999998</v>
      </c>
      <c r="AD22" s="1">
        <v>46.545400000000001</v>
      </c>
      <c r="AE22" s="1">
        <v>57.740400000000001</v>
      </c>
      <c r="AF22" s="1">
        <v>61.052200000000013</v>
      </c>
      <c r="AG22" s="1">
        <v>53.941800000000001</v>
      </c>
      <c r="AH22" s="1"/>
      <c r="AI22" s="1">
        <f t="shared" si="6"/>
        <v>173</v>
      </c>
      <c r="AJ22" t="s">
        <v>79</v>
      </c>
    </row>
    <row r="23" spans="1:36" x14ac:dyDescent="0.25">
      <c r="A23" s="1" t="s">
        <v>80</v>
      </c>
      <c r="B23" s="1" t="s">
        <v>41</v>
      </c>
      <c r="C23" s="1">
        <v>-0.33200000000000002</v>
      </c>
      <c r="D23" s="1">
        <v>40.128</v>
      </c>
      <c r="E23" s="1">
        <v>20.495999999999999</v>
      </c>
      <c r="F23" s="1">
        <v>8.5530000000000008</v>
      </c>
      <c r="G23" s="7">
        <v>1</v>
      </c>
      <c r="H23" s="1">
        <v>180</v>
      </c>
      <c r="I23" s="1" t="s">
        <v>42</v>
      </c>
      <c r="J23" s="1"/>
      <c r="K23" s="1">
        <v>19.97</v>
      </c>
      <c r="L23" s="1">
        <f t="shared" si="2"/>
        <v>0.5259999999999998</v>
      </c>
      <c r="M23" s="1"/>
      <c r="N23" s="1"/>
      <c r="O23" s="1">
        <v>17.873000000000001</v>
      </c>
      <c r="P23" s="1"/>
      <c r="Q23" s="1"/>
      <c r="R23" s="1"/>
      <c r="S23" s="1">
        <f t="shared" si="3"/>
        <v>4.0991999999999997</v>
      </c>
      <c r="T23" s="5">
        <f t="shared" si="7"/>
        <v>22.764399999999995</v>
      </c>
      <c r="U23" s="5">
        <f>T23</f>
        <v>22.764399999999995</v>
      </c>
      <c r="V23" s="1">
        <f t="shared" si="4"/>
        <v>12</v>
      </c>
      <c r="W23" s="1">
        <f t="shared" si="5"/>
        <v>6.4466237314597983</v>
      </c>
      <c r="X23" s="1">
        <v>1.9630000000000001</v>
      </c>
      <c r="Y23" s="1">
        <v>4.3348000000000004</v>
      </c>
      <c r="Z23" s="1">
        <v>3.0522</v>
      </c>
      <c r="AA23" s="1">
        <v>3.3224</v>
      </c>
      <c r="AB23" s="1">
        <v>4.6915999999999993</v>
      </c>
      <c r="AC23" s="1">
        <v>3.9258000000000002</v>
      </c>
      <c r="AD23" s="1">
        <v>4.0861999999999998</v>
      </c>
      <c r="AE23" s="1">
        <v>3.0114000000000001</v>
      </c>
      <c r="AF23" s="1">
        <v>1.6878</v>
      </c>
      <c r="AG23" s="1">
        <v>2.2938000000000001</v>
      </c>
      <c r="AH23" s="1"/>
      <c r="AI23" s="1">
        <f t="shared" si="6"/>
        <v>23</v>
      </c>
      <c r="AJ23" t="s">
        <v>81</v>
      </c>
    </row>
    <row r="24" spans="1:36" x14ac:dyDescent="0.25">
      <c r="A24" s="1" t="s">
        <v>82</v>
      </c>
      <c r="B24" s="1" t="s">
        <v>41</v>
      </c>
      <c r="C24" s="1">
        <v>291.67599999999999</v>
      </c>
      <c r="D24" s="1">
        <v>61.252000000000002</v>
      </c>
      <c r="E24" s="1">
        <v>195.77199999999999</v>
      </c>
      <c r="F24" s="1">
        <v>128.607</v>
      </c>
      <c r="G24" s="7">
        <v>1</v>
      </c>
      <c r="H24" s="1">
        <v>70</v>
      </c>
      <c r="I24" s="1" t="s">
        <v>42</v>
      </c>
      <c r="J24" s="1"/>
      <c r="K24" s="1">
        <v>179.94</v>
      </c>
      <c r="L24" s="1">
        <f t="shared" si="2"/>
        <v>15.831999999999994</v>
      </c>
      <c r="M24" s="1"/>
      <c r="N24" s="1"/>
      <c r="O24" s="1">
        <v>145.50750800000009</v>
      </c>
      <c r="P24" s="1"/>
      <c r="Q24" s="1"/>
      <c r="R24" s="1"/>
      <c r="S24" s="1">
        <f t="shared" si="3"/>
        <v>39.154399999999995</v>
      </c>
      <c r="T24" s="5">
        <f t="shared" si="7"/>
        <v>195.73829199999986</v>
      </c>
      <c r="U24" s="5">
        <f>T24+$U$1*S24</f>
        <v>147.57837999999987</v>
      </c>
      <c r="V24" s="1">
        <f t="shared" si="4"/>
        <v>10.770000000000001</v>
      </c>
      <c r="W24" s="1">
        <f t="shared" si="5"/>
        <v>7.000860899413607</v>
      </c>
      <c r="X24" s="1">
        <v>36.545400000000001</v>
      </c>
      <c r="Y24" s="1">
        <v>37.086200000000012</v>
      </c>
      <c r="Z24" s="1">
        <v>30.3794</v>
      </c>
      <c r="AA24" s="1">
        <v>37.165799999999997</v>
      </c>
      <c r="AB24" s="1">
        <v>46.671199999999999</v>
      </c>
      <c r="AC24" s="1">
        <v>51.576599999999999</v>
      </c>
      <c r="AD24" s="1">
        <v>50.810199999999988</v>
      </c>
      <c r="AE24" s="1">
        <v>51.419199999999996</v>
      </c>
      <c r="AF24" s="1">
        <v>53.342599999999997</v>
      </c>
      <c r="AG24" s="1">
        <v>51.205800000000004</v>
      </c>
      <c r="AH24" s="1"/>
      <c r="AI24" s="1">
        <f t="shared" si="6"/>
        <v>148</v>
      </c>
      <c r="AJ24" t="s">
        <v>83</v>
      </c>
    </row>
    <row r="25" spans="1:36" x14ac:dyDescent="0.25">
      <c r="A25" s="9" t="s">
        <v>84</v>
      </c>
      <c r="B25" s="9" t="s">
        <v>41</v>
      </c>
      <c r="C25" s="9">
        <v>1.0980000000000001</v>
      </c>
      <c r="D25" s="9"/>
      <c r="E25" s="9">
        <v>-1.411</v>
      </c>
      <c r="F25" s="9">
        <v>0.39800000000000002</v>
      </c>
      <c r="G25" s="10">
        <v>0</v>
      </c>
      <c r="H25" s="9">
        <v>35</v>
      </c>
      <c r="I25" s="9" t="s">
        <v>85</v>
      </c>
      <c r="J25" s="9"/>
      <c r="K25" s="9">
        <v>8.1999999999999993</v>
      </c>
      <c r="L25" s="9">
        <f t="shared" si="2"/>
        <v>-9.6109999999999989</v>
      </c>
      <c r="M25" s="9"/>
      <c r="N25" s="9"/>
      <c r="O25" s="9">
        <v>0</v>
      </c>
      <c r="P25" s="9"/>
      <c r="Q25" s="9"/>
      <c r="R25" s="9"/>
      <c r="S25" s="9">
        <f t="shared" si="3"/>
        <v>-0.28220000000000001</v>
      </c>
      <c r="T25" s="11"/>
      <c r="U25" s="5">
        <f>T25</f>
        <v>0</v>
      </c>
      <c r="V25" s="1">
        <f t="shared" si="4"/>
        <v>-1.410347271438696</v>
      </c>
      <c r="W25" s="9">
        <f t="shared" si="5"/>
        <v>-1.410347271438696</v>
      </c>
      <c r="X25" s="9">
        <v>-0.14000000000000001</v>
      </c>
      <c r="Y25" s="9">
        <v>-0.14000000000000001</v>
      </c>
      <c r="Z25" s="9">
        <v>0</v>
      </c>
      <c r="AA25" s="9">
        <v>4.6292</v>
      </c>
      <c r="AB25" s="9">
        <v>6.452</v>
      </c>
      <c r="AC25" s="9">
        <v>6.3102</v>
      </c>
      <c r="AD25" s="9">
        <v>5.6124000000000001</v>
      </c>
      <c r="AE25" s="9">
        <v>3.0931999999999999</v>
      </c>
      <c r="AF25" s="9">
        <v>2.9478</v>
      </c>
      <c r="AG25" s="9">
        <v>4.7827999999999999</v>
      </c>
      <c r="AH25" s="9"/>
      <c r="AI25" s="1">
        <f t="shared" si="6"/>
        <v>0</v>
      </c>
      <c r="AJ25" t="s">
        <v>86</v>
      </c>
    </row>
    <row r="26" spans="1:36" x14ac:dyDescent="0.25">
      <c r="A26" s="9" t="s">
        <v>87</v>
      </c>
      <c r="B26" s="9" t="s">
        <v>41</v>
      </c>
      <c r="C26" s="9"/>
      <c r="D26" s="9"/>
      <c r="E26" s="9"/>
      <c r="F26" s="9"/>
      <c r="G26" s="10">
        <v>0</v>
      </c>
      <c r="H26" s="9"/>
      <c r="I26" s="9" t="s">
        <v>42</v>
      </c>
      <c r="J26" s="9"/>
      <c r="K26" s="9"/>
      <c r="L26" s="9">
        <f t="shared" si="2"/>
        <v>0</v>
      </c>
      <c r="M26" s="9"/>
      <c r="N26" s="9"/>
      <c r="O26" s="9">
        <v>0</v>
      </c>
      <c r="P26" s="9"/>
      <c r="Q26" s="9"/>
      <c r="R26" s="9"/>
      <c r="S26" s="9">
        <f t="shared" si="3"/>
        <v>0</v>
      </c>
      <c r="T26" s="11"/>
      <c r="U26" s="5">
        <f>T26</f>
        <v>0</v>
      </c>
      <c r="V26" s="1" t="e">
        <f t="shared" si="4"/>
        <v>#DIV/0!</v>
      </c>
      <c r="W26" s="9" t="e">
        <f t="shared" si="5"/>
        <v>#DIV/0!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 t="s">
        <v>57</v>
      </c>
      <c r="AI26" s="1">
        <f t="shared" si="6"/>
        <v>0</v>
      </c>
      <c r="AJ26" t="s">
        <v>88</v>
      </c>
    </row>
    <row r="27" spans="1:36" x14ac:dyDescent="0.25">
      <c r="A27" s="1" t="s">
        <v>89</v>
      </c>
      <c r="B27" s="1" t="s">
        <v>41</v>
      </c>
      <c r="C27" s="1">
        <v>21.824000000000002</v>
      </c>
      <c r="D27" s="1">
        <v>325.72000000000003</v>
      </c>
      <c r="E27" s="1">
        <v>208.41</v>
      </c>
      <c r="F27" s="1">
        <v>69.340999999999994</v>
      </c>
      <c r="G27" s="7">
        <v>1</v>
      </c>
      <c r="H27" s="1">
        <v>30</v>
      </c>
      <c r="I27" s="1" t="s">
        <v>42</v>
      </c>
      <c r="J27" s="1"/>
      <c r="K27" s="1">
        <v>254.9</v>
      </c>
      <c r="L27" s="1">
        <f t="shared" si="2"/>
        <v>-46.490000000000009</v>
      </c>
      <c r="M27" s="1"/>
      <c r="N27" s="1"/>
      <c r="O27" s="1">
        <v>317.1260239999998</v>
      </c>
      <c r="P27" s="1"/>
      <c r="Q27" s="1"/>
      <c r="R27" s="1"/>
      <c r="S27" s="1">
        <f t="shared" si="3"/>
        <v>41.682000000000002</v>
      </c>
      <c r="T27" s="5">
        <f>12*S27-R27-Q27-P27-O27-F27</f>
        <v>113.71697600000023</v>
      </c>
      <c r="U27" s="5">
        <f>T27+$U$1*S27</f>
        <v>62.448116000000226</v>
      </c>
      <c r="V27" s="1">
        <f t="shared" si="4"/>
        <v>10.770000000000001</v>
      </c>
      <c r="W27" s="1">
        <f t="shared" si="5"/>
        <v>9.2717965548678034</v>
      </c>
      <c r="X27" s="1">
        <v>45.629399999999997</v>
      </c>
      <c r="Y27" s="1">
        <v>54.0336</v>
      </c>
      <c r="Z27" s="1">
        <v>33.3504</v>
      </c>
      <c r="AA27" s="1">
        <v>39.0062</v>
      </c>
      <c r="AB27" s="1">
        <v>53.301000000000002</v>
      </c>
      <c r="AC27" s="1">
        <v>46.706800000000001</v>
      </c>
      <c r="AD27" s="1">
        <v>23.161200000000001</v>
      </c>
      <c r="AE27" s="1">
        <v>34.602600000000002</v>
      </c>
      <c r="AF27" s="1">
        <v>39.710599999999999</v>
      </c>
      <c r="AG27" s="1">
        <v>34.586599999999997</v>
      </c>
      <c r="AH27" s="1"/>
      <c r="AI27" s="1">
        <f t="shared" si="6"/>
        <v>62</v>
      </c>
      <c r="AJ27" t="s">
        <v>90</v>
      </c>
    </row>
    <row r="28" spans="1:36" x14ac:dyDescent="0.25">
      <c r="A28" s="1" t="s">
        <v>91</v>
      </c>
      <c r="B28" s="1" t="s">
        <v>41</v>
      </c>
      <c r="C28" s="1">
        <v>5.2210000000000001</v>
      </c>
      <c r="D28" s="1"/>
      <c r="E28" s="1">
        <v>1.5189999999999999</v>
      </c>
      <c r="F28" s="1">
        <v>3.702</v>
      </c>
      <c r="G28" s="7">
        <v>1</v>
      </c>
      <c r="H28" s="1">
        <v>40</v>
      </c>
      <c r="I28" s="12" t="s">
        <v>60</v>
      </c>
      <c r="J28" s="1"/>
      <c r="K28" s="1">
        <v>104.6</v>
      </c>
      <c r="L28" s="1">
        <f t="shared" si="2"/>
        <v>-103.08099999999999</v>
      </c>
      <c r="M28" s="1"/>
      <c r="N28" s="1"/>
      <c r="O28" s="1">
        <v>120</v>
      </c>
      <c r="P28" s="1">
        <v>-126</v>
      </c>
      <c r="Q28" s="1"/>
      <c r="R28" s="1"/>
      <c r="S28" s="1">
        <f t="shared" si="3"/>
        <v>0.30379999999999996</v>
      </c>
      <c r="T28" s="5">
        <v>120</v>
      </c>
      <c r="U28" s="5">
        <f>T28*0.45</f>
        <v>54</v>
      </c>
      <c r="V28" s="1">
        <f t="shared" si="4"/>
        <v>170.18433179723505</v>
      </c>
      <c r="W28" s="1">
        <f t="shared" si="5"/>
        <v>-7.5641869651086315</v>
      </c>
      <c r="X28" s="1">
        <v>-2.1000000000000001E-2</v>
      </c>
      <c r="Y28" s="1">
        <v>0.1164</v>
      </c>
      <c r="Z28" s="1">
        <v>1.6801999999999999</v>
      </c>
      <c r="AA28" s="1">
        <v>37.1038</v>
      </c>
      <c r="AB28" s="1">
        <v>73.638800000000003</v>
      </c>
      <c r="AC28" s="1">
        <v>62.238599999999998</v>
      </c>
      <c r="AD28" s="1">
        <v>32.152799999999999</v>
      </c>
      <c r="AE28" s="1">
        <v>66.114800000000002</v>
      </c>
      <c r="AF28" s="1">
        <v>89.90979999999999</v>
      </c>
      <c r="AG28" s="1">
        <v>73.314800000000005</v>
      </c>
      <c r="AH28" s="1"/>
      <c r="AI28" s="1">
        <f t="shared" si="6"/>
        <v>54</v>
      </c>
      <c r="AJ28" t="s">
        <v>92</v>
      </c>
    </row>
    <row r="29" spans="1:36" x14ac:dyDescent="0.25">
      <c r="A29" s="1" t="s">
        <v>93</v>
      </c>
      <c r="B29" s="1" t="s">
        <v>41</v>
      </c>
      <c r="C29" s="1">
        <v>-0.41</v>
      </c>
      <c r="D29" s="1">
        <v>399.87599999999998</v>
      </c>
      <c r="E29" s="1">
        <v>331.26600000000002</v>
      </c>
      <c r="F29" s="1">
        <v>22.966000000000001</v>
      </c>
      <c r="G29" s="7">
        <v>1</v>
      </c>
      <c r="H29" s="1">
        <v>30</v>
      </c>
      <c r="I29" s="12" t="s">
        <v>60</v>
      </c>
      <c r="J29" s="1"/>
      <c r="K29" s="1">
        <v>318.85000000000002</v>
      </c>
      <c r="L29" s="1">
        <f t="shared" si="2"/>
        <v>12.415999999999997</v>
      </c>
      <c r="M29" s="1"/>
      <c r="N29" s="1"/>
      <c r="O29" s="1">
        <v>200</v>
      </c>
      <c r="P29" s="1"/>
      <c r="Q29" s="1"/>
      <c r="R29" s="1"/>
      <c r="S29" s="1">
        <f t="shared" si="3"/>
        <v>66.253200000000007</v>
      </c>
      <c r="T29" s="5">
        <v>400</v>
      </c>
      <c r="U29" s="5">
        <f>T29*0.45</f>
        <v>180</v>
      </c>
      <c r="V29" s="1">
        <f t="shared" si="4"/>
        <v>6.0822118780677759</v>
      </c>
      <c r="W29" s="1">
        <f t="shared" si="5"/>
        <v>3.365361974968756</v>
      </c>
      <c r="X29" s="1">
        <v>2.3946000000000001</v>
      </c>
      <c r="Y29" s="1">
        <v>-0.96219999999999994</v>
      </c>
      <c r="Z29" s="1">
        <v>10.6404</v>
      </c>
      <c r="AA29" s="1">
        <v>28.9634</v>
      </c>
      <c r="AB29" s="1">
        <v>20.459</v>
      </c>
      <c r="AC29" s="1">
        <v>-1.2302</v>
      </c>
      <c r="AD29" s="1">
        <v>10.5242</v>
      </c>
      <c r="AE29" s="1">
        <v>51.875800000000012</v>
      </c>
      <c r="AF29" s="1">
        <v>106.5702</v>
      </c>
      <c r="AG29" s="1">
        <v>91.686000000000007</v>
      </c>
      <c r="AH29" s="1"/>
      <c r="AI29" s="1">
        <f t="shared" si="6"/>
        <v>180</v>
      </c>
      <c r="AJ29" t="s">
        <v>94</v>
      </c>
    </row>
    <row r="30" spans="1:36" x14ac:dyDescent="0.25">
      <c r="A30" s="1" t="s">
        <v>95</v>
      </c>
      <c r="B30" s="1" t="s">
        <v>41</v>
      </c>
      <c r="C30" s="1">
        <v>-6.8019999999999996</v>
      </c>
      <c r="D30" s="1">
        <v>479.43799999999999</v>
      </c>
      <c r="E30" s="1">
        <v>456.56400000000002</v>
      </c>
      <c r="F30" s="1">
        <v>4.2119999999999997</v>
      </c>
      <c r="G30" s="7">
        <v>1</v>
      </c>
      <c r="H30" s="1">
        <v>40</v>
      </c>
      <c r="I30" s="12" t="s">
        <v>60</v>
      </c>
      <c r="J30" s="1"/>
      <c r="K30" s="1">
        <v>514.95000000000005</v>
      </c>
      <c r="L30" s="1">
        <f t="shared" si="2"/>
        <v>-58.386000000000024</v>
      </c>
      <c r="M30" s="1"/>
      <c r="N30" s="1"/>
      <c r="O30" s="1">
        <v>400</v>
      </c>
      <c r="P30" s="1">
        <v>-405</v>
      </c>
      <c r="Q30" s="1"/>
      <c r="R30" s="1"/>
      <c r="S30" s="1">
        <f t="shared" si="3"/>
        <v>91.31280000000001</v>
      </c>
      <c r="T30" s="5">
        <v>400</v>
      </c>
      <c r="U30" s="5">
        <f>T30*0.45</f>
        <v>180</v>
      </c>
      <c r="V30" s="1">
        <f t="shared" si="4"/>
        <v>1.9626164130330026</v>
      </c>
      <c r="W30" s="1">
        <f t="shared" si="5"/>
        <v>-8.6296773289178605E-3</v>
      </c>
      <c r="X30" s="1">
        <v>5.6337999999999999</v>
      </c>
      <c r="Y30" s="1">
        <v>-0.54759999999999998</v>
      </c>
      <c r="Z30" s="1">
        <v>-0.10059999999999999</v>
      </c>
      <c r="AA30" s="1">
        <v>-0.82639999999999991</v>
      </c>
      <c r="AB30" s="1">
        <v>0.14080000000000001</v>
      </c>
      <c r="AC30" s="1">
        <v>2.6922000000000001</v>
      </c>
      <c r="AD30" s="1">
        <v>93.157600000000002</v>
      </c>
      <c r="AE30" s="1">
        <v>186.66319999999999</v>
      </c>
      <c r="AF30" s="1">
        <v>177.22620000000001</v>
      </c>
      <c r="AG30" s="1">
        <v>205.678</v>
      </c>
      <c r="AH30" s="1"/>
      <c r="AI30" s="1">
        <f t="shared" si="6"/>
        <v>180</v>
      </c>
      <c r="AJ30" t="s">
        <v>96</v>
      </c>
    </row>
    <row r="31" spans="1:36" x14ac:dyDescent="0.25">
      <c r="A31" s="1" t="s">
        <v>97</v>
      </c>
      <c r="B31" s="1" t="s">
        <v>41</v>
      </c>
      <c r="C31" s="1">
        <v>1.4E-2</v>
      </c>
      <c r="D31" s="1">
        <v>28.244</v>
      </c>
      <c r="E31" s="1">
        <v>10.901999999999999</v>
      </c>
      <c r="F31" s="1">
        <v>8.0779999999999994</v>
      </c>
      <c r="G31" s="7">
        <v>1</v>
      </c>
      <c r="H31" s="1">
        <v>40</v>
      </c>
      <c r="I31" s="12" t="s">
        <v>60</v>
      </c>
      <c r="J31" s="1"/>
      <c r="K31" s="1">
        <v>9.4</v>
      </c>
      <c r="L31" s="1">
        <f t="shared" si="2"/>
        <v>1.5019999999999989</v>
      </c>
      <c r="M31" s="1"/>
      <c r="N31" s="1"/>
      <c r="O31" s="1">
        <v>10</v>
      </c>
      <c r="P31" s="1">
        <v>-18</v>
      </c>
      <c r="Q31" s="1"/>
      <c r="R31" s="1"/>
      <c r="S31" s="1">
        <f t="shared" si="3"/>
        <v>2.1803999999999997</v>
      </c>
      <c r="T31" s="5">
        <v>20</v>
      </c>
      <c r="U31" s="5">
        <f>T31*0.5</f>
        <v>10</v>
      </c>
      <c r="V31" s="1">
        <f t="shared" si="4"/>
        <v>4.6220876903320498</v>
      </c>
      <c r="W31" s="1">
        <f t="shared" si="5"/>
        <v>3.5773252614198961E-2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0.87280000000000002</v>
      </c>
      <c r="AF31" s="1">
        <v>8.621599999999999</v>
      </c>
      <c r="AG31" s="1">
        <v>7.7488000000000001</v>
      </c>
      <c r="AH31" s="1"/>
      <c r="AI31" s="1">
        <f t="shared" si="6"/>
        <v>10</v>
      </c>
      <c r="AJ31" t="s">
        <v>98</v>
      </c>
    </row>
    <row r="32" spans="1:36" x14ac:dyDescent="0.25">
      <c r="A32" s="1" t="s">
        <v>99</v>
      </c>
      <c r="B32" s="1" t="s">
        <v>41</v>
      </c>
      <c r="C32" s="1">
        <v>10.115</v>
      </c>
      <c r="D32" s="1">
        <v>114.39</v>
      </c>
      <c r="E32" s="1">
        <v>40.643999999999998</v>
      </c>
      <c r="F32" s="1">
        <v>48.728999999999999</v>
      </c>
      <c r="G32" s="7">
        <v>1</v>
      </c>
      <c r="H32" s="1">
        <v>30</v>
      </c>
      <c r="I32" s="1" t="s">
        <v>42</v>
      </c>
      <c r="J32" s="1"/>
      <c r="K32" s="1">
        <v>58.1</v>
      </c>
      <c r="L32" s="1">
        <f t="shared" si="2"/>
        <v>-17.456000000000003</v>
      </c>
      <c r="M32" s="1"/>
      <c r="N32" s="1"/>
      <c r="O32" s="1">
        <v>0</v>
      </c>
      <c r="P32" s="1"/>
      <c r="Q32" s="1"/>
      <c r="R32" s="1"/>
      <c r="S32" s="1">
        <f t="shared" si="3"/>
        <v>8.1288</v>
      </c>
      <c r="T32" s="5">
        <f>12*S32-R32-Q32-P32-O32-F32</f>
        <v>48.816600000000008</v>
      </c>
      <c r="U32" s="5">
        <f>T32</f>
        <v>48.816600000000008</v>
      </c>
      <c r="V32" s="1">
        <f t="shared" si="4"/>
        <v>12</v>
      </c>
      <c r="W32" s="1">
        <f t="shared" si="5"/>
        <v>5.9946117508119281</v>
      </c>
      <c r="X32" s="1">
        <v>0.57519999999999993</v>
      </c>
      <c r="Y32" s="1">
        <v>4.4287999999999998</v>
      </c>
      <c r="Z32" s="1">
        <v>9.4892000000000003</v>
      </c>
      <c r="AA32" s="1">
        <v>9.4754000000000005</v>
      </c>
      <c r="AB32" s="1">
        <v>3.5449999999999999</v>
      </c>
      <c r="AC32" s="1">
        <v>0</v>
      </c>
      <c r="AD32" s="1">
        <v>5.3902000000000001</v>
      </c>
      <c r="AE32" s="1">
        <v>10.913</v>
      </c>
      <c r="AF32" s="1">
        <v>11.9476</v>
      </c>
      <c r="AG32" s="1">
        <v>7.6019999999999994</v>
      </c>
      <c r="AH32" s="1"/>
      <c r="AI32" s="1">
        <f t="shared" si="6"/>
        <v>49</v>
      </c>
      <c r="AJ32" t="s">
        <v>100</v>
      </c>
    </row>
    <row r="33" spans="1:36" x14ac:dyDescent="0.25">
      <c r="A33" s="1" t="s">
        <v>101</v>
      </c>
      <c r="B33" s="1" t="s">
        <v>41</v>
      </c>
      <c r="C33" s="1">
        <v>120.788</v>
      </c>
      <c r="D33" s="1">
        <v>5.5209999999999999</v>
      </c>
      <c r="E33" s="1">
        <v>51.353999999999999</v>
      </c>
      <c r="F33" s="1">
        <v>61.228000000000002</v>
      </c>
      <c r="G33" s="7">
        <v>1</v>
      </c>
      <c r="H33" s="1">
        <v>50</v>
      </c>
      <c r="I33" s="1" t="s">
        <v>42</v>
      </c>
      <c r="J33" s="1"/>
      <c r="K33" s="1">
        <v>46.8</v>
      </c>
      <c r="L33" s="1">
        <f t="shared" si="2"/>
        <v>4.554000000000002</v>
      </c>
      <c r="M33" s="1"/>
      <c r="N33" s="1"/>
      <c r="O33" s="1">
        <v>51.8048</v>
      </c>
      <c r="P33" s="1"/>
      <c r="Q33" s="1"/>
      <c r="R33" s="1"/>
      <c r="S33" s="1">
        <f t="shared" si="3"/>
        <v>10.270799999999999</v>
      </c>
      <c r="T33" s="5">
        <f>12*S33-R33-Q33-P33-O33-F33</f>
        <v>10.216799999999985</v>
      </c>
      <c r="U33" s="5">
        <f>T33</f>
        <v>10.216799999999985</v>
      </c>
      <c r="V33" s="1">
        <f t="shared" si="4"/>
        <v>12</v>
      </c>
      <c r="W33" s="1">
        <f t="shared" si="5"/>
        <v>11.005257623554154</v>
      </c>
      <c r="X33" s="1">
        <v>14.135999999999999</v>
      </c>
      <c r="Y33" s="1">
        <v>12.776400000000001</v>
      </c>
      <c r="Z33" s="1">
        <v>6.4742000000000006</v>
      </c>
      <c r="AA33" s="1">
        <v>12.1784</v>
      </c>
      <c r="AB33" s="1">
        <v>24.013999999999999</v>
      </c>
      <c r="AC33" s="1">
        <v>21.271599999999999</v>
      </c>
      <c r="AD33" s="1">
        <v>12.952199999999999</v>
      </c>
      <c r="AE33" s="1">
        <v>13.867599999999999</v>
      </c>
      <c r="AF33" s="1">
        <v>15.708600000000001</v>
      </c>
      <c r="AG33" s="1">
        <v>12.254200000000001</v>
      </c>
      <c r="AH33" s="1"/>
      <c r="AI33" s="1">
        <f t="shared" si="6"/>
        <v>10</v>
      </c>
      <c r="AJ33" t="s">
        <v>102</v>
      </c>
    </row>
    <row r="34" spans="1:36" x14ac:dyDescent="0.25">
      <c r="A34" s="9" t="s">
        <v>103</v>
      </c>
      <c r="B34" s="9" t="s">
        <v>41</v>
      </c>
      <c r="C34" s="9">
        <v>2.282</v>
      </c>
      <c r="D34" s="9">
        <v>0.89100000000000001</v>
      </c>
      <c r="E34" s="9">
        <v>-11.879</v>
      </c>
      <c r="F34" s="9">
        <v>3.173</v>
      </c>
      <c r="G34" s="10">
        <v>0</v>
      </c>
      <c r="H34" s="9">
        <v>50</v>
      </c>
      <c r="I34" s="9" t="s">
        <v>85</v>
      </c>
      <c r="J34" s="9"/>
      <c r="K34" s="9">
        <v>9</v>
      </c>
      <c r="L34" s="9">
        <f t="shared" si="2"/>
        <v>-20.878999999999998</v>
      </c>
      <c r="M34" s="9"/>
      <c r="N34" s="9"/>
      <c r="O34" s="9">
        <v>0</v>
      </c>
      <c r="P34" s="9"/>
      <c r="Q34" s="9"/>
      <c r="R34" s="9"/>
      <c r="S34" s="9">
        <f t="shared" si="3"/>
        <v>-2.3757999999999999</v>
      </c>
      <c r="T34" s="11"/>
      <c r="U34" s="5">
        <f>T34</f>
        <v>0</v>
      </c>
      <c r="V34" s="1">
        <f t="shared" si="4"/>
        <v>-1.3355501304823638</v>
      </c>
      <c r="W34" s="9">
        <f t="shared" si="5"/>
        <v>-1.3355501304823638</v>
      </c>
      <c r="X34" s="9">
        <v>-0.74660000000000004</v>
      </c>
      <c r="Y34" s="9">
        <v>5.9942000000000002</v>
      </c>
      <c r="Z34" s="9">
        <v>6.5543999999999993</v>
      </c>
      <c r="AA34" s="9">
        <v>7.2969999999999997</v>
      </c>
      <c r="AB34" s="9">
        <v>12.2094</v>
      </c>
      <c r="AC34" s="9">
        <v>12.5466</v>
      </c>
      <c r="AD34" s="9">
        <v>9.8046000000000006</v>
      </c>
      <c r="AE34" s="9">
        <v>10.172000000000001</v>
      </c>
      <c r="AF34" s="9">
        <v>9.0811999999999991</v>
      </c>
      <c r="AG34" s="9">
        <v>5.2960000000000003</v>
      </c>
      <c r="AH34" s="9"/>
      <c r="AI34" s="1">
        <f t="shared" si="6"/>
        <v>0</v>
      </c>
      <c r="AJ34" t="s">
        <v>104</v>
      </c>
    </row>
    <row r="35" spans="1:36" x14ac:dyDescent="0.25">
      <c r="A35" s="1" t="s">
        <v>105</v>
      </c>
      <c r="B35" s="1" t="s">
        <v>41</v>
      </c>
      <c r="C35" s="1">
        <v>106.629</v>
      </c>
      <c r="D35" s="1">
        <v>4.5229999999999997</v>
      </c>
      <c r="E35" s="1">
        <v>31.696999999999999</v>
      </c>
      <c r="F35" s="1">
        <v>63.107999999999997</v>
      </c>
      <c r="G35" s="7">
        <v>1</v>
      </c>
      <c r="H35" s="1">
        <v>50</v>
      </c>
      <c r="I35" s="12" t="s">
        <v>60</v>
      </c>
      <c r="J35" s="1"/>
      <c r="K35" s="1">
        <v>28.5</v>
      </c>
      <c r="L35" s="1">
        <f t="shared" si="2"/>
        <v>3.1969999999999992</v>
      </c>
      <c r="M35" s="1"/>
      <c r="N35" s="1"/>
      <c r="O35" s="1">
        <v>36.678599999999989</v>
      </c>
      <c r="P35" s="1">
        <v>-37.799999999999997</v>
      </c>
      <c r="Q35" s="1"/>
      <c r="R35" s="1"/>
      <c r="S35" s="1">
        <f t="shared" si="3"/>
        <v>6.3393999999999995</v>
      </c>
      <c r="T35" s="5">
        <v>20</v>
      </c>
      <c r="U35" s="5">
        <f>T35*0.5</f>
        <v>10</v>
      </c>
      <c r="V35" s="1">
        <f t="shared" si="4"/>
        <v>11.355427958481876</v>
      </c>
      <c r="W35" s="1">
        <f t="shared" si="5"/>
        <v>9.7779916080386151</v>
      </c>
      <c r="X35" s="1">
        <v>11.959199999999999</v>
      </c>
      <c r="Y35" s="1">
        <v>10.5078</v>
      </c>
      <c r="Z35" s="1">
        <v>5.4367999999999999</v>
      </c>
      <c r="AA35" s="1">
        <v>6.6819999999999986</v>
      </c>
      <c r="AB35" s="1">
        <v>14.173999999999999</v>
      </c>
      <c r="AC35" s="1">
        <v>14.984400000000001</v>
      </c>
      <c r="AD35" s="1">
        <v>12.6342</v>
      </c>
      <c r="AE35" s="1">
        <v>12.2704</v>
      </c>
      <c r="AF35" s="1">
        <v>9.8894000000000002</v>
      </c>
      <c r="AG35" s="1">
        <v>6.7754000000000003</v>
      </c>
      <c r="AH35" s="1"/>
      <c r="AI35" s="1">
        <f t="shared" si="6"/>
        <v>10</v>
      </c>
      <c r="AJ35" t="s">
        <v>106</v>
      </c>
    </row>
    <row r="36" spans="1:36" x14ac:dyDescent="0.25">
      <c r="A36" s="1" t="s">
        <v>107</v>
      </c>
      <c r="B36" s="1" t="s">
        <v>49</v>
      </c>
      <c r="C36" s="1">
        <v>24</v>
      </c>
      <c r="D36" s="1">
        <v>568</v>
      </c>
      <c r="E36" s="1">
        <v>521</v>
      </c>
      <c r="F36" s="1">
        <v>-1</v>
      </c>
      <c r="G36" s="7">
        <v>0.4</v>
      </c>
      <c r="H36" s="1">
        <v>45</v>
      </c>
      <c r="I36" s="12" t="s">
        <v>60</v>
      </c>
      <c r="J36" s="1"/>
      <c r="K36" s="1">
        <v>993</v>
      </c>
      <c r="L36" s="1">
        <f t="shared" si="2"/>
        <v>-472</v>
      </c>
      <c r="M36" s="1"/>
      <c r="N36" s="1"/>
      <c r="O36" s="1">
        <v>500</v>
      </c>
      <c r="P36" s="1"/>
      <c r="Q36" s="1"/>
      <c r="R36" s="1"/>
      <c r="S36" s="1">
        <f t="shared" si="3"/>
        <v>104.2</v>
      </c>
      <c r="T36" s="5">
        <v>600</v>
      </c>
      <c r="U36" s="5">
        <f>T36*0.45</f>
        <v>270</v>
      </c>
      <c r="V36" s="1">
        <f t="shared" si="4"/>
        <v>7.3800383877159303</v>
      </c>
      <c r="W36" s="1">
        <f t="shared" si="5"/>
        <v>4.7888675623800383</v>
      </c>
      <c r="X36" s="1">
        <v>116</v>
      </c>
      <c r="Y36" s="1">
        <v>216.8</v>
      </c>
      <c r="Z36" s="1">
        <v>207.6</v>
      </c>
      <c r="AA36" s="1">
        <v>159.19999999999999</v>
      </c>
      <c r="AB36" s="1">
        <v>176.4</v>
      </c>
      <c r="AC36" s="1">
        <v>250</v>
      </c>
      <c r="AD36" s="1">
        <v>263.39999999999998</v>
      </c>
      <c r="AE36" s="1">
        <v>260</v>
      </c>
      <c r="AF36" s="1">
        <v>238.2</v>
      </c>
      <c r="AG36" s="1">
        <v>222</v>
      </c>
      <c r="AH36" s="1"/>
      <c r="AI36" s="1">
        <f t="shared" si="6"/>
        <v>108</v>
      </c>
      <c r="AJ36" t="s">
        <v>108</v>
      </c>
    </row>
    <row r="37" spans="1:36" x14ac:dyDescent="0.25">
      <c r="A37" s="1" t="s">
        <v>109</v>
      </c>
      <c r="B37" s="1" t="s">
        <v>49</v>
      </c>
      <c r="C37" s="1">
        <v>309</v>
      </c>
      <c r="D37" s="1">
        <v>91</v>
      </c>
      <c r="E37" s="1">
        <v>263</v>
      </c>
      <c r="F37" s="1">
        <v>120</v>
      </c>
      <c r="G37" s="7">
        <v>0.45</v>
      </c>
      <c r="H37" s="1">
        <v>50</v>
      </c>
      <c r="I37" s="1" t="s">
        <v>42</v>
      </c>
      <c r="J37" s="1"/>
      <c r="K37" s="1">
        <v>270</v>
      </c>
      <c r="L37" s="1">
        <f t="shared" si="2"/>
        <v>-7</v>
      </c>
      <c r="M37" s="1"/>
      <c r="N37" s="1"/>
      <c r="O37" s="1">
        <v>9</v>
      </c>
      <c r="P37" s="1"/>
      <c r="Q37" s="1"/>
      <c r="R37" s="1"/>
      <c r="S37" s="1">
        <f t="shared" si="3"/>
        <v>52.6</v>
      </c>
      <c r="T37" s="5">
        <f>9*S37-R37-Q37-P37-O37-F37</f>
        <v>344.40000000000003</v>
      </c>
      <c r="U37" s="5">
        <f>T37+$U$1*S37</f>
        <v>279.702</v>
      </c>
      <c r="V37" s="1">
        <f t="shared" si="4"/>
        <v>7.77</v>
      </c>
      <c r="W37" s="1">
        <f t="shared" si="5"/>
        <v>2.4524714828897336</v>
      </c>
      <c r="X37" s="1">
        <v>22.2</v>
      </c>
      <c r="Y37" s="1">
        <v>31.6</v>
      </c>
      <c r="Z37" s="1">
        <v>33.799999999999997</v>
      </c>
      <c r="AA37" s="1">
        <v>31.2</v>
      </c>
      <c r="AB37" s="1">
        <v>42</v>
      </c>
      <c r="AC37" s="1">
        <v>45.4</v>
      </c>
      <c r="AD37" s="1">
        <v>60</v>
      </c>
      <c r="AE37" s="1">
        <v>71</v>
      </c>
      <c r="AF37" s="1">
        <v>44.6</v>
      </c>
      <c r="AG37" s="1">
        <v>24</v>
      </c>
      <c r="AH37" s="1"/>
      <c r="AI37" s="1">
        <f t="shared" si="6"/>
        <v>126</v>
      </c>
      <c r="AJ37" t="s">
        <v>110</v>
      </c>
    </row>
    <row r="38" spans="1:36" x14ac:dyDescent="0.25">
      <c r="A38" s="1" t="s">
        <v>111</v>
      </c>
      <c r="B38" s="1" t="s">
        <v>49</v>
      </c>
      <c r="C38" s="1">
        <v>17</v>
      </c>
      <c r="D38" s="1">
        <v>187</v>
      </c>
      <c r="E38" s="1">
        <v>168</v>
      </c>
      <c r="F38" s="1">
        <v>18</v>
      </c>
      <c r="G38" s="7">
        <v>0.4</v>
      </c>
      <c r="H38" s="1">
        <v>45</v>
      </c>
      <c r="I38" s="12" t="s">
        <v>60</v>
      </c>
      <c r="J38" s="1"/>
      <c r="K38" s="1">
        <v>309</v>
      </c>
      <c r="L38" s="1">
        <f t="shared" ref="L38:L69" si="8">E38-K38</f>
        <v>-141</v>
      </c>
      <c r="M38" s="1"/>
      <c r="N38" s="1"/>
      <c r="O38" s="1">
        <v>150</v>
      </c>
      <c r="P38" s="1">
        <v>-150</v>
      </c>
      <c r="Q38" s="1"/>
      <c r="R38" s="1"/>
      <c r="S38" s="1">
        <f t="shared" ref="S38:S69" si="9">E38/5</f>
        <v>33.6</v>
      </c>
      <c r="T38" s="5">
        <v>150</v>
      </c>
      <c r="U38" s="5">
        <f>T38*0.45</f>
        <v>67.5</v>
      </c>
      <c r="V38" s="1">
        <f t="shared" ref="V38:V69" si="10">(F38+O38+P38+Q38+R38+U38)/S38</f>
        <v>2.5446428571428572</v>
      </c>
      <c r="W38" s="1">
        <f t="shared" ref="W38:W69" si="11">(F38+O38+P38+Q38+R38)/S38</f>
        <v>0.5357142857142857</v>
      </c>
      <c r="X38" s="1">
        <v>5.4</v>
      </c>
      <c r="Y38" s="1">
        <v>27.8</v>
      </c>
      <c r="Z38" s="1">
        <v>61.4</v>
      </c>
      <c r="AA38" s="1">
        <v>43.8</v>
      </c>
      <c r="AB38" s="1">
        <v>19.8</v>
      </c>
      <c r="AC38" s="1">
        <v>19</v>
      </c>
      <c r="AD38" s="1">
        <v>23.4</v>
      </c>
      <c r="AE38" s="1">
        <v>63</v>
      </c>
      <c r="AF38" s="1">
        <v>70.400000000000006</v>
      </c>
      <c r="AG38" s="1">
        <v>69.8</v>
      </c>
      <c r="AH38" s="1"/>
      <c r="AI38" s="1">
        <f t="shared" ref="AI38:AI69" si="12">ROUND(G38*U38,0)</f>
        <v>27</v>
      </c>
      <c r="AJ38" t="s">
        <v>112</v>
      </c>
    </row>
    <row r="39" spans="1:36" x14ac:dyDescent="0.25">
      <c r="A39" s="1" t="s">
        <v>113</v>
      </c>
      <c r="B39" s="1" t="s">
        <v>49</v>
      </c>
      <c r="C39" s="1">
        <v>14</v>
      </c>
      <c r="D39" s="1">
        <v>60</v>
      </c>
      <c r="E39" s="1">
        <v>46</v>
      </c>
      <c r="F39" s="1">
        <v>6</v>
      </c>
      <c r="G39" s="7">
        <v>0.4</v>
      </c>
      <c r="H39" s="1">
        <v>40</v>
      </c>
      <c r="I39" s="12" t="s">
        <v>60</v>
      </c>
      <c r="J39" s="1"/>
      <c r="K39" s="1">
        <v>58</v>
      </c>
      <c r="L39" s="1">
        <f t="shared" si="8"/>
        <v>-12</v>
      </c>
      <c r="M39" s="1"/>
      <c r="N39" s="1"/>
      <c r="O39" s="1">
        <v>30</v>
      </c>
      <c r="P39" s="1">
        <v>-30</v>
      </c>
      <c r="Q39" s="1"/>
      <c r="R39" s="1"/>
      <c r="S39" s="1">
        <f t="shared" si="9"/>
        <v>9.1999999999999993</v>
      </c>
      <c r="T39" s="5">
        <v>40</v>
      </c>
      <c r="U39" s="5">
        <f>T39*0.5</f>
        <v>20</v>
      </c>
      <c r="V39" s="1">
        <f t="shared" si="10"/>
        <v>2.8260869565217392</v>
      </c>
      <c r="W39" s="1">
        <f t="shared" si="11"/>
        <v>0.65217391304347827</v>
      </c>
      <c r="X39" s="1">
        <v>5.6</v>
      </c>
      <c r="Y39" s="1">
        <v>11.2</v>
      </c>
      <c r="Z39" s="1">
        <v>12</v>
      </c>
      <c r="AA39" s="1">
        <v>6.6</v>
      </c>
      <c r="AB39" s="1">
        <v>6.2</v>
      </c>
      <c r="AC39" s="1">
        <v>6</v>
      </c>
      <c r="AD39" s="1">
        <v>6.6</v>
      </c>
      <c r="AE39" s="1">
        <v>14.2</v>
      </c>
      <c r="AF39" s="1">
        <v>15.4</v>
      </c>
      <c r="AG39" s="1">
        <v>8.1999999999999993</v>
      </c>
      <c r="AH39" s="1"/>
      <c r="AI39" s="1">
        <f t="shared" si="12"/>
        <v>8</v>
      </c>
      <c r="AJ39" t="s">
        <v>114</v>
      </c>
    </row>
    <row r="40" spans="1:36" x14ac:dyDescent="0.25">
      <c r="A40" s="1" t="s">
        <v>115</v>
      </c>
      <c r="B40" s="1" t="s">
        <v>41</v>
      </c>
      <c r="C40" s="1"/>
      <c r="D40" s="1">
        <v>68.83</v>
      </c>
      <c r="E40" s="1">
        <v>54.546999999999997</v>
      </c>
      <c r="F40" s="1">
        <v>2.8380000000000001</v>
      </c>
      <c r="G40" s="7">
        <v>1</v>
      </c>
      <c r="H40" s="1">
        <v>45</v>
      </c>
      <c r="I40" s="12" t="s">
        <v>60</v>
      </c>
      <c r="J40" s="1"/>
      <c r="K40" s="1">
        <v>45.05</v>
      </c>
      <c r="L40" s="1">
        <f t="shared" si="8"/>
        <v>9.4969999999999999</v>
      </c>
      <c r="M40" s="1"/>
      <c r="N40" s="1"/>
      <c r="O40" s="1">
        <v>20</v>
      </c>
      <c r="P40" s="1"/>
      <c r="Q40" s="1"/>
      <c r="R40" s="1"/>
      <c r="S40" s="1">
        <f t="shared" si="9"/>
        <v>10.9094</v>
      </c>
      <c r="T40" s="5">
        <v>50</v>
      </c>
      <c r="U40" s="5">
        <f>T40*0.5</f>
        <v>25</v>
      </c>
      <c r="V40" s="1">
        <f t="shared" si="10"/>
        <v>4.3850257576035352</v>
      </c>
      <c r="W40" s="1">
        <f t="shared" si="11"/>
        <v>2.0934240196527765</v>
      </c>
      <c r="X40" s="1">
        <v>0</v>
      </c>
      <c r="Y40" s="1">
        <v>0</v>
      </c>
      <c r="Z40" s="1">
        <v>0</v>
      </c>
      <c r="AA40" s="1">
        <v>0</v>
      </c>
      <c r="AB40" s="1">
        <v>2.0533999999999999</v>
      </c>
      <c r="AC40" s="1">
        <v>4.7110000000000003</v>
      </c>
      <c r="AD40" s="1">
        <v>5.5636000000000001</v>
      </c>
      <c r="AE40" s="1">
        <v>4.6311999999999998</v>
      </c>
      <c r="AF40" s="1">
        <v>2.2968000000000002</v>
      </c>
      <c r="AG40" s="1">
        <v>2.3052000000000001</v>
      </c>
      <c r="AH40" s="1"/>
      <c r="AI40" s="1">
        <f t="shared" si="12"/>
        <v>25</v>
      </c>
      <c r="AJ40" t="s">
        <v>116</v>
      </c>
    </row>
    <row r="41" spans="1:36" x14ac:dyDescent="0.25">
      <c r="A41" s="1" t="s">
        <v>117</v>
      </c>
      <c r="B41" s="1" t="s">
        <v>49</v>
      </c>
      <c r="C41" s="1">
        <v>746</v>
      </c>
      <c r="D41" s="1">
        <v>40</v>
      </c>
      <c r="E41" s="1">
        <v>450</v>
      </c>
      <c r="F41" s="1">
        <v>263</v>
      </c>
      <c r="G41" s="7">
        <v>0.1</v>
      </c>
      <c r="H41" s="1">
        <v>731</v>
      </c>
      <c r="I41" s="1" t="s">
        <v>42</v>
      </c>
      <c r="J41" s="1"/>
      <c r="K41" s="1">
        <v>373</v>
      </c>
      <c r="L41" s="1">
        <f t="shared" si="8"/>
        <v>77</v>
      </c>
      <c r="M41" s="1"/>
      <c r="N41" s="1"/>
      <c r="O41" s="1">
        <v>0</v>
      </c>
      <c r="P41" s="1"/>
      <c r="Q41" s="1"/>
      <c r="R41" s="1"/>
      <c r="S41" s="1">
        <f t="shared" si="9"/>
        <v>90</v>
      </c>
      <c r="T41" s="5">
        <f>10*S41-R41-Q41-P41-O41-F41</f>
        <v>637</v>
      </c>
      <c r="U41" s="5">
        <f>T41+$U$1*S41</f>
        <v>526.29999999999995</v>
      </c>
      <c r="V41" s="1">
        <f t="shared" si="10"/>
        <v>8.77</v>
      </c>
      <c r="W41" s="1">
        <f t="shared" si="11"/>
        <v>2.9222222222222221</v>
      </c>
      <c r="X41" s="1">
        <v>67.400000000000006</v>
      </c>
      <c r="Y41" s="1">
        <v>57.8</v>
      </c>
      <c r="Z41" s="1">
        <v>47.8</v>
      </c>
      <c r="AA41" s="1">
        <v>59.6</v>
      </c>
      <c r="AB41" s="1">
        <v>64.2</v>
      </c>
      <c r="AC41" s="1">
        <v>86</v>
      </c>
      <c r="AD41" s="1">
        <v>87.2</v>
      </c>
      <c r="AE41" s="1">
        <v>66.599999999999994</v>
      </c>
      <c r="AF41" s="1">
        <v>65.400000000000006</v>
      </c>
      <c r="AG41" s="1">
        <v>37.6</v>
      </c>
      <c r="AH41" s="1"/>
      <c r="AI41" s="1">
        <f t="shared" si="12"/>
        <v>53</v>
      </c>
      <c r="AJ41" t="s">
        <v>118</v>
      </c>
    </row>
    <row r="42" spans="1:36" x14ac:dyDescent="0.25">
      <c r="A42" s="1" t="s">
        <v>119</v>
      </c>
      <c r="B42" s="1" t="s">
        <v>49</v>
      </c>
      <c r="C42" s="1">
        <v>5</v>
      </c>
      <c r="D42" s="1">
        <v>3</v>
      </c>
      <c r="E42" s="1"/>
      <c r="F42" s="1">
        <v>5</v>
      </c>
      <c r="G42" s="7">
        <v>0.35</v>
      </c>
      <c r="H42" s="1">
        <v>40</v>
      </c>
      <c r="I42" s="12" t="s">
        <v>60</v>
      </c>
      <c r="J42" s="1"/>
      <c r="K42" s="1">
        <v>123</v>
      </c>
      <c r="L42" s="1">
        <f t="shared" si="8"/>
        <v>-123</v>
      </c>
      <c r="M42" s="1"/>
      <c r="N42" s="1"/>
      <c r="O42" s="1">
        <v>100</v>
      </c>
      <c r="P42" s="1">
        <v>-102</v>
      </c>
      <c r="Q42" s="1"/>
      <c r="R42" s="1"/>
      <c r="S42" s="1">
        <f t="shared" si="9"/>
        <v>0</v>
      </c>
      <c r="T42" s="5">
        <v>100</v>
      </c>
      <c r="U42" s="5">
        <f>T42*0.45</f>
        <v>45</v>
      </c>
      <c r="V42" s="1" t="e">
        <f t="shared" si="10"/>
        <v>#DIV/0!</v>
      </c>
      <c r="W42" s="1" t="e">
        <f t="shared" si="11"/>
        <v>#DIV/0!</v>
      </c>
      <c r="X42" s="1">
        <v>-0.2</v>
      </c>
      <c r="Y42" s="1">
        <v>-0.8</v>
      </c>
      <c r="Z42" s="1">
        <v>3.8</v>
      </c>
      <c r="AA42" s="1">
        <v>1.4</v>
      </c>
      <c r="AB42" s="1">
        <v>-3</v>
      </c>
      <c r="AC42" s="1">
        <v>5.6</v>
      </c>
      <c r="AD42" s="1">
        <v>29.2</v>
      </c>
      <c r="AE42" s="1">
        <v>53.2</v>
      </c>
      <c r="AF42" s="1">
        <v>48</v>
      </c>
      <c r="AG42" s="1">
        <v>28</v>
      </c>
      <c r="AH42" s="1"/>
      <c r="AI42" s="1">
        <f t="shared" si="12"/>
        <v>16</v>
      </c>
      <c r="AJ42" t="s">
        <v>120</v>
      </c>
    </row>
    <row r="43" spans="1:36" x14ac:dyDescent="0.25">
      <c r="A43" s="1" t="s">
        <v>121</v>
      </c>
      <c r="B43" s="1" t="s">
        <v>41</v>
      </c>
      <c r="C43" s="1">
        <v>101.607</v>
      </c>
      <c r="D43" s="1">
        <v>142.73099999999999</v>
      </c>
      <c r="E43" s="1">
        <v>108.797</v>
      </c>
      <c r="F43" s="1">
        <v>117.321</v>
      </c>
      <c r="G43" s="7">
        <v>1</v>
      </c>
      <c r="H43" s="1">
        <v>40</v>
      </c>
      <c r="I43" s="12" t="s">
        <v>60</v>
      </c>
      <c r="J43" s="1"/>
      <c r="K43" s="1">
        <v>96.5</v>
      </c>
      <c r="L43" s="1">
        <f t="shared" si="8"/>
        <v>12.296999999999997</v>
      </c>
      <c r="M43" s="1"/>
      <c r="N43" s="1"/>
      <c r="O43" s="1">
        <v>41.096600000000009</v>
      </c>
      <c r="P43" s="1">
        <v>-42</v>
      </c>
      <c r="Q43" s="1"/>
      <c r="R43" s="1"/>
      <c r="S43" s="1">
        <f t="shared" si="9"/>
        <v>21.759399999999999</v>
      </c>
      <c r="T43" s="5">
        <v>60</v>
      </c>
      <c r="U43" s="5">
        <f>T43*0.45</f>
        <v>27</v>
      </c>
      <c r="V43" s="1">
        <f t="shared" si="10"/>
        <v>6.5910640918407672</v>
      </c>
      <c r="W43" s="1">
        <f t="shared" si="11"/>
        <v>5.3502210538893538</v>
      </c>
      <c r="X43" s="1">
        <v>16.7</v>
      </c>
      <c r="Y43" s="1">
        <v>22.0274</v>
      </c>
      <c r="Z43" s="1">
        <v>19.802399999999999</v>
      </c>
      <c r="AA43" s="1">
        <v>21.879200000000001</v>
      </c>
      <c r="AB43" s="1">
        <v>21.395800000000001</v>
      </c>
      <c r="AC43" s="1">
        <v>23.605599999999999</v>
      </c>
      <c r="AD43" s="1">
        <v>23.142399999999999</v>
      </c>
      <c r="AE43" s="1">
        <v>25.816199999999998</v>
      </c>
      <c r="AF43" s="1">
        <v>21.3096</v>
      </c>
      <c r="AG43" s="1">
        <v>20.192399999999999</v>
      </c>
      <c r="AH43" s="1"/>
      <c r="AI43" s="1">
        <f t="shared" si="12"/>
        <v>27</v>
      </c>
      <c r="AJ43" t="s">
        <v>122</v>
      </c>
    </row>
    <row r="44" spans="1:36" x14ac:dyDescent="0.25">
      <c r="A44" s="1" t="s">
        <v>123</v>
      </c>
      <c r="B44" s="1" t="s">
        <v>49</v>
      </c>
      <c r="C44" s="1">
        <v>1</v>
      </c>
      <c r="D44" s="1">
        <v>169</v>
      </c>
      <c r="E44" s="1">
        <v>114</v>
      </c>
      <c r="F44" s="1">
        <v>49</v>
      </c>
      <c r="G44" s="7">
        <v>0.4</v>
      </c>
      <c r="H44" s="1">
        <v>40</v>
      </c>
      <c r="I44" s="12" t="s">
        <v>60</v>
      </c>
      <c r="J44" s="1"/>
      <c r="K44" s="1">
        <v>131</v>
      </c>
      <c r="L44" s="1">
        <f t="shared" si="8"/>
        <v>-17</v>
      </c>
      <c r="M44" s="1"/>
      <c r="N44" s="1"/>
      <c r="O44" s="1">
        <v>40</v>
      </c>
      <c r="P44" s="1"/>
      <c r="Q44" s="1"/>
      <c r="R44" s="1"/>
      <c r="S44" s="1">
        <f t="shared" si="9"/>
        <v>22.8</v>
      </c>
      <c r="T44" s="5">
        <v>80</v>
      </c>
      <c r="U44" s="5">
        <f>T44*0.45</f>
        <v>36</v>
      </c>
      <c r="V44" s="1">
        <f t="shared" si="10"/>
        <v>5.4824561403508767</v>
      </c>
      <c r="W44" s="1">
        <f t="shared" si="11"/>
        <v>3.9035087719298245</v>
      </c>
      <c r="X44" s="1">
        <v>2</v>
      </c>
      <c r="Y44" s="1">
        <v>6.2</v>
      </c>
      <c r="Z44" s="1">
        <v>16.399999999999999</v>
      </c>
      <c r="AA44" s="1">
        <v>13.2</v>
      </c>
      <c r="AB44" s="1">
        <v>1</v>
      </c>
      <c r="AC44" s="1">
        <v>0</v>
      </c>
      <c r="AD44" s="1">
        <v>-0.4</v>
      </c>
      <c r="AE44" s="1">
        <v>1.6</v>
      </c>
      <c r="AF44" s="1">
        <v>15.4</v>
      </c>
      <c r="AG44" s="1">
        <v>26.8</v>
      </c>
      <c r="AH44" s="1"/>
      <c r="AI44" s="1">
        <f t="shared" si="12"/>
        <v>14</v>
      </c>
      <c r="AJ44" t="s">
        <v>124</v>
      </c>
    </row>
    <row r="45" spans="1:36" x14ac:dyDescent="0.25">
      <c r="A45" s="1" t="s">
        <v>125</v>
      </c>
      <c r="B45" s="1" t="s">
        <v>49</v>
      </c>
      <c r="C45" s="1">
        <v>84</v>
      </c>
      <c r="D45" s="1">
        <v>99</v>
      </c>
      <c r="E45" s="1">
        <v>154</v>
      </c>
      <c r="F45" s="1">
        <v>18</v>
      </c>
      <c r="G45" s="7">
        <v>0.4</v>
      </c>
      <c r="H45" s="1">
        <v>45</v>
      </c>
      <c r="I45" s="12" t="s">
        <v>60</v>
      </c>
      <c r="J45" s="1"/>
      <c r="K45" s="1">
        <v>183</v>
      </c>
      <c r="L45" s="1">
        <f t="shared" si="8"/>
        <v>-29</v>
      </c>
      <c r="M45" s="1"/>
      <c r="N45" s="1"/>
      <c r="O45" s="1">
        <v>18.600000000000019</v>
      </c>
      <c r="P45" s="1"/>
      <c r="Q45" s="1"/>
      <c r="R45" s="1"/>
      <c r="S45" s="1">
        <f t="shared" si="9"/>
        <v>30.8</v>
      </c>
      <c r="T45" s="5">
        <v>120</v>
      </c>
      <c r="U45" s="5">
        <f>T45*0.45</f>
        <v>54</v>
      </c>
      <c r="V45" s="1">
        <f t="shared" si="10"/>
        <v>2.9415584415584424</v>
      </c>
      <c r="W45" s="1">
        <f t="shared" si="11"/>
        <v>1.1883116883116891</v>
      </c>
      <c r="X45" s="1">
        <v>13.8</v>
      </c>
      <c r="Y45" s="1">
        <v>21.8</v>
      </c>
      <c r="Z45" s="1">
        <v>26.4</v>
      </c>
      <c r="AA45" s="1">
        <v>14.8</v>
      </c>
      <c r="AB45" s="1">
        <v>2.4</v>
      </c>
      <c r="AC45" s="1">
        <v>0</v>
      </c>
      <c r="AD45" s="1">
        <v>18</v>
      </c>
      <c r="AE45" s="1">
        <v>37.6</v>
      </c>
      <c r="AF45" s="1">
        <v>30.2</v>
      </c>
      <c r="AG45" s="1">
        <v>22.4</v>
      </c>
      <c r="AH45" s="1"/>
      <c r="AI45" s="1">
        <f t="shared" si="12"/>
        <v>22</v>
      </c>
      <c r="AJ45" t="s">
        <v>126</v>
      </c>
    </row>
    <row r="46" spans="1:36" x14ac:dyDescent="0.25">
      <c r="A46" s="9" t="s">
        <v>127</v>
      </c>
      <c r="B46" s="9" t="s">
        <v>41</v>
      </c>
      <c r="C46" s="9">
        <v>2.2000000000000002</v>
      </c>
      <c r="D46" s="9"/>
      <c r="E46" s="9">
        <v>-0.71699999999999997</v>
      </c>
      <c r="F46" s="9">
        <v>2.2000000000000002</v>
      </c>
      <c r="G46" s="10">
        <v>0</v>
      </c>
      <c r="H46" s="9">
        <v>40</v>
      </c>
      <c r="I46" s="9" t="s">
        <v>85</v>
      </c>
      <c r="J46" s="9"/>
      <c r="K46" s="9">
        <v>29.4</v>
      </c>
      <c r="L46" s="9">
        <f t="shared" si="8"/>
        <v>-30.116999999999997</v>
      </c>
      <c r="M46" s="9"/>
      <c r="N46" s="9"/>
      <c r="O46" s="9">
        <v>0</v>
      </c>
      <c r="P46" s="9"/>
      <c r="Q46" s="9"/>
      <c r="R46" s="9"/>
      <c r="S46" s="9">
        <f t="shared" si="9"/>
        <v>-0.1434</v>
      </c>
      <c r="T46" s="11"/>
      <c r="U46" s="5">
        <f>T46</f>
        <v>0</v>
      </c>
      <c r="V46" s="1">
        <f t="shared" si="10"/>
        <v>-15.341701534170154</v>
      </c>
      <c r="W46" s="9">
        <f t="shared" si="11"/>
        <v>-15.341701534170154</v>
      </c>
      <c r="X46" s="9">
        <v>0</v>
      </c>
      <c r="Y46" s="9">
        <v>-0.43659999999999999</v>
      </c>
      <c r="Z46" s="9">
        <v>-0.43659999999999999</v>
      </c>
      <c r="AA46" s="9">
        <v>-0.28799999999999998</v>
      </c>
      <c r="AB46" s="9">
        <v>0.14779999999999999</v>
      </c>
      <c r="AC46" s="9">
        <v>9.0436000000000014</v>
      </c>
      <c r="AD46" s="9">
        <v>13.8338</v>
      </c>
      <c r="AE46" s="9">
        <v>14.6386</v>
      </c>
      <c r="AF46" s="9">
        <v>12.710599999999999</v>
      </c>
      <c r="AG46" s="9">
        <v>6.6037999999999997</v>
      </c>
      <c r="AH46" s="9"/>
      <c r="AI46" s="1">
        <f t="shared" si="12"/>
        <v>0</v>
      </c>
      <c r="AJ46" t="s">
        <v>128</v>
      </c>
    </row>
    <row r="47" spans="1:36" x14ac:dyDescent="0.25">
      <c r="A47" s="1" t="s">
        <v>129</v>
      </c>
      <c r="B47" s="1" t="s">
        <v>41</v>
      </c>
      <c r="C47" s="1">
        <v>124.69199999999999</v>
      </c>
      <c r="D47" s="1">
        <v>56.148000000000003</v>
      </c>
      <c r="E47" s="1">
        <v>104.77200000000001</v>
      </c>
      <c r="F47" s="1">
        <v>54.209000000000003</v>
      </c>
      <c r="G47" s="7">
        <v>1</v>
      </c>
      <c r="H47" s="1">
        <v>40</v>
      </c>
      <c r="I47" s="12" t="s">
        <v>60</v>
      </c>
      <c r="J47" s="1"/>
      <c r="K47" s="1">
        <v>93.7</v>
      </c>
      <c r="L47" s="1">
        <f t="shared" si="8"/>
        <v>11.072000000000003</v>
      </c>
      <c r="M47" s="1"/>
      <c r="N47" s="1"/>
      <c r="O47" s="1">
        <v>88.88479999999997</v>
      </c>
      <c r="P47" s="1">
        <v>-92.4</v>
      </c>
      <c r="Q47" s="1"/>
      <c r="R47" s="1"/>
      <c r="S47" s="1">
        <f t="shared" si="9"/>
        <v>20.9544</v>
      </c>
      <c r="T47" s="5">
        <v>60</v>
      </c>
      <c r="U47" s="5">
        <f>T47*0.45</f>
        <v>27</v>
      </c>
      <c r="V47" s="1">
        <f t="shared" si="10"/>
        <v>3.7077558889779705</v>
      </c>
      <c r="W47" s="1">
        <f t="shared" si="11"/>
        <v>2.4192436910624968</v>
      </c>
      <c r="X47" s="1">
        <v>15.678000000000001</v>
      </c>
      <c r="Y47" s="1">
        <v>20.927800000000001</v>
      </c>
      <c r="Z47" s="1">
        <v>16.421600000000002</v>
      </c>
      <c r="AA47" s="1">
        <v>18.161000000000001</v>
      </c>
      <c r="AB47" s="1">
        <v>19.6008</v>
      </c>
      <c r="AC47" s="1">
        <v>24.483599999999999</v>
      </c>
      <c r="AD47" s="1">
        <v>29.43</v>
      </c>
      <c r="AE47" s="1">
        <v>32.792200000000001</v>
      </c>
      <c r="AF47" s="1">
        <v>25.5106</v>
      </c>
      <c r="AG47" s="1">
        <v>21.378599999999999</v>
      </c>
      <c r="AH47" s="1"/>
      <c r="AI47" s="1">
        <f t="shared" si="12"/>
        <v>27</v>
      </c>
      <c r="AJ47" t="s">
        <v>130</v>
      </c>
    </row>
    <row r="48" spans="1:36" x14ac:dyDescent="0.25">
      <c r="A48" s="1" t="s">
        <v>131</v>
      </c>
      <c r="B48" s="1" t="s">
        <v>49</v>
      </c>
      <c r="C48" s="1">
        <v>452</v>
      </c>
      <c r="D48" s="1">
        <v>130</v>
      </c>
      <c r="E48" s="1">
        <v>515</v>
      </c>
      <c r="F48" s="1">
        <v>5</v>
      </c>
      <c r="G48" s="7">
        <v>0.35</v>
      </c>
      <c r="H48" s="1">
        <v>40</v>
      </c>
      <c r="I48" s="12" t="s">
        <v>60</v>
      </c>
      <c r="J48" s="1"/>
      <c r="K48" s="1">
        <v>602</v>
      </c>
      <c r="L48" s="1">
        <f t="shared" si="8"/>
        <v>-87</v>
      </c>
      <c r="M48" s="1"/>
      <c r="N48" s="1"/>
      <c r="O48" s="1">
        <v>537.46</v>
      </c>
      <c r="P48" s="1">
        <v>-540</v>
      </c>
      <c r="Q48" s="1"/>
      <c r="R48" s="1"/>
      <c r="S48" s="1">
        <f t="shared" si="9"/>
        <v>103</v>
      </c>
      <c r="T48" s="5">
        <v>300</v>
      </c>
      <c r="U48" s="5">
        <f>T48*0.45</f>
        <v>135</v>
      </c>
      <c r="V48" s="1">
        <f t="shared" si="10"/>
        <v>1.3345631067961168</v>
      </c>
      <c r="W48" s="1">
        <f t="shared" si="11"/>
        <v>2.3883495145631421E-2</v>
      </c>
      <c r="X48" s="1">
        <v>97.6</v>
      </c>
      <c r="Y48" s="1">
        <v>89</v>
      </c>
      <c r="Z48" s="1">
        <v>59.8</v>
      </c>
      <c r="AA48" s="1">
        <v>29.4</v>
      </c>
      <c r="AB48" s="1">
        <v>28.2</v>
      </c>
      <c r="AC48" s="1">
        <v>68</v>
      </c>
      <c r="AD48" s="1">
        <v>90.8</v>
      </c>
      <c r="AE48" s="1">
        <v>100.4</v>
      </c>
      <c r="AF48" s="1">
        <v>88.8</v>
      </c>
      <c r="AG48" s="1">
        <v>72.599999999999994</v>
      </c>
      <c r="AH48" s="1"/>
      <c r="AI48" s="1">
        <f t="shared" si="12"/>
        <v>47</v>
      </c>
      <c r="AJ48" t="s">
        <v>132</v>
      </c>
    </row>
    <row r="49" spans="1:36" x14ac:dyDescent="0.25">
      <c r="A49" s="1" t="s">
        <v>133</v>
      </c>
      <c r="B49" s="1" t="s">
        <v>49</v>
      </c>
      <c r="C49" s="1">
        <v>6</v>
      </c>
      <c r="D49" s="1">
        <v>295</v>
      </c>
      <c r="E49" s="1">
        <v>253</v>
      </c>
      <c r="F49" s="1">
        <v>17</v>
      </c>
      <c r="G49" s="7">
        <v>0.4</v>
      </c>
      <c r="H49" s="1">
        <v>40</v>
      </c>
      <c r="I49" s="12" t="s">
        <v>60</v>
      </c>
      <c r="J49" s="1"/>
      <c r="K49" s="1">
        <v>279</v>
      </c>
      <c r="L49" s="1">
        <f t="shared" si="8"/>
        <v>-26</v>
      </c>
      <c r="M49" s="1"/>
      <c r="N49" s="1"/>
      <c r="O49" s="1">
        <v>50</v>
      </c>
      <c r="P49" s="1"/>
      <c r="Q49" s="1"/>
      <c r="R49" s="1"/>
      <c r="S49" s="1">
        <f t="shared" si="9"/>
        <v>50.6</v>
      </c>
      <c r="T49" s="5">
        <v>250</v>
      </c>
      <c r="U49" s="5">
        <f>T49*0.45</f>
        <v>112.5</v>
      </c>
      <c r="V49" s="1">
        <f t="shared" si="10"/>
        <v>3.5474308300395254</v>
      </c>
      <c r="W49" s="1">
        <f t="shared" si="11"/>
        <v>1.3241106719367588</v>
      </c>
      <c r="X49" s="1">
        <v>5.8</v>
      </c>
      <c r="Y49" s="1">
        <v>33.6</v>
      </c>
      <c r="Z49" s="1">
        <v>70.400000000000006</v>
      </c>
      <c r="AA49" s="1">
        <v>38.799999999999997</v>
      </c>
      <c r="AB49" s="1">
        <v>-0.4</v>
      </c>
      <c r="AC49" s="1">
        <v>4.8</v>
      </c>
      <c r="AD49" s="1">
        <v>60.6</v>
      </c>
      <c r="AE49" s="1">
        <v>80.400000000000006</v>
      </c>
      <c r="AF49" s="1">
        <v>31</v>
      </c>
      <c r="AG49" s="1">
        <v>47</v>
      </c>
      <c r="AH49" s="1"/>
      <c r="AI49" s="1">
        <f t="shared" si="12"/>
        <v>45</v>
      </c>
      <c r="AJ49" t="s">
        <v>134</v>
      </c>
    </row>
    <row r="50" spans="1:36" x14ac:dyDescent="0.25">
      <c r="A50" s="1" t="s">
        <v>135</v>
      </c>
      <c r="B50" s="1" t="s">
        <v>41</v>
      </c>
      <c r="C50" s="1">
        <v>137.423</v>
      </c>
      <c r="D50" s="1">
        <v>6.7939999999999996</v>
      </c>
      <c r="E50" s="1">
        <v>20.391999999999999</v>
      </c>
      <c r="F50" s="1">
        <v>108.887</v>
      </c>
      <c r="G50" s="7">
        <v>1</v>
      </c>
      <c r="H50" s="1">
        <v>50</v>
      </c>
      <c r="I50" s="1" t="s">
        <v>42</v>
      </c>
      <c r="J50" s="1"/>
      <c r="K50" s="1">
        <v>21.6</v>
      </c>
      <c r="L50" s="1">
        <f t="shared" si="8"/>
        <v>-1.208000000000002</v>
      </c>
      <c r="M50" s="1"/>
      <c r="N50" s="1"/>
      <c r="O50" s="1">
        <v>0</v>
      </c>
      <c r="P50" s="1"/>
      <c r="Q50" s="1"/>
      <c r="R50" s="1"/>
      <c r="S50" s="1">
        <f t="shared" si="9"/>
        <v>4.0784000000000002</v>
      </c>
      <c r="T50" s="5"/>
      <c r="U50" s="5">
        <f>T50</f>
        <v>0</v>
      </c>
      <c r="V50" s="1">
        <f t="shared" si="10"/>
        <v>26.698460180462924</v>
      </c>
      <c r="W50" s="1">
        <f t="shared" si="11"/>
        <v>26.698460180462924</v>
      </c>
      <c r="X50" s="1">
        <v>5.7111999999999998</v>
      </c>
      <c r="Y50" s="1">
        <v>8.3732000000000006</v>
      </c>
      <c r="Z50" s="1">
        <v>5.0987999999999998</v>
      </c>
      <c r="AA50" s="1">
        <v>3.4666000000000001</v>
      </c>
      <c r="AB50" s="1">
        <v>8.6292000000000009</v>
      </c>
      <c r="AC50" s="1">
        <v>14.634600000000001</v>
      </c>
      <c r="AD50" s="1">
        <v>11.626799999999999</v>
      </c>
      <c r="AE50" s="1">
        <v>6.9311999999999996</v>
      </c>
      <c r="AF50" s="1">
        <v>5.5941999999999998</v>
      </c>
      <c r="AG50" s="1">
        <v>8.6849999999999987</v>
      </c>
      <c r="AH50" s="14" t="s">
        <v>136</v>
      </c>
      <c r="AI50" s="1">
        <f t="shared" si="12"/>
        <v>0</v>
      </c>
      <c r="AJ50" t="s">
        <v>137</v>
      </c>
    </row>
    <row r="51" spans="1:36" x14ac:dyDescent="0.25">
      <c r="A51" s="1" t="s">
        <v>138</v>
      </c>
      <c r="B51" s="1" t="s">
        <v>41</v>
      </c>
      <c r="C51" s="1">
        <v>134.69999999999999</v>
      </c>
      <c r="D51" s="1">
        <v>90.067999999999998</v>
      </c>
      <c r="E51" s="1">
        <v>78.036000000000001</v>
      </c>
      <c r="F51" s="1">
        <v>106.224</v>
      </c>
      <c r="G51" s="7">
        <v>1</v>
      </c>
      <c r="H51" s="1">
        <v>50</v>
      </c>
      <c r="I51" s="1" t="s">
        <v>42</v>
      </c>
      <c r="J51" s="1"/>
      <c r="K51" s="1">
        <v>83.7</v>
      </c>
      <c r="L51" s="1">
        <f t="shared" si="8"/>
        <v>-5.6640000000000015</v>
      </c>
      <c r="M51" s="1"/>
      <c r="N51" s="1"/>
      <c r="O51" s="1">
        <v>55.873399999999997</v>
      </c>
      <c r="P51" s="1"/>
      <c r="Q51" s="1"/>
      <c r="R51" s="1"/>
      <c r="S51" s="1">
        <f t="shared" si="9"/>
        <v>15.607200000000001</v>
      </c>
      <c r="T51" s="5">
        <f>12*S51-R51-Q51-P51-O51-F51</f>
        <v>25.189000000000007</v>
      </c>
      <c r="U51" s="5">
        <f>T51</f>
        <v>25.189000000000007</v>
      </c>
      <c r="V51" s="1">
        <f t="shared" si="10"/>
        <v>12</v>
      </c>
      <c r="W51" s="1">
        <f t="shared" si="11"/>
        <v>10.386065405710184</v>
      </c>
      <c r="X51" s="1">
        <v>15.357799999999999</v>
      </c>
      <c r="Y51" s="1">
        <v>21.200199999999999</v>
      </c>
      <c r="Z51" s="1">
        <v>14.8202</v>
      </c>
      <c r="AA51" s="1">
        <v>20.593</v>
      </c>
      <c r="AB51" s="1">
        <v>27.026800000000001</v>
      </c>
      <c r="AC51" s="1">
        <v>24.317599999999999</v>
      </c>
      <c r="AD51" s="1">
        <v>22.387</v>
      </c>
      <c r="AE51" s="1">
        <v>17.299399999999999</v>
      </c>
      <c r="AF51" s="1">
        <v>20.2286</v>
      </c>
      <c r="AG51" s="1">
        <v>30.904399999999999</v>
      </c>
      <c r="AH51" s="1"/>
      <c r="AI51" s="1">
        <f t="shared" si="12"/>
        <v>25</v>
      </c>
      <c r="AJ51" t="s">
        <v>139</v>
      </c>
    </row>
    <row r="52" spans="1:36" x14ac:dyDescent="0.25">
      <c r="A52" s="1" t="s">
        <v>140</v>
      </c>
      <c r="B52" s="1" t="s">
        <v>41</v>
      </c>
      <c r="C52" s="1">
        <v>-0.125</v>
      </c>
      <c r="D52" s="1"/>
      <c r="E52" s="1">
        <v>-0.15</v>
      </c>
      <c r="F52" s="1">
        <v>-0.125</v>
      </c>
      <c r="G52" s="7">
        <v>1</v>
      </c>
      <c r="H52" s="1">
        <v>45</v>
      </c>
      <c r="I52" s="12" t="s">
        <v>60</v>
      </c>
      <c r="J52" s="1"/>
      <c r="K52" s="1"/>
      <c r="L52" s="1">
        <f t="shared" si="8"/>
        <v>-0.15</v>
      </c>
      <c r="M52" s="1"/>
      <c r="N52" s="1"/>
      <c r="O52" s="1">
        <v>80</v>
      </c>
      <c r="P52" s="1">
        <v>-81</v>
      </c>
      <c r="Q52" s="1"/>
      <c r="R52" s="1"/>
      <c r="S52" s="1">
        <f t="shared" si="9"/>
        <v>-0.03</v>
      </c>
      <c r="T52" s="5">
        <v>60</v>
      </c>
      <c r="U52" s="5">
        <f>T52*0.45</f>
        <v>27</v>
      </c>
      <c r="V52" s="1">
        <f t="shared" si="10"/>
        <v>-862.5</v>
      </c>
      <c r="W52" s="1">
        <f t="shared" si="11"/>
        <v>37.5</v>
      </c>
      <c r="X52" s="1">
        <v>0</v>
      </c>
      <c r="Y52" s="1">
        <v>0.57939999999999992</v>
      </c>
      <c r="Z52" s="1">
        <v>19.140999999999998</v>
      </c>
      <c r="AA52" s="1">
        <v>23.854800000000001</v>
      </c>
      <c r="AB52" s="1">
        <v>5.6736000000000004</v>
      </c>
      <c r="AC52" s="1">
        <v>9.59</v>
      </c>
      <c r="AD52" s="1">
        <v>25.247399999999999</v>
      </c>
      <c r="AE52" s="1">
        <v>16.625399999999999</v>
      </c>
      <c r="AF52" s="1">
        <v>0.30599999999999999</v>
      </c>
      <c r="AG52" s="1">
        <v>1.5204</v>
      </c>
      <c r="AH52" s="1"/>
      <c r="AI52" s="1">
        <f t="shared" si="12"/>
        <v>27</v>
      </c>
      <c r="AJ52" t="s">
        <v>141</v>
      </c>
    </row>
    <row r="53" spans="1:36" x14ac:dyDescent="0.25">
      <c r="A53" s="1" t="s">
        <v>142</v>
      </c>
      <c r="B53" s="1" t="s">
        <v>49</v>
      </c>
      <c r="C53" s="1">
        <v>146</v>
      </c>
      <c r="D53" s="1">
        <v>111</v>
      </c>
      <c r="E53" s="1">
        <v>103</v>
      </c>
      <c r="F53" s="1">
        <v>136</v>
      </c>
      <c r="G53" s="7">
        <v>0.45</v>
      </c>
      <c r="H53" s="1">
        <v>50</v>
      </c>
      <c r="I53" s="1" t="s">
        <v>42</v>
      </c>
      <c r="J53" s="1"/>
      <c r="K53" s="1">
        <v>110</v>
      </c>
      <c r="L53" s="1">
        <f t="shared" si="8"/>
        <v>-7</v>
      </c>
      <c r="M53" s="1"/>
      <c r="N53" s="1"/>
      <c r="O53" s="1">
        <v>11.599999999999969</v>
      </c>
      <c r="P53" s="1"/>
      <c r="Q53" s="1"/>
      <c r="R53" s="1"/>
      <c r="S53" s="1">
        <f t="shared" si="9"/>
        <v>20.6</v>
      </c>
      <c r="T53" s="5">
        <f>12*S53-R53-Q53-P53-O53-F53</f>
        <v>99.600000000000051</v>
      </c>
      <c r="U53" s="5">
        <f>T53+$U$1*S53</f>
        <v>74.262000000000057</v>
      </c>
      <c r="V53" s="1">
        <f t="shared" si="10"/>
        <v>10.77</v>
      </c>
      <c r="W53" s="1">
        <f t="shared" si="11"/>
        <v>7.1650485436893181</v>
      </c>
      <c r="X53" s="1">
        <v>16.399999999999999</v>
      </c>
      <c r="Y53" s="1">
        <v>19.600000000000001</v>
      </c>
      <c r="Z53" s="1">
        <v>21.8</v>
      </c>
      <c r="AA53" s="1">
        <v>20.2</v>
      </c>
      <c r="AB53" s="1">
        <v>25.4</v>
      </c>
      <c r="AC53" s="1">
        <v>24.4</v>
      </c>
      <c r="AD53" s="1">
        <v>20.8</v>
      </c>
      <c r="AE53" s="1">
        <v>31</v>
      </c>
      <c r="AF53" s="1">
        <v>31.8</v>
      </c>
      <c r="AG53" s="1">
        <v>22.2</v>
      </c>
      <c r="AH53" s="1"/>
      <c r="AI53" s="1">
        <f t="shared" si="12"/>
        <v>33</v>
      </c>
      <c r="AJ53" t="s">
        <v>143</v>
      </c>
    </row>
    <row r="54" spans="1:36" x14ac:dyDescent="0.25">
      <c r="A54" s="1" t="s">
        <v>144</v>
      </c>
      <c r="B54" s="1" t="s">
        <v>49</v>
      </c>
      <c r="C54" s="1">
        <v>491</v>
      </c>
      <c r="D54" s="1">
        <v>11</v>
      </c>
      <c r="E54" s="1">
        <v>229</v>
      </c>
      <c r="F54" s="1">
        <v>250</v>
      </c>
      <c r="G54" s="7">
        <v>0.45</v>
      </c>
      <c r="H54" s="1">
        <v>50</v>
      </c>
      <c r="I54" s="1" t="s">
        <v>42</v>
      </c>
      <c r="J54" s="1"/>
      <c r="K54" s="1">
        <v>236</v>
      </c>
      <c r="L54" s="1">
        <f t="shared" si="8"/>
        <v>-7</v>
      </c>
      <c r="M54" s="1"/>
      <c r="N54" s="1"/>
      <c r="O54" s="1">
        <v>0</v>
      </c>
      <c r="P54" s="1"/>
      <c r="Q54" s="1"/>
      <c r="R54" s="1"/>
      <c r="S54" s="1">
        <f t="shared" si="9"/>
        <v>45.8</v>
      </c>
      <c r="T54" s="5">
        <f>11*S54-R54-Q54-P54-O54-F54</f>
        <v>253.79999999999995</v>
      </c>
      <c r="U54" s="5">
        <f>T54+$U$1*S54</f>
        <v>197.46599999999995</v>
      </c>
      <c r="V54" s="1">
        <f t="shared" si="10"/>
        <v>9.77</v>
      </c>
      <c r="W54" s="1">
        <f t="shared" si="11"/>
        <v>5.4585152838427948</v>
      </c>
      <c r="X54" s="1">
        <v>21.2</v>
      </c>
      <c r="Y54" s="1">
        <v>24</v>
      </c>
      <c r="Z54" s="1">
        <v>25.8</v>
      </c>
      <c r="AA54" s="1">
        <v>20.8</v>
      </c>
      <c r="AB54" s="1">
        <v>32.200000000000003</v>
      </c>
      <c r="AC54" s="1">
        <v>52.2</v>
      </c>
      <c r="AD54" s="1">
        <v>55.2</v>
      </c>
      <c r="AE54" s="1">
        <v>40.4</v>
      </c>
      <c r="AF54" s="1">
        <v>26.6</v>
      </c>
      <c r="AG54" s="1">
        <v>33.4</v>
      </c>
      <c r="AH54" s="1"/>
      <c r="AI54" s="1">
        <f t="shared" si="12"/>
        <v>89</v>
      </c>
      <c r="AJ54" t="s">
        <v>145</v>
      </c>
    </row>
    <row r="55" spans="1:36" x14ac:dyDescent="0.25">
      <c r="A55" s="1" t="s">
        <v>146</v>
      </c>
      <c r="B55" s="1" t="s">
        <v>49</v>
      </c>
      <c r="C55" s="1">
        <v>41</v>
      </c>
      <c r="D55" s="1">
        <v>164</v>
      </c>
      <c r="E55" s="1">
        <v>186</v>
      </c>
      <c r="F55" s="1">
        <v>12</v>
      </c>
      <c r="G55" s="7">
        <v>0.4</v>
      </c>
      <c r="H55" s="1">
        <v>40</v>
      </c>
      <c r="I55" s="12" t="s">
        <v>60</v>
      </c>
      <c r="J55" s="1"/>
      <c r="K55" s="1">
        <v>185</v>
      </c>
      <c r="L55" s="1">
        <f t="shared" si="8"/>
        <v>1</v>
      </c>
      <c r="M55" s="1"/>
      <c r="N55" s="1"/>
      <c r="O55" s="1">
        <v>84</v>
      </c>
      <c r="P55" s="1">
        <v>-90</v>
      </c>
      <c r="Q55" s="1"/>
      <c r="R55" s="1"/>
      <c r="S55" s="1">
        <f t="shared" si="9"/>
        <v>37.200000000000003</v>
      </c>
      <c r="T55" s="5">
        <v>100</v>
      </c>
      <c r="U55" s="5">
        <f>T55*0.45</f>
        <v>45</v>
      </c>
      <c r="V55" s="1">
        <f t="shared" si="10"/>
        <v>1.3709677419354838</v>
      </c>
      <c r="W55" s="1">
        <f t="shared" si="11"/>
        <v>0.16129032258064516</v>
      </c>
      <c r="X55" s="1">
        <v>17</v>
      </c>
      <c r="Y55" s="1">
        <v>23.2</v>
      </c>
      <c r="Z55" s="1">
        <v>22.4</v>
      </c>
      <c r="AA55" s="1">
        <v>14.8</v>
      </c>
      <c r="AB55" s="1">
        <v>21.2</v>
      </c>
      <c r="AC55" s="1">
        <v>21.8</v>
      </c>
      <c r="AD55" s="1">
        <v>20.2</v>
      </c>
      <c r="AE55" s="1">
        <v>32.6</v>
      </c>
      <c r="AF55" s="1">
        <v>27.8</v>
      </c>
      <c r="AG55" s="1">
        <v>19</v>
      </c>
      <c r="AH55" s="1"/>
      <c r="AI55" s="1">
        <f t="shared" si="12"/>
        <v>18</v>
      </c>
      <c r="AJ55" t="s">
        <v>147</v>
      </c>
    </row>
    <row r="56" spans="1:36" x14ac:dyDescent="0.25">
      <c r="A56" s="1" t="s">
        <v>148</v>
      </c>
      <c r="B56" s="1" t="s">
        <v>49</v>
      </c>
      <c r="C56" s="1">
        <v>26</v>
      </c>
      <c r="D56" s="1">
        <v>200</v>
      </c>
      <c r="E56" s="1">
        <v>160</v>
      </c>
      <c r="F56" s="1">
        <v>52</v>
      </c>
      <c r="G56" s="7">
        <v>0.4</v>
      </c>
      <c r="H56" s="1">
        <v>40</v>
      </c>
      <c r="I56" s="12" t="s">
        <v>60</v>
      </c>
      <c r="J56" s="1"/>
      <c r="K56" s="1">
        <v>183</v>
      </c>
      <c r="L56" s="1">
        <f t="shared" si="8"/>
        <v>-23</v>
      </c>
      <c r="M56" s="1"/>
      <c r="N56" s="1"/>
      <c r="O56" s="1">
        <v>51.618000000000023</v>
      </c>
      <c r="P56" s="1"/>
      <c r="Q56" s="1"/>
      <c r="R56" s="1"/>
      <c r="S56" s="1">
        <f t="shared" si="9"/>
        <v>32</v>
      </c>
      <c r="T56" s="5">
        <v>120</v>
      </c>
      <c r="U56" s="5">
        <f>T56*0.45</f>
        <v>54</v>
      </c>
      <c r="V56" s="1">
        <f t="shared" si="10"/>
        <v>4.9255625000000007</v>
      </c>
      <c r="W56" s="1">
        <f t="shared" si="11"/>
        <v>3.2380625000000007</v>
      </c>
      <c r="X56" s="1">
        <v>12.8</v>
      </c>
      <c r="Y56" s="1">
        <v>20.8</v>
      </c>
      <c r="Z56" s="1">
        <v>25.4</v>
      </c>
      <c r="AA56" s="1">
        <v>15.6</v>
      </c>
      <c r="AB56" s="1">
        <v>12.8</v>
      </c>
      <c r="AC56" s="1">
        <v>14.4</v>
      </c>
      <c r="AD56" s="1">
        <v>16.600000000000001</v>
      </c>
      <c r="AE56" s="1">
        <v>31.6</v>
      </c>
      <c r="AF56" s="1">
        <v>18.2</v>
      </c>
      <c r="AG56" s="1">
        <v>-0.8</v>
      </c>
      <c r="AH56" s="1"/>
      <c r="AI56" s="1">
        <f t="shared" si="12"/>
        <v>22</v>
      </c>
      <c r="AJ56" t="s">
        <v>149</v>
      </c>
    </row>
    <row r="57" spans="1:36" x14ac:dyDescent="0.25">
      <c r="A57" s="1" t="s">
        <v>150</v>
      </c>
      <c r="B57" s="1" t="s">
        <v>41</v>
      </c>
      <c r="C57" s="1">
        <v>113.27200000000001</v>
      </c>
      <c r="D57" s="1">
        <v>30.036999999999999</v>
      </c>
      <c r="E57" s="1">
        <v>79.391000000000005</v>
      </c>
      <c r="F57" s="1">
        <v>43.436999999999998</v>
      </c>
      <c r="G57" s="7">
        <v>1</v>
      </c>
      <c r="H57" s="1">
        <v>50</v>
      </c>
      <c r="I57" s="1" t="s">
        <v>42</v>
      </c>
      <c r="J57" s="1"/>
      <c r="K57" s="1">
        <v>77.849999999999994</v>
      </c>
      <c r="L57" s="1">
        <f t="shared" si="8"/>
        <v>1.541000000000011</v>
      </c>
      <c r="M57" s="1"/>
      <c r="N57" s="1"/>
      <c r="O57" s="1">
        <v>89.746048000000002</v>
      </c>
      <c r="P57" s="1"/>
      <c r="Q57" s="1"/>
      <c r="R57" s="1"/>
      <c r="S57" s="1">
        <f t="shared" si="9"/>
        <v>15.878200000000001</v>
      </c>
      <c r="T57" s="5">
        <f>12*S57-R57-Q57-P57-O57-F57</f>
        <v>57.355352000000025</v>
      </c>
      <c r="U57" s="5">
        <f>T57+$U$1*S57</f>
        <v>37.825166000000024</v>
      </c>
      <c r="V57" s="1">
        <f t="shared" si="10"/>
        <v>10.77</v>
      </c>
      <c r="W57" s="1">
        <f t="shared" si="11"/>
        <v>8.3877925709463277</v>
      </c>
      <c r="X57" s="1">
        <v>12.8612</v>
      </c>
      <c r="Y57" s="1">
        <v>18.917200000000001</v>
      </c>
      <c r="Z57" s="1">
        <v>14.224399999999999</v>
      </c>
      <c r="AA57" s="1">
        <v>14.7386</v>
      </c>
      <c r="AB57" s="1">
        <v>21.672000000000001</v>
      </c>
      <c r="AC57" s="1">
        <v>21.163</v>
      </c>
      <c r="AD57" s="1">
        <v>17.197600000000001</v>
      </c>
      <c r="AE57" s="1">
        <v>18.852</v>
      </c>
      <c r="AF57" s="1">
        <v>18.622800000000002</v>
      </c>
      <c r="AG57" s="1">
        <v>15.298999999999999</v>
      </c>
      <c r="AH57" s="1"/>
      <c r="AI57" s="1">
        <f t="shared" si="12"/>
        <v>38</v>
      </c>
      <c r="AJ57" t="s">
        <v>151</v>
      </c>
    </row>
    <row r="58" spans="1:36" x14ac:dyDescent="0.25">
      <c r="A58" s="1" t="s">
        <v>152</v>
      </c>
      <c r="B58" s="1" t="s">
        <v>49</v>
      </c>
      <c r="C58" s="1">
        <v>279</v>
      </c>
      <c r="D58" s="1">
        <v>280</v>
      </c>
      <c r="E58" s="1">
        <v>162</v>
      </c>
      <c r="F58" s="1">
        <v>341</v>
      </c>
      <c r="G58" s="7">
        <v>0.1</v>
      </c>
      <c r="H58" s="1">
        <v>731</v>
      </c>
      <c r="I58" s="1" t="s">
        <v>42</v>
      </c>
      <c r="J58" s="1"/>
      <c r="K58" s="1">
        <v>158</v>
      </c>
      <c r="L58" s="1">
        <f t="shared" si="8"/>
        <v>4</v>
      </c>
      <c r="M58" s="1"/>
      <c r="N58" s="1"/>
      <c r="O58" s="1">
        <v>0</v>
      </c>
      <c r="P58" s="1"/>
      <c r="Q58" s="1"/>
      <c r="R58" s="1"/>
      <c r="S58" s="1">
        <f t="shared" si="9"/>
        <v>32.4</v>
      </c>
      <c r="T58" s="5">
        <f>12*S58-R58-Q58-P58-O58-F58</f>
        <v>47.799999999999955</v>
      </c>
      <c r="U58" s="5">
        <f>T58</f>
        <v>47.799999999999955</v>
      </c>
      <c r="V58" s="1">
        <f t="shared" si="10"/>
        <v>12</v>
      </c>
      <c r="W58" s="1">
        <f t="shared" si="11"/>
        <v>10.524691358024691</v>
      </c>
      <c r="X58" s="1">
        <v>36.799999999999997</v>
      </c>
      <c r="Y58" s="1">
        <v>25.6</v>
      </c>
      <c r="Z58" s="1">
        <v>16.2</v>
      </c>
      <c r="AA58" s="1">
        <v>44</v>
      </c>
      <c r="AB58" s="1">
        <v>53</v>
      </c>
      <c r="AC58" s="1">
        <v>43.4</v>
      </c>
      <c r="AD58" s="1">
        <v>37.799999999999997</v>
      </c>
      <c r="AE58" s="1">
        <v>25.4</v>
      </c>
      <c r="AF58" s="1">
        <v>33</v>
      </c>
      <c r="AG58" s="1">
        <v>46</v>
      </c>
      <c r="AH58" s="1"/>
      <c r="AI58" s="1">
        <f t="shared" si="12"/>
        <v>5</v>
      </c>
      <c r="AJ58" t="s">
        <v>153</v>
      </c>
    </row>
    <row r="59" spans="1:36" x14ac:dyDescent="0.25">
      <c r="A59" s="1" t="s">
        <v>154</v>
      </c>
      <c r="B59" s="1" t="s">
        <v>41</v>
      </c>
      <c r="C59" s="1">
        <v>104.714</v>
      </c>
      <c r="D59" s="1">
        <v>8.1140000000000008</v>
      </c>
      <c r="E59" s="1">
        <v>50.851999999999997</v>
      </c>
      <c r="F59" s="1">
        <v>24.32</v>
      </c>
      <c r="G59" s="7">
        <v>1</v>
      </c>
      <c r="H59" s="1">
        <v>50</v>
      </c>
      <c r="I59" s="1" t="s">
        <v>42</v>
      </c>
      <c r="J59" s="1"/>
      <c r="K59" s="1">
        <v>50.1</v>
      </c>
      <c r="L59" s="1">
        <f t="shared" si="8"/>
        <v>0.75199999999999534</v>
      </c>
      <c r="M59" s="1"/>
      <c r="N59" s="1"/>
      <c r="O59" s="1">
        <v>95.391200000000026</v>
      </c>
      <c r="P59" s="1"/>
      <c r="Q59" s="1"/>
      <c r="R59" s="1"/>
      <c r="S59" s="1">
        <f t="shared" si="9"/>
        <v>10.170399999999999</v>
      </c>
      <c r="T59" s="5">
        <v>4</v>
      </c>
      <c r="U59" s="5">
        <f>T59</f>
        <v>4</v>
      </c>
      <c r="V59" s="1">
        <f t="shared" si="10"/>
        <v>12.163848029576029</v>
      </c>
      <c r="W59" s="1">
        <f t="shared" si="11"/>
        <v>11.770549830881778</v>
      </c>
      <c r="X59" s="1">
        <v>14.961</v>
      </c>
      <c r="Y59" s="1">
        <v>15.6616</v>
      </c>
      <c r="Z59" s="1">
        <v>8.7063999999999986</v>
      </c>
      <c r="AA59" s="1">
        <v>10.54</v>
      </c>
      <c r="AB59" s="1">
        <v>16.8352</v>
      </c>
      <c r="AC59" s="1">
        <v>17.306999999999999</v>
      </c>
      <c r="AD59" s="1">
        <v>15.000999999999999</v>
      </c>
      <c r="AE59" s="1">
        <v>12.8538</v>
      </c>
      <c r="AF59" s="1">
        <v>14.462999999999999</v>
      </c>
      <c r="AG59" s="1">
        <v>19.234200000000001</v>
      </c>
      <c r="AH59" s="1"/>
      <c r="AI59" s="1">
        <f t="shared" si="12"/>
        <v>4</v>
      </c>
      <c r="AJ59" t="s">
        <v>155</v>
      </c>
    </row>
    <row r="60" spans="1:36" x14ac:dyDescent="0.25">
      <c r="A60" s="1" t="s">
        <v>156</v>
      </c>
      <c r="B60" s="1" t="s">
        <v>41</v>
      </c>
      <c r="C60" s="1">
        <v>46.600999999999999</v>
      </c>
      <c r="D60" s="1"/>
      <c r="E60" s="1">
        <v>13.714</v>
      </c>
      <c r="F60" s="1">
        <v>21.882999999999999</v>
      </c>
      <c r="G60" s="7">
        <v>1</v>
      </c>
      <c r="H60" s="1">
        <v>55</v>
      </c>
      <c r="I60" s="1" t="s">
        <v>42</v>
      </c>
      <c r="J60" s="1"/>
      <c r="K60" s="1">
        <v>11.7</v>
      </c>
      <c r="L60" s="1">
        <f t="shared" si="8"/>
        <v>2.0140000000000011</v>
      </c>
      <c r="M60" s="1"/>
      <c r="N60" s="1"/>
      <c r="O60" s="1">
        <v>30.510200000000012</v>
      </c>
      <c r="P60" s="1"/>
      <c r="Q60" s="1"/>
      <c r="R60" s="1"/>
      <c r="S60" s="1">
        <f t="shared" si="9"/>
        <v>2.7427999999999999</v>
      </c>
      <c r="T60" s="5"/>
      <c r="U60" s="5">
        <f>T60</f>
        <v>0</v>
      </c>
      <c r="V60" s="1">
        <f t="shared" si="10"/>
        <v>19.102085460113756</v>
      </c>
      <c r="W60" s="1">
        <f t="shared" si="11"/>
        <v>19.102085460113756</v>
      </c>
      <c r="X60" s="1">
        <v>6.0340000000000007</v>
      </c>
      <c r="Y60" s="1">
        <v>6.3116000000000003</v>
      </c>
      <c r="Z60" s="1">
        <v>1.65</v>
      </c>
      <c r="AA60" s="1">
        <v>4.9256000000000002</v>
      </c>
      <c r="AB60" s="1">
        <v>7.6627999999999998</v>
      </c>
      <c r="AC60" s="1">
        <v>7.9290000000000003</v>
      </c>
      <c r="AD60" s="1">
        <v>6.2595999999999998</v>
      </c>
      <c r="AE60" s="1">
        <v>4.0456000000000003</v>
      </c>
      <c r="AF60" s="1">
        <v>5.1433999999999997</v>
      </c>
      <c r="AG60" s="1">
        <v>5.1475999999999997</v>
      </c>
      <c r="AH60" s="1"/>
      <c r="AI60" s="1">
        <f t="shared" si="12"/>
        <v>0</v>
      </c>
      <c r="AJ60" t="s">
        <v>157</v>
      </c>
    </row>
    <row r="61" spans="1:36" x14ac:dyDescent="0.25">
      <c r="A61" s="1" t="s">
        <v>158</v>
      </c>
      <c r="B61" s="1" t="s">
        <v>49</v>
      </c>
      <c r="C61" s="1">
        <v>316</v>
      </c>
      <c r="D61" s="1">
        <v>140</v>
      </c>
      <c r="E61" s="1">
        <v>321</v>
      </c>
      <c r="F61" s="1">
        <v>85</v>
      </c>
      <c r="G61" s="7">
        <v>0.1</v>
      </c>
      <c r="H61" s="1">
        <v>731</v>
      </c>
      <c r="I61" s="1" t="s">
        <v>42</v>
      </c>
      <c r="J61" s="1"/>
      <c r="K61" s="1">
        <v>190</v>
      </c>
      <c r="L61" s="1">
        <f t="shared" si="8"/>
        <v>131</v>
      </c>
      <c r="M61" s="1"/>
      <c r="N61" s="1"/>
      <c r="O61" s="1">
        <v>0</v>
      </c>
      <c r="P61" s="1"/>
      <c r="Q61" s="1"/>
      <c r="R61" s="1"/>
      <c r="S61" s="1">
        <f t="shared" si="9"/>
        <v>64.2</v>
      </c>
      <c r="T61" s="5">
        <f>8*S61-R61-Q61-P61-O61-F61</f>
        <v>428.6</v>
      </c>
      <c r="U61" s="5">
        <f>T61+$U$1*S61</f>
        <v>349.63400000000001</v>
      </c>
      <c r="V61" s="1">
        <f t="shared" si="10"/>
        <v>6.77</v>
      </c>
      <c r="W61" s="1">
        <f t="shared" si="11"/>
        <v>1.32398753894081</v>
      </c>
      <c r="X61" s="1">
        <v>32.799999999999997</v>
      </c>
      <c r="Y61" s="1">
        <v>32.6</v>
      </c>
      <c r="Z61" s="1">
        <v>33.200000000000003</v>
      </c>
      <c r="AA61" s="1">
        <v>38.4</v>
      </c>
      <c r="AB61" s="1">
        <v>39</v>
      </c>
      <c r="AC61" s="1">
        <v>48.6</v>
      </c>
      <c r="AD61" s="1">
        <v>60.4</v>
      </c>
      <c r="AE61" s="1">
        <v>36.200000000000003</v>
      </c>
      <c r="AF61" s="1">
        <v>27</v>
      </c>
      <c r="AG61" s="1">
        <v>41.2</v>
      </c>
      <c r="AH61" s="1"/>
      <c r="AI61" s="1">
        <f t="shared" si="12"/>
        <v>35</v>
      </c>
      <c r="AJ61" t="s">
        <v>159</v>
      </c>
    </row>
    <row r="62" spans="1:36" x14ac:dyDescent="0.25">
      <c r="A62" s="1" t="s">
        <v>160</v>
      </c>
      <c r="B62" s="1" t="s">
        <v>49</v>
      </c>
      <c r="C62" s="1">
        <v>83</v>
      </c>
      <c r="D62" s="1">
        <v>1</v>
      </c>
      <c r="E62" s="1">
        <v>20</v>
      </c>
      <c r="F62" s="1">
        <v>58</v>
      </c>
      <c r="G62" s="7">
        <v>0.4</v>
      </c>
      <c r="H62" s="1">
        <v>50</v>
      </c>
      <c r="I62" s="1" t="s">
        <v>42</v>
      </c>
      <c r="J62" s="1"/>
      <c r="K62" s="1">
        <v>21</v>
      </c>
      <c r="L62" s="1">
        <f t="shared" si="8"/>
        <v>-1</v>
      </c>
      <c r="M62" s="1"/>
      <c r="N62" s="1"/>
      <c r="O62" s="1">
        <v>0</v>
      </c>
      <c r="P62" s="1"/>
      <c r="Q62" s="1"/>
      <c r="R62" s="1"/>
      <c r="S62" s="1">
        <f t="shared" si="9"/>
        <v>4</v>
      </c>
      <c r="T62" s="5"/>
      <c r="U62" s="5">
        <f>T62</f>
        <v>0</v>
      </c>
      <c r="V62" s="1">
        <f t="shared" si="10"/>
        <v>14.5</v>
      </c>
      <c r="W62" s="1">
        <f t="shared" si="11"/>
        <v>14.5</v>
      </c>
      <c r="X62" s="1">
        <v>4</v>
      </c>
      <c r="Y62" s="1">
        <v>3.6</v>
      </c>
      <c r="Z62" s="1">
        <v>2.6</v>
      </c>
      <c r="AA62" s="1">
        <v>3.6</v>
      </c>
      <c r="AB62" s="1">
        <v>4</v>
      </c>
      <c r="AC62" s="1">
        <v>9</v>
      </c>
      <c r="AD62" s="1">
        <v>10</v>
      </c>
      <c r="AE62" s="1">
        <v>3</v>
      </c>
      <c r="AF62" s="1">
        <v>1.2</v>
      </c>
      <c r="AG62" s="1">
        <v>5</v>
      </c>
      <c r="AH62" s="15" t="s">
        <v>161</v>
      </c>
      <c r="AI62" s="1">
        <f t="shared" si="12"/>
        <v>0</v>
      </c>
      <c r="AJ62" t="s">
        <v>162</v>
      </c>
    </row>
    <row r="63" spans="1:36" x14ac:dyDescent="0.25">
      <c r="A63" s="1" t="s">
        <v>163</v>
      </c>
      <c r="B63" s="1" t="s">
        <v>41</v>
      </c>
      <c r="C63" s="1">
        <v>-0.39200000000000002</v>
      </c>
      <c r="D63" s="1">
        <v>48.137999999999998</v>
      </c>
      <c r="E63" s="1">
        <v>48.252000000000002</v>
      </c>
      <c r="F63" s="1">
        <v>-0.50600000000000001</v>
      </c>
      <c r="G63" s="7">
        <v>1</v>
      </c>
      <c r="H63" s="1">
        <v>40</v>
      </c>
      <c r="I63" s="12" t="s">
        <v>60</v>
      </c>
      <c r="J63" s="1"/>
      <c r="K63" s="1">
        <v>66.099999999999994</v>
      </c>
      <c r="L63" s="1">
        <f t="shared" si="8"/>
        <v>-17.847999999999992</v>
      </c>
      <c r="M63" s="1"/>
      <c r="N63" s="1"/>
      <c r="O63" s="1">
        <v>43.790400000000012</v>
      </c>
      <c r="P63" s="1"/>
      <c r="Q63" s="1"/>
      <c r="R63" s="1"/>
      <c r="S63" s="1">
        <f t="shared" si="9"/>
        <v>9.6504000000000012</v>
      </c>
      <c r="T63" s="5">
        <v>60</v>
      </c>
      <c r="U63" s="5">
        <f>T63*0.45</f>
        <v>27</v>
      </c>
      <c r="V63" s="1">
        <f t="shared" si="10"/>
        <v>7.2830556246373206</v>
      </c>
      <c r="W63" s="1">
        <f t="shared" si="11"/>
        <v>4.4852441349581369</v>
      </c>
      <c r="X63" s="1">
        <v>0</v>
      </c>
      <c r="Y63" s="1">
        <v>13.583600000000001</v>
      </c>
      <c r="Z63" s="1">
        <v>14.9016</v>
      </c>
      <c r="AA63" s="1">
        <v>6.7847999999999997</v>
      </c>
      <c r="AB63" s="1">
        <v>7.556</v>
      </c>
      <c r="AC63" s="1">
        <v>3.6623999999999999</v>
      </c>
      <c r="AD63" s="1">
        <v>4.5907999999999998</v>
      </c>
      <c r="AE63" s="1">
        <v>4.3612000000000002</v>
      </c>
      <c r="AF63" s="1">
        <v>1.5891999999999999</v>
      </c>
      <c r="AG63" s="1">
        <v>3.0236000000000001</v>
      </c>
      <c r="AH63" s="1" t="s">
        <v>164</v>
      </c>
      <c r="AI63" s="1">
        <f t="shared" si="12"/>
        <v>27</v>
      </c>
      <c r="AJ63" t="s">
        <v>165</v>
      </c>
    </row>
    <row r="64" spans="1:36" x14ac:dyDescent="0.25">
      <c r="A64" s="1" t="s">
        <v>166</v>
      </c>
      <c r="B64" s="1" t="s">
        <v>41</v>
      </c>
      <c r="C64" s="1">
        <v>1.111</v>
      </c>
      <c r="D64" s="1">
        <v>158.292</v>
      </c>
      <c r="E64" s="1">
        <v>108.953</v>
      </c>
      <c r="F64" s="1">
        <v>25.844000000000001</v>
      </c>
      <c r="G64" s="7">
        <v>1</v>
      </c>
      <c r="H64" s="1">
        <v>40</v>
      </c>
      <c r="I64" s="1" t="s">
        <v>42</v>
      </c>
      <c r="J64" s="1"/>
      <c r="K64" s="1">
        <v>108.65</v>
      </c>
      <c r="L64" s="1">
        <f t="shared" si="8"/>
        <v>0.30299999999999727</v>
      </c>
      <c r="M64" s="1"/>
      <c r="N64" s="1"/>
      <c r="O64" s="1">
        <v>42.087599999999981</v>
      </c>
      <c r="P64" s="1"/>
      <c r="Q64" s="1"/>
      <c r="R64" s="1"/>
      <c r="S64" s="1">
        <f t="shared" si="9"/>
        <v>21.790600000000001</v>
      </c>
      <c r="T64" s="5">
        <f>10*S64-R64-Q64-P64-O64-F64</f>
        <v>149.97440000000003</v>
      </c>
      <c r="U64" s="5">
        <f>T64+$U$1*S64</f>
        <v>123.17196200000004</v>
      </c>
      <c r="V64" s="1">
        <f t="shared" si="10"/>
        <v>8.77</v>
      </c>
      <c r="W64" s="1">
        <f t="shared" si="11"/>
        <v>3.1174726717024757</v>
      </c>
      <c r="X64" s="1">
        <v>3.8224</v>
      </c>
      <c r="Y64" s="1">
        <v>16.229199999999999</v>
      </c>
      <c r="Z64" s="1">
        <v>13.7578</v>
      </c>
      <c r="AA64" s="1">
        <v>11.1006</v>
      </c>
      <c r="AB64" s="1">
        <v>15.066599999999999</v>
      </c>
      <c r="AC64" s="1">
        <v>7.2840000000000007</v>
      </c>
      <c r="AD64" s="1">
        <v>7.2656000000000009</v>
      </c>
      <c r="AE64" s="1">
        <v>7.7450000000000001</v>
      </c>
      <c r="AF64" s="1">
        <v>3.6516000000000002</v>
      </c>
      <c r="AG64" s="1">
        <v>5.5808</v>
      </c>
      <c r="AH64" s="1" t="s">
        <v>164</v>
      </c>
      <c r="AI64" s="1">
        <f t="shared" si="12"/>
        <v>123</v>
      </c>
      <c r="AJ64" t="s">
        <v>167</v>
      </c>
    </row>
    <row r="65" spans="1:36" x14ac:dyDescent="0.25">
      <c r="A65" s="1" t="s">
        <v>168</v>
      </c>
      <c r="B65" s="1" t="s">
        <v>49</v>
      </c>
      <c r="C65" s="1">
        <v>323</v>
      </c>
      <c r="D65" s="1">
        <v>307</v>
      </c>
      <c r="E65" s="1">
        <v>290</v>
      </c>
      <c r="F65" s="1">
        <v>319</v>
      </c>
      <c r="G65" s="7">
        <v>0.4</v>
      </c>
      <c r="H65" s="1">
        <v>40</v>
      </c>
      <c r="I65" s="1" t="s">
        <v>42</v>
      </c>
      <c r="J65" s="1"/>
      <c r="K65" s="1">
        <v>505</v>
      </c>
      <c r="L65" s="1">
        <f t="shared" si="8"/>
        <v>-215</v>
      </c>
      <c r="M65" s="1"/>
      <c r="N65" s="1"/>
      <c r="O65" s="1">
        <v>0</v>
      </c>
      <c r="P65" s="1"/>
      <c r="Q65" s="1"/>
      <c r="R65" s="1"/>
      <c r="S65" s="1">
        <f t="shared" si="9"/>
        <v>58</v>
      </c>
      <c r="T65" s="5">
        <f>11*S65-R65-Q65-P65-O65-F65</f>
        <v>319</v>
      </c>
      <c r="U65" s="5">
        <f>T65+$U$1*S65</f>
        <v>247.66</v>
      </c>
      <c r="V65" s="1">
        <f t="shared" si="10"/>
        <v>9.77</v>
      </c>
      <c r="W65" s="1">
        <f t="shared" si="11"/>
        <v>5.5</v>
      </c>
      <c r="X65" s="1">
        <v>10</v>
      </c>
      <c r="Y65" s="1">
        <v>24.8</v>
      </c>
      <c r="Z65" s="1">
        <v>56.2</v>
      </c>
      <c r="AA65" s="1">
        <v>44.2</v>
      </c>
      <c r="AB65" s="1">
        <v>14.2</v>
      </c>
      <c r="AC65" s="1">
        <v>1.4</v>
      </c>
      <c r="AD65" s="1">
        <v>13.8</v>
      </c>
      <c r="AE65" s="1">
        <v>63.8</v>
      </c>
      <c r="AF65" s="1">
        <v>81.2</v>
      </c>
      <c r="AG65" s="1">
        <v>86.2</v>
      </c>
      <c r="AH65" s="1"/>
      <c r="AI65" s="1">
        <f t="shared" si="12"/>
        <v>99</v>
      </c>
      <c r="AJ65" t="s">
        <v>169</v>
      </c>
    </row>
    <row r="66" spans="1:36" x14ac:dyDescent="0.25">
      <c r="A66" s="1" t="s">
        <v>170</v>
      </c>
      <c r="B66" s="1" t="s">
        <v>49</v>
      </c>
      <c r="C66" s="1">
        <v>11</v>
      </c>
      <c r="D66" s="1">
        <v>469</v>
      </c>
      <c r="E66" s="1">
        <v>232</v>
      </c>
      <c r="F66" s="1">
        <v>182</v>
      </c>
      <c r="G66" s="7">
        <v>0.4</v>
      </c>
      <c r="H66" s="1">
        <v>40</v>
      </c>
      <c r="I66" s="12" t="s">
        <v>60</v>
      </c>
      <c r="J66" s="1"/>
      <c r="K66" s="1">
        <v>248</v>
      </c>
      <c r="L66" s="1">
        <f t="shared" si="8"/>
        <v>-16</v>
      </c>
      <c r="M66" s="1"/>
      <c r="N66" s="1"/>
      <c r="O66" s="1">
        <v>100</v>
      </c>
      <c r="P66" s="1"/>
      <c r="Q66" s="1"/>
      <c r="R66" s="1"/>
      <c r="S66" s="1">
        <f t="shared" si="9"/>
        <v>46.4</v>
      </c>
      <c r="T66" s="5">
        <v>200</v>
      </c>
      <c r="U66" s="5">
        <f>T66*0.45</f>
        <v>90</v>
      </c>
      <c r="V66" s="1">
        <f t="shared" si="10"/>
        <v>8.0172413793103452</v>
      </c>
      <c r="W66" s="1">
        <f t="shared" si="11"/>
        <v>6.0775862068965516</v>
      </c>
      <c r="X66" s="1">
        <v>4</v>
      </c>
      <c r="Y66" s="1">
        <v>-0.2</v>
      </c>
      <c r="Z66" s="1">
        <v>-0.2</v>
      </c>
      <c r="AA66" s="1">
        <v>-0.2</v>
      </c>
      <c r="AB66" s="1">
        <v>0</v>
      </c>
      <c r="AC66" s="1">
        <v>0</v>
      </c>
      <c r="AD66" s="1">
        <v>45.2</v>
      </c>
      <c r="AE66" s="1">
        <v>92.6</v>
      </c>
      <c r="AF66" s="1">
        <v>69</v>
      </c>
      <c r="AG66" s="1">
        <v>57.4</v>
      </c>
      <c r="AH66" s="1"/>
      <c r="AI66" s="1">
        <f t="shared" si="12"/>
        <v>36</v>
      </c>
      <c r="AJ66" t="s">
        <v>171</v>
      </c>
    </row>
    <row r="67" spans="1:36" x14ac:dyDescent="0.25">
      <c r="A67" s="1" t="s">
        <v>172</v>
      </c>
      <c r="B67" s="1" t="s">
        <v>41</v>
      </c>
      <c r="C67" s="1">
        <v>201.86500000000001</v>
      </c>
      <c r="D67" s="1">
        <v>20.971</v>
      </c>
      <c r="E67" s="1">
        <v>154.316</v>
      </c>
      <c r="F67" s="1">
        <v>23.882000000000001</v>
      </c>
      <c r="G67" s="7">
        <v>1</v>
      </c>
      <c r="H67" s="1">
        <v>40</v>
      </c>
      <c r="I67" s="12" t="s">
        <v>60</v>
      </c>
      <c r="J67" s="1"/>
      <c r="K67" s="1">
        <v>153.4</v>
      </c>
      <c r="L67" s="1">
        <f t="shared" si="8"/>
        <v>0.91599999999999682</v>
      </c>
      <c r="M67" s="1"/>
      <c r="N67" s="1"/>
      <c r="O67" s="1">
        <v>80</v>
      </c>
      <c r="P67" s="1"/>
      <c r="Q67" s="1"/>
      <c r="R67" s="1"/>
      <c r="S67" s="1">
        <f t="shared" si="9"/>
        <v>30.863199999999999</v>
      </c>
      <c r="T67" s="5">
        <v>160</v>
      </c>
      <c r="U67" s="5">
        <f>T67*0.45</f>
        <v>72</v>
      </c>
      <c r="V67" s="1">
        <f t="shared" si="10"/>
        <v>5.698760983955002</v>
      </c>
      <c r="W67" s="1">
        <f t="shared" si="11"/>
        <v>3.365885585422121</v>
      </c>
      <c r="X67" s="1">
        <v>28.920999999999999</v>
      </c>
      <c r="Y67" s="1">
        <v>27.451000000000001</v>
      </c>
      <c r="Z67" s="1">
        <v>27.457799999999999</v>
      </c>
      <c r="AA67" s="1">
        <v>33.810199999999988</v>
      </c>
      <c r="AB67" s="1">
        <v>30.891400000000001</v>
      </c>
      <c r="AC67" s="1">
        <v>39.8172</v>
      </c>
      <c r="AD67" s="1">
        <v>43.403599999999997</v>
      </c>
      <c r="AE67" s="1">
        <v>22.808599999999998</v>
      </c>
      <c r="AF67" s="1">
        <v>12.564399999999999</v>
      </c>
      <c r="AG67" s="1">
        <v>29.346399999999999</v>
      </c>
      <c r="AH67" s="1"/>
      <c r="AI67" s="1">
        <f t="shared" si="12"/>
        <v>72</v>
      </c>
      <c r="AJ67" t="s">
        <v>173</v>
      </c>
    </row>
    <row r="68" spans="1:36" x14ac:dyDescent="0.25">
      <c r="A68" s="1" t="s">
        <v>174</v>
      </c>
      <c r="B68" s="1" t="s">
        <v>41</v>
      </c>
      <c r="C68" s="1">
        <v>139.6</v>
      </c>
      <c r="D68" s="1">
        <v>20.78</v>
      </c>
      <c r="E68" s="1">
        <v>131.184</v>
      </c>
      <c r="F68" s="1">
        <v>0.24299999999999999</v>
      </c>
      <c r="G68" s="7">
        <v>1</v>
      </c>
      <c r="H68" s="1">
        <v>40</v>
      </c>
      <c r="I68" s="12" t="s">
        <v>60</v>
      </c>
      <c r="J68" s="1"/>
      <c r="K68" s="1">
        <v>156.20699999999999</v>
      </c>
      <c r="L68" s="1">
        <f t="shared" si="8"/>
        <v>-25.022999999999996</v>
      </c>
      <c r="M68" s="1"/>
      <c r="N68" s="1"/>
      <c r="O68" s="1">
        <v>70</v>
      </c>
      <c r="P68" s="1"/>
      <c r="Q68" s="1"/>
      <c r="R68" s="1"/>
      <c r="S68" s="1">
        <f t="shared" si="9"/>
        <v>26.236799999999999</v>
      </c>
      <c r="T68" s="5">
        <v>150</v>
      </c>
      <c r="U68" s="5">
        <f>T68*0.45</f>
        <v>67.5</v>
      </c>
      <c r="V68" s="1">
        <f t="shared" si="10"/>
        <v>5.2499923771191606</v>
      </c>
      <c r="W68" s="1">
        <f t="shared" si="11"/>
        <v>2.6772700939138918</v>
      </c>
      <c r="X68" s="1">
        <v>30.546399999999998</v>
      </c>
      <c r="Y68" s="1">
        <v>28.173400000000001</v>
      </c>
      <c r="Z68" s="1">
        <v>25.8324</v>
      </c>
      <c r="AA68" s="1">
        <v>32.492199999999997</v>
      </c>
      <c r="AB68" s="1">
        <v>34.5336</v>
      </c>
      <c r="AC68" s="1">
        <v>33.2986</v>
      </c>
      <c r="AD68" s="1">
        <v>24.674399999999999</v>
      </c>
      <c r="AE68" s="1">
        <v>33.698399999999999</v>
      </c>
      <c r="AF68" s="1">
        <v>35.2834</v>
      </c>
      <c r="AG68" s="1">
        <v>31.5944</v>
      </c>
      <c r="AH68" s="1"/>
      <c r="AI68" s="1">
        <f t="shared" si="12"/>
        <v>68</v>
      </c>
      <c r="AJ68" t="s">
        <v>175</v>
      </c>
    </row>
    <row r="69" spans="1:36" x14ac:dyDescent="0.25">
      <c r="A69" s="1" t="s">
        <v>176</v>
      </c>
      <c r="B69" s="1" t="s">
        <v>41</v>
      </c>
      <c r="C69" s="1">
        <v>313.84199999999998</v>
      </c>
      <c r="D69" s="1">
        <v>204.94900000000001</v>
      </c>
      <c r="E69" s="1">
        <v>320.73899999999998</v>
      </c>
      <c r="F69" s="1">
        <v>122.97799999999999</v>
      </c>
      <c r="G69" s="7">
        <v>1</v>
      </c>
      <c r="H69" s="1">
        <v>40</v>
      </c>
      <c r="I69" s="1" t="s">
        <v>42</v>
      </c>
      <c r="J69" s="1"/>
      <c r="K69" s="1">
        <v>303</v>
      </c>
      <c r="L69" s="1">
        <f t="shared" si="8"/>
        <v>17.738999999999976</v>
      </c>
      <c r="M69" s="1"/>
      <c r="N69" s="1"/>
      <c r="O69" s="1">
        <v>265.31086599999981</v>
      </c>
      <c r="P69" s="1"/>
      <c r="Q69" s="1"/>
      <c r="R69" s="1"/>
      <c r="S69" s="1">
        <f t="shared" si="9"/>
        <v>64.147799999999989</v>
      </c>
      <c r="T69" s="5">
        <f>12*S69-R69-Q69-P69-O69-F69</f>
        <v>381.48473400000006</v>
      </c>
      <c r="U69" s="5">
        <f>T69+$U$1*S69</f>
        <v>302.58294000000006</v>
      </c>
      <c r="V69" s="1">
        <f t="shared" si="10"/>
        <v>10.77</v>
      </c>
      <c r="W69" s="1">
        <f t="shared" si="11"/>
        <v>6.0530348039995117</v>
      </c>
      <c r="X69" s="1">
        <v>64.944199999999995</v>
      </c>
      <c r="Y69" s="1">
        <v>60.923400000000001</v>
      </c>
      <c r="Z69" s="1">
        <v>43.718000000000004</v>
      </c>
      <c r="AA69" s="1">
        <v>53.330599999999997</v>
      </c>
      <c r="AB69" s="1">
        <v>67.684799999999996</v>
      </c>
      <c r="AC69" s="1">
        <v>69.110199999999992</v>
      </c>
      <c r="AD69" s="1">
        <v>62.149800000000013</v>
      </c>
      <c r="AE69" s="1">
        <v>77.261200000000002</v>
      </c>
      <c r="AF69" s="1">
        <v>84.820999999999998</v>
      </c>
      <c r="AG69" s="1">
        <v>67.469399999999993</v>
      </c>
      <c r="AH69" s="1"/>
      <c r="AI69" s="1">
        <f t="shared" si="12"/>
        <v>303</v>
      </c>
      <c r="AJ69" t="s">
        <v>177</v>
      </c>
    </row>
    <row r="70" spans="1:36" x14ac:dyDescent="0.25">
      <c r="A70" s="1" t="s">
        <v>178</v>
      </c>
      <c r="B70" s="1" t="s">
        <v>41</v>
      </c>
      <c r="C70" s="1">
        <v>155.584</v>
      </c>
      <c r="D70" s="1">
        <v>174.90100000000001</v>
      </c>
      <c r="E70" s="1">
        <v>127.217</v>
      </c>
      <c r="F70" s="1">
        <v>164.15299999999999</v>
      </c>
      <c r="G70" s="7">
        <v>1</v>
      </c>
      <c r="H70" s="1">
        <v>40</v>
      </c>
      <c r="I70" s="1" t="s">
        <v>42</v>
      </c>
      <c r="J70" s="1"/>
      <c r="K70" s="1">
        <v>137.69999999999999</v>
      </c>
      <c r="L70" s="1">
        <f t="shared" ref="L70:L101" si="13">E70-K70</f>
        <v>-10.48299999999999</v>
      </c>
      <c r="M70" s="1"/>
      <c r="N70" s="1"/>
      <c r="O70" s="1">
        <v>0</v>
      </c>
      <c r="P70" s="1"/>
      <c r="Q70" s="1"/>
      <c r="R70" s="1"/>
      <c r="S70" s="1">
        <f t="shared" ref="S70:S101" si="14">E70/5</f>
        <v>25.4434</v>
      </c>
      <c r="T70" s="5">
        <f>12*S70-R70-Q70-P70-O70-F70</f>
        <v>141.16780000000003</v>
      </c>
      <c r="U70" s="5">
        <f>T70+$U$1*S70</f>
        <v>109.87241800000002</v>
      </c>
      <c r="V70" s="1">
        <f t="shared" ref="V70:V101" si="15">(F70+O70+P70+Q70+R70+U70)/S70</f>
        <v>10.77</v>
      </c>
      <c r="W70" s="1">
        <f t="shared" ref="W70:W101" si="16">(F70+O70+P70+Q70+R70)/S70</f>
        <v>6.4516927769087458</v>
      </c>
      <c r="X70" s="1">
        <v>23.120999999999999</v>
      </c>
      <c r="Y70" s="1">
        <v>23.457599999999999</v>
      </c>
      <c r="Z70" s="1">
        <v>20.8584</v>
      </c>
      <c r="AA70" s="1">
        <v>27.188800000000001</v>
      </c>
      <c r="AB70" s="1">
        <v>28.836200000000002</v>
      </c>
      <c r="AC70" s="1">
        <v>31.062999999999999</v>
      </c>
      <c r="AD70" s="1">
        <v>31.611599999999999</v>
      </c>
      <c r="AE70" s="1">
        <v>37.389200000000002</v>
      </c>
      <c r="AF70" s="1">
        <v>31.877600000000001</v>
      </c>
      <c r="AG70" s="1">
        <v>27.787199999999999</v>
      </c>
      <c r="AH70" s="1"/>
      <c r="AI70" s="1">
        <f t="shared" ref="AI70:AI101" si="17">ROUND(G70*U70,0)</f>
        <v>110</v>
      </c>
      <c r="AJ70" t="s">
        <v>179</v>
      </c>
    </row>
    <row r="71" spans="1:36" x14ac:dyDescent="0.25">
      <c r="A71" s="1" t="s">
        <v>180</v>
      </c>
      <c r="B71" s="1" t="s">
        <v>49</v>
      </c>
      <c r="C71" s="1">
        <v>54</v>
      </c>
      <c r="D71" s="1"/>
      <c r="E71" s="1">
        <v>11</v>
      </c>
      <c r="F71" s="1">
        <v>35</v>
      </c>
      <c r="G71" s="7">
        <v>0.6</v>
      </c>
      <c r="H71" s="1">
        <v>70</v>
      </c>
      <c r="I71" s="1" t="s">
        <v>42</v>
      </c>
      <c r="J71" s="1"/>
      <c r="K71" s="1">
        <v>13</v>
      </c>
      <c r="L71" s="1">
        <f t="shared" si="13"/>
        <v>-2</v>
      </c>
      <c r="M71" s="1"/>
      <c r="N71" s="1"/>
      <c r="O71" s="1">
        <v>0</v>
      </c>
      <c r="P71" s="1"/>
      <c r="Q71" s="1"/>
      <c r="R71" s="1"/>
      <c r="S71" s="1">
        <f t="shared" si="14"/>
        <v>2.2000000000000002</v>
      </c>
      <c r="T71" s="5"/>
      <c r="U71" s="5">
        <f>T71</f>
        <v>0</v>
      </c>
      <c r="V71" s="1">
        <f t="shared" si="15"/>
        <v>15.909090909090908</v>
      </c>
      <c r="W71" s="1">
        <f t="shared" si="16"/>
        <v>15.909090909090908</v>
      </c>
      <c r="X71" s="1">
        <v>1.6</v>
      </c>
      <c r="Y71" s="1">
        <v>1.6</v>
      </c>
      <c r="Z71" s="1">
        <v>1.6</v>
      </c>
      <c r="AA71" s="1">
        <v>0.6</v>
      </c>
      <c r="AB71" s="1">
        <v>1</v>
      </c>
      <c r="AC71" s="1">
        <v>0.8</v>
      </c>
      <c r="AD71" s="1">
        <v>1.2</v>
      </c>
      <c r="AE71" s="1">
        <v>2.4</v>
      </c>
      <c r="AF71" s="1">
        <v>1.6</v>
      </c>
      <c r="AG71" s="1">
        <v>5</v>
      </c>
      <c r="AH71" s="15" t="s">
        <v>161</v>
      </c>
      <c r="AI71" s="1">
        <f t="shared" si="17"/>
        <v>0</v>
      </c>
      <c r="AJ71" t="s">
        <v>181</v>
      </c>
    </row>
    <row r="72" spans="1:36" x14ac:dyDescent="0.25">
      <c r="A72" s="1" t="s">
        <v>182</v>
      </c>
      <c r="B72" s="1" t="s">
        <v>41</v>
      </c>
      <c r="C72" s="1">
        <v>16.802</v>
      </c>
      <c r="D72" s="1">
        <v>777.90800000000002</v>
      </c>
      <c r="E72" s="1">
        <v>218.02799999999999</v>
      </c>
      <c r="F72" s="1">
        <v>468.48700000000002</v>
      </c>
      <c r="G72" s="7">
        <v>1</v>
      </c>
      <c r="H72" s="1">
        <v>30</v>
      </c>
      <c r="I72" s="1" t="s">
        <v>42</v>
      </c>
      <c r="J72" s="1"/>
      <c r="K72" s="1">
        <v>308.85000000000002</v>
      </c>
      <c r="L72" s="1">
        <f t="shared" si="13"/>
        <v>-90.822000000000031</v>
      </c>
      <c r="M72" s="1"/>
      <c r="N72" s="1"/>
      <c r="O72" s="1">
        <v>0</v>
      </c>
      <c r="P72" s="1"/>
      <c r="Q72" s="1"/>
      <c r="R72" s="1"/>
      <c r="S72" s="1">
        <f t="shared" si="14"/>
        <v>43.605599999999995</v>
      </c>
      <c r="T72" s="5">
        <f>12*S72-R72-Q72-P72-O72-F72</f>
        <v>54.780199999999979</v>
      </c>
      <c r="U72" s="5">
        <v>0</v>
      </c>
      <c r="V72" s="1">
        <f t="shared" si="15"/>
        <v>10.743734749665181</v>
      </c>
      <c r="W72" s="1">
        <f t="shared" si="16"/>
        <v>10.743734749665181</v>
      </c>
      <c r="X72" s="1">
        <v>12.5822</v>
      </c>
      <c r="Y72" s="1">
        <v>49.552399999999999</v>
      </c>
      <c r="Z72" s="1">
        <v>72.886200000000002</v>
      </c>
      <c r="AA72" s="1">
        <v>41.464399999999998</v>
      </c>
      <c r="AB72" s="1">
        <v>16.122800000000002</v>
      </c>
      <c r="AC72" s="1">
        <v>65.612400000000008</v>
      </c>
      <c r="AD72" s="1">
        <v>95.952399999999997</v>
      </c>
      <c r="AE72" s="1">
        <v>85.349000000000004</v>
      </c>
      <c r="AF72" s="1">
        <v>80.937399999999997</v>
      </c>
      <c r="AG72" s="1">
        <v>39.692799999999998</v>
      </c>
      <c r="AH72" s="1"/>
      <c r="AI72" s="1">
        <f t="shared" si="17"/>
        <v>0</v>
      </c>
      <c r="AJ72" t="s">
        <v>183</v>
      </c>
    </row>
    <row r="73" spans="1:36" x14ac:dyDescent="0.25">
      <c r="A73" s="9" t="s">
        <v>184</v>
      </c>
      <c r="B73" s="9" t="s">
        <v>49</v>
      </c>
      <c r="C73" s="9"/>
      <c r="D73" s="9"/>
      <c r="E73" s="9"/>
      <c r="F73" s="9"/>
      <c r="G73" s="10">
        <v>0</v>
      </c>
      <c r="H73" s="9"/>
      <c r="I73" s="9" t="s">
        <v>42</v>
      </c>
      <c r="J73" s="9"/>
      <c r="K73" s="9"/>
      <c r="L73" s="9">
        <f t="shared" si="13"/>
        <v>0</v>
      </c>
      <c r="M73" s="9"/>
      <c r="N73" s="9"/>
      <c r="O73" s="9">
        <v>0</v>
      </c>
      <c r="P73" s="9"/>
      <c r="Q73" s="9"/>
      <c r="R73" s="9"/>
      <c r="S73" s="9">
        <f t="shared" si="14"/>
        <v>0</v>
      </c>
      <c r="T73" s="11"/>
      <c r="U73" s="5">
        <f>T73</f>
        <v>0</v>
      </c>
      <c r="V73" s="1" t="e">
        <f t="shared" si="15"/>
        <v>#DIV/0!</v>
      </c>
      <c r="W73" s="9" t="e">
        <f t="shared" si="16"/>
        <v>#DIV/0!</v>
      </c>
      <c r="X73" s="9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>
        <v>0</v>
      </c>
      <c r="AF73" s="9">
        <v>0</v>
      </c>
      <c r="AG73" s="9">
        <v>0</v>
      </c>
      <c r="AH73" s="9" t="s">
        <v>57</v>
      </c>
      <c r="AI73" s="1">
        <f t="shared" si="17"/>
        <v>0</v>
      </c>
      <c r="AJ73" t="s">
        <v>185</v>
      </c>
    </row>
    <row r="74" spans="1:36" x14ac:dyDescent="0.25">
      <c r="A74" s="1" t="s">
        <v>186</v>
      </c>
      <c r="B74" s="1" t="s">
        <v>49</v>
      </c>
      <c r="C74" s="1">
        <v>142</v>
      </c>
      <c r="D74" s="1">
        <v>56</v>
      </c>
      <c r="E74" s="1">
        <v>112</v>
      </c>
      <c r="F74" s="1">
        <v>75</v>
      </c>
      <c r="G74" s="7">
        <v>0.6</v>
      </c>
      <c r="H74" s="1">
        <v>60</v>
      </c>
      <c r="I74" s="1" t="s">
        <v>42</v>
      </c>
      <c r="J74" s="1"/>
      <c r="K74" s="1">
        <v>105</v>
      </c>
      <c r="L74" s="1">
        <f t="shared" si="13"/>
        <v>7</v>
      </c>
      <c r="M74" s="1"/>
      <c r="N74" s="1"/>
      <c r="O74" s="1">
        <v>0</v>
      </c>
      <c r="P74" s="1"/>
      <c r="Q74" s="1"/>
      <c r="R74" s="1"/>
      <c r="S74" s="1">
        <f t="shared" si="14"/>
        <v>22.4</v>
      </c>
      <c r="T74" s="5">
        <f>10*S74-R74-Q74-P74-O74-F74</f>
        <v>149</v>
      </c>
      <c r="U74" s="5">
        <f>T74+$U$1*S74</f>
        <v>121.44800000000001</v>
      </c>
      <c r="V74" s="1">
        <f t="shared" si="15"/>
        <v>8.7700000000000014</v>
      </c>
      <c r="W74" s="1">
        <f t="shared" si="16"/>
        <v>3.348214285714286</v>
      </c>
      <c r="X74" s="1">
        <v>1.8</v>
      </c>
      <c r="Y74" s="1">
        <v>12</v>
      </c>
      <c r="Z74" s="1">
        <v>16.8</v>
      </c>
      <c r="AA74" s="1">
        <v>10</v>
      </c>
      <c r="AB74" s="1">
        <v>13.4</v>
      </c>
      <c r="AC74" s="1">
        <v>8.1999999999999993</v>
      </c>
      <c r="AD74" s="1">
        <v>3.2</v>
      </c>
      <c r="AE74" s="1">
        <v>24</v>
      </c>
      <c r="AF74" s="1">
        <v>23</v>
      </c>
      <c r="AG74" s="1">
        <v>12.4</v>
      </c>
      <c r="AH74" s="1"/>
      <c r="AI74" s="1">
        <f t="shared" si="17"/>
        <v>73</v>
      </c>
      <c r="AJ74" t="s">
        <v>187</v>
      </c>
    </row>
    <row r="75" spans="1:36" x14ac:dyDescent="0.25">
      <c r="A75" s="1" t="s">
        <v>188</v>
      </c>
      <c r="B75" s="1" t="s">
        <v>49</v>
      </c>
      <c r="C75" s="1">
        <v>122</v>
      </c>
      <c r="D75" s="1">
        <v>6</v>
      </c>
      <c r="E75" s="1">
        <v>88</v>
      </c>
      <c r="F75" s="1">
        <v>31</v>
      </c>
      <c r="G75" s="7">
        <v>0.4</v>
      </c>
      <c r="H75" s="1">
        <v>90</v>
      </c>
      <c r="I75" s="1" t="s">
        <v>42</v>
      </c>
      <c r="J75" s="1"/>
      <c r="K75" s="1">
        <v>77</v>
      </c>
      <c r="L75" s="1">
        <f t="shared" si="13"/>
        <v>11</v>
      </c>
      <c r="M75" s="1"/>
      <c r="N75" s="1"/>
      <c r="O75" s="1">
        <v>44.199999999999989</v>
      </c>
      <c r="P75" s="1"/>
      <c r="Q75" s="1"/>
      <c r="R75" s="1"/>
      <c r="S75" s="1">
        <f t="shared" si="14"/>
        <v>17.600000000000001</v>
      </c>
      <c r="T75" s="5">
        <f>11*S75-R75-Q75-P75-O75-F75</f>
        <v>118.40000000000003</v>
      </c>
      <c r="U75" s="5">
        <f>T75+$U$1*S75</f>
        <v>96.752000000000038</v>
      </c>
      <c r="V75" s="1">
        <f t="shared" si="15"/>
        <v>9.7700000000000014</v>
      </c>
      <c r="W75" s="1">
        <f t="shared" si="16"/>
        <v>4.2727272727272716</v>
      </c>
      <c r="X75" s="1">
        <v>16.600000000000001</v>
      </c>
      <c r="Y75" s="1">
        <v>13.6</v>
      </c>
      <c r="Z75" s="1">
        <v>5.4</v>
      </c>
      <c r="AA75" s="1">
        <v>5.6</v>
      </c>
      <c r="AB75" s="1">
        <v>9.8000000000000007</v>
      </c>
      <c r="AC75" s="1">
        <v>16.600000000000001</v>
      </c>
      <c r="AD75" s="1">
        <v>17.2</v>
      </c>
      <c r="AE75" s="1">
        <v>18.399999999999999</v>
      </c>
      <c r="AF75" s="1">
        <v>20</v>
      </c>
      <c r="AG75" s="1">
        <v>20.6</v>
      </c>
      <c r="AH75" s="1"/>
      <c r="AI75" s="1">
        <f t="shared" si="17"/>
        <v>39</v>
      </c>
      <c r="AJ75" t="s">
        <v>189</v>
      </c>
    </row>
    <row r="76" spans="1:36" x14ac:dyDescent="0.25">
      <c r="A76" s="1" t="s">
        <v>190</v>
      </c>
      <c r="B76" s="1" t="s">
        <v>49</v>
      </c>
      <c r="C76" s="1">
        <v>75</v>
      </c>
      <c r="D76" s="1">
        <v>177</v>
      </c>
      <c r="E76" s="1">
        <v>180</v>
      </c>
      <c r="F76" s="1">
        <v>45</v>
      </c>
      <c r="G76" s="7">
        <v>0.33</v>
      </c>
      <c r="H76" s="1">
        <v>60</v>
      </c>
      <c r="I76" s="1" t="s">
        <v>42</v>
      </c>
      <c r="J76" s="1"/>
      <c r="K76" s="1">
        <v>174</v>
      </c>
      <c r="L76" s="1">
        <f t="shared" si="13"/>
        <v>6</v>
      </c>
      <c r="M76" s="1"/>
      <c r="N76" s="1"/>
      <c r="O76" s="1">
        <v>86.107999999999976</v>
      </c>
      <c r="P76" s="1"/>
      <c r="Q76" s="1"/>
      <c r="R76" s="1"/>
      <c r="S76" s="1">
        <f t="shared" si="14"/>
        <v>36</v>
      </c>
      <c r="T76" s="5">
        <f>11*S76-R76-Q76-P76-O76-F76</f>
        <v>264.89200000000005</v>
      </c>
      <c r="U76" s="5">
        <f>T76+$U$1*S76</f>
        <v>220.61200000000005</v>
      </c>
      <c r="V76" s="1">
        <f t="shared" si="15"/>
        <v>9.7700000000000014</v>
      </c>
      <c r="W76" s="1">
        <f t="shared" si="16"/>
        <v>3.6418888888888881</v>
      </c>
      <c r="X76" s="1">
        <v>29.6</v>
      </c>
      <c r="Y76" s="1">
        <v>26.2</v>
      </c>
      <c r="Z76" s="1">
        <v>20.399999999999999</v>
      </c>
      <c r="AA76" s="1">
        <v>23.4</v>
      </c>
      <c r="AB76" s="1">
        <v>26.6</v>
      </c>
      <c r="AC76" s="1">
        <v>29</v>
      </c>
      <c r="AD76" s="1">
        <v>25</v>
      </c>
      <c r="AE76" s="1">
        <v>24.2</v>
      </c>
      <c r="AF76" s="1">
        <v>33.6</v>
      </c>
      <c r="AG76" s="1">
        <v>25.6</v>
      </c>
      <c r="AH76" s="1"/>
      <c r="AI76" s="1">
        <f t="shared" si="17"/>
        <v>73</v>
      </c>
      <c r="AJ76" t="s">
        <v>191</v>
      </c>
    </row>
    <row r="77" spans="1:36" x14ac:dyDescent="0.25">
      <c r="A77" s="1" t="s">
        <v>192</v>
      </c>
      <c r="B77" s="1" t="s">
        <v>49</v>
      </c>
      <c r="C77" s="1">
        <v>100</v>
      </c>
      <c r="D77" s="1">
        <v>7</v>
      </c>
      <c r="E77" s="1">
        <v>92</v>
      </c>
      <c r="F77" s="1">
        <v>2</v>
      </c>
      <c r="G77" s="7">
        <v>0.35</v>
      </c>
      <c r="H77" s="1">
        <v>90</v>
      </c>
      <c r="I77" s="1" t="s">
        <v>42</v>
      </c>
      <c r="J77" s="1"/>
      <c r="K77" s="1">
        <v>114</v>
      </c>
      <c r="L77" s="1">
        <f t="shared" si="13"/>
        <v>-22</v>
      </c>
      <c r="M77" s="1"/>
      <c r="N77" s="1"/>
      <c r="O77" s="1">
        <v>63</v>
      </c>
      <c r="P77" s="1"/>
      <c r="Q77" s="1"/>
      <c r="R77" s="1"/>
      <c r="S77" s="1">
        <f t="shared" si="14"/>
        <v>18.399999999999999</v>
      </c>
      <c r="T77" s="5">
        <f>11*S77-R77-Q77-P77-O77-F77</f>
        <v>137.39999999999998</v>
      </c>
      <c r="U77" s="5">
        <f>T77+$U$1*S77</f>
        <v>114.76799999999997</v>
      </c>
      <c r="V77" s="1">
        <f t="shared" si="15"/>
        <v>9.77</v>
      </c>
      <c r="W77" s="1">
        <f t="shared" si="16"/>
        <v>3.5326086956521743</v>
      </c>
      <c r="X77" s="1">
        <v>25</v>
      </c>
      <c r="Y77" s="1">
        <v>13</v>
      </c>
      <c r="Z77" s="1">
        <v>5.4</v>
      </c>
      <c r="AA77" s="1">
        <v>7.2</v>
      </c>
      <c r="AB77" s="1">
        <v>11</v>
      </c>
      <c r="AC77" s="1">
        <v>15</v>
      </c>
      <c r="AD77" s="1">
        <v>12.8</v>
      </c>
      <c r="AE77" s="1">
        <v>11.2</v>
      </c>
      <c r="AF77" s="1">
        <v>13.4</v>
      </c>
      <c r="AG77" s="1">
        <v>13.6</v>
      </c>
      <c r="AH77" s="1"/>
      <c r="AI77" s="1">
        <f t="shared" si="17"/>
        <v>40</v>
      </c>
      <c r="AJ77" t="s">
        <v>193</v>
      </c>
    </row>
    <row r="78" spans="1:36" x14ac:dyDescent="0.25">
      <c r="A78" s="1" t="s">
        <v>194</v>
      </c>
      <c r="B78" s="1" t="s">
        <v>49</v>
      </c>
      <c r="C78" s="1">
        <v>245</v>
      </c>
      <c r="D78" s="1"/>
      <c r="E78" s="1">
        <v>222</v>
      </c>
      <c r="F78" s="1">
        <v>16</v>
      </c>
      <c r="G78" s="7">
        <v>0.37</v>
      </c>
      <c r="H78" s="1">
        <v>50</v>
      </c>
      <c r="I78" s="1" t="s">
        <v>42</v>
      </c>
      <c r="J78" s="1"/>
      <c r="K78" s="1">
        <v>222</v>
      </c>
      <c r="L78" s="1">
        <f t="shared" si="13"/>
        <v>0</v>
      </c>
      <c r="M78" s="1"/>
      <c r="N78" s="1"/>
      <c r="O78" s="1">
        <v>44.200000000000053</v>
      </c>
      <c r="P78" s="1"/>
      <c r="Q78" s="1"/>
      <c r="R78" s="1"/>
      <c r="S78" s="1">
        <f t="shared" si="14"/>
        <v>44.4</v>
      </c>
      <c r="T78" s="5">
        <f>8*S78-R78-Q78-P78-O78-F78</f>
        <v>294.99999999999994</v>
      </c>
      <c r="U78" s="5">
        <f>T78+$U$1*S78</f>
        <v>240.38799999999995</v>
      </c>
      <c r="V78" s="1">
        <f t="shared" si="15"/>
        <v>6.7700000000000005</v>
      </c>
      <c r="W78" s="1">
        <f t="shared" si="16"/>
        <v>1.3558558558558571</v>
      </c>
      <c r="X78" s="1">
        <v>11.8</v>
      </c>
      <c r="Y78" s="1">
        <v>23.6</v>
      </c>
      <c r="Z78" s="1">
        <v>22.4</v>
      </c>
      <c r="AA78" s="1">
        <v>18.399999999999999</v>
      </c>
      <c r="AB78" s="1">
        <v>26</v>
      </c>
      <c r="AC78" s="1">
        <v>33.4</v>
      </c>
      <c r="AD78" s="1">
        <v>42.4</v>
      </c>
      <c r="AE78" s="1">
        <v>46</v>
      </c>
      <c r="AF78" s="1">
        <v>32</v>
      </c>
      <c r="AG78" s="1">
        <v>24.8</v>
      </c>
      <c r="AH78" s="1"/>
      <c r="AI78" s="1">
        <f t="shared" si="17"/>
        <v>89</v>
      </c>
      <c r="AJ78" t="s">
        <v>195</v>
      </c>
    </row>
    <row r="79" spans="1:36" x14ac:dyDescent="0.25">
      <c r="A79" s="9" t="s">
        <v>196</v>
      </c>
      <c r="B79" s="9" t="s">
        <v>49</v>
      </c>
      <c r="C79" s="9"/>
      <c r="D79" s="9"/>
      <c r="E79" s="9"/>
      <c r="F79" s="9"/>
      <c r="G79" s="10">
        <v>0</v>
      </c>
      <c r="H79" s="9"/>
      <c r="I79" s="9" t="s">
        <v>42</v>
      </c>
      <c r="J79" s="9"/>
      <c r="K79" s="9"/>
      <c r="L79" s="9">
        <f t="shared" si="13"/>
        <v>0</v>
      </c>
      <c r="M79" s="9"/>
      <c r="N79" s="9"/>
      <c r="O79" s="9">
        <v>0</v>
      </c>
      <c r="P79" s="9"/>
      <c r="Q79" s="9"/>
      <c r="R79" s="9"/>
      <c r="S79" s="9">
        <f t="shared" si="14"/>
        <v>0</v>
      </c>
      <c r="T79" s="11"/>
      <c r="U79" s="5">
        <f>T79</f>
        <v>0</v>
      </c>
      <c r="V79" s="1" t="e">
        <f t="shared" si="15"/>
        <v>#DIV/0!</v>
      </c>
      <c r="W79" s="9" t="e">
        <f t="shared" si="16"/>
        <v>#DIV/0!</v>
      </c>
      <c r="X79" s="9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>
        <v>0</v>
      </c>
      <c r="AF79" s="9">
        <v>0</v>
      </c>
      <c r="AG79" s="9">
        <v>0</v>
      </c>
      <c r="AH79" s="9" t="s">
        <v>57</v>
      </c>
      <c r="AI79" s="1">
        <f t="shared" si="17"/>
        <v>0</v>
      </c>
      <c r="AJ79" t="s">
        <v>197</v>
      </c>
    </row>
    <row r="80" spans="1:36" x14ac:dyDescent="0.25">
      <c r="A80" s="1" t="s">
        <v>198</v>
      </c>
      <c r="B80" s="1" t="s">
        <v>49</v>
      </c>
      <c r="C80" s="1">
        <v>3</v>
      </c>
      <c r="D80" s="1">
        <v>90</v>
      </c>
      <c r="E80" s="1">
        <v>77</v>
      </c>
      <c r="F80" s="1">
        <v>8</v>
      </c>
      <c r="G80" s="7">
        <v>0.33</v>
      </c>
      <c r="H80" s="1">
        <v>40</v>
      </c>
      <c r="I80" s="1" t="s">
        <v>42</v>
      </c>
      <c r="J80" s="1"/>
      <c r="K80" s="1">
        <v>82</v>
      </c>
      <c r="L80" s="1">
        <f t="shared" si="13"/>
        <v>-5</v>
      </c>
      <c r="M80" s="1"/>
      <c r="N80" s="1"/>
      <c r="O80" s="1">
        <v>25.799999999999979</v>
      </c>
      <c r="P80" s="1"/>
      <c r="Q80" s="1"/>
      <c r="R80" s="1"/>
      <c r="S80" s="1">
        <f t="shared" si="14"/>
        <v>15.4</v>
      </c>
      <c r="T80" s="5">
        <f>9*S80-R80-Q80-P80-O80-F80</f>
        <v>104.80000000000001</v>
      </c>
      <c r="U80" s="5">
        <f>T80+$U$1*S80</f>
        <v>85.858000000000004</v>
      </c>
      <c r="V80" s="1">
        <f t="shared" si="15"/>
        <v>7.7699999999999987</v>
      </c>
      <c r="W80" s="1">
        <f t="shared" si="16"/>
        <v>2.1948051948051934</v>
      </c>
      <c r="X80" s="1">
        <v>6.4</v>
      </c>
      <c r="Y80" s="1">
        <v>8.6</v>
      </c>
      <c r="Z80" s="1">
        <v>8.4</v>
      </c>
      <c r="AA80" s="1">
        <v>6</v>
      </c>
      <c r="AB80" s="1">
        <v>5.6</v>
      </c>
      <c r="AC80" s="1">
        <v>8.1999999999999993</v>
      </c>
      <c r="AD80" s="1">
        <v>11</v>
      </c>
      <c r="AE80" s="1">
        <v>10.8</v>
      </c>
      <c r="AF80" s="1">
        <v>10.199999999999999</v>
      </c>
      <c r="AG80" s="1">
        <v>7.4</v>
      </c>
      <c r="AH80" s="1"/>
      <c r="AI80" s="1">
        <f t="shared" si="17"/>
        <v>28</v>
      </c>
      <c r="AJ80" t="s">
        <v>199</v>
      </c>
    </row>
    <row r="81" spans="1:36" x14ac:dyDescent="0.25">
      <c r="A81" s="1" t="s">
        <v>200</v>
      </c>
      <c r="B81" s="1" t="s">
        <v>49</v>
      </c>
      <c r="C81" s="1">
        <v>322</v>
      </c>
      <c r="D81" s="1">
        <v>12</v>
      </c>
      <c r="E81" s="1">
        <v>55</v>
      </c>
      <c r="F81" s="1">
        <v>267</v>
      </c>
      <c r="G81" s="7">
        <v>0.4</v>
      </c>
      <c r="H81" s="1">
        <v>55</v>
      </c>
      <c r="I81" s="1" t="s">
        <v>42</v>
      </c>
      <c r="J81" s="1"/>
      <c r="K81" s="1">
        <v>58</v>
      </c>
      <c r="L81" s="1">
        <f t="shared" si="13"/>
        <v>-3</v>
      </c>
      <c r="M81" s="1"/>
      <c r="N81" s="1"/>
      <c r="O81" s="1">
        <v>0</v>
      </c>
      <c r="P81" s="1"/>
      <c r="Q81" s="1"/>
      <c r="R81" s="1"/>
      <c r="S81" s="1">
        <f t="shared" si="14"/>
        <v>11</v>
      </c>
      <c r="T81" s="5"/>
      <c r="U81" s="5">
        <f>T81</f>
        <v>0</v>
      </c>
      <c r="V81" s="1">
        <f t="shared" si="15"/>
        <v>24.272727272727273</v>
      </c>
      <c r="W81" s="1">
        <f t="shared" si="16"/>
        <v>24.272727272727273</v>
      </c>
      <c r="X81" s="1">
        <v>4.4000000000000004</v>
      </c>
      <c r="Y81" s="1">
        <v>12.2</v>
      </c>
      <c r="Z81" s="1">
        <v>13.8</v>
      </c>
      <c r="AA81" s="1">
        <v>9</v>
      </c>
      <c r="AB81" s="1">
        <v>12.6</v>
      </c>
      <c r="AC81" s="1">
        <v>8.6</v>
      </c>
      <c r="AD81" s="1">
        <v>7.4</v>
      </c>
      <c r="AE81" s="1">
        <v>43</v>
      </c>
      <c r="AF81" s="1">
        <v>39.4</v>
      </c>
      <c r="AG81" s="1">
        <v>4</v>
      </c>
      <c r="AH81" s="14" t="s">
        <v>136</v>
      </c>
      <c r="AI81" s="1">
        <f t="shared" si="17"/>
        <v>0</v>
      </c>
      <c r="AJ81" t="s">
        <v>201</v>
      </c>
    </row>
    <row r="82" spans="1:36" x14ac:dyDescent="0.25">
      <c r="A82" s="1" t="s">
        <v>202</v>
      </c>
      <c r="B82" s="1" t="s">
        <v>49</v>
      </c>
      <c r="C82" s="1">
        <v>5</v>
      </c>
      <c r="D82" s="1">
        <v>12</v>
      </c>
      <c r="E82" s="1">
        <v>10</v>
      </c>
      <c r="F82" s="1">
        <v>5</v>
      </c>
      <c r="G82" s="7">
        <v>0.35</v>
      </c>
      <c r="H82" s="1">
        <v>40</v>
      </c>
      <c r="I82" s="12" t="s">
        <v>60</v>
      </c>
      <c r="J82" s="1"/>
      <c r="K82" s="1">
        <v>22</v>
      </c>
      <c r="L82" s="1">
        <f t="shared" si="13"/>
        <v>-12</v>
      </c>
      <c r="M82" s="1"/>
      <c r="N82" s="1"/>
      <c r="O82" s="1">
        <v>0</v>
      </c>
      <c r="P82" s="1"/>
      <c r="Q82" s="1"/>
      <c r="R82" s="1"/>
      <c r="S82" s="1">
        <f t="shared" si="14"/>
        <v>2</v>
      </c>
      <c r="T82" s="5">
        <v>20</v>
      </c>
      <c r="U82" s="5">
        <f>T82*0.5</f>
        <v>10</v>
      </c>
      <c r="V82" s="1">
        <f t="shared" si="15"/>
        <v>7.5</v>
      </c>
      <c r="W82" s="1">
        <f t="shared" si="16"/>
        <v>2.5</v>
      </c>
      <c r="X82" s="1">
        <v>0</v>
      </c>
      <c r="Y82" s="1">
        <v>0</v>
      </c>
      <c r="Z82" s="1">
        <v>2.4</v>
      </c>
      <c r="AA82" s="1">
        <v>6.2</v>
      </c>
      <c r="AB82" s="1">
        <v>7</v>
      </c>
      <c r="AC82" s="1">
        <v>8</v>
      </c>
      <c r="AD82" s="1">
        <v>6.4</v>
      </c>
      <c r="AE82" s="1">
        <v>3.4</v>
      </c>
      <c r="AF82" s="1">
        <v>2.2000000000000002</v>
      </c>
      <c r="AG82" s="1">
        <v>0.6</v>
      </c>
      <c r="AH82" s="1"/>
      <c r="AI82" s="1">
        <f t="shared" si="17"/>
        <v>4</v>
      </c>
      <c r="AJ82" t="s">
        <v>203</v>
      </c>
    </row>
    <row r="83" spans="1:36" x14ac:dyDescent="0.25">
      <c r="A83" s="1" t="s">
        <v>204</v>
      </c>
      <c r="B83" s="1" t="s">
        <v>49</v>
      </c>
      <c r="C83" s="1">
        <v>2</v>
      </c>
      <c r="D83" s="1">
        <v>60</v>
      </c>
      <c r="E83" s="1">
        <v>17</v>
      </c>
      <c r="F83" s="1">
        <v>45</v>
      </c>
      <c r="G83" s="7">
        <v>0.35</v>
      </c>
      <c r="H83" s="1">
        <v>45</v>
      </c>
      <c r="I83" s="12" t="s">
        <v>60</v>
      </c>
      <c r="J83" s="1"/>
      <c r="K83" s="1">
        <v>23</v>
      </c>
      <c r="L83" s="1">
        <f t="shared" si="13"/>
        <v>-6</v>
      </c>
      <c r="M83" s="1"/>
      <c r="N83" s="1"/>
      <c r="O83" s="1">
        <v>0</v>
      </c>
      <c r="P83" s="1"/>
      <c r="Q83" s="1"/>
      <c r="R83" s="1"/>
      <c r="S83" s="1">
        <f t="shared" si="14"/>
        <v>3.4</v>
      </c>
      <c r="T83" s="5">
        <v>10</v>
      </c>
      <c r="U83" s="5">
        <f>T83*0.5</f>
        <v>5</v>
      </c>
      <c r="V83" s="1">
        <f t="shared" si="15"/>
        <v>14.705882352941178</v>
      </c>
      <c r="W83" s="1">
        <f t="shared" si="16"/>
        <v>13.23529411764706</v>
      </c>
      <c r="X83" s="1">
        <v>0</v>
      </c>
      <c r="Y83" s="1">
        <v>0</v>
      </c>
      <c r="Z83" s="1">
        <v>1.4</v>
      </c>
      <c r="AA83" s="1">
        <v>5.4</v>
      </c>
      <c r="AB83" s="1">
        <v>8.1999999999999993</v>
      </c>
      <c r="AC83" s="1">
        <v>9</v>
      </c>
      <c r="AD83" s="1">
        <v>5</v>
      </c>
      <c r="AE83" s="1">
        <v>1.8</v>
      </c>
      <c r="AF83" s="1">
        <v>6.2</v>
      </c>
      <c r="AG83" s="1">
        <v>6.6</v>
      </c>
      <c r="AH83" s="1"/>
      <c r="AI83" s="1">
        <f t="shared" si="17"/>
        <v>2</v>
      </c>
      <c r="AJ83" t="s">
        <v>205</v>
      </c>
    </row>
    <row r="84" spans="1:36" x14ac:dyDescent="0.25">
      <c r="A84" s="9" t="s">
        <v>206</v>
      </c>
      <c r="B84" s="9" t="s">
        <v>49</v>
      </c>
      <c r="C84" s="9"/>
      <c r="D84" s="9"/>
      <c r="E84" s="9"/>
      <c r="F84" s="9"/>
      <c r="G84" s="10">
        <v>0</v>
      </c>
      <c r="H84" s="9"/>
      <c r="I84" s="9" t="s">
        <v>42</v>
      </c>
      <c r="J84" s="9"/>
      <c r="K84" s="9"/>
      <c r="L84" s="9">
        <f t="shared" si="13"/>
        <v>0</v>
      </c>
      <c r="M84" s="9"/>
      <c r="N84" s="9"/>
      <c r="O84" s="9">
        <v>0</v>
      </c>
      <c r="P84" s="9"/>
      <c r="Q84" s="9"/>
      <c r="R84" s="9"/>
      <c r="S84" s="9">
        <f t="shared" si="14"/>
        <v>0</v>
      </c>
      <c r="T84" s="11"/>
      <c r="U84" s="5">
        <f>T84</f>
        <v>0</v>
      </c>
      <c r="V84" s="1" t="e">
        <f t="shared" si="15"/>
        <v>#DIV/0!</v>
      </c>
      <c r="W84" s="9" t="e">
        <f t="shared" si="16"/>
        <v>#DIV/0!</v>
      </c>
      <c r="X84" s="9">
        <v>0</v>
      </c>
      <c r="Y84" s="9">
        <v>0</v>
      </c>
      <c r="Z84" s="9">
        <v>0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>
        <v>0</v>
      </c>
      <c r="AH84" s="9" t="s">
        <v>57</v>
      </c>
      <c r="AI84" s="1">
        <f t="shared" si="17"/>
        <v>0</v>
      </c>
      <c r="AJ84" t="s">
        <v>207</v>
      </c>
    </row>
    <row r="85" spans="1:36" x14ac:dyDescent="0.25">
      <c r="A85" s="9" t="s">
        <v>208</v>
      </c>
      <c r="B85" s="9" t="s">
        <v>41</v>
      </c>
      <c r="C85" s="9"/>
      <c r="D85" s="9"/>
      <c r="E85" s="9"/>
      <c r="F85" s="9"/>
      <c r="G85" s="10">
        <v>0</v>
      </c>
      <c r="H85" s="9"/>
      <c r="I85" s="9" t="s">
        <v>42</v>
      </c>
      <c r="J85" s="9"/>
      <c r="K85" s="9"/>
      <c r="L85" s="9">
        <f t="shared" si="13"/>
        <v>0</v>
      </c>
      <c r="M85" s="9"/>
      <c r="N85" s="9"/>
      <c r="O85" s="9">
        <v>0</v>
      </c>
      <c r="P85" s="9"/>
      <c r="Q85" s="9"/>
      <c r="R85" s="9"/>
      <c r="S85" s="9">
        <f t="shared" si="14"/>
        <v>0</v>
      </c>
      <c r="T85" s="11"/>
      <c r="U85" s="5">
        <f>T85</f>
        <v>0</v>
      </c>
      <c r="V85" s="1" t="e">
        <f t="shared" si="15"/>
        <v>#DIV/0!</v>
      </c>
      <c r="W85" s="9" t="e">
        <f t="shared" si="16"/>
        <v>#DIV/0!</v>
      </c>
      <c r="X85" s="9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 t="s">
        <v>57</v>
      </c>
      <c r="AI85" s="1">
        <f t="shared" si="17"/>
        <v>0</v>
      </c>
      <c r="AJ85" t="s">
        <v>209</v>
      </c>
    </row>
    <row r="86" spans="1:36" x14ac:dyDescent="0.25">
      <c r="A86" s="9" t="s">
        <v>210</v>
      </c>
      <c r="B86" s="9" t="s">
        <v>49</v>
      </c>
      <c r="C86" s="9">
        <v>-5</v>
      </c>
      <c r="D86" s="9"/>
      <c r="E86" s="9"/>
      <c r="F86" s="9">
        <v>-5</v>
      </c>
      <c r="G86" s="10">
        <v>0</v>
      </c>
      <c r="H86" s="9">
        <v>55</v>
      </c>
      <c r="I86" s="9" t="s">
        <v>85</v>
      </c>
      <c r="J86" s="9"/>
      <c r="K86" s="9">
        <v>20</v>
      </c>
      <c r="L86" s="9">
        <f t="shared" si="13"/>
        <v>-20</v>
      </c>
      <c r="M86" s="9"/>
      <c r="N86" s="9"/>
      <c r="O86" s="9">
        <v>0</v>
      </c>
      <c r="P86" s="9"/>
      <c r="Q86" s="9"/>
      <c r="R86" s="9"/>
      <c r="S86" s="9">
        <f t="shared" si="14"/>
        <v>0</v>
      </c>
      <c r="T86" s="11"/>
      <c r="U86" s="5">
        <f>T86</f>
        <v>0</v>
      </c>
      <c r="V86" s="1" t="e">
        <f t="shared" si="15"/>
        <v>#DIV/0!</v>
      </c>
      <c r="W86" s="9" t="e">
        <f t="shared" si="16"/>
        <v>#DIV/0!</v>
      </c>
      <c r="X86" s="9">
        <v>0</v>
      </c>
      <c r="Y86" s="9">
        <v>0</v>
      </c>
      <c r="Z86" s="9">
        <v>2</v>
      </c>
      <c r="AA86" s="9">
        <v>2</v>
      </c>
      <c r="AB86" s="9">
        <v>0</v>
      </c>
      <c r="AC86" s="9">
        <v>8.6</v>
      </c>
      <c r="AD86" s="9">
        <v>17.399999999999999</v>
      </c>
      <c r="AE86" s="9">
        <v>27.4</v>
      </c>
      <c r="AF86" s="9">
        <v>18.600000000000001</v>
      </c>
      <c r="AG86" s="9">
        <v>2.6</v>
      </c>
      <c r="AH86" s="9"/>
      <c r="AI86" s="1">
        <f t="shared" si="17"/>
        <v>0</v>
      </c>
      <c r="AJ86" t="s">
        <v>211</v>
      </c>
    </row>
    <row r="87" spans="1:36" x14ac:dyDescent="0.25">
      <c r="A87" s="1" t="s">
        <v>212</v>
      </c>
      <c r="B87" s="1" t="s">
        <v>41</v>
      </c>
      <c r="C87" s="1">
        <v>32.978999999999999</v>
      </c>
      <c r="D87" s="1"/>
      <c r="E87" s="1">
        <v>10.021000000000001</v>
      </c>
      <c r="F87" s="1">
        <v>21.512</v>
      </c>
      <c r="G87" s="7">
        <v>1</v>
      </c>
      <c r="H87" s="1">
        <v>55</v>
      </c>
      <c r="I87" s="1" t="s">
        <v>42</v>
      </c>
      <c r="J87" s="1"/>
      <c r="K87" s="1">
        <v>9.3000000000000007</v>
      </c>
      <c r="L87" s="1">
        <f t="shared" si="13"/>
        <v>0.72100000000000009</v>
      </c>
      <c r="M87" s="1"/>
      <c r="N87" s="1"/>
      <c r="O87" s="1">
        <v>0</v>
      </c>
      <c r="P87" s="1"/>
      <c r="Q87" s="1"/>
      <c r="R87" s="1"/>
      <c r="S87" s="1">
        <f t="shared" si="14"/>
        <v>2.0042</v>
      </c>
      <c r="T87" s="5">
        <v>4</v>
      </c>
      <c r="U87" s="5">
        <f>T87</f>
        <v>4</v>
      </c>
      <c r="V87" s="1">
        <f t="shared" si="15"/>
        <v>12.729268536074244</v>
      </c>
      <c r="W87" s="1">
        <f t="shared" si="16"/>
        <v>10.73345973455743</v>
      </c>
      <c r="X87" s="1">
        <v>1.1472</v>
      </c>
      <c r="Y87" s="1">
        <v>0.57320000000000004</v>
      </c>
      <c r="Z87" s="1">
        <v>0.57420000000000004</v>
      </c>
      <c r="AA87" s="1">
        <v>0.57440000000000002</v>
      </c>
      <c r="AB87" s="1">
        <v>1.1494</v>
      </c>
      <c r="AC87" s="1">
        <v>2.0078</v>
      </c>
      <c r="AD87" s="1">
        <v>2.8702000000000001</v>
      </c>
      <c r="AE87" s="1">
        <v>2.3037999999999998</v>
      </c>
      <c r="AF87" s="1">
        <v>0.86639999999999995</v>
      </c>
      <c r="AG87" s="1">
        <v>1.159</v>
      </c>
      <c r="AH87" s="1"/>
      <c r="AI87" s="1">
        <f t="shared" si="17"/>
        <v>4</v>
      </c>
      <c r="AJ87" t="s">
        <v>213</v>
      </c>
    </row>
    <row r="88" spans="1:36" x14ac:dyDescent="0.25">
      <c r="A88" s="1" t="s">
        <v>214</v>
      </c>
      <c r="B88" s="1" t="s">
        <v>41</v>
      </c>
      <c r="C88" s="1">
        <v>332.23</v>
      </c>
      <c r="D88" s="1">
        <v>229.22</v>
      </c>
      <c r="E88" s="1">
        <v>185.79499999999999</v>
      </c>
      <c r="F88" s="1">
        <v>344.96199999999999</v>
      </c>
      <c r="G88" s="7">
        <v>1</v>
      </c>
      <c r="H88" s="1">
        <v>60</v>
      </c>
      <c r="I88" s="1" t="s">
        <v>42</v>
      </c>
      <c r="J88" s="1"/>
      <c r="K88" s="1">
        <v>191.58</v>
      </c>
      <c r="L88" s="1">
        <f t="shared" si="13"/>
        <v>-5.785000000000025</v>
      </c>
      <c r="M88" s="1"/>
      <c r="N88" s="1"/>
      <c r="O88" s="1">
        <v>4</v>
      </c>
      <c r="P88" s="1"/>
      <c r="Q88" s="1"/>
      <c r="R88" s="1"/>
      <c r="S88" s="1">
        <f t="shared" si="14"/>
        <v>37.158999999999999</v>
      </c>
      <c r="T88" s="5">
        <f>12*S88-R88-Q88-P88-O88-F88</f>
        <v>96.946000000000026</v>
      </c>
      <c r="U88" s="5">
        <f>T88+$U$1*S88</f>
        <v>51.240430000000032</v>
      </c>
      <c r="V88" s="1">
        <f t="shared" si="15"/>
        <v>10.770000000000001</v>
      </c>
      <c r="W88" s="1">
        <f t="shared" si="16"/>
        <v>9.3910492747382861</v>
      </c>
      <c r="X88" s="1">
        <v>27.297799999999999</v>
      </c>
      <c r="Y88" s="1">
        <v>35.398400000000002</v>
      </c>
      <c r="Z88" s="1">
        <v>35.738399999999999</v>
      </c>
      <c r="AA88" s="1">
        <v>39.966799999999999</v>
      </c>
      <c r="AB88" s="1">
        <v>42.334800000000001</v>
      </c>
      <c r="AC88" s="1">
        <v>54.258799999999987</v>
      </c>
      <c r="AD88" s="1">
        <v>64.385599999999997</v>
      </c>
      <c r="AE88" s="1">
        <v>65.792000000000002</v>
      </c>
      <c r="AF88" s="1">
        <v>54.653599999999997</v>
      </c>
      <c r="AG88" s="1">
        <v>52.551599999999993</v>
      </c>
      <c r="AH88" s="1"/>
      <c r="AI88" s="1">
        <f t="shared" si="17"/>
        <v>51</v>
      </c>
      <c r="AJ88" t="s">
        <v>215</v>
      </c>
    </row>
    <row r="89" spans="1:36" x14ac:dyDescent="0.25">
      <c r="A89" s="9" t="s">
        <v>216</v>
      </c>
      <c r="B89" s="9" t="s">
        <v>49</v>
      </c>
      <c r="C89" s="9"/>
      <c r="D89" s="9"/>
      <c r="E89" s="9"/>
      <c r="F89" s="9"/>
      <c r="G89" s="10">
        <v>0</v>
      </c>
      <c r="H89" s="9"/>
      <c r="I89" s="9" t="s">
        <v>42</v>
      </c>
      <c r="J89" s="9"/>
      <c r="K89" s="9"/>
      <c r="L89" s="9">
        <f t="shared" si="13"/>
        <v>0</v>
      </c>
      <c r="M89" s="9"/>
      <c r="N89" s="9"/>
      <c r="O89" s="9">
        <v>0</v>
      </c>
      <c r="P89" s="9"/>
      <c r="Q89" s="9"/>
      <c r="R89" s="9"/>
      <c r="S89" s="9">
        <f t="shared" si="14"/>
        <v>0</v>
      </c>
      <c r="T89" s="11"/>
      <c r="U89" s="5">
        <f>T89</f>
        <v>0</v>
      </c>
      <c r="V89" s="1" t="e">
        <f t="shared" si="15"/>
        <v>#DIV/0!</v>
      </c>
      <c r="W89" s="9" t="e">
        <f t="shared" si="16"/>
        <v>#DIV/0!</v>
      </c>
      <c r="X89" s="9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>
        <v>0</v>
      </c>
      <c r="AF89" s="9">
        <v>0</v>
      </c>
      <c r="AG89" s="9">
        <v>0</v>
      </c>
      <c r="AH89" s="9" t="s">
        <v>57</v>
      </c>
      <c r="AI89" s="1">
        <f t="shared" si="17"/>
        <v>0</v>
      </c>
      <c r="AJ89" t="s">
        <v>217</v>
      </c>
    </row>
    <row r="90" spans="1:36" x14ac:dyDescent="0.25">
      <c r="A90" s="1" t="s">
        <v>218</v>
      </c>
      <c r="B90" s="1" t="s">
        <v>41</v>
      </c>
      <c r="C90" s="1">
        <v>2751.944</v>
      </c>
      <c r="D90" s="1">
        <v>843.553</v>
      </c>
      <c r="E90" s="1">
        <v>1156.624</v>
      </c>
      <c r="F90" s="1">
        <v>2064.627</v>
      </c>
      <c r="G90" s="7">
        <v>1</v>
      </c>
      <c r="H90" s="1">
        <v>60</v>
      </c>
      <c r="I90" s="1" t="s">
        <v>42</v>
      </c>
      <c r="J90" s="1"/>
      <c r="K90" s="1">
        <v>1205</v>
      </c>
      <c r="L90" s="1">
        <f t="shared" si="13"/>
        <v>-48.375999999999976</v>
      </c>
      <c r="M90" s="1"/>
      <c r="N90" s="1"/>
      <c r="O90" s="1">
        <v>811.44399599999997</v>
      </c>
      <c r="P90" s="1"/>
      <c r="Q90" s="1">
        <v>600</v>
      </c>
      <c r="R90" s="1">
        <v>300</v>
      </c>
      <c r="S90" s="1">
        <f t="shared" si="14"/>
        <v>231.32480000000001</v>
      </c>
      <c r="T90" s="5"/>
      <c r="U90" s="5">
        <f>T90</f>
        <v>0</v>
      </c>
      <c r="V90" s="1">
        <f t="shared" si="15"/>
        <v>16.323675611088824</v>
      </c>
      <c r="W90" s="1">
        <f t="shared" si="16"/>
        <v>16.323675611088824</v>
      </c>
      <c r="X90" s="1">
        <v>263.76119999999997</v>
      </c>
      <c r="Y90" s="1">
        <v>305.51940000000002</v>
      </c>
      <c r="Z90" s="1">
        <v>261.89159999999998</v>
      </c>
      <c r="AA90" s="1">
        <v>278.6728</v>
      </c>
      <c r="AB90" s="1">
        <v>349.59500000000003</v>
      </c>
      <c r="AC90" s="1">
        <v>386.44279999999998</v>
      </c>
      <c r="AD90" s="1">
        <v>349.46839999999997</v>
      </c>
      <c r="AE90" s="1">
        <v>330.30160000000001</v>
      </c>
      <c r="AF90" s="1">
        <v>346.56220000000002</v>
      </c>
      <c r="AG90" s="1">
        <v>373.70159999999998</v>
      </c>
      <c r="AH90" s="1"/>
      <c r="AI90" s="1">
        <f t="shared" si="17"/>
        <v>0</v>
      </c>
      <c r="AJ90" t="s">
        <v>219</v>
      </c>
    </row>
    <row r="91" spans="1:36" x14ac:dyDescent="0.25">
      <c r="A91" s="1" t="s">
        <v>220</v>
      </c>
      <c r="B91" s="1" t="s">
        <v>41</v>
      </c>
      <c r="C91" s="1">
        <v>3277.8919999999998</v>
      </c>
      <c r="D91" s="1">
        <v>422.017</v>
      </c>
      <c r="E91" s="1">
        <v>1069.0360000000001</v>
      </c>
      <c r="F91" s="1">
        <v>2367.6840000000002</v>
      </c>
      <c r="G91" s="7">
        <v>1</v>
      </c>
      <c r="H91" s="1">
        <v>60</v>
      </c>
      <c r="I91" s="1" t="s">
        <v>42</v>
      </c>
      <c r="J91" s="1"/>
      <c r="K91" s="1">
        <v>1082.5</v>
      </c>
      <c r="L91" s="1">
        <f t="shared" si="13"/>
        <v>-13.463999999999942</v>
      </c>
      <c r="M91" s="1"/>
      <c r="N91" s="1"/>
      <c r="O91" s="1">
        <v>0</v>
      </c>
      <c r="P91" s="1"/>
      <c r="Q91" s="1"/>
      <c r="R91" s="1"/>
      <c r="S91" s="1">
        <f t="shared" si="14"/>
        <v>213.80720000000002</v>
      </c>
      <c r="T91" s="5">
        <f>12*S91-R91-Q91-P91-O91-F91</f>
        <v>198.00240000000031</v>
      </c>
      <c r="U91" s="5">
        <v>0</v>
      </c>
      <c r="V91" s="1">
        <f t="shared" si="15"/>
        <v>11.073920803415414</v>
      </c>
      <c r="W91" s="1">
        <f t="shared" si="16"/>
        <v>11.073920803415414</v>
      </c>
      <c r="X91" s="1">
        <v>230.60740000000001</v>
      </c>
      <c r="Y91" s="1">
        <v>267.38240000000002</v>
      </c>
      <c r="Z91" s="1">
        <v>257.27859999999998</v>
      </c>
      <c r="AA91" s="1">
        <v>302.92239999999998</v>
      </c>
      <c r="AB91" s="1">
        <v>335.65300000000002</v>
      </c>
      <c r="AC91" s="1">
        <v>342.85480000000001</v>
      </c>
      <c r="AD91" s="1">
        <v>355.83800000000002</v>
      </c>
      <c r="AE91" s="1">
        <v>333.839</v>
      </c>
      <c r="AF91" s="1">
        <v>299.80560000000003</v>
      </c>
      <c r="AG91" s="1">
        <v>327.33319999999998</v>
      </c>
      <c r="AH91" s="1"/>
      <c r="AI91" s="1">
        <f t="shared" si="17"/>
        <v>0</v>
      </c>
      <c r="AJ91" t="s">
        <v>221</v>
      </c>
    </row>
    <row r="92" spans="1:36" x14ac:dyDescent="0.25">
      <c r="A92" s="1" t="s">
        <v>222</v>
      </c>
      <c r="B92" s="1" t="s">
        <v>41</v>
      </c>
      <c r="C92" s="1">
        <v>4238.902</v>
      </c>
      <c r="D92" s="1">
        <v>2024.829</v>
      </c>
      <c r="E92" s="1">
        <v>1951.7429999999999</v>
      </c>
      <c r="F92" s="1">
        <v>3799.8809999999999</v>
      </c>
      <c r="G92" s="7">
        <v>1</v>
      </c>
      <c r="H92" s="1">
        <v>60</v>
      </c>
      <c r="I92" s="1" t="s">
        <v>42</v>
      </c>
      <c r="J92" s="1"/>
      <c r="K92" s="1">
        <v>2012.5</v>
      </c>
      <c r="L92" s="1">
        <f t="shared" si="13"/>
        <v>-60.757000000000062</v>
      </c>
      <c r="M92" s="1"/>
      <c r="N92" s="1"/>
      <c r="O92" s="1">
        <v>0</v>
      </c>
      <c r="P92" s="1"/>
      <c r="Q92" s="1">
        <v>400</v>
      </c>
      <c r="R92" s="1">
        <v>400</v>
      </c>
      <c r="S92" s="1">
        <f t="shared" si="14"/>
        <v>390.34859999999998</v>
      </c>
      <c r="T92" s="5">
        <f>12*S92-R92-Q92-P92-O92-F92</f>
        <v>84.30219999999963</v>
      </c>
      <c r="U92" s="5">
        <v>0</v>
      </c>
      <c r="V92" s="1">
        <f t="shared" si="15"/>
        <v>11.784033553597988</v>
      </c>
      <c r="W92" s="1">
        <f t="shared" si="16"/>
        <v>11.784033553597988</v>
      </c>
      <c r="X92" s="1">
        <v>377.59100000000001</v>
      </c>
      <c r="Y92" s="1">
        <v>432.98239999999998</v>
      </c>
      <c r="Z92" s="1">
        <v>418.18819999999988</v>
      </c>
      <c r="AA92" s="1">
        <v>465.66320000000002</v>
      </c>
      <c r="AB92" s="1">
        <v>537.89380000000006</v>
      </c>
      <c r="AC92" s="1">
        <v>509.97379999999998</v>
      </c>
      <c r="AD92" s="1">
        <v>493.71719999999988</v>
      </c>
      <c r="AE92" s="1">
        <v>528.36019999999996</v>
      </c>
      <c r="AF92" s="1">
        <v>520.89139999999998</v>
      </c>
      <c r="AG92" s="1">
        <v>526.52819999999997</v>
      </c>
      <c r="AH92" s="1"/>
      <c r="AI92" s="1">
        <f t="shared" si="17"/>
        <v>0</v>
      </c>
      <c r="AJ92" t="s">
        <v>223</v>
      </c>
    </row>
    <row r="93" spans="1:36" x14ac:dyDescent="0.25">
      <c r="A93" s="9" t="s">
        <v>224</v>
      </c>
      <c r="B93" s="9" t="s">
        <v>41</v>
      </c>
      <c r="C93" s="9"/>
      <c r="D93" s="9"/>
      <c r="E93" s="9"/>
      <c r="F93" s="9"/>
      <c r="G93" s="10">
        <v>0</v>
      </c>
      <c r="H93" s="9"/>
      <c r="I93" s="9" t="s">
        <v>42</v>
      </c>
      <c r="J93" s="9"/>
      <c r="K93" s="9"/>
      <c r="L93" s="9">
        <f t="shared" si="13"/>
        <v>0</v>
      </c>
      <c r="M93" s="9"/>
      <c r="N93" s="9"/>
      <c r="O93" s="9">
        <v>0</v>
      </c>
      <c r="P93" s="9"/>
      <c r="Q93" s="9"/>
      <c r="R93" s="9"/>
      <c r="S93" s="9">
        <f t="shared" si="14"/>
        <v>0</v>
      </c>
      <c r="T93" s="11"/>
      <c r="U93" s="5">
        <f>T93</f>
        <v>0</v>
      </c>
      <c r="V93" s="1" t="e">
        <f t="shared" si="15"/>
        <v>#DIV/0!</v>
      </c>
      <c r="W93" s="9" t="e">
        <f t="shared" si="16"/>
        <v>#DIV/0!</v>
      </c>
      <c r="X93" s="9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>
        <v>0</v>
      </c>
      <c r="AH93" s="9" t="s">
        <v>57</v>
      </c>
      <c r="AI93" s="1">
        <f t="shared" si="17"/>
        <v>0</v>
      </c>
      <c r="AJ93" t="s">
        <v>225</v>
      </c>
    </row>
    <row r="94" spans="1:36" x14ac:dyDescent="0.25">
      <c r="A94" s="1" t="s">
        <v>226</v>
      </c>
      <c r="B94" s="1" t="s">
        <v>49</v>
      </c>
      <c r="C94" s="1">
        <v>14</v>
      </c>
      <c r="D94" s="1">
        <v>6</v>
      </c>
      <c r="E94" s="1">
        <v>27</v>
      </c>
      <c r="F94" s="1">
        <v>-9</v>
      </c>
      <c r="G94" s="7">
        <v>0.3</v>
      </c>
      <c r="H94" s="1">
        <v>40</v>
      </c>
      <c r="I94" s="12" t="s">
        <v>60</v>
      </c>
      <c r="J94" s="1"/>
      <c r="K94" s="1">
        <v>29</v>
      </c>
      <c r="L94" s="1">
        <f t="shared" si="13"/>
        <v>-2</v>
      </c>
      <c r="M94" s="1"/>
      <c r="N94" s="1"/>
      <c r="O94" s="1">
        <v>292.86599999999999</v>
      </c>
      <c r="P94" s="1">
        <v>-294</v>
      </c>
      <c r="Q94" s="1"/>
      <c r="R94" s="1"/>
      <c r="S94" s="1">
        <f t="shared" si="14"/>
        <v>5.4</v>
      </c>
      <c r="T94" s="5">
        <v>200</v>
      </c>
      <c r="U94" s="5">
        <f>T94*0.45</f>
        <v>90</v>
      </c>
      <c r="V94" s="1">
        <f t="shared" si="15"/>
        <v>14.789999999999996</v>
      </c>
      <c r="W94" s="1">
        <f t="shared" si="16"/>
        <v>-1.8766666666666691</v>
      </c>
      <c r="X94" s="1">
        <v>28.6</v>
      </c>
      <c r="Y94" s="1">
        <v>48.6</v>
      </c>
      <c r="Z94" s="1">
        <v>42.6</v>
      </c>
      <c r="AA94" s="1">
        <v>15.2</v>
      </c>
      <c r="AB94" s="1">
        <v>0.6</v>
      </c>
      <c r="AC94" s="1">
        <v>35</v>
      </c>
      <c r="AD94" s="1">
        <v>57.4</v>
      </c>
      <c r="AE94" s="1">
        <v>28.8</v>
      </c>
      <c r="AF94" s="1">
        <v>12.6</v>
      </c>
      <c r="AG94" s="1">
        <v>25</v>
      </c>
      <c r="AH94" s="1"/>
      <c r="AI94" s="1">
        <f t="shared" si="17"/>
        <v>27</v>
      </c>
      <c r="AJ94" t="s">
        <v>227</v>
      </c>
    </row>
    <row r="95" spans="1:36" x14ac:dyDescent="0.25">
      <c r="A95" s="9" t="s">
        <v>228</v>
      </c>
      <c r="B95" s="9" t="s">
        <v>49</v>
      </c>
      <c r="C95" s="9"/>
      <c r="D95" s="9"/>
      <c r="E95" s="9"/>
      <c r="F95" s="9"/>
      <c r="G95" s="10">
        <v>0</v>
      </c>
      <c r="H95" s="9"/>
      <c r="I95" s="9" t="s">
        <v>42</v>
      </c>
      <c r="J95" s="9"/>
      <c r="K95" s="9"/>
      <c r="L95" s="9">
        <f t="shared" si="13"/>
        <v>0</v>
      </c>
      <c r="M95" s="9"/>
      <c r="N95" s="9"/>
      <c r="O95" s="9">
        <v>0</v>
      </c>
      <c r="P95" s="9"/>
      <c r="Q95" s="9"/>
      <c r="R95" s="9"/>
      <c r="S95" s="9">
        <f t="shared" si="14"/>
        <v>0</v>
      </c>
      <c r="T95" s="11"/>
      <c r="U95" s="5">
        <f>T95</f>
        <v>0</v>
      </c>
      <c r="V95" s="1" t="e">
        <f t="shared" si="15"/>
        <v>#DIV/0!</v>
      </c>
      <c r="W95" s="9" t="e">
        <f t="shared" si="16"/>
        <v>#DIV/0!</v>
      </c>
      <c r="X95" s="9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0</v>
      </c>
      <c r="AE95" s="9">
        <v>0</v>
      </c>
      <c r="AF95" s="9">
        <v>0</v>
      </c>
      <c r="AG95" s="9">
        <v>0</v>
      </c>
      <c r="AH95" s="9" t="s">
        <v>57</v>
      </c>
      <c r="AI95" s="1">
        <f t="shared" si="17"/>
        <v>0</v>
      </c>
      <c r="AJ95" t="s">
        <v>229</v>
      </c>
    </row>
    <row r="96" spans="1:36" x14ac:dyDescent="0.25">
      <c r="A96" s="1" t="s">
        <v>230</v>
      </c>
      <c r="B96" s="1" t="s">
        <v>49</v>
      </c>
      <c r="C96" s="1">
        <v>77</v>
      </c>
      <c r="D96" s="1">
        <v>133</v>
      </c>
      <c r="E96" s="1">
        <v>76</v>
      </c>
      <c r="F96" s="1">
        <v>103</v>
      </c>
      <c r="G96" s="7">
        <v>7.0000000000000007E-2</v>
      </c>
      <c r="H96" s="1">
        <v>90</v>
      </c>
      <c r="I96" s="1" t="s">
        <v>42</v>
      </c>
      <c r="J96" s="1"/>
      <c r="K96" s="1">
        <v>96</v>
      </c>
      <c r="L96" s="1">
        <f t="shared" si="13"/>
        <v>-20</v>
      </c>
      <c r="M96" s="1"/>
      <c r="N96" s="1"/>
      <c r="O96" s="1">
        <v>0</v>
      </c>
      <c r="P96" s="1"/>
      <c r="Q96" s="1"/>
      <c r="R96" s="1"/>
      <c r="S96" s="1">
        <f t="shared" si="14"/>
        <v>15.2</v>
      </c>
      <c r="T96" s="5">
        <f>12*S96-R96-Q96-P96-O96-F96</f>
        <v>79.399999999999977</v>
      </c>
      <c r="U96" s="5">
        <f>T96+$U$1*S96</f>
        <v>60.703999999999979</v>
      </c>
      <c r="V96" s="1">
        <f t="shared" si="15"/>
        <v>10.77</v>
      </c>
      <c r="W96" s="1">
        <f t="shared" si="16"/>
        <v>6.776315789473685</v>
      </c>
      <c r="X96" s="1">
        <v>12.6</v>
      </c>
      <c r="Y96" s="1">
        <v>7</v>
      </c>
      <c r="Z96" s="1">
        <v>4.4000000000000004</v>
      </c>
      <c r="AA96" s="1">
        <v>14.2</v>
      </c>
      <c r="AB96" s="1">
        <v>17</v>
      </c>
      <c r="AC96" s="1">
        <v>9.4</v>
      </c>
      <c r="AD96" s="1">
        <v>9.4</v>
      </c>
      <c r="AE96" s="1">
        <v>12</v>
      </c>
      <c r="AF96" s="1">
        <v>13</v>
      </c>
      <c r="AG96" s="1">
        <v>14.6</v>
      </c>
      <c r="AH96" s="1"/>
      <c r="AI96" s="1">
        <f t="shared" si="17"/>
        <v>4</v>
      </c>
      <c r="AJ96" t="s">
        <v>231</v>
      </c>
    </row>
    <row r="97" spans="1:36" x14ac:dyDescent="0.25">
      <c r="A97" s="1" t="s">
        <v>232</v>
      </c>
      <c r="B97" s="1" t="s">
        <v>49</v>
      </c>
      <c r="C97" s="1"/>
      <c r="D97" s="1"/>
      <c r="E97" s="1"/>
      <c r="F97" s="1"/>
      <c r="G97" s="7">
        <v>7.0000000000000007E-2</v>
      </c>
      <c r="H97" s="1">
        <v>90</v>
      </c>
      <c r="I97" s="12" t="s">
        <v>60</v>
      </c>
      <c r="J97" s="1"/>
      <c r="K97" s="1">
        <v>3</v>
      </c>
      <c r="L97" s="1">
        <f t="shared" si="13"/>
        <v>-3</v>
      </c>
      <c r="M97" s="1"/>
      <c r="N97" s="1"/>
      <c r="O97" s="1">
        <v>50</v>
      </c>
      <c r="P97" s="1">
        <v>-72</v>
      </c>
      <c r="Q97" s="1"/>
      <c r="R97" s="1"/>
      <c r="S97" s="1">
        <f t="shared" si="14"/>
        <v>0</v>
      </c>
      <c r="T97" s="5">
        <v>40</v>
      </c>
      <c r="U97" s="5">
        <f>T97*0.5</f>
        <v>20</v>
      </c>
      <c r="V97" s="1" t="e">
        <f t="shared" si="15"/>
        <v>#DIV/0!</v>
      </c>
      <c r="W97" s="1" t="e">
        <f t="shared" si="16"/>
        <v>#DIV/0!</v>
      </c>
      <c r="X97" s="1">
        <v>0</v>
      </c>
      <c r="Y97" s="1">
        <v>0</v>
      </c>
      <c r="Z97" s="1">
        <v>0</v>
      </c>
      <c r="AA97" s="1">
        <v>7.2</v>
      </c>
      <c r="AB97" s="1">
        <v>11.2</v>
      </c>
      <c r="AC97" s="1">
        <v>7.2</v>
      </c>
      <c r="AD97" s="1">
        <v>3.2</v>
      </c>
      <c r="AE97" s="1">
        <v>0</v>
      </c>
      <c r="AF97" s="1">
        <v>0</v>
      </c>
      <c r="AG97" s="1">
        <v>4</v>
      </c>
      <c r="AH97" s="1"/>
      <c r="AI97" s="1">
        <f t="shared" si="17"/>
        <v>1</v>
      </c>
      <c r="AJ97" t="s">
        <v>233</v>
      </c>
    </row>
    <row r="98" spans="1:36" x14ac:dyDescent="0.25">
      <c r="A98" s="1" t="s">
        <v>234</v>
      </c>
      <c r="B98" s="1" t="s">
        <v>49</v>
      </c>
      <c r="C98" s="1">
        <v>73</v>
      </c>
      <c r="D98" s="1">
        <v>79</v>
      </c>
      <c r="E98" s="1">
        <v>65</v>
      </c>
      <c r="F98" s="1">
        <v>54</v>
      </c>
      <c r="G98" s="7">
        <v>7.0000000000000007E-2</v>
      </c>
      <c r="H98" s="1">
        <v>90</v>
      </c>
      <c r="I98" s="1" t="s">
        <v>42</v>
      </c>
      <c r="J98" s="1"/>
      <c r="K98" s="1">
        <v>85</v>
      </c>
      <c r="L98" s="1">
        <f t="shared" si="13"/>
        <v>-20</v>
      </c>
      <c r="M98" s="1"/>
      <c r="N98" s="1"/>
      <c r="O98" s="1">
        <v>0</v>
      </c>
      <c r="P98" s="1"/>
      <c r="Q98" s="1"/>
      <c r="R98" s="1"/>
      <c r="S98" s="1">
        <f t="shared" si="14"/>
        <v>13</v>
      </c>
      <c r="T98" s="5">
        <f>11*S98-R98-Q98-P98-O98-F98</f>
        <v>89</v>
      </c>
      <c r="U98" s="5">
        <f>T98+$U$1*S98</f>
        <v>73.010000000000005</v>
      </c>
      <c r="V98" s="1">
        <f t="shared" si="15"/>
        <v>9.77</v>
      </c>
      <c r="W98" s="1">
        <f t="shared" si="16"/>
        <v>4.1538461538461542</v>
      </c>
      <c r="X98" s="1">
        <v>12.2</v>
      </c>
      <c r="Y98" s="1">
        <v>9.1999999999999993</v>
      </c>
      <c r="Z98" s="1">
        <v>5</v>
      </c>
      <c r="AA98" s="1">
        <v>11</v>
      </c>
      <c r="AB98" s="1">
        <v>12.6</v>
      </c>
      <c r="AC98" s="1">
        <v>7</v>
      </c>
      <c r="AD98" s="1">
        <v>9.4</v>
      </c>
      <c r="AE98" s="1">
        <v>15.4</v>
      </c>
      <c r="AF98" s="1">
        <v>14.2</v>
      </c>
      <c r="AG98" s="1">
        <v>10.6</v>
      </c>
      <c r="AH98" s="1"/>
      <c r="AI98" s="1">
        <f t="shared" si="17"/>
        <v>5</v>
      </c>
      <c r="AJ98" t="s">
        <v>235</v>
      </c>
    </row>
    <row r="99" spans="1:36" x14ac:dyDescent="0.25">
      <c r="A99" s="9" t="s">
        <v>236</v>
      </c>
      <c r="B99" s="9" t="s">
        <v>49</v>
      </c>
      <c r="C99" s="9">
        <v>7</v>
      </c>
      <c r="D99" s="9"/>
      <c r="E99" s="9">
        <v>-1</v>
      </c>
      <c r="F99" s="9">
        <v>7</v>
      </c>
      <c r="G99" s="10">
        <v>0</v>
      </c>
      <c r="H99" s="9">
        <v>90</v>
      </c>
      <c r="I99" s="9" t="s">
        <v>85</v>
      </c>
      <c r="J99" s="9"/>
      <c r="K99" s="9">
        <v>27</v>
      </c>
      <c r="L99" s="9">
        <f t="shared" si="13"/>
        <v>-28</v>
      </c>
      <c r="M99" s="9"/>
      <c r="N99" s="9"/>
      <c r="O99" s="9">
        <v>0</v>
      </c>
      <c r="P99" s="9"/>
      <c r="Q99" s="9"/>
      <c r="R99" s="9"/>
      <c r="S99" s="9">
        <f t="shared" si="14"/>
        <v>-0.2</v>
      </c>
      <c r="T99" s="11"/>
      <c r="U99" s="5">
        <f t="shared" ref="U99:U104" si="18">T99</f>
        <v>0</v>
      </c>
      <c r="V99" s="1">
        <f t="shared" si="15"/>
        <v>-35</v>
      </c>
      <c r="W99" s="9">
        <f t="shared" si="16"/>
        <v>-35</v>
      </c>
      <c r="X99" s="9">
        <v>-0.6</v>
      </c>
      <c r="Y99" s="9">
        <v>-0.4</v>
      </c>
      <c r="Z99" s="9">
        <v>0</v>
      </c>
      <c r="AA99" s="9">
        <v>8.8000000000000007</v>
      </c>
      <c r="AB99" s="9">
        <v>14</v>
      </c>
      <c r="AC99" s="9">
        <v>12.6</v>
      </c>
      <c r="AD99" s="9">
        <v>14</v>
      </c>
      <c r="AE99" s="9">
        <v>15</v>
      </c>
      <c r="AF99" s="9">
        <v>12.6</v>
      </c>
      <c r="AG99" s="9">
        <v>7.6</v>
      </c>
      <c r="AH99" s="9"/>
      <c r="AI99" s="1">
        <f t="shared" si="17"/>
        <v>0</v>
      </c>
      <c r="AJ99" t="s">
        <v>237</v>
      </c>
    </row>
    <row r="100" spans="1:36" x14ac:dyDescent="0.25">
      <c r="A100" s="9" t="s">
        <v>238</v>
      </c>
      <c r="B100" s="9" t="s">
        <v>49</v>
      </c>
      <c r="C100" s="9">
        <v>1</v>
      </c>
      <c r="D100" s="9"/>
      <c r="E100" s="9">
        <v>-1</v>
      </c>
      <c r="F100" s="9">
        <v>1</v>
      </c>
      <c r="G100" s="10">
        <v>0</v>
      </c>
      <c r="H100" s="9"/>
      <c r="I100" s="9" t="s">
        <v>85</v>
      </c>
      <c r="J100" s="9"/>
      <c r="K100" s="9">
        <v>5</v>
      </c>
      <c r="L100" s="9">
        <f t="shared" si="13"/>
        <v>-6</v>
      </c>
      <c r="M100" s="9"/>
      <c r="N100" s="9"/>
      <c r="O100" s="9">
        <v>0</v>
      </c>
      <c r="P100" s="9"/>
      <c r="Q100" s="9"/>
      <c r="R100" s="9"/>
      <c r="S100" s="9">
        <f t="shared" si="14"/>
        <v>-0.2</v>
      </c>
      <c r="T100" s="11"/>
      <c r="U100" s="5">
        <f t="shared" si="18"/>
        <v>0</v>
      </c>
      <c r="V100" s="1">
        <f t="shared" si="15"/>
        <v>-5</v>
      </c>
      <c r="W100" s="9">
        <f t="shared" si="16"/>
        <v>-5</v>
      </c>
      <c r="X100" s="9">
        <v>-0.2</v>
      </c>
      <c r="Y100" s="9">
        <v>-0.2</v>
      </c>
      <c r="Z100" s="9">
        <v>-0.2</v>
      </c>
      <c r="AA100" s="9">
        <v>-1.8</v>
      </c>
      <c r="AB100" s="9">
        <v>-1.8</v>
      </c>
      <c r="AC100" s="9">
        <v>0</v>
      </c>
      <c r="AD100" s="9">
        <v>0</v>
      </c>
      <c r="AE100" s="9">
        <v>-0.2</v>
      </c>
      <c r="AF100" s="9">
        <v>-0.8</v>
      </c>
      <c r="AG100" s="9">
        <v>2.8</v>
      </c>
      <c r="AH100" s="9" t="s">
        <v>239</v>
      </c>
      <c r="AI100" s="1">
        <f t="shared" si="17"/>
        <v>0</v>
      </c>
      <c r="AJ100" t="s">
        <v>240</v>
      </c>
    </row>
    <row r="101" spans="1:36" x14ac:dyDescent="0.25">
      <c r="A101" s="9" t="s">
        <v>241</v>
      </c>
      <c r="B101" s="9" t="s">
        <v>49</v>
      </c>
      <c r="C101" s="9"/>
      <c r="D101" s="9"/>
      <c r="E101" s="9"/>
      <c r="F101" s="9"/>
      <c r="G101" s="10">
        <v>0</v>
      </c>
      <c r="H101" s="9"/>
      <c r="I101" s="9" t="s">
        <v>42</v>
      </c>
      <c r="J101" s="9"/>
      <c r="K101" s="9"/>
      <c r="L101" s="9">
        <f t="shared" si="13"/>
        <v>0</v>
      </c>
      <c r="M101" s="9"/>
      <c r="N101" s="9"/>
      <c r="O101" s="9">
        <v>0</v>
      </c>
      <c r="P101" s="9"/>
      <c r="Q101" s="9"/>
      <c r="R101" s="9"/>
      <c r="S101" s="9">
        <f t="shared" si="14"/>
        <v>0</v>
      </c>
      <c r="T101" s="11"/>
      <c r="U101" s="5">
        <f t="shared" si="18"/>
        <v>0</v>
      </c>
      <c r="V101" s="1" t="e">
        <f t="shared" si="15"/>
        <v>#DIV/0!</v>
      </c>
      <c r="W101" s="9" t="e">
        <f t="shared" si="16"/>
        <v>#DIV/0!</v>
      </c>
      <c r="X101" s="9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0</v>
      </c>
      <c r="AE101" s="9">
        <v>0</v>
      </c>
      <c r="AF101" s="9">
        <v>0</v>
      </c>
      <c r="AG101" s="9">
        <v>0</v>
      </c>
      <c r="AH101" s="9" t="s">
        <v>57</v>
      </c>
      <c r="AI101" s="1">
        <f t="shared" si="17"/>
        <v>0</v>
      </c>
      <c r="AJ101" t="s">
        <v>242</v>
      </c>
    </row>
    <row r="102" spans="1:36" x14ac:dyDescent="0.25">
      <c r="A102" s="9" t="s">
        <v>243</v>
      </c>
      <c r="B102" s="9" t="s">
        <v>41</v>
      </c>
      <c r="C102" s="9">
        <v>-3.173</v>
      </c>
      <c r="D102" s="9"/>
      <c r="E102" s="9"/>
      <c r="F102" s="9">
        <v>-3.173</v>
      </c>
      <c r="G102" s="10">
        <v>0</v>
      </c>
      <c r="H102" s="9"/>
      <c r="I102" s="9" t="s">
        <v>42</v>
      </c>
      <c r="J102" s="9"/>
      <c r="K102" s="9">
        <v>1</v>
      </c>
      <c r="L102" s="9">
        <f t="shared" ref="L102:L133" si="19">E102-K102</f>
        <v>-1</v>
      </c>
      <c r="M102" s="9"/>
      <c r="N102" s="9"/>
      <c r="O102" s="9">
        <v>0</v>
      </c>
      <c r="P102" s="9"/>
      <c r="Q102" s="9"/>
      <c r="R102" s="9"/>
      <c r="S102" s="9">
        <f t="shared" ref="S102:S133" si="20">E102/5</f>
        <v>0</v>
      </c>
      <c r="T102" s="11"/>
      <c r="U102" s="5">
        <f t="shared" si="18"/>
        <v>0</v>
      </c>
      <c r="V102" s="1" t="e">
        <f t="shared" ref="V102:V133" si="21">(F102+O102+P102+Q102+R102+U102)/S102</f>
        <v>#DIV/0!</v>
      </c>
      <c r="W102" s="9" t="e">
        <f t="shared" ref="W102:W133" si="22">(F102+O102+P102+Q102+R102)/S102</f>
        <v>#DIV/0!</v>
      </c>
      <c r="X102" s="9">
        <v>-0.32</v>
      </c>
      <c r="Y102" s="9">
        <v>-0.32</v>
      </c>
      <c r="Z102" s="9">
        <v>-0.31919999999999998</v>
      </c>
      <c r="AA102" s="9">
        <v>-0.31919999999999998</v>
      </c>
      <c r="AB102" s="9">
        <v>-5.4399999999999997E-2</v>
      </c>
      <c r="AC102" s="9">
        <v>0.63460000000000005</v>
      </c>
      <c r="AD102" s="9">
        <v>4.1537999999999986</v>
      </c>
      <c r="AE102" s="9">
        <v>6.4096000000000002</v>
      </c>
      <c r="AF102" s="9">
        <v>3.5326</v>
      </c>
      <c r="AG102" s="9">
        <v>2.8809999999999998</v>
      </c>
      <c r="AH102" s="9" t="s">
        <v>57</v>
      </c>
      <c r="AI102" s="1">
        <f t="shared" ref="AI102:AI133" si="23">ROUND(G102*U102,0)</f>
        <v>0</v>
      </c>
      <c r="AJ102" t="s">
        <v>244</v>
      </c>
    </row>
    <row r="103" spans="1:36" x14ac:dyDescent="0.25">
      <c r="A103" s="9" t="s">
        <v>245</v>
      </c>
      <c r="B103" s="9" t="s">
        <v>49</v>
      </c>
      <c r="C103" s="9"/>
      <c r="D103" s="9"/>
      <c r="E103" s="9"/>
      <c r="F103" s="9"/>
      <c r="G103" s="10">
        <v>0</v>
      </c>
      <c r="H103" s="9"/>
      <c r="I103" s="9" t="s">
        <v>42</v>
      </c>
      <c r="J103" s="9"/>
      <c r="K103" s="9"/>
      <c r="L103" s="9">
        <f t="shared" si="19"/>
        <v>0</v>
      </c>
      <c r="M103" s="9"/>
      <c r="N103" s="9"/>
      <c r="O103" s="9">
        <v>0</v>
      </c>
      <c r="P103" s="9"/>
      <c r="Q103" s="9"/>
      <c r="R103" s="9"/>
      <c r="S103" s="9">
        <f t="shared" si="20"/>
        <v>0</v>
      </c>
      <c r="T103" s="11"/>
      <c r="U103" s="5">
        <f t="shared" si="18"/>
        <v>0</v>
      </c>
      <c r="V103" s="1" t="e">
        <f t="shared" si="21"/>
        <v>#DIV/0!</v>
      </c>
      <c r="W103" s="9" t="e">
        <f t="shared" si="22"/>
        <v>#DIV/0!</v>
      </c>
      <c r="X103" s="9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0</v>
      </c>
      <c r="AE103" s="9">
        <v>0</v>
      </c>
      <c r="AF103" s="9">
        <v>0</v>
      </c>
      <c r="AG103" s="9">
        <v>0</v>
      </c>
      <c r="AH103" s="9" t="s">
        <v>57</v>
      </c>
      <c r="AI103" s="1">
        <f t="shared" si="23"/>
        <v>0</v>
      </c>
      <c r="AJ103" t="s">
        <v>246</v>
      </c>
    </row>
    <row r="104" spans="1:36" x14ac:dyDescent="0.25">
      <c r="A104" s="9" t="s">
        <v>247</v>
      </c>
      <c r="B104" s="9" t="s">
        <v>49</v>
      </c>
      <c r="C104" s="9"/>
      <c r="D104" s="9"/>
      <c r="E104" s="9"/>
      <c r="F104" s="9"/>
      <c r="G104" s="10">
        <v>0</v>
      </c>
      <c r="H104" s="9"/>
      <c r="I104" s="9" t="s">
        <v>42</v>
      </c>
      <c r="J104" s="9"/>
      <c r="K104" s="9"/>
      <c r="L104" s="9">
        <f t="shared" si="19"/>
        <v>0</v>
      </c>
      <c r="M104" s="9"/>
      <c r="N104" s="9"/>
      <c r="O104" s="9">
        <v>0</v>
      </c>
      <c r="P104" s="9"/>
      <c r="Q104" s="9"/>
      <c r="R104" s="9"/>
      <c r="S104" s="9">
        <f t="shared" si="20"/>
        <v>0</v>
      </c>
      <c r="T104" s="11"/>
      <c r="U104" s="5">
        <f t="shared" si="18"/>
        <v>0</v>
      </c>
      <c r="V104" s="1" t="e">
        <f t="shared" si="21"/>
        <v>#DIV/0!</v>
      </c>
      <c r="W104" s="9" t="e">
        <f t="shared" si="22"/>
        <v>#DIV/0!</v>
      </c>
      <c r="X104" s="9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>
        <v>0</v>
      </c>
      <c r="AF104" s="9">
        <v>0</v>
      </c>
      <c r="AG104" s="9">
        <v>0</v>
      </c>
      <c r="AH104" s="9" t="s">
        <v>57</v>
      </c>
      <c r="AI104" s="1">
        <f t="shared" si="23"/>
        <v>0</v>
      </c>
      <c r="AJ104" t="s">
        <v>248</v>
      </c>
    </row>
    <row r="105" spans="1:36" x14ac:dyDescent="0.25">
      <c r="A105" s="1" t="s">
        <v>249</v>
      </c>
      <c r="B105" s="1" t="s">
        <v>49</v>
      </c>
      <c r="C105" s="1">
        <v>43</v>
      </c>
      <c r="D105" s="1">
        <v>137</v>
      </c>
      <c r="E105" s="1">
        <v>95</v>
      </c>
      <c r="F105" s="1">
        <v>53</v>
      </c>
      <c r="G105" s="7">
        <v>0.08</v>
      </c>
      <c r="H105" s="1">
        <v>45</v>
      </c>
      <c r="I105" s="1" t="s">
        <v>42</v>
      </c>
      <c r="J105" s="1"/>
      <c r="K105" s="1">
        <v>113</v>
      </c>
      <c r="L105" s="1">
        <f t="shared" si="19"/>
        <v>-18</v>
      </c>
      <c r="M105" s="1"/>
      <c r="N105" s="1"/>
      <c r="O105" s="1">
        <v>0</v>
      </c>
      <c r="P105" s="1"/>
      <c r="Q105" s="1"/>
      <c r="R105" s="1"/>
      <c r="S105" s="1">
        <f t="shared" si="20"/>
        <v>19</v>
      </c>
      <c r="T105" s="5">
        <f>10*S105-R105-Q105-P105-O105-F105</f>
        <v>137</v>
      </c>
      <c r="U105" s="5">
        <f>T105+$U$1*S105</f>
        <v>113.63</v>
      </c>
      <c r="V105" s="1">
        <f t="shared" si="21"/>
        <v>8.77</v>
      </c>
      <c r="W105" s="1">
        <f t="shared" si="22"/>
        <v>2.7894736842105261</v>
      </c>
      <c r="X105" s="1">
        <v>14.6</v>
      </c>
      <c r="Y105" s="1">
        <v>11.6</v>
      </c>
      <c r="Z105" s="1">
        <v>5.4</v>
      </c>
      <c r="AA105" s="1">
        <v>13.6</v>
      </c>
      <c r="AB105" s="1">
        <v>20</v>
      </c>
      <c r="AC105" s="1">
        <v>12.6</v>
      </c>
      <c r="AD105" s="1">
        <v>5</v>
      </c>
      <c r="AE105" s="1">
        <v>10</v>
      </c>
      <c r="AF105" s="1">
        <v>18.399999999999999</v>
      </c>
      <c r="AG105" s="1">
        <v>18.8</v>
      </c>
      <c r="AH105" s="1"/>
      <c r="AI105" s="1">
        <f t="shared" si="23"/>
        <v>9</v>
      </c>
      <c r="AJ105" t="s">
        <v>250</v>
      </c>
    </row>
    <row r="106" spans="1:36" x14ac:dyDescent="0.25">
      <c r="A106" s="1" t="s">
        <v>251</v>
      </c>
      <c r="B106" s="1" t="s">
        <v>49</v>
      </c>
      <c r="C106" s="1">
        <v>25</v>
      </c>
      <c r="D106" s="1">
        <v>204</v>
      </c>
      <c r="E106" s="1">
        <v>72</v>
      </c>
      <c r="F106" s="1">
        <v>136</v>
      </c>
      <c r="G106" s="7">
        <v>0.08</v>
      </c>
      <c r="H106" s="1">
        <v>45</v>
      </c>
      <c r="I106" s="1" t="s">
        <v>42</v>
      </c>
      <c r="J106" s="1"/>
      <c r="K106" s="1">
        <v>90</v>
      </c>
      <c r="L106" s="1">
        <f t="shared" si="19"/>
        <v>-18</v>
      </c>
      <c r="M106" s="1"/>
      <c r="N106" s="1"/>
      <c r="O106" s="1">
        <v>0</v>
      </c>
      <c r="P106" s="1"/>
      <c r="Q106" s="1"/>
      <c r="R106" s="1"/>
      <c r="S106" s="1">
        <f t="shared" si="20"/>
        <v>14.4</v>
      </c>
      <c r="T106" s="5">
        <f>12*S106-R106-Q106-P106-O106-F106</f>
        <v>36.800000000000011</v>
      </c>
      <c r="U106" s="5">
        <f>T106</f>
        <v>36.800000000000011</v>
      </c>
      <c r="V106" s="1">
        <f t="shared" si="21"/>
        <v>12</v>
      </c>
      <c r="W106" s="1">
        <f t="shared" si="22"/>
        <v>9.4444444444444446</v>
      </c>
      <c r="X106" s="1">
        <v>15.6</v>
      </c>
      <c r="Y106" s="1">
        <v>9.8000000000000007</v>
      </c>
      <c r="Z106" s="1">
        <v>4.2</v>
      </c>
      <c r="AA106" s="1">
        <v>18</v>
      </c>
      <c r="AB106" s="1">
        <v>20</v>
      </c>
      <c r="AC106" s="1">
        <v>9.4</v>
      </c>
      <c r="AD106" s="1">
        <v>5.4</v>
      </c>
      <c r="AE106" s="1">
        <v>9.4</v>
      </c>
      <c r="AF106" s="1">
        <v>16.8</v>
      </c>
      <c r="AG106" s="1">
        <v>22.2</v>
      </c>
      <c r="AH106" s="1"/>
      <c r="AI106" s="1">
        <f t="shared" si="23"/>
        <v>3</v>
      </c>
      <c r="AJ106" t="s">
        <v>252</v>
      </c>
    </row>
    <row r="107" spans="1:36" x14ac:dyDescent="0.25">
      <c r="A107" s="9" t="s">
        <v>253</v>
      </c>
      <c r="B107" s="9" t="s">
        <v>49</v>
      </c>
      <c r="C107" s="9"/>
      <c r="D107" s="9"/>
      <c r="E107" s="9"/>
      <c r="F107" s="9"/>
      <c r="G107" s="10">
        <v>0</v>
      </c>
      <c r="H107" s="9"/>
      <c r="I107" s="9" t="s">
        <v>42</v>
      </c>
      <c r="J107" s="9"/>
      <c r="K107" s="9"/>
      <c r="L107" s="9">
        <f t="shared" si="19"/>
        <v>0</v>
      </c>
      <c r="M107" s="9"/>
      <c r="N107" s="9"/>
      <c r="O107" s="9">
        <v>0</v>
      </c>
      <c r="P107" s="9"/>
      <c r="Q107" s="9"/>
      <c r="R107" s="9"/>
      <c r="S107" s="9">
        <f t="shared" si="20"/>
        <v>0</v>
      </c>
      <c r="T107" s="11"/>
      <c r="U107" s="5">
        <f>T107</f>
        <v>0</v>
      </c>
      <c r="V107" s="1" t="e">
        <f t="shared" si="21"/>
        <v>#DIV/0!</v>
      </c>
      <c r="W107" s="9" t="e">
        <f t="shared" si="22"/>
        <v>#DIV/0!</v>
      </c>
      <c r="X107" s="9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0</v>
      </c>
      <c r="AE107" s="9">
        <v>0</v>
      </c>
      <c r="AF107" s="9">
        <v>0</v>
      </c>
      <c r="AG107" s="9">
        <v>0</v>
      </c>
      <c r="AH107" s="9" t="s">
        <v>57</v>
      </c>
      <c r="AI107" s="1">
        <f t="shared" si="23"/>
        <v>0</v>
      </c>
      <c r="AJ107" t="s">
        <v>254</v>
      </c>
    </row>
    <row r="108" spans="1:36" x14ac:dyDescent="0.25">
      <c r="A108" s="1" t="s">
        <v>255</v>
      </c>
      <c r="B108" s="1" t="s">
        <v>41</v>
      </c>
      <c r="C108" s="1">
        <v>110.164</v>
      </c>
      <c r="D108" s="1">
        <v>252.03100000000001</v>
      </c>
      <c r="E108" s="1">
        <v>242.62899999999999</v>
      </c>
      <c r="F108" s="1">
        <v>67.025999999999996</v>
      </c>
      <c r="G108" s="7">
        <v>1</v>
      </c>
      <c r="H108" s="1">
        <v>40</v>
      </c>
      <c r="I108" s="12" t="s">
        <v>60</v>
      </c>
      <c r="J108" s="1"/>
      <c r="K108" s="1">
        <v>239.15</v>
      </c>
      <c r="L108" s="1">
        <f t="shared" si="19"/>
        <v>3.478999999999985</v>
      </c>
      <c r="M108" s="1"/>
      <c r="N108" s="1"/>
      <c r="O108" s="1">
        <v>205.1577119999998</v>
      </c>
      <c r="P108" s="1">
        <v>-206.5</v>
      </c>
      <c r="Q108" s="1"/>
      <c r="R108" s="1"/>
      <c r="S108" s="1">
        <f t="shared" si="20"/>
        <v>48.525799999999997</v>
      </c>
      <c r="T108" s="5">
        <v>100</v>
      </c>
      <c r="U108" s="5">
        <f>T108*0.45</f>
        <v>45</v>
      </c>
      <c r="V108" s="1">
        <f t="shared" si="21"/>
        <v>2.2809250336934124</v>
      </c>
      <c r="W108" s="1">
        <f t="shared" si="22"/>
        <v>1.3535832897139211</v>
      </c>
      <c r="X108" s="1">
        <v>48.293199999999999</v>
      </c>
      <c r="Y108" s="1">
        <v>40.6768</v>
      </c>
      <c r="Z108" s="1">
        <v>32.158000000000001</v>
      </c>
      <c r="AA108" s="1">
        <v>35.068199999999997</v>
      </c>
      <c r="AB108" s="1">
        <v>38.737400000000001</v>
      </c>
      <c r="AC108" s="1">
        <v>37.202199999999998</v>
      </c>
      <c r="AD108" s="1">
        <v>32.511200000000002</v>
      </c>
      <c r="AE108" s="1">
        <v>39.205399999999997</v>
      </c>
      <c r="AF108" s="1">
        <v>47.357999999999997</v>
      </c>
      <c r="AG108" s="1">
        <v>40.43</v>
      </c>
      <c r="AH108" s="1"/>
      <c r="AI108" s="1">
        <f t="shared" si="23"/>
        <v>45</v>
      </c>
      <c r="AJ108" t="s">
        <v>256</v>
      </c>
    </row>
    <row r="109" spans="1:36" x14ac:dyDescent="0.25">
      <c r="A109" s="1" t="s">
        <v>257</v>
      </c>
      <c r="B109" s="1" t="s">
        <v>41</v>
      </c>
      <c r="C109" s="1">
        <v>172.54900000000001</v>
      </c>
      <c r="D109" s="1">
        <v>208.12799999999999</v>
      </c>
      <c r="E109" s="1">
        <v>257.25400000000002</v>
      </c>
      <c r="F109" s="1">
        <v>78.204999999999998</v>
      </c>
      <c r="G109" s="7">
        <v>1</v>
      </c>
      <c r="H109" s="1">
        <v>40</v>
      </c>
      <c r="I109" s="12" t="s">
        <v>60</v>
      </c>
      <c r="J109" s="1"/>
      <c r="K109" s="1">
        <v>247.87</v>
      </c>
      <c r="L109" s="1">
        <f t="shared" si="19"/>
        <v>9.3840000000000146</v>
      </c>
      <c r="M109" s="1"/>
      <c r="N109" s="1"/>
      <c r="O109" s="1">
        <v>159.75491600000001</v>
      </c>
      <c r="P109" s="1">
        <v>-161</v>
      </c>
      <c r="Q109" s="1"/>
      <c r="R109" s="1"/>
      <c r="S109" s="1">
        <f t="shared" si="20"/>
        <v>51.450800000000001</v>
      </c>
      <c r="T109" s="5">
        <v>100</v>
      </c>
      <c r="U109" s="5">
        <f>T109*0.45</f>
        <v>45</v>
      </c>
      <c r="V109" s="1">
        <f t="shared" si="21"/>
        <v>2.3704182636615956</v>
      </c>
      <c r="W109" s="1">
        <f t="shared" si="22"/>
        <v>1.4957962947126191</v>
      </c>
      <c r="X109" s="1">
        <v>46.6586</v>
      </c>
      <c r="Y109" s="1">
        <v>38.007399999999997</v>
      </c>
      <c r="Z109" s="1">
        <v>31.772600000000001</v>
      </c>
      <c r="AA109" s="1">
        <v>34.806199999999997</v>
      </c>
      <c r="AB109" s="1">
        <v>35.509799999999998</v>
      </c>
      <c r="AC109" s="1">
        <v>40.703800000000001</v>
      </c>
      <c r="AD109" s="1">
        <v>41.782600000000002</v>
      </c>
      <c r="AE109" s="1">
        <v>43.181199999999997</v>
      </c>
      <c r="AF109" s="1">
        <v>44.637</v>
      </c>
      <c r="AG109" s="1">
        <v>44.8142</v>
      </c>
      <c r="AH109" s="1"/>
      <c r="AI109" s="1">
        <f t="shared" si="23"/>
        <v>45</v>
      </c>
      <c r="AJ109" t="s">
        <v>258</v>
      </c>
    </row>
    <row r="110" spans="1:36" x14ac:dyDescent="0.25">
      <c r="A110" s="1" t="s">
        <v>259</v>
      </c>
      <c r="B110" s="1" t="s">
        <v>41</v>
      </c>
      <c r="C110" s="1">
        <v>136.19999999999999</v>
      </c>
      <c r="D110" s="1">
        <v>34.148000000000003</v>
      </c>
      <c r="E110" s="1">
        <v>148.768</v>
      </c>
      <c r="F110" s="1">
        <v>8.0519999999999996</v>
      </c>
      <c r="G110" s="7">
        <v>1</v>
      </c>
      <c r="H110" s="1">
        <v>40</v>
      </c>
      <c r="I110" s="12" t="s">
        <v>60</v>
      </c>
      <c r="J110" s="1"/>
      <c r="K110" s="1">
        <v>342.27</v>
      </c>
      <c r="L110" s="1">
        <f t="shared" si="19"/>
        <v>-193.50199999999998</v>
      </c>
      <c r="M110" s="1"/>
      <c r="N110" s="1"/>
      <c r="O110" s="1">
        <v>180</v>
      </c>
      <c r="P110" s="1">
        <v>-172.614</v>
      </c>
      <c r="Q110" s="1"/>
      <c r="R110" s="1"/>
      <c r="S110" s="1">
        <f t="shared" si="20"/>
        <v>29.753599999999999</v>
      </c>
      <c r="T110" s="5">
        <v>120</v>
      </c>
      <c r="U110" s="5">
        <f>T110*0.45</f>
        <v>54</v>
      </c>
      <c r="V110" s="1">
        <f t="shared" si="21"/>
        <v>2.3337680146268012</v>
      </c>
      <c r="W110" s="1">
        <f t="shared" si="22"/>
        <v>0.51886158313615793</v>
      </c>
      <c r="X110" s="1">
        <v>60.248199999999997</v>
      </c>
      <c r="Y110" s="1">
        <v>61.4514</v>
      </c>
      <c r="Z110" s="1">
        <v>45.332599999999999</v>
      </c>
      <c r="AA110" s="1">
        <v>44.720799999999997</v>
      </c>
      <c r="AB110" s="1">
        <v>51.527799999999999</v>
      </c>
      <c r="AC110" s="1">
        <v>51.247799999999998</v>
      </c>
      <c r="AD110" s="1">
        <v>50.388800000000003</v>
      </c>
      <c r="AE110" s="1">
        <v>57.012800000000013</v>
      </c>
      <c r="AF110" s="1">
        <v>65.165199999999999</v>
      </c>
      <c r="AG110" s="1">
        <v>60.9452</v>
      </c>
      <c r="AH110" s="1"/>
      <c r="AI110" s="1">
        <f t="shared" si="23"/>
        <v>54</v>
      </c>
      <c r="AJ110" t="s">
        <v>260</v>
      </c>
    </row>
    <row r="111" spans="1:36" x14ac:dyDescent="0.25">
      <c r="A111" s="9" t="s">
        <v>261</v>
      </c>
      <c r="B111" s="9" t="s">
        <v>49</v>
      </c>
      <c r="C111" s="9"/>
      <c r="D111" s="9"/>
      <c r="E111" s="9"/>
      <c r="F111" s="9"/>
      <c r="G111" s="10">
        <v>0</v>
      </c>
      <c r="H111" s="9"/>
      <c r="I111" s="9" t="s">
        <v>42</v>
      </c>
      <c r="J111" s="9"/>
      <c r="K111" s="9"/>
      <c r="L111" s="9">
        <f t="shared" si="19"/>
        <v>0</v>
      </c>
      <c r="M111" s="9"/>
      <c r="N111" s="9"/>
      <c r="O111" s="9">
        <v>0</v>
      </c>
      <c r="P111" s="9"/>
      <c r="Q111" s="9"/>
      <c r="R111" s="9"/>
      <c r="S111" s="9">
        <f t="shared" si="20"/>
        <v>0</v>
      </c>
      <c r="T111" s="11"/>
      <c r="U111" s="5">
        <f>T111</f>
        <v>0</v>
      </c>
      <c r="V111" s="1" t="e">
        <f t="shared" si="21"/>
        <v>#DIV/0!</v>
      </c>
      <c r="W111" s="9" t="e">
        <f t="shared" si="22"/>
        <v>#DIV/0!</v>
      </c>
      <c r="X111" s="9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0</v>
      </c>
      <c r="AE111" s="9">
        <v>0</v>
      </c>
      <c r="AF111" s="9">
        <v>0</v>
      </c>
      <c r="AG111" s="9">
        <v>0</v>
      </c>
      <c r="AH111" s="9" t="s">
        <v>57</v>
      </c>
      <c r="AI111" s="1">
        <f t="shared" si="23"/>
        <v>0</v>
      </c>
      <c r="AJ111" t="s">
        <v>262</v>
      </c>
    </row>
    <row r="112" spans="1:36" x14ac:dyDescent="0.25">
      <c r="A112" s="9" t="s">
        <v>263</v>
      </c>
      <c r="B112" s="9" t="s">
        <v>49</v>
      </c>
      <c r="C112" s="9"/>
      <c r="D112" s="9"/>
      <c r="E112" s="9"/>
      <c r="F112" s="9"/>
      <c r="G112" s="10">
        <v>0</v>
      </c>
      <c r="H112" s="9"/>
      <c r="I112" s="9" t="s">
        <v>42</v>
      </c>
      <c r="J112" s="9"/>
      <c r="K112" s="9"/>
      <c r="L112" s="9">
        <f t="shared" si="19"/>
        <v>0</v>
      </c>
      <c r="M112" s="9"/>
      <c r="N112" s="9"/>
      <c r="O112" s="9">
        <v>0</v>
      </c>
      <c r="P112" s="9"/>
      <c r="Q112" s="9"/>
      <c r="R112" s="9"/>
      <c r="S112" s="9">
        <f t="shared" si="20"/>
        <v>0</v>
      </c>
      <c r="T112" s="11"/>
      <c r="U112" s="5">
        <f>T112</f>
        <v>0</v>
      </c>
      <c r="V112" s="1" t="e">
        <f t="shared" si="21"/>
        <v>#DIV/0!</v>
      </c>
      <c r="W112" s="9" t="e">
        <f t="shared" si="22"/>
        <v>#DIV/0!</v>
      </c>
      <c r="X112" s="9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0</v>
      </c>
      <c r="AE112" s="9">
        <v>0</v>
      </c>
      <c r="AF112" s="9">
        <v>0</v>
      </c>
      <c r="AG112" s="9">
        <v>0</v>
      </c>
      <c r="AH112" s="9" t="s">
        <v>57</v>
      </c>
      <c r="AI112" s="1">
        <f t="shared" si="23"/>
        <v>0</v>
      </c>
      <c r="AJ112" t="s">
        <v>264</v>
      </c>
    </row>
    <row r="113" spans="1:36" x14ac:dyDescent="0.25">
      <c r="A113" s="1" t="s">
        <v>265</v>
      </c>
      <c r="B113" s="1" t="s">
        <v>49</v>
      </c>
      <c r="C113" s="1">
        <v>4</v>
      </c>
      <c r="D113" s="1">
        <v>321</v>
      </c>
      <c r="E113" s="1">
        <v>205</v>
      </c>
      <c r="F113" s="1">
        <v>59</v>
      </c>
      <c r="G113" s="7">
        <v>0.28000000000000003</v>
      </c>
      <c r="H113" s="1">
        <v>40</v>
      </c>
      <c r="I113" s="1" t="s">
        <v>42</v>
      </c>
      <c r="J113" s="1"/>
      <c r="K113" s="1">
        <v>229</v>
      </c>
      <c r="L113" s="1">
        <f t="shared" si="19"/>
        <v>-24</v>
      </c>
      <c r="M113" s="1"/>
      <c r="N113" s="1"/>
      <c r="O113" s="1">
        <v>0</v>
      </c>
      <c r="P113" s="1"/>
      <c r="Q113" s="1"/>
      <c r="R113" s="1"/>
      <c r="S113" s="1">
        <f t="shared" si="20"/>
        <v>41</v>
      </c>
      <c r="T113" s="5">
        <f>8*S113-R113-Q113-P113-O113-F113</f>
        <v>269</v>
      </c>
      <c r="U113" s="5">
        <f>T113+$U$1*S113</f>
        <v>218.57</v>
      </c>
      <c r="V113" s="1">
        <f t="shared" si="21"/>
        <v>6.77</v>
      </c>
      <c r="W113" s="1">
        <f t="shared" si="22"/>
        <v>1.4390243902439024</v>
      </c>
      <c r="X113" s="1">
        <v>1</v>
      </c>
      <c r="Y113" s="1">
        <v>-2</v>
      </c>
      <c r="Z113" s="1">
        <v>7</v>
      </c>
      <c r="AA113" s="1">
        <v>46</v>
      </c>
      <c r="AB113" s="1">
        <v>56.4</v>
      </c>
      <c r="AC113" s="1">
        <v>36.6</v>
      </c>
      <c r="AD113" s="1">
        <v>18.8</v>
      </c>
      <c r="AE113" s="1">
        <v>1.8</v>
      </c>
      <c r="AF113" s="1">
        <v>20</v>
      </c>
      <c r="AG113" s="1">
        <v>41</v>
      </c>
      <c r="AH113" s="1"/>
      <c r="AI113" s="1">
        <f t="shared" si="23"/>
        <v>61</v>
      </c>
      <c r="AJ113" t="s">
        <v>266</v>
      </c>
    </row>
    <row r="114" spans="1:36" x14ac:dyDescent="0.25">
      <c r="A114" s="1" t="s">
        <v>267</v>
      </c>
      <c r="B114" s="1" t="s">
        <v>49</v>
      </c>
      <c r="C114" s="1">
        <v>2</v>
      </c>
      <c r="D114" s="1">
        <v>2</v>
      </c>
      <c r="E114" s="1">
        <v>-12</v>
      </c>
      <c r="F114" s="1">
        <v>2</v>
      </c>
      <c r="G114" s="7">
        <v>0.28000000000000003</v>
      </c>
      <c r="H114" s="1">
        <v>40</v>
      </c>
      <c r="I114" s="12" t="s">
        <v>60</v>
      </c>
      <c r="J114" s="1"/>
      <c r="K114" s="1">
        <v>70</v>
      </c>
      <c r="L114" s="1">
        <f t="shared" si="19"/>
        <v>-82</v>
      </c>
      <c r="M114" s="1"/>
      <c r="N114" s="1"/>
      <c r="O114" s="1">
        <v>0</v>
      </c>
      <c r="P114" s="1"/>
      <c r="Q114" s="1"/>
      <c r="R114" s="1"/>
      <c r="S114" s="1">
        <f t="shared" si="20"/>
        <v>-2.4</v>
      </c>
      <c r="T114" s="5">
        <v>100</v>
      </c>
      <c r="U114" s="5">
        <f>T114*0.45</f>
        <v>45</v>
      </c>
      <c r="V114" s="1">
        <f t="shared" si="21"/>
        <v>-19.583333333333336</v>
      </c>
      <c r="W114" s="1">
        <f t="shared" si="22"/>
        <v>-0.83333333333333337</v>
      </c>
      <c r="X114" s="1">
        <v>1</v>
      </c>
      <c r="Y114" s="1">
        <v>22.4</v>
      </c>
      <c r="Z114" s="1">
        <v>34.6</v>
      </c>
      <c r="AA114" s="1">
        <v>45.2</v>
      </c>
      <c r="AB114" s="1">
        <v>45.8</v>
      </c>
      <c r="AC114" s="1">
        <v>35</v>
      </c>
      <c r="AD114" s="1">
        <v>34.799999999999997</v>
      </c>
      <c r="AE114" s="1">
        <v>40.4</v>
      </c>
      <c r="AF114" s="1">
        <v>38.6</v>
      </c>
      <c r="AG114" s="1">
        <v>25</v>
      </c>
      <c r="AH114" s="1"/>
      <c r="AI114" s="1">
        <f t="shared" si="23"/>
        <v>13</v>
      </c>
      <c r="AJ114" t="s">
        <v>268</v>
      </c>
    </row>
    <row r="115" spans="1:36" x14ac:dyDescent="0.25">
      <c r="A115" s="1" t="s">
        <v>269</v>
      </c>
      <c r="B115" s="1" t="s">
        <v>49</v>
      </c>
      <c r="C115" s="1">
        <v>42</v>
      </c>
      <c r="D115" s="1">
        <v>446</v>
      </c>
      <c r="E115" s="1">
        <v>246</v>
      </c>
      <c r="F115" s="1">
        <v>155</v>
      </c>
      <c r="G115" s="7">
        <v>0.28000000000000003</v>
      </c>
      <c r="H115" s="1">
        <v>40</v>
      </c>
      <c r="I115" s="12" t="s">
        <v>60</v>
      </c>
      <c r="J115" s="1"/>
      <c r="K115" s="1">
        <v>261</v>
      </c>
      <c r="L115" s="1">
        <f t="shared" si="19"/>
        <v>-15</v>
      </c>
      <c r="M115" s="1"/>
      <c r="N115" s="1"/>
      <c r="O115" s="1">
        <v>36.000000000000107</v>
      </c>
      <c r="P115" s="1">
        <v>-36</v>
      </c>
      <c r="Q115" s="1"/>
      <c r="R115" s="1"/>
      <c r="S115" s="1">
        <f t="shared" si="20"/>
        <v>49.2</v>
      </c>
      <c r="T115" s="5">
        <v>150</v>
      </c>
      <c r="U115" s="5">
        <f>T115*0.45</f>
        <v>67.5</v>
      </c>
      <c r="V115" s="1">
        <f t="shared" si="21"/>
        <v>4.5223577235772376</v>
      </c>
      <c r="W115" s="1">
        <f t="shared" si="22"/>
        <v>3.1504065040650429</v>
      </c>
      <c r="X115" s="1">
        <v>33</v>
      </c>
      <c r="Y115" s="1">
        <v>39.200000000000003</v>
      </c>
      <c r="Z115" s="1">
        <v>30.6</v>
      </c>
      <c r="AA115" s="1">
        <v>43.4</v>
      </c>
      <c r="AB115" s="1">
        <v>43</v>
      </c>
      <c r="AC115" s="1">
        <v>33</v>
      </c>
      <c r="AD115" s="1">
        <v>34.799999999999997</v>
      </c>
      <c r="AE115" s="1">
        <v>39</v>
      </c>
      <c r="AF115" s="1">
        <v>39.6</v>
      </c>
      <c r="AG115" s="1">
        <v>31.8</v>
      </c>
      <c r="AH115" s="1"/>
      <c r="AI115" s="1">
        <f t="shared" si="23"/>
        <v>19</v>
      </c>
      <c r="AJ115" t="s">
        <v>270</v>
      </c>
    </row>
    <row r="116" spans="1:36" x14ac:dyDescent="0.25">
      <c r="A116" s="9" t="s">
        <v>271</v>
      </c>
      <c r="B116" s="9" t="s">
        <v>49</v>
      </c>
      <c r="C116" s="9"/>
      <c r="D116" s="9"/>
      <c r="E116" s="9"/>
      <c r="F116" s="9"/>
      <c r="G116" s="10">
        <v>0</v>
      </c>
      <c r="H116" s="9"/>
      <c r="I116" s="9" t="s">
        <v>42</v>
      </c>
      <c r="J116" s="9"/>
      <c r="K116" s="9"/>
      <c r="L116" s="9">
        <f t="shared" si="19"/>
        <v>0</v>
      </c>
      <c r="M116" s="9"/>
      <c r="N116" s="9"/>
      <c r="O116" s="9">
        <v>0</v>
      </c>
      <c r="P116" s="9"/>
      <c r="Q116" s="9"/>
      <c r="R116" s="9"/>
      <c r="S116" s="9">
        <f t="shared" si="20"/>
        <v>0</v>
      </c>
      <c r="T116" s="11"/>
      <c r="U116" s="5">
        <f>T116</f>
        <v>0</v>
      </c>
      <c r="V116" s="1" t="e">
        <f t="shared" si="21"/>
        <v>#DIV/0!</v>
      </c>
      <c r="W116" s="9" t="e">
        <f t="shared" si="22"/>
        <v>#DIV/0!</v>
      </c>
      <c r="X116" s="9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>
        <v>0</v>
      </c>
      <c r="AF116" s="9">
        <v>0</v>
      </c>
      <c r="AG116" s="9">
        <v>0</v>
      </c>
      <c r="AH116" s="9" t="s">
        <v>57</v>
      </c>
      <c r="AI116" s="1">
        <f t="shared" si="23"/>
        <v>0</v>
      </c>
      <c r="AJ116" t="s">
        <v>272</v>
      </c>
    </row>
    <row r="117" spans="1:36" x14ac:dyDescent="0.25">
      <c r="A117" s="1" t="s">
        <v>273</v>
      </c>
      <c r="B117" s="1" t="s">
        <v>41</v>
      </c>
      <c r="C117" s="1">
        <v>21.712</v>
      </c>
      <c r="D117" s="1">
        <v>210.53399999999999</v>
      </c>
      <c r="E117" s="1">
        <v>18.390999999999998</v>
      </c>
      <c r="F117" s="1">
        <v>202.05699999999999</v>
      </c>
      <c r="G117" s="7">
        <v>1</v>
      </c>
      <c r="H117" s="1">
        <v>60</v>
      </c>
      <c r="I117" s="1" t="s">
        <v>42</v>
      </c>
      <c r="J117" s="1"/>
      <c r="K117" s="1">
        <v>30</v>
      </c>
      <c r="L117" s="1">
        <f t="shared" si="19"/>
        <v>-11.609000000000002</v>
      </c>
      <c r="M117" s="1"/>
      <c r="N117" s="1"/>
      <c r="O117" s="1">
        <v>0</v>
      </c>
      <c r="P117" s="1"/>
      <c r="Q117" s="1"/>
      <c r="R117" s="1"/>
      <c r="S117" s="1">
        <f t="shared" si="20"/>
        <v>3.6781999999999995</v>
      </c>
      <c r="T117" s="5"/>
      <c r="U117" s="5">
        <f>T117</f>
        <v>0</v>
      </c>
      <c r="V117" s="1">
        <f t="shared" si="21"/>
        <v>54.933663204828456</v>
      </c>
      <c r="W117" s="1">
        <f t="shared" si="22"/>
        <v>54.933663204828456</v>
      </c>
      <c r="X117" s="1">
        <v>4.3917999999999999</v>
      </c>
      <c r="Y117" s="1">
        <v>9.8704000000000001</v>
      </c>
      <c r="Z117" s="1">
        <v>11.0616</v>
      </c>
      <c r="AA117" s="1">
        <v>18.499199999999998</v>
      </c>
      <c r="AB117" s="1">
        <v>18.447199999999999</v>
      </c>
      <c r="AC117" s="1">
        <v>12.635400000000001</v>
      </c>
      <c r="AD117" s="1">
        <v>14.976000000000001</v>
      </c>
      <c r="AE117" s="1">
        <v>20.262599999999999</v>
      </c>
      <c r="AF117" s="1">
        <v>18.412800000000001</v>
      </c>
      <c r="AG117" s="1">
        <v>15.7308</v>
      </c>
      <c r="AH117" s="1"/>
      <c r="AI117" s="1">
        <f t="shared" si="23"/>
        <v>0</v>
      </c>
      <c r="AJ117" t="s">
        <v>274</v>
      </c>
    </row>
    <row r="118" spans="1:36" x14ac:dyDescent="0.25">
      <c r="A118" s="1" t="s">
        <v>275</v>
      </c>
      <c r="B118" s="1" t="s">
        <v>41</v>
      </c>
      <c r="C118" s="1">
        <v>102.15900000000001</v>
      </c>
      <c r="D118" s="1">
        <v>4.99</v>
      </c>
      <c r="E118" s="1">
        <v>9.9440000000000008</v>
      </c>
      <c r="F118" s="1">
        <v>84.75</v>
      </c>
      <c r="G118" s="7">
        <v>1</v>
      </c>
      <c r="H118" s="1">
        <v>50</v>
      </c>
      <c r="I118" s="1" t="s">
        <v>42</v>
      </c>
      <c r="J118" s="1"/>
      <c r="K118" s="1">
        <v>15</v>
      </c>
      <c r="L118" s="1">
        <f t="shared" si="19"/>
        <v>-5.0559999999999992</v>
      </c>
      <c r="M118" s="1"/>
      <c r="N118" s="1"/>
      <c r="O118" s="1">
        <v>0</v>
      </c>
      <c r="P118" s="1"/>
      <c r="Q118" s="1"/>
      <c r="R118" s="1"/>
      <c r="S118" s="1">
        <f t="shared" si="20"/>
        <v>1.9888000000000001</v>
      </c>
      <c r="T118" s="5"/>
      <c r="U118" s="5">
        <f>T118</f>
        <v>0</v>
      </c>
      <c r="V118" s="1">
        <f t="shared" si="21"/>
        <v>42.61363636363636</v>
      </c>
      <c r="W118" s="1">
        <f t="shared" si="22"/>
        <v>42.61363636363636</v>
      </c>
      <c r="X118" s="1">
        <v>5.2645999999999997</v>
      </c>
      <c r="Y118" s="1">
        <v>7.7645999999999997</v>
      </c>
      <c r="Z118" s="1">
        <v>5.4868000000000006</v>
      </c>
      <c r="AA118" s="1">
        <v>7.4721999999999991</v>
      </c>
      <c r="AB118" s="1">
        <v>9.9611999999999998</v>
      </c>
      <c r="AC118" s="1">
        <v>8.8994</v>
      </c>
      <c r="AD118" s="1">
        <v>10.405799999999999</v>
      </c>
      <c r="AE118" s="1">
        <v>16.494800000000001</v>
      </c>
      <c r="AF118" s="1">
        <v>16.497199999999999</v>
      </c>
      <c r="AG118" s="1">
        <v>14.1732</v>
      </c>
      <c r="AH118" s="14" t="s">
        <v>136</v>
      </c>
      <c r="AI118" s="1">
        <f t="shared" si="23"/>
        <v>0</v>
      </c>
      <c r="AJ118" t="s">
        <v>276</v>
      </c>
    </row>
    <row r="119" spans="1:36" x14ac:dyDescent="0.25">
      <c r="A119" s="9" t="s">
        <v>277</v>
      </c>
      <c r="B119" s="9" t="s">
        <v>49</v>
      </c>
      <c r="C119" s="9"/>
      <c r="D119" s="9"/>
      <c r="E119" s="9"/>
      <c r="F119" s="9"/>
      <c r="G119" s="10">
        <v>0</v>
      </c>
      <c r="H119" s="9"/>
      <c r="I119" s="9" t="s">
        <v>42</v>
      </c>
      <c r="J119" s="9"/>
      <c r="K119" s="9"/>
      <c r="L119" s="9">
        <f t="shared" si="19"/>
        <v>0</v>
      </c>
      <c r="M119" s="9"/>
      <c r="N119" s="9"/>
      <c r="O119" s="9">
        <v>0</v>
      </c>
      <c r="P119" s="9"/>
      <c r="Q119" s="9"/>
      <c r="R119" s="9"/>
      <c r="S119" s="9">
        <f t="shared" si="20"/>
        <v>0</v>
      </c>
      <c r="T119" s="11"/>
      <c r="U119" s="5">
        <f>T119</f>
        <v>0</v>
      </c>
      <c r="V119" s="1" t="e">
        <f t="shared" si="21"/>
        <v>#DIV/0!</v>
      </c>
      <c r="W119" s="9" t="e">
        <f t="shared" si="22"/>
        <v>#DIV/0!</v>
      </c>
      <c r="X119" s="9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0</v>
      </c>
      <c r="AE119" s="9">
        <v>0</v>
      </c>
      <c r="AF119" s="9">
        <v>0</v>
      </c>
      <c r="AG119" s="9">
        <v>0</v>
      </c>
      <c r="AH119" s="9" t="s">
        <v>57</v>
      </c>
      <c r="AI119" s="1">
        <f t="shared" si="23"/>
        <v>0</v>
      </c>
      <c r="AJ119" t="s">
        <v>278</v>
      </c>
    </row>
    <row r="120" spans="1:36" x14ac:dyDescent="0.25">
      <c r="A120" s="9" t="s">
        <v>279</v>
      </c>
      <c r="B120" s="9" t="s">
        <v>49</v>
      </c>
      <c r="C120" s="9"/>
      <c r="D120" s="9"/>
      <c r="E120" s="9"/>
      <c r="F120" s="9"/>
      <c r="G120" s="10">
        <v>0</v>
      </c>
      <c r="H120" s="9"/>
      <c r="I120" s="9" t="s">
        <v>42</v>
      </c>
      <c r="J120" s="9"/>
      <c r="K120" s="9"/>
      <c r="L120" s="9">
        <f t="shared" si="19"/>
        <v>0</v>
      </c>
      <c r="M120" s="9"/>
      <c r="N120" s="9"/>
      <c r="O120" s="9">
        <v>0</v>
      </c>
      <c r="P120" s="9"/>
      <c r="Q120" s="9"/>
      <c r="R120" s="9"/>
      <c r="S120" s="9">
        <f t="shared" si="20"/>
        <v>0</v>
      </c>
      <c r="T120" s="11"/>
      <c r="U120" s="5">
        <f>T120</f>
        <v>0</v>
      </c>
      <c r="V120" s="1" t="e">
        <f t="shared" si="21"/>
        <v>#DIV/0!</v>
      </c>
      <c r="W120" s="9" t="e">
        <f t="shared" si="22"/>
        <v>#DIV/0!</v>
      </c>
      <c r="X120" s="9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>
        <v>0</v>
      </c>
      <c r="AF120" s="9">
        <v>0</v>
      </c>
      <c r="AG120" s="9">
        <v>0</v>
      </c>
      <c r="AH120" s="9" t="s">
        <v>57</v>
      </c>
      <c r="AI120" s="1">
        <f t="shared" si="23"/>
        <v>0</v>
      </c>
      <c r="AJ120" t="s">
        <v>280</v>
      </c>
    </row>
    <row r="121" spans="1:36" x14ac:dyDescent="0.25">
      <c r="A121" s="1" t="s">
        <v>281</v>
      </c>
      <c r="B121" s="1" t="s">
        <v>41</v>
      </c>
      <c r="C121" s="1">
        <v>94.933999999999997</v>
      </c>
      <c r="D121" s="1">
        <v>56.131999999999998</v>
      </c>
      <c r="E121" s="1">
        <v>119.2</v>
      </c>
      <c r="F121" s="1">
        <v>9.5129999999999999</v>
      </c>
      <c r="G121" s="7">
        <v>1</v>
      </c>
      <c r="H121" s="1">
        <v>60</v>
      </c>
      <c r="I121" s="1" t="s">
        <v>42</v>
      </c>
      <c r="J121" s="1"/>
      <c r="K121" s="1">
        <v>107.3</v>
      </c>
      <c r="L121" s="1">
        <f t="shared" si="19"/>
        <v>11.900000000000006</v>
      </c>
      <c r="M121" s="1"/>
      <c r="N121" s="1"/>
      <c r="O121" s="1">
        <v>102.60187999999999</v>
      </c>
      <c r="P121" s="1"/>
      <c r="Q121" s="1"/>
      <c r="R121" s="1"/>
      <c r="S121" s="1">
        <f t="shared" si="20"/>
        <v>23.84</v>
      </c>
      <c r="T121" s="5">
        <f>12*S121-R121-Q121-P121-O121-F121</f>
        <v>173.96511999999998</v>
      </c>
      <c r="U121" s="5">
        <f>T121+$U$1*S121</f>
        <v>144.64191999999997</v>
      </c>
      <c r="V121" s="1">
        <f t="shared" si="21"/>
        <v>10.77</v>
      </c>
      <c r="W121" s="1">
        <f t="shared" si="22"/>
        <v>4.7028053691275167</v>
      </c>
      <c r="X121" s="1">
        <v>21.065799999999999</v>
      </c>
      <c r="Y121" s="1">
        <v>20.172000000000001</v>
      </c>
      <c r="Z121" s="1">
        <v>15.214600000000001</v>
      </c>
      <c r="AA121" s="1">
        <v>14.1698</v>
      </c>
      <c r="AB121" s="1">
        <v>20.410399999999999</v>
      </c>
      <c r="AC121" s="1">
        <v>21.778199999999998</v>
      </c>
      <c r="AD121" s="1">
        <v>13.795400000000001</v>
      </c>
      <c r="AE121" s="1">
        <v>8.7471999999999994</v>
      </c>
      <c r="AF121" s="1">
        <v>11.3284</v>
      </c>
      <c r="AG121" s="1">
        <v>16.998000000000001</v>
      </c>
      <c r="AH121" s="1"/>
      <c r="AI121" s="1">
        <f t="shared" si="23"/>
        <v>145</v>
      </c>
      <c r="AJ121" t="s">
        <v>282</v>
      </c>
    </row>
    <row r="122" spans="1:36" x14ac:dyDescent="0.25">
      <c r="A122" s="1" t="s">
        <v>283</v>
      </c>
      <c r="B122" s="1" t="s">
        <v>41</v>
      </c>
      <c r="C122" s="1">
        <v>182.75899999999999</v>
      </c>
      <c r="D122" s="1">
        <v>228.80099999999999</v>
      </c>
      <c r="E122" s="1">
        <v>207.40100000000001</v>
      </c>
      <c r="F122" s="1">
        <v>156.89599999999999</v>
      </c>
      <c r="G122" s="7">
        <v>1</v>
      </c>
      <c r="H122" s="1">
        <v>60</v>
      </c>
      <c r="I122" s="1" t="s">
        <v>42</v>
      </c>
      <c r="J122" s="1"/>
      <c r="K122" s="1">
        <v>202.5</v>
      </c>
      <c r="L122" s="1">
        <f t="shared" si="19"/>
        <v>4.9010000000000105</v>
      </c>
      <c r="M122" s="1"/>
      <c r="N122" s="1"/>
      <c r="O122" s="1">
        <v>40.72279999999995</v>
      </c>
      <c r="P122" s="1"/>
      <c r="Q122" s="1"/>
      <c r="R122" s="1"/>
      <c r="S122" s="1">
        <f t="shared" si="20"/>
        <v>41.480200000000004</v>
      </c>
      <c r="T122" s="5">
        <f>12*S122-R122-Q122-P122-O122-F122</f>
        <v>300.14360000000011</v>
      </c>
      <c r="U122" s="5">
        <f>T122+$U$1*S122</f>
        <v>249.12295400000011</v>
      </c>
      <c r="V122" s="1">
        <f t="shared" si="21"/>
        <v>10.77</v>
      </c>
      <c r="W122" s="1">
        <f t="shared" si="22"/>
        <v>4.7641718217366336</v>
      </c>
      <c r="X122" s="1">
        <v>28.829000000000001</v>
      </c>
      <c r="Y122" s="1">
        <v>33.867400000000004</v>
      </c>
      <c r="Z122" s="1">
        <v>37.478999999999999</v>
      </c>
      <c r="AA122" s="1">
        <v>34.275799999999997</v>
      </c>
      <c r="AB122" s="1">
        <v>36.581000000000003</v>
      </c>
      <c r="AC122" s="1">
        <v>40.446399999999997</v>
      </c>
      <c r="AD122" s="1">
        <v>52.765599999999992</v>
      </c>
      <c r="AE122" s="1">
        <v>58.024800000000013</v>
      </c>
      <c r="AF122" s="1">
        <v>40.68</v>
      </c>
      <c r="AG122" s="1">
        <v>30.541399999999999</v>
      </c>
      <c r="AH122" s="1"/>
      <c r="AI122" s="1">
        <f t="shared" si="23"/>
        <v>249</v>
      </c>
      <c r="AJ122" t="s">
        <v>284</v>
      </c>
    </row>
    <row r="123" spans="1:36" x14ac:dyDescent="0.25">
      <c r="A123" s="1" t="s">
        <v>285</v>
      </c>
      <c r="B123" s="1" t="s">
        <v>41</v>
      </c>
      <c r="C123" s="1">
        <v>113.83</v>
      </c>
      <c r="D123" s="1">
        <v>25.785</v>
      </c>
      <c r="E123" s="1">
        <v>72.063000000000002</v>
      </c>
      <c r="F123" s="1">
        <v>63.457000000000001</v>
      </c>
      <c r="G123" s="7">
        <v>1</v>
      </c>
      <c r="H123" s="1">
        <v>60</v>
      </c>
      <c r="I123" s="1" t="s">
        <v>42</v>
      </c>
      <c r="J123" s="1"/>
      <c r="K123" s="1">
        <v>61.65</v>
      </c>
      <c r="L123" s="1">
        <f t="shared" si="19"/>
        <v>10.413000000000004</v>
      </c>
      <c r="M123" s="1"/>
      <c r="N123" s="1"/>
      <c r="O123" s="1">
        <v>0</v>
      </c>
      <c r="P123" s="1"/>
      <c r="Q123" s="1"/>
      <c r="R123" s="1"/>
      <c r="S123" s="1">
        <f t="shared" si="20"/>
        <v>14.412600000000001</v>
      </c>
      <c r="T123" s="5">
        <f>11*S123-R123-Q123-P123-O123-F123</f>
        <v>95.081600000000009</v>
      </c>
      <c r="U123" s="5">
        <f>T123+$U$1*S123</f>
        <v>77.354102000000012</v>
      </c>
      <c r="V123" s="1">
        <f t="shared" si="21"/>
        <v>9.77</v>
      </c>
      <c r="W123" s="1">
        <f t="shared" si="22"/>
        <v>4.4028835879716359</v>
      </c>
      <c r="X123" s="1">
        <v>11.468</v>
      </c>
      <c r="Y123" s="1">
        <v>9.6209999999999987</v>
      </c>
      <c r="Z123" s="1">
        <v>8.5533999999999999</v>
      </c>
      <c r="AA123" s="1">
        <v>12.0816</v>
      </c>
      <c r="AB123" s="1">
        <v>11.7842</v>
      </c>
      <c r="AC123" s="1">
        <v>5.2182000000000004</v>
      </c>
      <c r="AD123" s="1">
        <v>9.017199999999999</v>
      </c>
      <c r="AE123" s="1">
        <v>19.734200000000001</v>
      </c>
      <c r="AF123" s="1">
        <v>18.6568</v>
      </c>
      <c r="AG123" s="1">
        <v>9.5117999999999991</v>
      </c>
      <c r="AH123" s="1"/>
      <c r="AI123" s="1">
        <f t="shared" si="23"/>
        <v>77</v>
      </c>
      <c r="AJ123" t="s">
        <v>286</v>
      </c>
    </row>
    <row r="124" spans="1:36" x14ac:dyDescent="0.25">
      <c r="A124" s="1" t="s">
        <v>287</v>
      </c>
      <c r="B124" s="1" t="s">
        <v>41</v>
      </c>
      <c r="C124" s="1">
        <v>1433.42</v>
      </c>
      <c r="D124" s="1">
        <v>564.06899999999996</v>
      </c>
      <c r="E124" s="1">
        <v>656.96699999999998</v>
      </c>
      <c r="F124" s="1">
        <v>1149.55</v>
      </c>
      <c r="G124" s="7">
        <v>1</v>
      </c>
      <c r="H124" s="1">
        <v>60</v>
      </c>
      <c r="I124" s="1" t="s">
        <v>42</v>
      </c>
      <c r="J124" s="1"/>
      <c r="K124" s="1">
        <v>679.5</v>
      </c>
      <c r="L124" s="1">
        <f t="shared" si="19"/>
        <v>-22.533000000000015</v>
      </c>
      <c r="M124" s="1"/>
      <c r="N124" s="1"/>
      <c r="O124" s="1">
        <v>28.957772000000841</v>
      </c>
      <c r="P124" s="1"/>
      <c r="Q124" s="1"/>
      <c r="R124" s="1"/>
      <c r="S124" s="1">
        <f t="shared" si="20"/>
        <v>131.39339999999999</v>
      </c>
      <c r="T124" s="5">
        <f>12*S124-R124-Q124-P124-O124-F124</f>
        <v>398.21302799999899</v>
      </c>
      <c r="U124" s="5">
        <f>T124+$U$1*S124</f>
        <v>236.599145999999</v>
      </c>
      <c r="V124" s="1">
        <f t="shared" si="21"/>
        <v>10.770000000000001</v>
      </c>
      <c r="W124" s="1">
        <f t="shared" si="22"/>
        <v>8.9693072254770865</v>
      </c>
      <c r="X124" s="1">
        <v>135.7192</v>
      </c>
      <c r="Y124" s="1">
        <v>165.4958</v>
      </c>
      <c r="Z124" s="1">
        <v>148.43340000000001</v>
      </c>
      <c r="AA124" s="1">
        <v>180.2364</v>
      </c>
      <c r="AB124" s="1">
        <v>202.20419999999999</v>
      </c>
      <c r="AC124" s="1">
        <v>198.17320000000001</v>
      </c>
      <c r="AD124" s="1">
        <v>185.0686</v>
      </c>
      <c r="AE124" s="1">
        <v>197.94739999999999</v>
      </c>
      <c r="AF124" s="1">
        <v>193.87379999999999</v>
      </c>
      <c r="AG124" s="1">
        <v>177.26840000000001</v>
      </c>
      <c r="AH124" s="1"/>
      <c r="AI124" s="1">
        <f t="shared" si="23"/>
        <v>237</v>
      </c>
      <c r="AJ124" t="s">
        <v>288</v>
      </c>
    </row>
    <row r="125" spans="1:36" x14ac:dyDescent="0.25">
      <c r="A125" s="1" t="s">
        <v>289</v>
      </c>
      <c r="B125" s="1" t="s">
        <v>49</v>
      </c>
      <c r="C125" s="1">
        <v>4</v>
      </c>
      <c r="D125" s="1"/>
      <c r="E125" s="1"/>
      <c r="F125" s="1">
        <v>4</v>
      </c>
      <c r="G125" s="7">
        <v>0.25</v>
      </c>
      <c r="H125" s="1">
        <v>1096</v>
      </c>
      <c r="I125" s="12" t="s">
        <v>60</v>
      </c>
      <c r="J125" s="1"/>
      <c r="K125" s="1">
        <v>5</v>
      </c>
      <c r="L125" s="1">
        <f t="shared" si="19"/>
        <v>-5</v>
      </c>
      <c r="M125" s="1"/>
      <c r="N125" s="1"/>
      <c r="O125" s="1">
        <v>0</v>
      </c>
      <c r="P125" s="1"/>
      <c r="Q125" s="1"/>
      <c r="R125" s="1"/>
      <c r="S125" s="1">
        <f t="shared" si="20"/>
        <v>0</v>
      </c>
      <c r="T125" s="5">
        <v>50</v>
      </c>
      <c r="U125" s="5">
        <f>T125*0.5</f>
        <v>25</v>
      </c>
      <c r="V125" s="1" t="e">
        <f t="shared" si="21"/>
        <v>#DIV/0!</v>
      </c>
      <c r="W125" s="1" t="e">
        <f t="shared" si="22"/>
        <v>#DIV/0!</v>
      </c>
      <c r="X125" s="1">
        <v>1.6</v>
      </c>
      <c r="Y125" s="1">
        <v>3.6</v>
      </c>
      <c r="Z125" s="1">
        <v>5.4</v>
      </c>
      <c r="AA125" s="1">
        <v>25.8</v>
      </c>
      <c r="AB125" s="1">
        <v>33</v>
      </c>
      <c r="AC125" s="1">
        <v>10.6</v>
      </c>
      <c r="AD125" s="1">
        <v>0</v>
      </c>
      <c r="AE125" s="1">
        <v>0</v>
      </c>
      <c r="AF125" s="1">
        <v>0</v>
      </c>
      <c r="AG125" s="1">
        <v>0</v>
      </c>
      <c r="AH125" s="1" t="s">
        <v>290</v>
      </c>
      <c r="AI125" s="1">
        <f t="shared" si="23"/>
        <v>6</v>
      </c>
      <c r="AJ125" t="s">
        <v>291</v>
      </c>
    </row>
    <row r="126" spans="1:36" x14ac:dyDescent="0.25">
      <c r="A126" s="1" t="s">
        <v>292</v>
      </c>
      <c r="B126" s="1" t="s">
        <v>49</v>
      </c>
      <c r="C126" s="1">
        <v>5</v>
      </c>
      <c r="D126" s="1"/>
      <c r="E126" s="13">
        <f>5+E133</f>
        <v>31</v>
      </c>
      <c r="F126" s="13">
        <f>0+F133</f>
        <v>7</v>
      </c>
      <c r="G126" s="7">
        <v>0.32500000000000001</v>
      </c>
      <c r="H126" s="1">
        <v>1096</v>
      </c>
      <c r="I126" s="12" t="s">
        <v>60</v>
      </c>
      <c r="J126" s="1"/>
      <c r="K126" s="1">
        <v>5</v>
      </c>
      <c r="L126" s="1">
        <f t="shared" si="19"/>
        <v>26</v>
      </c>
      <c r="M126" s="1"/>
      <c r="N126" s="1"/>
      <c r="O126" s="1">
        <v>0</v>
      </c>
      <c r="P126" s="1"/>
      <c r="Q126" s="1"/>
      <c r="R126" s="1"/>
      <c r="S126" s="1">
        <f t="shared" si="20"/>
        <v>6.2</v>
      </c>
      <c r="T126" s="5">
        <v>50</v>
      </c>
      <c r="U126" s="5">
        <f>T126*0.5</f>
        <v>25</v>
      </c>
      <c r="V126" s="1">
        <f t="shared" si="21"/>
        <v>5.161290322580645</v>
      </c>
      <c r="W126" s="1">
        <f t="shared" si="22"/>
        <v>1.129032258064516</v>
      </c>
      <c r="X126" s="1">
        <v>11</v>
      </c>
      <c r="Y126" s="1">
        <v>8</v>
      </c>
      <c r="Z126" s="1">
        <v>5.6</v>
      </c>
      <c r="AA126" s="1">
        <v>22</v>
      </c>
      <c r="AB126" s="1">
        <v>22.4</v>
      </c>
      <c r="AC126" s="1">
        <v>3.2</v>
      </c>
      <c r="AD126" s="1">
        <v>0</v>
      </c>
      <c r="AE126" s="1">
        <v>0</v>
      </c>
      <c r="AF126" s="1">
        <v>0</v>
      </c>
      <c r="AG126" s="1">
        <v>0</v>
      </c>
      <c r="AH126" s="1" t="s">
        <v>290</v>
      </c>
      <c r="AI126" s="1">
        <f t="shared" si="23"/>
        <v>8</v>
      </c>
      <c r="AJ126" t="s">
        <v>293</v>
      </c>
    </row>
    <row r="127" spans="1:36" x14ac:dyDescent="0.25">
      <c r="A127" s="1" t="s">
        <v>294</v>
      </c>
      <c r="B127" s="1" t="s">
        <v>49</v>
      </c>
      <c r="C127" s="1">
        <v>4</v>
      </c>
      <c r="D127" s="1">
        <v>507</v>
      </c>
      <c r="E127" s="1">
        <v>102</v>
      </c>
      <c r="F127" s="1">
        <v>367</v>
      </c>
      <c r="G127" s="7">
        <v>0.25</v>
      </c>
      <c r="H127" s="1">
        <v>1096</v>
      </c>
      <c r="I127" s="1" t="s">
        <v>42</v>
      </c>
      <c r="J127" s="1"/>
      <c r="K127" s="1">
        <v>105</v>
      </c>
      <c r="L127" s="1">
        <f t="shared" si="19"/>
        <v>-3</v>
      </c>
      <c r="M127" s="1"/>
      <c r="N127" s="1"/>
      <c r="O127" s="1">
        <v>0</v>
      </c>
      <c r="P127" s="1"/>
      <c r="Q127" s="1"/>
      <c r="R127" s="1"/>
      <c r="S127" s="1">
        <f t="shared" si="20"/>
        <v>20.399999999999999</v>
      </c>
      <c r="T127" s="5"/>
      <c r="U127" s="5">
        <f>T127</f>
        <v>0</v>
      </c>
      <c r="V127" s="1">
        <f t="shared" si="21"/>
        <v>17.990196078431374</v>
      </c>
      <c r="W127" s="1">
        <f t="shared" si="22"/>
        <v>17.990196078431374</v>
      </c>
      <c r="X127" s="1">
        <v>3</v>
      </c>
      <c r="Y127" s="1">
        <v>5.2</v>
      </c>
      <c r="Z127" s="1">
        <v>8.1999999999999993</v>
      </c>
      <c r="AA127" s="1">
        <v>27.6</v>
      </c>
      <c r="AB127" s="1">
        <v>29.4</v>
      </c>
      <c r="AC127" s="1">
        <v>7.2</v>
      </c>
      <c r="AD127" s="1">
        <v>0</v>
      </c>
      <c r="AE127" s="1">
        <v>0</v>
      </c>
      <c r="AF127" s="1">
        <v>0</v>
      </c>
      <c r="AG127" s="1">
        <v>0</v>
      </c>
      <c r="AH127" s="1" t="s">
        <v>290</v>
      </c>
      <c r="AI127" s="1">
        <f t="shared" si="23"/>
        <v>0</v>
      </c>
      <c r="AJ127" t="s">
        <v>295</v>
      </c>
    </row>
    <row r="128" spans="1:36" x14ac:dyDescent="0.25">
      <c r="A128" s="1" t="s">
        <v>296</v>
      </c>
      <c r="B128" s="1" t="s">
        <v>49</v>
      </c>
      <c r="C128" s="1"/>
      <c r="D128" s="1"/>
      <c r="E128" s="1">
        <v>-1</v>
      </c>
      <c r="F128" s="1"/>
      <c r="G128" s="7">
        <v>0.3</v>
      </c>
      <c r="H128" s="1">
        <v>40</v>
      </c>
      <c r="I128" s="12" t="s">
        <v>60</v>
      </c>
      <c r="J128" s="1"/>
      <c r="K128" s="1">
        <v>2</v>
      </c>
      <c r="L128" s="1">
        <f t="shared" si="19"/>
        <v>-3</v>
      </c>
      <c r="M128" s="1"/>
      <c r="N128" s="1"/>
      <c r="O128" s="1">
        <v>180</v>
      </c>
      <c r="P128" s="1">
        <v>-180</v>
      </c>
      <c r="Q128" s="1"/>
      <c r="R128" s="1"/>
      <c r="S128" s="1">
        <f t="shared" si="20"/>
        <v>-0.2</v>
      </c>
      <c r="T128" s="5">
        <v>120</v>
      </c>
      <c r="U128" s="5">
        <f>T128*0.45</f>
        <v>54</v>
      </c>
      <c r="V128" s="1">
        <f t="shared" si="21"/>
        <v>-270</v>
      </c>
      <c r="W128" s="1">
        <f t="shared" si="22"/>
        <v>0</v>
      </c>
      <c r="X128" s="1">
        <v>-0.4</v>
      </c>
      <c r="Y128" s="1">
        <v>-1</v>
      </c>
      <c r="Z128" s="1">
        <v>-1.2</v>
      </c>
      <c r="AA128" s="1">
        <v>-0.6</v>
      </c>
      <c r="AB128" s="1">
        <v>15.2</v>
      </c>
      <c r="AC128" s="1">
        <v>36.4</v>
      </c>
      <c r="AD128" s="1">
        <v>36.6</v>
      </c>
      <c r="AE128" s="1">
        <v>59.8</v>
      </c>
      <c r="AF128" s="1">
        <v>60</v>
      </c>
      <c r="AG128" s="1">
        <v>36.4</v>
      </c>
      <c r="AH128" s="1"/>
      <c r="AI128" s="1">
        <f t="shared" si="23"/>
        <v>16</v>
      </c>
      <c r="AJ128" t="s">
        <v>297</v>
      </c>
    </row>
    <row r="129" spans="1:36" x14ac:dyDescent="0.25">
      <c r="A129" s="1" t="s">
        <v>298</v>
      </c>
      <c r="B129" s="1" t="s">
        <v>49</v>
      </c>
      <c r="C129" s="1">
        <v>1</v>
      </c>
      <c r="D129" s="1"/>
      <c r="E129" s="1">
        <v>-1</v>
      </c>
      <c r="F129" s="1">
        <v>1</v>
      </c>
      <c r="G129" s="7">
        <v>0.3</v>
      </c>
      <c r="H129" s="1">
        <v>40</v>
      </c>
      <c r="I129" s="12" t="s">
        <v>60</v>
      </c>
      <c r="J129" s="1"/>
      <c r="K129" s="1">
        <v>14</v>
      </c>
      <c r="L129" s="1">
        <f t="shared" si="19"/>
        <v>-15</v>
      </c>
      <c r="M129" s="1"/>
      <c r="N129" s="1"/>
      <c r="O129" s="1">
        <v>0</v>
      </c>
      <c r="P129" s="1"/>
      <c r="Q129" s="1"/>
      <c r="R129" s="1"/>
      <c r="S129" s="1">
        <f t="shared" si="20"/>
        <v>-0.2</v>
      </c>
      <c r="T129" s="5">
        <v>30</v>
      </c>
      <c r="U129" s="5">
        <f>T129*0.5</f>
        <v>15</v>
      </c>
      <c r="V129" s="1">
        <f t="shared" si="21"/>
        <v>-80</v>
      </c>
      <c r="W129" s="1">
        <f t="shared" si="22"/>
        <v>-5</v>
      </c>
      <c r="X129" s="1">
        <v>0</v>
      </c>
      <c r="Y129" s="1">
        <v>0.6</v>
      </c>
      <c r="Z129" s="1">
        <v>5.8</v>
      </c>
      <c r="AA129" s="1">
        <v>6.8</v>
      </c>
      <c r="AB129" s="1">
        <v>1.4</v>
      </c>
      <c r="AC129" s="1">
        <v>-0.2</v>
      </c>
      <c r="AD129" s="1">
        <v>-0.8</v>
      </c>
      <c r="AE129" s="1">
        <v>15.8</v>
      </c>
      <c r="AF129" s="1">
        <v>16</v>
      </c>
      <c r="AG129" s="1">
        <v>-1.2</v>
      </c>
      <c r="AH129" s="1" t="s">
        <v>299</v>
      </c>
      <c r="AI129" s="1">
        <f t="shared" si="23"/>
        <v>5</v>
      </c>
      <c r="AJ129" t="s">
        <v>300</v>
      </c>
    </row>
    <row r="130" spans="1:36" x14ac:dyDescent="0.25">
      <c r="A130" s="1" t="s">
        <v>301</v>
      </c>
      <c r="B130" s="1" t="s">
        <v>41</v>
      </c>
      <c r="C130" s="1">
        <v>41.667999999999999</v>
      </c>
      <c r="D130" s="1"/>
      <c r="E130" s="1">
        <v>12.138</v>
      </c>
      <c r="F130" s="1">
        <v>24.17</v>
      </c>
      <c r="G130" s="7">
        <v>1</v>
      </c>
      <c r="H130" s="1">
        <v>50</v>
      </c>
      <c r="I130" s="1" t="s">
        <v>42</v>
      </c>
      <c r="J130" s="1"/>
      <c r="K130" s="1">
        <v>10.7</v>
      </c>
      <c r="L130" s="1">
        <f t="shared" si="19"/>
        <v>1.4380000000000006</v>
      </c>
      <c r="M130" s="1"/>
      <c r="N130" s="1"/>
      <c r="O130" s="1">
        <v>0</v>
      </c>
      <c r="P130" s="1"/>
      <c r="Q130" s="1"/>
      <c r="R130" s="1"/>
      <c r="S130" s="1">
        <f t="shared" si="20"/>
        <v>2.4276</v>
      </c>
      <c r="T130" s="5">
        <f>12*S130-R130-Q130-P130-O130-F130</f>
        <v>4.9611999999999981</v>
      </c>
      <c r="U130" s="5">
        <f>T130</f>
        <v>4.9611999999999981</v>
      </c>
      <c r="V130" s="1">
        <f t="shared" si="21"/>
        <v>12</v>
      </c>
      <c r="W130" s="1">
        <f t="shared" si="22"/>
        <v>9.9563354753666182</v>
      </c>
      <c r="X130" s="1">
        <v>2.9628000000000001</v>
      </c>
      <c r="Y130" s="1">
        <v>2.1503999999999999</v>
      </c>
      <c r="Z130" s="1">
        <v>2.1423999999999999</v>
      </c>
      <c r="AA130" s="1">
        <v>2.9592000000000001</v>
      </c>
      <c r="AB130" s="1">
        <v>2.4420000000000002</v>
      </c>
      <c r="AC130" s="1">
        <v>4.0430000000000001</v>
      </c>
      <c r="AD130" s="1">
        <v>4.5990000000000002</v>
      </c>
      <c r="AE130" s="1">
        <v>3.5379999999999998</v>
      </c>
      <c r="AF130" s="1">
        <v>1.901</v>
      </c>
      <c r="AG130" s="1">
        <v>1.0864</v>
      </c>
      <c r="AH130" s="1"/>
      <c r="AI130" s="1">
        <f t="shared" si="23"/>
        <v>5</v>
      </c>
      <c r="AJ130" t="s">
        <v>302</v>
      </c>
    </row>
    <row r="131" spans="1:36" x14ac:dyDescent="0.25">
      <c r="A131" s="1" t="s">
        <v>303</v>
      </c>
      <c r="B131" s="1" t="s">
        <v>49</v>
      </c>
      <c r="C131" s="1">
        <v>6</v>
      </c>
      <c r="D131" s="1">
        <v>126</v>
      </c>
      <c r="E131" s="1">
        <v>117</v>
      </c>
      <c r="F131" s="1">
        <v>7</v>
      </c>
      <c r="G131" s="7">
        <v>0.3</v>
      </c>
      <c r="H131" s="1">
        <v>40</v>
      </c>
      <c r="I131" s="12" t="s">
        <v>60</v>
      </c>
      <c r="J131" s="1"/>
      <c r="K131" s="1">
        <v>132</v>
      </c>
      <c r="L131" s="1">
        <f t="shared" si="19"/>
        <v>-15</v>
      </c>
      <c r="M131" s="1"/>
      <c r="N131" s="1"/>
      <c r="O131" s="1">
        <v>20</v>
      </c>
      <c r="P131" s="1">
        <v>-24</v>
      </c>
      <c r="Q131" s="1"/>
      <c r="R131" s="1"/>
      <c r="S131" s="1">
        <f t="shared" si="20"/>
        <v>23.4</v>
      </c>
      <c r="T131" s="5">
        <v>70</v>
      </c>
      <c r="U131" s="5">
        <f>T131*0.45</f>
        <v>31.5</v>
      </c>
      <c r="V131" s="1">
        <f t="shared" si="21"/>
        <v>1.4743589743589745</v>
      </c>
      <c r="W131" s="1">
        <f t="shared" si="22"/>
        <v>0.12820512820512822</v>
      </c>
      <c r="X131" s="1">
        <v>2.4</v>
      </c>
      <c r="Y131" s="1">
        <v>4</v>
      </c>
      <c r="Z131" s="1">
        <v>11.6</v>
      </c>
      <c r="AA131" s="1">
        <v>31.2</v>
      </c>
      <c r="AB131" s="1">
        <v>39.6</v>
      </c>
      <c r="AC131" s="1">
        <v>28.2</v>
      </c>
      <c r="AD131" s="1">
        <v>23.2</v>
      </c>
      <c r="AE131" s="1">
        <v>15.8</v>
      </c>
      <c r="AF131" s="1">
        <v>14.6</v>
      </c>
      <c r="AG131" s="1">
        <v>30</v>
      </c>
      <c r="AH131" s="1"/>
      <c r="AI131" s="1">
        <f t="shared" si="23"/>
        <v>9</v>
      </c>
      <c r="AJ131" t="s">
        <v>304</v>
      </c>
    </row>
    <row r="132" spans="1:36" x14ac:dyDescent="0.25">
      <c r="A132" s="1" t="s">
        <v>305</v>
      </c>
      <c r="B132" s="1" t="s">
        <v>49</v>
      </c>
      <c r="C132" s="1">
        <v>72</v>
      </c>
      <c r="D132" s="1">
        <v>12</v>
      </c>
      <c r="E132" s="1">
        <v>49</v>
      </c>
      <c r="F132" s="1">
        <v>22</v>
      </c>
      <c r="G132" s="7">
        <v>0.12</v>
      </c>
      <c r="H132" s="1">
        <v>45</v>
      </c>
      <c r="I132" s="1" t="s">
        <v>42</v>
      </c>
      <c r="J132" s="1"/>
      <c r="K132" s="1">
        <v>76</v>
      </c>
      <c r="L132" s="1">
        <f t="shared" si="19"/>
        <v>-27</v>
      </c>
      <c r="M132" s="1"/>
      <c r="N132" s="1"/>
      <c r="O132" s="1">
        <v>0</v>
      </c>
      <c r="P132" s="1"/>
      <c r="Q132" s="1"/>
      <c r="R132" s="1"/>
      <c r="S132" s="1">
        <f t="shared" si="20"/>
        <v>9.8000000000000007</v>
      </c>
      <c r="T132" s="5">
        <f>9*S132-R132-Q132-P132-O132-F132</f>
        <v>66.2</v>
      </c>
      <c r="U132" s="5">
        <f>T132+$U$1*S132</f>
        <v>54.146000000000001</v>
      </c>
      <c r="V132" s="1">
        <f t="shared" si="21"/>
        <v>7.77</v>
      </c>
      <c r="W132" s="1">
        <f t="shared" si="22"/>
        <v>2.2448979591836733</v>
      </c>
      <c r="X132" s="1">
        <v>6</v>
      </c>
      <c r="Y132" s="1">
        <v>8.6</v>
      </c>
      <c r="Z132" s="1">
        <v>9</v>
      </c>
      <c r="AA132" s="1">
        <v>13.4</v>
      </c>
      <c r="AB132" s="1">
        <v>15</v>
      </c>
      <c r="AC132" s="1">
        <v>11.8</v>
      </c>
      <c r="AD132" s="1">
        <v>14.6</v>
      </c>
      <c r="AE132" s="1">
        <v>17.600000000000001</v>
      </c>
      <c r="AF132" s="1">
        <v>14.6</v>
      </c>
      <c r="AG132" s="1">
        <v>7.4</v>
      </c>
      <c r="AH132" s="1"/>
      <c r="AI132" s="1">
        <f t="shared" si="23"/>
        <v>6</v>
      </c>
      <c r="AJ132" t="s">
        <v>306</v>
      </c>
    </row>
    <row r="133" spans="1:36" x14ac:dyDescent="0.25">
      <c r="A133" s="9" t="s">
        <v>307</v>
      </c>
      <c r="B133" s="9" t="s">
        <v>49</v>
      </c>
      <c r="C133" s="9">
        <v>33</v>
      </c>
      <c r="D133" s="9"/>
      <c r="E133" s="13">
        <v>26</v>
      </c>
      <c r="F133" s="13">
        <v>7</v>
      </c>
      <c r="G133" s="10">
        <v>0</v>
      </c>
      <c r="H133" s="9"/>
      <c r="I133" s="9" t="s">
        <v>308</v>
      </c>
      <c r="J133" s="9" t="s">
        <v>292</v>
      </c>
      <c r="K133" s="9">
        <v>22</v>
      </c>
      <c r="L133" s="9">
        <f t="shared" si="19"/>
        <v>4</v>
      </c>
      <c r="M133" s="9"/>
      <c r="N133" s="9"/>
      <c r="O133" s="9">
        <v>0</v>
      </c>
      <c r="P133" s="9"/>
      <c r="Q133" s="9"/>
      <c r="R133" s="9"/>
      <c r="S133" s="9">
        <f t="shared" si="20"/>
        <v>5.2</v>
      </c>
      <c r="T133" s="11"/>
      <c r="U133" s="5">
        <f>T133</f>
        <v>0</v>
      </c>
      <c r="V133" s="1">
        <f t="shared" si="21"/>
        <v>1.346153846153846</v>
      </c>
      <c r="W133" s="9">
        <f t="shared" si="22"/>
        <v>1.346153846153846</v>
      </c>
      <c r="X133" s="9">
        <v>5.2</v>
      </c>
      <c r="Y133" s="9">
        <v>1.4</v>
      </c>
      <c r="Z133" s="9">
        <v>2.4</v>
      </c>
      <c r="AA133" s="9">
        <v>2</v>
      </c>
      <c r="AB133" s="9">
        <v>0.6</v>
      </c>
      <c r="AC133" s="9">
        <v>0</v>
      </c>
      <c r="AD133" s="9">
        <v>0</v>
      </c>
      <c r="AE133" s="9">
        <v>0</v>
      </c>
      <c r="AF133" s="9">
        <v>0</v>
      </c>
      <c r="AG133" s="9">
        <v>0</v>
      </c>
      <c r="AH133" s="9"/>
      <c r="AI133" s="1">
        <f t="shared" si="23"/>
        <v>0</v>
      </c>
    </row>
    <row r="134" spans="1:36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</row>
    <row r="135" spans="1:36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</row>
    <row r="136" spans="1:36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</row>
    <row r="137" spans="1:36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</row>
    <row r="138" spans="1:36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</row>
    <row r="139" spans="1:36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</row>
    <row r="140" spans="1:36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</row>
    <row r="141" spans="1:36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</row>
    <row r="142" spans="1:36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</row>
    <row r="143" spans="1:36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</row>
    <row r="144" spans="1:36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</row>
    <row r="145" spans="1:35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</row>
    <row r="146" spans="1:35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</row>
    <row r="147" spans="1:35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</row>
    <row r="148" spans="1:35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</row>
    <row r="149" spans="1:35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</row>
    <row r="150" spans="1:35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</row>
    <row r="151" spans="1:35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</row>
    <row r="152" spans="1:35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</row>
    <row r="153" spans="1:35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</row>
    <row r="154" spans="1:35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</row>
    <row r="155" spans="1:35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</row>
    <row r="156" spans="1:35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</row>
    <row r="157" spans="1:35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</row>
    <row r="158" spans="1:35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</row>
    <row r="159" spans="1:35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</row>
    <row r="160" spans="1:35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</row>
    <row r="161" spans="1:35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</row>
    <row r="162" spans="1:35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</row>
    <row r="163" spans="1:35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</row>
    <row r="164" spans="1:35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</row>
    <row r="165" spans="1:35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</row>
    <row r="166" spans="1:35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</row>
    <row r="167" spans="1:35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</row>
    <row r="168" spans="1:35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</row>
    <row r="169" spans="1:35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</row>
    <row r="170" spans="1:35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</row>
    <row r="171" spans="1:35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</row>
    <row r="172" spans="1:35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</row>
    <row r="173" spans="1:35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</row>
    <row r="174" spans="1:35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</row>
    <row r="175" spans="1:35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</row>
    <row r="176" spans="1:35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</row>
    <row r="177" spans="1:35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</row>
    <row r="178" spans="1:35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</row>
    <row r="179" spans="1:35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</row>
    <row r="180" spans="1:35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</row>
    <row r="181" spans="1:35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</row>
    <row r="182" spans="1:35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</row>
    <row r="183" spans="1:35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</row>
    <row r="184" spans="1:35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</row>
    <row r="185" spans="1:35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</row>
    <row r="186" spans="1:35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</row>
    <row r="187" spans="1:35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</row>
    <row r="188" spans="1:35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</row>
    <row r="189" spans="1:35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</row>
    <row r="190" spans="1:35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</row>
    <row r="191" spans="1:35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</row>
    <row r="192" spans="1:35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</row>
    <row r="193" spans="1:35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</row>
    <row r="194" spans="1:35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</row>
    <row r="195" spans="1:35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</row>
    <row r="196" spans="1:35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</row>
    <row r="197" spans="1:35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</row>
    <row r="198" spans="1:35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</row>
    <row r="199" spans="1:35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</row>
    <row r="200" spans="1:35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</row>
    <row r="201" spans="1:35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</row>
    <row r="202" spans="1:35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</row>
    <row r="203" spans="1:35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</row>
    <row r="204" spans="1:35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</row>
    <row r="205" spans="1:35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</row>
    <row r="206" spans="1:35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</row>
    <row r="207" spans="1:35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</row>
    <row r="208" spans="1:35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</row>
    <row r="209" spans="1:35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</row>
    <row r="210" spans="1:35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</row>
    <row r="211" spans="1:35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</row>
    <row r="212" spans="1:35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</row>
    <row r="213" spans="1:35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</row>
    <row r="214" spans="1:35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</row>
    <row r="215" spans="1:35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</row>
    <row r="216" spans="1:35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</row>
    <row r="217" spans="1:35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</row>
    <row r="218" spans="1:35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</row>
    <row r="219" spans="1:35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</row>
    <row r="220" spans="1:35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</row>
    <row r="221" spans="1:35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</row>
    <row r="222" spans="1:35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</row>
    <row r="223" spans="1:35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</row>
    <row r="224" spans="1:35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</row>
    <row r="225" spans="1:35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</row>
    <row r="226" spans="1:35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</row>
    <row r="227" spans="1:35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</row>
    <row r="228" spans="1:35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</row>
    <row r="229" spans="1:35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</row>
    <row r="230" spans="1:35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</row>
    <row r="231" spans="1:35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</row>
    <row r="232" spans="1:35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</row>
    <row r="233" spans="1:35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</row>
    <row r="234" spans="1:35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</row>
    <row r="235" spans="1:35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</row>
    <row r="236" spans="1:35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</row>
    <row r="237" spans="1:35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</row>
    <row r="238" spans="1:35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</row>
    <row r="239" spans="1:35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</row>
    <row r="240" spans="1:35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</row>
    <row r="241" spans="1:35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</row>
    <row r="242" spans="1:35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</row>
    <row r="243" spans="1:35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</row>
    <row r="244" spans="1:35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</row>
    <row r="245" spans="1:35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</row>
    <row r="246" spans="1:35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</row>
    <row r="247" spans="1:35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</row>
    <row r="248" spans="1:35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</row>
    <row r="249" spans="1:35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</row>
    <row r="250" spans="1:35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</row>
    <row r="251" spans="1:35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</row>
    <row r="252" spans="1:35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</row>
    <row r="253" spans="1:35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</row>
    <row r="254" spans="1:35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</row>
    <row r="255" spans="1:35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</row>
    <row r="256" spans="1:35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</row>
    <row r="257" spans="1:35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</row>
    <row r="258" spans="1:35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</row>
    <row r="259" spans="1:35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</row>
    <row r="260" spans="1:35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</row>
    <row r="261" spans="1:35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</row>
    <row r="262" spans="1:35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</row>
    <row r="263" spans="1:35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</row>
    <row r="264" spans="1:35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</row>
    <row r="265" spans="1:35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</row>
    <row r="266" spans="1:35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</row>
    <row r="267" spans="1:35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</row>
    <row r="268" spans="1:35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</row>
    <row r="269" spans="1:35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</row>
    <row r="270" spans="1:35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</row>
    <row r="271" spans="1:35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</row>
    <row r="272" spans="1:35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</row>
    <row r="273" spans="1:35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</row>
    <row r="274" spans="1:35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</row>
    <row r="275" spans="1:35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</row>
    <row r="276" spans="1:35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</row>
    <row r="277" spans="1:35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</row>
    <row r="278" spans="1:35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</row>
    <row r="279" spans="1:35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</row>
    <row r="280" spans="1:35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</row>
    <row r="281" spans="1:35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</row>
    <row r="282" spans="1:35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</row>
    <row r="283" spans="1:35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</row>
    <row r="284" spans="1:35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</row>
    <row r="285" spans="1:35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</row>
    <row r="286" spans="1:35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</row>
    <row r="287" spans="1:35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</row>
    <row r="288" spans="1:35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</row>
    <row r="289" spans="1:35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</row>
    <row r="290" spans="1:35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</row>
    <row r="291" spans="1:35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</row>
    <row r="292" spans="1:35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</row>
    <row r="293" spans="1:35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</row>
    <row r="294" spans="1:35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</row>
    <row r="295" spans="1:35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</row>
    <row r="296" spans="1:35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</row>
    <row r="297" spans="1:35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</row>
    <row r="298" spans="1:35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</row>
    <row r="299" spans="1:35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</row>
    <row r="300" spans="1:35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</row>
    <row r="301" spans="1:35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</row>
    <row r="302" spans="1:35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</row>
    <row r="303" spans="1:35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</row>
    <row r="304" spans="1:35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</row>
    <row r="305" spans="1:35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</row>
    <row r="306" spans="1:35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</row>
    <row r="307" spans="1:35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</row>
    <row r="308" spans="1:35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</row>
    <row r="309" spans="1:35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</row>
    <row r="310" spans="1:35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</row>
    <row r="311" spans="1:35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</row>
    <row r="312" spans="1:35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</row>
    <row r="313" spans="1:35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</row>
    <row r="314" spans="1:35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</row>
    <row r="315" spans="1:35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</row>
    <row r="316" spans="1:35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</row>
    <row r="317" spans="1:35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</row>
    <row r="318" spans="1:35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</row>
    <row r="319" spans="1:35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</row>
    <row r="320" spans="1:35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</row>
    <row r="321" spans="1:35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</row>
    <row r="322" spans="1:35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</row>
    <row r="323" spans="1:35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</row>
    <row r="324" spans="1:35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</row>
    <row r="325" spans="1:35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</row>
    <row r="326" spans="1:35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</row>
    <row r="327" spans="1:35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</row>
    <row r="328" spans="1:35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</row>
    <row r="329" spans="1:35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</row>
    <row r="330" spans="1:35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</row>
    <row r="331" spans="1:35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</row>
    <row r="332" spans="1:35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</row>
    <row r="333" spans="1:35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</row>
    <row r="334" spans="1:35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</row>
    <row r="335" spans="1:35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</row>
    <row r="336" spans="1:35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</row>
    <row r="337" spans="1:35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</row>
    <row r="338" spans="1:35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</row>
    <row r="339" spans="1:35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</row>
    <row r="340" spans="1:35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</row>
    <row r="341" spans="1:35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</row>
    <row r="342" spans="1:35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</row>
    <row r="343" spans="1:35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</row>
    <row r="344" spans="1:35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</row>
    <row r="345" spans="1:35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</row>
    <row r="346" spans="1:35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</row>
    <row r="347" spans="1:35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</row>
    <row r="348" spans="1:35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</row>
    <row r="349" spans="1:35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</row>
    <row r="350" spans="1:35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</row>
    <row r="351" spans="1:35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</row>
    <row r="352" spans="1:35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</row>
    <row r="353" spans="1:35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</row>
    <row r="354" spans="1:35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</row>
    <row r="355" spans="1:35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</row>
    <row r="356" spans="1:35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</row>
    <row r="357" spans="1:35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</row>
    <row r="358" spans="1:35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</row>
    <row r="359" spans="1:35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</row>
    <row r="360" spans="1:35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</row>
    <row r="361" spans="1:35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</row>
    <row r="362" spans="1:35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</row>
    <row r="363" spans="1:35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</row>
    <row r="364" spans="1:35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</row>
    <row r="365" spans="1:35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</row>
    <row r="366" spans="1:35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</row>
    <row r="367" spans="1:35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</row>
    <row r="368" spans="1:35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</row>
    <row r="369" spans="1:35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</row>
    <row r="370" spans="1:35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</row>
    <row r="371" spans="1:35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</row>
    <row r="372" spans="1:35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</row>
    <row r="373" spans="1:35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</row>
    <row r="374" spans="1:35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</row>
    <row r="375" spans="1:35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</row>
    <row r="376" spans="1:35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</row>
    <row r="377" spans="1:35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</row>
    <row r="378" spans="1:35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</row>
    <row r="379" spans="1:35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</row>
    <row r="380" spans="1:35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</row>
    <row r="381" spans="1:35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</row>
    <row r="382" spans="1:35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</row>
    <row r="383" spans="1:35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</row>
    <row r="384" spans="1:35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</row>
    <row r="385" spans="1:35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</row>
    <row r="386" spans="1:35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</row>
    <row r="387" spans="1:35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</row>
    <row r="388" spans="1:35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</row>
    <row r="389" spans="1:35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</row>
    <row r="390" spans="1:35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</row>
    <row r="391" spans="1:35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</row>
    <row r="392" spans="1:35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</row>
    <row r="393" spans="1:35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</row>
    <row r="394" spans="1:35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</row>
    <row r="395" spans="1:35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</row>
    <row r="396" spans="1:35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</row>
    <row r="397" spans="1:35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</row>
    <row r="398" spans="1:35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</row>
    <row r="399" spans="1:35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</row>
    <row r="400" spans="1:35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</row>
    <row r="401" spans="1:35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</row>
    <row r="402" spans="1:35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</row>
    <row r="403" spans="1:35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</row>
    <row r="404" spans="1:35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</row>
    <row r="405" spans="1:35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</row>
    <row r="406" spans="1:35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</row>
    <row r="407" spans="1:35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</row>
    <row r="408" spans="1:35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</row>
    <row r="409" spans="1:35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</row>
    <row r="410" spans="1:35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</row>
    <row r="411" spans="1:35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</row>
    <row r="412" spans="1:35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</row>
    <row r="413" spans="1:35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</row>
    <row r="414" spans="1:35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</row>
    <row r="415" spans="1:35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</row>
    <row r="416" spans="1:35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</row>
    <row r="417" spans="1:35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</row>
    <row r="418" spans="1:35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</row>
    <row r="419" spans="1:35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</row>
    <row r="420" spans="1:35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</row>
    <row r="421" spans="1:35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</row>
    <row r="422" spans="1:35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</row>
    <row r="423" spans="1:35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</row>
    <row r="424" spans="1:35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</row>
    <row r="425" spans="1:35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</row>
    <row r="426" spans="1:35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</row>
    <row r="427" spans="1:35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</row>
    <row r="428" spans="1:35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</row>
    <row r="429" spans="1:35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</row>
    <row r="430" spans="1:35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</row>
    <row r="431" spans="1:35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</row>
    <row r="432" spans="1:35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</row>
    <row r="433" spans="1:35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</row>
    <row r="434" spans="1:35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</row>
    <row r="435" spans="1:35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</row>
    <row r="436" spans="1:35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</row>
    <row r="437" spans="1:35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</row>
    <row r="438" spans="1:35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</row>
    <row r="439" spans="1:35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</row>
    <row r="440" spans="1:35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</row>
    <row r="441" spans="1:35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</row>
    <row r="442" spans="1:35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</row>
    <row r="443" spans="1:35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</row>
    <row r="444" spans="1:35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</row>
    <row r="445" spans="1:35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</row>
    <row r="446" spans="1:35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</row>
    <row r="447" spans="1:35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</row>
    <row r="448" spans="1:35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</row>
    <row r="449" spans="1:35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</row>
    <row r="450" spans="1:35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</row>
    <row r="451" spans="1:35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</row>
    <row r="452" spans="1:35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</row>
    <row r="453" spans="1:35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</row>
    <row r="454" spans="1:35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</row>
    <row r="455" spans="1:35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</row>
    <row r="456" spans="1:35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</row>
    <row r="457" spans="1:35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</row>
    <row r="458" spans="1:35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</row>
    <row r="459" spans="1:35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</row>
    <row r="460" spans="1:35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</row>
    <row r="461" spans="1:35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</row>
    <row r="462" spans="1:35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</row>
    <row r="463" spans="1:35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</row>
    <row r="464" spans="1:35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</row>
    <row r="465" spans="1:35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</row>
    <row r="466" spans="1:35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</row>
    <row r="467" spans="1:35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</row>
    <row r="468" spans="1:35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</row>
    <row r="469" spans="1:35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</row>
    <row r="470" spans="1:35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</row>
    <row r="471" spans="1:35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</row>
    <row r="472" spans="1:35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</row>
    <row r="473" spans="1:35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</row>
    <row r="474" spans="1:35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</row>
    <row r="475" spans="1:35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</row>
    <row r="476" spans="1:35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</row>
    <row r="477" spans="1:35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</row>
    <row r="478" spans="1:35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</row>
    <row r="479" spans="1:35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</row>
    <row r="480" spans="1:35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</row>
    <row r="481" spans="1:35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</row>
    <row r="482" spans="1:35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</row>
    <row r="483" spans="1:35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</row>
    <row r="484" spans="1:35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</row>
    <row r="485" spans="1:35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</row>
    <row r="486" spans="1:35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</row>
    <row r="487" spans="1:35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</row>
    <row r="488" spans="1:35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</row>
    <row r="489" spans="1:35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</row>
    <row r="490" spans="1:35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</row>
    <row r="491" spans="1:35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</row>
    <row r="492" spans="1:35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</row>
    <row r="493" spans="1:35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</row>
    <row r="494" spans="1:35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</row>
    <row r="495" spans="1:35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</row>
    <row r="496" spans="1:35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</row>
    <row r="497" spans="1:35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</row>
    <row r="498" spans="1:35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</row>
    <row r="499" spans="1:35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</row>
  </sheetData>
  <autoFilter ref="A3:AI133" xr:uid="{00000000-0009-0000-0000-000000000000}"/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2026-08-20T13:37:38Z</dcterms:created>
  <dcterms:modified xsi:type="dcterms:W3CDTF">2026-08-22T06:39:05Z</dcterms:modified>
</cp:coreProperties>
</file>