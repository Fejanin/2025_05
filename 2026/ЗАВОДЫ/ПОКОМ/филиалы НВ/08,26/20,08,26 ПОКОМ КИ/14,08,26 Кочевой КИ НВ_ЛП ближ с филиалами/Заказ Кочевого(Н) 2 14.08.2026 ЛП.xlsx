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4,08,26 Кочевой КИ НВ_ЛП ближ с филиалами\"/>
    </mc:Choice>
  </mc:AlternateContent>
  <xr:revisionPtr revIDLastSave="0" documentId="13_ncr:1_{493C1002-0834-4F19-B0FE-C26573D8015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BP66" i="2" l="1"/>
  <c r="Z183" i="2"/>
  <c r="Z372" i="2"/>
  <c r="Z439" i="2"/>
  <c r="Z441" i="2" s="1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P23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5" i="2" s="1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22" i="2" l="1"/>
  <c r="Z484" i="2"/>
  <c r="Z447" i="2"/>
  <c r="Z384" i="2"/>
  <c r="Z548" i="2"/>
  <c r="Z320" i="2"/>
  <c r="Z132" i="2"/>
  <c r="Z290" i="2"/>
  <c r="Z367" i="2"/>
  <c r="Z88" i="2"/>
  <c r="Z114" i="2"/>
  <c r="Z377" i="2"/>
  <c r="Z329" i="2"/>
  <c r="Z468" i="2"/>
  <c r="Z24" i="2"/>
  <c r="Z95" i="2"/>
  <c r="Z435" i="2"/>
  <c r="X558" i="2"/>
  <c r="Z295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<sst xmlns="http://schemas.openxmlformats.org/spreadsheetml/2006/main" count="4244" uniqueCount="900">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</sst>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286" zoomScaleNormal="100" zoomScaleSheetLayoutView="100" workbookViewId="0">
      <selection activeCell="AA512" sqref="AA5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46247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45</v>
      </c>
      <c r="Y87" s="55">
        <f>IFERROR(IF(X87="",0,CEILING((X87/$H87),1)*$H87),"")</f>
        <v>45</v>
      </c>
      <c r="Z87" s="41">
        <f>IFERROR(IF(Y87=0,"",ROUNDUP(Y87/H87,0)*0.00902),"")</f>
        <v>9.0200000000000002E-2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46.900000000000006</v>
      </c>
      <c r="BN87" s="78">
        <f>IFERROR(Y87*I87/H87,"0")</f>
        <v>46.900000000000006</v>
      </c>
      <c r="BO87" s="78">
        <f>IFERROR(1/J87*(X87/H87),"0")</f>
        <v>7.575757575757576E-2</v>
      </c>
      <c r="BP87" s="78">
        <f>IFERROR(1/J87*(Y87/H87),"0")</f>
        <v>7.575757575757576E-2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10</v>
      </c>
      <c r="Y88" s="43">
        <f>IFERROR(Y84/H84,"0")+IFERROR(Y85/H85,"0")+IFERROR(Y86/H86,"0")+IFERROR(Y87/H87,"0")</f>
        <v>10</v>
      </c>
      <c r="Z88" s="43">
        <f>IFERROR(IF(Z84="",0,Z84),"0")+IFERROR(IF(Z85="",0,Z85),"0")+IFERROR(IF(Z86="",0,Z86),"0")+IFERROR(IF(Z87="",0,Z87),"0")</f>
        <v>9.0200000000000002E-2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45</v>
      </c>
      <c r="Y89" s="43">
        <f>IFERROR(SUM(Y84:Y87),"0")</f>
        <v>45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81</v>
      </c>
      <c r="Y93" s="55">
        <f>IFERROR(IF(X93="",0,CEILING((X93/$H93),1)*$H93),"")</f>
        <v>81</v>
      </c>
      <c r="Z93" s="41">
        <f>IFERROR(IF(Y93=0,"",ROUNDUP(Y93/H93,0)*0.00651),"")</f>
        <v>0.1953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88.559999999999988</v>
      </c>
      <c r="BN93" s="78">
        <f>IFERROR(Y93*I93/H93,"0")</f>
        <v>88.559999999999988</v>
      </c>
      <c r="BO93" s="78">
        <f>IFERROR(1/J93*(X93/H93),"0")</f>
        <v>0.16483516483516483</v>
      </c>
      <c r="BP93" s="78">
        <f>IFERROR(1/J93*(Y93/H93),"0")</f>
        <v>0.16483516483516483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29.999999999999996</v>
      </c>
      <c r="Y95" s="43">
        <f>IFERROR(Y91/H91,"0")+IFERROR(Y92/H92,"0")+IFERROR(Y93/H93,"0")+IFERROR(Y94/H94,"0")</f>
        <v>29.999999999999996</v>
      </c>
      <c r="Z95" s="43">
        <f>IFERROR(IF(Z91="",0,Z91),"0")+IFERROR(IF(Z92="",0,Z92),"0")+IFERROR(IF(Z93="",0,Z93),"0")+IFERROR(IF(Z94="",0,Z94),"0")</f>
        <v>0.1953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81</v>
      </c>
      <c r="Y96" s="43">
        <f>IFERROR(SUM(Y91:Y94),"0")</f>
        <v>81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270</v>
      </c>
      <c r="Y119" s="55">
        <f>IFERROR(IF(X119="",0,CEILING((X119/$H119),1)*$H119),"")</f>
        <v>270</v>
      </c>
      <c r="Z119" s="41">
        <f>IFERROR(IF(Y119=0,"",ROUNDUP(Y119/H119,0)*0.00651),"")</f>
        <v>0.65100000000000002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295.2</v>
      </c>
      <c r="BN119" s="78">
        <f>IFERROR(Y119*I119/H119,"0")</f>
        <v>295.2</v>
      </c>
      <c r="BO119" s="78">
        <f>IFERROR(1/J119*(X119/H119),"0")</f>
        <v>0.5494505494505495</v>
      </c>
      <c r="BP119" s="78">
        <f>IFERROR(1/J119*(Y119/H119),"0")</f>
        <v>0.5494505494505495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100</v>
      </c>
      <c r="Y121" s="43">
        <f>IFERROR(Y117/H117,"0")+IFERROR(Y118/H118,"0")+IFERROR(Y119/H119,"0")+IFERROR(Y120/H120,"0")</f>
        <v>100</v>
      </c>
      <c r="Z121" s="43">
        <f>IFERROR(IF(Z117="",0,Z117),"0")+IFERROR(IF(Z118="",0,Z118),"0")+IFERROR(IF(Z119="",0,Z119),"0")+IFERROR(IF(Z120="",0,Z120),"0")</f>
        <v>0.65100000000000002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270</v>
      </c>
      <c r="Y122" s="43">
        <f>IFERROR(SUM(Y117:Y120),"0")</f>
        <v>270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60</v>
      </c>
      <c r="Y281" s="55">
        <f t="shared" si="38"/>
        <v>60</v>
      </c>
      <c r="Z281" s="41">
        <f>IFERROR(IF(Y281=0,"",ROUNDUP(Y281/H281,0)*0.00651),"")</f>
        <v>0.16275000000000001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66.75</v>
      </c>
      <c r="BN281" s="78">
        <f t="shared" si="40"/>
        <v>66.75</v>
      </c>
      <c r="BO281" s="78">
        <f t="shared" si="41"/>
        <v>0.13736263736263737</v>
      </c>
      <c r="BP281" s="78">
        <f t="shared" si="42"/>
        <v>0.13736263736263737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240</v>
      </c>
      <c r="Y284" s="55">
        <f t="shared" si="38"/>
        <v>240</v>
      </c>
      <c r="Z284" s="41">
        <f>IFERROR(IF(Y284=0,"",ROUNDUP(Y284/H284,0)*0.00651),"")</f>
        <v>0.65100000000000002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265.20000000000005</v>
      </c>
      <c r="BN284" s="78">
        <f t="shared" si="40"/>
        <v>265.20000000000005</v>
      </c>
      <c r="BO284" s="78">
        <f t="shared" si="41"/>
        <v>0.5494505494505495</v>
      </c>
      <c r="BP284" s="78">
        <f t="shared" si="42"/>
        <v>0.5494505494505495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192</v>
      </c>
      <c r="Y286" s="55">
        <f t="shared" si="38"/>
        <v>192</v>
      </c>
      <c r="Z286" s="41">
        <f>IFERROR(IF(Y286=0,"",ROUNDUP(Y286/H286,0)*0.00651),"")</f>
        <v>0.52080000000000004</v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212.16000000000003</v>
      </c>
      <c r="BN286" s="78">
        <f t="shared" si="40"/>
        <v>212.16000000000003</v>
      </c>
      <c r="BO286" s="78">
        <f t="shared" si="41"/>
        <v>0.43956043956043961</v>
      </c>
      <c r="BP286" s="78">
        <f t="shared" si="42"/>
        <v>0.43956043956043961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72</v>
      </c>
      <c r="Y288" s="55">
        <f t="shared" si="38"/>
        <v>72</v>
      </c>
      <c r="Z288" s="41">
        <f>IFERROR(IF(Y288=0,"",ROUNDUP(Y288/H288,0)*0.00651),"")</f>
        <v>0.1953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79.740000000000009</v>
      </c>
      <c r="BN288" s="78">
        <f t="shared" si="40"/>
        <v>79.740000000000009</v>
      </c>
      <c r="BO288" s="78">
        <f t="shared" si="41"/>
        <v>0.16483516483516486</v>
      </c>
      <c r="BP288" s="78">
        <f t="shared" si="42"/>
        <v>0.16483516483516486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235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235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1.5298500000000002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564</v>
      </c>
      <c r="Y291" s="43">
        <f>IFERROR(SUM(Y278:Y289),"0")</f>
        <v>564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126</v>
      </c>
      <c r="Y420" s="55">
        <f>IFERROR(IF(X420="",0,CEILING((X420/$H420),1)*$H420),"")</f>
        <v>126</v>
      </c>
      <c r="Z420" s="41">
        <f>IFERROR(IF(Y420=0,"",ROUNDUP(Y420/H420,0)*0.00651),"")</f>
        <v>0.3906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141.11999999999998</v>
      </c>
      <c r="BN420" s="78">
        <f>IFERROR(Y420*I420/H420,"0")</f>
        <v>141.11999999999998</v>
      </c>
      <c r="BO420" s="78">
        <f>IFERROR(1/J420*(X420/H420),"0")</f>
        <v>0.32967032967032972</v>
      </c>
      <c r="BP420" s="78">
        <f>IFERROR(1/J420*(Y420/H420),"0")</f>
        <v>0.32967032967032972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63</v>
      </c>
      <c r="Y421" s="55">
        <f>IFERROR(IF(X421="",0,CEILING((X421/$H421),1)*$H421),"")</f>
        <v>63</v>
      </c>
      <c r="Z421" s="41">
        <f>IFERROR(IF(Y421=0,"",ROUNDUP(Y421/H421,0)*0.00651),"")</f>
        <v>0.1953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70.199999999999989</v>
      </c>
      <c r="BN421" s="78">
        <f>IFERROR(Y421*I421/H421,"0")</f>
        <v>70.199999999999989</v>
      </c>
      <c r="BO421" s="78">
        <f>IFERROR(1/J421*(X421/H421),"0")</f>
        <v>0.16483516483516486</v>
      </c>
      <c r="BP421" s="78">
        <f>IFERROR(1/J421*(Y421/H421),"0")</f>
        <v>0.16483516483516486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90</v>
      </c>
      <c r="Y422" s="43">
        <f>IFERROR(Y419/H419,"0")+IFERROR(Y420/H420,"0")+IFERROR(Y421/H421,"0")</f>
        <v>90</v>
      </c>
      <c r="Z422" s="43">
        <f>IFERROR(IF(Z419="",0,Z419),"0")+IFERROR(IF(Z420="",0,Z420),"0")+IFERROR(IF(Z421="",0,Z421),"0")</f>
        <v>0.58589999999999998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189</v>
      </c>
      <c r="Y423" s="43">
        <f>IFERROR(SUM(Y419:Y421),"0")</f>
        <v>189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1000</v>
      </c>
      <c r="Y428" s="55">
        <f t="shared" si="58"/>
        <v>1005</v>
      </c>
      <c r="Z428" s="41">
        <f>IFERROR(IF(Y428=0,"",ROUNDUP(Y428/H428,0)*0.02175),"")</f>
        <v>1.4572499999999999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1031.3333333333333</v>
      </c>
      <c r="BN428" s="78">
        <f t="shared" si="60"/>
        <v>1036.49</v>
      </c>
      <c r="BO428" s="78">
        <f t="shared" si="61"/>
        <v>1.3888888888888888</v>
      </c>
      <c r="BP428" s="78">
        <f t="shared" si="62"/>
        <v>1.3958333333333333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1500</v>
      </c>
      <c r="Y430" s="55">
        <f t="shared" si="58"/>
        <v>1500</v>
      </c>
      <c r="Z430" s="41">
        <f>IFERROR(IF(Y430=0,"",ROUNDUP(Y430/H430,0)*0.02175),"")</f>
        <v>2.1749999999999998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1547</v>
      </c>
      <c r="BN430" s="78">
        <f t="shared" si="60"/>
        <v>1547</v>
      </c>
      <c r="BO430" s="78">
        <f t="shared" si="61"/>
        <v>2.083333333333333</v>
      </c>
      <c r="BP430" s="78">
        <f t="shared" si="62"/>
        <v>2.083333333333333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166.66666666666669</v>
      </c>
      <c r="Y435" s="43">
        <f>IFERROR(Y427/H427,"0")+IFERROR(Y428/H428,"0")+IFERROR(Y429/H429,"0")+IFERROR(Y430/H430,"0")+IFERROR(Y431/H431,"0")+IFERROR(Y432/H432,"0")+IFERROR(Y433/H433,"0")+IFERROR(Y434/H434,"0")</f>
        <v>167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3.63225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2500</v>
      </c>
      <c r="Y436" s="43">
        <f>IFERROR(SUM(Y427:Y434),"0")</f>
        <v>2505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144</v>
      </c>
      <c r="Y466" s="55">
        <f>IFERROR(IF(X466="",0,CEILING((X466/$H466),1)*$H466),"")</f>
        <v>144</v>
      </c>
      <c r="Z466" s="41">
        <f>IFERROR(IF(Y466=0,"",ROUNDUP(Y466/H466,0)*0.00651),"")</f>
        <v>0.3906</v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159.84000000000003</v>
      </c>
      <c r="BN466" s="78">
        <f>IFERROR(Y466*I466/H466,"0")</f>
        <v>159.84000000000003</v>
      </c>
      <c r="BO466" s="78">
        <f>IFERROR(1/J466*(X466/H466),"0")</f>
        <v>0.32967032967032972</v>
      </c>
      <c r="BP466" s="78">
        <f>IFERROR(1/J466*(Y466/H466),"0")</f>
        <v>0.32967032967032972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60</v>
      </c>
      <c r="Y468" s="43">
        <f>IFERROR(Y465/H465,"0")+IFERROR(Y466/H466,"0")+IFERROR(Y467/H467,"0")</f>
        <v>60</v>
      </c>
      <c r="Z468" s="43">
        <f>IFERROR(IF(Z465="",0,Z465),"0")+IFERROR(IF(Z466="",0,Z466),"0")+IFERROR(IF(Z467="",0,Z467),"0")</f>
        <v>0.3906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144</v>
      </c>
      <c r="Y469" s="43">
        <f>IFERROR(SUM(Y465:Y467),"0")</f>
        <v>144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500</v>
      </c>
      <c r="Y503" s="55">
        <f t="shared" si="68"/>
        <v>501.6</v>
      </c>
      <c r="Z503" s="41">
        <f t="shared" si="69"/>
        <v>1.1362000000000001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533.14393939393938</v>
      </c>
      <c r="BN503" s="78">
        <f t="shared" si="71"/>
        <v>534.85</v>
      </c>
      <c r="BO503" s="78">
        <f t="shared" si="72"/>
        <v>0.91054778554778548</v>
      </c>
      <c r="BP503" s="78">
        <f t="shared" si="73"/>
        <v>0.91346153846153855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1000</v>
      </c>
      <c r="Y505" s="55">
        <f t="shared" si="68"/>
        <v>1003.2</v>
      </c>
      <c r="Z505" s="41">
        <f t="shared" si="69"/>
        <v>2.2724000000000002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1066.2878787878788</v>
      </c>
      <c r="BN505" s="78">
        <f t="shared" si="71"/>
        <v>1069.7</v>
      </c>
      <c r="BO505" s="78">
        <f t="shared" si="72"/>
        <v>1.821095571095571</v>
      </c>
      <c r="BP505" s="78">
        <f t="shared" si="73"/>
        <v>1.8269230769230771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284.09090909090907</v>
      </c>
      <c r="Y509" s="43">
        <f>IFERROR(Y500/H500,"0")+IFERROR(Y501/H501,"0")+IFERROR(Y502/H502,"0")+IFERROR(Y503/H503,"0")+IFERROR(Y504/H504,"0")+IFERROR(Y505/H505,"0")+IFERROR(Y506/H506,"0")+IFERROR(Y507/H507,"0")+IFERROR(Y508/H508,"0")</f>
        <v>285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3.4086000000000003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1500</v>
      </c>
      <c r="Y510" s="43">
        <f>IFERROR(SUM(Y500:Y508),"0")</f>
        <v>1504.8000000000002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1000</v>
      </c>
      <c r="Y512" s="55">
        <f>IFERROR(IF(X512="",0,CEILING((X512/$H512),1)*$H512),"")</f>
        <v>1003.2</v>
      </c>
      <c r="Z512" s="41">
        <f>IFERROR(IF(Y512=0,"",ROUNDUP(Y512/H512,0)*0.01196),"")</f>
        <v>2.2724000000000002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1066.2878787878788</v>
      </c>
      <c r="BN512" s="78">
        <f>IFERROR(Y512*I512/H512,"0")</f>
        <v>1069.7</v>
      </c>
      <c r="BO512" s="78">
        <f>IFERROR(1/J512*(X512/H512),"0")</f>
        <v>1.821095571095571</v>
      </c>
      <c r="BP512" s="78">
        <f>IFERROR(1/J512*(Y512/H512),"0")</f>
        <v>1.8269230769230771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189.39393939393938</v>
      </c>
      <c r="Y515" s="43">
        <f>IFERROR(Y512/H512,"0")+IFERROR(Y513/H513,"0")+IFERROR(Y514/H514,"0")</f>
        <v>190</v>
      </c>
      <c r="Z515" s="43">
        <f>IFERROR(IF(Z512="",0,Z512),"0")+IFERROR(IF(Z513="",0,Z513),"0")+IFERROR(IF(Z514="",0,Z514),"0")</f>
        <v>2.2724000000000002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1000</v>
      </c>
      <c r="Y516" s="43">
        <f>IFERROR(SUM(Y512:Y514),"0")</f>
        <v>1003.2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6293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6306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6669.7230303030301</v>
      </c>
      <c r="Y556" s="43">
        <f>IFERROR(SUM(BN22:BN552),"0")</f>
        <v>6683.41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11</v>
      </c>
      <c r="Y557" s="44">
        <f>ROUNDUP(SUM(BP22:BP552),0)</f>
        <v>11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6944.7230303030301</v>
      </c>
      <c r="Y558" s="43">
        <f>GrossWeightTotalR+PalletQtyTotalR*25</f>
        <v>6958.41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1165.151515151515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1167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12.7561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126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270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564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189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2505</v>
      </c>
      <c r="X565" s="52">
        <f>IFERROR(Y456*1,"0")+IFERROR(Y457*1,"0")+IFERROR(Y461*1,"0")+IFERROR(Y465*1,"0")+IFERROR(Y466*1,"0")+IFERROR(Y467*1,"0")</f>
        <v>144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2508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65,15"/>
        <filter val="1 500,00"/>
        <filter val="10,00"/>
        <filter val="100,00"/>
        <filter val="11"/>
        <filter val="126,00"/>
        <filter val="144,00"/>
        <filter val="166,67"/>
        <filter val="189,00"/>
        <filter val="189,39"/>
        <filter val="192,00"/>
        <filter val="2 500,00"/>
        <filter val="235,00"/>
        <filter val="240,00"/>
        <filter val="270,00"/>
        <filter val="284,09"/>
        <filter val="30,00"/>
        <filter val="45,00"/>
        <filter val="500,00"/>
        <filter val="564,00"/>
        <filter val="6 293,00"/>
        <filter val="6 669,72"/>
        <filter val="6 944,72"/>
        <filter val="60,00"/>
        <filter val="63,00"/>
        <filter val="72,00"/>
        <filter val="81,00"/>
        <filter val="90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2026-08-20T08:48:09Z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