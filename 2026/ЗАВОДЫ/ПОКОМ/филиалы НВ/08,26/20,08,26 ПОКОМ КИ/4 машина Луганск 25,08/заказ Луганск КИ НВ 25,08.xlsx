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70BDDDA-D982-44F3-86C3-71134E83FD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Y419" i="1" s="1"/>
  <c r="P417" i="1"/>
  <c r="BP416" i="1"/>
  <c r="BO416" i="1"/>
  <c r="BN416" i="1"/>
  <c r="BM416" i="1"/>
  <c r="Z416" i="1"/>
  <c r="Y416" i="1"/>
  <c r="P416" i="1"/>
  <c r="X413" i="1"/>
  <c r="Y412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Y407" i="1" s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BP390" i="1"/>
  <c r="BO390" i="1"/>
  <c r="BN390" i="1"/>
  <c r="BM390" i="1"/>
  <c r="Z390" i="1"/>
  <c r="Y390" i="1"/>
  <c r="P390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Y375" i="1" s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Y348" i="1" s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Y334" i="1" s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Y304" i="1" s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Y289" i="1" s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X263" i="1"/>
  <c r="X262" i="1"/>
  <c r="BO261" i="1"/>
  <c r="BM261" i="1"/>
  <c r="Y261" i="1"/>
  <c r="BP261" i="1" s="1"/>
  <c r="P261" i="1"/>
  <c r="BP260" i="1"/>
  <c r="BO260" i="1"/>
  <c r="BN260" i="1"/>
  <c r="BM260" i="1"/>
  <c r="Z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M562" i="1" s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Y233" i="1" s="1"/>
  <c r="P219" i="1"/>
  <c r="X217" i="1"/>
  <c r="Y216" i="1"/>
  <c r="X216" i="1"/>
  <c r="BP215" i="1"/>
  <c r="BO215" i="1"/>
  <c r="BN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6" i="1"/>
  <c r="Y195" i="1"/>
  <c r="X195" i="1"/>
  <c r="BP194" i="1"/>
  <c r="BO194" i="1"/>
  <c r="BN194" i="1"/>
  <c r="BM194" i="1"/>
  <c r="Z194" i="1"/>
  <c r="Z195" i="1" s="1"/>
  <c r="Y194" i="1"/>
  <c r="Y196" i="1" s="1"/>
  <c r="P194" i="1"/>
  <c r="X192" i="1"/>
  <c r="X191" i="1"/>
  <c r="BP190" i="1"/>
  <c r="BO190" i="1"/>
  <c r="BN190" i="1"/>
  <c r="BM190" i="1"/>
  <c r="Z190" i="1"/>
  <c r="Y190" i="1"/>
  <c r="P190" i="1"/>
  <c r="BO189" i="1"/>
  <c r="BM189" i="1"/>
  <c r="Y189" i="1"/>
  <c r="BP189" i="1" s="1"/>
  <c r="P189" i="1"/>
  <c r="BP188" i="1"/>
  <c r="BO188" i="1"/>
  <c r="BN188" i="1"/>
  <c r="BM188" i="1"/>
  <c r="Z188" i="1"/>
  <c r="Y188" i="1"/>
  <c r="Y192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6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Y172" i="1" s="1"/>
  <c r="P169" i="1"/>
  <c r="X167" i="1"/>
  <c r="X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J562" i="1" s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Y105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F562" i="1" s="1"/>
  <c r="P83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E562" i="1" s="1"/>
  <c r="P56" i="1"/>
  <c r="X53" i="1"/>
  <c r="X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552" i="1" s="1"/>
  <c r="X24" i="1"/>
  <c r="X55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79" i="1" l="1"/>
  <c r="Z191" i="1"/>
  <c r="Z233" i="1"/>
  <c r="F9" i="1"/>
  <c r="J9" i="1"/>
  <c r="F10" i="1"/>
  <c r="Y25" i="1"/>
  <c r="Y33" i="1"/>
  <c r="Y43" i="1"/>
  <c r="Y53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Y167" i="1"/>
  <c r="Y171" i="1"/>
  <c r="Y185" i="1"/>
  <c r="Y191" i="1"/>
  <c r="Y211" i="1"/>
  <c r="Y234" i="1"/>
  <c r="Y242" i="1"/>
  <c r="Y248" i="1"/>
  <c r="Y252" i="1"/>
  <c r="Y257" i="1"/>
  <c r="Y263" i="1"/>
  <c r="Y274" i="1"/>
  <c r="Z266" i="1"/>
  <c r="Z273" i="1" s="1"/>
  <c r="BN266" i="1"/>
  <c r="Z268" i="1"/>
  <c r="BN268" i="1"/>
  <c r="Z270" i="1"/>
  <c r="BN270" i="1"/>
  <c r="Z272" i="1"/>
  <c r="BN272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Z318" i="1" s="1"/>
  <c r="Y328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Z387" i="1" s="1"/>
  <c r="Y394" i="1"/>
  <c r="BP393" i="1"/>
  <c r="BN393" i="1"/>
  <c r="Z393" i="1"/>
  <c r="Z394" i="1" s="1"/>
  <c r="Y400" i="1"/>
  <c r="BP397" i="1"/>
  <c r="BN397" i="1"/>
  <c r="Z397" i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Z432" i="1" s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G562" i="1"/>
  <c r="X562" i="1"/>
  <c r="H9" i="1"/>
  <c r="B562" i="1"/>
  <c r="X553" i="1"/>
  <c r="X555" i="1" s="1"/>
  <c r="X554" i="1"/>
  <c r="Z23" i="1"/>
  <c r="Z24" i="1" s="1"/>
  <c r="BN23" i="1"/>
  <c r="Y553" i="1" s="1"/>
  <c r="Y24" i="1"/>
  <c r="Z27" i="1"/>
  <c r="BN27" i="1"/>
  <c r="BP27" i="1"/>
  <c r="Z29" i="1"/>
  <c r="BN29" i="1"/>
  <c r="Z31" i="1"/>
  <c r="BN31" i="1"/>
  <c r="Z37" i="1"/>
  <c r="Z43" i="1" s="1"/>
  <c r="BN37" i="1"/>
  <c r="BP37" i="1"/>
  <c r="Y554" i="1" s="1"/>
  <c r="Z39" i="1"/>
  <c r="BN39" i="1"/>
  <c r="Z41" i="1"/>
  <c r="BN41" i="1"/>
  <c r="Y44" i="1"/>
  <c r="D562" i="1"/>
  <c r="Z49" i="1"/>
  <c r="Z52" i="1" s="1"/>
  <c r="BN49" i="1"/>
  <c r="Z51" i="1"/>
  <c r="BN51" i="1"/>
  <c r="Y52" i="1"/>
  <c r="Z56" i="1"/>
  <c r="Z62" i="1" s="1"/>
  <c r="BN56" i="1"/>
  <c r="BP56" i="1"/>
  <c r="Z58" i="1"/>
  <c r="BN58" i="1"/>
  <c r="Z60" i="1"/>
  <c r="BN60" i="1"/>
  <c r="Y63" i="1"/>
  <c r="Z66" i="1"/>
  <c r="Z69" i="1" s="1"/>
  <c r="BN66" i="1"/>
  <c r="Z68" i="1"/>
  <c r="BN68" i="1"/>
  <c r="Z72" i="1"/>
  <c r="Z74" i="1" s="1"/>
  <c r="BN72" i="1"/>
  <c r="BP72" i="1"/>
  <c r="Z78" i="1"/>
  <c r="BN78" i="1"/>
  <c r="Z83" i="1"/>
  <c r="BN83" i="1"/>
  <c r="BP83" i="1"/>
  <c r="Z85" i="1"/>
  <c r="BN85" i="1"/>
  <c r="Y88" i="1"/>
  <c r="Z91" i="1"/>
  <c r="Z94" i="1" s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Z108" i="1"/>
  <c r="Z113" i="1" s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Z131" i="1" s="1"/>
  <c r="BN129" i="1"/>
  <c r="Y132" i="1"/>
  <c r="Z135" i="1"/>
  <c r="Z138" i="1" s="1"/>
  <c r="BN135" i="1"/>
  <c r="Z137" i="1"/>
  <c r="BN137" i="1"/>
  <c r="Z141" i="1"/>
  <c r="Z144" i="1" s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Z165" i="1"/>
  <c r="BN165" i="1"/>
  <c r="Y166" i="1"/>
  <c r="Z169" i="1"/>
  <c r="Z171" i="1" s="1"/>
  <c r="BN169" i="1"/>
  <c r="BP169" i="1"/>
  <c r="Z175" i="1"/>
  <c r="Z185" i="1" s="1"/>
  <c r="BN175" i="1"/>
  <c r="Z177" i="1"/>
  <c r="BN177" i="1"/>
  <c r="Z179" i="1"/>
  <c r="BN179" i="1"/>
  <c r="Z181" i="1"/>
  <c r="BN181" i="1"/>
  <c r="Z183" i="1"/>
  <c r="BN183" i="1"/>
  <c r="Z189" i="1"/>
  <c r="BN189" i="1"/>
  <c r="K562" i="1"/>
  <c r="Z205" i="1"/>
  <c r="Z211" i="1" s="1"/>
  <c r="BN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Z247" i="1" s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BP277" i="1"/>
  <c r="BN277" i="1"/>
  <c r="Z277" i="1"/>
  <c r="Z288" i="1" s="1"/>
  <c r="BP281" i="1"/>
  <c r="BN281" i="1"/>
  <c r="Z281" i="1"/>
  <c r="BP285" i="1"/>
  <c r="BN285" i="1"/>
  <c r="Z285" i="1"/>
  <c r="BP298" i="1"/>
  <c r="BN298" i="1"/>
  <c r="Z298" i="1"/>
  <c r="Z304" i="1" s="1"/>
  <c r="BP302" i="1"/>
  <c r="BN302" i="1"/>
  <c r="Z302" i="1"/>
  <c r="Z327" i="1"/>
  <c r="BP323" i="1"/>
  <c r="BN323" i="1"/>
  <c r="Z323" i="1"/>
  <c r="Y327" i="1"/>
  <c r="BP332" i="1"/>
  <c r="BN332" i="1"/>
  <c r="Z332" i="1"/>
  <c r="Z334" i="1" s="1"/>
  <c r="BP341" i="1"/>
  <c r="BN341" i="1"/>
  <c r="Z341" i="1"/>
  <c r="BP354" i="1"/>
  <c r="BN354" i="1"/>
  <c r="Z354" i="1"/>
  <c r="Y356" i="1"/>
  <c r="T562" i="1"/>
  <c r="Y364" i="1"/>
  <c r="BP359" i="1"/>
  <c r="BN359" i="1"/>
  <c r="Z359" i="1"/>
  <c r="Z364" i="1" s="1"/>
  <c r="BP363" i="1"/>
  <c r="BN363" i="1"/>
  <c r="Z363" i="1"/>
  <c r="Y365" i="1"/>
  <c r="Y374" i="1"/>
  <c r="BP367" i="1"/>
  <c r="BN367" i="1"/>
  <c r="Z367" i="1"/>
  <c r="Z374" i="1" s="1"/>
  <c r="BP371" i="1"/>
  <c r="BN371" i="1"/>
  <c r="Z371" i="1"/>
  <c r="BP379" i="1"/>
  <c r="BN379" i="1"/>
  <c r="Z379" i="1"/>
  <c r="BP391" i="1"/>
  <c r="BN391" i="1"/>
  <c r="Z391" i="1"/>
  <c r="BP399" i="1"/>
  <c r="BN399" i="1"/>
  <c r="Z399" i="1"/>
  <c r="Y401" i="1"/>
  <c r="Y406" i="1"/>
  <c r="BP403" i="1"/>
  <c r="BN403" i="1"/>
  <c r="Z403" i="1"/>
  <c r="Z406" i="1" s="1"/>
  <c r="Z419" i="1"/>
  <c r="BP417" i="1"/>
  <c r="BN417" i="1"/>
  <c r="Z417" i="1"/>
  <c r="BP427" i="1"/>
  <c r="BN427" i="1"/>
  <c r="Z427" i="1"/>
  <c r="P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Y555" i="1" l="1"/>
  <c r="Y556" i="1"/>
  <c r="Z492" i="1"/>
  <c r="Z400" i="1"/>
  <c r="Z355" i="1"/>
  <c r="Z506" i="1"/>
  <c r="Z476" i="1"/>
  <c r="Z438" i="1"/>
  <c r="Z241" i="1"/>
  <c r="Z155" i="1"/>
  <c r="Z120" i="1"/>
  <c r="Z105" i="1"/>
  <c r="Z87" i="1"/>
  <c r="Z32" i="1"/>
  <c r="Z557" i="1" s="1"/>
  <c r="Z522" i="1"/>
  <c r="Z465" i="1"/>
  <c r="Z444" i="1"/>
  <c r="Z381" i="1"/>
  <c r="Y552" i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<sst xmlns="http://schemas.openxmlformats.org/spreadsheetml/2006/main" count="2497" uniqueCount="905">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</sst>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34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1302</v>
      </c>
      <c r="Y48" s="630">
        <f>IFERROR(IF(X48="",0,CEILING((X48/$H48),1)*$H48),"")</f>
        <v>1306.8000000000002</v>
      </c>
      <c r="Z48" s="36">
        <f>IFERROR(IF(Y48=0,"",ROUNDUP(Y48/H48,0)*0.01898),"")</f>
        <v>2.2965800000000001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1351.4277777777779</v>
      </c>
      <c r="BN48" s="64">
        <f>IFERROR(Y48*I48/H48,"0")</f>
        <v>1356.41</v>
      </c>
      <c r="BO48" s="64">
        <f>IFERROR(1/J48*(X48/H48),"0")</f>
        <v>1.8836805555555554</v>
      </c>
      <c r="BP48" s="64">
        <f>IFERROR(1/J48*(Y48/H48),"0")</f>
        <v>1.8906250000000002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97</v>
      </c>
      <c r="Y51" s="630">
        <f>IFERROR(IF(X51="",0,CEILING((X51/$H51),1)*$H51),"")</f>
        <v>99.9</v>
      </c>
      <c r="Z51" s="36">
        <f>IFERROR(IF(Y51=0,"",ROUNDUP(Y51/H51,0)*0.00902),"")</f>
        <v>0.24354000000000001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101.98108108108107</v>
      </c>
      <c r="BN51" s="64">
        <f>IFERROR(Y51*I51/H51,"0")</f>
        <v>105.03</v>
      </c>
      <c r="BO51" s="64">
        <f>IFERROR(1/J51*(X51/H51),"0")</f>
        <v>0.19860769860769859</v>
      </c>
      <c r="BP51" s="64">
        <f>IFERROR(1/J51*(Y51/H51),"0")</f>
        <v>0.20454545454545456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146.77177177177177</v>
      </c>
      <c r="Y52" s="631">
        <f>IFERROR(Y48/H48,"0")+IFERROR(Y49/H49,"0")+IFERROR(Y50/H50,"0")+IFERROR(Y51/H51,"0")</f>
        <v>148</v>
      </c>
      <c r="Z52" s="631">
        <f>IFERROR(IF(Z48="",0,Z48),"0")+IFERROR(IF(Z49="",0,Z49),"0")+IFERROR(IF(Z50="",0,Z50),"0")+IFERROR(IF(Z51="",0,Z51),"0")</f>
        <v>2.5401199999999999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1399</v>
      </c>
      <c r="Y53" s="631">
        <f>IFERROR(SUM(Y48:Y51),"0")</f>
        <v>1406.7000000000003</v>
      </c>
      <c r="Z53" s="37"/>
      <c r="AA53" s="632"/>
      <c r="AB53" s="632"/>
      <c r="AC53" s="632"/>
    </row>
    <row r="54" spans="1:68" ht="16.5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149</v>
      </c>
      <c r="Y56" s="630">
        <f t="shared" ref="Y56:Y61" si="6">IFERROR(IF(X56="",0,CEILING((X56/$H56),1)*$H56),"")</f>
        <v>156.79999999999998</v>
      </c>
      <c r="Z56" s="36">
        <f>IFERROR(IF(Y56=0,"",ROUNDUP(Y56/H56,0)*0.01898),"")</f>
        <v>0.26572000000000001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154.45446428571429</v>
      </c>
      <c r="BN56" s="64">
        <f t="shared" ref="BN56:BN61" si="8">IFERROR(Y56*I56/H56,"0")</f>
        <v>162.54</v>
      </c>
      <c r="BO56" s="64">
        <f t="shared" ref="BO56:BO61" si="9">IFERROR(1/J56*(X56/H56),"0")</f>
        <v>0.20786830357142858</v>
      </c>
      <c r="BP56" s="64">
        <f t="shared" ref="BP56:BP61" si="10">IFERROR(1/J56*(Y56/H56),"0")</f>
        <v>0.21875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363</v>
      </c>
      <c r="Y57" s="630">
        <f t="shared" si="6"/>
        <v>367.20000000000005</v>
      </c>
      <c r="Z57" s="36">
        <f>IFERROR(IF(Y57=0,"",ROUNDUP(Y57/H57,0)*0.01898),"")</f>
        <v>0.64532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376.78055555555557</v>
      </c>
      <c r="BN57" s="64">
        <f t="shared" si="8"/>
        <v>381.14000000000004</v>
      </c>
      <c r="BO57" s="64">
        <f t="shared" si="9"/>
        <v>0.52517361111111105</v>
      </c>
      <c r="BP57" s="64">
        <f t="shared" si="10"/>
        <v>0.53125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53</v>
      </c>
      <c r="Y59" s="630">
        <f t="shared" si="6"/>
        <v>56</v>
      </c>
      <c r="Z59" s="36">
        <f>IFERROR(IF(Y59=0,"",ROUNDUP(Y59/H59,0)*0.00902),"")</f>
        <v>0.12628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55.517500000000005</v>
      </c>
      <c r="BN59" s="64">
        <f t="shared" si="8"/>
        <v>58.660000000000004</v>
      </c>
      <c r="BO59" s="64">
        <f t="shared" si="9"/>
        <v>0.10037878787878789</v>
      </c>
      <c r="BP59" s="64">
        <f t="shared" si="10"/>
        <v>0.10606060606060606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60.164682539682538</v>
      </c>
      <c r="Y62" s="631">
        <f>IFERROR(Y56/H56,"0")+IFERROR(Y57/H57,"0")+IFERROR(Y58/H58,"0")+IFERROR(Y59/H59,"0")+IFERROR(Y60/H60,"0")+IFERROR(Y61/H61,"0")</f>
        <v>62</v>
      </c>
      <c r="Z62" s="631">
        <f>IFERROR(IF(Z56="",0,Z56),"0")+IFERROR(IF(Z57="",0,Z57),"0")+IFERROR(IF(Z58="",0,Z58),"0")+IFERROR(IF(Z59="",0,Z59),"0")+IFERROR(IF(Z60="",0,Z60),"0")+IFERROR(IF(Z61="",0,Z61),"0")</f>
        <v>1.03732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565</v>
      </c>
      <c r="Y63" s="631">
        <f>IFERROR(SUM(Y56:Y61),"0")</f>
        <v>580</v>
      </c>
      <c r="Z63" s="37"/>
      <c r="AA63" s="632"/>
      <c r="AB63" s="632"/>
      <c r="AC63" s="632"/>
    </row>
    <row r="64" spans="1:68" ht="14.25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233</v>
      </c>
      <c r="Y65" s="630">
        <f>IFERROR(IF(X65="",0,CEILING((X65/$H65),1)*$H65),"")</f>
        <v>237.60000000000002</v>
      </c>
      <c r="Z65" s="36">
        <f>IFERROR(IF(Y65=0,"",ROUNDUP(Y65/H65,0)*0.01898),"")</f>
        <v>0.41755999999999999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241.84537037037038</v>
      </c>
      <c r="BN65" s="64">
        <f>IFERROR(Y65*I65/H65,"0")</f>
        <v>246.62000000000003</v>
      </c>
      <c r="BO65" s="64">
        <f>IFERROR(1/J65*(X65/H65),"0")</f>
        <v>0.33709490740740738</v>
      </c>
      <c r="BP65" s="64">
        <f>IFERROR(1/J65*(Y65/H65),"0")</f>
        <v>0.34375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21.574074074074073</v>
      </c>
      <c r="Y69" s="631">
        <f>IFERROR(Y65/H65,"0")+IFERROR(Y66/H66,"0")+IFERROR(Y67/H67,"0")+IFERROR(Y68/H68,"0")</f>
        <v>22</v>
      </c>
      <c r="Z69" s="631">
        <f>IFERROR(IF(Z65="",0,Z65),"0")+IFERROR(IF(Z66="",0,Z66),"0")+IFERROR(IF(Z67="",0,Z67),"0")+IFERROR(IF(Z68="",0,Z68),"0")</f>
        <v>0.41755999999999999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233</v>
      </c>
      <c r="Y70" s="631">
        <f>IFERROR(SUM(Y65:Y68),"0")</f>
        <v>237.60000000000002</v>
      </c>
      <c r="Z70" s="37"/>
      <c r="AA70" s="632"/>
      <c r="AB70" s="632"/>
      <c r="AC70" s="632"/>
    </row>
    <row r="71" spans="1:68" ht="14.25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282</v>
      </c>
      <c r="Y83" s="630">
        <f>IFERROR(IF(X83="",0,CEILING((X83/$H83),1)*$H83),"")</f>
        <v>291.60000000000002</v>
      </c>
      <c r="Z83" s="36">
        <f>IFERROR(IF(Y83=0,"",ROUNDUP(Y83/H83,0)*0.01898),"")</f>
        <v>0.51246000000000003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292.70555555555558</v>
      </c>
      <c r="BN83" s="64">
        <f>IFERROR(Y83*I83/H83,"0")</f>
        <v>302.67000000000007</v>
      </c>
      <c r="BO83" s="64">
        <f>IFERROR(1/J83*(X83/H83),"0")</f>
        <v>0.4079861111111111</v>
      </c>
      <c r="BP83" s="64">
        <f>IFERROR(1/J83*(Y83/H83),"0")</f>
        <v>0.421875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104</v>
      </c>
      <c r="Y86" s="630">
        <f>IFERROR(IF(X86="",0,CEILING((X86/$H86),1)*$H86),"")</f>
        <v>108</v>
      </c>
      <c r="Z86" s="36">
        <f>IFERROR(IF(Y86=0,"",ROUNDUP(Y86/H86,0)*0.00902),"")</f>
        <v>0.21648000000000001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108.39111111111112</v>
      </c>
      <c r="BN86" s="64">
        <f>IFERROR(Y86*I86/H86,"0")</f>
        <v>112.56</v>
      </c>
      <c r="BO86" s="64">
        <f>IFERROR(1/J86*(X86/H86),"0")</f>
        <v>0.17508417508417509</v>
      </c>
      <c r="BP86" s="64">
        <f>IFERROR(1/J86*(Y86/H86),"0")</f>
        <v>0.18181818181818182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49.222222222222221</v>
      </c>
      <c r="Y87" s="631">
        <f>IFERROR(Y83/H83,"0")+IFERROR(Y84/H84,"0")+IFERROR(Y85/H85,"0")+IFERROR(Y86/H86,"0")</f>
        <v>51</v>
      </c>
      <c r="Z87" s="631">
        <f>IFERROR(IF(Z83="",0,Z83),"0")+IFERROR(IF(Z84="",0,Z84),"0")+IFERROR(IF(Z85="",0,Z85),"0")+IFERROR(IF(Z86="",0,Z86),"0")</f>
        <v>0.72894000000000003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386</v>
      </c>
      <c r="Y88" s="631">
        <f>IFERROR(SUM(Y83:Y86),"0")</f>
        <v>399.6</v>
      </c>
      <c r="Z88" s="37"/>
      <c r="AA88" s="632"/>
      <c r="AB88" s="632"/>
      <c r="AC88" s="632"/>
    </row>
    <row r="89" spans="1:68" ht="14.25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735</v>
      </c>
      <c r="Y90" s="630">
        <f>IFERROR(IF(X90="",0,CEILING((X90/$H90),1)*$H90),"")</f>
        <v>737.1</v>
      </c>
      <c r="Z90" s="36">
        <f>IFERROR(IF(Y90=0,"",ROUNDUP(Y90/H90,0)*0.01898),"")</f>
        <v>1.7271799999999999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779.82592592592584</v>
      </c>
      <c r="BN90" s="64">
        <f>IFERROR(Y90*I90/H90,"0")</f>
        <v>782.05399999999997</v>
      </c>
      <c r="BO90" s="64">
        <f>IFERROR(1/J90*(X90/H90),"0")</f>
        <v>1.4178240740740742</v>
      </c>
      <c r="BP90" s="64">
        <f>IFERROR(1/J90*(Y90/H90),"0")</f>
        <v>1.421875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131</v>
      </c>
      <c r="Y92" s="630">
        <f>IFERROR(IF(X92="",0,CEILING((X92/$H92),1)*$H92),"")</f>
        <v>132.30000000000001</v>
      </c>
      <c r="Z92" s="36">
        <f>IFERROR(IF(Y92=0,"",ROUNDUP(Y92/H92,0)*0.00651),"")</f>
        <v>0.31899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143.22666666666666</v>
      </c>
      <c r="BN92" s="64">
        <f>IFERROR(Y92*I92/H92,"0")</f>
        <v>144.64800000000002</v>
      </c>
      <c r="BO92" s="64">
        <f>IFERROR(1/J92*(X92/H92),"0")</f>
        <v>0.26658526658526654</v>
      </c>
      <c r="BP92" s="64">
        <f>IFERROR(1/J92*(Y92/H92),"0")</f>
        <v>0.26923076923076927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139.25925925925927</v>
      </c>
      <c r="Y94" s="631">
        <f>IFERROR(Y90/H90,"0")+IFERROR(Y91/H91,"0")+IFERROR(Y92/H92,"0")+IFERROR(Y93/H93,"0")</f>
        <v>140</v>
      </c>
      <c r="Z94" s="631">
        <f>IFERROR(IF(Z90="",0,Z90),"0")+IFERROR(IF(Z91="",0,Z91),"0")+IFERROR(IF(Z92="",0,Z92),"0")+IFERROR(IF(Z93="",0,Z93),"0")</f>
        <v>2.04617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866</v>
      </c>
      <c r="Y95" s="631">
        <f>IFERROR(SUM(Y90:Y93),"0")</f>
        <v>869.40000000000009</v>
      </c>
      <c r="Z95" s="37"/>
      <c r="AA95" s="632"/>
      <c r="AB95" s="632"/>
      <c r="AC95" s="632"/>
    </row>
    <row r="96" spans="1:68" ht="16.5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385</v>
      </c>
      <c r="Y98" s="630">
        <f t="shared" ref="Y98:Y104" si="11">IFERROR(IF(X98="",0,CEILING((X98/$H98),1)*$H98),"")</f>
        <v>388.8</v>
      </c>
      <c r="Z98" s="36">
        <f>IFERROR(IF(Y98=0,"",ROUNDUP(Y98/H98,0)*0.01898),"")</f>
        <v>0.68328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399.61574074074076</v>
      </c>
      <c r="BN98" s="64">
        <f t="shared" ref="BN98:BN104" si="13">IFERROR(Y98*I98/H98,"0")</f>
        <v>403.56</v>
      </c>
      <c r="BO98" s="64">
        <f t="shared" ref="BO98:BO104" si="14">IFERROR(1/J98*(X98/H98),"0")</f>
        <v>0.55700231481481477</v>
      </c>
      <c r="BP98" s="64">
        <f t="shared" ref="BP98:BP104" si="15">IFERROR(1/J98*(Y98/H98),"0")</f>
        <v>0.5625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116</v>
      </c>
      <c r="Y103" s="630">
        <f t="shared" si="11"/>
        <v>117</v>
      </c>
      <c r="Z103" s="36">
        <f>IFERROR(IF(Y103=0,"",ROUNDUP(Y103/H103,0)*0.00902),"")</f>
        <v>0.23452000000000001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120.89777777777779</v>
      </c>
      <c r="BN103" s="64">
        <f t="shared" si="13"/>
        <v>121.94</v>
      </c>
      <c r="BO103" s="64">
        <f t="shared" si="14"/>
        <v>0.19528619528619529</v>
      </c>
      <c r="BP103" s="64">
        <f t="shared" si="15"/>
        <v>0.19696969696969696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61.425925925925924</v>
      </c>
      <c r="Y105" s="631">
        <f>IFERROR(Y98/H98,"0")+IFERROR(Y99/H99,"0")+IFERROR(Y100/H100,"0")+IFERROR(Y101/H101,"0")+IFERROR(Y102/H102,"0")+IFERROR(Y103/H103,"0")+IFERROR(Y104/H104,"0")</f>
        <v>62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0.91779999999999995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501</v>
      </c>
      <c r="Y106" s="631">
        <f>IFERROR(SUM(Y98:Y104),"0")</f>
        <v>505.8</v>
      </c>
      <c r="Z106" s="37"/>
      <c r="AA106" s="632"/>
      <c r="AB106" s="632"/>
      <c r="AC106" s="632"/>
    </row>
    <row r="107" spans="1:68" ht="14.25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54</v>
      </c>
      <c r="Y112" s="630">
        <f>IFERROR(IF(X112="",0,CEILING((X112/$H112),1)*$H112),"")</f>
        <v>55.199999999999996</v>
      </c>
      <c r="Z112" s="36">
        <f>IFERROR(IF(Y112=0,"",ROUNDUP(Y112/H112,0)*0.00651),"")</f>
        <v>0.14973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58.05</v>
      </c>
      <c r="BN112" s="64">
        <f>IFERROR(Y112*I112/H112,"0")</f>
        <v>59.34</v>
      </c>
      <c r="BO112" s="64">
        <f>IFERROR(1/J112*(X112/H112),"0")</f>
        <v>0.12362637362637363</v>
      </c>
      <c r="BP112" s="64">
        <f>IFERROR(1/J112*(Y112/H112),"0")</f>
        <v>0.1263736263736264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22.5</v>
      </c>
      <c r="Y113" s="631">
        <f>IFERROR(Y108/H108,"0")+IFERROR(Y109/H109,"0")+IFERROR(Y110/H110,"0")+IFERROR(Y111/H111,"0")+IFERROR(Y112/H112,"0")</f>
        <v>23</v>
      </c>
      <c r="Z113" s="631">
        <f>IFERROR(IF(Z108="",0,Z108),"0")+IFERROR(IF(Z109="",0,Z109),"0")+IFERROR(IF(Z110="",0,Z110),"0")+IFERROR(IF(Z111="",0,Z111),"0")+IFERROR(IF(Z112="",0,Z112),"0")</f>
        <v>0.14973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54</v>
      </c>
      <c r="Y114" s="631">
        <f>IFERROR(SUM(Y108:Y112),"0")</f>
        <v>55.199999999999996</v>
      </c>
      <c r="Z114" s="37"/>
      <c r="AA114" s="632"/>
      <c r="AB114" s="632"/>
      <c r="AC114" s="632"/>
    </row>
    <row r="115" spans="1:68" ht="14.25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532</v>
      </c>
      <c r="Y116" s="630">
        <f>IFERROR(IF(X116="",0,CEILING((X116/$H116),1)*$H116),"")</f>
        <v>534.6</v>
      </c>
      <c r="Z116" s="36">
        <f>IFERROR(IF(Y116=0,"",ROUNDUP(Y116/H116,0)*0.01898),"")</f>
        <v>1.25268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564.05135802469135</v>
      </c>
      <c r="BN116" s="64">
        <f>IFERROR(Y116*I116/H116,"0")</f>
        <v>566.80799999999999</v>
      </c>
      <c r="BO116" s="64">
        <f>IFERROR(1/J116*(X116/H116),"0")</f>
        <v>1.0262345679012346</v>
      </c>
      <c r="BP116" s="64">
        <f>IFERROR(1/J116*(Y116/H116),"0")</f>
        <v>1.03125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328</v>
      </c>
      <c r="Y118" s="630">
        <f>IFERROR(IF(X118="",0,CEILING((X118/$H118),1)*$H118),"")</f>
        <v>329.40000000000003</v>
      </c>
      <c r="Z118" s="36">
        <f>IFERROR(IF(Y118=0,"",ROUNDUP(Y118/H118,0)*0.00651),"")</f>
        <v>0.79422000000000004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358.61333333333329</v>
      </c>
      <c r="BN118" s="64">
        <f>IFERROR(Y118*I118/H118,"0")</f>
        <v>360.14400000000001</v>
      </c>
      <c r="BO118" s="64">
        <f>IFERROR(1/J118*(X118/H118),"0")</f>
        <v>0.66748066748066748</v>
      </c>
      <c r="BP118" s="64">
        <f>IFERROR(1/J118*(Y118/H118),"0")</f>
        <v>0.67032967032967039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187.16049382716048</v>
      </c>
      <c r="Y120" s="631">
        <f>IFERROR(Y116/H116,"0")+IFERROR(Y117/H117,"0")+IFERROR(Y118/H118,"0")+IFERROR(Y119/H119,"0")</f>
        <v>188</v>
      </c>
      <c r="Z120" s="631">
        <f>IFERROR(IF(Z116="",0,Z116),"0")+IFERROR(IF(Z117="",0,Z117),"0")+IFERROR(IF(Z118="",0,Z118),"0")+IFERROR(IF(Z119="",0,Z119),"0")</f>
        <v>2.0468999999999999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860</v>
      </c>
      <c r="Y121" s="631">
        <f>IFERROR(SUM(Y116:Y119),"0")</f>
        <v>864</v>
      </c>
      <c r="Z121" s="37"/>
      <c r="AA121" s="632"/>
      <c r="AB121" s="632"/>
      <c r="AC121" s="632"/>
    </row>
    <row r="122" spans="1:68" ht="14.25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40</v>
      </c>
      <c r="Y163" s="630">
        <f>IFERROR(IF(X163="",0,CEILING((X163/$H163),1)*$H163),"")</f>
        <v>42</v>
      </c>
      <c r="Z163" s="36">
        <f>IFERROR(IF(Y163=0,"",ROUNDUP(Y163/H163,0)*0.01196),"")</f>
        <v>8.3720000000000003E-2</v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42.333333333333336</v>
      </c>
      <c r="BN163" s="64">
        <f>IFERROR(Y163*I163/H163,"0")</f>
        <v>44.449999999999996</v>
      </c>
      <c r="BO163" s="64">
        <f>IFERROR(1/J163*(X163/H163),"0")</f>
        <v>6.4102564102564111E-2</v>
      </c>
      <c r="BP163" s="64">
        <f>IFERROR(1/J163*(Y163/H163),"0")</f>
        <v>6.7307692307692318E-2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6.666666666666667</v>
      </c>
      <c r="Y166" s="631">
        <f>IFERROR(Y163/H163,"0")+IFERROR(Y164/H164,"0")+IFERROR(Y165/H165,"0")</f>
        <v>7</v>
      </c>
      <c r="Z166" s="631">
        <f>IFERROR(IF(Z163="",0,Z163),"0")+IFERROR(IF(Z164="",0,Z164),"0")+IFERROR(IF(Z165="",0,Z165),"0")</f>
        <v>8.3720000000000003E-2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40</v>
      </c>
      <c r="Y167" s="631">
        <f>IFERROR(SUM(Y163:Y165),"0")</f>
        <v>42</v>
      </c>
      <c r="Z167" s="37"/>
      <c r="AA167" s="632"/>
      <c r="AB167" s="632"/>
      <c r="AC167" s="632"/>
    </row>
    <row r="168" spans="1:68" ht="14.25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150</v>
      </c>
      <c r="Y174" s="630">
        <f t="shared" ref="Y174:Y184" si="22">IFERROR(IF(X174="",0,CEILING((X174/$H174),1)*$H174),"")</f>
        <v>150.5</v>
      </c>
      <c r="Z174" s="36">
        <f>IFERROR(IF(Y174=0,"",ROUNDUP(Y174/H174,0)*0.00902),"")</f>
        <v>0.38785999999999998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158.14285714285714</v>
      </c>
      <c r="BN174" s="64">
        <f t="shared" ref="BN174:BN184" si="24">IFERROR(Y174*I174/H174,"0")</f>
        <v>158.67000000000002</v>
      </c>
      <c r="BO174" s="64">
        <f t="shared" ref="BO174:BO184" si="25">IFERROR(1/J174*(X174/H174),"0")</f>
        <v>0.32467532467532467</v>
      </c>
      <c r="BP174" s="64">
        <f t="shared" ref="BP174:BP184" si="26">IFERROR(1/J174*(Y174/H174),"0")</f>
        <v>0.32575757575757575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100</v>
      </c>
      <c r="Y176" s="630">
        <f t="shared" si="22"/>
        <v>101.5</v>
      </c>
      <c r="Z176" s="36">
        <f>IFERROR(IF(Y176=0,"",ROUNDUP(Y176/H176,0)*0.00902),"")</f>
        <v>0.26158000000000003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105.42857142857143</v>
      </c>
      <c r="BN176" s="64">
        <f t="shared" si="24"/>
        <v>107.00999999999999</v>
      </c>
      <c r="BO176" s="64">
        <f t="shared" si="25"/>
        <v>0.21645021645021648</v>
      </c>
      <c r="BP176" s="64">
        <f t="shared" si="26"/>
        <v>0.2196969696969697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100</v>
      </c>
      <c r="Y177" s="630">
        <f t="shared" si="22"/>
        <v>101.5</v>
      </c>
      <c r="Z177" s="36">
        <f>IFERROR(IF(Y177=0,"",ROUNDUP(Y177/H177,0)*0.00902),"")</f>
        <v>0.26158000000000003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105.42857142857143</v>
      </c>
      <c r="BN177" s="64">
        <f t="shared" si="24"/>
        <v>107.00999999999999</v>
      </c>
      <c r="BO177" s="64">
        <f t="shared" si="25"/>
        <v>0.21645021645021648</v>
      </c>
      <c r="BP177" s="64">
        <f t="shared" si="26"/>
        <v>0.2196969696969697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61</v>
      </c>
      <c r="Y179" s="630">
        <f t="shared" si="22"/>
        <v>62.16</v>
      </c>
      <c r="Z179" s="36">
        <f>IFERROR(IF(Y179=0,"",ROUNDUP(Y179/H179,0)*0.00502),"")</f>
        <v>0.18574000000000002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64.63095238095238</v>
      </c>
      <c r="BN179" s="64">
        <f t="shared" si="24"/>
        <v>65.86</v>
      </c>
      <c r="BO179" s="64">
        <f t="shared" si="25"/>
        <v>0.15516890516890519</v>
      </c>
      <c r="BP179" s="64">
        <f t="shared" si="26"/>
        <v>0.15811965811965814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42</v>
      </c>
      <c r="Y184" s="630">
        <f t="shared" si="22"/>
        <v>42</v>
      </c>
      <c r="Z184" s="36">
        <f>IFERROR(IF(Y184=0,"",ROUNDUP(Y184/H184,0)*0.00502),"")</f>
        <v>0.1255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44.500000000000007</v>
      </c>
      <c r="BN184" s="64">
        <f t="shared" si="24"/>
        <v>44.500000000000007</v>
      </c>
      <c r="BO184" s="64">
        <f t="shared" si="25"/>
        <v>0.10683760683760685</v>
      </c>
      <c r="BP184" s="64">
        <f t="shared" si="26"/>
        <v>0.10683760683760685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161.3095238095238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163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1.2222600000000001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453</v>
      </c>
      <c r="Y186" s="631">
        <f>IFERROR(SUM(Y174:Y184),"0")</f>
        <v>457.65999999999997</v>
      </c>
      <c r="Z186" s="37"/>
      <c r="AA186" s="632"/>
      <c r="AB186" s="632"/>
      <c r="AC186" s="632"/>
    </row>
    <row r="187" spans="1:68" ht="14.25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15</v>
      </c>
      <c r="Y219" s="630">
        <f t="shared" ref="Y219:Y232" si="33">IFERROR(IF(X219="",0,CEILING((X219/$H219),1)*$H219),"")</f>
        <v>16.8</v>
      </c>
      <c r="Z219" s="36">
        <f>IFERROR(IF(Y219=0,"",ROUNDUP(Y219/H219,0)*0.00902),"")</f>
        <v>3.6080000000000001E-2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15.892857142857142</v>
      </c>
      <c r="BN219" s="64">
        <f t="shared" ref="BN219:BN232" si="35">IFERROR(Y219*I219/H219,"0")</f>
        <v>17.8</v>
      </c>
      <c r="BO219" s="64">
        <f t="shared" ref="BO219:BO232" si="36">IFERROR(1/J219*(X219/H219),"0")</f>
        <v>2.7056277056277056E-2</v>
      </c>
      <c r="BP219" s="64">
        <f t="shared" ref="BP219:BP232" si="37">IFERROR(1/J219*(Y219/H219),"0")</f>
        <v>3.0303030303030304E-2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18</v>
      </c>
      <c r="Y223" s="630">
        <f t="shared" si="33"/>
        <v>18.900000000000002</v>
      </c>
      <c r="Z223" s="36">
        <f t="shared" ref="Z223:Z228" si="38">IFERROR(IF(Y223=0,"",ROUNDUP(Y223/H223,0)*0.00502),"")</f>
        <v>4.5179999999999998E-2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19.114285714285714</v>
      </c>
      <c r="BN223" s="64">
        <f t="shared" si="35"/>
        <v>20.07</v>
      </c>
      <c r="BO223" s="64">
        <f t="shared" si="36"/>
        <v>3.6630036630036632E-2</v>
      </c>
      <c r="BP223" s="64">
        <f t="shared" si="37"/>
        <v>3.8461538461538464E-2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30</v>
      </c>
      <c r="Y228" s="630">
        <f t="shared" si="33"/>
        <v>30.6</v>
      </c>
      <c r="Z228" s="36">
        <f t="shared" si="38"/>
        <v>8.5339999999999999E-2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32.166666666666664</v>
      </c>
      <c r="BN228" s="64">
        <f t="shared" si="35"/>
        <v>32.81</v>
      </c>
      <c r="BO228" s="64">
        <f t="shared" si="36"/>
        <v>7.122507122507124E-2</v>
      </c>
      <c r="BP228" s="64">
        <f t="shared" si="37"/>
        <v>7.2649572649572655E-2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263</v>
      </c>
      <c r="Y230" s="630">
        <f t="shared" si="33"/>
        <v>264.60000000000002</v>
      </c>
      <c r="Z230" s="36">
        <f>IFERROR(IF(Y230=0,"",ROUNDUP(Y230/H230,0)*0.00502),"")</f>
        <v>0.63251999999999997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275.52380952380952</v>
      </c>
      <c r="BN230" s="64">
        <f t="shared" si="35"/>
        <v>277.20000000000005</v>
      </c>
      <c r="BO230" s="64">
        <f t="shared" si="36"/>
        <v>0.53520553520553527</v>
      </c>
      <c r="BP230" s="64">
        <f t="shared" si="37"/>
        <v>0.53846153846153855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154.04761904761904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156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0.79911999999999994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326</v>
      </c>
      <c r="Y234" s="631">
        <f>IFERROR(SUM(Y219:Y232),"0")</f>
        <v>330.90000000000003</v>
      </c>
      <c r="Z234" s="37"/>
      <c r="AA234" s="632"/>
      <c r="AB234" s="632"/>
      <c r="AC234" s="632"/>
    </row>
    <row r="235" spans="1:68" ht="14.25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4</v>
      </c>
      <c r="Y246" s="63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3.1746031746031744</v>
      </c>
      <c r="Y247" s="631">
        <f>IFERROR(Y244/H244,"0")+IFERROR(Y245/H245,"0")+IFERROR(Y246/H246,"0")</f>
        <v>4</v>
      </c>
      <c r="Z247" s="631">
        <f>IFERROR(IF(Z244="",0,Z244),"0")+IFERROR(IF(Z245="",0,Z245),"0")+IFERROR(IF(Z246="",0,Z246),"0")</f>
        <v>2.3599999999999999E-2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4</v>
      </c>
      <c r="Y248" s="631">
        <f>IFERROR(SUM(Y244:Y246),"0")</f>
        <v>5.04</v>
      </c>
      <c r="Z248" s="37"/>
      <c r="AA248" s="632"/>
      <c r="AB248" s="632"/>
      <c r="AC248" s="632"/>
    </row>
    <row r="249" spans="1:68" ht="14.25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9</v>
      </c>
      <c r="Y250" s="630">
        <f>IFERROR(IF(X250="",0,CEILING((X250/$H250),1)*$H250),"")</f>
        <v>10.08</v>
      </c>
      <c r="Z250" s="36">
        <f>IFERROR(IF(Y250=0,"",ROUNDUP(Y250/H250,0)*0.0059),"")</f>
        <v>4.7199999999999999E-2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10.357142857142856</v>
      </c>
      <c r="BN250" s="64">
        <f>IFERROR(Y250*I250/H250,"0")</f>
        <v>11.6</v>
      </c>
      <c r="BO250" s="64">
        <f>IFERROR(1/J250*(X250/H250),"0")</f>
        <v>3.3068783068783067E-2</v>
      </c>
      <c r="BP250" s="64">
        <f>IFERROR(1/J250*(Y250/H250),"0")</f>
        <v>3.7037037037037035E-2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7.1428571428571432</v>
      </c>
      <c r="Y251" s="631">
        <f>IFERROR(Y250/H250,"0")</f>
        <v>8</v>
      </c>
      <c r="Z251" s="631">
        <f>IFERROR(IF(Z250="",0,Z250),"0")</f>
        <v>4.7199999999999999E-2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9</v>
      </c>
      <c r="Y252" s="631">
        <f>IFERROR(SUM(Y250:Y250),"0")</f>
        <v>10.08</v>
      </c>
      <c r="Z252" s="37"/>
      <c r="AA252" s="632"/>
      <c r="AB252" s="632"/>
      <c r="AC252" s="632"/>
    </row>
    <row r="253" spans="1:68" ht="16.5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84</v>
      </c>
      <c r="Y265" s="630">
        <f t="shared" ref="Y265:Y272" si="39">IFERROR(IF(X265="",0,CEILING((X265/$H265),1)*$H265),"")</f>
        <v>86.4</v>
      </c>
      <c r="Z265" s="36">
        <f>IFERROR(IF(Y265=0,"",ROUNDUP(Y265/H265,0)*0.00902),"")</f>
        <v>0.14432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86.955555555555549</v>
      </c>
      <c r="BN265" s="64">
        <f t="shared" ref="BN265:BN272" si="41">IFERROR(Y265*I265/H265,"0")</f>
        <v>89.44</v>
      </c>
      <c r="BO265" s="64">
        <f t="shared" ref="BO265:BO272" si="42">IFERROR(1/J265*(X265/H265),"0")</f>
        <v>0.11784511784511785</v>
      </c>
      <c r="BP265" s="64">
        <f t="shared" ref="BP265:BP272" si="43">IFERROR(1/J265*(Y265/H265),"0")</f>
        <v>0.12121212121212122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25</v>
      </c>
      <c r="Y266" s="630">
        <f t="shared" si="39"/>
        <v>27</v>
      </c>
      <c r="Z266" s="36">
        <f>IFERROR(IF(Y266=0,"",ROUNDUP(Y266/H266,0)*0.00902),"")</f>
        <v>4.5100000000000001E-2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25.879629629629626</v>
      </c>
      <c r="BN266" s="64">
        <f t="shared" si="41"/>
        <v>27.95</v>
      </c>
      <c r="BO266" s="64">
        <f t="shared" si="42"/>
        <v>3.5072951739618406E-2</v>
      </c>
      <c r="BP266" s="64">
        <f t="shared" si="43"/>
        <v>3.787878787878788E-2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439</v>
      </c>
      <c r="Y267" s="630">
        <f t="shared" si="39"/>
        <v>442.8</v>
      </c>
      <c r="Z267" s="36">
        <f>IFERROR(IF(Y267=0,"",ROUNDUP(Y267/H267,0)*0.00902),"")</f>
        <v>0.73964000000000008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454.44629629629623</v>
      </c>
      <c r="BN267" s="64">
        <f t="shared" si="41"/>
        <v>458.37999999999994</v>
      </c>
      <c r="BO267" s="64">
        <f t="shared" si="42"/>
        <v>0.61588103254769921</v>
      </c>
      <c r="BP267" s="64">
        <f t="shared" si="43"/>
        <v>0.62121212121212122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45</v>
      </c>
      <c r="Y269" s="630">
        <f t="shared" si="39"/>
        <v>45</v>
      </c>
      <c r="Z269" s="36">
        <f>IFERROR(IF(Y269=0,"",ROUNDUP(Y269/H269,0)*0.00502),"")</f>
        <v>0.1255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48.249999999999993</v>
      </c>
      <c r="BN269" s="64">
        <f t="shared" si="41"/>
        <v>48.249999999999993</v>
      </c>
      <c r="BO269" s="64">
        <f t="shared" si="42"/>
        <v>0.10683760683760685</v>
      </c>
      <c r="BP269" s="64">
        <f t="shared" si="43"/>
        <v>0.10683760683760685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23</v>
      </c>
      <c r="Y270" s="630">
        <f t="shared" si="39"/>
        <v>23.400000000000002</v>
      </c>
      <c r="Z270" s="36">
        <f>IFERROR(IF(Y270=0,"",ROUNDUP(Y270/H270,0)*0.00502),"")</f>
        <v>6.5259999999999999E-2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24.277777777777775</v>
      </c>
      <c r="BN270" s="64">
        <f t="shared" si="41"/>
        <v>24.7</v>
      </c>
      <c r="BO270" s="64">
        <f t="shared" si="42"/>
        <v>5.4605887939221276E-2</v>
      </c>
      <c r="BP270" s="64">
        <f t="shared" si="43"/>
        <v>5.5555555555555559E-2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15</v>
      </c>
      <c r="Y272" s="630">
        <f t="shared" si="39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15.833333333333332</v>
      </c>
      <c r="BN272" s="64">
        <f t="shared" si="41"/>
        <v>17.099999999999998</v>
      </c>
      <c r="BO272" s="64">
        <f t="shared" si="42"/>
        <v>3.561253561253562E-2</v>
      </c>
      <c r="BP272" s="64">
        <f t="shared" si="43"/>
        <v>3.8461538461538464E-2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147.59259259259258</v>
      </c>
      <c r="Y273" s="631">
        <f>IFERROR(Y265/H265,"0")+IFERROR(Y266/H266,"0")+IFERROR(Y267/H267,"0")+IFERROR(Y268/H268,"0")+IFERROR(Y269/H269,"0")+IFERROR(Y270/H270,"0")+IFERROR(Y271/H271,"0")+IFERROR(Y272/H272,"0")</f>
        <v>150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1.1650000000000003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631</v>
      </c>
      <c r="Y274" s="631">
        <f>IFERROR(SUM(Y265:Y272),"0")</f>
        <v>640.80000000000007</v>
      </c>
      <c r="Z274" s="37"/>
      <c r="AA274" s="632"/>
      <c r="AB274" s="632"/>
      <c r="AC274" s="632"/>
    </row>
    <row r="275" spans="1:68" ht="14.25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496</v>
      </c>
      <c r="Y276" s="630">
        <f t="shared" ref="Y276:Y287" si="44">IFERROR(IF(X276="",0,CEILING((X276/$H276),1)*$H276),"")</f>
        <v>502.2</v>
      </c>
      <c r="Z276" s="36">
        <f>IFERROR(IF(Y276=0,"",ROUNDUP(Y276/H276,0)*0.01898),"")</f>
        <v>1.17676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526.24987654320989</v>
      </c>
      <c r="BN276" s="64">
        <f t="shared" ref="BN276:BN287" si="46">IFERROR(Y276*I276/H276,"0")</f>
        <v>532.82799999999997</v>
      </c>
      <c r="BO276" s="64">
        <f t="shared" ref="BO276:BO287" si="47">IFERROR(1/J276*(X276/H276),"0")</f>
        <v>0.95679012345679015</v>
      </c>
      <c r="BP276" s="64">
        <f t="shared" ref="BP276:BP287" si="48">IFERROR(1/J276*(Y276/H276),"0")</f>
        <v>0.96875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387</v>
      </c>
      <c r="Y277" s="630">
        <f t="shared" si="44"/>
        <v>388.79999999999995</v>
      </c>
      <c r="Z277" s="36">
        <f>IFERROR(IF(Y277=0,"",ROUNDUP(Y277/H277,0)*0.01898),"")</f>
        <v>0.91104000000000007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409.74222222222227</v>
      </c>
      <c r="BN277" s="64">
        <f t="shared" si="46"/>
        <v>411.64799999999997</v>
      </c>
      <c r="BO277" s="64">
        <f t="shared" si="47"/>
        <v>0.74652777777777779</v>
      </c>
      <c r="BP277" s="64">
        <f t="shared" si="48"/>
        <v>0.75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251</v>
      </c>
      <c r="Y278" s="630">
        <f t="shared" si="44"/>
        <v>252.29999999999998</v>
      </c>
      <c r="Z278" s="36">
        <f>IFERROR(IF(Y278=0,"",ROUNDUP(Y278/H278,0)*0.01898),"")</f>
        <v>0.55042000000000002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265.25218390804605</v>
      </c>
      <c r="BN278" s="64">
        <f t="shared" si="46"/>
        <v>266.62600000000003</v>
      </c>
      <c r="BO278" s="64">
        <f t="shared" si="47"/>
        <v>0.45079022988505751</v>
      </c>
      <c r="BP278" s="64">
        <f t="shared" si="48"/>
        <v>0.453125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534</v>
      </c>
      <c r="Y279" s="630">
        <f t="shared" si="44"/>
        <v>535.19999999999993</v>
      </c>
      <c r="Z279" s="36">
        <f>IFERROR(IF(Y279=0,"",ROUNDUP(Y279/H279,0)*0.00651),"")</f>
        <v>1.45173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594.07500000000005</v>
      </c>
      <c r="BN279" s="64">
        <f t="shared" si="46"/>
        <v>595.40999999999985</v>
      </c>
      <c r="BO279" s="64">
        <f t="shared" si="47"/>
        <v>1.2225274725274726</v>
      </c>
      <c r="BP279" s="64">
        <f t="shared" si="48"/>
        <v>1.2252747252747251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400</v>
      </c>
      <c r="Y282" s="630">
        <f t="shared" si="44"/>
        <v>400.8</v>
      </c>
      <c r="Z282" s="36">
        <f>IFERROR(IF(Y282=0,"",ROUNDUP(Y282/H282,0)*0.00651),"")</f>
        <v>1.08717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442</v>
      </c>
      <c r="BN282" s="64">
        <f t="shared" si="46"/>
        <v>442.88400000000007</v>
      </c>
      <c r="BO282" s="64">
        <f t="shared" si="47"/>
        <v>0.91575091575091594</v>
      </c>
      <c r="BP282" s="64">
        <f t="shared" si="48"/>
        <v>0.91758241758241765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80</v>
      </c>
      <c r="Y284" s="630">
        <f t="shared" si="44"/>
        <v>81.599999999999994</v>
      </c>
      <c r="Z284" s="36">
        <f>IFERROR(IF(Y284=0,"",ROUNDUP(Y284/H284,0)*0.00651),"")</f>
        <v>0.22134000000000001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88.40000000000002</v>
      </c>
      <c r="BN284" s="64">
        <f t="shared" si="46"/>
        <v>90.168000000000006</v>
      </c>
      <c r="BO284" s="64">
        <f t="shared" si="47"/>
        <v>0.18315018315018317</v>
      </c>
      <c r="BP284" s="64">
        <f t="shared" si="48"/>
        <v>0.18681318681318682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60</v>
      </c>
      <c r="Y285" s="630">
        <f t="shared" si="44"/>
        <v>60</v>
      </c>
      <c r="Z285" s="36">
        <f>IFERROR(IF(Y285=0,"",ROUNDUP(Y285/H285,0)*0.00651),"")</f>
        <v>0.16275000000000001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66.300000000000011</v>
      </c>
      <c r="BN285" s="64">
        <f t="shared" si="46"/>
        <v>66.300000000000011</v>
      </c>
      <c r="BO285" s="64">
        <f t="shared" si="47"/>
        <v>0.13736263736263737</v>
      </c>
      <c r="BP285" s="64">
        <f t="shared" si="48"/>
        <v>0.13736263736263737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60</v>
      </c>
      <c r="Y286" s="630">
        <f t="shared" si="44"/>
        <v>60</v>
      </c>
      <c r="Z286" s="36">
        <f>IFERROR(IF(Y286=0,"",ROUNDUP(Y286/H286,0)*0.00651),"")</f>
        <v>0.16275000000000001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66.45</v>
      </c>
      <c r="BN286" s="64">
        <f t="shared" si="46"/>
        <v>66.45</v>
      </c>
      <c r="BO286" s="64">
        <f t="shared" si="47"/>
        <v>0.13736263736263737</v>
      </c>
      <c r="BP286" s="64">
        <f t="shared" si="48"/>
        <v>0.13736263736263737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610.36292039165608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613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5.7239599999999999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2268</v>
      </c>
      <c r="Y289" s="631">
        <f>IFERROR(SUM(Y276:Y287),"0")</f>
        <v>2280.9</v>
      </c>
      <c r="Z289" s="37"/>
      <c r="AA289" s="632"/>
      <c r="AB289" s="632"/>
      <c r="AC289" s="632"/>
    </row>
    <row r="290" spans="1:68" ht="14.25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9</v>
      </c>
      <c r="Y291" s="630">
        <f>IFERROR(IF(X291="",0,CEILING((X291/$H291),1)*$H291),"")</f>
        <v>9.6</v>
      </c>
      <c r="Z291" s="36">
        <f>IFERROR(IF(Y291=0,"",ROUNDUP(Y291/H291,0)*0.00651),"")</f>
        <v>2.6040000000000001E-2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9.9450000000000021</v>
      </c>
      <c r="BN291" s="64">
        <f>IFERROR(Y291*I291/H291,"0")</f>
        <v>10.608000000000001</v>
      </c>
      <c r="BO291" s="64">
        <f>IFERROR(1/J291*(X291/H291),"0")</f>
        <v>2.0604395604395608E-2</v>
      </c>
      <c r="BP291" s="64">
        <f>IFERROR(1/J291*(Y291/H291),"0")</f>
        <v>2.197802197802198E-2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16</v>
      </c>
      <c r="Y292" s="630">
        <f>IFERROR(IF(X292="",0,CEILING((X292/$H292),1)*$H292),"")</f>
        <v>16.8</v>
      </c>
      <c r="Z292" s="36">
        <f>IFERROR(IF(Y292=0,"",ROUNDUP(Y292/H292,0)*0.00651),"")</f>
        <v>4.5569999999999999E-2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17.680000000000003</v>
      </c>
      <c r="BN292" s="64">
        <f>IFERROR(Y292*I292/H292,"0")</f>
        <v>18.564000000000004</v>
      </c>
      <c r="BO292" s="64">
        <f>IFERROR(1/J292*(X292/H292),"0")</f>
        <v>3.6630036630036632E-2</v>
      </c>
      <c r="BP292" s="64">
        <f>IFERROR(1/J292*(Y292/H292),"0")</f>
        <v>3.8461538461538471E-2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10.416666666666668</v>
      </c>
      <c r="Y293" s="631">
        <f>IFERROR(Y291/H291,"0")+IFERROR(Y292/H292,"0")</f>
        <v>11</v>
      </c>
      <c r="Z293" s="631">
        <f>IFERROR(IF(Z291="",0,Z291),"0")+IFERROR(IF(Z292="",0,Z292),"0")</f>
        <v>7.1610000000000007E-2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25</v>
      </c>
      <c r="Y294" s="631">
        <f>IFERROR(SUM(Y291:Y292),"0")</f>
        <v>26.4</v>
      </c>
      <c r="Z294" s="37"/>
      <c r="AA294" s="632"/>
      <c r="AB294" s="632"/>
      <c r="AC294" s="632"/>
    </row>
    <row r="295" spans="1:68" ht="16.5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154</v>
      </c>
      <c r="Y297" s="630">
        <f t="shared" ref="Y297:Y303" si="49">IFERROR(IF(X297="",0,CEILING((X297/$H297),1)*$H297),"")</f>
        <v>162.4</v>
      </c>
      <c r="Z297" s="36">
        <f>IFERROR(IF(Y297=0,"",ROUNDUP(Y297/H297,0)*0.01898),"")</f>
        <v>0.26572000000000001</v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159.44310344827588</v>
      </c>
      <c r="BN297" s="64">
        <f t="shared" ref="BN297:BN303" si="51">IFERROR(Y297*I297/H297,"0")</f>
        <v>168.14000000000001</v>
      </c>
      <c r="BO297" s="64">
        <f t="shared" ref="BO297:BO303" si="52">IFERROR(1/J297*(X297/H297),"0")</f>
        <v>0.20743534482758622</v>
      </c>
      <c r="BP297" s="64">
        <f t="shared" ref="BP297:BP303" si="53">IFERROR(1/J297*(Y297/H297),"0")</f>
        <v>0.21875000000000003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13.275862068965518</v>
      </c>
      <c r="Y304" s="631">
        <f>IFERROR(Y297/H297,"0")+IFERROR(Y298/H298,"0")+IFERROR(Y299/H299,"0")+IFERROR(Y300/H300,"0")+IFERROR(Y301/H301,"0")+IFERROR(Y302/H302,"0")+IFERROR(Y303/H303,"0")</f>
        <v>14.000000000000002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0.26572000000000001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154</v>
      </c>
      <c r="Y305" s="631">
        <f>IFERROR(SUM(Y297:Y303),"0")</f>
        <v>162.4</v>
      </c>
      <c r="Z305" s="37"/>
      <c r="AA305" s="632"/>
      <c r="AB305" s="632"/>
      <c r="AC305" s="632"/>
    </row>
    <row r="306" spans="1:68" ht="14.25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2</v>
      </c>
      <c r="Y311" s="630">
        <f>IFERROR(IF(X311="",0,CEILING((X311/$H311),1)*$H311),"")</f>
        <v>3.6</v>
      </c>
      <c r="Z311" s="36">
        <f>IFERROR(IF(Y311=0,"",ROUNDUP(Y311/H311,0)*0.0059),"")</f>
        <v>1.18E-2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2.1944444444444446</v>
      </c>
      <c r="BN311" s="64">
        <f>IFERROR(Y311*I311/H311,"0")</f>
        <v>3.95</v>
      </c>
      <c r="BO311" s="64">
        <f>IFERROR(1/J311*(X311/H311),"0")</f>
        <v>5.1440329218106996E-3</v>
      </c>
      <c r="BP311" s="64">
        <f>IFERROR(1/J311*(Y311/H311),"0")</f>
        <v>9.2592592592592587E-3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1.1111111111111112</v>
      </c>
      <c r="Y312" s="631">
        <f>IFERROR(Y311/H311,"0")</f>
        <v>2</v>
      </c>
      <c r="Z312" s="631">
        <f>IFERROR(IF(Z311="",0,Z311),"0")</f>
        <v>1.18E-2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2</v>
      </c>
      <c r="Y313" s="631">
        <f>IFERROR(SUM(Y311:Y311),"0")</f>
        <v>3.6</v>
      </c>
      <c r="Z313" s="37"/>
      <c r="AA313" s="632"/>
      <c r="AB313" s="632"/>
      <c r="AC313" s="632"/>
    </row>
    <row r="314" spans="1:68" ht="14.25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20</v>
      </c>
      <c r="Y332" s="630">
        <f>IFERROR(IF(X332="",0,CEILING((X332/$H332),1)*$H332),"")</f>
        <v>21.599999999999998</v>
      </c>
      <c r="Z332" s="36">
        <f>IFERROR(IF(Y332=0,"",ROUNDUP(Y332/H332,0)*0.00651),"")</f>
        <v>5.8590000000000003E-2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22.100000000000005</v>
      </c>
      <c r="BN332" s="64">
        <f>IFERROR(Y332*I332/H332,"0")</f>
        <v>23.868000000000002</v>
      </c>
      <c r="BO332" s="64">
        <f>IFERROR(1/J332*(X332/H332),"0")</f>
        <v>4.5787545787545791E-2</v>
      </c>
      <c r="BP332" s="64">
        <f>IFERROR(1/J332*(Y332/H332),"0")</f>
        <v>4.9450549450549455E-2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20</v>
      </c>
      <c r="Y333" s="630">
        <f>IFERROR(IF(X333="",0,CEILING((X333/$H333),1)*$H333),"")</f>
        <v>21.599999999999998</v>
      </c>
      <c r="Z333" s="36">
        <f>IFERROR(IF(Y333=0,"",ROUNDUP(Y333/H333,0)*0.00651),"")</f>
        <v>5.8590000000000003E-2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21.5</v>
      </c>
      <c r="BN333" s="64">
        <f>IFERROR(Y333*I333/H333,"0")</f>
        <v>23.22</v>
      </c>
      <c r="BO333" s="64">
        <f>IFERROR(1/J333*(X333/H333),"0")</f>
        <v>4.5787545787545791E-2</v>
      </c>
      <c r="BP333" s="64">
        <f>IFERROR(1/J333*(Y333/H333),"0")</f>
        <v>4.9450549450549455E-2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16.666666666666668</v>
      </c>
      <c r="Y334" s="631">
        <f>IFERROR(Y331/H331,"0")+IFERROR(Y332/H332,"0")+IFERROR(Y333/H333,"0")</f>
        <v>18</v>
      </c>
      <c r="Z334" s="631">
        <f>IFERROR(IF(Z331="",0,Z331),"0")+IFERROR(IF(Z332="",0,Z332),"0")+IFERROR(IF(Z333="",0,Z333),"0")</f>
        <v>0.11718000000000001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40</v>
      </c>
      <c r="Y335" s="631">
        <f>IFERROR(SUM(Y331:Y333),"0")</f>
        <v>43.199999999999996</v>
      </c>
      <c r="Z335" s="37"/>
      <c r="AA335" s="632"/>
      <c r="AB335" s="632"/>
      <c r="AC335" s="632"/>
    </row>
    <row r="336" spans="1:68" ht="16.5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259</v>
      </c>
      <c r="Y353" s="630">
        <f>IFERROR(IF(X353="",0,CEILING((X353/$H353),1)*$H353),"")</f>
        <v>265.2</v>
      </c>
      <c r="Z353" s="36">
        <f>IFERROR(IF(Y353=0,"",ROUNDUP(Y353/H353,0)*0.01898),"")</f>
        <v>0.64532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272.61410256410261</v>
      </c>
      <c r="BN353" s="64">
        <f>IFERROR(Y353*I353/H353,"0")</f>
        <v>279.14</v>
      </c>
      <c r="BO353" s="64">
        <f>IFERROR(1/J353*(X353/H353),"0")</f>
        <v>0.51883012820512819</v>
      </c>
      <c r="BP353" s="64">
        <f>IFERROR(1/J353*(Y353/H353),"0")</f>
        <v>0.53125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33.205128205128204</v>
      </c>
      <c r="Y355" s="631">
        <f>IFERROR(Y352/H352,"0")+IFERROR(Y353/H353,"0")+IFERROR(Y354/H354,"0")</f>
        <v>34</v>
      </c>
      <c r="Z355" s="631">
        <f>IFERROR(IF(Z352="",0,Z352),"0")+IFERROR(IF(Z353="",0,Z353),"0")+IFERROR(IF(Z354="",0,Z354),"0")</f>
        <v>0.64532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259</v>
      </c>
      <c r="Y356" s="631">
        <f>IFERROR(SUM(Y352:Y354),"0")</f>
        <v>265.2</v>
      </c>
      <c r="Z356" s="37"/>
      <c r="AA356" s="632"/>
      <c r="AB356" s="632"/>
      <c r="AC356" s="632"/>
    </row>
    <row r="357" spans="1:68" ht="16.5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45</v>
      </c>
      <c r="Y368" s="630">
        <f t="shared" si="54"/>
        <v>46.2</v>
      </c>
      <c r="Z368" s="36">
        <f>IFERROR(IF(Y368=0,"",ROUNDUP(Y368/H368,0)*0.00902),"")</f>
        <v>9.9220000000000003E-2</v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47.678571428571423</v>
      </c>
      <c r="BN368" s="64">
        <f t="shared" si="56"/>
        <v>48.95</v>
      </c>
      <c r="BO368" s="64">
        <f t="shared" si="57"/>
        <v>8.1168831168831168E-2</v>
      </c>
      <c r="BP368" s="64">
        <f t="shared" si="58"/>
        <v>8.3333333333333343E-2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10.714285714285714</v>
      </c>
      <c r="Y374" s="631">
        <f>IFERROR(Y367/H367,"0")+IFERROR(Y368/H368,"0")+IFERROR(Y369/H369,"0")+IFERROR(Y370/H370,"0")+IFERROR(Y371/H371,"0")+IFERROR(Y372/H372,"0")+IFERROR(Y373/H373,"0")</f>
        <v>11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9.9220000000000003E-2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45</v>
      </c>
      <c r="Y375" s="631">
        <f>IFERROR(SUM(Y367:Y373),"0")</f>
        <v>46.2</v>
      </c>
      <c r="Z375" s="37"/>
      <c r="AA375" s="632"/>
      <c r="AB375" s="632"/>
      <c r="AC375" s="632"/>
    </row>
    <row r="376" spans="1:68" ht="14.25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960</v>
      </c>
      <c r="Y385" s="630">
        <f>IFERROR(IF(X385="",0,CEILING((X385/$H385),1)*$H385),"")</f>
        <v>967.19999999999993</v>
      </c>
      <c r="Z385" s="36">
        <f>IFERROR(IF(Y385=0,"",ROUNDUP(Y385/H385,0)*0.01898),"")</f>
        <v>2.3535200000000001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1020.8000000000001</v>
      </c>
      <c r="BN385" s="64">
        <f>IFERROR(Y385*I385/H385,"0")</f>
        <v>1028.4559999999999</v>
      </c>
      <c r="BO385" s="64">
        <f>IFERROR(1/J385*(X385/H385),"0")</f>
        <v>1.9230769230769231</v>
      </c>
      <c r="BP385" s="64">
        <f>IFERROR(1/J385*(Y385/H385),"0")</f>
        <v>1.9375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75</v>
      </c>
      <c r="Y386" s="630">
        <f>IFERROR(IF(X386="",0,CEILING((X386/$H386),1)*$H386),"")</f>
        <v>75.600000000000009</v>
      </c>
      <c r="Z386" s="36">
        <f>IFERROR(IF(Y386=0,"",ROUNDUP(Y386/H386,0)*0.01898),"")</f>
        <v>0.17082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79.410714285714278</v>
      </c>
      <c r="BN386" s="64">
        <f>IFERROR(Y386*I386/H386,"0")</f>
        <v>80.046000000000006</v>
      </c>
      <c r="BO386" s="64">
        <f>IFERROR(1/J386*(X386/H386),"0")</f>
        <v>0.13950892857142858</v>
      </c>
      <c r="BP386" s="64">
        <f>IFERROR(1/J386*(Y386/H386),"0")</f>
        <v>0.140625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132.00549450549451</v>
      </c>
      <c r="Y387" s="631">
        <f>IFERROR(Y384/H384,"0")+IFERROR(Y385/H385,"0")+IFERROR(Y386/H386,"0")</f>
        <v>133</v>
      </c>
      <c r="Z387" s="631">
        <f>IFERROR(IF(Z384="",0,Z384),"0")+IFERROR(IF(Z385="",0,Z385),"0")+IFERROR(IF(Z386="",0,Z386),"0")</f>
        <v>2.52434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1035</v>
      </c>
      <c r="Y388" s="631">
        <f>IFERROR(SUM(Y384:Y386),"0")</f>
        <v>1042.8</v>
      </c>
      <c r="Z388" s="37"/>
      <c r="AA388" s="632"/>
      <c r="AB388" s="632"/>
      <c r="AC388" s="632"/>
    </row>
    <row r="389" spans="1:68" ht="14.25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13</v>
      </c>
      <c r="Y403" s="630">
        <f>IFERROR(IF(X403="",0,CEILING((X403/$H403),1)*$H403),"")</f>
        <v>15</v>
      </c>
      <c r="Z403" s="36">
        <f>IFERROR(IF(Y403=0,"",ROUNDUP(Y403/H403,0)*0.0045),"")</f>
        <v>2.2499999999999999E-2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13.953333333333333</v>
      </c>
      <c r="BN403" s="64">
        <f>IFERROR(Y403*I403/H403,"0")</f>
        <v>16.100000000000001</v>
      </c>
      <c r="BO403" s="64">
        <f>IFERROR(1/J403*(X403/H403),"0")</f>
        <v>1.9345238095238092E-2</v>
      </c>
      <c r="BP403" s="64">
        <f>IFERROR(1/J403*(Y403/H403),"0")</f>
        <v>2.2321428571428568E-2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4.333333333333333</v>
      </c>
      <c r="Y406" s="631">
        <f>IFERROR(Y403/H403,"0")+IFERROR(Y404/H404,"0")+IFERROR(Y405/H405,"0")</f>
        <v>5</v>
      </c>
      <c r="Z406" s="631">
        <f>IFERROR(IF(Z403="",0,Z403),"0")+IFERROR(IF(Z404="",0,Z404),"0")+IFERROR(IF(Z405="",0,Z405),"0")</f>
        <v>2.2499999999999999E-2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13</v>
      </c>
      <c r="Y407" s="631">
        <f>IFERROR(SUM(Y403:Y405),"0")</f>
        <v>15</v>
      </c>
      <c r="Z407" s="37"/>
      <c r="AA407" s="632"/>
      <c r="AB407" s="632"/>
      <c r="AC407" s="632"/>
    </row>
    <row r="408" spans="1:68" ht="16.5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9</v>
      </c>
      <c r="Y418" s="630">
        <f>IFERROR(IF(X418="",0,CEILING((X418/$H418),1)*$H418),"")</f>
        <v>10.5</v>
      </c>
      <c r="Z418" s="36">
        <f>IFERROR(IF(Y418=0,"",ROUNDUP(Y418/H418,0)*0.00651),"")</f>
        <v>3.2550000000000003E-2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10.028571428571427</v>
      </c>
      <c r="BN418" s="64">
        <f>IFERROR(Y418*I418/H418,"0")</f>
        <v>11.7</v>
      </c>
      <c r="BO418" s="64">
        <f>IFERROR(1/J418*(X418/H418),"0")</f>
        <v>2.3547880690737835E-2</v>
      </c>
      <c r="BP418" s="64">
        <f>IFERROR(1/J418*(Y418/H418),"0")</f>
        <v>2.7472527472527476E-2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4.2857142857142856</v>
      </c>
      <c r="Y419" s="631">
        <f>IFERROR(Y416/H416,"0")+IFERROR(Y417/H417,"0")+IFERROR(Y418/H418,"0")</f>
        <v>5</v>
      </c>
      <c r="Z419" s="631">
        <f>IFERROR(IF(Z416="",0,Z416),"0")+IFERROR(IF(Z417="",0,Z417),"0")+IFERROR(IF(Z418="",0,Z418),"0")</f>
        <v>3.2550000000000003E-2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9</v>
      </c>
      <c r="Y420" s="631">
        <f>IFERROR(SUM(Y416:Y418),"0")</f>
        <v>10.5</v>
      </c>
      <c r="Z420" s="37"/>
      <c r="AA420" s="632"/>
      <c r="AB420" s="632"/>
      <c r="AC420" s="632"/>
    </row>
    <row r="421" spans="1:68" ht="27.75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746</v>
      </c>
      <c r="Y425" s="630">
        <f t="shared" si="59"/>
        <v>750</v>
      </c>
      <c r="Z425" s="36">
        <f>IFERROR(IF(Y425=0,"",ROUNDUP(Y425/H425,0)*0.02175),"")</f>
        <v>1.0874999999999999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769.37466666666671</v>
      </c>
      <c r="BN425" s="64">
        <f t="shared" si="61"/>
        <v>773.5</v>
      </c>
      <c r="BO425" s="64">
        <f t="shared" si="62"/>
        <v>1.036111111111111</v>
      </c>
      <c r="BP425" s="64">
        <f t="shared" si="63"/>
        <v>1.0416666666666665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829</v>
      </c>
      <c r="Y426" s="630">
        <f t="shared" si="59"/>
        <v>840</v>
      </c>
      <c r="Z426" s="36">
        <f>IFERROR(IF(Y426=0,"",ROUNDUP(Y426/H426,0)*0.02175),"")</f>
        <v>1.218</v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854.97533333333342</v>
      </c>
      <c r="BN426" s="64">
        <f t="shared" si="61"/>
        <v>866.32</v>
      </c>
      <c r="BO426" s="64">
        <f t="shared" si="62"/>
        <v>1.1513888888888888</v>
      </c>
      <c r="BP426" s="64">
        <f t="shared" si="63"/>
        <v>1.1666666666666665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684</v>
      </c>
      <c r="Y427" s="630">
        <f t="shared" si="59"/>
        <v>690</v>
      </c>
      <c r="Z427" s="36">
        <f>IFERROR(IF(Y427=0,"",ROUNDUP(Y427/H427,0)*0.02175),"")</f>
        <v>1.0004999999999999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705.43200000000002</v>
      </c>
      <c r="BN427" s="64">
        <f t="shared" si="61"/>
        <v>711.62000000000012</v>
      </c>
      <c r="BO427" s="64">
        <f t="shared" si="62"/>
        <v>0.95</v>
      </c>
      <c r="BP427" s="64">
        <f t="shared" si="63"/>
        <v>0.95833333333333326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593</v>
      </c>
      <c r="Y428" s="630">
        <f t="shared" si="59"/>
        <v>600</v>
      </c>
      <c r="Z428" s="36">
        <f>IFERROR(IF(Y428=0,"",ROUNDUP(Y428/H428,0)*0.02175),"")</f>
        <v>0.86999999999999988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611.58066666666673</v>
      </c>
      <c r="BN428" s="64">
        <f t="shared" si="61"/>
        <v>618.79999999999995</v>
      </c>
      <c r="BO428" s="64">
        <f t="shared" si="62"/>
        <v>0.82361111111111107</v>
      </c>
      <c r="BP428" s="64">
        <f t="shared" si="63"/>
        <v>0.83333333333333326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190.13333333333333</v>
      </c>
      <c r="Y432" s="631">
        <f>IFERROR(Y424/H424,"0")+IFERROR(Y425/H425,"0")+IFERROR(Y426/H426,"0")+IFERROR(Y427/H427,"0")+IFERROR(Y428/H428,"0")+IFERROR(Y429/H429,"0")+IFERROR(Y430/H430,"0")+IFERROR(Y431/H431,"0")</f>
        <v>192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4.1760000000000002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2852</v>
      </c>
      <c r="Y433" s="631">
        <f>IFERROR(SUM(Y424:Y431),"0")</f>
        <v>2880</v>
      </c>
      <c r="Z433" s="37"/>
      <c r="AA433" s="632"/>
      <c r="AB433" s="632"/>
      <c r="AC433" s="632"/>
    </row>
    <row r="434" spans="1:68" ht="14.25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1910</v>
      </c>
      <c r="Y435" s="630">
        <f>IFERROR(IF(X435="",0,CEILING((X435/$H435),1)*$H435),"")</f>
        <v>1920</v>
      </c>
      <c r="Z435" s="36">
        <f>IFERROR(IF(Y435=0,"",ROUNDUP(Y435/H435,0)*0.02175),"")</f>
        <v>2.7839999999999998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1969.8466666666668</v>
      </c>
      <c r="BN435" s="64">
        <f>IFERROR(Y435*I435/H435,"0")</f>
        <v>1980.16</v>
      </c>
      <c r="BO435" s="64">
        <f>IFERROR(1/J435*(X435/H435),"0")</f>
        <v>2.6527777777777777</v>
      </c>
      <c r="BP435" s="64">
        <f>IFERROR(1/J435*(Y435/H435),"0")</f>
        <v>2.6666666666666665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127.33333333333333</v>
      </c>
      <c r="Y438" s="631">
        <f>IFERROR(Y435/H435,"0")+IFERROR(Y436/H436,"0")+IFERROR(Y437/H437,"0")</f>
        <v>128</v>
      </c>
      <c r="Z438" s="631">
        <f>IFERROR(IF(Z435="",0,Z435),"0")+IFERROR(IF(Z436="",0,Z436),"0")+IFERROR(IF(Z437="",0,Z437),"0")</f>
        <v>2.7839999999999998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1910</v>
      </c>
      <c r="Y439" s="631">
        <f>IFERROR(SUM(Y435:Y437),"0")</f>
        <v>1920</v>
      </c>
      <c r="Z439" s="37"/>
      <c r="AA439" s="632"/>
      <c r="AB439" s="632"/>
      <c r="AC439" s="632"/>
    </row>
    <row r="440" spans="1:68" ht="14.25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50</v>
      </c>
      <c r="Y448" s="630">
        <f>IFERROR(IF(X448="",0,CEILING((X448/$H448),1)*$H448),"")</f>
        <v>54</v>
      </c>
      <c r="Z448" s="36">
        <f>IFERROR(IF(Y448=0,"",ROUNDUP(Y448/H448,0)*0.01898),"")</f>
        <v>0.11388000000000001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52.74444444444444</v>
      </c>
      <c r="BN448" s="64">
        <f>IFERROR(Y448*I448/H448,"0")</f>
        <v>56.963999999999992</v>
      </c>
      <c r="BO448" s="64">
        <f>IFERROR(1/J448*(X448/H448),"0")</f>
        <v>8.6805555555555552E-2</v>
      </c>
      <c r="BP448" s="64">
        <f>IFERROR(1/J448*(Y448/H448),"0")</f>
        <v>9.375E-2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5.5555555555555554</v>
      </c>
      <c r="Y449" s="631">
        <f>IFERROR(Y447/H447,"0")+IFERROR(Y448/H448,"0")</f>
        <v>6</v>
      </c>
      <c r="Z449" s="631">
        <f>IFERROR(IF(Z447="",0,Z447),"0")+IFERROR(IF(Z448="",0,Z448),"0")</f>
        <v>0.11388000000000001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50</v>
      </c>
      <c r="Y450" s="631">
        <f>IFERROR(SUM(Y447:Y448),"0")</f>
        <v>54</v>
      </c>
      <c r="Z450" s="37"/>
      <c r="AA450" s="632"/>
      <c r="AB450" s="632"/>
      <c r="AC450" s="632"/>
    </row>
    <row r="451" spans="1:68" ht="16.5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740</v>
      </c>
      <c r="Y462" s="630">
        <f>IFERROR(IF(X462="",0,CEILING((X462/$H462),1)*$H462),"")</f>
        <v>747</v>
      </c>
      <c r="Z462" s="36">
        <f>IFERROR(IF(Y462=0,"",ROUNDUP(Y462/H462,0)*0.01898),"")</f>
        <v>1.57534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780.61777777777775</v>
      </c>
      <c r="BN462" s="64">
        <f>IFERROR(Y462*I462/H462,"0")</f>
        <v>788.00199999999995</v>
      </c>
      <c r="BO462" s="64">
        <f>IFERROR(1/J462*(X462/H462),"0")</f>
        <v>1.2847222222222223</v>
      </c>
      <c r="BP462" s="64">
        <f>IFERROR(1/J462*(Y462/H462),"0")</f>
        <v>1.296875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4</v>
      </c>
      <c r="Y463" s="630">
        <f>IFERROR(IF(X463="",0,CEILING((X463/$H463),1)*$H463),"")</f>
        <v>4.8</v>
      </c>
      <c r="Z463" s="36">
        <f>IFERROR(IF(Y463=0,"",ROUNDUP(Y463/H463,0)*0.00651),"")</f>
        <v>1.302E-2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4.4400000000000004</v>
      </c>
      <c r="BN463" s="64">
        <f>IFERROR(Y463*I463/H463,"0")</f>
        <v>5.3280000000000003</v>
      </c>
      <c r="BO463" s="64">
        <f>IFERROR(1/J463*(X463/H463),"0")</f>
        <v>9.1575091575091579E-3</v>
      </c>
      <c r="BP463" s="64">
        <f>IFERROR(1/J463*(Y463/H463),"0")</f>
        <v>1.098901098901099E-2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83.8888888888889</v>
      </c>
      <c r="Y465" s="631">
        <f>IFERROR(Y462/H462,"0")+IFERROR(Y463/H463,"0")+IFERROR(Y464/H464,"0")</f>
        <v>85</v>
      </c>
      <c r="Z465" s="631">
        <f>IFERROR(IF(Z462="",0,Z462),"0")+IFERROR(IF(Z463="",0,Z463),"0")+IFERROR(IF(Z464="",0,Z464),"0")</f>
        <v>1.58836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744</v>
      </c>
      <c r="Y466" s="631">
        <f>IFERROR(SUM(Y462:Y464),"0")</f>
        <v>751.8</v>
      </c>
      <c r="Z466" s="37"/>
      <c r="AA466" s="632"/>
      <c r="AB466" s="632"/>
      <c r="AC466" s="632"/>
    </row>
    <row r="467" spans="1:68" ht="27.75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481</v>
      </c>
      <c r="Y500" s="630">
        <f t="shared" si="69"/>
        <v>485.76000000000005</v>
      </c>
      <c r="Z500" s="36">
        <f t="shared" si="70"/>
        <v>1.10032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512.88446969696963</v>
      </c>
      <c r="BN500" s="64">
        <f t="shared" si="72"/>
        <v>517.96</v>
      </c>
      <c r="BO500" s="64">
        <f t="shared" si="73"/>
        <v>0.87594696969696972</v>
      </c>
      <c r="BP500" s="64">
        <f t="shared" si="74"/>
        <v>0.88461538461538469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711</v>
      </c>
      <c r="Y502" s="630">
        <f t="shared" si="69"/>
        <v>712.80000000000007</v>
      </c>
      <c r="Z502" s="36">
        <f t="shared" si="70"/>
        <v>1.6146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758.13068181818176</v>
      </c>
      <c r="BN502" s="64">
        <f t="shared" si="72"/>
        <v>760.05000000000007</v>
      </c>
      <c r="BO502" s="64">
        <f t="shared" si="73"/>
        <v>1.294798951048951</v>
      </c>
      <c r="BP502" s="64">
        <f t="shared" si="74"/>
        <v>1.2980769230769231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225.75757575757575</v>
      </c>
      <c r="Y506" s="631">
        <f>IFERROR(Y497/H497,"0")+IFERROR(Y498/H498,"0")+IFERROR(Y499/H499,"0")+IFERROR(Y500/H500,"0")+IFERROR(Y501/H501,"0")+IFERROR(Y502/H502,"0")+IFERROR(Y503/H503,"0")+IFERROR(Y504/H504,"0")+IFERROR(Y505/H505,"0")</f>
        <v>227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2.7149200000000002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1192</v>
      </c>
      <c r="Y507" s="631">
        <f>IFERROR(SUM(Y497:Y505),"0")</f>
        <v>1198.5600000000002</v>
      </c>
      <c r="Z507" s="37"/>
      <c r="AA507" s="632"/>
      <c r="AB507" s="632"/>
      <c r="AC507" s="632"/>
    </row>
    <row r="508" spans="1:68" ht="14.25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292</v>
      </c>
      <c r="Y509" s="630">
        <f>IFERROR(IF(X509="",0,CEILING((X509/$H509),1)*$H509),"")</f>
        <v>295.68</v>
      </c>
      <c r="Z509" s="36">
        <f>IFERROR(IF(Y509=0,"",ROUNDUP(Y509/H509,0)*0.01196),"")</f>
        <v>0.66976000000000002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311.35606060606062</v>
      </c>
      <c r="BN509" s="64">
        <f>IFERROR(Y509*I509/H509,"0")</f>
        <v>315.27999999999997</v>
      </c>
      <c r="BO509" s="64">
        <f>IFERROR(1/J509*(X509/H509),"0")</f>
        <v>0.5317599067599067</v>
      </c>
      <c r="BP509" s="64">
        <f>IFERROR(1/J509*(Y509/H509),"0")</f>
        <v>0.53846153846153855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55.303030303030297</v>
      </c>
      <c r="Y512" s="631">
        <f>IFERROR(Y509/H509,"0")+IFERROR(Y510/H510,"0")+IFERROR(Y511/H511,"0")</f>
        <v>56</v>
      </c>
      <c r="Z512" s="631">
        <f>IFERROR(IF(Z509="",0,Z509),"0")+IFERROR(IF(Z510="",0,Z510),"0")+IFERROR(IF(Z511="",0,Z511),"0")</f>
        <v>0.66976000000000002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292</v>
      </c>
      <c r="Y513" s="631">
        <f>IFERROR(SUM(Y509:Y511),"0")</f>
        <v>295.68</v>
      </c>
      <c r="Z513" s="37"/>
      <c r="AA513" s="632"/>
      <c r="AB513" s="632"/>
      <c r="AC513" s="632"/>
    </row>
    <row r="514" spans="1:68" ht="14.25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242</v>
      </c>
      <c r="Y516" s="630">
        <f t="shared" si="75"/>
        <v>242.88000000000002</v>
      </c>
      <c r="Z516" s="36">
        <f>IFERROR(IF(Y516=0,"",ROUNDUP(Y516/H516,0)*0.01196),"")</f>
        <v>0.55015999999999998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258.04166666666669</v>
      </c>
      <c r="BN516" s="64">
        <f t="shared" si="77"/>
        <v>258.98</v>
      </c>
      <c r="BO516" s="64">
        <f t="shared" si="78"/>
        <v>0.44070512820512819</v>
      </c>
      <c r="BP516" s="64">
        <f t="shared" si="79"/>
        <v>0.44230769230769235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369</v>
      </c>
      <c r="Y517" s="630">
        <f t="shared" si="75"/>
        <v>369.6</v>
      </c>
      <c r="Z517" s="36">
        <f>IFERROR(IF(Y517=0,"",ROUNDUP(Y517/H517,0)*0.01196),"")</f>
        <v>0.83720000000000006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393.4602272727272</v>
      </c>
      <c r="BN517" s="64">
        <f t="shared" si="77"/>
        <v>394.09999999999997</v>
      </c>
      <c r="BO517" s="64">
        <f t="shared" si="78"/>
        <v>0.67198426573426562</v>
      </c>
      <c r="BP517" s="64">
        <f t="shared" si="79"/>
        <v>0.67307692307692313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115.71969696969695</v>
      </c>
      <c r="Y522" s="631">
        <f>IFERROR(Y515/H515,"0")+IFERROR(Y516/H516,"0")+IFERROR(Y517/H517,"0")+IFERROR(Y518/H518,"0")+IFERROR(Y519/H519,"0")+IFERROR(Y520/H520,"0")+IFERROR(Y521/H521,"0")</f>
        <v>116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1.3873600000000001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611</v>
      </c>
      <c r="Y523" s="631">
        <f>IFERROR(SUM(Y515:Y521),"0")</f>
        <v>612.48</v>
      </c>
      <c r="Z523" s="37"/>
      <c r="AA523" s="632"/>
      <c r="AB523" s="632"/>
      <c r="AC523" s="632"/>
    </row>
    <row r="524" spans="1:68" ht="27.75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20</v>
      </c>
      <c r="Y539" s="630">
        <f>IFERROR(IF(X539="",0,CEILING((X539/$H539),1)*$H539),"")</f>
        <v>27</v>
      </c>
      <c r="Z539" s="36">
        <f>IFERROR(IF(Y539=0,"",ROUNDUP(Y539/H539,0)*0.01898),"")</f>
        <v>5.6940000000000004E-2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21.097777777777779</v>
      </c>
      <c r="BN539" s="64">
        <f>IFERROR(Y539*I539/H539,"0")</f>
        <v>28.481999999999996</v>
      </c>
      <c r="BO539" s="64">
        <f>IFERROR(1/J539*(X539/H539),"0")</f>
        <v>3.4722222222222224E-2</v>
      </c>
      <c r="BP539" s="64">
        <f>IFERROR(1/J539*(Y539/H539),"0")</f>
        <v>4.6875E-2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2.2222222222222223</v>
      </c>
      <c r="Y540" s="631">
        <f>IFERROR(Y539/H539,"0")</f>
        <v>3</v>
      </c>
      <c r="Z540" s="631">
        <f>IFERROR(IF(Z539="",0,Z539),"0")</f>
        <v>5.6940000000000004E-2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20</v>
      </c>
      <c r="Y541" s="631">
        <f>IFERROR(SUM(Y539:Y539),"0")</f>
        <v>27</v>
      </c>
      <c r="Z541" s="37"/>
      <c r="AA541" s="632"/>
      <c r="AB541" s="632"/>
      <c r="AC541" s="632"/>
    </row>
    <row r="542" spans="1:68" ht="14.25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17848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18040.5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18780.948596021542</v>
      </c>
      <c r="Y553" s="631">
        <f>IFERROR(SUM(BN22:BN549),"0")</f>
        <v>18983.325999999997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31</v>
      </c>
      <c r="Y554" s="38">
        <f>ROUNDUP(SUM(BP22:BP549),0)</f>
        <v>31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19555.948596021542</v>
      </c>
      <c r="Y555" s="631">
        <f>GrossWeightTotalR+PalletQtyTotalR*25</f>
        <v>19758.325999999997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2810.3031113666175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2843</v>
      </c>
      <c r="Z556" s="37"/>
      <c r="AA556" s="632"/>
      <c r="AB556" s="632"/>
      <c r="AC556" s="632"/>
    </row>
    <row r="557" spans="1:68" ht="14.25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36.23086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1406.7000000000003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817.6</v>
      </c>
      <c r="F562" s="46">
        <f>IFERROR(Y83*1,"0")+IFERROR(Y84*1,"0")+IFERROR(Y85*1,"0")+IFERROR(Y86*1,"0")+IFERROR(Y90*1,"0")+IFERROR(Y91*1,"0")+IFERROR(Y92*1,"0")+IFERROR(Y93*1,"0")</f>
        <v>1269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1425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499.65999999999997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346.02000000000004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2948.1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166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43.199999999999996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265.2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1104</v>
      </c>
      <c r="U562" s="46">
        <f>IFERROR(Y410*1,"0")+IFERROR(Y411*1,"0")</f>
        <v>0</v>
      </c>
      <c r="V562" s="46">
        <f>IFERROR(Y416*1,"0")+IFERROR(Y417*1,"0")+IFERROR(Y418*1,"0")</f>
        <v>10.5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4854</v>
      </c>
      <c r="X562" s="46">
        <f>IFERROR(Y453*1,"0")+IFERROR(Y454*1,"0")+IFERROR(Y458*1,"0")+IFERROR(Y462*1,"0")+IFERROR(Y463*1,"0")+IFERROR(Y464*1,"0")</f>
        <v>751.8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2106.7200000000003</v>
      </c>
      <c r="AB562" s="46">
        <f>IFERROR(Y527*1,"0")+IFERROR(Y531*1,"0")+IFERROR(Y535*1,"0")+IFERROR(Y539*1,"0")+IFERROR(Y543*1,"0")+IFERROR(Y544*1,"0")</f>
        <v>27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2026-08-21T09:41:44Z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