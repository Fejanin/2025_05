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5 машина Донецк 25,08 + СЫРЫ\"/>
    </mc:Choice>
  </mc:AlternateContent>
  <xr:revisionPtr revIDLastSave="0" documentId="13_ncr:1_{7C241E47-604E-4786-BEB5-EA0DD10561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Y262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Y247" i="1" s="1"/>
  <c r="P245" i="1"/>
  <c r="BP244" i="1"/>
  <c r="BO244" i="1"/>
  <c r="BN244" i="1"/>
  <c r="BM244" i="1"/>
  <c r="Z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86" i="1" s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Y164" i="1"/>
  <c r="Z164" i="1" s="1"/>
  <c r="P164" i="1"/>
  <c r="BP163" i="1"/>
  <c r="BO163" i="1"/>
  <c r="BN163" i="1"/>
  <c r="BM163" i="1"/>
  <c r="Z163" i="1"/>
  <c r="Y163" i="1"/>
  <c r="P163" i="1"/>
  <c r="X160" i="1"/>
  <c r="Y159" i="1"/>
  <c r="X159" i="1"/>
  <c r="BP158" i="1"/>
  <c r="BO158" i="1"/>
  <c r="BN158" i="1"/>
  <c r="BM158" i="1"/>
  <c r="Z158" i="1"/>
  <c r="Z159" i="1" s="1"/>
  <c r="Y158" i="1"/>
  <c r="Y160" i="1" s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5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4" i="1" s="1"/>
  <c r="P142" i="1"/>
  <c r="BP141" i="1"/>
  <c r="BO141" i="1"/>
  <c r="BN141" i="1"/>
  <c r="BM141" i="1"/>
  <c r="Z141" i="1"/>
  <c r="Y141" i="1"/>
  <c r="Y145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BO134" i="1"/>
  <c r="BM134" i="1"/>
  <c r="Y134" i="1"/>
  <c r="Y138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BO128" i="1"/>
  <c r="BM128" i="1"/>
  <c r="Y128" i="1"/>
  <c r="H562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Y114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Y105" i="1" s="1"/>
  <c r="P99" i="1"/>
  <c r="BP98" i="1"/>
  <c r="BO98" i="1"/>
  <c r="BN98" i="1"/>
  <c r="BM98" i="1"/>
  <c r="Z98" i="1"/>
  <c r="Y98" i="1"/>
  <c r="P98" i="1"/>
  <c r="X95" i="1"/>
  <c r="X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Y94" i="1" s="1"/>
  <c r="P90" i="1"/>
  <c r="X88" i="1"/>
  <c r="X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Y88" i="1" s="1"/>
  <c r="P84" i="1"/>
  <c r="BP83" i="1"/>
  <c r="BO83" i="1"/>
  <c r="BN83" i="1"/>
  <c r="BM83" i="1"/>
  <c r="Z83" i="1"/>
  <c r="Y83" i="1"/>
  <c r="P83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Y75" i="1" s="1"/>
  <c r="P73" i="1"/>
  <c r="BP72" i="1"/>
  <c r="BO72" i="1"/>
  <c r="BN72" i="1"/>
  <c r="BM72" i="1"/>
  <c r="Z72" i="1"/>
  <c r="Y72" i="1"/>
  <c r="Y74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3" i="1" s="1"/>
  <c r="P57" i="1"/>
  <c r="BP56" i="1"/>
  <c r="BO56" i="1"/>
  <c r="BN56" i="1"/>
  <c r="BM56" i="1"/>
  <c r="Z56" i="1"/>
  <c r="Y56" i="1"/>
  <c r="P56" i="1"/>
  <c r="X53" i="1"/>
  <c r="X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D562" i="1" s="1"/>
  <c r="P48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4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2" i="1" s="1"/>
  <c r="X24" i="1"/>
  <c r="BP23" i="1"/>
  <c r="BO23" i="1"/>
  <c r="BN23" i="1"/>
  <c r="BM23" i="1"/>
  <c r="Z23" i="1"/>
  <c r="Y23" i="1"/>
  <c r="P23" i="1"/>
  <c r="BO22" i="1"/>
  <c r="X554" i="1" s="1"/>
  <c r="BM22" i="1"/>
  <c r="X553" i="1" s="1"/>
  <c r="X555" i="1" s="1"/>
  <c r="Y22" i="1"/>
  <c r="B562" i="1" s="1"/>
  <c r="P22" i="1"/>
  <c r="H10" i="1"/>
  <c r="A9" i="1"/>
  <c r="A10" i="1" s="1"/>
  <c r="D7" i="1"/>
  <c r="Q6" i="1"/>
  <c r="P2" i="1"/>
  <c r="Z257" i="1" l="1"/>
  <c r="F9" i="1"/>
  <c r="J9" i="1"/>
  <c r="F10" i="1"/>
  <c r="Z22" i="1"/>
  <c r="Z24" i="1" s="1"/>
  <c r="BN22" i="1"/>
  <c r="BP22" i="1"/>
  <c r="X556" i="1"/>
  <c r="Y25" i="1"/>
  <c r="Z28" i="1"/>
  <c r="Z32" i="1" s="1"/>
  <c r="BN28" i="1"/>
  <c r="BP28" i="1"/>
  <c r="Z30" i="1"/>
  <c r="BN30" i="1"/>
  <c r="C562" i="1"/>
  <c r="Z38" i="1"/>
  <c r="BN38" i="1"/>
  <c r="BP38" i="1"/>
  <c r="Z40" i="1"/>
  <c r="Z43" i="1" s="1"/>
  <c r="BN40" i="1"/>
  <c r="Z42" i="1"/>
  <c r="BN42" i="1"/>
  <c r="Y43" i="1"/>
  <c r="Z48" i="1"/>
  <c r="BN48" i="1"/>
  <c r="BP48" i="1"/>
  <c r="Z50" i="1"/>
  <c r="BN50" i="1"/>
  <c r="Y53" i="1"/>
  <c r="E562" i="1"/>
  <c r="Z57" i="1"/>
  <c r="Z62" i="1" s="1"/>
  <c r="BN57" i="1"/>
  <c r="BP57" i="1"/>
  <c r="Z59" i="1"/>
  <c r="BN59" i="1"/>
  <c r="Z61" i="1"/>
  <c r="BN61" i="1"/>
  <c r="Y62" i="1"/>
  <c r="Z65" i="1"/>
  <c r="Z69" i="1" s="1"/>
  <c r="BN65" i="1"/>
  <c r="BP65" i="1"/>
  <c r="Z67" i="1"/>
  <c r="BN67" i="1"/>
  <c r="Y70" i="1"/>
  <c r="Z73" i="1"/>
  <c r="Z74" i="1" s="1"/>
  <c r="BN73" i="1"/>
  <c r="BP73" i="1"/>
  <c r="Z77" i="1"/>
  <c r="Z79" i="1" s="1"/>
  <c r="BN77" i="1"/>
  <c r="BP77" i="1"/>
  <c r="Y80" i="1"/>
  <c r="F562" i="1"/>
  <c r="Z84" i="1"/>
  <c r="Z87" i="1" s="1"/>
  <c r="BN84" i="1"/>
  <c r="BP84" i="1"/>
  <c r="Z86" i="1"/>
  <c r="BN86" i="1"/>
  <c r="Y87" i="1"/>
  <c r="Z90" i="1"/>
  <c r="Z94" i="1" s="1"/>
  <c r="BN90" i="1"/>
  <c r="BP90" i="1"/>
  <c r="Z92" i="1"/>
  <c r="BN92" i="1"/>
  <c r="Y95" i="1"/>
  <c r="G562" i="1"/>
  <c r="Z99" i="1"/>
  <c r="Z105" i="1" s="1"/>
  <c r="BN99" i="1"/>
  <c r="BP99" i="1"/>
  <c r="Z101" i="1"/>
  <c r="BN101" i="1"/>
  <c r="Z103" i="1"/>
  <c r="BN103" i="1"/>
  <c r="Y106" i="1"/>
  <c r="Z109" i="1"/>
  <c r="BN109" i="1"/>
  <c r="BP109" i="1"/>
  <c r="Z111" i="1"/>
  <c r="Z113" i="1" s="1"/>
  <c r="BN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BN128" i="1"/>
  <c r="BP128" i="1"/>
  <c r="Z130" i="1"/>
  <c r="BN130" i="1"/>
  <c r="Y131" i="1"/>
  <c r="Z134" i="1"/>
  <c r="BN134" i="1"/>
  <c r="BP134" i="1"/>
  <c r="Z136" i="1"/>
  <c r="BN136" i="1"/>
  <c r="Y139" i="1"/>
  <c r="Z142" i="1"/>
  <c r="Z144" i="1" s="1"/>
  <c r="BN142" i="1"/>
  <c r="BP142" i="1"/>
  <c r="I562" i="1"/>
  <c r="Z149" i="1"/>
  <c r="BN149" i="1"/>
  <c r="BP149" i="1"/>
  <c r="Z151" i="1"/>
  <c r="Z155" i="1" s="1"/>
  <c r="BN151" i="1"/>
  <c r="Z153" i="1"/>
  <c r="BN153" i="1"/>
  <c r="Y156" i="1"/>
  <c r="J562" i="1"/>
  <c r="Y167" i="1"/>
  <c r="Y171" i="1"/>
  <c r="BP176" i="1"/>
  <c r="BN176" i="1"/>
  <c r="Z176" i="1"/>
  <c r="BP180" i="1"/>
  <c r="BN180" i="1"/>
  <c r="Z180" i="1"/>
  <c r="BP184" i="1"/>
  <c r="BN184" i="1"/>
  <c r="Z184" i="1"/>
  <c r="Y191" i="1"/>
  <c r="BP188" i="1"/>
  <c r="BN188" i="1"/>
  <c r="Z188" i="1"/>
  <c r="BP206" i="1"/>
  <c r="BN206" i="1"/>
  <c r="Z206" i="1"/>
  <c r="BP210" i="1"/>
  <c r="BN210" i="1"/>
  <c r="Z210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BP256" i="1"/>
  <c r="BN256" i="1"/>
  <c r="Z256" i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Z288" i="1" s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Z406" i="1" s="1"/>
  <c r="Y407" i="1"/>
  <c r="Z419" i="1"/>
  <c r="BP417" i="1"/>
  <c r="BN417" i="1"/>
  <c r="Z417" i="1"/>
  <c r="Y419" i="1"/>
  <c r="H9" i="1"/>
  <c r="Y24" i="1"/>
  <c r="Y52" i="1"/>
  <c r="Y132" i="1"/>
  <c r="Z166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Z211" i="1" s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Z241" i="1"/>
  <c r="BP237" i="1"/>
  <c r="BN237" i="1"/>
  <c r="Z237" i="1"/>
  <c r="Y241" i="1"/>
  <c r="BP245" i="1"/>
  <c r="BN245" i="1"/>
  <c r="Z245" i="1"/>
  <c r="Z247" i="1" s="1"/>
  <c r="BP266" i="1"/>
  <c r="BN266" i="1"/>
  <c r="Z266" i="1"/>
  <c r="BP270" i="1"/>
  <c r="BN270" i="1"/>
  <c r="Z270" i="1"/>
  <c r="Z273" i="1" s="1"/>
  <c r="BP323" i="1"/>
  <c r="BN323" i="1"/>
  <c r="Z323" i="1"/>
  <c r="Z327" i="1" s="1"/>
  <c r="P562" i="1"/>
  <c r="Y327" i="1"/>
  <c r="BP332" i="1"/>
  <c r="BN332" i="1"/>
  <c r="Z332" i="1"/>
  <c r="Z334" i="1" s="1"/>
  <c r="Y334" i="1"/>
  <c r="BP354" i="1"/>
  <c r="BN354" i="1"/>
  <c r="Z354" i="1"/>
  <c r="Y356" i="1"/>
  <c r="T562" i="1"/>
  <c r="Y364" i="1"/>
  <c r="BP359" i="1"/>
  <c r="BN359" i="1"/>
  <c r="Z359" i="1"/>
  <c r="Z364" i="1" s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04" i="1" s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Z381" i="1" s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Z432" i="1" s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Z492" i="1" s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Z476" i="1" s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06" i="1" l="1"/>
  <c r="Z374" i="1"/>
  <c r="Z233" i="1"/>
  <c r="Z191" i="1"/>
  <c r="Y552" i="1"/>
  <c r="Y554" i="1"/>
  <c r="Z512" i="1"/>
  <c r="Z522" i="1"/>
  <c r="Z465" i="1"/>
  <c r="Z444" i="1"/>
  <c r="Z185" i="1"/>
  <c r="Y556" i="1"/>
  <c r="Z138" i="1"/>
  <c r="Z131" i="1"/>
  <c r="Z557" i="1" s="1"/>
  <c r="Z52" i="1"/>
  <c r="Y553" i="1"/>
  <c r="Y555" i="1" s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<sst xmlns="http://schemas.openxmlformats.org/spreadsheetml/2006/main" count="2497" uniqueCount="905">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</sst>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3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8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8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918" t="s">
        <v>0</v>
      </c>
      <c r="E1" s="667"/>
      <c r="F1" s="667"/>
      <c r="G1" s="12" t="s">
        <v>1</v>
      </c>
      <c r="H1" s="918" t="s">
        <v>2</v>
      </c>
      <c r="I1" s="667"/>
      <c r="J1" s="667"/>
      <c r="K1" s="667"/>
      <c r="L1" s="667"/>
      <c r="M1" s="667"/>
      <c r="N1" s="667"/>
      <c r="O1" s="667"/>
      <c r="P1" s="667"/>
      <c r="Q1" s="667"/>
      <c r="R1" s="969" t="s">
        <v>3</v>
      </c>
      <c r="S1" s="667"/>
      <c r="T1" s="66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4"/>
      <c r="R2" s="644"/>
      <c r="S2" s="644"/>
      <c r="T2" s="644"/>
      <c r="U2" s="644"/>
      <c r="V2" s="644"/>
      <c r="W2" s="644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4"/>
      <c r="Q3" s="644"/>
      <c r="R3" s="644"/>
      <c r="S3" s="644"/>
      <c r="T3" s="644"/>
      <c r="U3" s="644"/>
      <c r="V3" s="644"/>
      <c r="W3" s="644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875" t="s">
        <v>7</v>
      </c>
      <c r="B5" s="727"/>
      <c r="C5" s="656"/>
      <c r="D5" s="756"/>
      <c r="E5" s="758"/>
      <c r="F5" s="700" t="s">
        <v>8</v>
      </c>
      <c r="G5" s="656"/>
      <c r="H5" s="756"/>
      <c r="I5" s="757"/>
      <c r="J5" s="757"/>
      <c r="K5" s="757"/>
      <c r="L5" s="757"/>
      <c r="M5" s="758"/>
      <c r="N5" s="58"/>
      <c r="P5" s="24" t="s">
        <v>9</v>
      </c>
      <c r="Q5" s="676">
        <v>46258</v>
      </c>
      <c r="R5" s="677"/>
      <c r="T5" s="844" t="s">
        <v>10</v>
      </c>
      <c r="U5" s="845"/>
      <c r="V5" s="846" t="s">
        <v>11</v>
      </c>
      <c r="W5" s="677"/>
      <c r="AB5" s="51"/>
      <c r="AC5" s="51"/>
      <c r="AD5" s="51"/>
      <c r="AE5" s="51"/>
    </row>
    <row r="6" spans="1:32" s="623" customFormat="1" ht="24" customHeight="1" x14ac:dyDescent="0.2">
      <c r="A6" s="875" t="s">
        <v>12</v>
      </c>
      <c r="B6" s="727"/>
      <c r="C6" s="656"/>
      <c r="D6" s="761"/>
      <c r="E6" s="762"/>
      <c r="F6" s="762"/>
      <c r="G6" s="762"/>
      <c r="H6" s="762"/>
      <c r="I6" s="762"/>
      <c r="J6" s="762"/>
      <c r="K6" s="762"/>
      <c r="L6" s="762"/>
      <c r="M6" s="677"/>
      <c r="N6" s="59"/>
      <c r="P6" s="24" t="s">
        <v>13</v>
      </c>
      <c r="Q6" s="686" t="str">
        <f>IF(Q5=0," ",CHOOSE(WEEKDAY(Q5,2),"Понедельник","Вторник","Среда","Четверг","Пятница","Суббота","Воскресенье"))</f>
        <v>Понедельник</v>
      </c>
      <c r="R6" s="636"/>
      <c r="T6" s="853" t="s">
        <v>14</v>
      </c>
      <c r="U6" s="845"/>
      <c r="V6" s="769" t="s">
        <v>15</v>
      </c>
      <c r="W6" s="770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946">
        <f>IFERROR(VLOOKUP(DeliveryAddress,Table,3,0),1)</f>
        <v>1</v>
      </c>
      <c r="E7" s="947"/>
      <c r="F7" s="947"/>
      <c r="G7" s="947"/>
      <c r="H7" s="947"/>
      <c r="I7" s="947"/>
      <c r="J7" s="947"/>
      <c r="K7" s="947"/>
      <c r="L7" s="947"/>
      <c r="M7" s="849"/>
      <c r="N7" s="60"/>
      <c r="P7" s="24"/>
      <c r="Q7" s="42"/>
      <c r="R7" s="42"/>
      <c r="T7" s="644"/>
      <c r="U7" s="845"/>
      <c r="V7" s="771"/>
      <c r="W7" s="772"/>
      <c r="AB7" s="51"/>
      <c r="AC7" s="51"/>
      <c r="AD7" s="51"/>
      <c r="AE7" s="51"/>
    </row>
    <row r="8" spans="1:32" s="623" customFormat="1" ht="25.5" customHeight="1" x14ac:dyDescent="0.2">
      <c r="A8" s="657" t="s">
        <v>16</v>
      </c>
      <c r="B8" s="638"/>
      <c r="C8" s="639"/>
      <c r="D8" s="952"/>
      <c r="E8" s="953"/>
      <c r="F8" s="953"/>
      <c r="G8" s="953"/>
      <c r="H8" s="953"/>
      <c r="I8" s="953"/>
      <c r="J8" s="953"/>
      <c r="K8" s="953"/>
      <c r="L8" s="953"/>
      <c r="M8" s="954"/>
      <c r="N8" s="61"/>
      <c r="P8" s="24" t="s">
        <v>17</v>
      </c>
      <c r="Q8" s="848">
        <v>0.41666666666666669</v>
      </c>
      <c r="R8" s="849"/>
      <c r="T8" s="644"/>
      <c r="U8" s="845"/>
      <c r="V8" s="771"/>
      <c r="W8" s="772"/>
      <c r="AB8" s="51"/>
      <c r="AC8" s="51"/>
      <c r="AD8" s="51"/>
      <c r="AE8" s="51"/>
    </row>
    <row r="9" spans="1:32" s="623" customFormat="1" ht="39.950000000000003" customHeight="1" x14ac:dyDescent="0.2">
      <c r="A9" s="6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722"/>
      <c r="E9" s="723"/>
      <c r="F9" s="6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811" t="str">
        <f>IF(AND($A$9="Тип доверенности/получателя при получении в адресе перегруза:",$D$9="Разовая доверенность"),"Введите ФИО","")</f>
        <v/>
      </c>
      <c r="I9" s="723"/>
      <c r="J9" s="8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23"/>
      <c r="L9" s="723"/>
      <c r="M9" s="723"/>
      <c r="N9" s="621"/>
      <c r="P9" s="26" t="s">
        <v>18</v>
      </c>
      <c r="Q9" s="894"/>
      <c r="R9" s="703"/>
      <c r="T9" s="644"/>
      <c r="U9" s="845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6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722"/>
      <c r="E10" s="723"/>
      <c r="F10" s="6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784" t="str">
        <f>IFERROR(VLOOKUP($D$10,Proxy,2,FALSE),"")</f>
        <v/>
      </c>
      <c r="I10" s="644"/>
      <c r="J10" s="644"/>
      <c r="K10" s="644"/>
      <c r="L10" s="644"/>
      <c r="M10" s="644"/>
      <c r="N10" s="622"/>
      <c r="P10" s="26" t="s">
        <v>19</v>
      </c>
      <c r="Q10" s="837"/>
      <c r="R10" s="838"/>
      <c r="U10" s="24" t="s">
        <v>20</v>
      </c>
      <c r="V10" s="987" t="s">
        <v>21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896"/>
      <c r="R11" s="677"/>
      <c r="U11" s="24" t="s">
        <v>24</v>
      </c>
      <c r="V11" s="702" t="s">
        <v>25</v>
      </c>
      <c r="W11" s="703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20" t="s">
        <v>26</v>
      </c>
      <c r="B12" s="727"/>
      <c r="C12" s="727"/>
      <c r="D12" s="727"/>
      <c r="E12" s="727"/>
      <c r="F12" s="727"/>
      <c r="G12" s="727"/>
      <c r="H12" s="727"/>
      <c r="I12" s="727"/>
      <c r="J12" s="727"/>
      <c r="K12" s="727"/>
      <c r="L12" s="727"/>
      <c r="M12" s="656"/>
      <c r="N12" s="62"/>
      <c r="P12" s="24" t="s">
        <v>27</v>
      </c>
      <c r="Q12" s="848"/>
      <c r="R12" s="849"/>
      <c r="S12" s="23"/>
      <c r="U12" s="24"/>
      <c r="V12" s="667"/>
      <c r="W12" s="644"/>
      <c r="AB12" s="51"/>
      <c r="AC12" s="51"/>
      <c r="AD12" s="51"/>
      <c r="AE12" s="51"/>
    </row>
    <row r="13" spans="1:32" s="623" customFormat="1" ht="23.25" customHeight="1" x14ac:dyDescent="0.2">
      <c r="A13" s="820" t="s">
        <v>28</v>
      </c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656"/>
      <c r="N13" s="62"/>
      <c r="O13" s="26"/>
      <c r="P13" s="26" t="s">
        <v>29</v>
      </c>
      <c r="Q13" s="702"/>
      <c r="R13" s="7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20" t="s">
        <v>30</v>
      </c>
      <c r="B14" s="727"/>
      <c r="C14" s="727"/>
      <c r="D14" s="727"/>
      <c r="E14" s="727"/>
      <c r="F14" s="727"/>
      <c r="G14" s="727"/>
      <c r="H14" s="727"/>
      <c r="I14" s="727"/>
      <c r="J14" s="727"/>
      <c r="K14" s="727"/>
      <c r="L14" s="727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21" t="s">
        <v>31</v>
      </c>
      <c r="B15" s="727"/>
      <c r="C15" s="727"/>
      <c r="D15" s="727"/>
      <c r="E15" s="727"/>
      <c r="F15" s="727"/>
      <c r="G15" s="727"/>
      <c r="H15" s="727"/>
      <c r="I15" s="727"/>
      <c r="J15" s="727"/>
      <c r="K15" s="727"/>
      <c r="L15" s="727"/>
      <c r="M15" s="656"/>
      <c r="N15" s="63"/>
      <c r="P15" s="861" t="s">
        <v>32</v>
      </c>
      <c r="Q15" s="667"/>
      <c r="R15" s="667"/>
      <c r="S15" s="667"/>
      <c r="T15" s="66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2"/>
      <c r="Q16" s="862"/>
      <c r="R16" s="862"/>
      <c r="S16" s="862"/>
      <c r="T16" s="8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3" t="s">
        <v>33</v>
      </c>
      <c r="B17" s="633" t="s">
        <v>34</v>
      </c>
      <c r="C17" s="879" t="s">
        <v>35</v>
      </c>
      <c r="D17" s="633" t="s">
        <v>36</v>
      </c>
      <c r="E17" s="640"/>
      <c r="F17" s="633" t="s">
        <v>37</v>
      </c>
      <c r="G17" s="633" t="s">
        <v>38</v>
      </c>
      <c r="H17" s="633" t="s">
        <v>39</v>
      </c>
      <c r="I17" s="633" t="s">
        <v>40</v>
      </c>
      <c r="J17" s="633" t="s">
        <v>41</v>
      </c>
      <c r="K17" s="633" t="s">
        <v>42</v>
      </c>
      <c r="L17" s="633" t="s">
        <v>43</v>
      </c>
      <c r="M17" s="633" t="s">
        <v>44</v>
      </c>
      <c r="N17" s="633" t="s">
        <v>45</v>
      </c>
      <c r="O17" s="633" t="s">
        <v>46</v>
      </c>
      <c r="P17" s="633" t="s">
        <v>47</v>
      </c>
      <c r="Q17" s="921"/>
      <c r="R17" s="921"/>
      <c r="S17" s="921"/>
      <c r="T17" s="640"/>
      <c r="U17" s="655" t="s">
        <v>48</v>
      </c>
      <c r="V17" s="656"/>
      <c r="W17" s="633" t="s">
        <v>49</v>
      </c>
      <c r="X17" s="633" t="s">
        <v>50</v>
      </c>
      <c r="Y17" s="653" t="s">
        <v>51</v>
      </c>
      <c r="Z17" s="791" t="s">
        <v>52</v>
      </c>
      <c r="AA17" s="694" t="s">
        <v>53</v>
      </c>
      <c r="AB17" s="694" t="s">
        <v>54</v>
      </c>
      <c r="AC17" s="694" t="s">
        <v>55</v>
      </c>
      <c r="AD17" s="694" t="s">
        <v>56</v>
      </c>
      <c r="AE17" s="695"/>
      <c r="AF17" s="696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41"/>
      <c r="E18" s="642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41"/>
      <c r="Q18" s="922"/>
      <c r="R18" s="922"/>
      <c r="S18" s="922"/>
      <c r="T18" s="642"/>
      <c r="U18" s="67" t="s">
        <v>58</v>
      </c>
      <c r="V18" s="67" t="s">
        <v>59</v>
      </c>
      <c r="W18" s="634"/>
      <c r="X18" s="634"/>
      <c r="Y18" s="654"/>
      <c r="Z18" s="792"/>
      <c r="AA18" s="783"/>
      <c r="AB18" s="783"/>
      <c r="AC18" s="783"/>
      <c r="AD18" s="697"/>
      <c r="AE18" s="698"/>
      <c r="AF18" s="699"/>
      <c r="AG18" s="66"/>
      <c r="BD18" s="65"/>
    </row>
    <row r="19" spans="1:68" ht="27.75" customHeight="1" x14ac:dyDescent="0.2">
      <c r="A19" s="708" t="s">
        <v>60</v>
      </c>
      <c r="B19" s="709"/>
      <c r="C19" s="709"/>
      <c r="D19" s="709"/>
      <c r="E19" s="709"/>
      <c r="F19" s="709"/>
      <c r="G19" s="709"/>
      <c r="H19" s="709"/>
      <c r="I19" s="709"/>
      <c r="J19" s="70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48"/>
      <c r="AB19" s="48"/>
      <c r="AC19" s="48"/>
    </row>
    <row r="20" spans="1:68" ht="16.5" customHeight="1" x14ac:dyDescent="0.25">
      <c r="A20" s="664" t="s">
        <v>60</v>
      </c>
      <c r="B20" s="644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4"/>
      <c r="AA20" s="624"/>
      <c r="AB20" s="624"/>
      <c r="AC20" s="624"/>
    </row>
    <row r="21" spans="1:68" ht="14.25" customHeight="1" x14ac:dyDescent="0.25">
      <c r="A21" s="661" t="s">
        <v>61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5">
        <v>4680115886643</v>
      </c>
      <c r="E22" s="636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7"/>
      <c r="R22" s="647"/>
      <c r="S22" s="647"/>
      <c r="T22" s="648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5">
        <v>4680115889071</v>
      </c>
      <c r="E23" s="636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7"/>
      <c r="R23" s="647"/>
      <c r="S23" s="647"/>
      <c r="T23" s="648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3"/>
      <c r="B24" s="644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45"/>
      <c r="P24" s="637" t="s">
        <v>71</v>
      </c>
      <c r="Q24" s="638"/>
      <c r="R24" s="638"/>
      <c r="S24" s="638"/>
      <c r="T24" s="638"/>
      <c r="U24" s="638"/>
      <c r="V24" s="639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4"/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5"/>
      <c r="P25" s="637" t="s">
        <v>71</v>
      </c>
      <c r="Q25" s="638"/>
      <c r="R25" s="638"/>
      <c r="S25" s="638"/>
      <c r="T25" s="638"/>
      <c r="U25" s="638"/>
      <c r="V25" s="639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61" t="s">
        <v>73</v>
      </c>
      <c r="B26" s="644"/>
      <c r="C26" s="644"/>
      <c r="D26" s="64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5">
        <v>4680115885912</v>
      </c>
      <c r="E27" s="636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7"/>
      <c r="R27" s="647"/>
      <c r="S27" s="647"/>
      <c r="T27" s="648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5">
        <v>4607091388237</v>
      </c>
      <c r="E28" s="636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7"/>
      <c r="R28" s="647"/>
      <c r="S28" s="647"/>
      <c r="T28" s="648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5">
        <v>4680115887350</v>
      </c>
      <c r="E29" s="636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5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7"/>
      <c r="R29" s="647"/>
      <c r="S29" s="647"/>
      <c r="T29" s="648"/>
      <c r="U29" s="34"/>
      <c r="V29" s="34"/>
      <c r="W29" s="35" t="s">
        <v>66</v>
      </c>
      <c r="X29" s="629">
        <v>3</v>
      </c>
      <c r="Y29" s="630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5.3000000000000007</v>
      </c>
      <c r="BN29" s="64">
        <f>IFERROR(Y29*I29/H29,"0")</f>
        <v>6.36</v>
      </c>
      <c r="BO29" s="64">
        <f>IFERROR(1/J29*(X29/H29),"0")</f>
        <v>9.1575091575091579E-3</v>
      </c>
      <c r="BP29" s="64">
        <f>IFERROR(1/J29*(Y29/H29),"0")</f>
        <v>1.098901098901099E-2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5">
        <v>4680115885905</v>
      </c>
      <c r="E30" s="636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7"/>
      <c r="R30" s="647"/>
      <c r="S30" s="647"/>
      <c r="T30" s="648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5">
        <v>4680115887619</v>
      </c>
      <c r="E31" s="636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5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7"/>
      <c r="R31" s="647"/>
      <c r="S31" s="647"/>
      <c r="T31" s="648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3"/>
      <c r="B32" s="644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45"/>
      <c r="P32" s="637" t="s">
        <v>71</v>
      </c>
      <c r="Q32" s="638"/>
      <c r="R32" s="638"/>
      <c r="S32" s="638"/>
      <c r="T32" s="638"/>
      <c r="U32" s="638"/>
      <c r="V32" s="639"/>
      <c r="W32" s="37" t="s">
        <v>72</v>
      </c>
      <c r="X32" s="631">
        <f>IFERROR(X27/H27,"0")+IFERROR(X28/H28,"0")+IFERROR(X29/H29,"0")+IFERROR(X30/H30,"0")+IFERROR(X31/H31,"0")</f>
        <v>1.6666666666666665</v>
      </c>
      <c r="Y32" s="631">
        <f>IFERROR(Y27/H27,"0")+IFERROR(Y28/H28,"0")+IFERROR(Y29/H29,"0")+IFERROR(Y30/H30,"0")+IFERROR(Y31/H31,"0")</f>
        <v>2</v>
      </c>
      <c r="Z32" s="631">
        <f>IFERROR(IF(Z27="",0,Z27),"0")+IFERROR(IF(Z28="",0,Z28),"0")+IFERROR(IF(Z29="",0,Z29),"0")+IFERROR(IF(Z30="",0,Z30),"0")+IFERROR(IF(Z31="",0,Z31),"0")</f>
        <v>1.302E-2</v>
      </c>
      <c r="AA32" s="632"/>
      <c r="AB32" s="632"/>
      <c r="AC32" s="632"/>
    </row>
    <row r="33" spans="1:68" x14ac:dyDescent="0.2">
      <c r="A33" s="644"/>
      <c r="B33" s="644"/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45"/>
      <c r="P33" s="637" t="s">
        <v>71</v>
      </c>
      <c r="Q33" s="638"/>
      <c r="R33" s="638"/>
      <c r="S33" s="638"/>
      <c r="T33" s="638"/>
      <c r="U33" s="638"/>
      <c r="V33" s="639"/>
      <c r="W33" s="37" t="s">
        <v>66</v>
      </c>
      <c r="X33" s="631">
        <f>IFERROR(SUM(X27:X31),"0")</f>
        <v>3</v>
      </c>
      <c r="Y33" s="631">
        <f>IFERROR(SUM(Y27:Y31),"0")</f>
        <v>3.6</v>
      </c>
      <c r="Z33" s="37"/>
      <c r="AA33" s="632"/>
      <c r="AB33" s="632"/>
      <c r="AC33" s="632"/>
    </row>
    <row r="34" spans="1:68" ht="27.75" customHeight="1" x14ac:dyDescent="0.2">
      <c r="A34" s="708" t="s">
        <v>91</v>
      </c>
      <c r="B34" s="709"/>
      <c r="C34" s="709"/>
      <c r="D34" s="709"/>
      <c r="E34" s="709"/>
      <c r="F34" s="709"/>
      <c r="G34" s="709"/>
      <c r="H34" s="709"/>
      <c r="I34" s="709"/>
      <c r="J34" s="709"/>
      <c r="K34" s="709"/>
      <c r="L34" s="709"/>
      <c r="M34" s="709"/>
      <c r="N34" s="709"/>
      <c r="O34" s="709"/>
      <c r="P34" s="709"/>
      <c r="Q34" s="709"/>
      <c r="R34" s="709"/>
      <c r="S34" s="709"/>
      <c r="T34" s="709"/>
      <c r="U34" s="709"/>
      <c r="V34" s="709"/>
      <c r="W34" s="709"/>
      <c r="X34" s="709"/>
      <c r="Y34" s="709"/>
      <c r="Z34" s="709"/>
      <c r="AA34" s="48"/>
      <c r="AB34" s="48"/>
      <c r="AC34" s="48"/>
    </row>
    <row r="35" spans="1:68" ht="16.5" customHeight="1" x14ac:dyDescent="0.25">
      <c r="A35" s="664" t="s">
        <v>92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24"/>
      <c r="AB35" s="624"/>
      <c r="AC35" s="624"/>
    </row>
    <row r="36" spans="1:68" ht="14.25" customHeight="1" x14ac:dyDescent="0.25">
      <c r="A36" s="661" t="s">
        <v>73</v>
      </c>
      <c r="B36" s="644"/>
      <c r="C36" s="644"/>
      <c r="D36" s="644"/>
      <c r="E36" s="644"/>
      <c r="F36" s="644"/>
      <c r="G36" s="644"/>
      <c r="H36" s="644"/>
      <c r="I36" s="644"/>
      <c r="J36" s="644"/>
      <c r="K36" s="644"/>
      <c r="L36" s="644"/>
      <c r="M36" s="644"/>
      <c r="N36" s="644"/>
      <c r="O36" s="644"/>
      <c r="P36" s="644"/>
      <c r="Q36" s="644"/>
      <c r="R36" s="644"/>
      <c r="S36" s="644"/>
      <c r="T36" s="644"/>
      <c r="U36" s="644"/>
      <c r="V36" s="644"/>
      <c r="W36" s="644"/>
      <c r="X36" s="644"/>
      <c r="Y36" s="644"/>
      <c r="Z36" s="644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5">
        <v>4680115889354</v>
      </c>
      <c r="E37" s="636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7"/>
      <c r="R37" s="647"/>
      <c r="S37" s="647"/>
      <c r="T37" s="648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5">
        <v>4680115888463</v>
      </c>
      <c r="E38" s="636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7"/>
      <c r="R38" s="647"/>
      <c r="S38" s="647"/>
      <c r="T38" s="648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5">
        <v>4680115889590</v>
      </c>
      <c r="E39" s="636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8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7"/>
      <c r="R39" s="647"/>
      <c r="S39" s="647"/>
      <c r="T39" s="648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5">
        <v>4680115888494</v>
      </c>
      <c r="E40" s="636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47"/>
      <c r="R40" s="647"/>
      <c r="S40" s="647"/>
      <c r="T40" s="648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5">
        <v>4680115888272</v>
      </c>
      <c r="E41" s="636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47"/>
      <c r="R41" s="647"/>
      <c r="S41" s="647"/>
      <c r="T41" s="648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5">
        <v>4680115888364</v>
      </c>
      <c r="E42" s="636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47"/>
      <c r="R42" s="647"/>
      <c r="S42" s="647"/>
      <c r="T42" s="648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3"/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4"/>
      <c r="N43" s="644"/>
      <c r="O43" s="645"/>
      <c r="P43" s="637" t="s">
        <v>71</v>
      </c>
      <c r="Q43" s="638"/>
      <c r="R43" s="638"/>
      <c r="S43" s="638"/>
      <c r="T43" s="638"/>
      <c r="U43" s="638"/>
      <c r="V43" s="639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4"/>
      <c r="B44" s="644"/>
      <c r="C44" s="644"/>
      <c r="D44" s="644"/>
      <c r="E44" s="644"/>
      <c r="F44" s="644"/>
      <c r="G44" s="644"/>
      <c r="H44" s="644"/>
      <c r="I44" s="644"/>
      <c r="J44" s="644"/>
      <c r="K44" s="644"/>
      <c r="L44" s="644"/>
      <c r="M44" s="644"/>
      <c r="N44" s="644"/>
      <c r="O44" s="645"/>
      <c r="P44" s="637" t="s">
        <v>71</v>
      </c>
      <c r="Q44" s="638"/>
      <c r="R44" s="638"/>
      <c r="S44" s="638"/>
      <c r="T44" s="638"/>
      <c r="U44" s="638"/>
      <c r="V44" s="639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708" t="s">
        <v>110</v>
      </c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09"/>
      <c r="U45" s="709"/>
      <c r="V45" s="709"/>
      <c r="W45" s="709"/>
      <c r="X45" s="709"/>
      <c r="Y45" s="709"/>
      <c r="Z45" s="709"/>
      <c r="AA45" s="48"/>
      <c r="AB45" s="48"/>
      <c r="AC45" s="48"/>
    </row>
    <row r="46" spans="1:68" ht="16.5" customHeight="1" x14ac:dyDescent="0.25">
      <c r="A46" s="664" t="s">
        <v>111</v>
      </c>
      <c r="B46" s="644"/>
      <c r="C46" s="644"/>
      <c r="D46" s="644"/>
      <c r="E46" s="644"/>
      <c r="F46" s="644"/>
      <c r="G46" s="644"/>
      <c r="H46" s="644"/>
      <c r="I46" s="644"/>
      <c r="J46" s="644"/>
      <c r="K46" s="644"/>
      <c r="L46" s="644"/>
      <c r="M46" s="644"/>
      <c r="N46" s="644"/>
      <c r="O46" s="644"/>
      <c r="P46" s="644"/>
      <c r="Q46" s="644"/>
      <c r="R46" s="644"/>
      <c r="S46" s="644"/>
      <c r="T46" s="644"/>
      <c r="U46" s="644"/>
      <c r="V46" s="644"/>
      <c r="W46" s="644"/>
      <c r="X46" s="644"/>
      <c r="Y46" s="644"/>
      <c r="Z46" s="644"/>
      <c r="AA46" s="624"/>
      <c r="AB46" s="624"/>
      <c r="AC46" s="624"/>
    </row>
    <row r="47" spans="1:68" ht="14.25" customHeight="1" x14ac:dyDescent="0.25">
      <c r="A47" s="661" t="s">
        <v>112</v>
      </c>
      <c r="B47" s="644"/>
      <c r="C47" s="644"/>
      <c r="D47" s="644"/>
      <c r="E47" s="644"/>
      <c r="F47" s="644"/>
      <c r="G47" s="644"/>
      <c r="H47" s="644"/>
      <c r="I47" s="644"/>
      <c r="J47" s="644"/>
      <c r="K47" s="644"/>
      <c r="L47" s="644"/>
      <c r="M47" s="644"/>
      <c r="N47" s="644"/>
      <c r="O47" s="644"/>
      <c r="P47" s="644"/>
      <c r="Q47" s="644"/>
      <c r="R47" s="644"/>
      <c r="S47" s="644"/>
      <c r="T47" s="644"/>
      <c r="U47" s="644"/>
      <c r="V47" s="644"/>
      <c r="W47" s="644"/>
      <c r="X47" s="644"/>
      <c r="Y47" s="644"/>
      <c r="Z47" s="644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5">
        <v>4607091385670</v>
      </c>
      <c r="E48" s="636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47"/>
      <c r="R48" s="647"/>
      <c r="S48" s="647"/>
      <c r="T48" s="648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5">
        <v>4680115887725</v>
      </c>
      <c r="E49" s="636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7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47"/>
      <c r="R49" s="647"/>
      <c r="S49" s="647"/>
      <c r="T49" s="648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5">
        <v>4607091385687</v>
      </c>
      <c r="E50" s="636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47"/>
      <c r="R50" s="647"/>
      <c r="S50" s="647"/>
      <c r="T50" s="648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5">
        <v>4680115882539</v>
      </c>
      <c r="E51" s="636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47"/>
      <c r="R51" s="647"/>
      <c r="S51" s="647"/>
      <c r="T51" s="648"/>
      <c r="U51" s="34"/>
      <c r="V51" s="34"/>
      <c r="W51" s="35" t="s">
        <v>66</v>
      </c>
      <c r="X51" s="629">
        <v>32</v>
      </c>
      <c r="Y51" s="630">
        <f>IFERROR(IF(X51="",0,CEILING((X51/$H51),1)*$H51),"")</f>
        <v>33.300000000000004</v>
      </c>
      <c r="Z51" s="36">
        <f>IFERROR(IF(Y51=0,"",ROUNDUP(Y51/H51,0)*0.00902),"")</f>
        <v>8.1180000000000002E-2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33.643243243243241</v>
      </c>
      <c r="BN51" s="64">
        <f>IFERROR(Y51*I51/H51,"0")</f>
        <v>35.010000000000005</v>
      </c>
      <c r="BO51" s="64">
        <f>IFERROR(1/J51*(X51/H51),"0")</f>
        <v>6.5520065520065507E-2</v>
      </c>
      <c r="BP51" s="64">
        <f>IFERROR(1/J51*(Y51/H51),"0")</f>
        <v>6.8181818181818177E-2</v>
      </c>
    </row>
    <row r="52" spans="1:68" x14ac:dyDescent="0.2">
      <c r="A52" s="643"/>
      <c r="B52" s="644"/>
      <c r="C52" s="644"/>
      <c r="D52" s="644"/>
      <c r="E52" s="644"/>
      <c r="F52" s="644"/>
      <c r="G52" s="644"/>
      <c r="H52" s="644"/>
      <c r="I52" s="644"/>
      <c r="J52" s="644"/>
      <c r="K52" s="644"/>
      <c r="L52" s="644"/>
      <c r="M52" s="644"/>
      <c r="N52" s="644"/>
      <c r="O52" s="645"/>
      <c r="P52" s="637" t="s">
        <v>71</v>
      </c>
      <c r="Q52" s="638"/>
      <c r="R52" s="638"/>
      <c r="S52" s="638"/>
      <c r="T52" s="638"/>
      <c r="U52" s="638"/>
      <c r="V52" s="639"/>
      <c r="W52" s="37" t="s">
        <v>72</v>
      </c>
      <c r="X52" s="631">
        <f>IFERROR(X48/H48,"0")+IFERROR(X49/H49,"0")+IFERROR(X50/H50,"0")+IFERROR(X51/H51,"0")</f>
        <v>8.6486486486486474</v>
      </c>
      <c r="Y52" s="631">
        <f>IFERROR(Y48/H48,"0")+IFERROR(Y49/H49,"0")+IFERROR(Y50/H50,"0")+IFERROR(Y51/H51,"0")</f>
        <v>9</v>
      </c>
      <c r="Z52" s="631">
        <f>IFERROR(IF(Z48="",0,Z48),"0")+IFERROR(IF(Z49="",0,Z49),"0")+IFERROR(IF(Z50="",0,Z50),"0")+IFERROR(IF(Z51="",0,Z51),"0")</f>
        <v>8.1180000000000002E-2</v>
      </c>
      <c r="AA52" s="632"/>
      <c r="AB52" s="632"/>
      <c r="AC52" s="632"/>
    </row>
    <row r="53" spans="1:68" x14ac:dyDescent="0.2">
      <c r="A53" s="644"/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5"/>
      <c r="P53" s="637" t="s">
        <v>71</v>
      </c>
      <c r="Q53" s="638"/>
      <c r="R53" s="638"/>
      <c r="S53" s="638"/>
      <c r="T53" s="638"/>
      <c r="U53" s="638"/>
      <c r="V53" s="639"/>
      <c r="W53" s="37" t="s">
        <v>66</v>
      </c>
      <c r="X53" s="631">
        <f>IFERROR(SUM(X48:X51),"0")</f>
        <v>32</v>
      </c>
      <c r="Y53" s="631">
        <f>IFERROR(SUM(Y48:Y51),"0")</f>
        <v>33.300000000000004</v>
      </c>
      <c r="Z53" s="37"/>
      <c r="AA53" s="632"/>
      <c r="AB53" s="632"/>
      <c r="AC53" s="632"/>
    </row>
    <row r="54" spans="1:68" ht="16.5" customHeight="1" x14ac:dyDescent="0.25">
      <c r="A54" s="664" t="s">
        <v>127</v>
      </c>
      <c r="B54" s="644"/>
      <c r="C54" s="644"/>
      <c r="D54" s="644"/>
      <c r="E54" s="644"/>
      <c r="F54" s="644"/>
      <c r="G54" s="644"/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4"/>
      <c r="T54" s="644"/>
      <c r="U54" s="644"/>
      <c r="V54" s="644"/>
      <c r="W54" s="644"/>
      <c r="X54" s="644"/>
      <c r="Y54" s="644"/>
      <c r="Z54" s="644"/>
      <c r="AA54" s="624"/>
      <c r="AB54" s="624"/>
      <c r="AC54" s="624"/>
    </row>
    <row r="55" spans="1:68" ht="14.25" customHeight="1" x14ac:dyDescent="0.25">
      <c r="A55" s="661" t="s">
        <v>112</v>
      </c>
      <c r="B55" s="644"/>
      <c r="C55" s="644"/>
      <c r="D55" s="644"/>
      <c r="E55" s="644"/>
      <c r="F55" s="644"/>
      <c r="G55" s="644"/>
      <c r="H55" s="644"/>
      <c r="I55" s="644"/>
      <c r="J55" s="644"/>
      <c r="K55" s="644"/>
      <c r="L55" s="644"/>
      <c r="M55" s="644"/>
      <c r="N55" s="644"/>
      <c r="O55" s="644"/>
      <c r="P55" s="644"/>
      <c r="Q55" s="644"/>
      <c r="R55" s="644"/>
      <c r="S55" s="644"/>
      <c r="T55" s="644"/>
      <c r="U55" s="644"/>
      <c r="V55" s="644"/>
      <c r="W55" s="644"/>
      <c r="X55" s="644"/>
      <c r="Y55" s="644"/>
      <c r="Z55" s="644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5">
        <v>4680115885882</v>
      </c>
      <c r="E56" s="636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95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7"/>
      <c r="R56" s="647"/>
      <c r="S56" s="647"/>
      <c r="T56" s="648"/>
      <c r="U56" s="34"/>
      <c r="V56" s="34"/>
      <c r="W56" s="35" t="s">
        <v>66</v>
      </c>
      <c r="X56" s="629">
        <v>15</v>
      </c>
      <c r="Y56" s="630">
        <f t="shared" ref="Y56:Y61" si="6">IFERROR(IF(X56="",0,CEILING((X56/$H56),1)*$H56),"")</f>
        <v>22.4</v>
      </c>
      <c r="Z56" s="36">
        <f>IFERROR(IF(Y56=0,"",ROUNDUP(Y56/H56,0)*0.01898),"")</f>
        <v>3.7960000000000001E-2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15.549107142857142</v>
      </c>
      <c r="BN56" s="64">
        <f t="shared" ref="BN56:BN61" si="8">IFERROR(Y56*I56/H56,"0")</f>
        <v>23.22</v>
      </c>
      <c r="BO56" s="64">
        <f t="shared" ref="BO56:BO61" si="9">IFERROR(1/J56*(X56/H56),"0")</f>
        <v>2.0926339285714288E-2</v>
      </c>
      <c r="BP56" s="64">
        <f t="shared" ref="BP56:BP61" si="10">IFERROR(1/J56*(Y56/H56),"0")</f>
        <v>3.125E-2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5">
        <v>4680115881426</v>
      </c>
      <c r="E57" s="636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7"/>
      <c r="R57" s="647"/>
      <c r="S57" s="647"/>
      <c r="T57" s="648"/>
      <c r="U57" s="34"/>
      <c r="V57" s="34"/>
      <c r="W57" s="35" t="s">
        <v>66</v>
      </c>
      <c r="X57" s="629">
        <v>151</v>
      </c>
      <c r="Y57" s="630">
        <f t="shared" si="6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156.73240740740741</v>
      </c>
      <c r="BN57" s="64">
        <f t="shared" si="8"/>
        <v>156.94</v>
      </c>
      <c r="BO57" s="64">
        <f t="shared" si="9"/>
        <v>0.21846064814814814</v>
      </c>
      <c r="BP57" s="64">
        <f t="shared" si="10"/>
        <v>0.21875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5">
        <v>4680115880283</v>
      </c>
      <c r="E58" s="636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6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7"/>
      <c r="R58" s="647"/>
      <c r="S58" s="647"/>
      <c r="T58" s="648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5">
        <v>4680115881525</v>
      </c>
      <c r="E59" s="636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78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7"/>
      <c r="R59" s="647"/>
      <c r="S59" s="647"/>
      <c r="T59" s="648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5">
        <v>4680115885899</v>
      </c>
      <c r="E60" s="636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67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7"/>
      <c r="R60" s="647"/>
      <c r="S60" s="647"/>
      <c r="T60" s="648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5">
        <v>4680115881419</v>
      </c>
      <c r="E61" s="636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7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7"/>
      <c r="R61" s="647"/>
      <c r="S61" s="647"/>
      <c r="T61" s="648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3"/>
      <c r="B62" s="644"/>
      <c r="C62" s="644"/>
      <c r="D62" s="644"/>
      <c r="E62" s="644"/>
      <c r="F62" s="644"/>
      <c r="G62" s="644"/>
      <c r="H62" s="644"/>
      <c r="I62" s="644"/>
      <c r="J62" s="644"/>
      <c r="K62" s="644"/>
      <c r="L62" s="644"/>
      <c r="M62" s="644"/>
      <c r="N62" s="644"/>
      <c r="O62" s="645"/>
      <c r="P62" s="637" t="s">
        <v>71</v>
      </c>
      <c r="Q62" s="638"/>
      <c r="R62" s="638"/>
      <c r="S62" s="638"/>
      <c r="T62" s="638"/>
      <c r="U62" s="638"/>
      <c r="V62" s="639"/>
      <c r="W62" s="37" t="s">
        <v>72</v>
      </c>
      <c r="X62" s="631">
        <f>IFERROR(X56/H56,"0")+IFERROR(X57/H57,"0")+IFERROR(X58/H58,"0")+IFERROR(X59/H59,"0")+IFERROR(X60/H60,"0")+IFERROR(X61/H61,"0")</f>
        <v>15.320767195767196</v>
      </c>
      <c r="Y62" s="631">
        <f>IFERROR(Y56/H56,"0")+IFERROR(Y57/H57,"0")+IFERROR(Y58/H58,"0")+IFERROR(Y59/H59,"0")+IFERROR(Y60/H60,"0")+IFERROR(Y61/H61,"0")</f>
        <v>16</v>
      </c>
      <c r="Z62" s="631">
        <f>IFERROR(IF(Z56="",0,Z56),"0")+IFERROR(IF(Z57="",0,Z57),"0")+IFERROR(IF(Z58="",0,Z58),"0")+IFERROR(IF(Z59="",0,Z59),"0")+IFERROR(IF(Z60="",0,Z60),"0")+IFERROR(IF(Z61="",0,Z61),"0")</f>
        <v>0.30368000000000001</v>
      </c>
      <c r="AA62" s="632"/>
      <c r="AB62" s="632"/>
      <c r="AC62" s="632"/>
    </row>
    <row r="63" spans="1:68" x14ac:dyDescent="0.2">
      <c r="A63" s="644"/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4"/>
      <c r="N63" s="644"/>
      <c r="O63" s="645"/>
      <c r="P63" s="637" t="s">
        <v>71</v>
      </c>
      <c r="Q63" s="638"/>
      <c r="R63" s="638"/>
      <c r="S63" s="638"/>
      <c r="T63" s="638"/>
      <c r="U63" s="638"/>
      <c r="V63" s="639"/>
      <c r="W63" s="37" t="s">
        <v>66</v>
      </c>
      <c r="X63" s="631">
        <f>IFERROR(SUM(X56:X61),"0")</f>
        <v>166</v>
      </c>
      <c r="Y63" s="631">
        <f>IFERROR(SUM(Y56:Y61),"0")</f>
        <v>173.60000000000002</v>
      </c>
      <c r="Z63" s="37"/>
      <c r="AA63" s="632"/>
      <c r="AB63" s="632"/>
      <c r="AC63" s="632"/>
    </row>
    <row r="64" spans="1:68" ht="14.25" customHeight="1" x14ac:dyDescent="0.25">
      <c r="A64" s="661" t="s">
        <v>145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5">
        <v>4680115881440</v>
      </c>
      <c r="E65" s="636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68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7"/>
      <c r="R65" s="647"/>
      <c r="S65" s="647"/>
      <c r="T65" s="648"/>
      <c r="U65" s="34"/>
      <c r="V65" s="34"/>
      <c r="W65" s="35" t="s">
        <v>66</v>
      </c>
      <c r="X65" s="629">
        <v>60</v>
      </c>
      <c r="Y65" s="630">
        <f>IFERROR(IF(X65="",0,CEILING((X65/$H65),1)*$H65),"")</f>
        <v>64.800000000000011</v>
      </c>
      <c r="Z65" s="36">
        <f>IFERROR(IF(Y65=0,"",ROUNDUP(Y65/H65,0)*0.01898),"")</f>
        <v>0.11388000000000001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62.277777777777779</v>
      </c>
      <c r="BN65" s="64">
        <f>IFERROR(Y65*I65/H65,"0")</f>
        <v>67.260000000000005</v>
      </c>
      <c r="BO65" s="64">
        <f>IFERROR(1/J65*(X65/H65),"0")</f>
        <v>8.6805555555555552E-2</v>
      </c>
      <c r="BP65" s="64">
        <f>IFERROR(1/J65*(Y65/H65),"0")</f>
        <v>9.3750000000000014E-2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5">
        <v>4680115885950</v>
      </c>
      <c r="E66" s="636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9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7"/>
      <c r="R66" s="647"/>
      <c r="S66" s="647"/>
      <c r="T66" s="648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5">
        <v>4680115887688</v>
      </c>
      <c r="E67" s="636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7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7"/>
      <c r="R67" s="647"/>
      <c r="S67" s="647"/>
      <c r="T67" s="648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5">
        <v>4680115881433</v>
      </c>
      <c r="E68" s="636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8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7"/>
      <c r="R68" s="647"/>
      <c r="S68" s="647"/>
      <c r="T68" s="648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3"/>
      <c r="B69" s="644"/>
      <c r="C69" s="644"/>
      <c r="D69" s="644"/>
      <c r="E69" s="644"/>
      <c r="F69" s="644"/>
      <c r="G69" s="644"/>
      <c r="H69" s="644"/>
      <c r="I69" s="644"/>
      <c r="J69" s="644"/>
      <c r="K69" s="644"/>
      <c r="L69" s="644"/>
      <c r="M69" s="644"/>
      <c r="N69" s="644"/>
      <c r="O69" s="645"/>
      <c r="P69" s="637" t="s">
        <v>71</v>
      </c>
      <c r="Q69" s="638"/>
      <c r="R69" s="638"/>
      <c r="S69" s="638"/>
      <c r="T69" s="638"/>
      <c r="U69" s="638"/>
      <c r="V69" s="639"/>
      <c r="W69" s="37" t="s">
        <v>72</v>
      </c>
      <c r="X69" s="631">
        <f>IFERROR(X65/H65,"0")+IFERROR(X66/H66,"0")+IFERROR(X67/H67,"0")+IFERROR(X68/H68,"0")</f>
        <v>5.5555555555555554</v>
      </c>
      <c r="Y69" s="631">
        <f>IFERROR(Y65/H65,"0")+IFERROR(Y66/H66,"0")+IFERROR(Y67/H67,"0")+IFERROR(Y68/H68,"0")</f>
        <v>6.0000000000000009</v>
      </c>
      <c r="Z69" s="631">
        <f>IFERROR(IF(Z65="",0,Z65),"0")+IFERROR(IF(Z66="",0,Z66),"0")+IFERROR(IF(Z67="",0,Z67),"0")+IFERROR(IF(Z68="",0,Z68),"0")</f>
        <v>0.11388000000000001</v>
      </c>
      <c r="AA69" s="632"/>
      <c r="AB69" s="632"/>
      <c r="AC69" s="632"/>
    </row>
    <row r="70" spans="1:68" x14ac:dyDescent="0.2">
      <c r="A70" s="644"/>
      <c r="B70" s="644"/>
      <c r="C70" s="644"/>
      <c r="D70" s="644"/>
      <c r="E70" s="644"/>
      <c r="F70" s="644"/>
      <c r="G70" s="644"/>
      <c r="H70" s="644"/>
      <c r="I70" s="644"/>
      <c r="J70" s="644"/>
      <c r="K70" s="644"/>
      <c r="L70" s="644"/>
      <c r="M70" s="644"/>
      <c r="N70" s="644"/>
      <c r="O70" s="645"/>
      <c r="P70" s="637" t="s">
        <v>71</v>
      </c>
      <c r="Q70" s="638"/>
      <c r="R70" s="638"/>
      <c r="S70" s="638"/>
      <c r="T70" s="638"/>
      <c r="U70" s="638"/>
      <c r="V70" s="639"/>
      <c r="W70" s="37" t="s">
        <v>66</v>
      </c>
      <c r="X70" s="631">
        <f>IFERROR(SUM(X65:X68),"0")</f>
        <v>60</v>
      </c>
      <c r="Y70" s="631">
        <f>IFERROR(SUM(Y65:Y68),"0")</f>
        <v>64.800000000000011</v>
      </c>
      <c r="Z70" s="37"/>
      <c r="AA70" s="632"/>
      <c r="AB70" s="632"/>
      <c r="AC70" s="632"/>
    </row>
    <row r="71" spans="1:68" ht="14.25" customHeight="1" x14ac:dyDescent="0.25">
      <c r="A71" s="661" t="s">
        <v>73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5">
        <v>4680115884311</v>
      </c>
      <c r="E72" s="636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6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7"/>
      <c r="R72" s="647"/>
      <c r="S72" s="647"/>
      <c r="T72" s="648"/>
      <c r="U72" s="34"/>
      <c r="V72" s="34"/>
      <c r="W72" s="35" t="s">
        <v>66</v>
      </c>
      <c r="X72" s="629">
        <v>55</v>
      </c>
      <c r="Y72" s="630">
        <f>IFERROR(IF(X72="",0,CEILING((X72/$H72),1)*$H72),"")</f>
        <v>55.800000000000004</v>
      </c>
      <c r="Z72" s="36">
        <f>IFERROR(IF(Y72=0,"",ROUNDUP(Y72/H72,0)*0.00651),"")</f>
        <v>0.20181000000000002</v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62.516666666666659</v>
      </c>
      <c r="BN72" s="64">
        <f>IFERROR(Y72*I72/H72,"0")</f>
        <v>63.425999999999995</v>
      </c>
      <c r="BO72" s="64">
        <f>IFERROR(1/J72*(X72/H72),"0")</f>
        <v>0.1678876678876679</v>
      </c>
      <c r="BP72" s="64">
        <f>IFERROR(1/J72*(Y72/H72),"0")</f>
        <v>0.17032967032967034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5">
        <v>4680115884403</v>
      </c>
      <c r="E73" s="636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9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7"/>
      <c r="R73" s="647"/>
      <c r="S73" s="647"/>
      <c r="T73" s="648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3"/>
      <c r="B74" s="644"/>
      <c r="C74" s="644"/>
      <c r="D74" s="644"/>
      <c r="E74" s="644"/>
      <c r="F74" s="644"/>
      <c r="G74" s="644"/>
      <c r="H74" s="644"/>
      <c r="I74" s="644"/>
      <c r="J74" s="644"/>
      <c r="K74" s="644"/>
      <c r="L74" s="644"/>
      <c r="M74" s="644"/>
      <c r="N74" s="644"/>
      <c r="O74" s="645"/>
      <c r="P74" s="637" t="s">
        <v>71</v>
      </c>
      <c r="Q74" s="638"/>
      <c r="R74" s="638"/>
      <c r="S74" s="638"/>
      <c r="T74" s="638"/>
      <c r="U74" s="638"/>
      <c r="V74" s="639"/>
      <c r="W74" s="37" t="s">
        <v>72</v>
      </c>
      <c r="X74" s="631">
        <f>IFERROR(X72/H72,"0")+IFERROR(X73/H73,"0")</f>
        <v>30.555555555555554</v>
      </c>
      <c r="Y74" s="631">
        <f>IFERROR(Y72/H72,"0")+IFERROR(Y73/H73,"0")</f>
        <v>31</v>
      </c>
      <c r="Z74" s="631">
        <f>IFERROR(IF(Z72="",0,Z72),"0")+IFERROR(IF(Z73="",0,Z73),"0")</f>
        <v>0.20181000000000002</v>
      </c>
      <c r="AA74" s="632"/>
      <c r="AB74" s="632"/>
      <c r="AC74" s="632"/>
    </row>
    <row r="75" spans="1:68" x14ac:dyDescent="0.2">
      <c r="A75" s="644"/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  <c r="N75" s="644"/>
      <c r="O75" s="645"/>
      <c r="P75" s="637" t="s">
        <v>71</v>
      </c>
      <c r="Q75" s="638"/>
      <c r="R75" s="638"/>
      <c r="S75" s="638"/>
      <c r="T75" s="638"/>
      <c r="U75" s="638"/>
      <c r="V75" s="639"/>
      <c r="W75" s="37" t="s">
        <v>66</v>
      </c>
      <c r="X75" s="631">
        <f>IFERROR(SUM(X72:X73),"0")</f>
        <v>55</v>
      </c>
      <c r="Y75" s="631">
        <f>IFERROR(SUM(Y72:Y73),"0")</f>
        <v>55.800000000000004</v>
      </c>
      <c r="Z75" s="37"/>
      <c r="AA75" s="632"/>
      <c r="AB75" s="632"/>
      <c r="AC75" s="632"/>
    </row>
    <row r="76" spans="1:68" ht="14.25" customHeight="1" x14ac:dyDescent="0.25">
      <c r="A76" s="661" t="s">
        <v>162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5">
        <v>4680115881532</v>
      </c>
      <c r="E77" s="636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7"/>
      <c r="R77" s="647"/>
      <c r="S77" s="647"/>
      <c r="T77" s="648"/>
      <c r="U77" s="34"/>
      <c r="V77" s="34"/>
      <c r="W77" s="35" t="s">
        <v>66</v>
      </c>
      <c r="X77" s="629">
        <v>69</v>
      </c>
      <c r="Y77" s="630">
        <f>IFERROR(IF(X77="",0,CEILING((X77/$H77),1)*$H77),"")</f>
        <v>70.2</v>
      </c>
      <c r="Z77" s="36">
        <f>IFERROR(IF(Y77=0,"",ROUNDUP(Y77/H77,0)*0.01898),"")</f>
        <v>0.17082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72.626923076923077</v>
      </c>
      <c r="BN77" s="64">
        <f>IFERROR(Y77*I77/H77,"0")</f>
        <v>73.890000000000015</v>
      </c>
      <c r="BO77" s="64">
        <f>IFERROR(1/J77*(X77/H77),"0")</f>
        <v>0.13822115384615385</v>
      </c>
      <c r="BP77" s="64">
        <f>IFERROR(1/J77*(Y77/H77),"0")</f>
        <v>0.140625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5">
        <v>4680115881464</v>
      </c>
      <c r="E78" s="636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89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47"/>
      <c r="R78" s="647"/>
      <c r="S78" s="647"/>
      <c r="T78" s="648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3"/>
      <c r="B79" s="644"/>
      <c r="C79" s="644"/>
      <c r="D79" s="644"/>
      <c r="E79" s="644"/>
      <c r="F79" s="644"/>
      <c r="G79" s="644"/>
      <c r="H79" s="644"/>
      <c r="I79" s="644"/>
      <c r="J79" s="644"/>
      <c r="K79" s="644"/>
      <c r="L79" s="644"/>
      <c r="M79" s="644"/>
      <c r="N79" s="644"/>
      <c r="O79" s="645"/>
      <c r="P79" s="637" t="s">
        <v>71</v>
      </c>
      <c r="Q79" s="638"/>
      <c r="R79" s="638"/>
      <c r="S79" s="638"/>
      <c r="T79" s="638"/>
      <c r="U79" s="638"/>
      <c r="V79" s="639"/>
      <c r="W79" s="37" t="s">
        <v>72</v>
      </c>
      <c r="X79" s="631">
        <f>IFERROR(X77/H77,"0")+IFERROR(X78/H78,"0")</f>
        <v>8.8461538461538467</v>
      </c>
      <c r="Y79" s="631">
        <f>IFERROR(Y77/H77,"0")+IFERROR(Y78/H78,"0")</f>
        <v>9</v>
      </c>
      <c r="Z79" s="631">
        <f>IFERROR(IF(Z77="",0,Z77),"0")+IFERROR(IF(Z78="",0,Z78),"0")</f>
        <v>0.17082</v>
      </c>
      <c r="AA79" s="632"/>
      <c r="AB79" s="632"/>
      <c r="AC79" s="632"/>
    </row>
    <row r="80" spans="1:68" x14ac:dyDescent="0.2">
      <c r="A80" s="644"/>
      <c r="B80" s="644"/>
      <c r="C80" s="644"/>
      <c r="D80" s="644"/>
      <c r="E80" s="644"/>
      <c r="F80" s="644"/>
      <c r="G80" s="644"/>
      <c r="H80" s="644"/>
      <c r="I80" s="644"/>
      <c r="J80" s="644"/>
      <c r="K80" s="644"/>
      <c r="L80" s="644"/>
      <c r="M80" s="644"/>
      <c r="N80" s="644"/>
      <c r="O80" s="645"/>
      <c r="P80" s="637" t="s">
        <v>71</v>
      </c>
      <c r="Q80" s="638"/>
      <c r="R80" s="638"/>
      <c r="S80" s="638"/>
      <c r="T80" s="638"/>
      <c r="U80" s="638"/>
      <c r="V80" s="639"/>
      <c r="W80" s="37" t="s">
        <v>66</v>
      </c>
      <c r="X80" s="631">
        <f>IFERROR(SUM(X77:X78),"0")</f>
        <v>69</v>
      </c>
      <c r="Y80" s="631">
        <f>IFERROR(SUM(Y77:Y78),"0")</f>
        <v>70.2</v>
      </c>
      <c r="Z80" s="37"/>
      <c r="AA80" s="632"/>
      <c r="AB80" s="632"/>
      <c r="AC80" s="632"/>
    </row>
    <row r="81" spans="1:68" ht="16.5" customHeight="1" x14ac:dyDescent="0.25">
      <c r="A81" s="664" t="s">
        <v>169</v>
      </c>
      <c r="B81" s="644"/>
      <c r="C81" s="644"/>
      <c r="D81" s="644"/>
      <c r="E81" s="644"/>
      <c r="F81" s="644"/>
      <c r="G81" s="644"/>
      <c r="H81" s="644"/>
      <c r="I81" s="644"/>
      <c r="J81" s="644"/>
      <c r="K81" s="644"/>
      <c r="L81" s="644"/>
      <c r="M81" s="644"/>
      <c r="N81" s="644"/>
      <c r="O81" s="644"/>
      <c r="P81" s="644"/>
      <c r="Q81" s="644"/>
      <c r="R81" s="644"/>
      <c r="S81" s="644"/>
      <c r="T81" s="644"/>
      <c r="U81" s="644"/>
      <c r="V81" s="644"/>
      <c r="W81" s="644"/>
      <c r="X81" s="644"/>
      <c r="Y81" s="644"/>
      <c r="Z81" s="644"/>
      <c r="AA81" s="624"/>
      <c r="AB81" s="624"/>
      <c r="AC81" s="624"/>
    </row>
    <row r="82" spans="1:68" ht="14.25" customHeight="1" x14ac:dyDescent="0.25">
      <c r="A82" s="661" t="s">
        <v>112</v>
      </c>
      <c r="B82" s="644"/>
      <c r="C82" s="644"/>
      <c r="D82" s="644"/>
      <c r="E82" s="644"/>
      <c r="F82" s="644"/>
      <c r="G82" s="644"/>
      <c r="H82" s="644"/>
      <c r="I82" s="644"/>
      <c r="J82" s="644"/>
      <c r="K82" s="644"/>
      <c r="L82" s="644"/>
      <c r="M82" s="644"/>
      <c r="N82" s="644"/>
      <c r="O82" s="644"/>
      <c r="P82" s="644"/>
      <c r="Q82" s="644"/>
      <c r="R82" s="644"/>
      <c r="S82" s="644"/>
      <c r="T82" s="644"/>
      <c r="U82" s="644"/>
      <c r="V82" s="644"/>
      <c r="W82" s="644"/>
      <c r="X82" s="644"/>
      <c r="Y82" s="644"/>
      <c r="Z82" s="644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5">
        <v>4680115881327</v>
      </c>
      <c r="E83" s="636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47"/>
      <c r="R83" s="647"/>
      <c r="S83" s="647"/>
      <c r="T83" s="648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5">
        <v>4680115887732</v>
      </c>
      <c r="E84" s="636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7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47"/>
      <c r="R84" s="647"/>
      <c r="S84" s="647"/>
      <c r="T84" s="648"/>
      <c r="U84" s="34"/>
      <c r="V84" s="34"/>
      <c r="W84" s="35" t="s">
        <v>66</v>
      </c>
      <c r="X84" s="629">
        <v>90</v>
      </c>
      <c r="Y84" s="630">
        <f>IFERROR(IF(X84="",0,CEILING((X84/$H84),1)*$H84),"")</f>
        <v>90.1</v>
      </c>
      <c r="Z84" s="36">
        <f>IFERROR(IF(Y84=0,"",ROUNDUP(Y84/H84,0)*0.00726),"")</f>
        <v>0.38478000000000001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95.294117647058826</v>
      </c>
      <c r="BN84" s="64">
        <f>IFERROR(Y84*I84/H84,"0")</f>
        <v>95.4</v>
      </c>
      <c r="BO84" s="64">
        <f>IFERROR(1/J84*(X84/H84),"0")</f>
        <v>0.27573529411764708</v>
      </c>
      <c r="BP84" s="64">
        <f>IFERROR(1/J84*(Y84/H84),"0")</f>
        <v>0.27604166666666663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5">
        <v>4680115881518</v>
      </c>
      <c r="E85" s="636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6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47"/>
      <c r="R85" s="647"/>
      <c r="S85" s="647"/>
      <c r="T85" s="648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5">
        <v>4680115881303</v>
      </c>
      <c r="E86" s="636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9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47"/>
      <c r="R86" s="647"/>
      <c r="S86" s="647"/>
      <c r="T86" s="648"/>
      <c r="U86" s="34"/>
      <c r="V86" s="34"/>
      <c r="W86" s="35" t="s">
        <v>66</v>
      </c>
      <c r="X86" s="629">
        <v>127</v>
      </c>
      <c r="Y86" s="630">
        <f>IFERROR(IF(X86="",0,CEILING((X86/$H86),1)*$H86),"")</f>
        <v>130.5</v>
      </c>
      <c r="Z86" s="36">
        <f>IFERROR(IF(Y86=0,"",ROUNDUP(Y86/H86,0)*0.00902),"")</f>
        <v>0.26158000000000003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132.36222222222221</v>
      </c>
      <c r="BN86" s="64">
        <f>IFERROR(Y86*I86/H86,"0")</f>
        <v>136.01000000000002</v>
      </c>
      <c r="BO86" s="64">
        <f>IFERROR(1/J86*(X86/H86),"0")</f>
        <v>0.2138047138047138</v>
      </c>
      <c r="BP86" s="64">
        <f>IFERROR(1/J86*(Y86/H86),"0")</f>
        <v>0.2196969696969697</v>
      </c>
    </row>
    <row r="87" spans="1:68" x14ac:dyDescent="0.2">
      <c r="A87" s="643"/>
      <c r="B87" s="644"/>
      <c r="C87" s="644"/>
      <c r="D87" s="644"/>
      <c r="E87" s="644"/>
      <c r="F87" s="644"/>
      <c r="G87" s="644"/>
      <c r="H87" s="644"/>
      <c r="I87" s="644"/>
      <c r="J87" s="644"/>
      <c r="K87" s="644"/>
      <c r="L87" s="644"/>
      <c r="M87" s="644"/>
      <c r="N87" s="644"/>
      <c r="O87" s="645"/>
      <c r="P87" s="637" t="s">
        <v>71</v>
      </c>
      <c r="Q87" s="638"/>
      <c r="R87" s="638"/>
      <c r="S87" s="638"/>
      <c r="T87" s="638"/>
      <c r="U87" s="638"/>
      <c r="V87" s="639"/>
      <c r="W87" s="37" t="s">
        <v>72</v>
      </c>
      <c r="X87" s="631">
        <f>IFERROR(X83/H83,"0")+IFERROR(X84/H84,"0")+IFERROR(X85/H85,"0")+IFERROR(X86/H86,"0")</f>
        <v>81.16339869281046</v>
      </c>
      <c r="Y87" s="631">
        <f>IFERROR(Y83/H83,"0")+IFERROR(Y84/H84,"0")+IFERROR(Y85/H85,"0")+IFERROR(Y86/H86,"0")</f>
        <v>82</v>
      </c>
      <c r="Z87" s="631">
        <f>IFERROR(IF(Z83="",0,Z83),"0")+IFERROR(IF(Z84="",0,Z84),"0")+IFERROR(IF(Z85="",0,Z85),"0")+IFERROR(IF(Z86="",0,Z86),"0")</f>
        <v>0.64636000000000005</v>
      </c>
      <c r="AA87" s="632"/>
      <c r="AB87" s="632"/>
      <c r="AC87" s="632"/>
    </row>
    <row r="88" spans="1:68" x14ac:dyDescent="0.2">
      <c r="A88" s="644"/>
      <c r="B88" s="644"/>
      <c r="C88" s="644"/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5"/>
      <c r="P88" s="637" t="s">
        <v>71</v>
      </c>
      <c r="Q88" s="638"/>
      <c r="R88" s="638"/>
      <c r="S88" s="638"/>
      <c r="T88" s="638"/>
      <c r="U88" s="638"/>
      <c r="V88" s="639"/>
      <c r="W88" s="37" t="s">
        <v>66</v>
      </c>
      <c r="X88" s="631">
        <f>IFERROR(SUM(X83:X86),"0")</f>
        <v>217</v>
      </c>
      <c r="Y88" s="631">
        <f>IFERROR(SUM(Y83:Y86),"0")</f>
        <v>220.6</v>
      </c>
      <c r="Z88" s="37"/>
      <c r="AA88" s="632"/>
      <c r="AB88" s="632"/>
      <c r="AC88" s="632"/>
    </row>
    <row r="89" spans="1:68" ht="14.25" customHeight="1" x14ac:dyDescent="0.25">
      <c r="A89" s="661" t="s">
        <v>73</v>
      </c>
      <c r="B89" s="644"/>
      <c r="C89" s="644"/>
      <c r="D89" s="644"/>
      <c r="E89" s="644"/>
      <c r="F89" s="644"/>
      <c r="G89" s="644"/>
      <c r="H89" s="644"/>
      <c r="I89" s="644"/>
      <c r="J89" s="644"/>
      <c r="K89" s="644"/>
      <c r="L89" s="644"/>
      <c r="M89" s="644"/>
      <c r="N89" s="644"/>
      <c r="O89" s="644"/>
      <c r="P89" s="644"/>
      <c r="Q89" s="644"/>
      <c r="R89" s="644"/>
      <c r="S89" s="644"/>
      <c r="T89" s="644"/>
      <c r="U89" s="644"/>
      <c r="V89" s="644"/>
      <c r="W89" s="644"/>
      <c r="X89" s="644"/>
      <c r="Y89" s="644"/>
      <c r="Z89" s="644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5">
        <v>4607091386967</v>
      </c>
      <c r="E90" s="636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47"/>
      <c r="R90" s="647"/>
      <c r="S90" s="647"/>
      <c r="T90" s="648"/>
      <c r="U90" s="34"/>
      <c r="V90" s="34"/>
      <c r="W90" s="35" t="s">
        <v>66</v>
      </c>
      <c r="X90" s="629">
        <v>400</v>
      </c>
      <c r="Y90" s="630">
        <f>IFERROR(IF(X90="",0,CEILING((X90/$H90),1)*$H90),"")</f>
        <v>405</v>
      </c>
      <c r="Z90" s="36">
        <f>IFERROR(IF(Y90=0,"",ROUNDUP(Y90/H90,0)*0.01898),"")</f>
        <v>0.94900000000000007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424.39506172839509</v>
      </c>
      <c r="BN90" s="64">
        <f>IFERROR(Y90*I90/H90,"0")</f>
        <v>429.7</v>
      </c>
      <c r="BO90" s="64">
        <f>IFERROR(1/J90*(X90/H90),"0")</f>
        <v>0.77160493827160492</v>
      </c>
      <c r="BP90" s="64">
        <f>IFERROR(1/J90*(Y90/H90),"0")</f>
        <v>0.78125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5">
        <v>4680115884953</v>
      </c>
      <c r="E91" s="636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47"/>
      <c r="R91" s="647"/>
      <c r="S91" s="647"/>
      <c r="T91" s="648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5">
        <v>4607091385731</v>
      </c>
      <c r="E92" s="636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9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47"/>
      <c r="R92" s="647"/>
      <c r="S92" s="647"/>
      <c r="T92" s="648"/>
      <c r="U92" s="34"/>
      <c r="V92" s="34"/>
      <c r="W92" s="35" t="s">
        <v>66</v>
      </c>
      <c r="X92" s="629">
        <v>315</v>
      </c>
      <c r="Y92" s="630">
        <f>IFERROR(IF(X92="",0,CEILING((X92/$H92),1)*$H92),"")</f>
        <v>315.90000000000003</v>
      </c>
      <c r="Z92" s="36">
        <f>IFERROR(IF(Y92=0,"",ROUNDUP(Y92/H92,0)*0.00651),"")</f>
        <v>0.76167000000000007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344.4</v>
      </c>
      <c r="BN92" s="64">
        <f>IFERROR(Y92*I92/H92,"0")</f>
        <v>345.38400000000001</v>
      </c>
      <c r="BO92" s="64">
        <f>IFERROR(1/J92*(X92/H92),"0")</f>
        <v>0.64102564102564097</v>
      </c>
      <c r="BP92" s="64">
        <f>IFERROR(1/J92*(Y92/H92),"0")</f>
        <v>0.6428571428571429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5">
        <v>4680115880894</v>
      </c>
      <c r="E93" s="636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8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47"/>
      <c r="R93" s="647"/>
      <c r="S93" s="647"/>
      <c r="T93" s="648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3"/>
      <c r="B94" s="644"/>
      <c r="C94" s="644"/>
      <c r="D94" s="644"/>
      <c r="E94" s="644"/>
      <c r="F94" s="644"/>
      <c r="G94" s="644"/>
      <c r="H94" s="644"/>
      <c r="I94" s="644"/>
      <c r="J94" s="644"/>
      <c r="K94" s="644"/>
      <c r="L94" s="644"/>
      <c r="M94" s="644"/>
      <c r="N94" s="644"/>
      <c r="O94" s="645"/>
      <c r="P94" s="637" t="s">
        <v>71</v>
      </c>
      <c r="Q94" s="638"/>
      <c r="R94" s="638"/>
      <c r="S94" s="638"/>
      <c r="T94" s="638"/>
      <c r="U94" s="638"/>
      <c r="V94" s="639"/>
      <c r="W94" s="37" t="s">
        <v>72</v>
      </c>
      <c r="X94" s="631">
        <f>IFERROR(X90/H90,"0")+IFERROR(X91/H91,"0")+IFERROR(X92/H92,"0")+IFERROR(X93/H93,"0")</f>
        <v>166.04938271604937</v>
      </c>
      <c r="Y94" s="631">
        <f>IFERROR(Y90/H90,"0")+IFERROR(Y91/H91,"0")+IFERROR(Y92/H92,"0")+IFERROR(Y93/H93,"0")</f>
        <v>167</v>
      </c>
      <c r="Z94" s="631">
        <f>IFERROR(IF(Z90="",0,Z90),"0")+IFERROR(IF(Z91="",0,Z91),"0")+IFERROR(IF(Z92="",0,Z92),"0")+IFERROR(IF(Z93="",0,Z93),"0")</f>
        <v>1.7106700000000001</v>
      </c>
      <c r="AA94" s="632"/>
      <c r="AB94" s="632"/>
      <c r="AC94" s="632"/>
    </row>
    <row r="95" spans="1:68" x14ac:dyDescent="0.2">
      <c r="A95" s="644"/>
      <c r="B95" s="644"/>
      <c r="C95" s="644"/>
      <c r="D95" s="644"/>
      <c r="E95" s="644"/>
      <c r="F95" s="644"/>
      <c r="G95" s="644"/>
      <c r="H95" s="644"/>
      <c r="I95" s="644"/>
      <c r="J95" s="644"/>
      <c r="K95" s="644"/>
      <c r="L95" s="644"/>
      <c r="M95" s="644"/>
      <c r="N95" s="644"/>
      <c r="O95" s="645"/>
      <c r="P95" s="637" t="s">
        <v>71</v>
      </c>
      <c r="Q95" s="638"/>
      <c r="R95" s="638"/>
      <c r="S95" s="638"/>
      <c r="T95" s="638"/>
      <c r="U95" s="638"/>
      <c r="V95" s="639"/>
      <c r="W95" s="37" t="s">
        <v>66</v>
      </c>
      <c r="X95" s="631">
        <f>IFERROR(SUM(X90:X93),"0")</f>
        <v>715</v>
      </c>
      <c r="Y95" s="631">
        <f>IFERROR(SUM(Y90:Y93),"0")</f>
        <v>720.90000000000009</v>
      </c>
      <c r="Z95" s="37"/>
      <c r="AA95" s="632"/>
      <c r="AB95" s="632"/>
      <c r="AC95" s="632"/>
    </row>
    <row r="96" spans="1:68" ht="16.5" customHeight="1" x14ac:dyDescent="0.25">
      <c r="A96" s="664" t="s">
        <v>190</v>
      </c>
      <c r="B96" s="644"/>
      <c r="C96" s="644"/>
      <c r="D96" s="644"/>
      <c r="E96" s="644"/>
      <c r="F96" s="644"/>
      <c r="G96" s="644"/>
      <c r="H96" s="644"/>
      <c r="I96" s="644"/>
      <c r="J96" s="644"/>
      <c r="K96" s="644"/>
      <c r="L96" s="644"/>
      <c r="M96" s="644"/>
      <c r="N96" s="644"/>
      <c r="O96" s="644"/>
      <c r="P96" s="644"/>
      <c r="Q96" s="644"/>
      <c r="R96" s="644"/>
      <c r="S96" s="644"/>
      <c r="T96" s="644"/>
      <c r="U96" s="644"/>
      <c r="V96" s="644"/>
      <c r="W96" s="644"/>
      <c r="X96" s="644"/>
      <c r="Y96" s="644"/>
      <c r="Z96" s="644"/>
      <c r="AA96" s="624"/>
      <c r="AB96" s="624"/>
      <c r="AC96" s="624"/>
    </row>
    <row r="97" spans="1:68" ht="14.25" customHeight="1" x14ac:dyDescent="0.25">
      <c r="A97" s="661" t="s">
        <v>112</v>
      </c>
      <c r="B97" s="644"/>
      <c r="C97" s="644"/>
      <c r="D97" s="644"/>
      <c r="E97" s="644"/>
      <c r="F97" s="644"/>
      <c r="G97" s="644"/>
      <c r="H97" s="644"/>
      <c r="I97" s="644"/>
      <c r="J97" s="644"/>
      <c r="K97" s="644"/>
      <c r="L97" s="644"/>
      <c r="M97" s="644"/>
      <c r="N97" s="644"/>
      <c r="O97" s="644"/>
      <c r="P97" s="644"/>
      <c r="Q97" s="644"/>
      <c r="R97" s="644"/>
      <c r="S97" s="644"/>
      <c r="T97" s="644"/>
      <c r="U97" s="644"/>
      <c r="V97" s="644"/>
      <c r="W97" s="644"/>
      <c r="X97" s="644"/>
      <c r="Y97" s="644"/>
      <c r="Z97" s="644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5">
        <v>4680115882133</v>
      </c>
      <c r="E98" s="636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75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47"/>
      <c r="R98" s="647"/>
      <c r="S98" s="647"/>
      <c r="T98" s="648"/>
      <c r="U98" s="34"/>
      <c r="V98" s="34"/>
      <c r="W98" s="35" t="s">
        <v>66</v>
      </c>
      <c r="X98" s="629">
        <v>316</v>
      </c>
      <c r="Y98" s="630">
        <f t="shared" ref="Y98:Y104" si="11">IFERROR(IF(X98="",0,CEILING((X98/$H98),1)*$H98),"")</f>
        <v>324</v>
      </c>
      <c r="Z98" s="36">
        <f>IFERROR(IF(Y98=0,"",ROUNDUP(Y98/H98,0)*0.01898),"")</f>
        <v>0.56940000000000002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327.99629629629629</v>
      </c>
      <c r="BN98" s="64">
        <f t="shared" ref="BN98:BN104" si="13">IFERROR(Y98*I98/H98,"0")</f>
        <v>336.3</v>
      </c>
      <c r="BO98" s="64">
        <f t="shared" ref="BO98:BO104" si="14">IFERROR(1/J98*(X98/H98),"0")</f>
        <v>0.45717592592592587</v>
      </c>
      <c r="BP98" s="64">
        <f t="shared" ref="BP98:BP104" si="15">IFERROR(1/J98*(Y98/H98),"0")</f>
        <v>0.46874999999999994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5">
        <v>4680115887718</v>
      </c>
      <c r="E99" s="636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9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47"/>
      <c r="R99" s="647"/>
      <c r="S99" s="647"/>
      <c r="T99" s="648"/>
      <c r="U99" s="34"/>
      <c r="V99" s="34"/>
      <c r="W99" s="35" t="s">
        <v>66</v>
      </c>
      <c r="X99" s="629">
        <v>64</v>
      </c>
      <c r="Y99" s="630">
        <f t="shared" si="11"/>
        <v>64.900000000000006</v>
      </c>
      <c r="Z99" s="36">
        <f>IFERROR(IF(Y99=0,"",ROUNDUP(Y99/H99,0)*0.00726),"")</f>
        <v>0.42834</v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76.218181818181819</v>
      </c>
      <c r="BN99" s="64">
        <f t="shared" si="13"/>
        <v>77.289999999999992</v>
      </c>
      <c r="BO99" s="64">
        <f t="shared" si="14"/>
        <v>0.30303030303030298</v>
      </c>
      <c r="BP99" s="64">
        <f t="shared" si="15"/>
        <v>0.30729166666666663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5">
        <v>4680115887718</v>
      </c>
      <c r="E100" s="636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9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7"/>
      <c r="R100" s="647"/>
      <c r="S100" s="647"/>
      <c r="T100" s="648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5">
        <v>4680115887718</v>
      </c>
      <c r="E101" s="636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73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7"/>
      <c r="R101" s="647"/>
      <c r="S101" s="647"/>
      <c r="T101" s="648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5">
        <v>4680115880269</v>
      </c>
      <c r="E102" s="636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73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47"/>
      <c r="R102" s="647"/>
      <c r="S102" s="647"/>
      <c r="T102" s="648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5">
        <v>4680115880429</v>
      </c>
      <c r="E103" s="636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9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47"/>
      <c r="R103" s="647"/>
      <c r="S103" s="647"/>
      <c r="T103" s="648"/>
      <c r="U103" s="34"/>
      <c r="V103" s="34"/>
      <c r="W103" s="35" t="s">
        <v>66</v>
      </c>
      <c r="X103" s="629">
        <v>322</v>
      </c>
      <c r="Y103" s="630">
        <f t="shared" si="11"/>
        <v>324</v>
      </c>
      <c r="Z103" s="36">
        <f>IFERROR(IF(Y103=0,"",ROUNDUP(Y103/H103,0)*0.00902),"")</f>
        <v>0.64944000000000002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335.59555555555556</v>
      </c>
      <c r="BN103" s="64">
        <f t="shared" si="13"/>
        <v>337.68000000000006</v>
      </c>
      <c r="BO103" s="64">
        <f t="shared" si="14"/>
        <v>0.54208754208754206</v>
      </c>
      <c r="BP103" s="64">
        <f t="shared" si="15"/>
        <v>0.54545454545454541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5">
        <v>4680115881457</v>
      </c>
      <c r="E104" s="636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9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47"/>
      <c r="R104" s="647"/>
      <c r="S104" s="647"/>
      <c r="T104" s="648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3"/>
      <c r="B105" s="644"/>
      <c r="C105" s="644"/>
      <c r="D105" s="644"/>
      <c r="E105" s="644"/>
      <c r="F105" s="644"/>
      <c r="G105" s="644"/>
      <c r="H105" s="644"/>
      <c r="I105" s="644"/>
      <c r="J105" s="644"/>
      <c r="K105" s="644"/>
      <c r="L105" s="644"/>
      <c r="M105" s="644"/>
      <c r="N105" s="644"/>
      <c r="O105" s="645"/>
      <c r="P105" s="637" t="s">
        <v>71</v>
      </c>
      <c r="Q105" s="638"/>
      <c r="R105" s="638"/>
      <c r="S105" s="638"/>
      <c r="T105" s="638"/>
      <c r="U105" s="638"/>
      <c r="V105" s="639"/>
      <c r="W105" s="37" t="s">
        <v>72</v>
      </c>
      <c r="X105" s="631">
        <f>IFERROR(X98/H98,"0")+IFERROR(X99/H99,"0")+IFERROR(X100/H100,"0")+IFERROR(X101/H101,"0")+IFERROR(X102/H102,"0")+IFERROR(X103/H103,"0")+IFERROR(X104/H104,"0")</f>
        <v>158.996632996633</v>
      </c>
      <c r="Y105" s="631">
        <f>IFERROR(Y98/H98,"0")+IFERROR(Y99/H99,"0")+IFERROR(Y100/H100,"0")+IFERROR(Y101/H101,"0")+IFERROR(Y102/H102,"0")+IFERROR(Y103/H103,"0")+IFERROR(Y104/H104,"0")</f>
        <v>161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1.6471800000000001</v>
      </c>
      <c r="AA105" s="632"/>
      <c r="AB105" s="632"/>
      <c r="AC105" s="632"/>
    </row>
    <row r="106" spans="1:68" x14ac:dyDescent="0.2">
      <c r="A106" s="644"/>
      <c r="B106" s="644"/>
      <c r="C106" s="644"/>
      <c r="D106" s="644"/>
      <c r="E106" s="644"/>
      <c r="F106" s="644"/>
      <c r="G106" s="644"/>
      <c r="H106" s="644"/>
      <c r="I106" s="644"/>
      <c r="J106" s="644"/>
      <c r="K106" s="644"/>
      <c r="L106" s="644"/>
      <c r="M106" s="644"/>
      <c r="N106" s="644"/>
      <c r="O106" s="645"/>
      <c r="P106" s="637" t="s">
        <v>71</v>
      </c>
      <c r="Q106" s="638"/>
      <c r="R106" s="638"/>
      <c r="S106" s="638"/>
      <c r="T106" s="638"/>
      <c r="U106" s="638"/>
      <c r="V106" s="639"/>
      <c r="W106" s="37" t="s">
        <v>66</v>
      </c>
      <c r="X106" s="631">
        <f>IFERROR(SUM(X98:X104),"0")</f>
        <v>702</v>
      </c>
      <c r="Y106" s="631">
        <f>IFERROR(SUM(Y98:Y104),"0")</f>
        <v>712.9</v>
      </c>
      <c r="Z106" s="37"/>
      <c r="AA106" s="632"/>
      <c r="AB106" s="632"/>
      <c r="AC106" s="632"/>
    </row>
    <row r="107" spans="1:68" ht="14.25" customHeight="1" x14ac:dyDescent="0.25">
      <c r="A107" s="661" t="s">
        <v>145</v>
      </c>
      <c r="B107" s="644"/>
      <c r="C107" s="644"/>
      <c r="D107" s="644"/>
      <c r="E107" s="644"/>
      <c r="F107" s="644"/>
      <c r="G107" s="644"/>
      <c r="H107" s="644"/>
      <c r="I107" s="644"/>
      <c r="J107" s="644"/>
      <c r="K107" s="644"/>
      <c r="L107" s="644"/>
      <c r="M107" s="644"/>
      <c r="N107" s="644"/>
      <c r="O107" s="644"/>
      <c r="P107" s="644"/>
      <c r="Q107" s="644"/>
      <c r="R107" s="644"/>
      <c r="S107" s="644"/>
      <c r="T107" s="644"/>
      <c r="U107" s="644"/>
      <c r="V107" s="644"/>
      <c r="W107" s="644"/>
      <c r="X107" s="644"/>
      <c r="Y107" s="644"/>
      <c r="Z107" s="644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5">
        <v>4680115881488</v>
      </c>
      <c r="E108" s="636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47"/>
      <c r="R108" s="647"/>
      <c r="S108" s="647"/>
      <c r="T108" s="648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5">
        <v>4680115887664</v>
      </c>
      <c r="E109" s="636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7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47"/>
      <c r="R109" s="647"/>
      <c r="S109" s="647"/>
      <c r="T109" s="648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5">
        <v>4680115887664</v>
      </c>
      <c r="E110" s="636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71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7"/>
      <c r="R110" s="647"/>
      <c r="S110" s="647"/>
      <c r="T110" s="648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5">
        <v>4680115882775</v>
      </c>
      <c r="E111" s="636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7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47"/>
      <c r="R111" s="647"/>
      <c r="S111" s="647"/>
      <c r="T111" s="648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5">
        <v>4680115880658</v>
      </c>
      <c r="E112" s="636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73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47"/>
      <c r="R112" s="647"/>
      <c r="S112" s="647"/>
      <c r="T112" s="648"/>
      <c r="U112" s="34"/>
      <c r="V112" s="34"/>
      <c r="W112" s="35" t="s">
        <v>66</v>
      </c>
      <c r="X112" s="629">
        <v>10</v>
      </c>
      <c r="Y112" s="630">
        <f>IFERROR(IF(X112="",0,CEILING((X112/$H112),1)*$H112),"")</f>
        <v>12</v>
      </c>
      <c r="Z112" s="36">
        <f>IFERROR(IF(Y112=0,"",ROUNDUP(Y112/H112,0)*0.00651),"")</f>
        <v>3.2550000000000003E-2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10.75</v>
      </c>
      <c r="BN112" s="64">
        <f>IFERROR(Y112*I112/H112,"0")</f>
        <v>12.9</v>
      </c>
      <c r="BO112" s="64">
        <f>IFERROR(1/J112*(X112/H112),"0")</f>
        <v>2.2893772893772896E-2</v>
      </c>
      <c r="BP112" s="64">
        <f>IFERROR(1/J112*(Y112/H112),"0")</f>
        <v>2.7472527472527476E-2</v>
      </c>
    </row>
    <row r="113" spans="1:68" x14ac:dyDescent="0.2">
      <c r="A113" s="643"/>
      <c r="B113" s="644"/>
      <c r="C113" s="644"/>
      <c r="D113" s="644"/>
      <c r="E113" s="644"/>
      <c r="F113" s="644"/>
      <c r="G113" s="644"/>
      <c r="H113" s="644"/>
      <c r="I113" s="644"/>
      <c r="J113" s="644"/>
      <c r="K113" s="644"/>
      <c r="L113" s="644"/>
      <c r="M113" s="644"/>
      <c r="N113" s="644"/>
      <c r="O113" s="645"/>
      <c r="P113" s="637" t="s">
        <v>71</v>
      </c>
      <c r="Q113" s="638"/>
      <c r="R113" s="638"/>
      <c r="S113" s="638"/>
      <c r="T113" s="638"/>
      <c r="U113" s="638"/>
      <c r="V113" s="639"/>
      <c r="W113" s="37" t="s">
        <v>72</v>
      </c>
      <c r="X113" s="631">
        <f>IFERROR(X108/H108,"0")+IFERROR(X109/H109,"0")+IFERROR(X110/H110,"0")+IFERROR(X111/H111,"0")+IFERROR(X112/H112,"0")</f>
        <v>4.166666666666667</v>
      </c>
      <c r="Y113" s="631">
        <f>IFERROR(Y108/H108,"0")+IFERROR(Y109/H109,"0")+IFERROR(Y110/H110,"0")+IFERROR(Y111/H111,"0")+IFERROR(Y112/H112,"0")</f>
        <v>5</v>
      </c>
      <c r="Z113" s="631">
        <f>IFERROR(IF(Z108="",0,Z108),"0")+IFERROR(IF(Z109="",0,Z109),"0")+IFERROR(IF(Z110="",0,Z110),"0")+IFERROR(IF(Z111="",0,Z111),"0")+IFERROR(IF(Z112="",0,Z112),"0")</f>
        <v>3.2550000000000003E-2</v>
      </c>
      <c r="AA113" s="632"/>
      <c r="AB113" s="632"/>
      <c r="AC113" s="632"/>
    </row>
    <row r="114" spans="1:68" x14ac:dyDescent="0.2">
      <c r="A114" s="644"/>
      <c r="B114" s="644"/>
      <c r="C114" s="644"/>
      <c r="D114" s="644"/>
      <c r="E114" s="644"/>
      <c r="F114" s="644"/>
      <c r="G114" s="644"/>
      <c r="H114" s="644"/>
      <c r="I114" s="644"/>
      <c r="J114" s="644"/>
      <c r="K114" s="644"/>
      <c r="L114" s="644"/>
      <c r="M114" s="644"/>
      <c r="N114" s="644"/>
      <c r="O114" s="645"/>
      <c r="P114" s="637" t="s">
        <v>71</v>
      </c>
      <c r="Q114" s="638"/>
      <c r="R114" s="638"/>
      <c r="S114" s="638"/>
      <c r="T114" s="638"/>
      <c r="U114" s="638"/>
      <c r="V114" s="639"/>
      <c r="W114" s="37" t="s">
        <v>66</v>
      </c>
      <c r="X114" s="631">
        <f>IFERROR(SUM(X108:X112),"0")</f>
        <v>10</v>
      </c>
      <c r="Y114" s="631">
        <f>IFERROR(SUM(Y108:Y112),"0")</f>
        <v>12</v>
      </c>
      <c r="Z114" s="37"/>
      <c r="AA114" s="632"/>
      <c r="AB114" s="632"/>
      <c r="AC114" s="632"/>
    </row>
    <row r="115" spans="1:68" ht="14.25" customHeight="1" x14ac:dyDescent="0.25">
      <c r="A115" s="661" t="s">
        <v>73</v>
      </c>
      <c r="B115" s="644"/>
      <c r="C115" s="644"/>
      <c r="D115" s="644"/>
      <c r="E115" s="644"/>
      <c r="F115" s="644"/>
      <c r="G115" s="644"/>
      <c r="H115" s="644"/>
      <c r="I115" s="644"/>
      <c r="J115" s="644"/>
      <c r="K115" s="644"/>
      <c r="L115" s="644"/>
      <c r="M115" s="644"/>
      <c r="N115" s="644"/>
      <c r="O115" s="644"/>
      <c r="P115" s="644"/>
      <c r="Q115" s="644"/>
      <c r="R115" s="644"/>
      <c r="S115" s="644"/>
      <c r="T115" s="644"/>
      <c r="U115" s="644"/>
      <c r="V115" s="644"/>
      <c r="W115" s="644"/>
      <c r="X115" s="644"/>
      <c r="Y115" s="644"/>
      <c r="Z115" s="644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5">
        <v>4607091385168</v>
      </c>
      <c r="E116" s="636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92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47"/>
      <c r="R116" s="647"/>
      <c r="S116" s="647"/>
      <c r="T116" s="648"/>
      <c r="U116" s="34"/>
      <c r="V116" s="34"/>
      <c r="W116" s="35" t="s">
        <v>66</v>
      </c>
      <c r="X116" s="629">
        <v>858</v>
      </c>
      <c r="Y116" s="630">
        <f>IFERROR(IF(X116="",0,CEILING((X116/$H116),1)*$H116),"")</f>
        <v>858.59999999999991</v>
      </c>
      <c r="Z116" s="36">
        <f>IFERROR(IF(Y116=0,"",ROUNDUP(Y116/H116,0)*0.01898),"")</f>
        <v>2.0118800000000001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909.69185185185177</v>
      </c>
      <c r="BN116" s="64">
        <f>IFERROR(Y116*I116/H116,"0")</f>
        <v>910.32799999999986</v>
      </c>
      <c r="BO116" s="64">
        <f>IFERROR(1/J116*(X116/H116),"0")</f>
        <v>1.6550925925925926</v>
      </c>
      <c r="BP116" s="64">
        <f>IFERROR(1/J116*(Y116/H116),"0")</f>
        <v>1.65625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5">
        <v>4607091383256</v>
      </c>
      <c r="E117" s="636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47"/>
      <c r="R117" s="647"/>
      <c r="S117" s="647"/>
      <c r="T117" s="648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5">
        <v>4607091385748</v>
      </c>
      <c r="E118" s="636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47"/>
      <c r="R118" s="647"/>
      <c r="S118" s="647"/>
      <c r="T118" s="648"/>
      <c r="U118" s="34"/>
      <c r="V118" s="34"/>
      <c r="W118" s="35" t="s">
        <v>66</v>
      </c>
      <c r="X118" s="629">
        <v>822</v>
      </c>
      <c r="Y118" s="630">
        <f>IFERROR(IF(X118="",0,CEILING((X118/$H118),1)*$H118),"")</f>
        <v>823.5</v>
      </c>
      <c r="Z118" s="36">
        <f>IFERROR(IF(Y118=0,"",ROUNDUP(Y118/H118,0)*0.00651),"")</f>
        <v>1.9855500000000001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898.71999999999991</v>
      </c>
      <c r="BN118" s="64">
        <f>IFERROR(Y118*I118/H118,"0")</f>
        <v>900.3599999999999</v>
      </c>
      <c r="BO118" s="64">
        <f>IFERROR(1/J118*(X118/H118),"0")</f>
        <v>1.6727716727716726</v>
      </c>
      <c r="BP118" s="64">
        <f>IFERROR(1/J118*(Y118/H118),"0")</f>
        <v>1.6758241758241759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5">
        <v>4680115884533</v>
      </c>
      <c r="E119" s="636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89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47"/>
      <c r="R119" s="647"/>
      <c r="S119" s="647"/>
      <c r="T119" s="648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3"/>
      <c r="B120" s="644"/>
      <c r="C120" s="644"/>
      <c r="D120" s="644"/>
      <c r="E120" s="644"/>
      <c r="F120" s="644"/>
      <c r="G120" s="644"/>
      <c r="H120" s="644"/>
      <c r="I120" s="644"/>
      <c r="J120" s="644"/>
      <c r="K120" s="644"/>
      <c r="L120" s="644"/>
      <c r="M120" s="644"/>
      <c r="N120" s="644"/>
      <c r="O120" s="645"/>
      <c r="P120" s="637" t="s">
        <v>71</v>
      </c>
      <c r="Q120" s="638"/>
      <c r="R120" s="638"/>
      <c r="S120" s="638"/>
      <c r="T120" s="638"/>
      <c r="U120" s="638"/>
      <c r="V120" s="639"/>
      <c r="W120" s="37" t="s">
        <v>72</v>
      </c>
      <c r="X120" s="631">
        <f>IFERROR(X116/H116,"0")+IFERROR(X117/H117,"0")+IFERROR(X118/H118,"0")+IFERROR(X119/H119,"0")</f>
        <v>410.37037037037032</v>
      </c>
      <c r="Y120" s="631">
        <f>IFERROR(Y116/H116,"0")+IFERROR(Y117/H117,"0")+IFERROR(Y118/H118,"0")+IFERROR(Y119/H119,"0")</f>
        <v>411</v>
      </c>
      <c r="Z120" s="631">
        <f>IFERROR(IF(Z116="",0,Z116),"0")+IFERROR(IF(Z117="",0,Z117),"0")+IFERROR(IF(Z118="",0,Z118),"0")+IFERROR(IF(Z119="",0,Z119),"0")</f>
        <v>3.9974300000000005</v>
      </c>
      <c r="AA120" s="632"/>
      <c r="AB120" s="632"/>
      <c r="AC120" s="632"/>
    </row>
    <row r="121" spans="1:68" x14ac:dyDescent="0.2">
      <c r="A121" s="644"/>
      <c r="B121" s="644"/>
      <c r="C121" s="644"/>
      <c r="D121" s="644"/>
      <c r="E121" s="644"/>
      <c r="F121" s="644"/>
      <c r="G121" s="644"/>
      <c r="H121" s="644"/>
      <c r="I121" s="644"/>
      <c r="J121" s="644"/>
      <c r="K121" s="644"/>
      <c r="L121" s="644"/>
      <c r="M121" s="644"/>
      <c r="N121" s="644"/>
      <c r="O121" s="645"/>
      <c r="P121" s="637" t="s">
        <v>71</v>
      </c>
      <c r="Q121" s="638"/>
      <c r="R121" s="638"/>
      <c r="S121" s="638"/>
      <c r="T121" s="638"/>
      <c r="U121" s="638"/>
      <c r="V121" s="639"/>
      <c r="W121" s="37" t="s">
        <v>66</v>
      </c>
      <c r="X121" s="631">
        <f>IFERROR(SUM(X116:X119),"0")</f>
        <v>1680</v>
      </c>
      <c r="Y121" s="631">
        <f>IFERROR(SUM(Y116:Y119),"0")</f>
        <v>1682.1</v>
      </c>
      <c r="Z121" s="37"/>
      <c r="AA121" s="632"/>
      <c r="AB121" s="632"/>
      <c r="AC121" s="632"/>
    </row>
    <row r="122" spans="1:68" ht="14.25" customHeight="1" x14ac:dyDescent="0.25">
      <c r="A122" s="661" t="s">
        <v>162</v>
      </c>
      <c r="B122" s="644"/>
      <c r="C122" s="644"/>
      <c r="D122" s="644"/>
      <c r="E122" s="644"/>
      <c r="F122" s="644"/>
      <c r="G122" s="644"/>
      <c r="H122" s="644"/>
      <c r="I122" s="644"/>
      <c r="J122" s="644"/>
      <c r="K122" s="644"/>
      <c r="L122" s="644"/>
      <c r="M122" s="644"/>
      <c r="N122" s="644"/>
      <c r="O122" s="644"/>
      <c r="P122" s="644"/>
      <c r="Q122" s="644"/>
      <c r="R122" s="644"/>
      <c r="S122" s="644"/>
      <c r="T122" s="644"/>
      <c r="U122" s="644"/>
      <c r="V122" s="644"/>
      <c r="W122" s="644"/>
      <c r="X122" s="644"/>
      <c r="Y122" s="644"/>
      <c r="Z122" s="644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5">
        <v>4680115880238</v>
      </c>
      <c r="E123" s="636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47"/>
      <c r="R123" s="647"/>
      <c r="S123" s="647"/>
      <c r="T123" s="648"/>
      <c r="U123" s="34"/>
      <c r="V123" s="34"/>
      <c r="W123" s="35" t="s">
        <v>66</v>
      </c>
      <c r="X123" s="629">
        <v>46</v>
      </c>
      <c r="Y123" s="630">
        <f>IFERROR(IF(X123="",0,CEILING((X123/$H123),1)*$H123),"")</f>
        <v>47.519999999999996</v>
      </c>
      <c r="Z123" s="36">
        <f>IFERROR(IF(Y123=0,"",ROUNDUP(Y123/H123,0)*0.00651),"")</f>
        <v>0.15623999999999999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51.993939393939392</v>
      </c>
      <c r="BN123" s="64">
        <f>IFERROR(Y123*I123/H123,"0")</f>
        <v>53.711999999999996</v>
      </c>
      <c r="BO123" s="64">
        <f>IFERROR(1/J123*(X123/H123),"0")</f>
        <v>0.12765012765012765</v>
      </c>
      <c r="BP123" s="64">
        <f>IFERROR(1/J123*(Y123/H123),"0")</f>
        <v>0.13186813186813187</v>
      </c>
    </row>
    <row r="124" spans="1:68" x14ac:dyDescent="0.2">
      <c r="A124" s="643"/>
      <c r="B124" s="644"/>
      <c r="C124" s="644"/>
      <c r="D124" s="644"/>
      <c r="E124" s="644"/>
      <c r="F124" s="644"/>
      <c r="G124" s="644"/>
      <c r="H124" s="644"/>
      <c r="I124" s="644"/>
      <c r="J124" s="644"/>
      <c r="K124" s="644"/>
      <c r="L124" s="644"/>
      <c r="M124" s="644"/>
      <c r="N124" s="644"/>
      <c r="O124" s="645"/>
      <c r="P124" s="637" t="s">
        <v>71</v>
      </c>
      <c r="Q124" s="638"/>
      <c r="R124" s="638"/>
      <c r="S124" s="638"/>
      <c r="T124" s="638"/>
      <c r="U124" s="638"/>
      <c r="V124" s="639"/>
      <c r="W124" s="37" t="s">
        <v>72</v>
      </c>
      <c r="X124" s="631">
        <f>IFERROR(X123/H123,"0")</f>
        <v>23.232323232323232</v>
      </c>
      <c r="Y124" s="631">
        <f>IFERROR(Y123/H123,"0")</f>
        <v>23.999999999999996</v>
      </c>
      <c r="Z124" s="631">
        <f>IFERROR(IF(Z123="",0,Z123),"0")</f>
        <v>0.15623999999999999</v>
      </c>
      <c r="AA124" s="632"/>
      <c r="AB124" s="632"/>
      <c r="AC124" s="632"/>
    </row>
    <row r="125" spans="1:68" x14ac:dyDescent="0.2">
      <c r="A125" s="644"/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5"/>
      <c r="P125" s="637" t="s">
        <v>71</v>
      </c>
      <c r="Q125" s="638"/>
      <c r="R125" s="638"/>
      <c r="S125" s="638"/>
      <c r="T125" s="638"/>
      <c r="U125" s="638"/>
      <c r="V125" s="639"/>
      <c r="W125" s="37" t="s">
        <v>66</v>
      </c>
      <c r="X125" s="631">
        <f>IFERROR(SUM(X123:X123),"0")</f>
        <v>46</v>
      </c>
      <c r="Y125" s="631">
        <f>IFERROR(SUM(Y123:Y123),"0")</f>
        <v>47.519999999999996</v>
      </c>
      <c r="Z125" s="37"/>
      <c r="AA125" s="632"/>
      <c r="AB125" s="632"/>
      <c r="AC125" s="632"/>
    </row>
    <row r="126" spans="1:68" ht="16.5" customHeight="1" x14ac:dyDescent="0.25">
      <c r="A126" s="664" t="s">
        <v>230</v>
      </c>
      <c r="B126" s="644"/>
      <c r="C126" s="644"/>
      <c r="D126" s="644"/>
      <c r="E126" s="644"/>
      <c r="F126" s="644"/>
      <c r="G126" s="644"/>
      <c r="H126" s="644"/>
      <c r="I126" s="644"/>
      <c r="J126" s="644"/>
      <c r="K126" s="644"/>
      <c r="L126" s="644"/>
      <c r="M126" s="644"/>
      <c r="N126" s="644"/>
      <c r="O126" s="644"/>
      <c r="P126" s="644"/>
      <c r="Q126" s="644"/>
      <c r="R126" s="644"/>
      <c r="S126" s="644"/>
      <c r="T126" s="644"/>
      <c r="U126" s="644"/>
      <c r="V126" s="644"/>
      <c r="W126" s="644"/>
      <c r="X126" s="644"/>
      <c r="Y126" s="644"/>
      <c r="Z126" s="644"/>
      <c r="AA126" s="624"/>
      <c r="AB126" s="624"/>
      <c r="AC126" s="624"/>
    </row>
    <row r="127" spans="1:68" ht="14.25" customHeight="1" x14ac:dyDescent="0.25">
      <c r="A127" s="661" t="s">
        <v>112</v>
      </c>
      <c r="B127" s="644"/>
      <c r="C127" s="644"/>
      <c r="D127" s="644"/>
      <c r="E127" s="644"/>
      <c r="F127" s="644"/>
      <c r="G127" s="644"/>
      <c r="H127" s="644"/>
      <c r="I127" s="644"/>
      <c r="J127" s="644"/>
      <c r="K127" s="644"/>
      <c r="L127" s="644"/>
      <c r="M127" s="644"/>
      <c r="N127" s="644"/>
      <c r="O127" s="644"/>
      <c r="P127" s="644"/>
      <c r="Q127" s="644"/>
      <c r="R127" s="644"/>
      <c r="S127" s="644"/>
      <c r="T127" s="644"/>
      <c r="U127" s="644"/>
      <c r="V127" s="644"/>
      <c r="W127" s="644"/>
      <c r="X127" s="644"/>
      <c r="Y127" s="644"/>
      <c r="Z127" s="644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5">
        <v>4680115888784</v>
      </c>
      <c r="E128" s="636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71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47"/>
      <c r="R128" s="647"/>
      <c r="S128" s="647"/>
      <c r="T128" s="648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5">
        <v>4680115882577</v>
      </c>
      <c r="E129" s="636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9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47"/>
      <c r="R129" s="647"/>
      <c r="S129" s="647"/>
      <c r="T129" s="648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5">
        <v>4680115882577</v>
      </c>
      <c r="E130" s="636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7"/>
      <c r="R130" s="647"/>
      <c r="S130" s="647"/>
      <c r="T130" s="648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3"/>
      <c r="B131" s="644"/>
      <c r="C131" s="644"/>
      <c r="D131" s="644"/>
      <c r="E131" s="644"/>
      <c r="F131" s="644"/>
      <c r="G131" s="644"/>
      <c r="H131" s="644"/>
      <c r="I131" s="644"/>
      <c r="J131" s="644"/>
      <c r="K131" s="644"/>
      <c r="L131" s="644"/>
      <c r="M131" s="644"/>
      <c r="N131" s="644"/>
      <c r="O131" s="645"/>
      <c r="P131" s="637" t="s">
        <v>71</v>
      </c>
      <c r="Q131" s="638"/>
      <c r="R131" s="638"/>
      <c r="S131" s="638"/>
      <c r="T131" s="638"/>
      <c r="U131" s="638"/>
      <c r="V131" s="639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x14ac:dyDescent="0.2">
      <c r="A132" s="644"/>
      <c r="B132" s="644"/>
      <c r="C132" s="644"/>
      <c r="D132" s="644"/>
      <c r="E132" s="644"/>
      <c r="F132" s="644"/>
      <c r="G132" s="644"/>
      <c r="H132" s="644"/>
      <c r="I132" s="644"/>
      <c r="J132" s="644"/>
      <c r="K132" s="644"/>
      <c r="L132" s="644"/>
      <c r="M132" s="644"/>
      <c r="N132" s="644"/>
      <c r="O132" s="645"/>
      <c r="P132" s="637" t="s">
        <v>71</v>
      </c>
      <c r="Q132" s="638"/>
      <c r="R132" s="638"/>
      <c r="S132" s="638"/>
      <c r="T132" s="638"/>
      <c r="U132" s="638"/>
      <c r="V132" s="639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customHeight="1" x14ac:dyDescent="0.25">
      <c r="A133" s="661" t="s">
        <v>61</v>
      </c>
      <c r="B133" s="644"/>
      <c r="C133" s="644"/>
      <c r="D133" s="644"/>
      <c r="E133" s="644"/>
      <c r="F133" s="644"/>
      <c r="G133" s="644"/>
      <c r="H133" s="644"/>
      <c r="I133" s="644"/>
      <c r="J133" s="644"/>
      <c r="K133" s="644"/>
      <c r="L133" s="644"/>
      <c r="M133" s="644"/>
      <c r="N133" s="644"/>
      <c r="O133" s="644"/>
      <c r="P133" s="644"/>
      <c r="Q133" s="644"/>
      <c r="R133" s="644"/>
      <c r="S133" s="644"/>
      <c r="T133" s="644"/>
      <c r="U133" s="644"/>
      <c r="V133" s="644"/>
      <c r="W133" s="644"/>
      <c r="X133" s="644"/>
      <c r="Y133" s="644"/>
      <c r="Z133" s="644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5">
        <v>4680115888913</v>
      </c>
      <c r="E134" s="636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68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47"/>
      <c r="R134" s="647"/>
      <c r="S134" s="647"/>
      <c r="T134" s="648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5">
        <v>4680115883444</v>
      </c>
      <c r="E135" s="636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7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7"/>
      <c r="R135" s="647"/>
      <c r="S135" s="647"/>
      <c r="T135" s="648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5">
        <v>4680115883444</v>
      </c>
      <c r="E136" s="636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7"/>
      <c r="R136" s="647"/>
      <c r="S136" s="647"/>
      <c r="T136" s="648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5">
        <v>4680115888920</v>
      </c>
      <c r="E137" s="636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90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47"/>
      <c r="R137" s="647"/>
      <c r="S137" s="647"/>
      <c r="T137" s="648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3"/>
      <c r="B138" s="644"/>
      <c r="C138" s="644"/>
      <c r="D138" s="644"/>
      <c r="E138" s="644"/>
      <c r="F138" s="644"/>
      <c r="G138" s="644"/>
      <c r="H138" s="644"/>
      <c r="I138" s="644"/>
      <c r="J138" s="644"/>
      <c r="K138" s="644"/>
      <c r="L138" s="644"/>
      <c r="M138" s="644"/>
      <c r="N138" s="644"/>
      <c r="O138" s="645"/>
      <c r="P138" s="637" t="s">
        <v>71</v>
      </c>
      <c r="Q138" s="638"/>
      <c r="R138" s="638"/>
      <c r="S138" s="638"/>
      <c r="T138" s="638"/>
      <c r="U138" s="638"/>
      <c r="V138" s="639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x14ac:dyDescent="0.2">
      <c r="A139" s="644"/>
      <c r="B139" s="644"/>
      <c r="C139" s="644"/>
      <c r="D139" s="644"/>
      <c r="E139" s="644"/>
      <c r="F139" s="644"/>
      <c r="G139" s="644"/>
      <c r="H139" s="644"/>
      <c r="I139" s="644"/>
      <c r="J139" s="644"/>
      <c r="K139" s="644"/>
      <c r="L139" s="644"/>
      <c r="M139" s="644"/>
      <c r="N139" s="644"/>
      <c r="O139" s="645"/>
      <c r="P139" s="637" t="s">
        <v>71</v>
      </c>
      <c r="Q139" s="638"/>
      <c r="R139" s="638"/>
      <c r="S139" s="638"/>
      <c r="T139" s="638"/>
      <c r="U139" s="638"/>
      <c r="V139" s="639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customHeight="1" x14ac:dyDescent="0.25">
      <c r="A140" s="661" t="s">
        <v>73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5">
        <v>4680115888944</v>
      </c>
      <c r="E141" s="636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1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47"/>
      <c r="R141" s="647"/>
      <c r="S141" s="647"/>
      <c r="T141" s="648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5">
        <v>4680115882584</v>
      </c>
      <c r="E142" s="636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7"/>
      <c r="R142" s="647"/>
      <c r="S142" s="647"/>
      <c r="T142" s="648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5">
        <v>4680115882584</v>
      </c>
      <c r="E143" s="636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7"/>
      <c r="R143" s="647"/>
      <c r="S143" s="647"/>
      <c r="T143" s="648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3"/>
      <c r="B144" s="644"/>
      <c r="C144" s="64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45"/>
      <c r="P144" s="637" t="s">
        <v>71</v>
      </c>
      <c r="Q144" s="638"/>
      <c r="R144" s="638"/>
      <c r="S144" s="638"/>
      <c r="T144" s="638"/>
      <c r="U144" s="638"/>
      <c r="V144" s="639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x14ac:dyDescent="0.2">
      <c r="A145" s="644"/>
      <c r="B145" s="644"/>
      <c r="C145" s="644"/>
      <c r="D145" s="644"/>
      <c r="E145" s="644"/>
      <c r="F145" s="644"/>
      <c r="G145" s="644"/>
      <c r="H145" s="644"/>
      <c r="I145" s="644"/>
      <c r="J145" s="644"/>
      <c r="K145" s="644"/>
      <c r="L145" s="644"/>
      <c r="M145" s="644"/>
      <c r="N145" s="644"/>
      <c r="O145" s="645"/>
      <c r="P145" s="637" t="s">
        <v>71</v>
      </c>
      <c r="Q145" s="638"/>
      <c r="R145" s="638"/>
      <c r="S145" s="638"/>
      <c r="T145" s="638"/>
      <c r="U145" s="638"/>
      <c r="V145" s="639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customHeight="1" x14ac:dyDescent="0.25">
      <c r="A146" s="664" t="s">
        <v>254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24"/>
      <c r="AB146" s="624"/>
      <c r="AC146" s="624"/>
    </row>
    <row r="147" spans="1:68" ht="14.25" customHeight="1" x14ac:dyDescent="0.25">
      <c r="A147" s="661" t="s">
        <v>73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  <c r="N147" s="644"/>
      <c r="O147" s="644"/>
      <c r="P147" s="644"/>
      <c r="Q147" s="644"/>
      <c r="R147" s="644"/>
      <c r="S147" s="644"/>
      <c r="T147" s="644"/>
      <c r="U147" s="644"/>
      <c r="V147" s="644"/>
      <c r="W147" s="644"/>
      <c r="X147" s="644"/>
      <c r="Y147" s="644"/>
      <c r="Z147" s="644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5">
        <v>4680115888203</v>
      </c>
      <c r="E148" s="636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3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7"/>
      <c r="R148" s="647"/>
      <c r="S148" s="647"/>
      <c r="T148" s="648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5">
        <v>4680115888180</v>
      </c>
      <c r="E149" s="636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7"/>
      <c r="R149" s="647"/>
      <c r="S149" s="647"/>
      <c r="T149" s="648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5">
        <v>4680115888180</v>
      </c>
      <c r="E150" s="636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7"/>
      <c r="R150" s="647"/>
      <c r="S150" s="647"/>
      <c r="T150" s="648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5">
        <v>4680115888197</v>
      </c>
      <c r="E151" s="636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7"/>
      <c r="R151" s="647"/>
      <c r="S151" s="647"/>
      <c r="T151" s="648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5">
        <v>4680115888197</v>
      </c>
      <c r="E152" s="636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7"/>
      <c r="R152" s="647"/>
      <c r="S152" s="647"/>
      <c r="T152" s="648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5">
        <v>4680115888210</v>
      </c>
      <c r="E153" s="636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7"/>
      <c r="R153" s="647"/>
      <c r="S153" s="647"/>
      <c r="T153" s="648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5">
        <v>4680115888210</v>
      </c>
      <c r="E154" s="636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7"/>
      <c r="R154" s="647"/>
      <c r="S154" s="647"/>
      <c r="T154" s="648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3"/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5"/>
      <c r="P155" s="637" t="s">
        <v>71</v>
      </c>
      <c r="Q155" s="638"/>
      <c r="R155" s="638"/>
      <c r="S155" s="638"/>
      <c r="T155" s="638"/>
      <c r="U155" s="638"/>
      <c r="V155" s="639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4"/>
      <c r="B156" s="644"/>
      <c r="C156" s="64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5"/>
      <c r="P156" s="637" t="s">
        <v>71</v>
      </c>
      <c r="Q156" s="638"/>
      <c r="R156" s="638"/>
      <c r="S156" s="638"/>
      <c r="T156" s="638"/>
      <c r="U156" s="638"/>
      <c r="V156" s="639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61" t="s">
        <v>270</v>
      </c>
      <c r="B157" s="644"/>
      <c r="C157" s="644"/>
      <c r="D157" s="644"/>
      <c r="E157" s="644"/>
      <c r="F157" s="644"/>
      <c r="G157" s="644"/>
      <c r="H157" s="644"/>
      <c r="I157" s="644"/>
      <c r="J157" s="644"/>
      <c r="K157" s="644"/>
      <c r="L157" s="644"/>
      <c r="M157" s="644"/>
      <c r="N157" s="644"/>
      <c r="O157" s="644"/>
      <c r="P157" s="644"/>
      <c r="Q157" s="644"/>
      <c r="R157" s="644"/>
      <c r="S157" s="644"/>
      <c r="T157" s="644"/>
      <c r="U157" s="644"/>
      <c r="V157" s="644"/>
      <c r="W157" s="644"/>
      <c r="X157" s="644"/>
      <c r="Y157" s="644"/>
      <c r="Z157" s="644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5">
        <v>4680115889132</v>
      </c>
      <c r="E158" s="636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94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7"/>
      <c r="R158" s="647"/>
      <c r="S158" s="647"/>
      <c r="T158" s="648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3"/>
      <c r="B159" s="644"/>
      <c r="C159" s="644"/>
      <c r="D159" s="644"/>
      <c r="E159" s="644"/>
      <c r="F159" s="644"/>
      <c r="G159" s="644"/>
      <c r="H159" s="644"/>
      <c r="I159" s="644"/>
      <c r="J159" s="644"/>
      <c r="K159" s="644"/>
      <c r="L159" s="644"/>
      <c r="M159" s="644"/>
      <c r="N159" s="644"/>
      <c r="O159" s="645"/>
      <c r="P159" s="637" t="s">
        <v>71</v>
      </c>
      <c r="Q159" s="638"/>
      <c r="R159" s="638"/>
      <c r="S159" s="638"/>
      <c r="T159" s="638"/>
      <c r="U159" s="638"/>
      <c r="V159" s="639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4"/>
      <c r="B160" s="644"/>
      <c r="C160" s="644"/>
      <c r="D160" s="644"/>
      <c r="E160" s="644"/>
      <c r="F160" s="644"/>
      <c r="G160" s="644"/>
      <c r="H160" s="644"/>
      <c r="I160" s="644"/>
      <c r="J160" s="644"/>
      <c r="K160" s="644"/>
      <c r="L160" s="644"/>
      <c r="M160" s="644"/>
      <c r="N160" s="644"/>
      <c r="O160" s="645"/>
      <c r="P160" s="637" t="s">
        <v>71</v>
      </c>
      <c r="Q160" s="638"/>
      <c r="R160" s="638"/>
      <c r="S160" s="638"/>
      <c r="T160" s="638"/>
      <c r="U160" s="638"/>
      <c r="V160" s="639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64" t="s">
        <v>110</v>
      </c>
      <c r="B161" s="644"/>
      <c r="C161" s="644"/>
      <c r="D161" s="644"/>
      <c r="E161" s="644"/>
      <c r="F161" s="644"/>
      <c r="G161" s="644"/>
      <c r="H161" s="644"/>
      <c r="I161" s="644"/>
      <c r="J161" s="644"/>
      <c r="K161" s="644"/>
      <c r="L161" s="644"/>
      <c r="M161" s="644"/>
      <c r="N161" s="644"/>
      <c r="O161" s="644"/>
      <c r="P161" s="644"/>
      <c r="Q161" s="644"/>
      <c r="R161" s="644"/>
      <c r="S161" s="644"/>
      <c r="T161" s="644"/>
      <c r="U161" s="644"/>
      <c r="V161" s="644"/>
      <c r="W161" s="644"/>
      <c r="X161" s="644"/>
      <c r="Y161" s="644"/>
      <c r="Z161" s="644"/>
      <c r="AA161" s="624"/>
      <c r="AB161" s="624"/>
      <c r="AC161" s="624"/>
    </row>
    <row r="162" spans="1:68" ht="14.25" customHeight="1" x14ac:dyDescent="0.25">
      <c r="A162" s="661" t="s">
        <v>112</v>
      </c>
      <c r="B162" s="644"/>
      <c r="C162" s="644"/>
      <c r="D162" s="644"/>
      <c r="E162" s="644"/>
      <c r="F162" s="644"/>
      <c r="G162" s="644"/>
      <c r="H162" s="644"/>
      <c r="I162" s="644"/>
      <c r="J162" s="644"/>
      <c r="K162" s="644"/>
      <c r="L162" s="644"/>
      <c r="M162" s="644"/>
      <c r="N162" s="644"/>
      <c r="O162" s="644"/>
      <c r="P162" s="644"/>
      <c r="Q162" s="644"/>
      <c r="R162" s="644"/>
      <c r="S162" s="644"/>
      <c r="T162" s="644"/>
      <c r="U162" s="644"/>
      <c r="V162" s="644"/>
      <c r="W162" s="644"/>
      <c r="X162" s="644"/>
      <c r="Y162" s="644"/>
      <c r="Z162" s="644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5">
        <v>4680115887374</v>
      </c>
      <c r="E163" s="636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5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7"/>
      <c r="R163" s="647"/>
      <c r="S163" s="647"/>
      <c r="T163" s="648"/>
      <c r="U163" s="34"/>
      <c r="V163" s="34"/>
      <c r="W163" s="35" t="s">
        <v>66</v>
      </c>
      <c r="X163" s="629">
        <v>12</v>
      </c>
      <c r="Y163" s="630">
        <f>IFERROR(IF(X163="",0,CEILING((X163/$H163),1)*$H163),"")</f>
        <v>12</v>
      </c>
      <c r="Z163" s="36">
        <f>IFERROR(IF(Y163=0,"",ROUNDUP(Y163/H163,0)*0.01196),"")</f>
        <v>2.392E-2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12.699999999999998</v>
      </c>
      <c r="BN163" s="64">
        <f>IFERROR(Y163*I163/H163,"0")</f>
        <v>12.699999999999998</v>
      </c>
      <c r="BO163" s="64">
        <f>IFERROR(1/J163*(X163/H163),"0")</f>
        <v>1.9230769230769232E-2</v>
      </c>
      <c r="BP163" s="64">
        <f>IFERROR(1/J163*(Y163/H163),"0")</f>
        <v>1.9230769230769232E-2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5">
        <v>4607091384604</v>
      </c>
      <c r="E164" s="636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7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7"/>
      <c r="R164" s="647"/>
      <c r="S164" s="647"/>
      <c r="T164" s="648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5">
        <v>4680115888876</v>
      </c>
      <c r="E165" s="636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96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47"/>
      <c r="R165" s="647"/>
      <c r="S165" s="647"/>
      <c r="T165" s="648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3"/>
      <c r="B166" s="644"/>
      <c r="C166" s="644"/>
      <c r="D166" s="644"/>
      <c r="E166" s="644"/>
      <c r="F166" s="644"/>
      <c r="G166" s="644"/>
      <c r="H166" s="644"/>
      <c r="I166" s="644"/>
      <c r="J166" s="644"/>
      <c r="K166" s="644"/>
      <c r="L166" s="644"/>
      <c r="M166" s="644"/>
      <c r="N166" s="644"/>
      <c r="O166" s="645"/>
      <c r="P166" s="637" t="s">
        <v>71</v>
      </c>
      <c r="Q166" s="638"/>
      <c r="R166" s="638"/>
      <c r="S166" s="638"/>
      <c r="T166" s="638"/>
      <c r="U166" s="638"/>
      <c r="V166" s="639"/>
      <c r="W166" s="37" t="s">
        <v>72</v>
      </c>
      <c r="X166" s="631">
        <f>IFERROR(X163/H163,"0")+IFERROR(X164/H164,"0")+IFERROR(X165/H165,"0")</f>
        <v>2</v>
      </c>
      <c r="Y166" s="631">
        <f>IFERROR(Y163/H163,"0")+IFERROR(Y164/H164,"0")+IFERROR(Y165/H165,"0")</f>
        <v>2</v>
      </c>
      <c r="Z166" s="631">
        <f>IFERROR(IF(Z163="",0,Z163),"0")+IFERROR(IF(Z164="",0,Z164),"0")+IFERROR(IF(Z165="",0,Z165),"0")</f>
        <v>2.392E-2</v>
      </c>
      <c r="AA166" s="632"/>
      <c r="AB166" s="632"/>
      <c r="AC166" s="632"/>
    </row>
    <row r="167" spans="1:68" x14ac:dyDescent="0.2">
      <c r="A167" s="644"/>
      <c r="B167" s="644"/>
      <c r="C167" s="644"/>
      <c r="D167" s="644"/>
      <c r="E167" s="644"/>
      <c r="F167" s="644"/>
      <c r="G167" s="644"/>
      <c r="H167" s="644"/>
      <c r="I167" s="644"/>
      <c r="J167" s="644"/>
      <c r="K167" s="644"/>
      <c r="L167" s="644"/>
      <c r="M167" s="644"/>
      <c r="N167" s="644"/>
      <c r="O167" s="645"/>
      <c r="P167" s="637" t="s">
        <v>71</v>
      </c>
      <c r="Q167" s="638"/>
      <c r="R167" s="638"/>
      <c r="S167" s="638"/>
      <c r="T167" s="638"/>
      <c r="U167" s="638"/>
      <c r="V167" s="639"/>
      <c r="W167" s="37" t="s">
        <v>66</v>
      </c>
      <c r="X167" s="631">
        <f>IFERROR(SUM(X163:X165),"0")</f>
        <v>12</v>
      </c>
      <c r="Y167" s="631">
        <f>IFERROR(SUM(Y163:Y165),"0")</f>
        <v>12</v>
      </c>
      <c r="Z167" s="37"/>
      <c r="AA167" s="632"/>
      <c r="AB167" s="632"/>
      <c r="AC167" s="632"/>
    </row>
    <row r="168" spans="1:68" ht="14.25" customHeight="1" x14ac:dyDescent="0.25">
      <c r="A168" s="661" t="s">
        <v>145</v>
      </c>
      <c r="B168" s="644"/>
      <c r="C168" s="644"/>
      <c r="D168" s="644"/>
      <c r="E168" s="644"/>
      <c r="F168" s="644"/>
      <c r="G168" s="644"/>
      <c r="H168" s="644"/>
      <c r="I168" s="644"/>
      <c r="J168" s="644"/>
      <c r="K168" s="644"/>
      <c r="L168" s="644"/>
      <c r="M168" s="644"/>
      <c r="N168" s="644"/>
      <c r="O168" s="644"/>
      <c r="P168" s="644"/>
      <c r="Q168" s="644"/>
      <c r="R168" s="644"/>
      <c r="S168" s="644"/>
      <c r="T168" s="644"/>
      <c r="U168" s="644"/>
      <c r="V168" s="644"/>
      <c r="W168" s="644"/>
      <c r="X168" s="644"/>
      <c r="Y168" s="644"/>
      <c r="Z168" s="644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5">
        <v>4680115887695</v>
      </c>
      <c r="E169" s="636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8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47"/>
      <c r="R169" s="647"/>
      <c r="S169" s="647"/>
      <c r="T169" s="648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5">
        <v>4680115889491</v>
      </c>
      <c r="E170" s="636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9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47"/>
      <c r="R170" s="647"/>
      <c r="S170" s="647"/>
      <c r="T170" s="648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3"/>
      <c r="B171" s="644"/>
      <c r="C171" s="644"/>
      <c r="D171" s="644"/>
      <c r="E171" s="644"/>
      <c r="F171" s="644"/>
      <c r="G171" s="644"/>
      <c r="H171" s="644"/>
      <c r="I171" s="644"/>
      <c r="J171" s="644"/>
      <c r="K171" s="644"/>
      <c r="L171" s="644"/>
      <c r="M171" s="644"/>
      <c r="N171" s="644"/>
      <c r="O171" s="645"/>
      <c r="P171" s="637" t="s">
        <v>71</v>
      </c>
      <c r="Q171" s="638"/>
      <c r="R171" s="638"/>
      <c r="S171" s="638"/>
      <c r="T171" s="638"/>
      <c r="U171" s="638"/>
      <c r="V171" s="639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4"/>
      <c r="B172" s="644"/>
      <c r="C172" s="644"/>
      <c r="D172" s="644"/>
      <c r="E172" s="644"/>
      <c r="F172" s="644"/>
      <c r="G172" s="644"/>
      <c r="H172" s="644"/>
      <c r="I172" s="644"/>
      <c r="J172" s="644"/>
      <c r="K172" s="644"/>
      <c r="L172" s="644"/>
      <c r="M172" s="644"/>
      <c r="N172" s="644"/>
      <c r="O172" s="645"/>
      <c r="P172" s="637" t="s">
        <v>71</v>
      </c>
      <c r="Q172" s="638"/>
      <c r="R172" s="638"/>
      <c r="S172" s="638"/>
      <c r="T172" s="638"/>
      <c r="U172" s="638"/>
      <c r="V172" s="639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61" t="s">
        <v>61</v>
      </c>
      <c r="B173" s="644"/>
      <c r="C173" s="644"/>
      <c r="D173" s="644"/>
      <c r="E173" s="644"/>
      <c r="F173" s="644"/>
      <c r="G173" s="644"/>
      <c r="H173" s="644"/>
      <c r="I173" s="644"/>
      <c r="J173" s="644"/>
      <c r="K173" s="644"/>
      <c r="L173" s="644"/>
      <c r="M173" s="644"/>
      <c r="N173" s="644"/>
      <c r="O173" s="644"/>
      <c r="P173" s="644"/>
      <c r="Q173" s="644"/>
      <c r="R173" s="644"/>
      <c r="S173" s="644"/>
      <c r="T173" s="644"/>
      <c r="U173" s="644"/>
      <c r="V173" s="644"/>
      <c r="W173" s="644"/>
      <c r="X173" s="644"/>
      <c r="Y173" s="644"/>
      <c r="Z173" s="644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5">
        <v>4680115887428</v>
      </c>
      <c r="E174" s="636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6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47"/>
      <c r="R174" s="647"/>
      <c r="S174" s="647"/>
      <c r="T174" s="648"/>
      <c r="U174" s="34"/>
      <c r="V174" s="34"/>
      <c r="W174" s="35" t="s">
        <v>66</v>
      </c>
      <c r="X174" s="629">
        <v>80</v>
      </c>
      <c r="Y174" s="630">
        <f t="shared" ref="Y174:Y184" si="22">IFERROR(IF(X174="",0,CEILING((X174/$H174),1)*$H174),"")</f>
        <v>80.5</v>
      </c>
      <c r="Z174" s="36">
        <f>IFERROR(IF(Y174=0,"",ROUNDUP(Y174/H174,0)*0.00902),"")</f>
        <v>0.20746000000000001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84.342857142857142</v>
      </c>
      <c r="BN174" s="64">
        <f t="shared" ref="BN174:BN184" si="24">IFERROR(Y174*I174/H174,"0")</f>
        <v>84.87</v>
      </c>
      <c r="BO174" s="64">
        <f t="shared" ref="BO174:BO184" si="25">IFERROR(1/J174*(X174/H174),"0")</f>
        <v>0.17316017316017318</v>
      </c>
      <c r="BP174" s="64">
        <f t="shared" ref="BP174:BP184" si="26">IFERROR(1/J174*(Y174/H174),"0")</f>
        <v>0.17424242424242425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5">
        <v>4680115889170</v>
      </c>
      <c r="E175" s="636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7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47"/>
      <c r="R175" s="647"/>
      <c r="S175" s="647"/>
      <c r="T175" s="648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5">
        <v>4680115887398</v>
      </c>
      <c r="E176" s="636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73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7"/>
      <c r="R176" s="647"/>
      <c r="S176" s="647"/>
      <c r="T176" s="648"/>
      <c r="U176" s="34"/>
      <c r="V176" s="34"/>
      <c r="W176" s="35" t="s">
        <v>66</v>
      </c>
      <c r="X176" s="629">
        <v>51</v>
      </c>
      <c r="Y176" s="630">
        <f t="shared" si="22"/>
        <v>52.5</v>
      </c>
      <c r="Z176" s="36">
        <f>IFERROR(IF(Y176=0,"",ROUNDUP(Y176/H176,0)*0.00902),"")</f>
        <v>0.1353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53.768571428571427</v>
      </c>
      <c r="BN176" s="64">
        <f t="shared" si="24"/>
        <v>55.35</v>
      </c>
      <c r="BO176" s="64">
        <f t="shared" si="25"/>
        <v>0.11038961038961038</v>
      </c>
      <c r="BP176" s="64">
        <f t="shared" si="26"/>
        <v>0.11363636363636365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5">
        <v>4680115887336</v>
      </c>
      <c r="E177" s="636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7"/>
      <c r="R177" s="647"/>
      <c r="S177" s="647"/>
      <c r="T177" s="648"/>
      <c r="U177" s="34"/>
      <c r="V177" s="34"/>
      <c r="W177" s="35" t="s">
        <v>66</v>
      </c>
      <c r="X177" s="629">
        <v>180</v>
      </c>
      <c r="Y177" s="630">
        <f t="shared" si="22"/>
        <v>182</v>
      </c>
      <c r="Z177" s="36">
        <f>IFERROR(IF(Y177=0,"",ROUNDUP(Y177/H177,0)*0.00902),"")</f>
        <v>0.46904000000000001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189.77142857142857</v>
      </c>
      <c r="BN177" s="64">
        <f t="shared" si="24"/>
        <v>191.88000000000002</v>
      </c>
      <c r="BO177" s="64">
        <f t="shared" si="25"/>
        <v>0.38961038961038963</v>
      </c>
      <c r="BP177" s="64">
        <f t="shared" si="26"/>
        <v>0.39393939393939392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5">
        <v>4680115887787</v>
      </c>
      <c r="E178" s="636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7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7"/>
      <c r="R178" s="647"/>
      <c r="S178" s="647"/>
      <c r="T178" s="648"/>
      <c r="U178" s="34"/>
      <c r="V178" s="34"/>
      <c r="W178" s="35" t="s">
        <v>66</v>
      </c>
      <c r="X178" s="629">
        <v>36</v>
      </c>
      <c r="Y178" s="630">
        <f t="shared" si="22"/>
        <v>36</v>
      </c>
      <c r="Z178" s="36">
        <f>IFERROR(IF(Y178=0,"",ROUNDUP(Y178/H178,0)*0.00417),"")</f>
        <v>0.1668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44.4</v>
      </c>
      <c r="BN178" s="64">
        <f t="shared" si="24"/>
        <v>44.4</v>
      </c>
      <c r="BO178" s="64">
        <f t="shared" si="25"/>
        <v>0.11904761904761904</v>
      </c>
      <c r="BP178" s="64">
        <f t="shared" si="26"/>
        <v>0.11904761904761904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5">
        <v>4680115887503</v>
      </c>
      <c r="E179" s="636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2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7"/>
      <c r="R179" s="647"/>
      <c r="S179" s="647"/>
      <c r="T179" s="648"/>
      <c r="U179" s="34"/>
      <c r="V179" s="34"/>
      <c r="W179" s="35" t="s">
        <v>66</v>
      </c>
      <c r="X179" s="629">
        <v>86</v>
      </c>
      <c r="Y179" s="630">
        <f t="shared" si="22"/>
        <v>87.36</v>
      </c>
      <c r="Z179" s="36">
        <f>IFERROR(IF(Y179=0,"",ROUNDUP(Y179/H179,0)*0.00502),"")</f>
        <v>0.26103999999999999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91.119047619047635</v>
      </c>
      <c r="BN179" s="64">
        <f t="shared" si="24"/>
        <v>92.56</v>
      </c>
      <c r="BO179" s="64">
        <f t="shared" si="25"/>
        <v>0.21876271876271877</v>
      </c>
      <c r="BP179" s="64">
        <f t="shared" si="26"/>
        <v>0.22222222222222224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5">
        <v>4680115887763</v>
      </c>
      <c r="E180" s="636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89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7"/>
      <c r="R180" s="647"/>
      <c r="S180" s="647"/>
      <c r="T180" s="648"/>
      <c r="U180" s="34"/>
      <c r="V180" s="34"/>
      <c r="W180" s="35" t="s">
        <v>66</v>
      </c>
      <c r="X180" s="629">
        <v>71</v>
      </c>
      <c r="Y180" s="630">
        <f t="shared" si="22"/>
        <v>71.100000000000009</v>
      </c>
      <c r="Z180" s="36">
        <f>IFERROR(IF(Y180=0,"",ROUNDUP(Y180/H180,0)*0.00417),"")</f>
        <v>0.32943</v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87.566666666666663</v>
      </c>
      <c r="BN180" s="64">
        <f t="shared" si="24"/>
        <v>87.690000000000026</v>
      </c>
      <c r="BO180" s="64">
        <f t="shared" si="25"/>
        <v>0.23478835978835977</v>
      </c>
      <c r="BP180" s="64">
        <f t="shared" si="26"/>
        <v>0.23511904761904764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5">
        <v>4680115887763</v>
      </c>
      <c r="E181" s="636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71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7"/>
      <c r="R181" s="647"/>
      <c r="S181" s="647"/>
      <c r="T181" s="648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5">
        <v>4680115887480</v>
      </c>
      <c r="E182" s="636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8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7"/>
      <c r="R182" s="647"/>
      <c r="S182" s="647"/>
      <c r="T182" s="648"/>
      <c r="U182" s="34"/>
      <c r="V182" s="34"/>
      <c r="W182" s="35" t="s">
        <v>66</v>
      </c>
      <c r="X182" s="629">
        <v>42</v>
      </c>
      <c r="Y182" s="630">
        <f t="shared" si="22"/>
        <v>42</v>
      </c>
      <c r="Z182" s="36">
        <f>IFERROR(IF(Y182=0,"",ROUNDUP(Y182/H182,0)*0.00502),"")</f>
        <v>0.1255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44.500000000000007</v>
      </c>
      <c r="BN182" s="64">
        <f t="shared" si="24"/>
        <v>44.500000000000007</v>
      </c>
      <c r="BO182" s="64">
        <f t="shared" si="25"/>
        <v>0.10683760683760685</v>
      </c>
      <c r="BP182" s="64">
        <f t="shared" si="26"/>
        <v>0.10683760683760685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5">
        <v>4680115888067</v>
      </c>
      <c r="E183" s="636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73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7"/>
      <c r="R183" s="647"/>
      <c r="S183" s="647"/>
      <c r="T183" s="648"/>
      <c r="U183" s="34"/>
      <c r="V183" s="34"/>
      <c r="W183" s="35" t="s">
        <v>66</v>
      </c>
      <c r="X183" s="629">
        <v>45</v>
      </c>
      <c r="Y183" s="630">
        <f t="shared" si="22"/>
        <v>45</v>
      </c>
      <c r="Z183" s="36">
        <f>IFERROR(IF(Y183=0,"",ROUNDUP(Y183/H183,0)*0.00417),"")</f>
        <v>0.20850000000000002</v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50</v>
      </c>
      <c r="BN183" s="64">
        <f t="shared" si="24"/>
        <v>50</v>
      </c>
      <c r="BO183" s="64">
        <f t="shared" si="25"/>
        <v>0.14880952380952381</v>
      </c>
      <c r="BP183" s="64">
        <f t="shared" si="26"/>
        <v>0.14880952380952381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5">
        <v>4680115887435</v>
      </c>
      <c r="E184" s="636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9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7"/>
      <c r="R184" s="647"/>
      <c r="S184" s="647"/>
      <c r="T184" s="648"/>
      <c r="U184" s="34"/>
      <c r="V184" s="34"/>
      <c r="W184" s="35" t="s">
        <v>66</v>
      </c>
      <c r="X184" s="629">
        <v>70</v>
      </c>
      <c r="Y184" s="630">
        <f t="shared" si="22"/>
        <v>70.56</v>
      </c>
      <c r="Z184" s="36">
        <f>IFERROR(IF(Y184=0,"",ROUNDUP(Y184/H184,0)*0.00502),"")</f>
        <v>0.21084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74.166666666666671</v>
      </c>
      <c r="BN184" s="64">
        <f t="shared" si="24"/>
        <v>74.760000000000005</v>
      </c>
      <c r="BO184" s="64">
        <f t="shared" si="25"/>
        <v>0.17806267806267811</v>
      </c>
      <c r="BP184" s="64">
        <f t="shared" si="26"/>
        <v>0.17948717948717952</v>
      </c>
    </row>
    <row r="185" spans="1:68" x14ac:dyDescent="0.2">
      <c r="A185" s="643"/>
      <c r="B185" s="644"/>
      <c r="C185" s="644"/>
      <c r="D185" s="644"/>
      <c r="E185" s="644"/>
      <c r="F185" s="644"/>
      <c r="G185" s="644"/>
      <c r="H185" s="644"/>
      <c r="I185" s="644"/>
      <c r="J185" s="644"/>
      <c r="K185" s="644"/>
      <c r="L185" s="644"/>
      <c r="M185" s="644"/>
      <c r="N185" s="644"/>
      <c r="O185" s="645"/>
      <c r="P185" s="637" t="s">
        <v>71</v>
      </c>
      <c r="Q185" s="638"/>
      <c r="R185" s="638"/>
      <c r="S185" s="638"/>
      <c r="T185" s="638"/>
      <c r="U185" s="638"/>
      <c r="V185" s="639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375.60317460317464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378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2.1139100000000002</v>
      </c>
      <c r="AA185" s="632"/>
      <c r="AB185" s="632"/>
      <c r="AC185" s="632"/>
    </row>
    <row r="186" spans="1:68" x14ac:dyDescent="0.2">
      <c r="A186" s="644"/>
      <c r="B186" s="644"/>
      <c r="C186" s="644"/>
      <c r="D186" s="644"/>
      <c r="E186" s="644"/>
      <c r="F186" s="644"/>
      <c r="G186" s="644"/>
      <c r="H186" s="644"/>
      <c r="I186" s="644"/>
      <c r="J186" s="644"/>
      <c r="K186" s="644"/>
      <c r="L186" s="644"/>
      <c r="M186" s="644"/>
      <c r="N186" s="644"/>
      <c r="O186" s="645"/>
      <c r="P186" s="637" t="s">
        <v>71</v>
      </c>
      <c r="Q186" s="638"/>
      <c r="R186" s="638"/>
      <c r="S186" s="638"/>
      <c r="T186" s="638"/>
      <c r="U186" s="638"/>
      <c r="V186" s="639"/>
      <c r="W186" s="37" t="s">
        <v>66</v>
      </c>
      <c r="X186" s="631">
        <f>IFERROR(SUM(X174:X184),"0")</f>
        <v>661</v>
      </c>
      <c r="Y186" s="631">
        <f>IFERROR(SUM(Y174:Y184),"0")</f>
        <v>667.02</v>
      </c>
      <c r="Z186" s="37"/>
      <c r="AA186" s="632"/>
      <c r="AB186" s="632"/>
      <c r="AC186" s="632"/>
    </row>
    <row r="187" spans="1:68" ht="14.25" customHeight="1" x14ac:dyDescent="0.25">
      <c r="A187" s="661" t="s">
        <v>73</v>
      </c>
      <c r="B187" s="644"/>
      <c r="C187" s="644"/>
      <c r="D187" s="644"/>
      <c r="E187" s="644"/>
      <c r="F187" s="644"/>
      <c r="G187" s="644"/>
      <c r="H187" s="644"/>
      <c r="I187" s="644"/>
      <c r="J187" s="644"/>
      <c r="K187" s="644"/>
      <c r="L187" s="644"/>
      <c r="M187" s="644"/>
      <c r="N187" s="644"/>
      <c r="O187" s="644"/>
      <c r="P187" s="644"/>
      <c r="Q187" s="644"/>
      <c r="R187" s="644"/>
      <c r="S187" s="644"/>
      <c r="T187" s="644"/>
      <c r="U187" s="644"/>
      <c r="V187" s="644"/>
      <c r="W187" s="644"/>
      <c r="X187" s="644"/>
      <c r="Y187" s="644"/>
      <c r="Z187" s="644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5">
        <v>4680115888395</v>
      </c>
      <c r="E188" s="636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7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7"/>
      <c r="R188" s="647"/>
      <c r="S188" s="647"/>
      <c r="T188" s="648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5">
        <v>4680115888371</v>
      </c>
      <c r="E189" s="636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90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7"/>
      <c r="R189" s="647"/>
      <c r="S189" s="647"/>
      <c r="T189" s="648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5">
        <v>4680115887459</v>
      </c>
      <c r="E190" s="636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7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7"/>
      <c r="R190" s="647"/>
      <c r="S190" s="647"/>
      <c r="T190" s="648"/>
      <c r="U190" s="34"/>
      <c r="V190" s="34"/>
      <c r="W190" s="35" t="s">
        <v>66</v>
      </c>
      <c r="X190" s="629">
        <v>4</v>
      </c>
      <c r="Y190" s="630">
        <f>IFERROR(IF(X190="",0,CEILING((X190/$H190),1)*$H190),"")</f>
        <v>5.4</v>
      </c>
      <c r="Z190" s="36">
        <f>IFERROR(IF(Y190=0,"",ROUNDUP(Y190/H190,0)*0.00651),"")</f>
        <v>1.9529999999999999E-2</v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4.5733333333333333</v>
      </c>
      <c r="BN190" s="64">
        <f>IFERROR(Y190*I190/H190,"0")</f>
        <v>6.1739999999999995</v>
      </c>
      <c r="BO190" s="64">
        <f>IFERROR(1/J190*(X190/H190),"0")</f>
        <v>1.2210012210012212E-2</v>
      </c>
      <c r="BP190" s="64">
        <f>IFERROR(1/J190*(Y190/H190),"0")</f>
        <v>1.6483516483516484E-2</v>
      </c>
    </row>
    <row r="191" spans="1:68" x14ac:dyDescent="0.2">
      <c r="A191" s="643"/>
      <c r="B191" s="644"/>
      <c r="C191" s="644"/>
      <c r="D191" s="644"/>
      <c r="E191" s="644"/>
      <c r="F191" s="644"/>
      <c r="G191" s="644"/>
      <c r="H191" s="644"/>
      <c r="I191" s="644"/>
      <c r="J191" s="644"/>
      <c r="K191" s="644"/>
      <c r="L191" s="644"/>
      <c r="M191" s="644"/>
      <c r="N191" s="644"/>
      <c r="O191" s="645"/>
      <c r="P191" s="637" t="s">
        <v>71</v>
      </c>
      <c r="Q191" s="638"/>
      <c r="R191" s="638"/>
      <c r="S191" s="638"/>
      <c r="T191" s="638"/>
      <c r="U191" s="638"/>
      <c r="V191" s="639"/>
      <c r="W191" s="37" t="s">
        <v>72</v>
      </c>
      <c r="X191" s="631">
        <f>IFERROR(X188/H188,"0")+IFERROR(X189/H189,"0")+IFERROR(X190/H190,"0")</f>
        <v>2.2222222222222223</v>
      </c>
      <c r="Y191" s="631">
        <f>IFERROR(Y188/H188,"0")+IFERROR(Y189/H189,"0")+IFERROR(Y190/H190,"0")</f>
        <v>3</v>
      </c>
      <c r="Z191" s="631">
        <f>IFERROR(IF(Z188="",0,Z188),"0")+IFERROR(IF(Z189="",0,Z189),"0")+IFERROR(IF(Z190="",0,Z190),"0")</f>
        <v>1.9529999999999999E-2</v>
      </c>
      <c r="AA191" s="632"/>
      <c r="AB191" s="632"/>
      <c r="AC191" s="632"/>
    </row>
    <row r="192" spans="1:68" x14ac:dyDescent="0.2">
      <c r="A192" s="644"/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5"/>
      <c r="P192" s="637" t="s">
        <v>71</v>
      </c>
      <c r="Q192" s="638"/>
      <c r="R192" s="638"/>
      <c r="S192" s="638"/>
      <c r="T192" s="638"/>
      <c r="U192" s="638"/>
      <c r="V192" s="639"/>
      <c r="W192" s="37" t="s">
        <v>66</v>
      </c>
      <c r="X192" s="631">
        <f>IFERROR(SUM(X188:X190),"0")</f>
        <v>4</v>
      </c>
      <c r="Y192" s="631">
        <f>IFERROR(SUM(Y188:Y190),"0")</f>
        <v>5.4</v>
      </c>
      <c r="Z192" s="37"/>
      <c r="AA192" s="632"/>
      <c r="AB192" s="632"/>
      <c r="AC192" s="632"/>
    </row>
    <row r="193" spans="1:68" ht="14.25" customHeight="1" x14ac:dyDescent="0.25">
      <c r="A193" s="661" t="s">
        <v>270</v>
      </c>
      <c r="B193" s="644"/>
      <c r="C193" s="644"/>
      <c r="D193" s="644"/>
      <c r="E193" s="644"/>
      <c r="F193" s="644"/>
      <c r="G193" s="644"/>
      <c r="H193" s="644"/>
      <c r="I193" s="644"/>
      <c r="J193" s="644"/>
      <c r="K193" s="644"/>
      <c r="L193" s="644"/>
      <c r="M193" s="644"/>
      <c r="N193" s="644"/>
      <c r="O193" s="644"/>
      <c r="P193" s="644"/>
      <c r="Q193" s="644"/>
      <c r="R193" s="644"/>
      <c r="S193" s="644"/>
      <c r="T193" s="644"/>
      <c r="U193" s="644"/>
      <c r="V193" s="644"/>
      <c r="W193" s="644"/>
      <c r="X193" s="644"/>
      <c r="Y193" s="644"/>
      <c r="Z193" s="644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5">
        <v>4680115889026</v>
      </c>
      <c r="E194" s="636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91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47"/>
      <c r="R194" s="647"/>
      <c r="S194" s="647"/>
      <c r="T194" s="648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3"/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5"/>
      <c r="P195" s="637" t="s">
        <v>71</v>
      </c>
      <c r="Q195" s="638"/>
      <c r="R195" s="638"/>
      <c r="S195" s="638"/>
      <c r="T195" s="638"/>
      <c r="U195" s="638"/>
      <c r="V195" s="639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4"/>
      <c r="B196" s="644"/>
      <c r="C196" s="644"/>
      <c r="D196" s="644"/>
      <c r="E196" s="644"/>
      <c r="F196" s="644"/>
      <c r="G196" s="644"/>
      <c r="H196" s="644"/>
      <c r="I196" s="644"/>
      <c r="J196" s="644"/>
      <c r="K196" s="644"/>
      <c r="L196" s="644"/>
      <c r="M196" s="644"/>
      <c r="N196" s="644"/>
      <c r="O196" s="645"/>
      <c r="P196" s="637" t="s">
        <v>71</v>
      </c>
      <c r="Q196" s="638"/>
      <c r="R196" s="638"/>
      <c r="S196" s="638"/>
      <c r="T196" s="638"/>
      <c r="U196" s="638"/>
      <c r="V196" s="639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61" t="s">
        <v>334</v>
      </c>
      <c r="B197" s="644"/>
      <c r="C197" s="644"/>
      <c r="D197" s="644"/>
      <c r="E197" s="644"/>
      <c r="F197" s="644"/>
      <c r="G197" s="644"/>
      <c r="H197" s="644"/>
      <c r="I197" s="644"/>
      <c r="J197" s="644"/>
      <c r="K197" s="644"/>
      <c r="L197" s="644"/>
      <c r="M197" s="644"/>
      <c r="N197" s="644"/>
      <c r="O197" s="644"/>
      <c r="P197" s="644"/>
      <c r="Q197" s="644"/>
      <c r="R197" s="644"/>
      <c r="S197" s="644"/>
      <c r="T197" s="644"/>
      <c r="U197" s="644"/>
      <c r="V197" s="644"/>
      <c r="W197" s="644"/>
      <c r="X197" s="644"/>
      <c r="Y197" s="644"/>
      <c r="Z197" s="644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5">
        <v>4680115889033</v>
      </c>
      <c r="E198" s="636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7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47"/>
      <c r="R198" s="647"/>
      <c r="S198" s="647"/>
      <c r="T198" s="648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3"/>
      <c r="B199" s="644"/>
      <c r="C199" s="644"/>
      <c r="D199" s="644"/>
      <c r="E199" s="644"/>
      <c r="F199" s="644"/>
      <c r="G199" s="644"/>
      <c r="H199" s="644"/>
      <c r="I199" s="644"/>
      <c r="J199" s="644"/>
      <c r="K199" s="644"/>
      <c r="L199" s="644"/>
      <c r="M199" s="644"/>
      <c r="N199" s="644"/>
      <c r="O199" s="645"/>
      <c r="P199" s="637" t="s">
        <v>71</v>
      </c>
      <c r="Q199" s="638"/>
      <c r="R199" s="638"/>
      <c r="S199" s="638"/>
      <c r="T199" s="638"/>
      <c r="U199" s="638"/>
      <c r="V199" s="639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4"/>
      <c r="B200" s="644"/>
      <c r="C200" s="644"/>
      <c r="D200" s="644"/>
      <c r="E200" s="644"/>
      <c r="F200" s="644"/>
      <c r="G200" s="644"/>
      <c r="H200" s="644"/>
      <c r="I200" s="644"/>
      <c r="J200" s="644"/>
      <c r="K200" s="644"/>
      <c r="L200" s="644"/>
      <c r="M200" s="644"/>
      <c r="N200" s="644"/>
      <c r="O200" s="645"/>
      <c r="P200" s="637" t="s">
        <v>71</v>
      </c>
      <c r="Q200" s="638"/>
      <c r="R200" s="638"/>
      <c r="S200" s="638"/>
      <c r="T200" s="638"/>
      <c r="U200" s="638"/>
      <c r="V200" s="639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708" t="s">
        <v>338</v>
      </c>
      <c r="B201" s="709"/>
      <c r="C201" s="709"/>
      <c r="D201" s="709"/>
      <c r="E201" s="709"/>
      <c r="F201" s="709"/>
      <c r="G201" s="709"/>
      <c r="H201" s="709"/>
      <c r="I201" s="709"/>
      <c r="J201" s="709"/>
      <c r="K201" s="709"/>
      <c r="L201" s="709"/>
      <c r="M201" s="709"/>
      <c r="N201" s="709"/>
      <c r="O201" s="709"/>
      <c r="P201" s="709"/>
      <c r="Q201" s="709"/>
      <c r="R201" s="709"/>
      <c r="S201" s="709"/>
      <c r="T201" s="709"/>
      <c r="U201" s="709"/>
      <c r="V201" s="709"/>
      <c r="W201" s="709"/>
      <c r="X201" s="709"/>
      <c r="Y201" s="709"/>
      <c r="Z201" s="709"/>
      <c r="AA201" s="48"/>
      <c r="AB201" s="48"/>
      <c r="AC201" s="48"/>
    </row>
    <row r="202" spans="1:68" ht="16.5" customHeight="1" x14ac:dyDescent="0.25">
      <c r="A202" s="664" t="s">
        <v>339</v>
      </c>
      <c r="B202" s="644"/>
      <c r="C202" s="644"/>
      <c r="D202" s="644"/>
      <c r="E202" s="644"/>
      <c r="F202" s="644"/>
      <c r="G202" s="644"/>
      <c r="H202" s="644"/>
      <c r="I202" s="644"/>
      <c r="J202" s="644"/>
      <c r="K202" s="644"/>
      <c r="L202" s="644"/>
      <c r="M202" s="644"/>
      <c r="N202" s="644"/>
      <c r="O202" s="644"/>
      <c r="P202" s="644"/>
      <c r="Q202" s="644"/>
      <c r="R202" s="644"/>
      <c r="S202" s="644"/>
      <c r="T202" s="644"/>
      <c r="U202" s="644"/>
      <c r="V202" s="644"/>
      <c r="W202" s="644"/>
      <c r="X202" s="644"/>
      <c r="Y202" s="644"/>
      <c r="Z202" s="644"/>
      <c r="AA202" s="624"/>
      <c r="AB202" s="624"/>
      <c r="AC202" s="624"/>
    </row>
    <row r="203" spans="1:68" ht="14.25" customHeight="1" x14ac:dyDescent="0.25">
      <c r="A203" s="661" t="s">
        <v>112</v>
      </c>
      <c r="B203" s="644"/>
      <c r="C203" s="644"/>
      <c r="D203" s="644"/>
      <c r="E203" s="644"/>
      <c r="F203" s="644"/>
      <c r="G203" s="644"/>
      <c r="H203" s="644"/>
      <c r="I203" s="644"/>
      <c r="J203" s="644"/>
      <c r="K203" s="644"/>
      <c r="L203" s="644"/>
      <c r="M203" s="644"/>
      <c r="N203" s="644"/>
      <c r="O203" s="644"/>
      <c r="P203" s="644"/>
      <c r="Q203" s="644"/>
      <c r="R203" s="644"/>
      <c r="S203" s="644"/>
      <c r="T203" s="644"/>
      <c r="U203" s="644"/>
      <c r="V203" s="644"/>
      <c r="W203" s="644"/>
      <c r="X203" s="644"/>
      <c r="Y203" s="644"/>
      <c r="Z203" s="644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5">
        <v>4607091383423</v>
      </c>
      <c r="E204" s="636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2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47"/>
      <c r="R204" s="647"/>
      <c r="S204" s="647"/>
      <c r="T204" s="648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5">
        <v>4680115888760</v>
      </c>
      <c r="E205" s="636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89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47"/>
      <c r="R205" s="647"/>
      <c r="S205" s="647"/>
      <c r="T205" s="648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5">
        <v>4680115888807</v>
      </c>
      <c r="E206" s="636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47"/>
      <c r="R206" s="647"/>
      <c r="S206" s="647"/>
      <c r="T206" s="648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5">
        <v>4680115888852</v>
      </c>
      <c r="E207" s="636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47"/>
      <c r="R207" s="647"/>
      <c r="S207" s="647"/>
      <c r="T207" s="648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5">
        <v>4680115886957</v>
      </c>
      <c r="E208" s="636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90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47"/>
      <c r="R208" s="647"/>
      <c r="S208" s="647"/>
      <c r="T208" s="648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5">
        <v>4680115885660</v>
      </c>
      <c r="E209" s="636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9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47"/>
      <c r="R209" s="647"/>
      <c r="S209" s="647"/>
      <c r="T209" s="648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5">
        <v>4680115886773</v>
      </c>
      <c r="E210" s="636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47"/>
      <c r="R210" s="647"/>
      <c r="S210" s="647"/>
      <c r="T210" s="648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3"/>
      <c r="B211" s="644"/>
      <c r="C211" s="644"/>
      <c r="D211" s="644"/>
      <c r="E211" s="644"/>
      <c r="F211" s="644"/>
      <c r="G211" s="644"/>
      <c r="H211" s="644"/>
      <c r="I211" s="644"/>
      <c r="J211" s="644"/>
      <c r="K211" s="644"/>
      <c r="L211" s="644"/>
      <c r="M211" s="644"/>
      <c r="N211" s="644"/>
      <c r="O211" s="645"/>
      <c r="P211" s="637" t="s">
        <v>71</v>
      </c>
      <c r="Q211" s="638"/>
      <c r="R211" s="638"/>
      <c r="S211" s="638"/>
      <c r="T211" s="638"/>
      <c r="U211" s="638"/>
      <c r="V211" s="639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4"/>
      <c r="B212" s="644"/>
      <c r="C212" s="644"/>
      <c r="D212" s="644"/>
      <c r="E212" s="644"/>
      <c r="F212" s="644"/>
      <c r="G212" s="644"/>
      <c r="H212" s="644"/>
      <c r="I212" s="644"/>
      <c r="J212" s="644"/>
      <c r="K212" s="644"/>
      <c r="L212" s="644"/>
      <c r="M212" s="644"/>
      <c r="N212" s="644"/>
      <c r="O212" s="645"/>
      <c r="P212" s="637" t="s">
        <v>71</v>
      </c>
      <c r="Q212" s="638"/>
      <c r="R212" s="638"/>
      <c r="S212" s="638"/>
      <c r="T212" s="638"/>
      <c r="U212" s="638"/>
      <c r="V212" s="639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64" t="s">
        <v>360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24"/>
      <c r="AB213" s="624"/>
      <c r="AC213" s="624"/>
    </row>
    <row r="214" spans="1:68" ht="14.25" customHeight="1" x14ac:dyDescent="0.25">
      <c r="A214" s="661" t="s">
        <v>145</v>
      </c>
      <c r="B214" s="644"/>
      <c r="C214" s="644"/>
      <c r="D214" s="644"/>
      <c r="E214" s="644"/>
      <c r="F214" s="644"/>
      <c r="G214" s="644"/>
      <c r="H214" s="644"/>
      <c r="I214" s="644"/>
      <c r="J214" s="644"/>
      <c r="K214" s="644"/>
      <c r="L214" s="644"/>
      <c r="M214" s="644"/>
      <c r="N214" s="644"/>
      <c r="O214" s="644"/>
      <c r="P214" s="644"/>
      <c r="Q214" s="644"/>
      <c r="R214" s="644"/>
      <c r="S214" s="644"/>
      <c r="T214" s="644"/>
      <c r="U214" s="644"/>
      <c r="V214" s="644"/>
      <c r="W214" s="644"/>
      <c r="X214" s="644"/>
      <c r="Y214" s="644"/>
      <c r="Z214" s="644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5">
        <v>4680115886223</v>
      </c>
      <c r="E215" s="636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97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47"/>
      <c r="R215" s="647"/>
      <c r="S215" s="647"/>
      <c r="T215" s="648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3"/>
      <c r="B216" s="644"/>
      <c r="C216" s="644"/>
      <c r="D216" s="644"/>
      <c r="E216" s="644"/>
      <c r="F216" s="644"/>
      <c r="G216" s="644"/>
      <c r="H216" s="644"/>
      <c r="I216" s="644"/>
      <c r="J216" s="644"/>
      <c r="K216" s="644"/>
      <c r="L216" s="644"/>
      <c r="M216" s="644"/>
      <c r="N216" s="644"/>
      <c r="O216" s="645"/>
      <c r="P216" s="637" t="s">
        <v>71</v>
      </c>
      <c r="Q216" s="638"/>
      <c r="R216" s="638"/>
      <c r="S216" s="638"/>
      <c r="T216" s="638"/>
      <c r="U216" s="638"/>
      <c r="V216" s="639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4"/>
      <c r="B217" s="644"/>
      <c r="C217" s="644"/>
      <c r="D217" s="644"/>
      <c r="E217" s="644"/>
      <c r="F217" s="644"/>
      <c r="G217" s="644"/>
      <c r="H217" s="644"/>
      <c r="I217" s="644"/>
      <c r="J217" s="644"/>
      <c r="K217" s="644"/>
      <c r="L217" s="644"/>
      <c r="M217" s="644"/>
      <c r="N217" s="644"/>
      <c r="O217" s="645"/>
      <c r="P217" s="637" t="s">
        <v>71</v>
      </c>
      <c r="Q217" s="638"/>
      <c r="R217" s="638"/>
      <c r="S217" s="638"/>
      <c r="T217" s="638"/>
      <c r="U217" s="638"/>
      <c r="V217" s="639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61" t="s">
        <v>61</v>
      </c>
      <c r="B218" s="644"/>
      <c r="C218" s="644"/>
      <c r="D218" s="644"/>
      <c r="E218" s="644"/>
      <c r="F218" s="644"/>
      <c r="G218" s="644"/>
      <c r="H218" s="644"/>
      <c r="I218" s="644"/>
      <c r="J218" s="644"/>
      <c r="K218" s="644"/>
      <c r="L218" s="644"/>
      <c r="M218" s="644"/>
      <c r="N218" s="644"/>
      <c r="O218" s="644"/>
      <c r="P218" s="644"/>
      <c r="Q218" s="644"/>
      <c r="R218" s="644"/>
      <c r="S218" s="644"/>
      <c r="T218" s="644"/>
      <c r="U218" s="644"/>
      <c r="V218" s="644"/>
      <c r="W218" s="644"/>
      <c r="X218" s="644"/>
      <c r="Y218" s="644"/>
      <c r="Z218" s="644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5">
        <v>4680115880993</v>
      </c>
      <c r="E219" s="636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47"/>
      <c r="R219" s="647"/>
      <c r="S219" s="647"/>
      <c r="T219" s="648"/>
      <c r="U219" s="34"/>
      <c r="V219" s="34"/>
      <c r="W219" s="35" t="s">
        <v>66</v>
      </c>
      <c r="X219" s="629">
        <v>8</v>
      </c>
      <c r="Y219" s="630">
        <f t="shared" ref="Y219:Y232" si="33">IFERROR(IF(X219="",0,CEILING((X219/$H219),1)*$H219),"")</f>
        <v>8.4</v>
      </c>
      <c r="Z219" s="36">
        <f>IFERROR(IF(Y219=0,"",ROUNDUP(Y219/H219,0)*0.00902),"")</f>
        <v>1.804E-2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8.4761904761904763</v>
      </c>
      <c r="BN219" s="64">
        <f t="shared" ref="BN219:BN232" si="35">IFERROR(Y219*I219/H219,"0")</f>
        <v>8.9</v>
      </c>
      <c r="BO219" s="64">
        <f t="shared" ref="BO219:BO232" si="36">IFERROR(1/J219*(X219/H219),"0")</f>
        <v>1.443001443001443E-2</v>
      </c>
      <c r="BP219" s="64">
        <f t="shared" ref="BP219:BP232" si="37">IFERROR(1/J219*(Y219/H219),"0")</f>
        <v>1.5151515151515152E-2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5">
        <v>4680115881761</v>
      </c>
      <c r="E220" s="636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9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47"/>
      <c r="R220" s="647"/>
      <c r="S220" s="647"/>
      <c r="T220" s="648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5">
        <v>4680115881563</v>
      </c>
      <c r="E221" s="636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9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47"/>
      <c r="R221" s="647"/>
      <c r="S221" s="647"/>
      <c r="T221" s="648"/>
      <c r="U221" s="34"/>
      <c r="V221" s="34"/>
      <c r="W221" s="35" t="s">
        <v>66</v>
      </c>
      <c r="X221" s="629">
        <v>11</v>
      </c>
      <c r="Y221" s="630">
        <f t="shared" si="33"/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11.497619047619047</v>
      </c>
      <c r="BN221" s="64">
        <f t="shared" si="35"/>
        <v>13.17</v>
      </c>
      <c r="BO221" s="64">
        <f t="shared" si="36"/>
        <v>1.9841269841269844E-2</v>
      </c>
      <c r="BP221" s="64">
        <f t="shared" si="37"/>
        <v>2.2727272727272728E-2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5">
        <v>4680115887565</v>
      </c>
      <c r="E222" s="636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7"/>
      <c r="R222" s="647"/>
      <c r="S222" s="647"/>
      <c r="T222" s="648"/>
      <c r="U222" s="34"/>
      <c r="V222" s="34"/>
      <c r="W222" s="35" t="s">
        <v>66</v>
      </c>
      <c r="X222" s="629">
        <v>24</v>
      </c>
      <c r="Y222" s="630">
        <f t="shared" si="33"/>
        <v>24</v>
      </c>
      <c r="Z222" s="36">
        <f>IFERROR(IF(Y222=0,"",ROUNDUP(Y222/H222,0)*0.00556),"")</f>
        <v>0.1668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27.9</v>
      </c>
      <c r="BN222" s="64">
        <f t="shared" si="35"/>
        <v>27.9</v>
      </c>
      <c r="BO222" s="64">
        <f t="shared" si="36"/>
        <v>0.11904761904761904</v>
      </c>
      <c r="BP222" s="64">
        <f t="shared" si="37"/>
        <v>0.11904761904761904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5">
        <v>4680115880986</v>
      </c>
      <c r="E223" s="636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9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7"/>
      <c r="R223" s="647"/>
      <c r="S223" s="647"/>
      <c r="T223" s="648"/>
      <c r="U223" s="34"/>
      <c r="V223" s="34"/>
      <c r="W223" s="35" t="s">
        <v>66</v>
      </c>
      <c r="X223" s="629">
        <v>18</v>
      </c>
      <c r="Y223" s="630">
        <f t="shared" si="33"/>
        <v>18.900000000000002</v>
      </c>
      <c r="Z223" s="36">
        <f t="shared" ref="Z223:Z228" si="38">IFERROR(IF(Y223=0,"",ROUNDUP(Y223/H223,0)*0.00502),"")</f>
        <v>4.5179999999999998E-2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19.114285714285714</v>
      </c>
      <c r="BN223" s="64">
        <f t="shared" si="35"/>
        <v>20.07</v>
      </c>
      <c r="BO223" s="64">
        <f t="shared" si="36"/>
        <v>3.6630036630036632E-2</v>
      </c>
      <c r="BP223" s="64">
        <f t="shared" si="37"/>
        <v>3.8461538461538464E-2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5">
        <v>4680115887213</v>
      </c>
      <c r="E224" s="636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7"/>
      <c r="R224" s="647"/>
      <c r="S224" s="647"/>
      <c r="T224" s="648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5">
        <v>4680115881785</v>
      </c>
      <c r="E225" s="636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7"/>
      <c r="R225" s="647"/>
      <c r="S225" s="647"/>
      <c r="T225" s="648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5">
        <v>4680115888432</v>
      </c>
      <c r="E226" s="636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6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7"/>
      <c r="R226" s="647"/>
      <c r="S226" s="647"/>
      <c r="T226" s="648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5">
        <v>4680115888104</v>
      </c>
      <c r="E227" s="636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7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47"/>
      <c r="R227" s="647"/>
      <c r="S227" s="647"/>
      <c r="T227" s="648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5">
        <v>4680115886537</v>
      </c>
      <c r="E228" s="636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68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7"/>
      <c r="R228" s="647"/>
      <c r="S228" s="647"/>
      <c r="T228" s="648"/>
      <c r="U228" s="34"/>
      <c r="V228" s="34"/>
      <c r="W228" s="35" t="s">
        <v>66</v>
      </c>
      <c r="X228" s="629">
        <v>9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9.65</v>
      </c>
      <c r="BN228" s="64">
        <f t="shared" si="35"/>
        <v>9.65</v>
      </c>
      <c r="BO228" s="64">
        <f t="shared" si="36"/>
        <v>2.1367521367521368E-2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5">
        <v>4680115887596</v>
      </c>
      <c r="E229" s="636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7"/>
      <c r="R229" s="647"/>
      <c r="S229" s="647"/>
      <c r="T229" s="648"/>
      <c r="U229" s="34"/>
      <c r="V229" s="34"/>
      <c r="W229" s="35" t="s">
        <v>66</v>
      </c>
      <c r="X229" s="629">
        <v>64</v>
      </c>
      <c r="Y229" s="630">
        <f t="shared" si="33"/>
        <v>64</v>
      </c>
      <c r="Z229" s="36">
        <f>IFERROR(IF(Y229=0,"",ROUNDUP(Y229/H229,0)*0.00417),"")</f>
        <v>0.33360000000000001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80.8</v>
      </c>
      <c r="BN229" s="64">
        <f t="shared" si="35"/>
        <v>80.8</v>
      </c>
      <c r="BO229" s="64">
        <f t="shared" si="36"/>
        <v>0.23809523809523808</v>
      </c>
      <c r="BP229" s="64">
        <f t="shared" si="37"/>
        <v>0.23809523809523808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5">
        <v>4680115881679</v>
      </c>
      <c r="E230" s="636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9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47"/>
      <c r="R230" s="647"/>
      <c r="S230" s="647"/>
      <c r="T230" s="648"/>
      <c r="U230" s="34"/>
      <c r="V230" s="34"/>
      <c r="W230" s="35" t="s">
        <v>66</v>
      </c>
      <c r="X230" s="629">
        <v>315</v>
      </c>
      <c r="Y230" s="630">
        <f t="shared" si="33"/>
        <v>315</v>
      </c>
      <c r="Z230" s="36">
        <f>IFERROR(IF(Y230=0,"",ROUNDUP(Y230/H230,0)*0.00502),"")</f>
        <v>0.753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330</v>
      </c>
      <c r="BN230" s="64">
        <f t="shared" si="35"/>
        <v>330</v>
      </c>
      <c r="BO230" s="64">
        <f t="shared" si="36"/>
        <v>0.64102564102564108</v>
      </c>
      <c r="BP230" s="64">
        <f t="shared" si="37"/>
        <v>0.64102564102564108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5">
        <v>4680115880191</v>
      </c>
      <c r="E231" s="636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9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47"/>
      <c r="R231" s="647"/>
      <c r="S231" s="647"/>
      <c r="T231" s="648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5">
        <v>4680115883963</v>
      </c>
      <c r="E232" s="636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7"/>
      <c r="R232" s="647"/>
      <c r="S232" s="647"/>
      <c r="T232" s="648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3"/>
      <c r="B233" s="644"/>
      <c r="C233" s="644"/>
      <c r="D233" s="644"/>
      <c r="E233" s="644"/>
      <c r="F233" s="644"/>
      <c r="G233" s="644"/>
      <c r="H233" s="644"/>
      <c r="I233" s="644"/>
      <c r="J233" s="644"/>
      <c r="K233" s="644"/>
      <c r="L233" s="644"/>
      <c r="M233" s="644"/>
      <c r="N233" s="644"/>
      <c r="O233" s="645"/>
      <c r="P233" s="637" t="s">
        <v>71</v>
      </c>
      <c r="Q233" s="638"/>
      <c r="R233" s="638"/>
      <c r="S233" s="638"/>
      <c r="T233" s="638"/>
      <c r="U233" s="638"/>
      <c r="V233" s="639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278.09523809523807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279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1.3687800000000001</v>
      </c>
      <c r="AA233" s="632"/>
      <c r="AB233" s="632"/>
      <c r="AC233" s="632"/>
    </row>
    <row r="234" spans="1:68" x14ac:dyDescent="0.2">
      <c r="A234" s="644"/>
      <c r="B234" s="644"/>
      <c r="C234" s="644"/>
      <c r="D234" s="644"/>
      <c r="E234" s="644"/>
      <c r="F234" s="644"/>
      <c r="G234" s="644"/>
      <c r="H234" s="644"/>
      <c r="I234" s="644"/>
      <c r="J234" s="644"/>
      <c r="K234" s="644"/>
      <c r="L234" s="644"/>
      <c r="M234" s="644"/>
      <c r="N234" s="644"/>
      <c r="O234" s="645"/>
      <c r="P234" s="637" t="s">
        <v>71</v>
      </c>
      <c r="Q234" s="638"/>
      <c r="R234" s="638"/>
      <c r="S234" s="638"/>
      <c r="T234" s="638"/>
      <c r="U234" s="638"/>
      <c r="V234" s="639"/>
      <c r="W234" s="37" t="s">
        <v>66</v>
      </c>
      <c r="X234" s="631">
        <f>IFERROR(SUM(X219:X232),"0")</f>
        <v>449</v>
      </c>
      <c r="Y234" s="631">
        <f>IFERROR(SUM(Y219:Y232),"0")</f>
        <v>451.9</v>
      </c>
      <c r="Z234" s="37"/>
      <c r="AA234" s="632"/>
      <c r="AB234" s="632"/>
      <c r="AC234" s="632"/>
    </row>
    <row r="235" spans="1:68" ht="14.25" customHeight="1" x14ac:dyDescent="0.25">
      <c r="A235" s="661" t="s">
        <v>73</v>
      </c>
      <c r="B235" s="644"/>
      <c r="C235" s="644"/>
      <c r="D235" s="644"/>
      <c r="E235" s="644"/>
      <c r="F235" s="644"/>
      <c r="G235" s="644"/>
      <c r="H235" s="644"/>
      <c r="I235" s="644"/>
      <c r="J235" s="644"/>
      <c r="K235" s="644"/>
      <c r="L235" s="644"/>
      <c r="M235" s="644"/>
      <c r="N235" s="644"/>
      <c r="O235" s="644"/>
      <c r="P235" s="644"/>
      <c r="Q235" s="644"/>
      <c r="R235" s="644"/>
      <c r="S235" s="644"/>
      <c r="T235" s="644"/>
      <c r="U235" s="644"/>
      <c r="V235" s="644"/>
      <c r="W235" s="644"/>
      <c r="X235" s="644"/>
      <c r="Y235" s="644"/>
      <c r="Z235" s="644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5">
        <v>4680115888692</v>
      </c>
      <c r="E236" s="636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7"/>
      <c r="R236" s="647"/>
      <c r="S236" s="647"/>
      <c r="T236" s="648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5">
        <v>4680115888722</v>
      </c>
      <c r="E237" s="636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47"/>
      <c r="R237" s="647"/>
      <c r="S237" s="647"/>
      <c r="T237" s="648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5">
        <v>4680115888951</v>
      </c>
      <c r="E238" s="636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2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47"/>
      <c r="R238" s="647"/>
      <c r="S238" s="647"/>
      <c r="T238" s="648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5">
        <v>4680115888975</v>
      </c>
      <c r="E239" s="636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87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7"/>
      <c r="R239" s="647"/>
      <c r="S239" s="647"/>
      <c r="T239" s="648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5">
        <v>4680115888982</v>
      </c>
      <c r="E240" s="636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97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7"/>
      <c r="R240" s="647"/>
      <c r="S240" s="647"/>
      <c r="T240" s="648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3"/>
      <c r="B241" s="644"/>
      <c r="C241" s="644"/>
      <c r="D241" s="644"/>
      <c r="E241" s="644"/>
      <c r="F241" s="644"/>
      <c r="G241" s="644"/>
      <c r="H241" s="644"/>
      <c r="I241" s="644"/>
      <c r="J241" s="644"/>
      <c r="K241" s="644"/>
      <c r="L241" s="644"/>
      <c r="M241" s="644"/>
      <c r="N241" s="644"/>
      <c r="O241" s="645"/>
      <c r="P241" s="637" t="s">
        <v>71</v>
      </c>
      <c r="Q241" s="638"/>
      <c r="R241" s="638"/>
      <c r="S241" s="638"/>
      <c r="T241" s="638"/>
      <c r="U241" s="638"/>
      <c r="V241" s="639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4"/>
      <c r="B242" s="644"/>
      <c r="C242" s="644"/>
      <c r="D242" s="644"/>
      <c r="E242" s="644"/>
      <c r="F242" s="644"/>
      <c r="G242" s="644"/>
      <c r="H242" s="644"/>
      <c r="I242" s="644"/>
      <c r="J242" s="644"/>
      <c r="K242" s="644"/>
      <c r="L242" s="644"/>
      <c r="M242" s="644"/>
      <c r="N242" s="644"/>
      <c r="O242" s="645"/>
      <c r="P242" s="637" t="s">
        <v>71</v>
      </c>
      <c r="Q242" s="638"/>
      <c r="R242" s="638"/>
      <c r="S242" s="638"/>
      <c r="T242" s="638"/>
      <c r="U242" s="638"/>
      <c r="V242" s="639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61" t="s">
        <v>270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5">
        <v>4680115886780</v>
      </c>
      <c r="E244" s="636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9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7"/>
      <c r="R244" s="647"/>
      <c r="S244" s="647"/>
      <c r="T244" s="648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5">
        <v>4680115886742</v>
      </c>
      <c r="E245" s="636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7"/>
      <c r="R245" s="647"/>
      <c r="S245" s="647"/>
      <c r="T245" s="648"/>
      <c r="U245" s="34"/>
      <c r="V245" s="34"/>
      <c r="W245" s="35" t="s">
        <v>66</v>
      </c>
      <c r="X245" s="629">
        <v>28</v>
      </c>
      <c r="Y245" s="630">
        <f>IFERROR(IF(X245="",0,CEILING((X245/$H245),1)*$H245),"")</f>
        <v>28.98</v>
      </c>
      <c r="Z245" s="36">
        <f>IFERROR(IF(Y245=0,"",ROUNDUP(Y245/H245,0)*0.0059),"")</f>
        <v>0.13569999999999999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32.222222222222221</v>
      </c>
      <c r="BN245" s="64">
        <f>IFERROR(Y245*I245/H245,"0")</f>
        <v>33.35</v>
      </c>
      <c r="BO245" s="64">
        <f>IFERROR(1/J245*(X245/H245),"0")</f>
        <v>0.10288065843621398</v>
      </c>
      <c r="BP245" s="64">
        <f>IFERROR(1/J245*(Y245/H245),"0")</f>
        <v>0.10648148148148148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5">
        <v>4680115886766</v>
      </c>
      <c r="E246" s="636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8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7"/>
      <c r="R246" s="647"/>
      <c r="S246" s="647"/>
      <c r="T246" s="648"/>
      <c r="U246" s="34"/>
      <c r="V246" s="34"/>
      <c r="W246" s="35" t="s">
        <v>66</v>
      </c>
      <c r="X246" s="629">
        <v>41</v>
      </c>
      <c r="Y246" s="630">
        <f>IFERROR(IF(X246="",0,CEILING((X246/$H246),1)*$H246),"")</f>
        <v>41.58</v>
      </c>
      <c r="Z246" s="36">
        <f>IFERROR(IF(Y246=0,"",ROUNDUP(Y246/H246,0)*0.0059),"")</f>
        <v>0.19469999999999998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47.182539682539677</v>
      </c>
      <c r="BN246" s="64">
        <f>IFERROR(Y246*I246/H246,"0")</f>
        <v>47.849999999999994</v>
      </c>
      <c r="BO246" s="64">
        <f>IFERROR(1/J246*(X246/H246),"0")</f>
        <v>0.1506466784244562</v>
      </c>
      <c r="BP246" s="64">
        <f>IFERROR(1/J246*(Y246/H246),"0")</f>
        <v>0.15277777777777776</v>
      </c>
    </row>
    <row r="247" spans="1:68" x14ac:dyDescent="0.2">
      <c r="A247" s="643"/>
      <c r="B247" s="644"/>
      <c r="C247" s="644"/>
      <c r="D247" s="644"/>
      <c r="E247" s="644"/>
      <c r="F247" s="644"/>
      <c r="G247" s="644"/>
      <c r="H247" s="644"/>
      <c r="I247" s="644"/>
      <c r="J247" s="644"/>
      <c r="K247" s="644"/>
      <c r="L247" s="644"/>
      <c r="M247" s="644"/>
      <c r="N247" s="644"/>
      <c r="O247" s="645"/>
      <c r="P247" s="637" t="s">
        <v>71</v>
      </c>
      <c r="Q247" s="638"/>
      <c r="R247" s="638"/>
      <c r="S247" s="638"/>
      <c r="T247" s="638"/>
      <c r="U247" s="638"/>
      <c r="V247" s="639"/>
      <c r="W247" s="37" t="s">
        <v>72</v>
      </c>
      <c r="X247" s="631">
        <f>IFERROR(X244/H244,"0")+IFERROR(X245/H245,"0")+IFERROR(X246/H246,"0")</f>
        <v>54.761904761904759</v>
      </c>
      <c r="Y247" s="631">
        <f>IFERROR(Y244/H244,"0")+IFERROR(Y245/H245,"0")+IFERROR(Y246/H246,"0")</f>
        <v>56</v>
      </c>
      <c r="Z247" s="631">
        <f>IFERROR(IF(Z244="",0,Z244),"0")+IFERROR(IF(Z245="",0,Z245),"0")+IFERROR(IF(Z246="",0,Z246),"0")</f>
        <v>0.33039999999999997</v>
      </c>
      <c r="AA247" s="632"/>
      <c r="AB247" s="632"/>
      <c r="AC247" s="632"/>
    </row>
    <row r="248" spans="1:68" x14ac:dyDescent="0.2">
      <c r="A248" s="644"/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5"/>
      <c r="P248" s="637" t="s">
        <v>71</v>
      </c>
      <c r="Q248" s="638"/>
      <c r="R248" s="638"/>
      <c r="S248" s="638"/>
      <c r="T248" s="638"/>
      <c r="U248" s="638"/>
      <c r="V248" s="639"/>
      <c r="W248" s="37" t="s">
        <v>66</v>
      </c>
      <c r="X248" s="631">
        <f>IFERROR(SUM(X244:X246),"0")</f>
        <v>69</v>
      </c>
      <c r="Y248" s="631">
        <f>IFERROR(SUM(Y244:Y246),"0")</f>
        <v>70.56</v>
      </c>
      <c r="Z248" s="37"/>
      <c r="AA248" s="632"/>
      <c r="AB248" s="632"/>
      <c r="AC248" s="632"/>
    </row>
    <row r="249" spans="1:68" ht="14.25" customHeight="1" x14ac:dyDescent="0.25">
      <c r="A249" s="661" t="s">
        <v>424</v>
      </c>
      <c r="B249" s="644"/>
      <c r="C249" s="644"/>
      <c r="D249" s="644"/>
      <c r="E249" s="644"/>
      <c r="F249" s="644"/>
      <c r="G249" s="644"/>
      <c r="H249" s="644"/>
      <c r="I249" s="644"/>
      <c r="J249" s="644"/>
      <c r="K249" s="644"/>
      <c r="L249" s="644"/>
      <c r="M249" s="644"/>
      <c r="N249" s="644"/>
      <c r="O249" s="644"/>
      <c r="P249" s="644"/>
      <c r="Q249" s="644"/>
      <c r="R249" s="644"/>
      <c r="S249" s="644"/>
      <c r="T249" s="644"/>
      <c r="U249" s="644"/>
      <c r="V249" s="644"/>
      <c r="W249" s="644"/>
      <c r="X249" s="644"/>
      <c r="Y249" s="644"/>
      <c r="Z249" s="644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5">
        <v>4680115886797</v>
      </c>
      <c r="E250" s="636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9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7"/>
      <c r="R250" s="647"/>
      <c r="S250" s="647"/>
      <c r="T250" s="648"/>
      <c r="U250" s="34"/>
      <c r="V250" s="34"/>
      <c r="W250" s="35" t="s">
        <v>66</v>
      </c>
      <c r="X250" s="629">
        <v>28</v>
      </c>
      <c r="Y250" s="630">
        <f>IFERROR(IF(X250="",0,CEILING((X250/$H250),1)*$H250),"")</f>
        <v>28.98</v>
      </c>
      <c r="Z250" s="36">
        <f>IFERROR(IF(Y250=0,"",ROUNDUP(Y250/H250,0)*0.0059),"")</f>
        <v>0.13569999999999999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32.222222222222221</v>
      </c>
      <c r="BN250" s="64">
        <f>IFERROR(Y250*I250/H250,"0")</f>
        <v>33.35</v>
      </c>
      <c r="BO250" s="64">
        <f>IFERROR(1/J250*(X250/H250),"0")</f>
        <v>0.10288065843621398</v>
      </c>
      <c r="BP250" s="64">
        <f>IFERROR(1/J250*(Y250/H250),"0")</f>
        <v>0.10648148148148148</v>
      </c>
    </row>
    <row r="251" spans="1:68" x14ac:dyDescent="0.2">
      <c r="A251" s="643"/>
      <c r="B251" s="644"/>
      <c r="C251" s="644"/>
      <c r="D251" s="644"/>
      <c r="E251" s="644"/>
      <c r="F251" s="644"/>
      <c r="G251" s="644"/>
      <c r="H251" s="644"/>
      <c r="I251" s="644"/>
      <c r="J251" s="644"/>
      <c r="K251" s="644"/>
      <c r="L251" s="644"/>
      <c r="M251" s="644"/>
      <c r="N251" s="644"/>
      <c r="O251" s="645"/>
      <c r="P251" s="637" t="s">
        <v>71</v>
      </c>
      <c r="Q251" s="638"/>
      <c r="R251" s="638"/>
      <c r="S251" s="638"/>
      <c r="T251" s="638"/>
      <c r="U251" s="638"/>
      <c r="V251" s="639"/>
      <c r="W251" s="37" t="s">
        <v>72</v>
      </c>
      <c r="X251" s="631">
        <f>IFERROR(X250/H250,"0")</f>
        <v>22.222222222222221</v>
      </c>
      <c r="Y251" s="631">
        <f>IFERROR(Y250/H250,"0")</f>
        <v>23</v>
      </c>
      <c r="Z251" s="631">
        <f>IFERROR(IF(Z250="",0,Z250),"0")</f>
        <v>0.13569999999999999</v>
      </c>
      <c r="AA251" s="632"/>
      <c r="AB251" s="632"/>
      <c r="AC251" s="632"/>
    </row>
    <row r="252" spans="1:68" x14ac:dyDescent="0.2">
      <c r="A252" s="644"/>
      <c r="B252" s="644"/>
      <c r="C252" s="644"/>
      <c r="D252" s="644"/>
      <c r="E252" s="644"/>
      <c r="F252" s="644"/>
      <c r="G252" s="644"/>
      <c r="H252" s="644"/>
      <c r="I252" s="644"/>
      <c r="J252" s="644"/>
      <c r="K252" s="644"/>
      <c r="L252" s="644"/>
      <c r="M252" s="644"/>
      <c r="N252" s="644"/>
      <c r="O252" s="645"/>
      <c r="P252" s="637" t="s">
        <v>71</v>
      </c>
      <c r="Q252" s="638"/>
      <c r="R252" s="638"/>
      <c r="S252" s="638"/>
      <c r="T252" s="638"/>
      <c r="U252" s="638"/>
      <c r="V252" s="639"/>
      <c r="W252" s="37" t="s">
        <v>66</v>
      </c>
      <c r="X252" s="631">
        <f>IFERROR(SUM(X250:X250),"0")</f>
        <v>28</v>
      </c>
      <c r="Y252" s="631">
        <f>IFERROR(SUM(Y250:Y250),"0")</f>
        <v>28.98</v>
      </c>
      <c r="Z252" s="37"/>
      <c r="AA252" s="632"/>
      <c r="AB252" s="632"/>
      <c r="AC252" s="632"/>
    </row>
    <row r="253" spans="1:68" ht="16.5" customHeight="1" x14ac:dyDescent="0.25">
      <c r="A253" s="664" t="s">
        <v>427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24"/>
      <c r="AB253" s="624"/>
      <c r="AC253" s="624"/>
    </row>
    <row r="254" spans="1:68" ht="14.25" customHeight="1" x14ac:dyDescent="0.25">
      <c r="A254" s="661" t="s">
        <v>112</v>
      </c>
      <c r="B254" s="644"/>
      <c r="C254" s="644"/>
      <c r="D254" s="644"/>
      <c r="E254" s="644"/>
      <c r="F254" s="644"/>
      <c r="G254" s="644"/>
      <c r="H254" s="644"/>
      <c r="I254" s="644"/>
      <c r="J254" s="644"/>
      <c r="K254" s="644"/>
      <c r="L254" s="644"/>
      <c r="M254" s="644"/>
      <c r="N254" s="644"/>
      <c r="O254" s="644"/>
      <c r="P254" s="644"/>
      <c r="Q254" s="644"/>
      <c r="R254" s="644"/>
      <c r="S254" s="644"/>
      <c r="T254" s="644"/>
      <c r="U254" s="644"/>
      <c r="V254" s="644"/>
      <c r="W254" s="644"/>
      <c r="X254" s="644"/>
      <c r="Y254" s="644"/>
      <c r="Z254" s="644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5">
        <v>4680115881402</v>
      </c>
      <c r="E255" s="636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9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7"/>
      <c r="R255" s="647"/>
      <c r="S255" s="647"/>
      <c r="T255" s="648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5">
        <v>4680115881396</v>
      </c>
      <c r="E256" s="636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7"/>
      <c r="R256" s="647"/>
      <c r="S256" s="647"/>
      <c r="T256" s="648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3"/>
      <c r="B257" s="644"/>
      <c r="C257" s="644"/>
      <c r="D257" s="644"/>
      <c r="E257" s="644"/>
      <c r="F257" s="644"/>
      <c r="G257" s="644"/>
      <c r="H257" s="644"/>
      <c r="I257" s="644"/>
      <c r="J257" s="644"/>
      <c r="K257" s="644"/>
      <c r="L257" s="644"/>
      <c r="M257" s="644"/>
      <c r="N257" s="644"/>
      <c r="O257" s="645"/>
      <c r="P257" s="637" t="s">
        <v>71</v>
      </c>
      <c r="Q257" s="638"/>
      <c r="R257" s="638"/>
      <c r="S257" s="638"/>
      <c r="T257" s="638"/>
      <c r="U257" s="638"/>
      <c r="V257" s="639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4"/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5"/>
      <c r="P258" s="637" t="s">
        <v>71</v>
      </c>
      <c r="Q258" s="638"/>
      <c r="R258" s="638"/>
      <c r="S258" s="638"/>
      <c r="T258" s="638"/>
      <c r="U258" s="638"/>
      <c r="V258" s="639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61" t="s">
        <v>145</v>
      </c>
      <c r="B259" s="644"/>
      <c r="C259" s="644"/>
      <c r="D259" s="644"/>
      <c r="E259" s="644"/>
      <c r="F259" s="644"/>
      <c r="G259" s="644"/>
      <c r="H259" s="644"/>
      <c r="I259" s="644"/>
      <c r="J259" s="644"/>
      <c r="K259" s="644"/>
      <c r="L259" s="644"/>
      <c r="M259" s="644"/>
      <c r="N259" s="644"/>
      <c r="O259" s="644"/>
      <c r="P259" s="644"/>
      <c r="Q259" s="644"/>
      <c r="R259" s="644"/>
      <c r="S259" s="644"/>
      <c r="T259" s="644"/>
      <c r="U259" s="644"/>
      <c r="V259" s="644"/>
      <c r="W259" s="644"/>
      <c r="X259" s="644"/>
      <c r="Y259" s="644"/>
      <c r="Z259" s="644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5">
        <v>4680115882935</v>
      </c>
      <c r="E260" s="636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7"/>
      <c r="R260" s="647"/>
      <c r="S260" s="647"/>
      <c r="T260" s="648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5">
        <v>4680115880764</v>
      </c>
      <c r="E261" s="636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7"/>
      <c r="R261" s="647"/>
      <c r="S261" s="647"/>
      <c r="T261" s="648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3"/>
      <c r="B262" s="644"/>
      <c r="C262" s="644"/>
      <c r="D262" s="644"/>
      <c r="E262" s="644"/>
      <c r="F262" s="644"/>
      <c r="G262" s="644"/>
      <c r="H262" s="644"/>
      <c r="I262" s="644"/>
      <c r="J262" s="644"/>
      <c r="K262" s="644"/>
      <c r="L262" s="644"/>
      <c r="M262" s="644"/>
      <c r="N262" s="644"/>
      <c r="O262" s="645"/>
      <c r="P262" s="637" t="s">
        <v>71</v>
      </c>
      <c r="Q262" s="638"/>
      <c r="R262" s="638"/>
      <c r="S262" s="638"/>
      <c r="T262" s="638"/>
      <c r="U262" s="638"/>
      <c r="V262" s="639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4"/>
      <c r="B263" s="644"/>
      <c r="C263" s="644"/>
      <c r="D263" s="644"/>
      <c r="E263" s="644"/>
      <c r="F263" s="644"/>
      <c r="G263" s="644"/>
      <c r="H263" s="644"/>
      <c r="I263" s="644"/>
      <c r="J263" s="644"/>
      <c r="K263" s="644"/>
      <c r="L263" s="644"/>
      <c r="M263" s="644"/>
      <c r="N263" s="644"/>
      <c r="O263" s="645"/>
      <c r="P263" s="637" t="s">
        <v>71</v>
      </c>
      <c r="Q263" s="638"/>
      <c r="R263" s="638"/>
      <c r="S263" s="638"/>
      <c r="T263" s="638"/>
      <c r="U263" s="638"/>
      <c r="V263" s="639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61" t="s">
        <v>61</v>
      </c>
      <c r="B264" s="644"/>
      <c r="C264" s="644"/>
      <c r="D264" s="644"/>
      <c r="E264" s="644"/>
      <c r="F264" s="644"/>
      <c r="G264" s="644"/>
      <c r="H264" s="644"/>
      <c r="I264" s="644"/>
      <c r="J264" s="644"/>
      <c r="K264" s="644"/>
      <c r="L264" s="644"/>
      <c r="M264" s="644"/>
      <c r="N264" s="644"/>
      <c r="O264" s="644"/>
      <c r="P264" s="644"/>
      <c r="Q264" s="644"/>
      <c r="R264" s="644"/>
      <c r="S264" s="644"/>
      <c r="T264" s="644"/>
      <c r="U264" s="644"/>
      <c r="V264" s="644"/>
      <c r="W264" s="644"/>
      <c r="X264" s="644"/>
      <c r="Y264" s="644"/>
      <c r="Z264" s="644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5">
        <v>4680115882683</v>
      </c>
      <c r="E265" s="636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9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7"/>
      <c r="R265" s="647"/>
      <c r="S265" s="647"/>
      <c r="T265" s="648"/>
      <c r="U265" s="34"/>
      <c r="V265" s="34"/>
      <c r="W265" s="35" t="s">
        <v>66</v>
      </c>
      <c r="X265" s="629">
        <v>43</v>
      </c>
      <c r="Y265" s="630">
        <f t="shared" ref="Y265:Y272" si="39">IFERROR(IF(X265="",0,CEILING((X265/$H265),1)*$H265),"")</f>
        <v>43.2</v>
      </c>
      <c r="Z265" s="36">
        <f>IFERROR(IF(Y265=0,"",ROUNDUP(Y265/H265,0)*0.00902),"")</f>
        <v>7.2160000000000002E-2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44.512962962962959</v>
      </c>
      <c r="BN265" s="64">
        <f t="shared" ref="BN265:BN272" si="41">IFERROR(Y265*I265/H265,"0")</f>
        <v>44.72</v>
      </c>
      <c r="BO265" s="64">
        <f t="shared" ref="BO265:BO272" si="42">IFERROR(1/J265*(X265/H265),"0")</f>
        <v>6.0325476992143662E-2</v>
      </c>
      <c r="BP265" s="64">
        <f t="shared" ref="BP265:BP272" si="43">IFERROR(1/J265*(Y265/H265),"0")</f>
        <v>6.0606060606060608E-2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5">
        <v>4680115882690</v>
      </c>
      <c r="E266" s="636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9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7"/>
      <c r="R266" s="647"/>
      <c r="S266" s="647"/>
      <c r="T266" s="648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5">
        <v>4680115882669</v>
      </c>
      <c r="E267" s="636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7"/>
      <c r="R267" s="647"/>
      <c r="S267" s="647"/>
      <c r="T267" s="648"/>
      <c r="U267" s="34"/>
      <c r="V267" s="34"/>
      <c r="W267" s="35" t="s">
        <v>66</v>
      </c>
      <c r="X267" s="629">
        <v>268</v>
      </c>
      <c r="Y267" s="630">
        <f t="shared" si="39"/>
        <v>270</v>
      </c>
      <c r="Z267" s="36">
        <f>IFERROR(IF(Y267=0,"",ROUNDUP(Y267/H267,0)*0.00902),"")</f>
        <v>0.45100000000000001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277.42962962962957</v>
      </c>
      <c r="BN267" s="64">
        <f t="shared" si="41"/>
        <v>279.5</v>
      </c>
      <c r="BO267" s="64">
        <f t="shared" si="42"/>
        <v>0.37598204264870932</v>
      </c>
      <c r="BP267" s="64">
        <f t="shared" si="43"/>
        <v>0.37878787878787878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5">
        <v>4680115882676</v>
      </c>
      <c r="E268" s="636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9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7"/>
      <c r="R268" s="647"/>
      <c r="S268" s="647"/>
      <c r="T268" s="648"/>
      <c r="U268" s="34"/>
      <c r="V268" s="34"/>
      <c r="W268" s="35" t="s">
        <v>66</v>
      </c>
      <c r="X268" s="629">
        <v>47</v>
      </c>
      <c r="Y268" s="630">
        <f t="shared" si="39"/>
        <v>48.6</v>
      </c>
      <c r="Z268" s="36">
        <f>IFERROR(IF(Y268=0,"",ROUNDUP(Y268/H268,0)*0.00902),"")</f>
        <v>8.1180000000000002E-2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48.653703703703705</v>
      </c>
      <c r="BN268" s="64">
        <f t="shared" si="41"/>
        <v>50.309999999999995</v>
      </c>
      <c r="BO268" s="64">
        <f t="shared" si="42"/>
        <v>6.5937149270482595E-2</v>
      </c>
      <c r="BP268" s="64">
        <f t="shared" si="43"/>
        <v>6.8181818181818177E-2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5">
        <v>4680115884014</v>
      </c>
      <c r="E269" s="636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7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7"/>
      <c r="R269" s="647"/>
      <c r="S269" s="647"/>
      <c r="T269" s="648"/>
      <c r="U269" s="34"/>
      <c r="V269" s="34"/>
      <c r="W269" s="35" t="s">
        <v>66</v>
      </c>
      <c r="X269" s="629">
        <v>15</v>
      </c>
      <c r="Y269" s="630">
        <f t="shared" si="39"/>
        <v>16.2</v>
      </c>
      <c r="Z269" s="36">
        <f>IFERROR(IF(Y269=0,"",ROUNDUP(Y269/H269,0)*0.00502),"")</f>
        <v>4.5179999999999998E-2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16.083333333333332</v>
      </c>
      <c r="BN269" s="64">
        <f t="shared" si="41"/>
        <v>17.369999999999997</v>
      </c>
      <c r="BO269" s="64">
        <f t="shared" si="42"/>
        <v>3.561253561253562E-2</v>
      </c>
      <c r="BP269" s="64">
        <f t="shared" si="43"/>
        <v>3.8461538461538464E-2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5">
        <v>4680115884007</v>
      </c>
      <c r="E270" s="636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7"/>
      <c r="R270" s="647"/>
      <c r="S270" s="647"/>
      <c r="T270" s="648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5">
        <v>4680115884038</v>
      </c>
      <c r="E271" s="636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7"/>
      <c r="R271" s="647"/>
      <c r="S271" s="647"/>
      <c r="T271" s="648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5">
        <v>4680115884021</v>
      </c>
      <c r="E272" s="636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7"/>
      <c r="R272" s="647"/>
      <c r="S272" s="647"/>
      <c r="T272" s="648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3"/>
      <c r="B273" s="644"/>
      <c r="C273" s="644"/>
      <c r="D273" s="644"/>
      <c r="E273" s="644"/>
      <c r="F273" s="644"/>
      <c r="G273" s="644"/>
      <c r="H273" s="644"/>
      <c r="I273" s="644"/>
      <c r="J273" s="644"/>
      <c r="K273" s="644"/>
      <c r="L273" s="644"/>
      <c r="M273" s="644"/>
      <c r="N273" s="644"/>
      <c r="O273" s="645"/>
      <c r="P273" s="637" t="s">
        <v>71</v>
      </c>
      <c r="Q273" s="638"/>
      <c r="R273" s="638"/>
      <c r="S273" s="638"/>
      <c r="T273" s="638"/>
      <c r="U273" s="638"/>
      <c r="V273" s="639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91.296296296296276</v>
      </c>
      <c r="Y273" s="631">
        <f>IFERROR(Y265/H265,"0")+IFERROR(Y266/H266,"0")+IFERROR(Y267/H267,"0")+IFERROR(Y268/H268,"0")+IFERROR(Y269/H269,"0")+IFERROR(Y270/H270,"0")+IFERROR(Y271/H271,"0")+IFERROR(Y272/H272,"0")</f>
        <v>94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0.73988000000000009</v>
      </c>
      <c r="AA273" s="632"/>
      <c r="AB273" s="632"/>
      <c r="AC273" s="632"/>
    </row>
    <row r="274" spans="1:68" x14ac:dyDescent="0.2">
      <c r="A274" s="644"/>
      <c r="B274" s="644"/>
      <c r="C274" s="644"/>
      <c r="D274" s="644"/>
      <c r="E274" s="644"/>
      <c r="F274" s="644"/>
      <c r="G274" s="644"/>
      <c r="H274" s="644"/>
      <c r="I274" s="644"/>
      <c r="J274" s="644"/>
      <c r="K274" s="644"/>
      <c r="L274" s="644"/>
      <c r="M274" s="644"/>
      <c r="N274" s="644"/>
      <c r="O274" s="645"/>
      <c r="P274" s="637" t="s">
        <v>71</v>
      </c>
      <c r="Q274" s="638"/>
      <c r="R274" s="638"/>
      <c r="S274" s="638"/>
      <c r="T274" s="638"/>
      <c r="U274" s="638"/>
      <c r="V274" s="639"/>
      <c r="W274" s="37" t="s">
        <v>66</v>
      </c>
      <c r="X274" s="631">
        <f>IFERROR(SUM(X265:X272),"0")</f>
        <v>403</v>
      </c>
      <c r="Y274" s="631">
        <f>IFERROR(SUM(Y265:Y272),"0")</f>
        <v>410.4</v>
      </c>
      <c r="Z274" s="37"/>
      <c r="AA274" s="632"/>
      <c r="AB274" s="632"/>
      <c r="AC274" s="632"/>
    </row>
    <row r="275" spans="1:68" ht="14.25" customHeight="1" x14ac:dyDescent="0.25">
      <c r="A275" s="661" t="s">
        <v>73</v>
      </c>
      <c r="B275" s="644"/>
      <c r="C275" s="644"/>
      <c r="D275" s="644"/>
      <c r="E275" s="644"/>
      <c r="F275" s="644"/>
      <c r="G275" s="644"/>
      <c r="H275" s="644"/>
      <c r="I275" s="644"/>
      <c r="J275" s="644"/>
      <c r="K275" s="644"/>
      <c r="L275" s="644"/>
      <c r="M275" s="644"/>
      <c r="N275" s="644"/>
      <c r="O275" s="644"/>
      <c r="P275" s="644"/>
      <c r="Q275" s="644"/>
      <c r="R275" s="644"/>
      <c r="S275" s="644"/>
      <c r="T275" s="644"/>
      <c r="U275" s="644"/>
      <c r="V275" s="644"/>
      <c r="W275" s="644"/>
      <c r="X275" s="644"/>
      <c r="Y275" s="644"/>
      <c r="Z275" s="644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5">
        <v>4680115881594</v>
      </c>
      <c r="E276" s="636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47"/>
      <c r="R276" s="647"/>
      <c r="S276" s="647"/>
      <c r="T276" s="648"/>
      <c r="U276" s="34"/>
      <c r="V276" s="34"/>
      <c r="W276" s="35" t="s">
        <v>66</v>
      </c>
      <c r="X276" s="629">
        <v>50</v>
      </c>
      <c r="Y276" s="630">
        <f t="shared" ref="Y276:Y287" si="44">IFERROR(IF(X276="",0,CEILING((X276/$H276),1)*$H276),"")</f>
        <v>56.699999999999996</v>
      </c>
      <c r="Z276" s="36">
        <f>IFERROR(IF(Y276=0,"",ROUNDUP(Y276/H276,0)*0.01898),"")</f>
        <v>0.13286000000000001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53.049382716049386</v>
      </c>
      <c r="BN276" s="64">
        <f t="shared" ref="BN276:BN287" si="46">IFERROR(Y276*I276/H276,"0")</f>
        <v>60.157999999999994</v>
      </c>
      <c r="BO276" s="64">
        <f t="shared" ref="BO276:BO287" si="47">IFERROR(1/J276*(X276/H276),"0")</f>
        <v>9.6450617283950615E-2</v>
      </c>
      <c r="BP276" s="64">
        <f t="shared" ref="BP276:BP287" si="48">IFERROR(1/J276*(Y276/H276),"0")</f>
        <v>0.109375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5">
        <v>4680115881617</v>
      </c>
      <c r="E277" s="636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47"/>
      <c r="R277" s="647"/>
      <c r="S277" s="647"/>
      <c r="T277" s="648"/>
      <c r="U277" s="34"/>
      <c r="V277" s="34"/>
      <c r="W277" s="35" t="s">
        <v>66</v>
      </c>
      <c r="X277" s="629">
        <v>60</v>
      </c>
      <c r="Y277" s="630">
        <f t="shared" si="44"/>
        <v>64.8</v>
      </c>
      <c r="Z277" s="36">
        <f>IFERROR(IF(Y277=0,"",ROUNDUP(Y277/H277,0)*0.01898),"")</f>
        <v>0.15184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63.525925925925939</v>
      </c>
      <c r="BN277" s="64">
        <f t="shared" si="46"/>
        <v>68.608000000000004</v>
      </c>
      <c r="BO277" s="64">
        <f t="shared" si="47"/>
        <v>0.11574074074074074</v>
      </c>
      <c r="BP277" s="64">
        <f t="shared" si="48"/>
        <v>0.125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5">
        <v>4680115880573</v>
      </c>
      <c r="E278" s="636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47"/>
      <c r="R278" s="647"/>
      <c r="S278" s="647"/>
      <c r="T278" s="648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5">
        <v>4680115882195</v>
      </c>
      <c r="E279" s="636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78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47"/>
      <c r="R279" s="647"/>
      <c r="S279" s="647"/>
      <c r="T279" s="648"/>
      <c r="U279" s="34"/>
      <c r="V279" s="34"/>
      <c r="W279" s="35" t="s">
        <v>66</v>
      </c>
      <c r="X279" s="629">
        <v>308</v>
      </c>
      <c r="Y279" s="630">
        <f t="shared" si="44"/>
        <v>309.59999999999997</v>
      </c>
      <c r="Z279" s="36">
        <f>IFERROR(IF(Y279=0,"",ROUNDUP(Y279/H279,0)*0.00651),"")</f>
        <v>0.83979000000000004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342.65000000000003</v>
      </c>
      <c r="BN279" s="64">
        <f t="shared" si="46"/>
        <v>344.42999999999995</v>
      </c>
      <c r="BO279" s="64">
        <f t="shared" si="47"/>
        <v>0.70512820512820529</v>
      </c>
      <c r="BP279" s="64">
        <f t="shared" si="48"/>
        <v>0.70879120879120883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5">
        <v>4680115882607</v>
      </c>
      <c r="E280" s="636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8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47"/>
      <c r="R280" s="647"/>
      <c r="S280" s="647"/>
      <c r="T280" s="648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5">
        <v>4680115882607</v>
      </c>
      <c r="E281" s="636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9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47"/>
      <c r="R281" s="647"/>
      <c r="S281" s="647"/>
      <c r="T281" s="648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5">
        <v>4680115880092</v>
      </c>
      <c r="E282" s="636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7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7"/>
      <c r="R282" s="647"/>
      <c r="S282" s="647"/>
      <c r="T282" s="648"/>
      <c r="U282" s="34"/>
      <c r="V282" s="34"/>
      <c r="W282" s="35" t="s">
        <v>66</v>
      </c>
      <c r="X282" s="629">
        <v>1200</v>
      </c>
      <c r="Y282" s="630">
        <f t="shared" si="44"/>
        <v>1200</v>
      </c>
      <c r="Z282" s="36">
        <f>IFERROR(IF(Y282=0,"",ROUNDUP(Y282/H282,0)*0.00651),"")</f>
        <v>3.2549999999999999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1326</v>
      </c>
      <c r="BN282" s="64">
        <f t="shared" si="46"/>
        <v>1326</v>
      </c>
      <c r="BO282" s="64">
        <f t="shared" si="47"/>
        <v>2.7472527472527473</v>
      </c>
      <c r="BP282" s="64">
        <f t="shared" si="48"/>
        <v>2.7472527472527473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5">
        <v>4680115889064</v>
      </c>
      <c r="E283" s="636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7"/>
      <c r="R283" s="647"/>
      <c r="S283" s="647"/>
      <c r="T283" s="648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5">
        <v>4680115880221</v>
      </c>
      <c r="E284" s="636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7"/>
      <c r="R284" s="647"/>
      <c r="S284" s="647"/>
      <c r="T284" s="648"/>
      <c r="U284" s="34"/>
      <c r="V284" s="34"/>
      <c r="W284" s="35" t="s">
        <v>66</v>
      </c>
      <c r="X284" s="629">
        <v>200</v>
      </c>
      <c r="Y284" s="630">
        <f t="shared" si="44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221</v>
      </c>
      <c r="BN284" s="64">
        <f t="shared" si="46"/>
        <v>222.768</v>
      </c>
      <c r="BO284" s="64">
        <f t="shared" si="47"/>
        <v>0.45787545787545797</v>
      </c>
      <c r="BP284" s="64">
        <f t="shared" si="48"/>
        <v>0.46153846153846156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5">
        <v>4680115880504</v>
      </c>
      <c r="E285" s="636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10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7"/>
      <c r="R285" s="647"/>
      <c r="S285" s="647"/>
      <c r="T285" s="648"/>
      <c r="U285" s="34"/>
      <c r="V285" s="34"/>
      <c r="W285" s="35" t="s">
        <v>66</v>
      </c>
      <c r="X285" s="629">
        <v>20</v>
      </c>
      <c r="Y285" s="630">
        <f t="shared" si="44"/>
        <v>21.599999999999998</v>
      </c>
      <c r="Z285" s="36">
        <f>IFERROR(IF(Y285=0,"",ROUNDUP(Y285/H285,0)*0.00651),"")</f>
        <v>5.8590000000000003E-2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22.100000000000005</v>
      </c>
      <c r="BN285" s="64">
        <f t="shared" si="46"/>
        <v>23.868000000000002</v>
      </c>
      <c r="BO285" s="64">
        <f t="shared" si="47"/>
        <v>4.5787545787545791E-2</v>
      </c>
      <c r="BP285" s="64">
        <f t="shared" si="48"/>
        <v>4.9450549450549455E-2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5">
        <v>4680115882164</v>
      </c>
      <c r="E286" s="636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7"/>
      <c r="R286" s="647"/>
      <c r="S286" s="647"/>
      <c r="T286" s="648"/>
      <c r="U286" s="34"/>
      <c r="V286" s="34"/>
      <c r="W286" s="35" t="s">
        <v>66</v>
      </c>
      <c r="X286" s="629">
        <v>80</v>
      </c>
      <c r="Y286" s="630">
        <f t="shared" si="44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88.6</v>
      </c>
      <c r="BN286" s="64">
        <f t="shared" si="46"/>
        <v>90.371999999999986</v>
      </c>
      <c r="BO286" s="64">
        <f t="shared" si="47"/>
        <v>0.18315018315018317</v>
      </c>
      <c r="BP286" s="64">
        <f t="shared" si="48"/>
        <v>0.18681318681318682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5">
        <v>4680115888340</v>
      </c>
      <c r="E287" s="636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9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7"/>
      <c r="R287" s="647"/>
      <c r="S287" s="647"/>
      <c r="T287" s="648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3"/>
      <c r="B288" s="644"/>
      <c r="C288" s="644"/>
      <c r="D288" s="644"/>
      <c r="E288" s="644"/>
      <c r="F288" s="644"/>
      <c r="G288" s="644"/>
      <c r="H288" s="644"/>
      <c r="I288" s="644"/>
      <c r="J288" s="644"/>
      <c r="K288" s="644"/>
      <c r="L288" s="644"/>
      <c r="M288" s="644"/>
      <c r="N288" s="644"/>
      <c r="O288" s="645"/>
      <c r="P288" s="637" t="s">
        <v>71</v>
      </c>
      <c r="Q288" s="638"/>
      <c r="R288" s="638"/>
      <c r="S288" s="638"/>
      <c r="T288" s="638"/>
      <c r="U288" s="638"/>
      <c r="V288" s="639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766.91358024691374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771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5.2062599999999994</v>
      </c>
      <c r="AA288" s="632"/>
      <c r="AB288" s="632"/>
      <c r="AC288" s="632"/>
    </row>
    <row r="289" spans="1:68" x14ac:dyDescent="0.2">
      <c r="A289" s="644"/>
      <c r="B289" s="644"/>
      <c r="C289" s="644"/>
      <c r="D289" s="644"/>
      <c r="E289" s="644"/>
      <c r="F289" s="644"/>
      <c r="G289" s="644"/>
      <c r="H289" s="644"/>
      <c r="I289" s="644"/>
      <c r="J289" s="644"/>
      <c r="K289" s="644"/>
      <c r="L289" s="644"/>
      <c r="M289" s="644"/>
      <c r="N289" s="644"/>
      <c r="O289" s="645"/>
      <c r="P289" s="637" t="s">
        <v>71</v>
      </c>
      <c r="Q289" s="638"/>
      <c r="R289" s="638"/>
      <c r="S289" s="638"/>
      <c r="T289" s="638"/>
      <c r="U289" s="638"/>
      <c r="V289" s="639"/>
      <c r="W289" s="37" t="s">
        <v>66</v>
      </c>
      <c r="X289" s="631">
        <f>IFERROR(SUM(X276:X287),"0")</f>
        <v>1918</v>
      </c>
      <c r="Y289" s="631">
        <f>IFERROR(SUM(Y276:Y287),"0")</f>
        <v>1935.8999999999996</v>
      </c>
      <c r="Z289" s="37"/>
      <c r="AA289" s="632"/>
      <c r="AB289" s="632"/>
      <c r="AC289" s="632"/>
    </row>
    <row r="290" spans="1:68" ht="14.25" customHeight="1" x14ac:dyDescent="0.25">
      <c r="A290" s="661" t="s">
        <v>162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5">
        <v>4680115880818</v>
      </c>
      <c r="E291" s="636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6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7"/>
      <c r="R291" s="647"/>
      <c r="S291" s="647"/>
      <c r="T291" s="648"/>
      <c r="U291" s="34"/>
      <c r="V291" s="34"/>
      <c r="W291" s="35" t="s">
        <v>66</v>
      </c>
      <c r="X291" s="629">
        <v>4</v>
      </c>
      <c r="Y291" s="630">
        <f>IFERROR(IF(X291="",0,CEILING((X291/$H291),1)*$H291),"")</f>
        <v>4.8</v>
      </c>
      <c r="Z291" s="36">
        <f>IFERROR(IF(Y291=0,"",ROUNDUP(Y291/H291,0)*0.00651),"")</f>
        <v>1.302E-2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4.4200000000000008</v>
      </c>
      <c r="BN291" s="64">
        <f>IFERROR(Y291*I291/H291,"0")</f>
        <v>5.3040000000000003</v>
      </c>
      <c r="BO291" s="64">
        <f>IFERROR(1/J291*(X291/H291),"0")</f>
        <v>9.1575091575091579E-3</v>
      </c>
      <c r="BP291" s="64">
        <f>IFERROR(1/J291*(Y291/H291),"0")</f>
        <v>1.098901098901099E-2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5">
        <v>4680115880801</v>
      </c>
      <c r="E292" s="636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6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7"/>
      <c r="R292" s="647"/>
      <c r="S292" s="647"/>
      <c r="T292" s="648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3"/>
      <c r="B293" s="644"/>
      <c r="C293" s="644"/>
      <c r="D293" s="644"/>
      <c r="E293" s="644"/>
      <c r="F293" s="644"/>
      <c r="G293" s="644"/>
      <c r="H293" s="644"/>
      <c r="I293" s="644"/>
      <c r="J293" s="644"/>
      <c r="K293" s="644"/>
      <c r="L293" s="644"/>
      <c r="M293" s="644"/>
      <c r="N293" s="644"/>
      <c r="O293" s="645"/>
      <c r="P293" s="637" t="s">
        <v>71</v>
      </c>
      <c r="Q293" s="638"/>
      <c r="R293" s="638"/>
      <c r="S293" s="638"/>
      <c r="T293" s="638"/>
      <c r="U293" s="638"/>
      <c r="V293" s="639"/>
      <c r="W293" s="37" t="s">
        <v>72</v>
      </c>
      <c r="X293" s="631">
        <f>IFERROR(X291/H291,"0")+IFERROR(X292/H292,"0")</f>
        <v>1.6666666666666667</v>
      </c>
      <c r="Y293" s="631">
        <f>IFERROR(Y291/H291,"0")+IFERROR(Y292/H292,"0")</f>
        <v>2</v>
      </c>
      <c r="Z293" s="631">
        <f>IFERROR(IF(Z291="",0,Z291),"0")+IFERROR(IF(Z292="",0,Z292),"0")</f>
        <v>1.302E-2</v>
      </c>
      <c r="AA293" s="632"/>
      <c r="AB293" s="632"/>
      <c r="AC293" s="632"/>
    </row>
    <row r="294" spans="1:68" x14ac:dyDescent="0.2">
      <c r="A294" s="644"/>
      <c r="B294" s="644"/>
      <c r="C294" s="644"/>
      <c r="D294" s="644"/>
      <c r="E294" s="644"/>
      <c r="F294" s="644"/>
      <c r="G294" s="644"/>
      <c r="H294" s="644"/>
      <c r="I294" s="644"/>
      <c r="J294" s="644"/>
      <c r="K294" s="644"/>
      <c r="L294" s="644"/>
      <c r="M294" s="644"/>
      <c r="N294" s="644"/>
      <c r="O294" s="645"/>
      <c r="P294" s="637" t="s">
        <v>71</v>
      </c>
      <c r="Q294" s="638"/>
      <c r="R294" s="638"/>
      <c r="S294" s="638"/>
      <c r="T294" s="638"/>
      <c r="U294" s="638"/>
      <c r="V294" s="639"/>
      <c r="W294" s="37" t="s">
        <v>66</v>
      </c>
      <c r="X294" s="631">
        <f>IFERROR(SUM(X291:X292),"0")</f>
        <v>4</v>
      </c>
      <c r="Y294" s="631">
        <f>IFERROR(SUM(Y291:Y292),"0")</f>
        <v>4.8</v>
      </c>
      <c r="Z294" s="37"/>
      <c r="AA294" s="632"/>
      <c r="AB294" s="632"/>
      <c r="AC294" s="632"/>
    </row>
    <row r="295" spans="1:68" ht="16.5" customHeight="1" x14ac:dyDescent="0.25">
      <c r="A295" s="664" t="s">
        <v>495</v>
      </c>
      <c r="B295" s="644"/>
      <c r="C295" s="644"/>
      <c r="D295" s="644"/>
      <c r="E295" s="644"/>
      <c r="F295" s="644"/>
      <c r="G295" s="644"/>
      <c r="H295" s="644"/>
      <c r="I295" s="644"/>
      <c r="J295" s="644"/>
      <c r="K295" s="644"/>
      <c r="L295" s="644"/>
      <c r="M295" s="644"/>
      <c r="N295" s="644"/>
      <c r="O295" s="644"/>
      <c r="P295" s="644"/>
      <c r="Q295" s="644"/>
      <c r="R295" s="644"/>
      <c r="S295" s="644"/>
      <c r="T295" s="644"/>
      <c r="U295" s="644"/>
      <c r="V295" s="644"/>
      <c r="W295" s="644"/>
      <c r="X295" s="644"/>
      <c r="Y295" s="644"/>
      <c r="Z295" s="644"/>
      <c r="AA295" s="624"/>
      <c r="AB295" s="624"/>
      <c r="AC295" s="624"/>
    </row>
    <row r="296" spans="1:68" ht="14.25" customHeight="1" x14ac:dyDescent="0.25">
      <c r="A296" s="661" t="s">
        <v>112</v>
      </c>
      <c r="B296" s="644"/>
      <c r="C296" s="644"/>
      <c r="D296" s="644"/>
      <c r="E296" s="644"/>
      <c r="F296" s="644"/>
      <c r="G296" s="644"/>
      <c r="H296" s="644"/>
      <c r="I296" s="644"/>
      <c r="J296" s="644"/>
      <c r="K296" s="644"/>
      <c r="L296" s="644"/>
      <c r="M296" s="644"/>
      <c r="N296" s="644"/>
      <c r="O296" s="644"/>
      <c r="P296" s="644"/>
      <c r="Q296" s="644"/>
      <c r="R296" s="644"/>
      <c r="S296" s="644"/>
      <c r="T296" s="644"/>
      <c r="U296" s="644"/>
      <c r="V296" s="644"/>
      <c r="W296" s="644"/>
      <c r="X296" s="644"/>
      <c r="Y296" s="644"/>
      <c r="Z296" s="644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5">
        <v>4680115884137</v>
      </c>
      <c r="E297" s="636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6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7"/>
      <c r="R297" s="647"/>
      <c r="S297" s="647"/>
      <c r="T297" s="648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5">
        <v>4680115884236</v>
      </c>
      <c r="E298" s="636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71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7"/>
      <c r="R298" s="647"/>
      <c r="S298" s="647"/>
      <c r="T298" s="648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5">
        <v>4680115884175</v>
      </c>
      <c r="E299" s="636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7"/>
      <c r="R299" s="647"/>
      <c r="S299" s="647"/>
      <c r="T299" s="648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5">
        <v>4680115884144</v>
      </c>
      <c r="E300" s="636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87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7"/>
      <c r="R300" s="647"/>
      <c r="S300" s="647"/>
      <c r="T300" s="648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5">
        <v>4680115886551</v>
      </c>
      <c r="E301" s="636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7"/>
      <c r="R301" s="647"/>
      <c r="S301" s="647"/>
      <c r="T301" s="648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5">
        <v>4680115887282</v>
      </c>
      <c r="E302" s="636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99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7"/>
      <c r="R302" s="647"/>
      <c r="S302" s="647"/>
      <c r="T302" s="648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5">
        <v>4680115884205</v>
      </c>
      <c r="E303" s="636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7"/>
      <c r="R303" s="647"/>
      <c r="S303" s="647"/>
      <c r="T303" s="648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3"/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5"/>
      <c r="P304" s="637" t="s">
        <v>71</v>
      </c>
      <c r="Q304" s="638"/>
      <c r="R304" s="638"/>
      <c r="S304" s="638"/>
      <c r="T304" s="638"/>
      <c r="U304" s="638"/>
      <c r="V304" s="639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x14ac:dyDescent="0.2">
      <c r="A305" s="644"/>
      <c r="B305" s="644"/>
      <c r="C305" s="644"/>
      <c r="D305" s="644"/>
      <c r="E305" s="644"/>
      <c r="F305" s="644"/>
      <c r="G305" s="644"/>
      <c r="H305" s="644"/>
      <c r="I305" s="644"/>
      <c r="J305" s="644"/>
      <c r="K305" s="644"/>
      <c r="L305" s="644"/>
      <c r="M305" s="644"/>
      <c r="N305" s="644"/>
      <c r="O305" s="645"/>
      <c r="P305" s="637" t="s">
        <v>71</v>
      </c>
      <c r="Q305" s="638"/>
      <c r="R305" s="638"/>
      <c r="S305" s="638"/>
      <c r="T305" s="638"/>
      <c r="U305" s="638"/>
      <c r="V305" s="639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customHeight="1" x14ac:dyDescent="0.25">
      <c r="A306" s="661" t="s">
        <v>145</v>
      </c>
      <c r="B306" s="644"/>
      <c r="C306" s="644"/>
      <c r="D306" s="644"/>
      <c r="E306" s="644"/>
      <c r="F306" s="644"/>
      <c r="G306" s="644"/>
      <c r="H306" s="644"/>
      <c r="I306" s="644"/>
      <c r="J306" s="644"/>
      <c r="K306" s="644"/>
      <c r="L306" s="644"/>
      <c r="M306" s="644"/>
      <c r="N306" s="644"/>
      <c r="O306" s="644"/>
      <c r="P306" s="644"/>
      <c r="Q306" s="644"/>
      <c r="R306" s="644"/>
      <c r="S306" s="644"/>
      <c r="T306" s="644"/>
      <c r="U306" s="644"/>
      <c r="V306" s="644"/>
      <c r="W306" s="644"/>
      <c r="X306" s="644"/>
      <c r="Y306" s="644"/>
      <c r="Z306" s="644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5">
        <v>4680115885981</v>
      </c>
      <c r="E307" s="636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6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7"/>
      <c r="R307" s="647"/>
      <c r="S307" s="647"/>
      <c r="T307" s="648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3"/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5"/>
      <c r="P308" s="637" t="s">
        <v>71</v>
      </c>
      <c r="Q308" s="638"/>
      <c r="R308" s="638"/>
      <c r="S308" s="638"/>
      <c r="T308" s="638"/>
      <c r="U308" s="638"/>
      <c r="V308" s="639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4"/>
      <c r="B309" s="644"/>
      <c r="C309" s="644"/>
      <c r="D309" s="644"/>
      <c r="E309" s="644"/>
      <c r="F309" s="644"/>
      <c r="G309" s="644"/>
      <c r="H309" s="644"/>
      <c r="I309" s="644"/>
      <c r="J309" s="644"/>
      <c r="K309" s="644"/>
      <c r="L309" s="644"/>
      <c r="M309" s="644"/>
      <c r="N309" s="644"/>
      <c r="O309" s="645"/>
      <c r="P309" s="637" t="s">
        <v>71</v>
      </c>
      <c r="Q309" s="638"/>
      <c r="R309" s="638"/>
      <c r="S309" s="638"/>
      <c r="T309" s="638"/>
      <c r="U309" s="638"/>
      <c r="V309" s="639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61" t="s">
        <v>517</v>
      </c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44"/>
      <c r="P310" s="644"/>
      <c r="Q310" s="644"/>
      <c r="R310" s="644"/>
      <c r="S310" s="644"/>
      <c r="T310" s="644"/>
      <c r="U310" s="644"/>
      <c r="V310" s="644"/>
      <c r="W310" s="644"/>
      <c r="X310" s="644"/>
      <c r="Y310" s="644"/>
      <c r="Z310" s="644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5">
        <v>4680115886803</v>
      </c>
      <c r="E311" s="636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7"/>
      <c r="R311" s="647"/>
      <c r="S311" s="647"/>
      <c r="T311" s="648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3"/>
      <c r="B312" s="644"/>
      <c r="C312" s="644"/>
      <c r="D312" s="644"/>
      <c r="E312" s="644"/>
      <c r="F312" s="644"/>
      <c r="G312" s="644"/>
      <c r="H312" s="644"/>
      <c r="I312" s="644"/>
      <c r="J312" s="644"/>
      <c r="K312" s="644"/>
      <c r="L312" s="644"/>
      <c r="M312" s="644"/>
      <c r="N312" s="644"/>
      <c r="O312" s="645"/>
      <c r="P312" s="637" t="s">
        <v>71</v>
      </c>
      <c r="Q312" s="638"/>
      <c r="R312" s="638"/>
      <c r="S312" s="638"/>
      <c r="T312" s="638"/>
      <c r="U312" s="638"/>
      <c r="V312" s="639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4"/>
      <c r="B313" s="644"/>
      <c r="C313" s="644"/>
      <c r="D313" s="644"/>
      <c r="E313" s="644"/>
      <c r="F313" s="644"/>
      <c r="G313" s="644"/>
      <c r="H313" s="644"/>
      <c r="I313" s="644"/>
      <c r="J313" s="644"/>
      <c r="K313" s="644"/>
      <c r="L313" s="644"/>
      <c r="M313" s="644"/>
      <c r="N313" s="644"/>
      <c r="O313" s="645"/>
      <c r="P313" s="637" t="s">
        <v>71</v>
      </c>
      <c r="Q313" s="638"/>
      <c r="R313" s="638"/>
      <c r="S313" s="638"/>
      <c r="T313" s="638"/>
      <c r="U313" s="638"/>
      <c r="V313" s="639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customHeight="1" x14ac:dyDescent="0.25">
      <c r="A314" s="661" t="s">
        <v>334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5">
        <v>4680115886704</v>
      </c>
      <c r="E315" s="636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9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47"/>
      <c r="R315" s="647"/>
      <c r="S315" s="647"/>
      <c r="T315" s="648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5">
        <v>4680115886681</v>
      </c>
      <c r="E316" s="636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96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7"/>
      <c r="R316" s="647"/>
      <c r="S316" s="647"/>
      <c r="T316" s="648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5">
        <v>4680115886735</v>
      </c>
      <c r="E317" s="636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47"/>
      <c r="R317" s="647"/>
      <c r="S317" s="647"/>
      <c r="T317" s="648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3"/>
      <c r="B318" s="644"/>
      <c r="C318" s="644"/>
      <c r="D318" s="644"/>
      <c r="E318" s="644"/>
      <c r="F318" s="644"/>
      <c r="G318" s="644"/>
      <c r="H318" s="644"/>
      <c r="I318" s="644"/>
      <c r="J318" s="644"/>
      <c r="K318" s="644"/>
      <c r="L318" s="644"/>
      <c r="M318" s="644"/>
      <c r="N318" s="644"/>
      <c r="O318" s="645"/>
      <c r="P318" s="637" t="s">
        <v>71</v>
      </c>
      <c r="Q318" s="638"/>
      <c r="R318" s="638"/>
      <c r="S318" s="638"/>
      <c r="T318" s="638"/>
      <c r="U318" s="638"/>
      <c r="V318" s="639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4"/>
      <c r="B319" s="644"/>
      <c r="C319" s="644"/>
      <c r="D319" s="644"/>
      <c r="E319" s="644"/>
      <c r="F319" s="644"/>
      <c r="G319" s="644"/>
      <c r="H319" s="644"/>
      <c r="I319" s="644"/>
      <c r="J319" s="644"/>
      <c r="K319" s="644"/>
      <c r="L319" s="644"/>
      <c r="M319" s="644"/>
      <c r="N319" s="644"/>
      <c r="O319" s="645"/>
      <c r="P319" s="637" t="s">
        <v>71</v>
      </c>
      <c r="Q319" s="638"/>
      <c r="R319" s="638"/>
      <c r="S319" s="638"/>
      <c r="T319" s="638"/>
      <c r="U319" s="638"/>
      <c r="V319" s="639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64" t="s">
        <v>528</v>
      </c>
      <c r="B320" s="644"/>
      <c r="C320" s="644"/>
      <c r="D320" s="644"/>
      <c r="E320" s="644"/>
      <c r="F320" s="644"/>
      <c r="G320" s="644"/>
      <c r="H320" s="644"/>
      <c r="I320" s="644"/>
      <c r="J320" s="644"/>
      <c r="K320" s="644"/>
      <c r="L320" s="644"/>
      <c r="M320" s="644"/>
      <c r="N320" s="644"/>
      <c r="O320" s="644"/>
      <c r="P320" s="644"/>
      <c r="Q320" s="644"/>
      <c r="R320" s="644"/>
      <c r="S320" s="644"/>
      <c r="T320" s="644"/>
      <c r="U320" s="644"/>
      <c r="V320" s="644"/>
      <c r="W320" s="644"/>
      <c r="X320" s="644"/>
      <c r="Y320" s="644"/>
      <c r="Z320" s="644"/>
      <c r="AA320" s="624"/>
      <c r="AB320" s="624"/>
      <c r="AC320" s="624"/>
    </row>
    <row r="321" spans="1:68" ht="14.25" customHeight="1" x14ac:dyDescent="0.25">
      <c r="A321" s="661" t="s">
        <v>112</v>
      </c>
      <c r="B321" s="644"/>
      <c r="C321" s="644"/>
      <c r="D321" s="644"/>
      <c r="E321" s="644"/>
      <c r="F321" s="644"/>
      <c r="G321" s="644"/>
      <c r="H321" s="644"/>
      <c r="I321" s="644"/>
      <c r="J321" s="644"/>
      <c r="K321" s="644"/>
      <c r="L321" s="644"/>
      <c r="M321" s="644"/>
      <c r="N321" s="644"/>
      <c r="O321" s="644"/>
      <c r="P321" s="644"/>
      <c r="Q321" s="644"/>
      <c r="R321" s="644"/>
      <c r="S321" s="644"/>
      <c r="T321" s="644"/>
      <c r="U321" s="644"/>
      <c r="V321" s="644"/>
      <c r="W321" s="644"/>
      <c r="X321" s="644"/>
      <c r="Y321" s="644"/>
      <c r="Z321" s="644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5">
        <v>4680115885837</v>
      </c>
      <c r="E322" s="636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7"/>
      <c r="R322" s="647"/>
      <c r="S322" s="647"/>
      <c r="T322" s="648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5">
        <v>4680115887237</v>
      </c>
      <c r="E323" s="636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7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7"/>
      <c r="R323" s="647"/>
      <c r="S323" s="647"/>
      <c r="T323" s="648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5">
        <v>4680115885806</v>
      </c>
      <c r="E324" s="636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7"/>
      <c r="R324" s="647"/>
      <c r="S324" s="647"/>
      <c r="T324" s="648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5">
        <v>4680115885844</v>
      </c>
      <c r="E325" s="636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7"/>
      <c r="R325" s="647"/>
      <c r="S325" s="647"/>
      <c r="T325" s="648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5">
        <v>4680115885820</v>
      </c>
      <c r="E326" s="636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9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7"/>
      <c r="R326" s="647"/>
      <c r="S326" s="647"/>
      <c r="T326" s="648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3"/>
      <c r="B327" s="644"/>
      <c r="C327" s="644"/>
      <c r="D327" s="644"/>
      <c r="E327" s="644"/>
      <c r="F327" s="644"/>
      <c r="G327" s="644"/>
      <c r="H327" s="644"/>
      <c r="I327" s="644"/>
      <c r="J327" s="644"/>
      <c r="K327" s="644"/>
      <c r="L327" s="644"/>
      <c r="M327" s="644"/>
      <c r="N327" s="644"/>
      <c r="O327" s="645"/>
      <c r="P327" s="637" t="s">
        <v>71</v>
      </c>
      <c r="Q327" s="638"/>
      <c r="R327" s="638"/>
      <c r="S327" s="638"/>
      <c r="T327" s="638"/>
      <c r="U327" s="638"/>
      <c r="V327" s="639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4"/>
      <c r="B328" s="644"/>
      <c r="C328" s="644"/>
      <c r="D328" s="644"/>
      <c r="E328" s="644"/>
      <c r="F328" s="644"/>
      <c r="G328" s="644"/>
      <c r="H328" s="644"/>
      <c r="I328" s="644"/>
      <c r="J328" s="644"/>
      <c r="K328" s="644"/>
      <c r="L328" s="644"/>
      <c r="M328" s="644"/>
      <c r="N328" s="644"/>
      <c r="O328" s="645"/>
      <c r="P328" s="637" t="s">
        <v>71</v>
      </c>
      <c r="Q328" s="638"/>
      <c r="R328" s="638"/>
      <c r="S328" s="638"/>
      <c r="T328" s="638"/>
      <c r="U328" s="638"/>
      <c r="V328" s="639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64" t="s">
        <v>544</v>
      </c>
      <c r="B329" s="644"/>
      <c r="C329" s="644"/>
      <c r="D329" s="644"/>
      <c r="E329" s="644"/>
      <c r="F329" s="644"/>
      <c r="G329" s="644"/>
      <c r="H329" s="644"/>
      <c r="I329" s="644"/>
      <c r="J329" s="644"/>
      <c r="K329" s="644"/>
      <c r="L329" s="644"/>
      <c r="M329" s="644"/>
      <c r="N329" s="644"/>
      <c r="O329" s="644"/>
      <c r="P329" s="644"/>
      <c r="Q329" s="644"/>
      <c r="R329" s="644"/>
      <c r="S329" s="644"/>
      <c r="T329" s="644"/>
      <c r="U329" s="644"/>
      <c r="V329" s="644"/>
      <c r="W329" s="644"/>
      <c r="X329" s="644"/>
      <c r="Y329" s="644"/>
      <c r="Z329" s="644"/>
      <c r="AA329" s="624"/>
      <c r="AB329" s="624"/>
      <c r="AC329" s="624"/>
    </row>
    <row r="330" spans="1:68" ht="14.25" customHeight="1" x14ac:dyDescent="0.25">
      <c r="A330" s="661" t="s">
        <v>73</v>
      </c>
      <c r="B330" s="644"/>
      <c r="C330" s="644"/>
      <c r="D330" s="644"/>
      <c r="E330" s="644"/>
      <c r="F330" s="644"/>
      <c r="G330" s="644"/>
      <c r="H330" s="644"/>
      <c r="I330" s="644"/>
      <c r="J330" s="644"/>
      <c r="K330" s="644"/>
      <c r="L330" s="644"/>
      <c r="M330" s="644"/>
      <c r="N330" s="644"/>
      <c r="O330" s="644"/>
      <c r="P330" s="644"/>
      <c r="Q330" s="644"/>
      <c r="R330" s="644"/>
      <c r="S330" s="644"/>
      <c r="T330" s="644"/>
      <c r="U330" s="644"/>
      <c r="V330" s="644"/>
      <c r="W330" s="644"/>
      <c r="X330" s="644"/>
      <c r="Y330" s="644"/>
      <c r="Z330" s="644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5">
        <v>4680115886186</v>
      </c>
      <c r="E331" s="636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9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7"/>
      <c r="R331" s="647"/>
      <c r="S331" s="647"/>
      <c r="T331" s="648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5">
        <v>4680115881228</v>
      </c>
      <c r="E332" s="636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7"/>
      <c r="R332" s="647"/>
      <c r="S332" s="647"/>
      <c r="T332" s="648"/>
      <c r="U332" s="34"/>
      <c r="V332" s="34"/>
      <c r="W332" s="35" t="s">
        <v>66</v>
      </c>
      <c r="X332" s="629">
        <v>40</v>
      </c>
      <c r="Y332" s="630">
        <f>IFERROR(IF(X332="",0,CEILING((X332/$H332),1)*$H332),"")</f>
        <v>40.799999999999997</v>
      </c>
      <c r="Z332" s="36">
        <f>IFERROR(IF(Y332=0,"",ROUNDUP(Y332/H332,0)*0.00651),"")</f>
        <v>0.11067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44.20000000000001</v>
      </c>
      <c r="BN332" s="64">
        <f>IFERROR(Y332*I332/H332,"0")</f>
        <v>45.084000000000003</v>
      </c>
      <c r="BO332" s="64">
        <f>IFERROR(1/J332*(X332/H332),"0")</f>
        <v>9.1575091575091583E-2</v>
      </c>
      <c r="BP332" s="64">
        <f>IFERROR(1/J332*(Y332/H332),"0")</f>
        <v>9.3406593406593408E-2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5">
        <v>4680115881211</v>
      </c>
      <c r="E333" s="636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7"/>
      <c r="R333" s="647"/>
      <c r="S333" s="647"/>
      <c r="T333" s="648"/>
      <c r="U333" s="34"/>
      <c r="V333" s="34"/>
      <c r="W333" s="35" t="s">
        <v>66</v>
      </c>
      <c r="X333" s="629">
        <v>40</v>
      </c>
      <c r="Y333" s="630">
        <f>IFERROR(IF(X333="",0,CEILING((X333/$H333),1)*$H333),"")</f>
        <v>40.799999999999997</v>
      </c>
      <c r="Z333" s="36">
        <f>IFERROR(IF(Y333=0,"",ROUNDUP(Y333/H333,0)*0.00651),"")</f>
        <v>0.11067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43</v>
      </c>
      <c r="BN333" s="64">
        <f>IFERROR(Y333*I333/H333,"0")</f>
        <v>43.86</v>
      </c>
      <c r="BO333" s="64">
        <f>IFERROR(1/J333*(X333/H333),"0")</f>
        <v>9.1575091575091583E-2</v>
      </c>
      <c r="BP333" s="64">
        <f>IFERROR(1/J333*(Y333/H333),"0")</f>
        <v>9.3406593406593408E-2</v>
      </c>
    </row>
    <row r="334" spans="1:68" x14ac:dyDescent="0.2">
      <c r="A334" s="643"/>
      <c r="B334" s="644"/>
      <c r="C334" s="644"/>
      <c r="D334" s="644"/>
      <c r="E334" s="644"/>
      <c r="F334" s="644"/>
      <c r="G334" s="644"/>
      <c r="H334" s="644"/>
      <c r="I334" s="644"/>
      <c r="J334" s="644"/>
      <c r="K334" s="644"/>
      <c r="L334" s="644"/>
      <c r="M334" s="644"/>
      <c r="N334" s="644"/>
      <c r="O334" s="645"/>
      <c r="P334" s="637" t="s">
        <v>71</v>
      </c>
      <c r="Q334" s="638"/>
      <c r="R334" s="638"/>
      <c r="S334" s="638"/>
      <c r="T334" s="638"/>
      <c r="U334" s="638"/>
      <c r="V334" s="639"/>
      <c r="W334" s="37" t="s">
        <v>72</v>
      </c>
      <c r="X334" s="631">
        <f>IFERROR(X331/H331,"0")+IFERROR(X332/H332,"0")+IFERROR(X333/H333,"0")</f>
        <v>33.333333333333336</v>
      </c>
      <c r="Y334" s="631">
        <f>IFERROR(Y331/H331,"0")+IFERROR(Y332/H332,"0")+IFERROR(Y333/H333,"0")</f>
        <v>34</v>
      </c>
      <c r="Z334" s="631">
        <f>IFERROR(IF(Z331="",0,Z331),"0")+IFERROR(IF(Z332="",0,Z332),"0")+IFERROR(IF(Z333="",0,Z333),"0")</f>
        <v>0.22134000000000001</v>
      </c>
      <c r="AA334" s="632"/>
      <c r="AB334" s="632"/>
      <c r="AC334" s="632"/>
    </row>
    <row r="335" spans="1:68" x14ac:dyDescent="0.2">
      <c r="A335" s="644"/>
      <c r="B335" s="644"/>
      <c r="C335" s="644"/>
      <c r="D335" s="644"/>
      <c r="E335" s="644"/>
      <c r="F335" s="644"/>
      <c r="G335" s="644"/>
      <c r="H335" s="644"/>
      <c r="I335" s="644"/>
      <c r="J335" s="644"/>
      <c r="K335" s="644"/>
      <c r="L335" s="644"/>
      <c r="M335" s="644"/>
      <c r="N335" s="644"/>
      <c r="O335" s="645"/>
      <c r="P335" s="637" t="s">
        <v>71</v>
      </c>
      <c r="Q335" s="638"/>
      <c r="R335" s="638"/>
      <c r="S335" s="638"/>
      <c r="T335" s="638"/>
      <c r="U335" s="638"/>
      <c r="V335" s="639"/>
      <c r="W335" s="37" t="s">
        <v>66</v>
      </c>
      <c r="X335" s="631">
        <f>IFERROR(SUM(X331:X333),"0")</f>
        <v>80</v>
      </c>
      <c r="Y335" s="631">
        <f>IFERROR(SUM(Y331:Y333),"0")</f>
        <v>81.599999999999994</v>
      </c>
      <c r="Z335" s="37"/>
      <c r="AA335" s="632"/>
      <c r="AB335" s="632"/>
      <c r="AC335" s="632"/>
    </row>
    <row r="336" spans="1:68" ht="16.5" customHeight="1" x14ac:dyDescent="0.25">
      <c r="A336" s="664" t="s">
        <v>553</v>
      </c>
      <c r="B336" s="644"/>
      <c r="C336" s="644"/>
      <c r="D336" s="644"/>
      <c r="E336" s="644"/>
      <c r="F336" s="644"/>
      <c r="G336" s="644"/>
      <c r="H336" s="644"/>
      <c r="I336" s="644"/>
      <c r="J336" s="644"/>
      <c r="K336" s="644"/>
      <c r="L336" s="644"/>
      <c r="M336" s="644"/>
      <c r="N336" s="644"/>
      <c r="O336" s="644"/>
      <c r="P336" s="644"/>
      <c r="Q336" s="644"/>
      <c r="R336" s="644"/>
      <c r="S336" s="644"/>
      <c r="T336" s="644"/>
      <c r="U336" s="644"/>
      <c r="V336" s="644"/>
      <c r="W336" s="644"/>
      <c r="X336" s="644"/>
      <c r="Y336" s="644"/>
      <c r="Z336" s="644"/>
      <c r="AA336" s="624"/>
      <c r="AB336" s="624"/>
      <c r="AC336" s="624"/>
    </row>
    <row r="337" spans="1:68" ht="14.25" customHeight="1" x14ac:dyDescent="0.25">
      <c r="A337" s="661" t="s">
        <v>61</v>
      </c>
      <c r="B337" s="644"/>
      <c r="C337" s="644"/>
      <c r="D337" s="644"/>
      <c r="E337" s="644"/>
      <c r="F337" s="644"/>
      <c r="G337" s="644"/>
      <c r="H337" s="644"/>
      <c r="I337" s="644"/>
      <c r="J337" s="644"/>
      <c r="K337" s="644"/>
      <c r="L337" s="644"/>
      <c r="M337" s="644"/>
      <c r="N337" s="644"/>
      <c r="O337" s="644"/>
      <c r="P337" s="644"/>
      <c r="Q337" s="644"/>
      <c r="R337" s="644"/>
      <c r="S337" s="644"/>
      <c r="T337" s="644"/>
      <c r="U337" s="644"/>
      <c r="V337" s="644"/>
      <c r="W337" s="644"/>
      <c r="X337" s="644"/>
      <c r="Y337" s="644"/>
      <c r="Z337" s="644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5">
        <v>4680115888319</v>
      </c>
      <c r="E338" s="636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69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7"/>
      <c r="R338" s="647"/>
      <c r="S338" s="647"/>
      <c r="T338" s="648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5">
        <v>4680115884700</v>
      </c>
      <c r="E339" s="636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9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7"/>
      <c r="R339" s="647"/>
      <c r="S339" s="647"/>
      <c r="T339" s="648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5">
        <v>4680115880344</v>
      </c>
      <c r="E340" s="636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8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7"/>
      <c r="R340" s="647"/>
      <c r="S340" s="647"/>
      <c r="T340" s="648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5">
        <v>4680115886919</v>
      </c>
      <c r="E341" s="636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0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7"/>
      <c r="R341" s="647"/>
      <c r="S341" s="647"/>
      <c r="T341" s="648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5">
        <v>4680115883970</v>
      </c>
      <c r="E342" s="636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7"/>
      <c r="R342" s="647"/>
      <c r="S342" s="647"/>
      <c r="T342" s="648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3"/>
      <c r="B343" s="644"/>
      <c r="C343" s="644"/>
      <c r="D343" s="644"/>
      <c r="E343" s="644"/>
      <c r="F343" s="644"/>
      <c r="G343" s="644"/>
      <c r="H343" s="644"/>
      <c r="I343" s="644"/>
      <c r="J343" s="644"/>
      <c r="K343" s="644"/>
      <c r="L343" s="644"/>
      <c r="M343" s="644"/>
      <c r="N343" s="644"/>
      <c r="O343" s="645"/>
      <c r="P343" s="637" t="s">
        <v>71</v>
      </c>
      <c r="Q343" s="638"/>
      <c r="R343" s="638"/>
      <c r="S343" s="638"/>
      <c r="T343" s="638"/>
      <c r="U343" s="638"/>
      <c r="V343" s="639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4"/>
      <c r="B344" s="644"/>
      <c r="C344" s="644"/>
      <c r="D344" s="644"/>
      <c r="E344" s="644"/>
      <c r="F344" s="644"/>
      <c r="G344" s="644"/>
      <c r="H344" s="644"/>
      <c r="I344" s="644"/>
      <c r="J344" s="644"/>
      <c r="K344" s="644"/>
      <c r="L344" s="644"/>
      <c r="M344" s="644"/>
      <c r="N344" s="644"/>
      <c r="O344" s="645"/>
      <c r="P344" s="637" t="s">
        <v>71</v>
      </c>
      <c r="Q344" s="638"/>
      <c r="R344" s="638"/>
      <c r="S344" s="638"/>
      <c r="T344" s="638"/>
      <c r="U344" s="638"/>
      <c r="V344" s="639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61" t="s">
        <v>73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5">
        <v>4680115884618</v>
      </c>
      <c r="E346" s="636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74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7"/>
      <c r="R346" s="647"/>
      <c r="S346" s="647"/>
      <c r="T346" s="648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5">
        <v>4680115887114</v>
      </c>
      <c r="E347" s="636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7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7"/>
      <c r="R347" s="647"/>
      <c r="S347" s="647"/>
      <c r="T347" s="648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3"/>
      <c r="B348" s="644"/>
      <c r="C348" s="644"/>
      <c r="D348" s="644"/>
      <c r="E348" s="644"/>
      <c r="F348" s="644"/>
      <c r="G348" s="644"/>
      <c r="H348" s="644"/>
      <c r="I348" s="644"/>
      <c r="J348" s="644"/>
      <c r="K348" s="644"/>
      <c r="L348" s="644"/>
      <c r="M348" s="644"/>
      <c r="N348" s="644"/>
      <c r="O348" s="645"/>
      <c r="P348" s="637" t="s">
        <v>71</v>
      </c>
      <c r="Q348" s="638"/>
      <c r="R348" s="638"/>
      <c r="S348" s="638"/>
      <c r="T348" s="638"/>
      <c r="U348" s="638"/>
      <c r="V348" s="639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4"/>
      <c r="B349" s="644"/>
      <c r="C349" s="644"/>
      <c r="D349" s="644"/>
      <c r="E349" s="644"/>
      <c r="F349" s="644"/>
      <c r="G349" s="644"/>
      <c r="H349" s="644"/>
      <c r="I349" s="644"/>
      <c r="J349" s="644"/>
      <c r="K349" s="644"/>
      <c r="L349" s="644"/>
      <c r="M349" s="644"/>
      <c r="N349" s="644"/>
      <c r="O349" s="645"/>
      <c r="P349" s="637" t="s">
        <v>71</v>
      </c>
      <c r="Q349" s="638"/>
      <c r="R349" s="638"/>
      <c r="S349" s="638"/>
      <c r="T349" s="638"/>
      <c r="U349" s="638"/>
      <c r="V349" s="639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64" t="s">
        <v>574</v>
      </c>
      <c r="B350" s="644"/>
      <c r="C350" s="644"/>
      <c r="D350" s="644"/>
      <c r="E350" s="644"/>
      <c r="F350" s="644"/>
      <c r="G350" s="644"/>
      <c r="H350" s="644"/>
      <c r="I350" s="644"/>
      <c r="J350" s="644"/>
      <c r="K350" s="644"/>
      <c r="L350" s="644"/>
      <c r="M350" s="644"/>
      <c r="N350" s="644"/>
      <c r="O350" s="644"/>
      <c r="P350" s="644"/>
      <c r="Q350" s="644"/>
      <c r="R350" s="644"/>
      <c r="S350" s="644"/>
      <c r="T350" s="644"/>
      <c r="U350" s="644"/>
      <c r="V350" s="644"/>
      <c r="W350" s="644"/>
      <c r="X350" s="644"/>
      <c r="Y350" s="644"/>
      <c r="Z350" s="644"/>
      <c r="AA350" s="624"/>
      <c r="AB350" s="624"/>
      <c r="AC350" s="624"/>
    </row>
    <row r="351" spans="1:68" ht="14.25" customHeight="1" x14ac:dyDescent="0.25">
      <c r="A351" s="661" t="s">
        <v>112</v>
      </c>
      <c r="B351" s="644"/>
      <c r="C351" s="644"/>
      <c r="D351" s="644"/>
      <c r="E351" s="644"/>
      <c r="F351" s="644"/>
      <c r="G351" s="644"/>
      <c r="H351" s="644"/>
      <c r="I351" s="644"/>
      <c r="J351" s="644"/>
      <c r="K351" s="644"/>
      <c r="L351" s="644"/>
      <c r="M351" s="644"/>
      <c r="N351" s="644"/>
      <c r="O351" s="644"/>
      <c r="P351" s="644"/>
      <c r="Q351" s="644"/>
      <c r="R351" s="644"/>
      <c r="S351" s="644"/>
      <c r="T351" s="644"/>
      <c r="U351" s="644"/>
      <c r="V351" s="644"/>
      <c r="W351" s="644"/>
      <c r="X351" s="644"/>
      <c r="Y351" s="644"/>
      <c r="Z351" s="644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5">
        <v>4680115887947</v>
      </c>
      <c r="E352" s="636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90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7"/>
      <c r="R352" s="647"/>
      <c r="S352" s="647"/>
      <c r="T352" s="648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5">
        <v>4680115887978</v>
      </c>
      <c r="E353" s="636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7"/>
      <c r="R353" s="647"/>
      <c r="S353" s="647"/>
      <c r="T353" s="648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5">
        <v>4680115887992</v>
      </c>
      <c r="E354" s="636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73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7"/>
      <c r="R354" s="647"/>
      <c r="S354" s="647"/>
      <c r="T354" s="648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3"/>
      <c r="B355" s="644"/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45"/>
      <c r="P355" s="637" t="s">
        <v>71</v>
      </c>
      <c r="Q355" s="638"/>
      <c r="R355" s="638"/>
      <c r="S355" s="638"/>
      <c r="T355" s="638"/>
      <c r="U355" s="638"/>
      <c r="V355" s="639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x14ac:dyDescent="0.2">
      <c r="A356" s="644"/>
      <c r="B356" s="644"/>
      <c r="C356" s="644"/>
      <c r="D356" s="644"/>
      <c r="E356" s="644"/>
      <c r="F356" s="644"/>
      <c r="G356" s="644"/>
      <c r="H356" s="644"/>
      <c r="I356" s="644"/>
      <c r="J356" s="644"/>
      <c r="K356" s="644"/>
      <c r="L356" s="644"/>
      <c r="M356" s="644"/>
      <c r="N356" s="644"/>
      <c r="O356" s="645"/>
      <c r="P356" s="637" t="s">
        <v>71</v>
      </c>
      <c r="Q356" s="638"/>
      <c r="R356" s="638"/>
      <c r="S356" s="638"/>
      <c r="T356" s="638"/>
      <c r="U356" s="638"/>
      <c r="V356" s="639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customHeight="1" x14ac:dyDescent="0.25">
      <c r="A357" s="664" t="s">
        <v>583</v>
      </c>
      <c r="B357" s="644"/>
      <c r="C357" s="644"/>
      <c r="D357" s="644"/>
      <c r="E357" s="644"/>
      <c r="F357" s="644"/>
      <c r="G357" s="644"/>
      <c r="H357" s="644"/>
      <c r="I357" s="644"/>
      <c r="J357" s="644"/>
      <c r="K357" s="644"/>
      <c r="L357" s="644"/>
      <c r="M357" s="644"/>
      <c r="N357" s="644"/>
      <c r="O357" s="644"/>
      <c r="P357" s="644"/>
      <c r="Q357" s="644"/>
      <c r="R357" s="644"/>
      <c r="S357" s="644"/>
      <c r="T357" s="644"/>
      <c r="U357" s="644"/>
      <c r="V357" s="644"/>
      <c r="W357" s="644"/>
      <c r="X357" s="644"/>
      <c r="Y357" s="644"/>
      <c r="Z357" s="644"/>
      <c r="AA357" s="624"/>
      <c r="AB357" s="624"/>
      <c r="AC357" s="624"/>
    </row>
    <row r="358" spans="1:68" ht="14.25" customHeight="1" x14ac:dyDescent="0.25">
      <c r="A358" s="661" t="s">
        <v>112</v>
      </c>
      <c r="B358" s="644"/>
      <c r="C358" s="644"/>
      <c r="D358" s="644"/>
      <c r="E358" s="644"/>
      <c r="F358" s="644"/>
      <c r="G358" s="644"/>
      <c r="H358" s="644"/>
      <c r="I358" s="644"/>
      <c r="J358" s="644"/>
      <c r="K358" s="644"/>
      <c r="L358" s="644"/>
      <c r="M358" s="644"/>
      <c r="N358" s="644"/>
      <c r="O358" s="644"/>
      <c r="P358" s="644"/>
      <c r="Q358" s="644"/>
      <c r="R358" s="644"/>
      <c r="S358" s="644"/>
      <c r="T358" s="644"/>
      <c r="U358" s="644"/>
      <c r="V358" s="644"/>
      <c r="W358" s="644"/>
      <c r="X358" s="644"/>
      <c r="Y358" s="644"/>
      <c r="Z358" s="644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5">
        <v>4680115887190</v>
      </c>
      <c r="E359" s="636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47"/>
      <c r="R359" s="647"/>
      <c r="S359" s="647"/>
      <c r="T359" s="648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5">
        <v>4680115887138</v>
      </c>
      <c r="E360" s="636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6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47"/>
      <c r="R360" s="647"/>
      <c r="S360" s="647"/>
      <c r="T360" s="648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5">
        <v>4680115885554</v>
      </c>
      <c r="E361" s="636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47"/>
      <c r="R361" s="647"/>
      <c r="S361" s="647"/>
      <c r="T361" s="648"/>
      <c r="U361" s="34"/>
      <c r="V361" s="34"/>
      <c r="W361" s="35" t="s">
        <v>66</v>
      </c>
      <c r="X361" s="629">
        <v>16</v>
      </c>
      <c r="Y361" s="630">
        <f>IFERROR(IF(X361="",0,CEILING((X361/$H361),1)*$H361),"")</f>
        <v>21.6</v>
      </c>
      <c r="Z361" s="36">
        <f>IFERROR(IF(Y361=0,"",ROUNDUP(Y361/H361,0)*0.01898),"")</f>
        <v>3.7960000000000001E-2</v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16.607407407407408</v>
      </c>
      <c r="BN361" s="64">
        <f>IFERROR(Y361*I361/H361,"0")</f>
        <v>22.42</v>
      </c>
      <c r="BO361" s="64">
        <f>IFERROR(1/J361*(X361/H361),"0")</f>
        <v>2.3148148148148147E-2</v>
      </c>
      <c r="BP361" s="64">
        <f>IFERROR(1/J361*(Y361/H361),"0")</f>
        <v>3.125E-2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5">
        <v>4680115887220</v>
      </c>
      <c r="E362" s="636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72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47"/>
      <c r="R362" s="647"/>
      <c r="S362" s="647"/>
      <c r="T362" s="648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5">
        <v>4680115885608</v>
      </c>
      <c r="E363" s="636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66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47"/>
      <c r="R363" s="647"/>
      <c r="S363" s="647"/>
      <c r="T363" s="648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3"/>
      <c r="B364" s="644"/>
      <c r="C364" s="644"/>
      <c r="D364" s="644"/>
      <c r="E364" s="644"/>
      <c r="F364" s="644"/>
      <c r="G364" s="644"/>
      <c r="H364" s="644"/>
      <c r="I364" s="644"/>
      <c r="J364" s="644"/>
      <c r="K364" s="644"/>
      <c r="L364" s="644"/>
      <c r="M364" s="644"/>
      <c r="N364" s="644"/>
      <c r="O364" s="645"/>
      <c r="P364" s="637" t="s">
        <v>71</v>
      </c>
      <c r="Q364" s="638"/>
      <c r="R364" s="638"/>
      <c r="S364" s="638"/>
      <c r="T364" s="638"/>
      <c r="U364" s="638"/>
      <c r="V364" s="639"/>
      <c r="W364" s="37" t="s">
        <v>72</v>
      </c>
      <c r="X364" s="631">
        <f>IFERROR(X359/H359,"0")+IFERROR(X360/H360,"0")+IFERROR(X361/H361,"0")+IFERROR(X362/H362,"0")+IFERROR(X363/H363,"0")</f>
        <v>1.4814814814814814</v>
      </c>
      <c r="Y364" s="631">
        <f>IFERROR(Y359/H359,"0")+IFERROR(Y360/H360,"0")+IFERROR(Y361/H361,"0")+IFERROR(Y362/H362,"0")+IFERROR(Y363/H363,"0")</f>
        <v>2</v>
      </c>
      <c r="Z364" s="631">
        <f>IFERROR(IF(Z359="",0,Z359),"0")+IFERROR(IF(Z360="",0,Z360),"0")+IFERROR(IF(Z361="",0,Z361),"0")+IFERROR(IF(Z362="",0,Z362),"0")+IFERROR(IF(Z363="",0,Z363),"0")</f>
        <v>3.7960000000000001E-2</v>
      </c>
      <c r="AA364" s="632"/>
      <c r="AB364" s="632"/>
      <c r="AC364" s="632"/>
    </row>
    <row r="365" spans="1:68" x14ac:dyDescent="0.2">
      <c r="A365" s="644"/>
      <c r="B365" s="644"/>
      <c r="C365" s="644"/>
      <c r="D365" s="644"/>
      <c r="E365" s="644"/>
      <c r="F365" s="644"/>
      <c r="G365" s="644"/>
      <c r="H365" s="644"/>
      <c r="I365" s="644"/>
      <c r="J365" s="644"/>
      <c r="K365" s="644"/>
      <c r="L365" s="644"/>
      <c r="M365" s="644"/>
      <c r="N365" s="644"/>
      <c r="O365" s="645"/>
      <c r="P365" s="637" t="s">
        <v>71</v>
      </c>
      <c r="Q365" s="638"/>
      <c r="R365" s="638"/>
      <c r="S365" s="638"/>
      <c r="T365" s="638"/>
      <c r="U365" s="638"/>
      <c r="V365" s="639"/>
      <c r="W365" s="37" t="s">
        <v>66</v>
      </c>
      <c r="X365" s="631">
        <f>IFERROR(SUM(X359:X363),"0")</f>
        <v>16</v>
      </c>
      <c r="Y365" s="631">
        <f>IFERROR(SUM(Y359:Y363),"0")</f>
        <v>21.6</v>
      </c>
      <c r="Z365" s="37"/>
      <c r="AA365" s="632"/>
      <c r="AB365" s="632"/>
      <c r="AC365" s="632"/>
    </row>
    <row r="366" spans="1:68" ht="14.25" customHeight="1" x14ac:dyDescent="0.25">
      <c r="A366" s="661" t="s">
        <v>61</v>
      </c>
      <c r="B366" s="644"/>
      <c r="C366" s="644"/>
      <c r="D366" s="644"/>
      <c r="E366" s="644"/>
      <c r="F366" s="644"/>
      <c r="G366" s="644"/>
      <c r="H366" s="644"/>
      <c r="I366" s="644"/>
      <c r="J366" s="644"/>
      <c r="K366" s="644"/>
      <c r="L366" s="644"/>
      <c r="M366" s="644"/>
      <c r="N366" s="644"/>
      <c r="O366" s="644"/>
      <c r="P366" s="644"/>
      <c r="Q366" s="644"/>
      <c r="R366" s="644"/>
      <c r="S366" s="644"/>
      <c r="T366" s="644"/>
      <c r="U366" s="644"/>
      <c r="V366" s="644"/>
      <c r="W366" s="644"/>
      <c r="X366" s="644"/>
      <c r="Y366" s="644"/>
      <c r="Z366" s="644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5">
        <v>4607091387193</v>
      </c>
      <c r="E367" s="636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70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47"/>
      <c r="R367" s="647"/>
      <c r="S367" s="647"/>
      <c r="T367" s="648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5">
        <v>4607091387230</v>
      </c>
      <c r="E368" s="636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6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47"/>
      <c r="R368" s="647"/>
      <c r="S368" s="647"/>
      <c r="T368" s="648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5">
        <v>4607091387292</v>
      </c>
      <c r="E369" s="636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7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47"/>
      <c r="R369" s="647"/>
      <c r="S369" s="647"/>
      <c r="T369" s="648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5">
        <v>4607091387285</v>
      </c>
      <c r="E370" s="636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47"/>
      <c r="R370" s="647"/>
      <c r="S370" s="647"/>
      <c r="T370" s="648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5">
        <v>4607091389845</v>
      </c>
      <c r="E371" s="636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8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47"/>
      <c r="R371" s="647"/>
      <c r="S371" s="647"/>
      <c r="T371" s="648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5">
        <v>4680115887442</v>
      </c>
      <c r="E372" s="636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47"/>
      <c r="R372" s="647"/>
      <c r="S372" s="647"/>
      <c r="T372" s="648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5">
        <v>4607091383836</v>
      </c>
      <c r="E373" s="636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6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47"/>
      <c r="R373" s="647"/>
      <c r="S373" s="647"/>
      <c r="T373" s="648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3"/>
      <c r="B374" s="644"/>
      <c r="C374" s="644"/>
      <c r="D374" s="644"/>
      <c r="E374" s="644"/>
      <c r="F374" s="644"/>
      <c r="G374" s="644"/>
      <c r="H374" s="644"/>
      <c r="I374" s="644"/>
      <c r="J374" s="644"/>
      <c r="K374" s="644"/>
      <c r="L374" s="644"/>
      <c r="M374" s="644"/>
      <c r="N374" s="644"/>
      <c r="O374" s="645"/>
      <c r="P374" s="637" t="s">
        <v>71</v>
      </c>
      <c r="Q374" s="638"/>
      <c r="R374" s="638"/>
      <c r="S374" s="638"/>
      <c r="T374" s="638"/>
      <c r="U374" s="638"/>
      <c r="V374" s="639"/>
      <c r="W374" s="37" t="s">
        <v>72</v>
      </c>
      <c r="X374" s="631">
        <f>IFERROR(X367/H367,"0")+IFERROR(X368/H368,"0")+IFERROR(X369/H369,"0")+IFERROR(X370/H370,"0")+IFERROR(X371/H371,"0")+IFERROR(X372/H372,"0")+IFERROR(X373/H373,"0")</f>
        <v>8.3333333333333339</v>
      </c>
      <c r="Y374" s="631">
        <f>IFERROR(Y367/H367,"0")+IFERROR(Y368/H368,"0")+IFERROR(Y369/H369,"0")+IFERROR(Y370/H370,"0")+IFERROR(Y371/H371,"0")+IFERROR(Y372/H372,"0")+IFERROR(Y373/H373,"0")</f>
        <v>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5.8590000000000003E-2</v>
      </c>
      <c r="AA374" s="632"/>
      <c r="AB374" s="632"/>
      <c r="AC374" s="632"/>
    </row>
    <row r="375" spans="1:68" x14ac:dyDescent="0.2">
      <c r="A375" s="644"/>
      <c r="B375" s="644"/>
      <c r="C375" s="644"/>
      <c r="D375" s="644"/>
      <c r="E375" s="644"/>
      <c r="F375" s="644"/>
      <c r="G375" s="644"/>
      <c r="H375" s="644"/>
      <c r="I375" s="644"/>
      <c r="J375" s="644"/>
      <c r="K375" s="644"/>
      <c r="L375" s="644"/>
      <c r="M375" s="644"/>
      <c r="N375" s="644"/>
      <c r="O375" s="645"/>
      <c r="P375" s="637" t="s">
        <v>71</v>
      </c>
      <c r="Q375" s="638"/>
      <c r="R375" s="638"/>
      <c r="S375" s="638"/>
      <c r="T375" s="638"/>
      <c r="U375" s="638"/>
      <c r="V375" s="639"/>
      <c r="W375" s="37" t="s">
        <v>66</v>
      </c>
      <c r="X375" s="631">
        <f>IFERROR(SUM(X367:X373),"0")</f>
        <v>15</v>
      </c>
      <c r="Y375" s="631">
        <f>IFERROR(SUM(Y367:Y373),"0")</f>
        <v>16.2</v>
      </c>
      <c r="Z375" s="37"/>
      <c r="AA375" s="632"/>
      <c r="AB375" s="632"/>
      <c r="AC375" s="632"/>
    </row>
    <row r="376" spans="1:68" ht="14.25" customHeight="1" x14ac:dyDescent="0.25">
      <c r="A376" s="661" t="s">
        <v>73</v>
      </c>
      <c r="B376" s="644"/>
      <c r="C376" s="644"/>
      <c r="D376" s="644"/>
      <c r="E376" s="644"/>
      <c r="F376" s="644"/>
      <c r="G376" s="644"/>
      <c r="H376" s="644"/>
      <c r="I376" s="644"/>
      <c r="J376" s="644"/>
      <c r="K376" s="644"/>
      <c r="L376" s="644"/>
      <c r="M376" s="644"/>
      <c r="N376" s="644"/>
      <c r="O376" s="644"/>
      <c r="P376" s="644"/>
      <c r="Q376" s="644"/>
      <c r="R376" s="644"/>
      <c r="S376" s="644"/>
      <c r="T376" s="644"/>
      <c r="U376" s="644"/>
      <c r="V376" s="644"/>
      <c r="W376" s="644"/>
      <c r="X376" s="644"/>
      <c r="Y376" s="644"/>
      <c r="Z376" s="644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5">
        <v>4607091387766</v>
      </c>
      <c r="E377" s="636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47"/>
      <c r="R377" s="647"/>
      <c r="S377" s="647"/>
      <c r="T377" s="648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5">
        <v>4607091387957</v>
      </c>
      <c r="E378" s="636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47"/>
      <c r="R378" s="647"/>
      <c r="S378" s="647"/>
      <c r="T378" s="648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5">
        <v>4607091387964</v>
      </c>
      <c r="E379" s="636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47"/>
      <c r="R379" s="647"/>
      <c r="S379" s="647"/>
      <c r="T379" s="648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5">
        <v>4680115884588</v>
      </c>
      <c r="E380" s="636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47"/>
      <c r="R380" s="647"/>
      <c r="S380" s="647"/>
      <c r="T380" s="648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3"/>
      <c r="B381" s="644"/>
      <c r="C381" s="644"/>
      <c r="D381" s="644"/>
      <c r="E381" s="644"/>
      <c r="F381" s="644"/>
      <c r="G381" s="644"/>
      <c r="H381" s="644"/>
      <c r="I381" s="644"/>
      <c r="J381" s="644"/>
      <c r="K381" s="644"/>
      <c r="L381" s="644"/>
      <c r="M381" s="644"/>
      <c r="N381" s="644"/>
      <c r="O381" s="645"/>
      <c r="P381" s="637" t="s">
        <v>71</v>
      </c>
      <c r="Q381" s="638"/>
      <c r="R381" s="638"/>
      <c r="S381" s="638"/>
      <c r="T381" s="638"/>
      <c r="U381" s="638"/>
      <c r="V381" s="639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4"/>
      <c r="B382" s="644"/>
      <c r="C382" s="644"/>
      <c r="D382" s="644"/>
      <c r="E382" s="644"/>
      <c r="F382" s="644"/>
      <c r="G382" s="644"/>
      <c r="H382" s="644"/>
      <c r="I382" s="644"/>
      <c r="J382" s="644"/>
      <c r="K382" s="644"/>
      <c r="L382" s="644"/>
      <c r="M382" s="644"/>
      <c r="N382" s="644"/>
      <c r="O382" s="645"/>
      <c r="P382" s="637" t="s">
        <v>71</v>
      </c>
      <c r="Q382" s="638"/>
      <c r="R382" s="638"/>
      <c r="S382" s="638"/>
      <c r="T382" s="638"/>
      <c r="U382" s="638"/>
      <c r="V382" s="639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61" t="s">
        <v>162</v>
      </c>
      <c r="B383" s="644"/>
      <c r="C383" s="644"/>
      <c r="D383" s="644"/>
      <c r="E383" s="644"/>
      <c r="F383" s="644"/>
      <c r="G383" s="644"/>
      <c r="H383" s="644"/>
      <c r="I383" s="644"/>
      <c r="J383" s="644"/>
      <c r="K383" s="644"/>
      <c r="L383" s="644"/>
      <c r="M383" s="644"/>
      <c r="N383" s="644"/>
      <c r="O383" s="644"/>
      <c r="P383" s="644"/>
      <c r="Q383" s="644"/>
      <c r="R383" s="644"/>
      <c r="S383" s="644"/>
      <c r="T383" s="644"/>
      <c r="U383" s="644"/>
      <c r="V383" s="644"/>
      <c r="W383" s="644"/>
      <c r="X383" s="644"/>
      <c r="Y383" s="644"/>
      <c r="Z383" s="644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5">
        <v>4607091380880</v>
      </c>
      <c r="E384" s="636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9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47"/>
      <c r="R384" s="647"/>
      <c r="S384" s="647"/>
      <c r="T384" s="648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5">
        <v>4607091384482</v>
      </c>
      <c r="E385" s="636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6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47"/>
      <c r="R385" s="647"/>
      <c r="S385" s="647"/>
      <c r="T385" s="648"/>
      <c r="U385" s="34"/>
      <c r="V385" s="34"/>
      <c r="W385" s="35" t="s">
        <v>66</v>
      </c>
      <c r="X385" s="629">
        <v>2610</v>
      </c>
      <c r="Y385" s="630">
        <f>IFERROR(IF(X385="",0,CEILING((X385/$H385),1)*$H385),"")</f>
        <v>2613</v>
      </c>
      <c r="Z385" s="36">
        <f>IFERROR(IF(Y385=0,"",ROUNDUP(Y385/H385,0)*0.01898),"")</f>
        <v>6.3582999999999998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2775.3</v>
      </c>
      <c r="BN385" s="64">
        <f>IFERROR(Y385*I385/H385,"0")</f>
        <v>2778.4900000000002</v>
      </c>
      <c r="BO385" s="64">
        <f>IFERROR(1/J385*(X385/H385),"0")</f>
        <v>5.228365384615385</v>
      </c>
      <c r="BP385" s="64">
        <f>IFERROR(1/J385*(Y385/H385),"0")</f>
        <v>5.234375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5">
        <v>4607091380897</v>
      </c>
      <c r="E386" s="636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9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47"/>
      <c r="R386" s="647"/>
      <c r="S386" s="647"/>
      <c r="T386" s="648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3"/>
      <c r="B387" s="644"/>
      <c r="C387" s="644"/>
      <c r="D387" s="644"/>
      <c r="E387" s="644"/>
      <c r="F387" s="644"/>
      <c r="G387" s="644"/>
      <c r="H387" s="644"/>
      <c r="I387" s="644"/>
      <c r="J387" s="644"/>
      <c r="K387" s="644"/>
      <c r="L387" s="644"/>
      <c r="M387" s="644"/>
      <c r="N387" s="644"/>
      <c r="O387" s="645"/>
      <c r="P387" s="637" t="s">
        <v>71</v>
      </c>
      <c r="Q387" s="638"/>
      <c r="R387" s="638"/>
      <c r="S387" s="638"/>
      <c r="T387" s="638"/>
      <c r="U387" s="638"/>
      <c r="V387" s="639"/>
      <c r="W387" s="37" t="s">
        <v>72</v>
      </c>
      <c r="X387" s="631">
        <f>IFERROR(X384/H384,"0")+IFERROR(X385/H385,"0")+IFERROR(X386/H386,"0")</f>
        <v>334.61538461538464</v>
      </c>
      <c r="Y387" s="631">
        <f>IFERROR(Y384/H384,"0")+IFERROR(Y385/H385,"0")+IFERROR(Y386/H386,"0")</f>
        <v>335</v>
      </c>
      <c r="Z387" s="631">
        <f>IFERROR(IF(Z384="",0,Z384),"0")+IFERROR(IF(Z385="",0,Z385),"0")+IFERROR(IF(Z386="",0,Z386),"0")</f>
        <v>6.3582999999999998</v>
      </c>
      <c r="AA387" s="632"/>
      <c r="AB387" s="632"/>
      <c r="AC387" s="632"/>
    </row>
    <row r="388" spans="1:68" x14ac:dyDescent="0.2">
      <c r="A388" s="644"/>
      <c r="B388" s="644"/>
      <c r="C388" s="644"/>
      <c r="D388" s="644"/>
      <c r="E388" s="644"/>
      <c r="F388" s="644"/>
      <c r="G388" s="644"/>
      <c r="H388" s="644"/>
      <c r="I388" s="644"/>
      <c r="J388" s="644"/>
      <c r="K388" s="644"/>
      <c r="L388" s="644"/>
      <c r="M388" s="644"/>
      <c r="N388" s="644"/>
      <c r="O388" s="645"/>
      <c r="P388" s="637" t="s">
        <v>71</v>
      </c>
      <c r="Q388" s="638"/>
      <c r="R388" s="638"/>
      <c r="S388" s="638"/>
      <c r="T388" s="638"/>
      <c r="U388" s="638"/>
      <c r="V388" s="639"/>
      <c r="W388" s="37" t="s">
        <v>66</v>
      </c>
      <c r="X388" s="631">
        <f>IFERROR(SUM(X384:X386),"0")</f>
        <v>2610</v>
      </c>
      <c r="Y388" s="631">
        <f>IFERROR(SUM(Y384:Y386),"0")</f>
        <v>2613</v>
      </c>
      <c r="Z388" s="37"/>
      <c r="AA388" s="632"/>
      <c r="AB388" s="632"/>
      <c r="AC388" s="632"/>
    </row>
    <row r="389" spans="1:68" ht="14.25" customHeight="1" x14ac:dyDescent="0.25">
      <c r="A389" s="661" t="s">
        <v>270</v>
      </c>
      <c r="B389" s="644"/>
      <c r="C389" s="644"/>
      <c r="D389" s="644"/>
      <c r="E389" s="644"/>
      <c r="F389" s="644"/>
      <c r="G389" s="644"/>
      <c r="H389" s="644"/>
      <c r="I389" s="644"/>
      <c r="J389" s="644"/>
      <c r="K389" s="644"/>
      <c r="L389" s="644"/>
      <c r="M389" s="644"/>
      <c r="N389" s="644"/>
      <c r="O389" s="644"/>
      <c r="P389" s="644"/>
      <c r="Q389" s="644"/>
      <c r="R389" s="644"/>
      <c r="S389" s="644"/>
      <c r="T389" s="644"/>
      <c r="U389" s="644"/>
      <c r="V389" s="644"/>
      <c r="W389" s="644"/>
      <c r="X389" s="644"/>
      <c r="Y389" s="644"/>
      <c r="Z389" s="644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5">
        <v>4607091388381</v>
      </c>
      <c r="E390" s="636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47"/>
      <c r="R390" s="647"/>
      <c r="S390" s="647"/>
      <c r="T390" s="648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5">
        <v>4607091388374</v>
      </c>
      <c r="E391" s="636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97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47"/>
      <c r="R391" s="647"/>
      <c r="S391" s="647"/>
      <c r="T391" s="648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5">
        <v>4607091383102</v>
      </c>
      <c r="E392" s="636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9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47"/>
      <c r="R392" s="647"/>
      <c r="S392" s="647"/>
      <c r="T392" s="648"/>
      <c r="U392" s="34"/>
      <c r="V392" s="34"/>
      <c r="W392" s="35" t="s">
        <v>66</v>
      </c>
      <c r="X392" s="629">
        <v>15</v>
      </c>
      <c r="Y392" s="630">
        <f>IFERROR(IF(X392="",0,CEILING((X392/$H392),1)*$H392),"")</f>
        <v>15.299999999999999</v>
      </c>
      <c r="Z392" s="36">
        <f>IFERROR(IF(Y392=0,"",ROUNDUP(Y392/H392,0)*0.00651),"")</f>
        <v>3.9059999999999997E-2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17.382352941176475</v>
      </c>
      <c r="BN392" s="64">
        <f>IFERROR(Y392*I392/H392,"0")</f>
        <v>17.73</v>
      </c>
      <c r="BO392" s="64">
        <f>IFERROR(1/J392*(X392/H392),"0")</f>
        <v>3.2320620555914677E-2</v>
      </c>
      <c r="BP392" s="64">
        <f>IFERROR(1/J392*(Y392/H392),"0")</f>
        <v>3.2967032967032968E-2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5">
        <v>4607091388404</v>
      </c>
      <c r="E393" s="636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47"/>
      <c r="R393" s="647"/>
      <c r="S393" s="647"/>
      <c r="T393" s="648"/>
      <c r="U393" s="34"/>
      <c r="V393" s="34"/>
      <c r="W393" s="35" t="s">
        <v>66</v>
      </c>
      <c r="X393" s="629">
        <v>9</v>
      </c>
      <c r="Y393" s="630">
        <f>IFERROR(IF(X393="",0,CEILING((X393/$H393),1)*$H393),"")</f>
        <v>10.199999999999999</v>
      </c>
      <c r="Z393" s="36">
        <f>IFERROR(IF(Y393=0,"",ROUNDUP(Y393/H393,0)*0.00651),"")</f>
        <v>2.6040000000000001E-2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10.164705882352941</v>
      </c>
      <c r="BN393" s="64">
        <f>IFERROR(Y393*I393/H393,"0")</f>
        <v>11.52</v>
      </c>
      <c r="BO393" s="64">
        <f>IFERROR(1/J393*(X393/H393),"0")</f>
        <v>1.9392372333548808E-2</v>
      </c>
      <c r="BP393" s="64">
        <f>IFERROR(1/J393*(Y393/H393),"0")</f>
        <v>2.197802197802198E-2</v>
      </c>
    </row>
    <row r="394" spans="1:68" x14ac:dyDescent="0.2">
      <c r="A394" s="643"/>
      <c r="B394" s="644"/>
      <c r="C394" s="644"/>
      <c r="D394" s="644"/>
      <c r="E394" s="644"/>
      <c r="F394" s="644"/>
      <c r="G394" s="644"/>
      <c r="H394" s="644"/>
      <c r="I394" s="644"/>
      <c r="J394" s="644"/>
      <c r="K394" s="644"/>
      <c r="L394" s="644"/>
      <c r="M394" s="644"/>
      <c r="N394" s="644"/>
      <c r="O394" s="645"/>
      <c r="P394" s="637" t="s">
        <v>71</v>
      </c>
      <c r="Q394" s="638"/>
      <c r="R394" s="638"/>
      <c r="S394" s="638"/>
      <c r="T394" s="638"/>
      <c r="U394" s="638"/>
      <c r="V394" s="639"/>
      <c r="W394" s="37" t="s">
        <v>72</v>
      </c>
      <c r="X394" s="631">
        <f>IFERROR(X390/H390,"0")+IFERROR(X391/H391,"0")+IFERROR(X392/H392,"0")+IFERROR(X393/H393,"0")</f>
        <v>9.4117647058823533</v>
      </c>
      <c r="Y394" s="631">
        <f>IFERROR(Y390/H390,"0")+IFERROR(Y391/H391,"0")+IFERROR(Y392/H392,"0")+IFERROR(Y393/H393,"0")</f>
        <v>10</v>
      </c>
      <c r="Z394" s="631">
        <f>IFERROR(IF(Z390="",0,Z390),"0")+IFERROR(IF(Z391="",0,Z391),"0")+IFERROR(IF(Z392="",0,Z392),"0")+IFERROR(IF(Z393="",0,Z393),"0")</f>
        <v>6.5099999999999991E-2</v>
      </c>
      <c r="AA394" s="632"/>
      <c r="AB394" s="632"/>
      <c r="AC394" s="632"/>
    </row>
    <row r="395" spans="1:68" x14ac:dyDescent="0.2">
      <c r="A395" s="644"/>
      <c r="B395" s="644"/>
      <c r="C395" s="644"/>
      <c r="D395" s="644"/>
      <c r="E395" s="644"/>
      <c r="F395" s="644"/>
      <c r="G395" s="644"/>
      <c r="H395" s="644"/>
      <c r="I395" s="644"/>
      <c r="J395" s="644"/>
      <c r="K395" s="644"/>
      <c r="L395" s="644"/>
      <c r="M395" s="644"/>
      <c r="N395" s="644"/>
      <c r="O395" s="645"/>
      <c r="P395" s="637" t="s">
        <v>71</v>
      </c>
      <c r="Q395" s="638"/>
      <c r="R395" s="638"/>
      <c r="S395" s="638"/>
      <c r="T395" s="638"/>
      <c r="U395" s="638"/>
      <c r="V395" s="639"/>
      <c r="W395" s="37" t="s">
        <v>66</v>
      </c>
      <c r="X395" s="631">
        <f>IFERROR(SUM(X390:X393),"0")</f>
        <v>24</v>
      </c>
      <c r="Y395" s="631">
        <f>IFERROR(SUM(Y390:Y393),"0")</f>
        <v>25.5</v>
      </c>
      <c r="Z395" s="37"/>
      <c r="AA395" s="632"/>
      <c r="AB395" s="632"/>
      <c r="AC395" s="632"/>
    </row>
    <row r="396" spans="1:68" ht="14.25" customHeight="1" x14ac:dyDescent="0.25">
      <c r="A396" s="661" t="s">
        <v>646</v>
      </c>
      <c r="B396" s="644"/>
      <c r="C396" s="644"/>
      <c r="D396" s="644"/>
      <c r="E396" s="644"/>
      <c r="F396" s="644"/>
      <c r="G396" s="644"/>
      <c r="H396" s="644"/>
      <c r="I396" s="644"/>
      <c r="J396" s="644"/>
      <c r="K396" s="644"/>
      <c r="L396" s="644"/>
      <c r="M396" s="644"/>
      <c r="N396" s="644"/>
      <c r="O396" s="644"/>
      <c r="P396" s="644"/>
      <c r="Q396" s="644"/>
      <c r="R396" s="644"/>
      <c r="S396" s="644"/>
      <c r="T396" s="644"/>
      <c r="U396" s="644"/>
      <c r="V396" s="644"/>
      <c r="W396" s="644"/>
      <c r="X396" s="644"/>
      <c r="Y396" s="644"/>
      <c r="Z396" s="644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5">
        <v>4680115881808</v>
      </c>
      <c r="E397" s="636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47"/>
      <c r="R397" s="647"/>
      <c r="S397" s="647"/>
      <c r="T397" s="648"/>
      <c r="U397" s="34"/>
      <c r="V397" s="34"/>
      <c r="W397" s="35" t="s">
        <v>66</v>
      </c>
      <c r="X397" s="629">
        <v>9</v>
      </c>
      <c r="Y397" s="630">
        <f>IFERROR(IF(X397="",0,CEILING((X397/$H397),1)*$H397),"")</f>
        <v>10</v>
      </c>
      <c r="Z397" s="36">
        <f>IFERROR(IF(Y397=0,"",ROUNDUP(Y397/H397,0)*0.00474),"")</f>
        <v>2.3700000000000002E-2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10.080000000000002</v>
      </c>
      <c r="BN397" s="64">
        <f>IFERROR(Y397*I397/H397,"0")</f>
        <v>11.200000000000001</v>
      </c>
      <c r="BO397" s="64">
        <f>IFERROR(1/J397*(X397/H397),"0")</f>
        <v>1.8907563025210083E-2</v>
      </c>
      <c r="BP397" s="64">
        <f>IFERROR(1/J397*(Y397/H397),"0")</f>
        <v>2.1008403361344536E-2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5">
        <v>4680115881822</v>
      </c>
      <c r="E398" s="636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7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47"/>
      <c r="R398" s="647"/>
      <c r="S398" s="647"/>
      <c r="T398" s="648"/>
      <c r="U398" s="34"/>
      <c r="V398" s="34"/>
      <c r="W398" s="35" t="s">
        <v>66</v>
      </c>
      <c r="X398" s="629">
        <v>6</v>
      </c>
      <c r="Y398" s="630">
        <f>IFERROR(IF(X398="",0,CEILING((X398/$H398),1)*$H398),"")</f>
        <v>6</v>
      </c>
      <c r="Z398" s="36">
        <f>IFERROR(IF(Y398=0,"",ROUNDUP(Y398/H398,0)*0.00474),"")</f>
        <v>1.422E-2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6.7200000000000006</v>
      </c>
      <c r="BN398" s="64">
        <f>IFERROR(Y398*I398/H398,"0")</f>
        <v>6.7200000000000006</v>
      </c>
      <c r="BO398" s="64">
        <f>IFERROR(1/J398*(X398/H398),"0")</f>
        <v>1.2605042016806723E-2</v>
      </c>
      <c r="BP398" s="64">
        <f>IFERROR(1/J398*(Y398/H398),"0")</f>
        <v>1.2605042016806723E-2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5">
        <v>4680115880016</v>
      </c>
      <c r="E399" s="636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47"/>
      <c r="R399" s="647"/>
      <c r="S399" s="647"/>
      <c r="T399" s="648"/>
      <c r="U399" s="34"/>
      <c r="V399" s="34"/>
      <c r="W399" s="35" t="s">
        <v>66</v>
      </c>
      <c r="X399" s="629">
        <v>13</v>
      </c>
      <c r="Y399" s="630">
        <f>IFERROR(IF(X399="",0,CEILING((X399/$H399),1)*$H399),"")</f>
        <v>14</v>
      </c>
      <c r="Z399" s="36">
        <f>IFERROR(IF(Y399=0,"",ROUNDUP(Y399/H399,0)*0.00474),"")</f>
        <v>3.3180000000000001E-2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14.560000000000002</v>
      </c>
      <c r="BN399" s="64">
        <f>IFERROR(Y399*I399/H399,"0")</f>
        <v>15.680000000000001</v>
      </c>
      <c r="BO399" s="64">
        <f>IFERROR(1/J399*(X399/H399),"0")</f>
        <v>2.7310924369747899E-2</v>
      </c>
      <c r="BP399" s="64">
        <f>IFERROR(1/J399*(Y399/H399),"0")</f>
        <v>2.9411764705882353E-2</v>
      </c>
    </row>
    <row r="400" spans="1:68" x14ac:dyDescent="0.2">
      <c r="A400" s="643"/>
      <c r="B400" s="644"/>
      <c r="C400" s="644"/>
      <c r="D400" s="644"/>
      <c r="E400" s="644"/>
      <c r="F400" s="644"/>
      <c r="G400" s="644"/>
      <c r="H400" s="644"/>
      <c r="I400" s="644"/>
      <c r="J400" s="644"/>
      <c r="K400" s="644"/>
      <c r="L400" s="644"/>
      <c r="M400" s="644"/>
      <c r="N400" s="644"/>
      <c r="O400" s="645"/>
      <c r="P400" s="637" t="s">
        <v>71</v>
      </c>
      <c r="Q400" s="638"/>
      <c r="R400" s="638"/>
      <c r="S400" s="638"/>
      <c r="T400" s="638"/>
      <c r="U400" s="638"/>
      <c r="V400" s="639"/>
      <c r="W400" s="37" t="s">
        <v>72</v>
      </c>
      <c r="X400" s="631">
        <f>IFERROR(X397/H397,"0")+IFERROR(X398/H398,"0")+IFERROR(X399/H399,"0")</f>
        <v>14</v>
      </c>
      <c r="Y400" s="631">
        <f>IFERROR(Y397/H397,"0")+IFERROR(Y398/H398,"0")+IFERROR(Y399/H399,"0")</f>
        <v>15</v>
      </c>
      <c r="Z400" s="631">
        <f>IFERROR(IF(Z397="",0,Z397),"0")+IFERROR(IF(Z398="",0,Z398),"0")+IFERROR(IF(Z399="",0,Z399),"0")</f>
        <v>7.1099999999999997E-2</v>
      </c>
      <c r="AA400" s="632"/>
      <c r="AB400" s="632"/>
      <c r="AC400" s="632"/>
    </row>
    <row r="401" spans="1:68" x14ac:dyDescent="0.2">
      <c r="A401" s="644"/>
      <c r="B401" s="644"/>
      <c r="C401" s="644"/>
      <c r="D401" s="644"/>
      <c r="E401" s="644"/>
      <c r="F401" s="644"/>
      <c r="G401" s="644"/>
      <c r="H401" s="644"/>
      <c r="I401" s="644"/>
      <c r="J401" s="644"/>
      <c r="K401" s="644"/>
      <c r="L401" s="644"/>
      <c r="M401" s="644"/>
      <c r="N401" s="644"/>
      <c r="O401" s="645"/>
      <c r="P401" s="637" t="s">
        <v>71</v>
      </c>
      <c r="Q401" s="638"/>
      <c r="R401" s="638"/>
      <c r="S401" s="638"/>
      <c r="T401" s="638"/>
      <c r="U401" s="638"/>
      <c r="V401" s="639"/>
      <c r="W401" s="37" t="s">
        <v>66</v>
      </c>
      <c r="X401" s="631">
        <f>IFERROR(SUM(X397:X399),"0")</f>
        <v>28</v>
      </c>
      <c r="Y401" s="631">
        <f>IFERROR(SUM(Y397:Y399),"0")</f>
        <v>30</v>
      </c>
      <c r="Z401" s="37"/>
      <c r="AA401" s="632"/>
      <c r="AB401" s="632"/>
      <c r="AC401" s="632"/>
    </row>
    <row r="402" spans="1:68" ht="14.25" customHeight="1" x14ac:dyDescent="0.25">
      <c r="A402" s="661" t="s">
        <v>655</v>
      </c>
      <c r="B402" s="644"/>
      <c r="C402" s="644"/>
      <c r="D402" s="644"/>
      <c r="E402" s="644"/>
      <c r="F402" s="644"/>
      <c r="G402" s="644"/>
      <c r="H402" s="644"/>
      <c r="I402" s="644"/>
      <c r="J402" s="644"/>
      <c r="K402" s="644"/>
      <c r="L402" s="644"/>
      <c r="M402" s="644"/>
      <c r="N402" s="644"/>
      <c r="O402" s="644"/>
      <c r="P402" s="644"/>
      <c r="Q402" s="644"/>
      <c r="R402" s="644"/>
      <c r="S402" s="644"/>
      <c r="T402" s="644"/>
      <c r="U402" s="644"/>
      <c r="V402" s="644"/>
      <c r="W402" s="644"/>
      <c r="X402" s="644"/>
      <c r="Y402" s="644"/>
      <c r="Z402" s="644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5">
        <v>4680115888678</v>
      </c>
      <c r="E403" s="636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47"/>
      <c r="R403" s="647"/>
      <c r="S403" s="647"/>
      <c r="T403" s="648"/>
      <c r="U403" s="34"/>
      <c r="V403" s="34"/>
      <c r="W403" s="35" t="s">
        <v>66</v>
      </c>
      <c r="X403" s="629">
        <v>5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5.3666666666666671</v>
      </c>
      <c r="BN403" s="64">
        <f>IFERROR(Y403*I403/H403,"0")</f>
        <v>6.44</v>
      </c>
      <c r="BO403" s="64">
        <f>IFERROR(1/J403*(X403/H403),"0")</f>
        <v>7.4404761904761901E-3</v>
      </c>
      <c r="BP403" s="64">
        <f>IFERROR(1/J403*(Y403/H403),"0")</f>
        <v>8.9285714285714281E-3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5">
        <v>4680115888654</v>
      </c>
      <c r="E404" s="636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95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47"/>
      <c r="R404" s="647"/>
      <c r="S404" s="647"/>
      <c r="T404" s="648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5">
        <v>4680115888753</v>
      </c>
      <c r="E405" s="636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47"/>
      <c r="R405" s="647"/>
      <c r="S405" s="647"/>
      <c r="T405" s="648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3"/>
      <c r="B406" s="644"/>
      <c r="C406" s="644"/>
      <c r="D406" s="644"/>
      <c r="E406" s="644"/>
      <c r="F406" s="644"/>
      <c r="G406" s="644"/>
      <c r="H406" s="644"/>
      <c r="I406" s="644"/>
      <c r="J406" s="644"/>
      <c r="K406" s="644"/>
      <c r="L406" s="644"/>
      <c r="M406" s="644"/>
      <c r="N406" s="644"/>
      <c r="O406" s="645"/>
      <c r="P406" s="637" t="s">
        <v>71</v>
      </c>
      <c r="Q406" s="638"/>
      <c r="R406" s="638"/>
      <c r="S406" s="638"/>
      <c r="T406" s="638"/>
      <c r="U406" s="638"/>
      <c r="V406" s="639"/>
      <c r="W406" s="37" t="s">
        <v>72</v>
      </c>
      <c r="X406" s="631">
        <f>IFERROR(X403/H403,"0")+IFERROR(X404/H404,"0")+IFERROR(X405/H405,"0")</f>
        <v>1.6666666666666667</v>
      </c>
      <c r="Y406" s="631">
        <f>IFERROR(Y403/H403,"0")+IFERROR(Y404/H404,"0")+IFERROR(Y405/H405,"0")</f>
        <v>2</v>
      </c>
      <c r="Z406" s="631">
        <f>IFERROR(IF(Z403="",0,Z403),"0")+IFERROR(IF(Z404="",0,Z404),"0")+IFERROR(IF(Z405="",0,Z405),"0")</f>
        <v>8.9999999999999993E-3</v>
      </c>
      <c r="AA406" s="632"/>
      <c r="AB406" s="632"/>
      <c r="AC406" s="632"/>
    </row>
    <row r="407" spans="1:68" x14ac:dyDescent="0.2">
      <c r="A407" s="644"/>
      <c r="B407" s="644"/>
      <c r="C407" s="644"/>
      <c r="D407" s="644"/>
      <c r="E407" s="644"/>
      <c r="F407" s="644"/>
      <c r="G407" s="644"/>
      <c r="H407" s="644"/>
      <c r="I407" s="644"/>
      <c r="J407" s="644"/>
      <c r="K407" s="644"/>
      <c r="L407" s="644"/>
      <c r="M407" s="644"/>
      <c r="N407" s="644"/>
      <c r="O407" s="645"/>
      <c r="P407" s="637" t="s">
        <v>71</v>
      </c>
      <c r="Q407" s="638"/>
      <c r="R407" s="638"/>
      <c r="S407" s="638"/>
      <c r="T407" s="638"/>
      <c r="U407" s="638"/>
      <c r="V407" s="639"/>
      <c r="W407" s="37" t="s">
        <v>66</v>
      </c>
      <c r="X407" s="631">
        <f>IFERROR(SUM(X403:X405),"0")</f>
        <v>5</v>
      </c>
      <c r="Y407" s="631">
        <f>IFERROR(SUM(Y403:Y405),"0")</f>
        <v>6</v>
      </c>
      <c r="Z407" s="37"/>
      <c r="AA407" s="632"/>
      <c r="AB407" s="632"/>
      <c r="AC407" s="632"/>
    </row>
    <row r="408" spans="1:68" ht="16.5" customHeight="1" x14ac:dyDescent="0.25">
      <c r="A408" s="664" t="s">
        <v>664</v>
      </c>
      <c r="B408" s="644"/>
      <c r="C408" s="644"/>
      <c r="D408" s="644"/>
      <c r="E408" s="644"/>
      <c r="F408" s="644"/>
      <c r="G408" s="644"/>
      <c r="H408" s="644"/>
      <c r="I408" s="644"/>
      <c r="J408" s="644"/>
      <c r="K408" s="644"/>
      <c r="L408" s="644"/>
      <c r="M408" s="644"/>
      <c r="N408" s="644"/>
      <c r="O408" s="644"/>
      <c r="P408" s="644"/>
      <c r="Q408" s="644"/>
      <c r="R408" s="644"/>
      <c r="S408" s="644"/>
      <c r="T408" s="644"/>
      <c r="U408" s="644"/>
      <c r="V408" s="644"/>
      <c r="W408" s="644"/>
      <c r="X408" s="644"/>
      <c r="Y408" s="644"/>
      <c r="Z408" s="644"/>
      <c r="AA408" s="624"/>
      <c r="AB408" s="624"/>
      <c r="AC408" s="624"/>
    </row>
    <row r="409" spans="1:68" ht="14.25" customHeight="1" x14ac:dyDescent="0.25">
      <c r="A409" s="661" t="s">
        <v>73</v>
      </c>
      <c r="B409" s="644"/>
      <c r="C409" s="644"/>
      <c r="D409" s="644"/>
      <c r="E409" s="644"/>
      <c r="F409" s="644"/>
      <c r="G409" s="644"/>
      <c r="H409" s="644"/>
      <c r="I409" s="644"/>
      <c r="J409" s="644"/>
      <c r="K409" s="644"/>
      <c r="L409" s="644"/>
      <c r="M409" s="644"/>
      <c r="N409" s="644"/>
      <c r="O409" s="644"/>
      <c r="P409" s="644"/>
      <c r="Q409" s="644"/>
      <c r="R409" s="644"/>
      <c r="S409" s="644"/>
      <c r="T409" s="644"/>
      <c r="U409" s="644"/>
      <c r="V409" s="644"/>
      <c r="W409" s="644"/>
      <c r="X409" s="644"/>
      <c r="Y409" s="644"/>
      <c r="Z409" s="644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5">
        <v>4680115889415</v>
      </c>
      <c r="E410" s="636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67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47"/>
      <c r="R410" s="647"/>
      <c r="S410" s="647"/>
      <c r="T410" s="648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5">
        <v>4680115889422</v>
      </c>
      <c r="E411" s="636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89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47"/>
      <c r="R411" s="647"/>
      <c r="S411" s="647"/>
      <c r="T411" s="648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3"/>
      <c r="B412" s="644"/>
      <c r="C412" s="644"/>
      <c r="D412" s="644"/>
      <c r="E412" s="644"/>
      <c r="F412" s="644"/>
      <c r="G412" s="644"/>
      <c r="H412" s="644"/>
      <c r="I412" s="644"/>
      <c r="J412" s="644"/>
      <c r="K412" s="644"/>
      <c r="L412" s="644"/>
      <c r="M412" s="644"/>
      <c r="N412" s="644"/>
      <c r="O412" s="645"/>
      <c r="P412" s="637" t="s">
        <v>71</v>
      </c>
      <c r="Q412" s="638"/>
      <c r="R412" s="638"/>
      <c r="S412" s="638"/>
      <c r="T412" s="638"/>
      <c r="U412" s="638"/>
      <c r="V412" s="639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4"/>
      <c r="B413" s="644"/>
      <c r="C413" s="644"/>
      <c r="D413" s="644"/>
      <c r="E413" s="644"/>
      <c r="F413" s="644"/>
      <c r="G413" s="644"/>
      <c r="H413" s="644"/>
      <c r="I413" s="644"/>
      <c r="J413" s="644"/>
      <c r="K413" s="644"/>
      <c r="L413" s="644"/>
      <c r="M413" s="644"/>
      <c r="N413" s="644"/>
      <c r="O413" s="645"/>
      <c r="P413" s="637" t="s">
        <v>71</v>
      </c>
      <c r="Q413" s="638"/>
      <c r="R413" s="638"/>
      <c r="S413" s="638"/>
      <c r="T413" s="638"/>
      <c r="U413" s="638"/>
      <c r="V413" s="639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64" t="s">
        <v>671</v>
      </c>
      <c r="B414" s="644"/>
      <c r="C414" s="644"/>
      <c r="D414" s="644"/>
      <c r="E414" s="644"/>
      <c r="F414" s="644"/>
      <c r="G414" s="644"/>
      <c r="H414" s="644"/>
      <c r="I414" s="644"/>
      <c r="J414" s="644"/>
      <c r="K414" s="644"/>
      <c r="L414" s="644"/>
      <c r="M414" s="644"/>
      <c r="N414" s="644"/>
      <c r="O414" s="644"/>
      <c r="P414" s="644"/>
      <c r="Q414" s="644"/>
      <c r="R414" s="644"/>
      <c r="S414" s="644"/>
      <c r="T414" s="644"/>
      <c r="U414" s="644"/>
      <c r="V414" s="644"/>
      <c r="W414" s="644"/>
      <c r="X414" s="644"/>
      <c r="Y414" s="644"/>
      <c r="Z414" s="644"/>
      <c r="AA414" s="624"/>
      <c r="AB414" s="624"/>
      <c r="AC414" s="624"/>
    </row>
    <row r="415" spans="1:68" ht="14.25" customHeight="1" x14ac:dyDescent="0.25">
      <c r="A415" s="661" t="s">
        <v>73</v>
      </c>
      <c r="B415" s="644"/>
      <c r="C415" s="644"/>
      <c r="D415" s="644"/>
      <c r="E415" s="644"/>
      <c r="F415" s="644"/>
      <c r="G415" s="644"/>
      <c r="H415" s="644"/>
      <c r="I415" s="644"/>
      <c r="J415" s="644"/>
      <c r="K415" s="644"/>
      <c r="L415" s="644"/>
      <c r="M415" s="644"/>
      <c r="N415" s="644"/>
      <c r="O415" s="644"/>
      <c r="P415" s="644"/>
      <c r="Q415" s="644"/>
      <c r="R415" s="644"/>
      <c r="S415" s="644"/>
      <c r="T415" s="644"/>
      <c r="U415" s="644"/>
      <c r="V415" s="644"/>
      <c r="W415" s="644"/>
      <c r="X415" s="644"/>
      <c r="Y415" s="644"/>
      <c r="Z415" s="644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5">
        <v>4607091387919</v>
      </c>
      <c r="E416" s="636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8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47"/>
      <c r="R416" s="647"/>
      <c r="S416" s="647"/>
      <c r="T416" s="648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5">
        <v>4680115883604</v>
      </c>
      <c r="E417" s="636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47"/>
      <c r="R417" s="647"/>
      <c r="S417" s="647"/>
      <c r="T417" s="648"/>
      <c r="U417" s="34"/>
      <c r="V417" s="34"/>
      <c r="W417" s="35" t="s">
        <v>66</v>
      </c>
      <c r="X417" s="629">
        <v>35</v>
      </c>
      <c r="Y417" s="630">
        <f>IFERROR(IF(X417="",0,CEILING((X417/$H417),1)*$H417),"")</f>
        <v>35.700000000000003</v>
      </c>
      <c r="Z417" s="36">
        <f>IFERROR(IF(Y417=0,"",ROUNDUP(Y417/H417,0)*0.00651),"")</f>
        <v>0.11067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39.199999999999996</v>
      </c>
      <c r="BN417" s="64">
        <f>IFERROR(Y417*I417/H417,"0")</f>
        <v>39.984000000000002</v>
      </c>
      <c r="BO417" s="64">
        <f>IFERROR(1/J417*(X417/H417),"0")</f>
        <v>9.1575091575091569E-2</v>
      </c>
      <c r="BP417" s="64">
        <f>IFERROR(1/J417*(Y417/H417),"0")</f>
        <v>9.3406593406593408E-2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5">
        <v>4680115883567</v>
      </c>
      <c r="E418" s="636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47"/>
      <c r="R418" s="647"/>
      <c r="S418" s="647"/>
      <c r="T418" s="648"/>
      <c r="U418" s="34"/>
      <c r="V418" s="34"/>
      <c r="W418" s="35" t="s">
        <v>66</v>
      </c>
      <c r="X418" s="629">
        <v>18</v>
      </c>
      <c r="Y418" s="630">
        <f>IFERROR(IF(X418="",0,CEILING((X418/$H418),1)*$H418),"")</f>
        <v>18.900000000000002</v>
      </c>
      <c r="Z418" s="36">
        <f>IFERROR(IF(Y418=0,"",ROUNDUP(Y418/H418,0)*0.00651),"")</f>
        <v>5.8590000000000003E-2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20.057142857142853</v>
      </c>
      <c r="BN418" s="64">
        <f>IFERROR(Y418*I418/H418,"0")</f>
        <v>21.06</v>
      </c>
      <c r="BO418" s="64">
        <f>IFERROR(1/J418*(X418/H418),"0")</f>
        <v>4.709576138147567E-2</v>
      </c>
      <c r="BP418" s="64">
        <f>IFERROR(1/J418*(Y418/H418),"0")</f>
        <v>4.9450549450549455E-2</v>
      </c>
    </row>
    <row r="419" spans="1:68" x14ac:dyDescent="0.2">
      <c r="A419" s="643"/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5"/>
      <c r="P419" s="637" t="s">
        <v>71</v>
      </c>
      <c r="Q419" s="638"/>
      <c r="R419" s="638"/>
      <c r="S419" s="638"/>
      <c r="T419" s="638"/>
      <c r="U419" s="638"/>
      <c r="V419" s="639"/>
      <c r="W419" s="37" t="s">
        <v>72</v>
      </c>
      <c r="X419" s="631">
        <f>IFERROR(X416/H416,"0")+IFERROR(X417/H417,"0")+IFERROR(X418/H418,"0")</f>
        <v>25.238095238095234</v>
      </c>
      <c r="Y419" s="631">
        <f>IFERROR(Y416/H416,"0")+IFERROR(Y417/H417,"0")+IFERROR(Y418/H418,"0")</f>
        <v>26</v>
      </c>
      <c r="Z419" s="631">
        <f>IFERROR(IF(Z416="",0,Z416),"0")+IFERROR(IF(Z417="",0,Z417),"0")+IFERROR(IF(Z418="",0,Z418),"0")</f>
        <v>0.16926000000000002</v>
      </c>
      <c r="AA419" s="632"/>
      <c r="AB419" s="632"/>
      <c r="AC419" s="632"/>
    </row>
    <row r="420" spans="1:68" x14ac:dyDescent="0.2">
      <c r="A420" s="644"/>
      <c r="B420" s="644"/>
      <c r="C420" s="644"/>
      <c r="D420" s="644"/>
      <c r="E420" s="644"/>
      <c r="F420" s="644"/>
      <c r="G420" s="644"/>
      <c r="H420" s="644"/>
      <c r="I420" s="644"/>
      <c r="J420" s="644"/>
      <c r="K420" s="644"/>
      <c r="L420" s="644"/>
      <c r="M420" s="644"/>
      <c r="N420" s="644"/>
      <c r="O420" s="645"/>
      <c r="P420" s="637" t="s">
        <v>71</v>
      </c>
      <c r="Q420" s="638"/>
      <c r="R420" s="638"/>
      <c r="S420" s="638"/>
      <c r="T420" s="638"/>
      <c r="U420" s="638"/>
      <c r="V420" s="639"/>
      <c r="W420" s="37" t="s">
        <v>66</v>
      </c>
      <c r="X420" s="631">
        <f>IFERROR(SUM(X416:X418),"0")</f>
        <v>53</v>
      </c>
      <c r="Y420" s="631">
        <f>IFERROR(SUM(Y416:Y418),"0")</f>
        <v>54.600000000000009</v>
      </c>
      <c r="Z420" s="37"/>
      <c r="AA420" s="632"/>
      <c r="AB420" s="632"/>
      <c r="AC420" s="632"/>
    </row>
    <row r="421" spans="1:68" ht="27.75" customHeight="1" x14ac:dyDescent="0.2">
      <c r="A421" s="708" t="s">
        <v>681</v>
      </c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  <c r="M421" s="709"/>
      <c r="N421" s="709"/>
      <c r="O421" s="709"/>
      <c r="P421" s="709"/>
      <c r="Q421" s="709"/>
      <c r="R421" s="709"/>
      <c r="S421" s="709"/>
      <c r="T421" s="709"/>
      <c r="U421" s="709"/>
      <c r="V421" s="709"/>
      <c r="W421" s="709"/>
      <c r="X421" s="709"/>
      <c r="Y421" s="709"/>
      <c r="Z421" s="709"/>
      <c r="AA421" s="48"/>
      <c r="AB421" s="48"/>
      <c r="AC421" s="48"/>
    </row>
    <row r="422" spans="1:68" ht="16.5" customHeight="1" x14ac:dyDescent="0.25">
      <c r="A422" s="664" t="s">
        <v>682</v>
      </c>
      <c r="B422" s="644"/>
      <c r="C422" s="644"/>
      <c r="D422" s="644"/>
      <c r="E422" s="644"/>
      <c r="F422" s="644"/>
      <c r="G422" s="644"/>
      <c r="H422" s="644"/>
      <c r="I422" s="644"/>
      <c r="J422" s="644"/>
      <c r="K422" s="644"/>
      <c r="L422" s="644"/>
      <c r="M422" s="644"/>
      <c r="N422" s="644"/>
      <c r="O422" s="644"/>
      <c r="P422" s="644"/>
      <c r="Q422" s="644"/>
      <c r="R422" s="644"/>
      <c r="S422" s="644"/>
      <c r="T422" s="644"/>
      <c r="U422" s="644"/>
      <c r="V422" s="644"/>
      <c r="W422" s="644"/>
      <c r="X422" s="644"/>
      <c r="Y422" s="644"/>
      <c r="Z422" s="644"/>
      <c r="AA422" s="624"/>
      <c r="AB422" s="624"/>
      <c r="AC422" s="624"/>
    </row>
    <row r="423" spans="1:68" ht="14.25" customHeight="1" x14ac:dyDescent="0.25">
      <c r="A423" s="661" t="s">
        <v>112</v>
      </c>
      <c r="B423" s="644"/>
      <c r="C423" s="644"/>
      <c r="D423" s="644"/>
      <c r="E423" s="644"/>
      <c r="F423" s="644"/>
      <c r="G423" s="644"/>
      <c r="H423" s="644"/>
      <c r="I423" s="644"/>
      <c r="J423" s="644"/>
      <c r="K423" s="644"/>
      <c r="L423" s="644"/>
      <c r="M423" s="644"/>
      <c r="N423" s="644"/>
      <c r="O423" s="644"/>
      <c r="P423" s="644"/>
      <c r="Q423" s="644"/>
      <c r="R423" s="644"/>
      <c r="S423" s="644"/>
      <c r="T423" s="644"/>
      <c r="U423" s="644"/>
      <c r="V423" s="644"/>
      <c r="W423" s="644"/>
      <c r="X423" s="644"/>
      <c r="Y423" s="644"/>
      <c r="Z423" s="644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5">
        <v>4680115888401</v>
      </c>
      <c r="E424" s="636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47"/>
      <c r="R424" s="647"/>
      <c r="S424" s="647"/>
      <c r="T424" s="648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5">
        <v>4680115884847</v>
      </c>
      <c r="E425" s="636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47"/>
      <c r="R425" s="647"/>
      <c r="S425" s="647"/>
      <c r="T425" s="648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5">
        <v>4680115884854</v>
      </c>
      <c r="E426" s="636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47"/>
      <c r="R426" s="647"/>
      <c r="S426" s="647"/>
      <c r="T426" s="648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5">
        <v>4680115884830</v>
      </c>
      <c r="E427" s="636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47"/>
      <c r="R427" s="647"/>
      <c r="S427" s="647"/>
      <c r="T427" s="648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5">
        <v>4680115889231</v>
      </c>
      <c r="E428" s="636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9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47"/>
      <c r="R428" s="647"/>
      <c r="S428" s="647"/>
      <c r="T428" s="648"/>
      <c r="U428" s="34"/>
      <c r="V428" s="34"/>
      <c r="W428" s="35" t="s">
        <v>66</v>
      </c>
      <c r="X428" s="629">
        <v>630</v>
      </c>
      <c r="Y428" s="630">
        <f t="shared" si="59"/>
        <v>630</v>
      </c>
      <c r="Z428" s="36">
        <f>IFERROR(IF(Y428=0,"",ROUNDUP(Y428/H428,0)*0.02175),"")</f>
        <v>0.91349999999999998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649.74</v>
      </c>
      <c r="BN428" s="64">
        <f t="shared" si="61"/>
        <v>649.74</v>
      </c>
      <c r="BO428" s="64">
        <f t="shared" si="62"/>
        <v>0.875</v>
      </c>
      <c r="BP428" s="64">
        <f t="shared" si="63"/>
        <v>0.875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5">
        <v>4680115882638</v>
      </c>
      <c r="E429" s="636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47"/>
      <c r="R429" s="647"/>
      <c r="S429" s="647"/>
      <c r="T429" s="648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5">
        <v>4680115884922</v>
      </c>
      <c r="E430" s="636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47"/>
      <c r="R430" s="647"/>
      <c r="S430" s="647"/>
      <c r="T430" s="648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5">
        <v>4680115884861</v>
      </c>
      <c r="E431" s="636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8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47"/>
      <c r="R431" s="647"/>
      <c r="S431" s="647"/>
      <c r="T431" s="648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3"/>
      <c r="B432" s="644"/>
      <c r="C432" s="644"/>
      <c r="D432" s="644"/>
      <c r="E432" s="644"/>
      <c r="F432" s="644"/>
      <c r="G432" s="644"/>
      <c r="H432" s="644"/>
      <c r="I432" s="644"/>
      <c r="J432" s="644"/>
      <c r="K432" s="644"/>
      <c r="L432" s="644"/>
      <c r="M432" s="644"/>
      <c r="N432" s="644"/>
      <c r="O432" s="645"/>
      <c r="P432" s="637" t="s">
        <v>71</v>
      </c>
      <c r="Q432" s="638"/>
      <c r="R432" s="638"/>
      <c r="S432" s="638"/>
      <c r="T432" s="638"/>
      <c r="U432" s="638"/>
      <c r="V432" s="639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42</v>
      </c>
      <c r="Y432" s="631">
        <f>IFERROR(Y424/H424,"0")+IFERROR(Y425/H425,"0")+IFERROR(Y426/H426,"0")+IFERROR(Y427/H427,"0")+IFERROR(Y428/H428,"0")+IFERROR(Y429/H429,"0")+IFERROR(Y430/H430,"0")+IFERROR(Y431/H431,"0")</f>
        <v>42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0.91349999999999998</v>
      </c>
      <c r="AA432" s="632"/>
      <c r="AB432" s="632"/>
      <c r="AC432" s="632"/>
    </row>
    <row r="433" spans="1:68" x14ac:dyDescent="0.2">
      <c r="A433" s="644"/>
      <c r="B433" s="644"/>
      <c r="C433" s="644"/>
      <c r="D433" s="644"/>
      <c r="E433" s="644"/>
      <c r="F433" s="644"/>
      <c r="G433" s="644"/>
      <c r="H433" s="644"/>
      <c r="I433" s="644"/>
      <c r="J433" s="644"/>
      <c r="K433" s="644"/>
      <c r="L433" s="644"/>
      <c r="M433" s="644"/>
      <c r="N433" s="644"/>
      <c r="O433" s="645"/>
      <c r="P433" s="637" t="s">
        <v>71</v>
      </c>
      <c r="Q433" s="638"/>
      <c r="R433" s="638"/>
      <c r="S433" s="638"/>
      <c r="T433" s="638"/>
      <c r="U433" s="638"/>
      <c r="V433" s="639"/>
      <c r="W433" s="37" t="s">
        <v>66</v>
      </c>
      <c r="X433" s="631">
        <f>IFERROR(SUM(X424:X431),"0")</f>
        <v>630</v>
      </c>
      <c r="Y433" s="631">
        <f>IFERROR(SUM(Y424:Y431),"0")</f>
        <v>630</v>
      </c>
      <c r="Z433" s="37"/>
      <c r="AA433" s="632"/>
      <c r="AB433" s="632"/>
      <c r="AC433" s="632"/>
    </row>
    <row r="434" spans="1:68" ht="14.25" customHeight="1" x14ac:dyDescent="0.25">
      <c r="A434" s="661" t="s">
        <v>145</v>
      </c>
      <c r="B434" s="644"/>
      <c r="C434" s="644"/>
      <c r="D434" s="644"/>
      <c r="E434" s="644"/>
      <c r="F434" s="644"/>
      <c r="G434" s="644"/>
      <c r="H434" s="644"/>
      <c r="I434" s="644"/>
      <c r="J434" s="644"/>
      <c r="K434" s="644"/>
      <c r="L434" s="644"/>
      <c r="M434" s="644"/>
      <c r="N434" s="644"/>
      <c r="O434" s="644"/>
      <c r="P434" s="644"/>
      <c r="Q434" s="644"/>
      <c r="R434" s="644"/>
      <c r="S434" s="644"/>
      <c r="T434" s="644"/>
      <c r="U434" s="644"/>
      <c r="V434" s="644"/>
      <c r="W434" s="644"/>
      <c r="X434" s="644"/>
      <c r="Y434" s="644"/>
      <c r="Z434" s="644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5">
        <v>4607091383980</v>
      </c>
      <c r="E435" s="636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47"/>
      <c r="R435" s="647"/>
      <c r="S435" s="647"/>
      <c r="T435" s="648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5">
        <v>4680115888425</v>
      </c>
      <c r="E436" s="636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6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47"/>
      <c r="R436" s="647"/>
      <c r="S436" s="647"/>
      <c r="T436" s="648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5">
        <v>4607091384178</v>
      </c>
      <c r="E437" s="636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9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47"/>
      <c r="R437" s="647"/>
      <c r="S437" s="647"/>
      <c r="T437" s="648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3"/>
      <c r="B438" s="644"/>
      <c r="C438" s="644"/>
      <c r="D438" s="644"/>
      <c r="E438" s="644"/>
      <c r="F438" s="644"/>
      <c r="G438" s="644"/>
      <c r="H438" s="644"/>
      <c r="I438" s="644"/>
      <c r="J438" s="644"/>
      <c r="K438" s="644"/>
      <c r="L438" s="644"/>
      <c r="M438" s="644"/>
      <c r="N438" s="644"/>
      <c r="O438" s="645"/>
      <c r="P438" s="637" t="s">
        <v>71</v>
      </c>
      <c r="Q438" s="638"/>
      <c r="R438" s="638"/>
      <c r="S438" s="638"/>
      <c r="T438" s="638"/>
      <c r="U438" s="638"/>
      <c r="V438" s="639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x14ac:dyDescent="0.2">
      <c r="A439" s="644"/>
      <c r="B439" s="644"/>
      <c r="C439" s="644"/>
      <c r="D439" s="644"/>
      <c r="E439" s="644"/>
      <c r="F439" s="644"/>
      <c r="G439" s="644"/>
      <c r="H439" s="644"/>
      <c r="I439" s="644"/>
      <c r="J439" s="644"/>
      <c r="K439" s="644"/>
      <c r="L439" s="644"/>
      <c r="M439" s="644"/>
      <c r="N439" s="644"/>
      <c r="O439" s="645"/>
      <c r="P439" s="637" t="s">
        <v>71</v>
      </c>
      <c r="Q439" s="638"/>
      <c r="R439" s="638"/>
      <c r="S439" s="638"/>
      <c r="T439" s="638"/>
      <c r="U439" s="638"/>
      <c r="V439" s="639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customHeight="1" x14ac:dyDescent="0.25">
      <c r="A440" s="661" t="s">
        <v>73</v>
      </c>
      <c r="B440" s="644"/>
      <c r="C440" s="644"/>
      <c r="D440" s="644"/>
      <c r="E440" s="644"/>
      <c r="F440" s="644"/>
      <c r="G440" s="644"/>
      <c r="H440" s="644"/>
      <c r="I440" s="644"/>
      <c r="J440" s="644"/>
      <c r="K440" s="644"/>
      <c r="L440" s="644"/>
      <c r="M440" s="644"/>
      <c r="N440" s="644"/>
      <c r="O440" s="644"/>
      <c r="P440" s="644"/>
      <c r="Q440" s="644"/>
      <c r="R440" s="644"/>
      <c r="S440" s="644"/>
      <c r="T440" s="644"/>
      <c r="U440" s="644"/>
      <c r="V440" s="644"/>
      <c r="W440" s="644"/>
      <c r="X440" s="644"/>
      <c r="Y440" s="644"/>
      <c r="Z440" s="644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5">
        <v>4607091383928</v>
      </c>
      <c r="E441" s="636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47"/>
      <c r="R441" s="647"/>
      <c r="S441" s="647"/>
      <c r="T441" s="648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5">
        <v>4607091384260</v>
      </c>
      <c r="E442" s="636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9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47"/>
      <c r="R442" s="647"/>
      <c r="S442" s="647"/>
      <c r="T442" s="648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5">
        <v>4680115889538</v>
      </c>
      <c r="E443" s="636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47"/>
      <c r="R443" s="647"/>
      <c r="S443" s="647"/>
      <c r="T443" s="648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3"/>
      <c r="B444" s="644"/>
      <c r="C444" s="644"/>
      <c r="D444" s="644"/>
      <c r="E444" s="644"/>
      <c r="F444" s="644"/>
      <c r="G444" s="644"/>
      <c r="H444" s="644"/>
      <c r="I444" s="644"/>
      <c r="J444" s="644"/>
      <c r="K444" s="644"/>
      <c r="L444" s="644"/>
      <c r="M444" s="644"/>
      <c r="N444" s="644"/>
      <c r="O444" s="645"/>
      <c r="P444" s="637" t="s">
        <v>71</v>
      </c>
      <c r="Q444" s="638"/>
      <c r="R444" s="638"/>
      <c r="S444" s="638"/>
      <c r="T444" s="638"/>
      <c r="U444" s="638"/>
      <c r="V444" s="639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4"/>
      <c r="B445" s="644"/>
      <c r="C445" s="644"/>
      <c r="D445" s="644"/>
      <c r="E445" s="644"/>
      <c r="F445" s="644"/>
      <c r="G445" s="644"/>
      <c r="H445" s="644"/>
      <c r="I445" s="644"/>
      <c r="J445" s="644"/>
      <c r="K445" s="644"/>
      <c r="L445" s="644"/>
      <c r="M445" s="644"/>
      <c r="N445" s="644"/>
      <c r="O445" s="645"/>
      <c r="P445" s="637" t="s">
        <v>71</v>
      </c>
      <c r="Q445" s="638"/>
      <c r="R445" s="638"/>
      <c r="S445" s="638"/>
      <c r="T445" s="638"/>
      <c r="U445" s="638"/>
      <c r="V445" s="639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61" t="s">
        <v>162</v>
      </c>
      <c r="B446" s="644"/>
      <c r="C446" s="644"/>
      <c r="D446" s="644"/>
      <c r="E446" s="644"/>
      <c r="F446" s="644"/>
      <c r="G446" s="644"/>
      <c r="H446" s="644"/>
      <c r="I446" s="644"/>
      <c r="J446" s="644"/>
      <c r="K446" s="644"/>
      <c r="L446" s="644"/>
      <c r="M446" s="644"/>
      <c r="N446" s="644"/>
      <c r="O446" s="644"/>
      <c r="P446" s="644"/>
      <c r="Q446" s="644"/>
      <c r="R446" s="644"/>
      <c r="S446" s="644"/>
      <c r="T446" s="644"/>
      <c r="U446" s="644"/>
      <c r="V446" s="644"/>
      <c r="W446" s="644"/>
      <c r="X446" s="644"/>
      <c r="Y446" s="644"/>
      <c r="Z446" s="644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5">
        <v>4680115889545</v>
      </c>
      <c r="E447" s="636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67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47"/>
      <c r="R447" s="647"/>
      <c r="S447" s="647"/>
      <c r="T447" s="648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5">
        <v>4607091384673</v>
      </c>
      <c r="E448" s="636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47"/>
      <c r="R448" s="647"/>
      <c r="S448" s="647"/>
      <c r="T448" s="648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43"/>
      <c r="B449" s="644"/>
      <c r="C449" s="644"/>
      <c r="D449" s="644"/>
      <c r="E449" s="644"/>
      <c r="F449" s="644"/>
      <c r="G449" s="644"/>
      <c r="H449" s="644"/>
      <c r="I449" s="644"/>
      <c r="J449" s="644"/>
      <c r="K449" s="644"/>
      <c r="L449" s="644"/>
      <c r="M449" s="644"/>
      <c r="N449" s="644"/>
      <c r="O449" s="645"/>
      <c r="P449" s="637" t="s">
        <v>71</v>
      </c>
      <c r="Q449" s="638"/>
      <c r="R449" s="638"/>
      <c r="S449" s="638"/>
      <c r="T449" s="638"/>
      <c r="U449" s="638"/>
      <c r="V449" s="639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x14ac:dyDescent="0.2">
      <c r="A450" s="644"/>
      <c r="B450" s="644"/>
      <c r="C450" s="644"/>
      <c r="D450" s="644"/>
      <c r="E450" s="644"/>
      <c r="F450" s="644"/>
      <c r="G450" s="644"/>
      <c r="H450" s="644"/>
      <c r="I450" s="644"/>
      <c r="J450" s="644"/>
      <c r="K450" s="644"/>
      <c r="L450" s="644"/>
      <c r="M450" s="644"/>
      <c r="N450" s="644"/>
      <c r="O450" s="645"/>
      <c r="P450" s="637" t="s">
        <v>71</v>
      </c>
      <c r="Q450" s="638"/>
      <c r="R450" s="638"/>
      <c r="S450" s="638"/>
      <c r="T450" s="638"/>
      <c r="U450" s="638"/>
      <c r="V450" s="639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customHeight="1" x14ac:dyDescent="0.25">
      <c r="A451" s="664" t="s">
        <v>731</v>
      </c>
      <c r="B451" s="644"/>
      <c r="C451" s="644"/>
      <c r="D451" s="644"/>
      <c r="E451" s="644"/>
      <c r="F451" s="644"/>
      <c r="G451" s="644"/>
      <c r="H451" s="644"/>
      <c r="I451" s="644"/>
      <c r="J451" s="644"/>
      <c r="K451" s="644"/>
      <c r="L451" s="644"/>
      <c r="M451" s="644"/>
      <c r="N451" s="644"/>
      <c r="O451" s="644"/>
      <c r="P451" s="644"/>
      <c r="Q451" s="644"/>
      <c r="R451" s="644"/>
      <c r="S451" s="644"/>
      <c r="T451" s="644"/>
      <c r="U451" s="644"/>
      <c r="V451" s="644"/>
      <c r="W451" s="644"/>
      <c r="X451" s="644"/>
      <c r="Y451" s="644"/>
      <c r="Z451" s="644"/>
      <c r="AA451" s="624"/>
      <c r="AB451" s="624"/>
      <c r="AC451" s="624"/>
    </row>
    <row r="452" spans="1:68" ht="14.25" customHeight="1" x14ac:dyDescent="0.25">
      <c r="A452" s="661" t="s">
        <v>112</v>
      </c>
      <c r="B452" s="644"/>
      <c r="C452" s="644"/>
      <c r="D452" s="644"/>
      <c r="E452" s="644"/>
      <c r="F452" s="644"/>
      <c r="G452" s="644"/>
      <c r="H452" s="644"/>
      <c r="I452" s="644"/>
      <c r="J452" s="644"/>
      <c r="K452" s="644"/>
      <c r="L452" s="644"/>
      <c r="M452" s="644"/>
      <c r="N452" s="644"/>
      <c r="O452" s="644"/>
      <c r="P452" s="644"/>
      <c r="Q452" s="644"/>
      <c r="R452" s="644"/>
      <c r="S452" s="644"/>
      <c r="T452" s="644"/>
      <c r="U452" s="644"/>
      <c r="V452" s="644"/>
      <c r="W452" s="644"/>
      <c r="X452" s="644"/>
      <c r="Y452" s="644"/>
      <c r="Z452" s="644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5">
        <v>4680115884885</v>
      </c>
      <c r="E453" s="636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9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47"/>
      <c r="R453" s="647"/>
      <c r="S453" s="647"/>
      <c r="T453" s="648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5">
        <v>4680115884908</v>
      </c>
      <c r="E454" s="636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47"/>
      <c r="R454" s="647"/>
      <c r="S454" s="647"/>
      <c r="T454" s="648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3"/>
      <c r="B455" s="644"/>
      <c r="C455" s="644"/>
      <c r="D455" s="644"/>
      <c r="E455" s="644"/>
      <c r="F455" s="644"/>
      <c r="G455" s="644"/>
      <c r="H455" s="644"/>
      <c r="I455" s="644"/>
      <c r="J455" s="644"/>
      <c r="K455" s="644"/>
      <c r="L455" s="644"/>
      <c r="M455" s="644"/>
      <c r="N455" s="644"/>
      <c r="O455" s="645"/>
      <c r="P455" s="637" t="s">
        <v>71</v>
      </c>
      <c r="Q455" s="638"/>
      <c r="R455" s="638"/>
      <c r="S455" s="638"/>
      <c r="T455" s="638"/>
      <c r="U455" s="638"/>
      <c r="V455" s="639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4"/>
      <c r="B456" s="644"/>
      <c r="C456" s="644"/>
      <c r="D456" s="644"/>
      <c r="E456" s="644"/>
      <c r="F456" s="644"/>
      <c r="G456" s="644"/>
      <c r="H456" s="644"/>
      <c r="I456" s="644"/>
      <c r="J456" s="644"/>
      <c r="K456" s="644"/>
      <c r="L456" s="644"/>
      <c r="M456" s="644"/>
      <c r="N456" s="644"/>
      <c r="O456" s="645"/>
      <c r="P456" s="637" t="s">
        <v>71</v>
      </c>
      <c r="Q456" s="638"/>
      <c r="R456" s="638"/>
      <c r="S456" s="638"/>
      <c r="T456" s="638"/>
      <c r="U456" s="638"/>
      <c r="V456" s="639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61" t="s">
        <v>61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5">
        <v>4607091384802</v>
      </c>
      <c r="E458" s="636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9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47"/>
      <c r="R458" s="647"/>
      <c r="S458" s="647"/>
      <c r="T458" s="648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3"/>
      <c r="B459" s="644"/>
      <c r="C459" s="644"/>
      <c r="D459" s="644"/>
      <c r="E459" s="644"/>
      <c r="F459" s="644"/>
      <c r="G459" s="644"/>
      <c r="H459" s="644"/>
      <c r="I459" s="644"/>
      <c r="J459" s="644"/>
      <c r="K459" s="644"/>
      <c r="L459" s="644"/>
      <c r="M459" s="644"/>
      <c r="N459" s="644"/>
      <c r="O459" s="645"/>
      <c r="P459" s="637" t="s">
        <v>71</v>
      </c>
      <c r="Q459" s="638"/>
      <c r="R459" s="638"/>
      <c r="S459" s="638"/>
      <c r="T459" s="638"/>
      <c r="U459" s="638"/>
      <c r="V459" s="639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4"/>
      <c r="B460" s="644"/>
      <c r="C460" s="644"/>
      <c r="D460" s="644"/>
      <c r="E460" s="644"/>
      <c r="F460" s="644"/>
      <c r="G460" s="644"/>
      <c r="H460" s="644"/>
      <c r="I460" s="644"/>
      <c r="J460" s="644"/>
      <c r="K460" s="644"/>
      <c r="L460" s="644"/>
      <c r="M460" s="644"/>
      <c r="N460" s="644"/>
      <c r="O460" s="645"/>
      <c r="P460" s="637" t="s">
        <v>71</v>
      </c>
      <c r="Q460" s="638"/>
      <c r="R460" s="638"/>
      <c r="S460" s="638"/>
      <c r="T460" s="638"/>
      <c r="U460" s="638"/>
      <c r="V460" s="639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61" t="s">
        <v>73</v>
      </c>
      <c r="B461" s="644"/>
      <c r="C461" s="644"/>
      <c r="D461" s="644"/>
      <c r="E461" s="644"/>
      <c r="F461" s="644"/>
      <c r="G461" s="644"/>
      <c r="H461" s="644"/>
      <c r="I461" s="644"/>
      <c r="J461" s="644"/>
      <c r="K461" s="644"/>
      <c r="L461" s="644"/>
      <c r="M461" s="644"/>
      <c r="N461" s="644"/>
      <c r="O461" s="644"/>
      <c r="P461" s="644"/>
      <c r="Q461" s="644"/>
      <c r="R461" s="644"/>
      <c r="S461" s="644"/>
      <c r="T461" s="644"/>
      <c r="U461" s="644"/>
      <c r="V461" s="644"/>
      <c r="W461" s="644"/>
      <c r="X461" s="644"/>
      <c r="Y461" s="644"/>
      <c r="Z461" s="644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5">
        <v>4607091384246</v>
      </c>
      <c r="E462" s="636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7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47"/>
      <c r="R462" s="647"/>
      <c r="S462" s="647"/>
      <c r="T462" s="648"/>
      <c r="U462" s="34"/>
      <c r="V462" s="34"/>
      <c r="W462" s="35" t="s">
        <v>66</v>
      </c>
      <c r="X462" s="629">
        <v>2200</v>
      </c>
      <c r="Y462" s="630">
        <f>IFERROR(IF(X462="",0,CEILING((X462/$H462),1)*$H462),"")</f>
        <v>2205</v>
      </c>
      <c r="Z462" s="36">
        <f>IFERROR(IF(Y462=0,"",ROUNDUP(Y462/H462,0)*0.01898),"")</f>
        <v>4.6501000000000001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2320.7555555555555</v>
      </c>
      <c r="BN462" s="64">
        <f>IFERROR(Y462*I462/H462,"0")</f>
        <v>2326.0300000000002</v>
      </c>
      <c r="BO462" s="64">
        <f>IFERROR(1/J462*(X462/H462),"0")</f>
        <v>3.8194444444444446</v>
      </c>
      <c r="BP462" s="64">
        <f>IFERROR(1/J462*(Y462/H462),"0")</f>
        <v>3.828125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5">
        <v>4607091384253</v>
      </c>
      <c r="E463" s="636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47"/>
      <c r="R463" s="647"/>
      <c r="S463" s="647"/>
      <c r="T463" s="648"/>
      <c r="U463" s="34"/>
      <c r="V463" s="34"/>
      <c r="W463" s="35" t="s">
        <v>66</v>
      </c>
      <c r="X463" s="629">
        <v>80</v>
      </c>
      <c r="Y463" s="630">
        <f>IFERROR(IF(X463="",0,CEILING((X463/$H463),1)*$H463),"")</f>
        <v>81.599999999999994</v>
      </c>
      <c r="Z463" s="36">
        <f>IFERROR(IF(Y463=0,"",ROUNDUP(Y463/H463,0)*0.00651),"")</f>
        <v>0.22134000000000001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88.800000000000011</v>
      </c>
      <c r="BN463" s="64">
        <f>IFERROR(Y463*I463/H463,"0")</f>
        <v>90.575999999999993</v>
      </c>
      <c r="BO463" s="64">
        <f>IFERROR(1/J463*(X463/H463),"0")</f>
        <v>0.18315018315018317</v>
      </c>
      <c r="BP463" s="64">
        <f>IFERROR(1/J463*(Y463/H463),"0")</f>
        <v>0.18681318681318682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5">
        <v>4607091384253</v>
      </c>
      <c r="E464" s="636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47"/>
      <c r="R464" s="647"/>
      <c r="S464" s="647"/>
      <c r="T464" s="648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3"/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5"/>
      <c r="P465" s="637" t="s">
        <v>71</v>
      </c>
      <c r="Q465" s="638"/>
      <c r="R465" s="638"/>
      <c r="S465" s="638"/>
      <c r="T465" s="638"/>
      <c r="U465" s="638"/>
      <c r="V465" s="639"/>
      <c r="W465" s="37" t="s">
        <v>72</v>
      </c>
      <c r="X465" s="631">
        <f>IFERROR(X462/H462,"0")+IFERROR(X463/H463,"0")+IFERROR(X464/H464,"0")</f>
        <v>277.77777777777777</v>
      </c>
      <c r="Y465" s="631">
        <f>IFERROR(Y462/H462,"0")+IFERROR(Y463/H463,"0")+IFERROR(Y464/H464,"0")</f>
        <v>279</v>
      </c>
      <c r="Z465" s="631">
        <f>IFERROR(IF(Z462="",0,Z462),"0")+IFERROR(IF(Z463="",0,Z463),"0")+IFERROR(IF(Z464="",0,Z464),"0")</f>
        <v>4.8714399999999998</v>
      </c>
      <c r="AA465" s="632"/>
      <c r="AB465" s="632"/>
      <c r="AC465" s="632"/>
    </row>
    <row r="466" spans="1:68" x14ac:dyDescent="0.2">
      <c r="A466" s="644"/>
      <c r="B466" s="644"/>
      <c r="C466" s="644"/>
      <c r="D466" s="644"/>
      <c r="E466" s="644"/>
      <c r="F466" s="644"/>
      <c r="G466" s="644"/>
      <c r="H466" s="644"/>
      <c r="I466" s="644"/>
      <c r="J466" s="644"/>
      <c r="K466" s="644"/>
      <c r="L466" s="644"/>
      <c r="M466" s="644"/>
      <c r="N466" s="644"/>
      <c r="O466" s="645"/>
      <c r="P466" s="637" t="s">
        <v>71</v>
      </c>
      <c r="Q466" s="638"/>
      <c r="R466" s="638"/>
      <c r="S466" s="638"/>
      <c r="T466" s="638"/>
      <c r="U466" s="638"/>
      <c r="V466" s="639"/>
      <c r="W466" s="37" t="s">
        <v>66</v>
      </c>
      <c r="X466" s="631">
        <f>IFERROR(SUM(X462:X464),"0")</f>
        <v>2280</v>
      </c>
      <c r="Y466" s="631">
        <f>IFERROR(SUM(Y462:Y464),"0")</f>
        <v>2286.6</v>
      </c>
      <c r="Z466" s="37"/>
      <c r="AA466" s="632"/>
      <c r="AB466" s="632"/>
      <c r="AC466" s="632"/>
    </row>
    <row r="467" spans="1:68" ht="27.75" customHeight="1" x14ac:dyDescent="0.2">
      <c r="A467" s="708" t="s">
        <v>747</v>
      </c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  <c r="M467" s="709"/>
      <c r="N467" s="709"/>
      <c r="O467" s="709"/>
      <c r="P467" s="709"/>
      <c r="Q467" s="709"/>
      <c r="R467" s="709"/>
      <c r="S467" s="709"/>
      <c r="T467" s="709"/>
      <c r="U467" s="709"/>
      <c r="V467" s="709"/>
      <c r="W467" s="709"/>
      <c r="X467" s="709"/>
      <c r="Y467" s="709"/>
      <c r="Z467" s="709"/>
      <c r="AA467" s="48"/>
      <c r="AB467" s="48"/>
      <c r="AC467" s="48"/>
    </row>
    <row r="468" spans="1:68" ht="16.5" customHeight="1" x14ac:dyDescent="0.25">
      <c r="A468" s="664" t="s">
        <v>748</v>
      </c>
      <c r="B468" s="644"/>
      <c r="C468" s="644"/>
      <c r="D468" s="644"/>
      <c r="E468" s="644"/>
      <c r="F468" s="644"/>
      <c r="G468" s="644"/>
      <c r="H468" s="644"/>
      <c r="I468" s="644"/>
      <c r="J468" s="644"/>
      <c r="K468" s="644"/>
      <c r="L468" s="644"/>
      <c r="M468" s="644"/>
      <c r="N468" s="644"/>
      <c r="O468" s="644"/>
      <c r="P468" s="644"/>
      <c r="Q468" s="644"/>
      <c r="R468" s="644"/>
      <c r="S468" s="644"/>
      <c r="T468" s="644"/>
      <c r="U468" s="644"/>
      <c r="V468" s="644"/>
      <c r="W468" s="644"/>
      <c r="X468" s="644"/>
      <c r="Y468" s="644"/>
      <c r="Z468" s="644"/>
      <c r="AA468" s="624"/>
      <c r="AB468" s="624"/>
      <c r="AC468" s="624"/>
    </row>
    <row r="469" spans="1:68" ht="14.25" customHeight="1" x14ac:dyDescent="0.25">
      <c r="A469" s="661" t="s">
        <v>61</v>
      </c>
      <c r="B469" s="644"/>
      <c r="C469" s="644"/>
      <c r="D469" s="644"/>
      <c r="E469" s="644"/>
      <c r="F469" s="644"/>
      <c r="G469" s="644"/>
      <c r="H469" s="644"/>
      <c r="I469" s="644"/>
      <c r="J469" s="644"/>
      <c r="K469" s="644"/>
      <c r="L469" s="644"/>
      <c r="M469" s="644"/>
      <c r="N469" s="644"/>
      <c r="O469" s="644"/>
      <c r="P469" s="644"/>
      <c r="Q469" s="644"/>
      <c r="R469" s="644"/>
      <c r="S469" s="644"/>
      <c r="T469" s="644"/>
      <c r="U469" s="644"/>
      <c r="V469" s="644"/>
      <c r="W469" s="644"/>
      <c r="X469" s="644"/>
      <c r="Y469" s="644"/>
      <c r="Z469" s="644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5">
        <v>4680115886100</v>
      </c>
      <c r="E470" s="636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7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47"/>
      <c r="R470" s="647"/>
      <c r="S470" s="647"/>
      <c r="T470" s="648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5">
        <v>4680115886124</v>
      </c>
      <c r="E471" s="636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9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47"/>
      <c r="R471" s="647"/>
      <c r="S471" s="647"/>
      <c r="T471" s="648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5">
        <v>4607091384338</v>
      </c>
      <c r="E472" s="636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47"/>
      <c r="R472" s="647"/>
      <c r="S472" s="647"/>
      <c r="T472" s="648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5">
        <v>4680115883161</v>
      </c>
      <c r="E473" s="636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9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47"/>
      <c r="R473" s="647"/>
      <c r="S473" s="647"/>
      <c r="T473" s="648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5">
        <v>4607091389531</v>
      </c>
      <c r="E474" s="636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47"/>
      <c r="R474" s="647"/>
      <c r="S474" s="647"/>
      <c r="T474" s="648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5">
        <v>4607091384345</v>
      </c>
      <c r="E475" s="636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47"/>
      <c r="R475" s="647"/>
      <c r="S475" s="647"/>
      <c r="T475" s="648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3"/>
      <c r="B476" s="644"/>
      <c r="C476" s="644"/>
      <c r="D476" s="644"/>
      <c r="E476" s="644"/>
      <c r="F476" s="644"/>
      <c r="G476" s="644"/>
      <c r="H476" s="644"/>
      <c r="I476" s="644"/>
      <c r="J476" s="644"/>
      <c r="K476" s="644"/>
      <c r="L476" s="644"/>
      <c r="M476" s="644"/>
      <c r="N476" s="644"/>
      <c r="O476" s="645"/>
      <c r="P476" s="637" t="s">
        <v>71</v>
      </c>
      <c r="Q476" s="638"/>
      <c r="R476" s="638"/>
      <c r="S476" s="638"/>
      <c r="T476" s="638"/>
      <c r="U476" s="638"/>
      <c r="V476" s="639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4"/>
      <c r="B477" s="644"/>
      <c r="C477" s="644"/>
      <c r="D477" s="644"/>
      <c r="E477" s="644"/>
      <c r="F477" s="644"/>
      <c r="G477" s="644"/>
      <c r="H477" s="644"/>
      <c r="I477" s="644"/>
      <c r="J477" s="644"/>
      <c r="K477" s="644"/>
      <c r="L477" s="644"/>
      <c r="M477" s="644"/>
      <c r="N477" s="644"/>
      <c r="O477" s="645"/>
      <c r="P477" s="637" t="s">
        <v>71</v>
      </c>
      <c r="Q477" s="638"/>
      <c r="R477" s="638"/>
      <c r="S477" s="638"/>
      <c r="T477" s="638"/>
      <c r="U477" s="638"/>
      <c r="V477" s="639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61" t="s">
        <v>73</v>
      </c>
      <c r="B478" s="644"/>
      <c r="C478" s="644"/>
      <c r="D478" s="644"/>
      <c r="E478" s="644"/>
      <c r="F478" s="644"/>
      <c r="G478" s="644"/>
      <c r="H478" s="644"/>
      <c r="I478" s="644"/>
      <c r="J478" s="644"/>
      <c r="K478" s="644"/>
      <c r="L478" s="644"/>
      <c r="M478" s="644"/>
      <c r="N478" s="644"/>
      <c r="O478" s="644"/>
      <c r="P478" s="644"/>
      <c r="Q478" s="644"/>
      <c r="R478" s="644"/>
      <c r="S478" s="644"/>
      <c r="T478" s="644"/>
      <c r="U478" s="644"/>
      <c r="V478" s="644"/>
      <c r="W478" s="644"/>
      <c r="X478" s="644"/>
      <c r="Y478" s="644"/>
      <c r="Z478" s="644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5">
        <v>4607091384352</v>
      </c>
      <c r="E479" s="636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9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47"/>
      <c r="R479" s="647"/>
      <c r="S479" s="647"/>
      <c r="T479" s="648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5">
        <v>4607091389654</v>
      </c>
      <c r="E480" s="636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8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47"/>
      <c r="R480" s="647"/>
      <c r="S480" s="647"/>
      <c r="T480" s="648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3"/>
      <c r="B481" s="644"/>
      <c r="C481" s="644"/>
      <c r="D481" s="644"/>
      <c r="E481" s="644"/>
      <c r="F481" s="644"/>
      <c r="G481" s="644"/>
      <c r="H481" s="644"/>
      <c r="I481" s="644"/>
      <c r="J481" s="644"/>
      <c r="K481" s="644"/>
      <c r="L481" s="644"/>
      <c r="M481" s="644"/>
      <c r="N481" s="644"/>
      <c r="O481" s="645"/>
      <c r="P481" s="637" t="s">
        <v>71</v>
      </c>
      <c r="Q481" s="638"/>
      <c r="R481" s="638"/>
      <c r="S481" s="638"/>
      <c r="T481" s="638"/>
      <c r="U481" s="638"/>
      <c r="V481" s="639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4"/>
      <c r="B482" s="644"/>
      <c r="C482" s="644"/>
      <c r="D482" s="644"/>
      <c r="E482" s="644"/>
      <c r="F482" s="644"/>
      <c r="G482" s="644"/>
      <c r="H482" s="644"/>
      <c r="I482" s="644"/>
      <c r="J482" s="644"/>
      <c r="K482" s="644"/>
      <c r="L482" s="644"/>
      <c r="M482" s="644"/>
      <c r="N482" s="644"/>
      <c r="O482" s="645"/>
      <c r="P482" s="637" t="s">
        <v>71</v>
      </c>
      <c r="Q482" s="638"/>
      <c r="R482" s="638"/>
      <c r="S482" s="638"/>
      <c r="T482" s="638"/>
      <c r="U482" s="638"/>
      <c r="V482" s="639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64" t="s">
        <v>771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24"/>
      <c r="AB483" s="624"/>
      <c r="AC483" s="624"/>
    </row>
    <row r="484" spans="1:68" ht="14.25" customHeight="1" x14ac:dyDescent="0.25">
      <c r="A484" s="661" t="s">
        <v>145</v>
      </c>
      <c r="B484" s="644"/>
      <c r="C484" s="644"/>
      <c r="D484" s="644"/>
      <c r="E484" s="644"/>
      <c r="F484" s="644"/>
      <c r="G484" s="644"/>
      <c r="H484" s="644"/>
      <c r="I484" s="644"/>
      <c r="J484" s="644"/>
      <c r="K484" s="644"/>
      <c r="L484" s="644"/>
      <c r="M484" s="644"/>
      <c r="N484" s="644"/>
      <c r="O484" s="644"/>
      <c r="P484" s="644"/>
      <c r="Q484" s="644"/>
      <c r="R484" s="644"/>
      <c r="S484" s="644"/>
      <c r="T484" s="644"/>
      <c r="U484" s="644"/>
      <c r="V484" s="644"/>
      <c r="W484" s="644"/>
      <c r="X484" s="644"/>
      <c r="Y484" s="644"/>
      <c r="Z484" s="644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5">
        <v>4680115885240</v>
      </c>
      <c r="E485" s="636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7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47"/>
      <c r="R485" s="647"/>
      <c r="S485" s="647"/>
      <c r="T485" s="648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3"/>
      <c r="B486" s="644"/>
      <c r="C486" s="644"/>
      <c r="D486" s="644"/>
      <c r="E486" s="644"/>
      <c r="F486" s="644"/>
      <c r="G486" s="644"/>
      <c r="H486" s="644"/>
      <c r="I486" s="644"/>
      <c r="J486" s="644"/>
      <c r="K486" s="644"/>
      <c r="L486" s="644"/>
      <c r="M486" s="644"/>
      <c r="N486" s="644"/>
      <c r="O486" s="645"/>
      <c r="P486" s="637" t="s">
        <v>71</v>
      </c>
      <c r="Q486" s="638"/>
      <c r="R486" s="638"/>
      <c r="S486" s="638"/>
      <c r="T486" s="638"/>
      <c r="U486" s="638"/>
      <c r="V486" s="639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4"/>
      <c r="B487" s="644"/>
      <c r="C487" s="644"/>
      <c r="D487" s="644"/>
      <c r="E487" s="644"/>
      <c r="F487" s="644"/>
      <c r="G487" s="644"/>
      <c r="H487" s="644"/>
      <c r="I487" s="644"/>
      <c r="J487" s="644"/>
      <c r="K487" s="644"/>
      <c r="L487" s="644"/>
      <c r="M487" s="644"/>
      <c r="N487" s="644"/>
      <c r="O487" s="645"/>
      <c r="P487" s="637" t="s">
        <v>71</v>
      </c>
      <c r="Q487" s="638"/>
      <c r="R487" s="638"/>
      <c r="S487" s="638"/>
      <c r="T487" s="638"/>
      <c r="U487" s="638"/>
      <c r="V487" s="639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61" t="s">
        <v>61</v>
      </c>
      <c r="B488" s="644"/>
      <c r="C488" s="644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44"/>
      <c r="P488" s="644"/>
      <c r="Q488" s="644"/>
      <c r="R488" s="644"/>
      <c r="S488" s="644"/>
      <c r="T488" s="644"/>
      <c r="U488" s="644"/>
      <c r="V488" s="644"/>
      <c r="W488" s="644"/>
      <c r="X488" s="644"/>
      <c r="Y488" s="644"/>
      <c r="Z488" s="644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5">
        <v>4680115886094</v>
      </c>
      <c r="E489" s="636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47"/>
      <c r="R489" s="647"/>
      <c r="S489" s="647"/>
      <c r="T489" s="648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5">
        <v>4680115880771</v>
      </c>
      <c r="E490" s="636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7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47"/>
      <c r="R490" s="647"/>
      <c r="S490" s="647"/>
      <c r="T490" s="648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5">
        <v>4607091389500</v>
      </c>
      <c r="E491" s="636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47"/>
      <c r="R491" s="647"/>
      <c r="S491" s="647"/>
      <c r="T491" s="648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3"/>
      <c r="B492" s="644"/>
      <c r="C492" s="644"/>
      <c r="D492" s="644"/>
      <c r="E492" s="644"/>
      <c r="F492" s="644"/>
      <c r="G492" s="644"/>
      <c r="H492" s="644"/>
      <c r="I492" s="644"/>
      <c r="J492" s="644"/>
      <c r="K492" s="644"/>
      <c r="L492" s="644"/>
      <c r="M492" s="644"/>
      <c r="N492" s="644"/>
      <c r="O492" s="645"/>
      <c r="P492" s="637" t="s">
        <v>71</v>
      </c>
      <c r="Q492" s="638"/>
      <c r="R492" s="638"/>
      <c r="S492" s="638"/>
      <c r="T492" s="638"/>
      <c r="U492" s="638"/>
      <c r="V492" s="639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4"/>
      <c r="B493" s="644"/>
      <c r="C493" s="644"/>
      <c r="D493" s="644"/>
      <c r="E493" s="644"/>
      <c r="F493" s="644"/>
      <c r="G493" s="644"/>
      <c r="H493" s="644"/>
      <c r="I493" s="644"/>
      <c r="J493" s="644"/>
      <c r="K493" s="644"/>
      <c r="L493" s="644"/>
      <c r="M493" s="644"/>
      <c r="N493" s="644"/>
      <c r="O493" s="645"/>
      <c r="P493" s="637" t="s">
        <v>71</v>
      </c>
      <c r="Q493" s="638"/>
      <c r="R493" s="638"/>
      <c r="S493" s="638"/>
      <c r="T493" s="638"/>
      <c r="U493" s="638"/>
      <c r="V493" s="639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708" t="s">
        <v>783</v>
      </c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  <c r="M494" s="709"/>
      <c r="N494" s="709"/>
      <c r="O494" s="709"/>
      <c r="P494" s="709"/>
      <c r="Q494" s="709"/>
      <c r="R494" s="709"/>
      <c r="S494" s="709"/>
      <c r="T494" s="709"/>
      <c r="U494" s="709"/>
      <c r="V494" s="709"/>
      <c r="W494" s="709"/>
      <c r="X494" s="709"/>
      <c r="Y494" s="709"/>
      <c r="Z494" s="709"/>
      <c r="AA494" s="48"/>
      <c r="AB494" s="48"/>
      <c r="AC494" s="48"/>
    </row>
    <row r="495" spans="1:68" ht="16.5" customHeight="1" x14ac:dyDescent="0.25">
      <c r="A495" s="664" t="s">
        <v>783</v>
      </c>
      <c r="B495" s="644"/>
      <c r="C495" s="644"/>
      <c r="D495" s="644"/>
      <c r="E495" s="644"/>
      <c r="F495" s="644"/>
      <c r="G495" s="644"/>
      <c r="H495" s="644"/>
      <c r="I495" s="644"/>
      <c r="J495" s="644"/>
      <c r="K495" s="644"/>
      <c r="L495" s="644"/>
      <c r="M495" s="644"/>
      <c r="N495" s="644"/>
      <c r="O495" s="644"/>
      <c r="P495" s="644"/>
      <c r="Q495" s="644"/>
      <c r="R495" s="644"/>
      <c r="S495" s="644"/>
      <c r="T495" s="644"/>
      <c r="U495" s="644"/>
      <c r="V495" s="644"/>
      <c r="W495" s="644"/>
      <c r="X495" s="644"/>
      <c r="Y495" s="644"/>
      <c r="Z495" s="644"/>
      <c r="AA495" s="624"/>
      <c r="AB495" s="624"/>
      <c r="AC495" s="624"/>
    </row>
    <row r="496" spans="1:68" ht="14.25" customHeight="1" x14ac:dyDescent="0.25">
      <c r="A496" s="661" t="s">
        <v>112</v>
      </c>
      <c r="B496" s="644"/>
      <c r="C496" s="644"/>
      <c r="D496" s="644"/>
      <c r="E496" s="644"/>
      <c r="F496" s="644"/>
      <c r="G496" s="644"/>
      <c r="H496" s="644"/>
      <c r="I496" s="644"/>
      <c r="J496" s="644"/>
      <c r="K496" s="644"/>
      <c r="L496" s="644"/>
      <c r="M496" s="644"/>
      <c r="N496" s="644"/>
      <c r="O496" s="644"/>
      <c r="P496" s="644"/>
      <c r="Q496" s="644"/>
      <c r="R496" s="644"/>
      <c r="S496" s="644"/>
      <c r="T496" s="644"/>
      <c r="U496" s="644"/>
      <c r="V496" s="644"/>
      <c r="W496" s="644"/>
      <c r="X496" s="644"/>
      <c r="Y496" s="644"/>
      <c r="Z496" s="644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5">
        <v>4607091389067</v>
      </c>
      <c r="E497" s="636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67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47"/>
      <c r="R497" s="647"/>
      <c r="S497" s="647"/>
      <c r="T497" s="648"/>
      <c r="U497" s="34"/>
      <c r="V497" s="34"/>
      <c r="W497" s="35" t="s">
        <v>66</v>
      </c>
      <c r="X497" s="629">
        <v>150</v>
      </c>
      <c r="Y497" s="630">
        <f t="shared" ref="Y497:Y505" si="69">IFERROR(IF(X497="",0,CEILING((X497/$H497),1)*$H497),"")</f>
        <v>153.12</v>
      </c>
      <c r="Z497" s="36">
        <f t="shared" ref="Z497:Z502" si="70">IFERROR(IF(Y497=0,"",ROUNDUP(Y497/H497,0)*0.01196),"")</f>
        <v>0.34683999999999998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159.94318181818181</v>
      </c>
      <c r="BN497" s="64">
        <f t="shared" ref="BN497:BN505" si="72">IFERROR(Y497*I497/H497,"0")</f>
        <v>163.26999999999998</v>
      </c>
      <c r="BO497" s="64">
        <f t="shared" ref="BO497:BO505" si="73">IFERROR(1/J497*(X497/H497),"0")</f>
        <v>0.27316433566433568</v>
      </c>
      <c r="BP497" s="64">
        <f t="shared" ref="BP497:BP505" si="74">IFERROR(1/J497*(Y497/H497),"0")</f>
        <v>0.27884615384615385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5">
        <v>4680115889576</v>
      </c>
      <c r="E498" s="636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9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47"/>
      <c r="R498" s="647"/>
      <c r="S498" s="647"/>
      <c r="T498" s="648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5">
        <v>4680115885271</v>
      </c>
      <c r="E499" s="636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47"/>
      <c r="R499" s="647"/>
      <c r="S499" s="647"/>
      <c r="T499" s="648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5">
        <v>4680115885226</v>
      </c>
      <c r="E500" s="636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47"/>
      <c r="R500" s="647"/>
      <c r="S500" s="647"/>
      <c r="T500" s="648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5">
        <v>4680115884502</v>
      </c>
      <c r="E501" s="636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47"/>
      <c r="R501" s="647"/>
      <c r="S501" s="647"/>
      <c r="T501" s="648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5">
        <v>4607091389104</v>
      </c>
      <c r="E502" s="636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9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47"/>
      <c r="R502" s="647"/>
      <c r="S502" s="647"/>
      <c r="T502" s="648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5">
        <v>4680115886391</v>
      </c>
      <c r="E503" s="636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47"/>
      <c r="R503" s="647"/>
      <c r="S503" s="647"/>
      <c r="T503" s="648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5">
        <v>4680115880603</v>
      </c>
      <c r="E504" s="636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47"/>
      <c r="R504" s="647"/>
      <c r="S504" s="647"/>
      <c r="T504" s="648"/>
      <c r="U504" s="34"/>
      <c r="V504" s="34"/>
      <c r="W504" s="35" t="s">
        <v>66</v>
      </c>
      <c r="X504" s="629">
        <v>280</v>
      </c>
      <c r="Y504" s="630">
        <f t="shared" si="69"/>
        <v>283.2</v>
      </c>
      <c r="Z504" s="36">
        <f>IFERROR(IF(Y504=0,"",ROUNDUP(Y504/H504,0)*0.00902),"")</f>
        <v>0.53217999999999999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403.08333333333331</v>
      </c>
      <c r="BN504" s="64">
        <f t="shared" si="72"/>
        <v>407.69</v>
      </c>
      <c r="BO504" s="64">
        <f t="shared" si="73"/>
        <v>0.44191919191919193</v>
      </c>
      <c r="BP504" s="64">
        <f t="shared" si="74"/>
        <v>0.44696969696969696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5">
        <v>4607091389982</v>
      </c>
      <c r="E505" s="636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47"/>
      <c r="R505" s="647"/>
      <c r="S505" s="647"/>
      <c r="T505" s="648"/>
      <c r="U505" s="34"/>
      <c r="V505" s="34"/>
      <c r="W505" s="35" t="s">
        <v>66</v>
      </c>
      <c r="X505" s="629">
        <v>283</v>
      </c>
      <c r="Y505" s="630">
        <f t="shared" si="69"/>
        <v>283.2</v>
      </c>
      <c r="Z505" s="36">
        <f>IFERROR(IF(Y505=0,"",ROUNDUP(Y505/H505,0)*0.00902),"")</f>
        <v>0.53217999999999999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407.40208333333334</v>
      </c>
      <c r="BN505" s="64">
        <f t="shared" si="72"/>
        <v>407.69</v>
      </c>
      <c r="BO505" s="64">
        <f t="shared" si="73"/>
        <v>0.44665404040404044</v>
      </c>
      <c r="BP505" s="64">
        <f t="shared" si="74"/>
        <v>0.44696969696969696</v>
      </c>
    </row>
    <row r="506" spans="1:68" x14ac:dyDescent="0.2">
      <c r="A506" s="643"/>
      <c r="B506" s="644"/>
      <c r="C506" s="644"/>
      <c r="D506" s="644"/>
      <c r="E506" s="644"/>
      <c r="F506" s="644"/>
      <c r="G506" s="644"/>
      <c r="H506" s="644"/>
      <c r="I506" s="644"/>
      <c r="J506" s="644"/>
      <c r="K506" s="644"/>
      <c r="L506" s="644"/>
      <c r="M506" s="644"/>
      <c r="N506" s="644"/>
      <c r="O506" s="645"/>
      <c r="P506" s="637" t="s">
        <v>71</v>
      </c>
      <c r="Q506" s="638"/>
      <c r="R506" s="638"/>
      <c r="S506" s="638"/>
      <c r="T506" s="638"/>
      <c r="U506" s="638"/>
      <c r="V506" s="639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145.70075757575759</v>
      </c>
      <c r="Y506" s="631">
        <f>IFERROR(Y497/H497,"0")+IFERROR(Y498/H498,"0")+IFERROR(Y499/H499,"0")+IFERROR(Y500/H500,"0")+IFERROR(Y501/H501,"0")+IFERROR(Y502/H502,"0")+IFERROR(Y503/H503,"0")+IFERROR(Y504/H504,"0")+IFERROR(Y505/H505,"0")</f>
        <v>147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1.4112</v>
      </c>
      <c r="AA506" s="632"/>
      <c r="AB506" s="632"/>
      <c r="AC506" s="632"/>
    </row>
    <row r="507" spans="1:68" x14ac:dyDescent="0.2">
      <c r="A507" s="644"/>
      <c r="B507" s="644"/>
      <c r="C507" s="644"/>
      <c r="D507" s="644"/>
      <c r="E507" s="644"/>
      <c r="F507" s="644"/>
      <c r="G507" s="644"/>
      <c r="H507" s="644"/>
      <c r="I507" s="644"/>
      <c r="J507" s="644"/>
      <c r="K507" s="644"/>
      <c r="L507" s="644"/>
      <c r="M507" s="644"/>
      <c r="N507" s="644"/>
      <c r="O507" s="645"/>
      <c r="P507" s="637" t="s">
        <v>71</v>
      </c>
      <c r="Q507" s="638"/>
      <c r="R507" s="638"/>
      <c r="S507" s="638"/>
      <c r="T507" s="638"/>
      <c r="U507" s="638"/>
      <c r="V507" s="639"/>
      <c r="W507" s="37" t="s">
        <v>66</v>
      </c>
      <c r="X507" s="631">
        <f>IFERROR(SUM(X497:X505),"0")</f>
        <v>713</v>
      </c>
      <c r="Y507" s="631">
        <f>IFERROR(SUM(Y497:Y505),"0")</f>
        <v>719.52</v>
      </c>
      <c r="Z507" s="37"/>
      <c r="AA507" s="632"/>
      <c r="AB507" s="632"/>
      <c r="AC507" s="632"/>
    </row>
    <row r="508" spans="1:68" ht="14.25" customHeight="1" x14ac:dyDescent="0.25">
      <c r="A508" s="661" t="s">
        <v>145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5">
        <v>4607091388930</v>
      </c>
      <c r="E509" s="636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7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47"/>
      <c r="R509" s="647"/>
      <c r="S509" s="647"/>
      <c r="T509" s="648"/>
      <c r="U509" s="34"/>
      <c r="V509" s="34"/>
      <c r="W509" s="35" t="s">
        <v>66</v>
      </c>
      <c r="X509" s="629">
        <v>1403</v>
      </c>
      <c r="Y509" s="630">
        <f>IFERROR(IF(X509="",0,CEILING((X509/$H509),1)*$H509),"")</f>
        <v>1404.48</v>
      </c>
      <c r="Z509" s="36">
        <f>IFERROR(IF(Y509=0,"",ROUNDUP(Y509/H509,0)*0.01196),"")</f>
        <v>3.1813600000000002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1496.0018939393938</v>
      </c>
      <c r="BN509" s="64">
        <f>IFERROR(Y509*I509/H509,"0")</f>
        <v>1497.58</v>
      </c>
      <c r="BO509" s="64">
        <f>IFERROR(1/J509*(X509/H509),"0")</f>
        <v>2.5549970862470861</v>
      </c>
      <c r="BP509" s="64">
        <f>IFERROR(1/J509*(Y509/H509),"0")</f>
        <v>2.5576923076923079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5">
        <v>4680115886407</v>
      </c>
      <c r="E510" s="636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47"/>
      <c r="R510" s="647"/>
      <c r="S510" s="647"/>
      <c r="T510" s="648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5">
        <v>4680115880054</v>
      </c>
      <c r="E511" s="636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47"/>
      <c r="R511" s="647"/>
      <c r="S511" s="647"/>
      <c r="T511" s="648"/>
      <c r="U511" s="34"/>
      <c r="V511" s="34"/>
      <c r="W511" s="35" t="s">
        <v>66</v>
      </c>
      <c r="X511" s="629">
        <v>98</v>
      </c>
      <c r="Y511" s="630">
        <f>IFERROR(IF(X511="",0,CEILING((X511/$H511),1)*$H511),"")</f>
        <v>100.8</v>
      </c>
      <c r="Z511" s="36">
        <f>IFERROR(IF(Y511=0,"",ROUNDUP(Y511/H511,0)*0.00902),"")</f>
        <v>0.18942000000000001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141.07916666666668</v>
      </c>
      <c r="BN511" s="64">
        <f>IFERROR(Y511*I511/H511,"0")</f>
        <v>145.11000000000001</v>
      </c>
      <c r="BO511" s="64">
        <f>IFERROR(1/J511*(X511/H511),"0")</f>
        <v>0.15467171717171718</v>
      </c>
      <c r="BP511" s="64">
        <f>IFERROR(1/J511*(Y511/H511),"0")</f>
        <v>0.15909090909090909</v>
      </c>
    </row>
    <row r="512" spans="1:68" x14ac:dyDescent="0.2">
      <c r="A512" s="643"/>
      <c r="B512" s="644"/>
      <c r="C512" s="644"/>
      <c r="D512" s="644"/>
      <c r="E512" s="644"/>
      <c r="F512" s="644"/>
      <c r="G512" s="644"/>
      <c r="H512" s="644"/>
      <c r="I512" s="644"/>
      <c r="J512" s="644"/>
      <c r="K512" s="644"/>
      <c r="L512" s="644"/>
      <c r="M512" s="644"/>
      <c r="N512" s="644"/>
      <c r="O512" s="645"/>
      <c r="P512" s="637" t="s">
        <v>71</v>
      </c>
      <c r="Q512" s="638"/>
      <c r="R512" s="638"/>
      <c r="S512" s="638"/>
      <c r="T512" s="638"/>
      <c r="U512" s="638"/>
      <c r="V512" s="639"/>
      <c r="W512" s="37" t="s">
        <v>72</v>
      </c>
      <c r="X512" s="631">
        <f>IFERROR(X509/H509,"0")+IFERROR(X510/H510,"0")+IFERROR(X511/H511,"0")</f>
        <v>286.13636363636363</v>
      </c>
      <c r="Y512" s="631">
        <f>IFERROR(Y509/H509,"0")+IFERROR(Y510/H510,"0")+IFERROR(Y511/H511,"0")</f>
        <v>287</v>
      </c>
      <c r="Z512" s="631">
        <f>IFERROR(IF(Z509="",0,Z509),"0")+IFERROR(IF(Z510="",0,Z510),"0")+IFERROR(IF(Z511="",0,Z511),"0")</f>
        <v>3.3707800000000003</v>
      </c>
      <c r="AA512" s="632"/>
      <c r="AB512" s="632"/>
      <c r="AC512" s="632"/>
    </row>
    <row r="513" spans="1:68" x14ac:dyDescent="0.2">
      <c r="A513" s="644"/>
      <c r="B513" s="644"/>
      <c r="C513" s="644"/>
      <c r="D513" s="644"/>
      <c r="E513" s="644"/>
      <c r="F513" s="644"/>
      <c r="G513" s="644"/>
      <c r="H513" s="644"/>
      <c r="I513" s="644"/>
      <c r="J513" s="644"/>
      <c r="K513" s="644"/>
      <c r="L513" s="644"/>
      <c r="M513" s="644"/>
      <c r="N513" s="644"/>
      <c r="O513" s="645"/>
      <c r="P513" s="637" t="s">
        <v>71</v>
      </c>
      <c r="Q513" s="638"/>
      <c r="R513" s="638"/>
      <c r="S513" s="638"/>
      <c r="T513" s="638"/>
      <c r="U513" s="638"/>
      <c r="V513" s="639"/>
      <c r="W513" s="37" t="s">
        <v>66</v>
      </c>
      <c r="X513" s="631">
        <f>IFERROR(SUM(X509:X511),"0")</f>
        <v>1501</v>
      </c>
      <c r="Y513" s="631">
        <f>IFERROR(SUM(Y509:Y511),"0")</f>
        <v>1505.28</v>
      </c>
      <c r="Z513" s="37"/>
      <c r="AA513" s="632"/>
      <c r="AB513" s="632"/>
      <c r="AC513" s="632"/>
    </row>
    <row r="514" spans="1:68" ht="14.25" customHeight="1" x14ac:dyDescent="0.25">
      <c r="A514" s="661" t="s">
        <v>61</v>
      </c>
      <c r="B514" s="644"/>
      <c r="C514" s="644"/>
      <c r="D514" s="644"/>
      <c r="E514" s="644"/>
      <c r="F514" s="644"/>
      <c r="G514" s="644"/>
      <c r="H514" s="644"/>
      <c r="I514" s="644"/>
      <c r="J514" s="644"/>
      <c r="K514" s="644"/>
      <c r="L514" s="644"/>
      <c r="M514" s="644"/>
      <c r="N514" s="644"/>
      <c r="O514" s="644"/>
      <c r="P514" s="644"/>
      <c r="Q514" s="644"/>
      <c r="R514" s="644"/>
      <c r="S514" s="644"/>
      <c r="T514" s="644"/>
      <c r="U514" s="644"/>
      <c r="V514" s="644"/>
      <c r="W514" s="644"/>
      <c r="X514" s="644"/>
      <c r="Y514" s="644"/>
      <c r="Z514" s="644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5">
        <v>4680115883116</v>
      </c>
      <c r="E515" s="636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47"/>
      <c r="R515" s="647"/>
      <c r="S515" s="647"/>
      <c r="T515" s="648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5">
        <v>4680115883093</v>
      </c>
      <c r="E516" s="636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47"/>
      <c r="R516" s="647"/>
      <c r="S516" s="647"/>
      <c r="T516" s="648"/>
      <c r="U516" s="34"/>
      <c r="V516" s="34"/>
      <c r="W516" s="35" t="s">
        <v>66</v>
      </c>
      <c r="X516" s="629">
        <v>589</v>
      </c>
      <c r="Y516" s="630">
        <f t="shared" si="75"/>
        <v>591.36</v>
      </c>
      <c r="Z516" s="36">
        <f>IFERROR(IF(Y516=0,"",ROUNDUP(Y516/H516,0)*0.01196),"")</f>
        <v>1.33952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628.04356060606062</v>
      </c>
      <c r="BN516" s="64">
        <f t="shared" si="77"/>
        <v>630.55999999999995</v>
      </c>
      <c r="BO516" s="64">
        <f t="shared" si="78"/>
        <v>1.0726252913752914</v>
      </c>
      <c r="BP516" s="64">
        <f t="shared" si="79"/>
        <v>1.0769230769230771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5">
        <v>4680115883109</v>
      </c>
      <c r="E517" s="636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47"/>
      <c r="R517" s="647"/>
      <c r="S517" s="647"/>
      <c r="T517" s="648"/>
      <c r="U517" s="34"/>
      <c r="V517" s="34"/>
      <c r="W517" s="35" t="s">
        <v>66</v>
      </c>
      <c r="X517" s="629">
        <v>1146</v>
      </c>
      <c r="Y517" s="630">
        <f t="shared" si="75"/>
        <v>1151.04</v>
      </c>
      <c r="Z517" s="36">
        <f>IFERROR(IF(Y517=0,"",ROUNDUP(Y517/H517,0)*0.01196),"")</f>
        <v>2.6072799999999998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1221.965909090909</v>
      </c>
      <c r="BN517" s="64">
        <f t="shared" si="77"/>
        <v>1227.3399999999999</v>
      </c>
      <c r="BO517" s="64">
        <f t="shared" si="78"/>
        <v>2.0869755244755246</v>
      </c>
      <c r="BP517" s="64">
        <f t="shared" si="79"/>
        <v>2.0961538461538458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5">
        <v>4680115882072</v>
      </c>
      <c r="E518" s="636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9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47"/>
      <c r="R518" s="647"/>
      <c r="S518" s="647"/>
      <c r="T518" s="648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5">
        <v>4680115882102</v>
      </c>
      <c r="E519" s="636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7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47"/>
      <c r="R519" s="647"/>
      <c r="S519" s="647"/>
      <c r="T519" s="648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5">
        <v>4680115882102</v>
      </c>
      <c r="E520" s="636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47"/>
      <c r="R520" s="647"/>
      <c r="S520" s="647"/>
      <c r="T520" s="648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5">
        <v>4680115882096</v>
      </c>
      <c r="E521" s="636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9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47"/>
      <c r="R521" s="647"/>
      <c r="S521" s="647"/>
      <c r="T521" s="648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3"/>
      <c r="B522" s="644"/>
      <c r="C522" s="644"/>
      <c r="D522" s="644"/>
      <c r="E522" s="644"/>
      <c r="F522" s="644"/>
      <c r="G522" s="644"/>
      <c r="H522" s="644"/>
      <c r="I522" s="644"/>
      <c r="J522" s="644"/>
      <c r="K522" s="644"/>
      <c r="L522" s="644"/>
      <c r="M522" s="644"/>
      <c r="N522" s="644"/>
      <c r="O522" s="645"/>
      <c r="P522" s="637" t="s">
        <v>71</v>
      </c>
      <c r="Q522" s="638"/>
      <c r="R522" s="638"/>
      <c r="S522" s="638"/>
      <c r="T522" s="638"/>
      <c r="U522" s="638"/>
      <c r="V522" s="639"/>
      <c r="W522" s="37" t="s">
        <v>72</v>
      </c>
      <c r="X522" s="631">
        <f>IFERROR(X515/H515,"0")+IFERROR(X516/H516,"0")+IFERROR(X517/H517,"0")+IFERROR(X518/H518,"0")+IFERROR(X519/H519,"0")+IFERROR(X520/H520,"0")+IFERROR(X521/H521,"0")</f>
        <v>328.59848484848482</v>
      </c>
      <c r="Y522" s="631">
        <f>IFERROR(Y515/H515,"0")+IFERROR(Y516/H516,"0")+IFERROR(Y517/H517,"0")+IFERROR(Y518/H518,"0")+IFERROR(Y519/H519,"0")+IFERROR(Y520/H520,"0")+IFERROR(Y521/H521,"0")</f>
        <v>330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3.9467999999999996</v>
      </c>
      <c r="AA522" s="632"/>
      <c r="AB522" s="632"/>
      <c r="AC522" s="632"/>
    </row>
    <row r="523" spans="1:68" x14ac:dyDescent="0.2">
      <c r="A523" s="644"/>
      <c r="B523" s="644"/>
      <c r="C523" s="644"/>
      <c r="D523" s="644"/>
      <c r="E523" s="644"/>
      <c r="F523" s="644"/>
      <c r="G523" s="644"/>
      <c r="H523" s="644"/>
      <c r="I523" s="644"/>
      <c r="J523" s="644"/>
      <c r="K523" s="644"/>
      <c r="L523" s="644"/>
      <c r="M523" s="644"/>
      <c r="N523" s="644"/>
      <c r="O523" s="645"/>
      <c r="P523" s="637" t="s">
        <v>71</v>
      </c>
      <c r="Q523" s="638"/>
      <c r="R523" s="638"/>
      <c r="S523" s="638"/>
      <c r="T523" s="638"/>
      <c r="U523" s="638"/>
      <c r="V523" s="639"/>
      <c r="W523" s="37" t="s">
        <v>66</v>
      </c>
      <c r="X523" s="631">
        <f>IFERROR(SUM(X515:X521),"0")</f>
        <v>1735</v>
      </c>
      <c r="Y523" s="631">
        <f>IFERROR(SUM(Y515:Y521),"0")</f>
        <v>1742.4</v>
      </c>
      <c r="Z523" s="37"/>
      <c r="AA523" s="632"/>
      <c r="AB523" s="632"/>
      <c r="AC523" s="632"/>
    </row>
    <row r="524" spans="1:68" ht="27.75" customHeight="1" x14ac:dyDescent="0.2">
      <c r="A524" s="708" t="s">
        <v>830</v>
      </c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  <c r="M524" s="709"/>
      <c r="N524" s="709"/>
      <c r="O524" s="709"/>
      <c r="P524" s="709"/>
      <c r="Q524" s="709"/>
      <c r="R524" s="709"/>
      <c r="S524" s="709"/>
      <c r="T524" s="709"/>
      <c r="U524" s="709"/>
      <c r="V524" s="709"/>
      <c r="W524" s="709"/>
      <c r="X524" s="709"/>
      <c r="Y524" s="709"/>
      <c r="Z524" s="709"/>
      <c r="AA524" s="48"/>
      <c r="AB524" s="48"/>
      <c r="AC524" s="48"/>
    </row>
    <row r="525" spans="1:68" ht="16.5" customHeight="1" x14ac:dyDescent="0.25">
      <c r="A525" s="664" t="s">
        <v>830</v>
      </c>
      <c r="B525" s="644"/>
      <c r="C525" s="644"/>
      <c r="D525" s="644"/>
      <c r="E525" s="644"/>
      <c r="F525" s="644"/>
      <c r="G525" s="644"/>
      <c r="H525" s="644"/>
      <c r="I525" s="644"/>
      <c r="J525" s="644"/>
      <c r="K525" s="644"/>
      <c r="L525" s="644"/>
      <c r="M525" s="644"/>
      <c r="N525" s="644"/>
      <c r="O525" s="644"/>
      <c r="P525" s="644"/>
      <c r="Q525" s="644"/>
      <c r="R525" s="644"/>
      <c r="S525" s="644"/>
      <c r="T525" s="644"/>
      <c r="U525" s="644"/>
      <c r="V525" s="644"/>
      <c r="W525" s="644"/>
      <c r="X525" s="644"/>
      <c r="Y525" s="644"/>
      <c r="Z525" s="644"/>
      <c r="AA525" s="624"/>
      <c r="AB525" s="624"/>
      <c r="AC525" s="624"/>
    </row>
    <row r="526" spans="1:68" ht="14.25" customHeight="1" x14ac:dyDescent="0.25">
      <c r="A526" s="661" t="s">
        <v>112</v>
      </c>
      <c r="B526" s="644"/>
      <c r="C526" s="644"/>
      <c r="D526" s="644"/>
      <c r="E526" s="644"/>
      <c r="F526" s="644"/>
      <c r="G526" s="644"/>
      <c r="H526" s="644"/>
      <c r="I526" s="644"/>
      <c r="J526" s="644"/>
      <c r="K526" s="644"/>
      <c r="L526" s="644"/>
      <c r="M526" s="644"/>
      <c r="N526" s="644"/>
      <c r="O526" s="644"/>
      <c r="P526" s="644"/>
      <c r="Q526" s="644"/>
      <c r="R526" s="644"/>
      <c r="S526" s="644"/>
      <c r="T526" s="644"/>
      <c r="U526" s="644"/>
      <c r="V526" s="644"/>
      <c r="W526" s="644"/>
      <c r="X526" s="644"/>
      <c r="Y526" s="644"/>
      <c r="Z526" s="644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5">
        <v>4640242180564</v>
      </c>
      <c r="E527" s="636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47"/>
      <c r="R527" s="647"/>
      <c r="S527" s="647"/>
      <c r="T527" s="648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3"/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5"/>
      <c r="P528" s="637" t="s">
        <v>71</v>
      </c>
      <c r="Q528" s="638"/>
      <c r="R528" s="638"/>
      <c r="S528" s="638"/>
      <c r="T528" s="638"/>
      <c r="U528" s="638"/>
      <c r="V528" s="639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4"/>
      <c r="B529" s="644"/>
      <c r="C529" s="644"/>
      <c r="D529" s="644"/>
      <c r="E529" s="644"/>
      <c r="F529" s="644"/>
      <c r="G529" s="644"/>
      <c r="H529" s="644"/>
      <c r="I529" s="644"/>
      <c r="J529" s="644"/>
      <c r="K529" s="644"/>
      <c r="L529" s="644"/>
      <c r="M529" s="644"/>
      <c r="N529" s="644"/>
      <c r="O529" s="645"/>
      <c r="P529" s="637" t="s">
        <v>71</v>
      </c>
      <c r="Q529" s="638"/>
      <c r="R529" s="638"/>
      <c r="S529" s="638"/>
      <c r="T529" s="638"/>
      <c r="U529" s="638"/>
      <c r="V529" s="639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61" t="s">
        <v>145</v>
      </c>
      <c r="B530" s="644"/>
      <c r="C530" s="644"/>
      <c r="D530" s="644"/>
      <c r="E530" s="644"/>
      <c r="F530" s="644"/>
      <c r="G530" s="644"/>
      <c r="H530" s="644"/>
      <c r="I530" s="644"/>
      <c r="J530" s="644"/>
      <c r="K530" s="644"/>
      <c r="L530" s="644"/>
      <c r="M530" s="644"/>
      <c r="N530" s="644"/>
      <c r="O530" s="644"/>
      <c r="P530" s="644"/>
      <c r="Q530" s="644"/>
      <c r="R530" s="644"/>
      <c r="S530" s="644"/>
      <c r="T530" s="644"/>
      <c r="U530" s="644"/>
      <c r="V530" s="644"/>
      <c r="W530" s="644"/>
      <c r="X530" s="644"/>
      <c r="Y530" s="644"/>
      <c r="Z530" s="644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5">
        <v>4640242180519</v>
      </c>
      <c r="E531" s="636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9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47"/>
      <c r="R531" s="647"/>
      <c r="S531" s="647"/>
      <c r="T531" s="648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3"/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5"/>
      <c r="P532" s="637" t="s">
        <v>71</v>
      </c>
      <c r="Q532" s="638"/>
      <c r="R532" s="638"/>
      <c r="S532" s="638"/>
      <c r="T532" s="638"/>
      <c r="U532" s="638"/>
      <c r="V532" s="639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4"/>
      <c r="B533" s="644"/>
      <c r="C533" s="644"/>
      <c r="D533" s="644"/>
      <c r="E533" s="644"/>
      <c r="F533" s="644"/>
      <c r="G533" s="644"/>
      <c r="H533" s="644"/>
      <c r="I533" s="644"/>
      <c r="J533" s="644"/>
      <c r="K533" s="644"/>
      <c r="L533" s="644"/>
      <c r="M533" s="644"/>
      <c r="N533" s="644"/>
      <c r="O533" s="645"/>
      <c r="P533" s="637" t="s">
        <v>71</v>
      </c>
      <c r="Q533" s="638"/>
      <c r="R533" s="638"/>
      <c r="S533" s="638"/>
      <c r="T533" s="638"/>
      <c r="U533" s="638"/>
      <c r="V533" s="639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61" t="s">
        <v>61</v>
      </c>
      <c r="B534" s="644"/>
      <c r="C534" s="644"/>
      <c r="D534" s="644"/>
      <c r="E534" s="644"/>
      <c r="F534" s="644"/>
      <c r="G534" s="644"/>
      <c r="H534" s="644"/>
      <c r="I534" s="644"/>
      <c r="J534" s="644"/>
      <c r="K534" s="644"/>
      <c r="L534" s="644"/>
      <c r="M534" s="644"/>
      <c r="N534" s="644"/>
      <c r="O534" s="644"/>
      <c r="P534" s="644"/>
      <c r="Q534" s="644"/>
      <c r="R534" s="644"/>
      <c r="S534" s="644"/>
      <c r="T534" s="644"/>
      <c r="U534" s="644"/>
      <c r="V534" s="644"/>
      <c r="W534" s="644"/>
      <c r="X534" s="644"/>
      <c r="Y534" s="644"/>
      <c r="Z534" s="644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5">
        <v>4640242180595</v>
      </c>
      <c r="E535" s="636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78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47"/>
      <c r="R535" s="647"/>
      <c r="S535" s="647"/>
      <c r="T535" s="648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3"/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5"/>
      <c r="P536" s="637" t="s">
        <v>71</v>
      </c>
      <c r="Q536" s="638"/>
      <c r="R536" s="638"/>
      <c r="S536" s="638"/>
      <c r="T536" s="638"/>
      <c r="U536" s="638"/>
      <c r="V536" s="639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4"/>
      <c r="B537" s="644"/>
      <c r="C537" s="644"/>
      <c r="D537" s="644"/>
      <c r="E537" s="644"/>
      <c r="F537" s="644"/>
      <c r="G537" s="644"/>
      <c r="H537" s="644"/>
      <c r="I537" s="644"/>
      <c r="J537" s="644"/>
      <c r="K537" s="644"/>
      <c r="L537" s="644"/>
      <c r="M537" s="644"/>
      <c r="N537" s="644"/>
      <c r="O537" s="645"/>
      <c r="P537" s="637" t="s">
        <v>71</v>
      </c>
      <c r="Q537" s="638"/>
      <c r="R537" s="638"/>
      <c r="S537" s="638"/>
      <c r="T537" s="638"/>
      <c r="U537" s="638"/>
      <c r="V537" s="639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61" t="s">
        <v>73</v>
      </c>
      <c r="B538" s="644"/>
      <c r="C538" s="644"/>
      <c r="D538" s="644"/>
      <c r="E538" s="644"/>
      <c r="F538" s="644"/>
      <c r="G538" s="644"/>
      <c r="H538" s="644"/>
      <c r="I538" s="644"/>
      <c r="J538" s="644"/>
      <c r="K538" s="644"/>
      <c r="L538" s="644"/>
      <c r="M538" s="644"/>
      <c r="N538" s="644"/>
      <c r="O538" s="644"/>
      <c r="P538" s="644"/>
      <c r="Q538" s="644"/>
      <c r="R538" s="644"/>
      <c r="S538" s="644"/>
      <c r="T538" s="644"/>
      <c r="U538" s="644"/>
      <c r="V538" s="644"/>
      <c r="W538" s="644"/>
      <c r="X538" s="644"/>
      <c r="Y538" s="644"/>
      <c r="Z538" s="644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5">
        <v>4640242180533</v>
      </c>
      <c r="E539" s="636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98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47"/>
      <c r="R539" s="647"/>
      <c r="S539" s="647"/>
      <c r="T539" s="648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x14ac:dyDescent="0.2">
      <c r="A540" s="643"/>
      <c r="B540" s="644"/>
      <c r="C540" s="644"/>
      <c r="D540" s="644"/>
      <c r="E540" s="644"/>
      <c r="F540" s="644"/>
      <c r="G540" s="644"/>
      <c r="H540" s="644"/>
      <c r="I540" s="644"/>
      <c r="J540" s="644"/>
      <c r="K540" s="644"/>
      <c r="L540" s="644"/>
      <c r="M540" s="644"/>
      <c r="N540" s="644"/>
      <c r="O540" s="645"/>
      <c r="P540" s="637" t="s">
        <v>71</v>
      </c>
      <c r="Q540" s="638"/>
      <c r="R540" s="638"/>
      <c r="S540" s="638"/>
      <c r="T540" s="638"/>
      <c r="U540" s="638"/>
      <c r="V540" s="639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x14ac:dyDescent="0.2">
      <c r="A541" s="644"/>
      <c r="B541" s="644"/>
      <c r="C541" s="644"/>
      <c r="D541" s="644"/>
      <c r="E541" s="644"/>
      <c r="F541" s="644"/>
      <c r="G541" s="644"/>
      <c r="H541" s="644"/>
      <c r="I541" s="644"/>
      <c r="J541" s="644"/>
      <c r="K541" s="644"/>
      <c r="L541" s="644"/>
      <c r="M541" s="644"/>
      <c r="N541" s="644"/>
      <c r="O541" s="645"/>
      <c r="P541" s="637" t="s">
        <v>71</v>
      </c>
      <c r="Q541" s="638"/>
      <c r="R541" s="638"/>
      <c r="S541" s="638"/>
      <c r="T541" s="638"/>
      <c r="U541" s="638"/>
      <c r="V541" s="639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customHeight="1" x14ac:dyDescent="0.25">
      <c r="A542" s="661" t="s">
        <v>162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5">
        <v>4640242180120</v>
      </c>
      <c r="E543" s="636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47"/>
      <c r="R543" s="647"/>
      <c r="S543" s="647"/>
      <c r="T543" s="648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5">
        <v>4640242180137</v>
      </c>
      <c r="E544" s="636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47"/>
      <c r="R544" s="647"/>
      <c r="S544" s="647"/>
      <c r="T544" s="648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3"/>
      <c r="B545" s="644"/>
      <c r="C545" s="644"/>
      <c r="D545" s="644"/>
      <c r="E545" s="644"/>
      <c r="F545" s="644"/>
      <c r="G545" s="644"/>
      <c r="H545" s="644"/>
      <c r="I545" s="644"/>
      <c r="J545" s="644"/>
      <c r="K545" s="644"/>
      <c r="L545" s="644"/>
      <c r="M545" s="644"/>
      <c r="N545" s="644"/>
      <c r="O545" s="645"/>
      <c r="P545" s="637" t="s">
        <v>71</v>
      </c>
      <c r="Q545" s="638"/>
      <c r="R545" s="638"/>
      <c r="S545" s="638"/>
      <c r="T545" s="638"/>
      <c r="U545" s="638"/>
      <c r="V545" s="639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4"/>
      <c r="B546" s="644"/>
      <c r="C546" s="644"/>
      <c r="D546" s="644"/>
      <c r="E546" s="644"/>
      <c r="F546" s="644"/>
      <c r="G546" s="644"/>
      <c r="H546" s="644"/>
      <c r="I546" s="644"/>
      <c r="J546" s="644"/>
      <c r="K546" s="644"/>
      <c r="L546" s="644"/>
      <c r="M546" s="644"/>
      <c r="N546" s="644"/>
      <c r="O546" s="645"/>
      <c r="P546" s="637" t="s">
        <v>71</v>
      </c>
      <c r="Q546" s="638"/>
      <c r="R546" s="638"/>
      <c r="S546" s="638"/>
      <c r="T546" s="638"/>
      <c r="U546" s="638"/>
      <c r="V546" s="639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64" t="s">
        <v>849</v>
      </c>
      <c r="B547" s="644"/>
      <c r="C547" s="644"/>
      <c r="D547" s="644"/>
      <c r="E547" s="644"/>
      <c r="F547" s="644"/>
      <c r="G547" s="644"/>
      <c r="H547" s="644"/>
      <c r="I547" s="644"/>
      <c r="J547" s="644"/>
      <c r="K547" s="644"/>
      <c r="L547" s="644"/>
      <c r="M547" s="644"/>
      <c r="N547" s="644"/>
      <c r="O547" s="644"/>
      <c r="P547" s="644"/>
      <c r="Q547" s="644"/>
      <c r="R547" s="644"/>
      <c r="S547" s="644"/>
      <c r="T547" s="644"/>
      <c r="U547" s="644"/>
      <c r="V547" s="644"/>
      <c r="W547" s="644"/>
      <c r="X547" s="644"/>
      <c r="Y547" s="644"/>
      <c r="Z547" s="644"/>
      <c r="AA547" s="624"/>
      <c r="AB547" s="624"/>
      <c r="AC547" s="624"/>
    </row>
    <row r="548" spans="1:68" ht="14.25" customHeight="1" x14ac:dyDescent="0.25">
      <c r="A548" s="661" t="s">
        <v>145</v>
      </c>
      <c r="B548" s="644"/>
      <c r="C548" s="644"/>
      <c r="D548" s="644"/>
      <c r="E548" s="644"/>
      <c r="F548" s="644"/>
      <c r="G548" s="644"/>
      <c r="H548" s="644"/>
      <c r="I548" s="644"/>
      <c r="J548" s="644"/>
      <c r="K548" s="644"/>
      <c r="L548" s="644"/>
      <c r="M548" s="644"/>
      <c r="N548" s="644"/>
      <c r="O548" s="644"/>
      <c r="P548" s="644"/>
      <c r="Q548" s="644"/>
      <c r="R548" s="644"/>
      <c r="S548" s="644"/>
      <c r="T548" s="644"/>
      <c r="U548" s="644"/>
      <c r="V548" s="644"/>
      <c r="W548" s="644"/>
      <c r="X548" s="644"/>
      <c r="Y548" s="644"/>
      <c r="Z548" s="644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5">
        <v>4640242180090</v>
      </c>
      <c r="E549" s="636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9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47"/>
      <c r="R549" s="647"/>
      <c r="S549" s="647"/>
      <c r="T549" s="648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3"/>
      <c r="B550" s="644"/>
      <c r="C550" s="644"/>
      <c r="D550" s="644"/>
      <c r="E550" s="644"/>
      <c r="F550" s="644"/>
      <c r="G550" s="644"/>
      <c r="H550" s="644"/>
      <c r="I550" s="644"/>
      <c r="J550" s="644"/>
      <c r="K550" s="644"/>
      <c r="L550" s="644"/>
      <c r="M550" s="644"/>
      <c r="N550" s="644"/>
      <c r="O550" s="645"/>
      <c r="P550" s="637" t="s">
        <v>71</v>
      </c>
      <c r="Q550" s="638"/>
      <c r="R550" s="638"/>
      <c r="S550" s="638"/>
      <c r="T550" s="638"/>
      <c r="U550" s="638"/>
      <c r="V550" s="639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4"/>
      <c r="B551" s="644"/>
      <c r="C551" s="644"/>
      <c r="D551" s="644"/>
      <c r="E551" s="644"/>
      <c r="F551" s="644"/>
      <c r="G551" s="644"/>
      <c r="H551" s="644"/>
      <c r="I551" s="644"/>
      <c r="J551" s="644"/>
      <c r="K551" s="644"/>
      <c r="L551" s="644"/>
      <c r="M551" s="644"/>
      <c r="N551" s="644"/>
      <c r="O551" s="645"/>
      <c r="P551" s="637" t="s">
        <v>71</v>
      </c>
      <c r="Q551" s="638"/>
      <c r="R551" s="638"/>
      <c r="S551" s="638"/>
      <c r="T551" s="638"/>
      <c r="U551" s="638"/>
      <c r="V551" s="639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881"/>
      <c r="B552" s="644"/>
      <c r="C552" s="644"/>
      <c r="D552" s="644"/>
      <c r="E552" s="644"/>
      <c r="F552" s="644"/>
      <c r="G552" s="644"/>
      <c r="H552" s="644"/>
      <c r="I552" s="644"/>
      <c r="J552" s="644"/>
      <c r="K552" s="644"/>
      <c r="L552" s="644"/>
      <c r="M552" s="644"/>
      <c r="N552" s="644"/>
      <c r="O552" s="845"/>
      <c r="P552" s="726" t="s">
        <v>853</v>
      </c>
      <c r="Q552" s="727"/>
      <c r="R552" s="727"/>
      <c r="S552" s="727"/>
      <c r="T552" s="727"/>
      <c r="U552" s="727"/>
      <c r="V552" s="656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16997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17121.98</v>
      </c>
      <c r="Z552" s="37"/>
      <c r="AA552" s="632"/>
      <c r="AB552" s="632"/>
      <c r="AC552" s="632"/>
    </row>
    <row r="553" spans="1:68" x14ac:dyDescent="0.2">
      <c r="A553" s="644"/>
      <c r="B553" s="644"/>
      <c r="C553" s="644"/>
      <c r="D553" s="644"/>
      <c r="E553" s="644"/>
      <c r="F553" s="644"/>
      <c r="G553" s="644"/>
      <c r="H553" s="644"/>
      <c r="I553" s="644"/>
      <c r="J553" s="644"/>
      <c r="K553" s="644"/>
      <c r="L553" s="644"/>
      <c r="M553" s="644"/>
      <c r="N553" s="644"/>
      <c r="O553" s="845"/>
      <c r="P553" s="726" t="s">
        <v>854</v>
      </c>
      <c r="Q553" s="727"/>
      <c r="R553" s="727"/>
      <c r="S553" s="727"/>
      <c r="T553" s="727"/>
      <c r="U553" s="727"/>
      <c r="V553" s="656"/>
      <c r="W553" s="37" t="s">
        <v>66</v>
      </c>
      <c r="X553" s="631">
        <f>IFERROR(SUM(BM22:BM549),"0")</f>
        <v>18432.470456547362</v>
      </c>
      <c r="Y553" s="631">
        <f>IFERROR(SUM(BN22:BN549),"0")</f>
        <v>18568.653000000006</v>
      </c>
      <c r="Z553" s="37"/>
      <c r="AA553" s="632"/>
      <c r="AB553" s="632"/>
      <c r="AC553" s="632"/>
    </row>
    <row r="554" spans="1:68" x14ac:dyDescent="0.2">
      <c r="A554" s="644"/>
      <c r="B554" s="644"/>
      <c r="C554" s="644"/>
      <c r="D554" s="644"/>
      <c r="E554" s="644"/>
      <c r="F554" s="644"/>
      <c r="G554" s="644"/>
      <c r="H554" s="644"/>
      <c r="I554" s="644"/>
      <c r="J554" s="644"/>
      <c r="K554" s="644"/>
      <c r="L554" s="644"/>
      <c r="M554" s="644"/>
      <c r="N554" s="644"/>
      <c r="O554" s="845"/>
      <c r="P554" s="726" t="s">
        <v>855</v>
      </c>
      <c r="Q554" s="727"/>
      <c r="R554" s="727"/>
      <c r="S554" s="727"/>
      <c r="T554" s="727"/>
      <c r="U554" s="727"/>
      <c r="V554" s="656"/>
      <c r="W554" s="37" t="s">
        <v>856</v>
      </c>
      <c r="X554" s="38">
        <f>ROUNDUP(SUM(BO22:BO549),0)</f>
        <v>34</v>
      </c>
      <c r="Y554" s="38">
        <f>ROUNDUP(SUM(BP22:BP549),0)</f>
        <v>34</v>
      </c>
      <c r="Z554" s="37"/>
      <c r="AA554" s="632"/>
      <c r="AB554" s="632"/>
      <c r="AC554" s="632"/>
    </row>
    <row r="555" spans="1:68" x14ac:dyDescent="0.2">
      <c r="A555" s="644"/>
      <c r="B555" s="644"/>
      <c r="C555" s="644"/>
      <c r="D555" s="644"/>
      <c r="E555" s="644"/>
      <c r="F555" s="644"/>
      <c r="G555" s="644"/>
      <c r="H555" s="644"/>
      <c r="I555" s="644"/>
      <c r="J555" s="644"/>
      <c r="K555" s="644"/>
      <c r="L555" s="644"/>
      <c r="M555" s="644"/>
      <c r="N555" s="644"/>
      <c r="O555" s="845"/>
      <c r="P555" s="726" t="s">
        <v>857</v>
      </c>
      <c r="Q555" s="727"/>
      <c r="R555" s="727"/>
      <c r="S555" s="727"/>
      <c r="T555" s="727"/>
      <c r="U555" s="727"/>
      <c r="V555" s="656"/>
      <c r="W555" s="37" t="s">
        <v>66</v>
      </c>
      <c r="X555" s="631">
        <f>GrossWeightTotal+PalletQtyTotal*25</f>
        <v>19282.470456547362</v>
      </c>
      <c r="Y555" s="631">
        <f>GrossWeightTotalR+PalletQtyTotalR*25</f>
        <v>19418.653000000006</v>
      </c>
      <c r="Z555" s="37"/>
      <c r="AA555" s="632"/>
      <c r="AB555" s="632"/>
      <c r="AC555" s="632"/>
    </row>
    <row r="556" spans="1:68" x14ac:dyDescent="0.2">
      <c r="A556" s="644"/>
      <c r="B556" s="644"/>
      <c r="C556" s="644"/>
      <c r="D556" s="644"/>
      <c r="E556" s="644"/>
      <c r="F556" s="644"/>
      <c r="G556" s="644"/>
      <c r="H556" s="644"/>
      <c r="I556" s="644"/>
      <c r="J556" s="644"/>
      <c r="K556" s="644"/>
      <c r="L556" s="644"/>
      <c r="M556" s="644"/>
      <c r="N556" s="644"/>
      <c r="O556" s="845"/>
      <c r="P556" s="726" t="s">
        <v>858</v>
      </c>
      <c r="Q556" s="727"/>
      <c r="R556" s="727"/>
      <c r="S556" s="727"/>
      <c r="T556" s="727"/>
      <c r="U556" s="727"/>
      <c r="V556" s="656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4019.8690926926224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4052</v>
      </c>
      <c r="Z556" s="37"/>
      <c r="AA556" s="632"/>
      <c r="AB556" s="632"/>
      <c r="AC556" s="632"/>
    </row>
    <row r="557" spans="1:68" ht="14.25" customHeight="1" x14ac:dyDescent="0.2">
      <c r="A557" s="644"/>
      <c r="B557" s="644"/>
      <c r="C557" s="644"/>
      <c r="D557" s="644"/>
      <c r="E557" s="644"/>
      <c r="F557" s="644"/>
      <c r="G557" s="644"/>
      <c r="H557" s="644"/>
      <c r="I557" s="644"/>
      <c r="J557" s="644"/>
      <c r="K557" s="644"/>
      <c r="L557" s="644"/>
      <c r="M557" s="644"/>
      <c r="N557" s="644"/>
      <c r="O557" s="845"/>
      <c r="P557" s="726" t="s">
        <v>859</v>
      </c>
      <c r="Q557" s="727"/>
      <c r="R557" s="727"/>
      <c r="S557" s="727"/>
      <c r="T557" s="727"/>
      <c r="U557" s="727"/>
      <c r="V557" s="656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40.548290000000009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50" t="s">
        <v>110</v>
      </c>
      <c r="E559" s="790"/>
      <c r="F559" s="790"/>
      <c r="G559" s="790"/>
      <c r="H559" s="790"/>
      <c r="I559" s="790"/>
      <c r="J559" s="754"/>
      <c r="K559" s="650" t="s">
        <v>338</v>
      </c>
      <c r="L559" s="790"/>
      <c r="M559" s="790"/>
      <c r="N559" s="790"/>
      <c r="O559" s="790"/>
      <c r="P559" s="790"/>
      <c r="Q559" s="790"/>
      <c r="R559" s="790"/>
      <c r="S559" s="790"/>
      <c r="T559" s="790"/>
      <c r="U559" s="790"/>
      <c r="V559" s="754"/>
      <c r="W559" s="650" t="s">
        <v>681</v>
      </c>
      <c r="X559" s="754"/>
      <c r="Y559" s="650" t="s">
        <v>747</v>
      </c>
      <c r="Z559" s="754"/>
      <c r="AA559" s="626" t="s">
        <v>783</v>
      </c>
      <c r="AB559" s="650" t="s">
        <v>830</v>
      </c>
      <c r="AC559" s="754"/>
      <c r="AF559" s="627"/>
    </row>
    <row r="560" spans="1:68" ht="14.25" customHeight="1" thickTop="1" x14ac:dyDescent="0.2">
      <c r="A560" s="933" t="s">
        <v>862</v>
      </c>
      <c r="B560" s="650" t="s">
        <v>60</v>
      </c>
      <c r="C560" s="650" t="s">
        <v>92</v>
      </c>
      <c r="D560" s="650" t="s">
        <v>111</v>
      </c>
      <c r="E560" s="650" t="s">
        <v>127</v>
      </c>
      <c r="F560" s="650" t="s">
        <v>169</v>
      </c>
      <c r="G560" s="650" t="s">
        <v>190</v>
      </c>
      <c r="H560" s="650" t="s">
        <v>230</v>
      </c>
      <c r="I560" s="650" t="s">
        <v>254</v>
      </c>
      <c r="J560" s="650" t="s">
        <v>110</v>
      </c>
      <c r="K560" s="650" t="s">
        <v>339</v>
      </c>
      <c r="L560" s="650" t="s">
        <v>360</v>
      </c>
      <c r="M560" s="650" t="s">
        <v>427</v>
      </c>
      <c r="N560" s="627"/>
      <c r="O560" s="650" t="s">
        <v>495</v>
      </c>
      <c r="P560" s="650" t="s">
        <v>528</v>
      </c>
      <c r="Q560" s="650" t="s">
        <v>544</v>
      </c>
      <c r="R560" s="650" t="s">
        <v>553</v>
      </c>
      <c r="S560" s="650" t="s">
        <v>574</v>
      </c>
      <c r="T560" s="650" t="s">
        <v>583</v>
      </c>
      <c r="U560" s="650" t="s">
        <v>664</v>
      </c>
      <c r="V560" s="650" t="s">
        <v>671</v>
      </c>
      <c r="W560" s="650" t="s">
        <v>682</v>
      </c>
      <c r="X560" s="650" t="s">
        <v>731</v>
      </c>
      <c r="Y560" s="650" t="s">
        <v>748</v>
      </c>
      <c r="Z560" s="650" t="s">
        <v>771</v>
      </c>
      <c r="AA560" s="650" t="s">
        <v>783</v>
      </c>
      <c r="AB560" s="650" t="s">
        <v>830</v>
      </c>
      <c r="AC560" s="650" t="s">
        <v>849</v>
      </c>
      <c r="AF560" s="627"/>
    </row>
    <row r="561" spans="1:32" ht="13.5" customHeight="1" thickBot="1" x14ac:dyDescent="0.25">
      <c r="A561" s="934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27"/>
      <c r="O561" s="651"/>
      <c r="P561" s="651"/>
      <c r="Q561" s="651"/>
      <c r="R561" s="651"/>
      <c r="S561" s="651"/>
      <c r="T561" s="651"/>
      <c r="U561" s="651"/>
      <c r="V561" s="651"/>
      <c r="W561" s="651"/>
      <c r="X561" s="651"/>
      <c r="Y561" s="651"/>
      <c r="Z561" s="651"/>
      <c r="AA561" s="651"/>
      <c r="AB561" s="651"/>
      <c r="AC561" s="651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3.6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33.300000000000004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364.40000000000003</v>
      </c>
      <c r="F562" s="46">
        <f>IFERROR(Y83*1,"0")+IFERROR(Y84*1,"0")+IFERROR(Y85*1,"0")+IFERROR(Y86*1,"0")+IFERROR(Y90*1,"0")+IFERROR(Y91*1,"0")+IFERROR(Y92*1,"0")+IFERROR(Y93*1,"0")</f>
        <v>941.5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2454.52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684.42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551.44000000000005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2351.1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5.4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81.599999999999994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2712.3</v>
      </c>
      <c r="U562" s="46">
        <f>IFERROR(Y410*1,"0")+IFERROR(Y411*1,"0")</f>
        <v>0</v>
      </c>
      <c r="V562" s="46">
        <f>IFERROR(Y416*1,"0")+IFERROR(Y417*1,"0")+IFERROR(Y418*1,"0")</f>
        <v>54.600000000000009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630</v>
      </c>
      <c r="X562" s="46">
        <f>IFERROR(Y453*1,"0")+IFERROR(Y454*1,"0")+IFERROR(Y458*1,"0")+IFERROR(Y462*1,"0")+IFERROR(Y463*1,"0")+IFERROR(Y464*1,"0")</f>
        <v>2286.6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3967.2000000000003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D298:E298"/>
    <mergeCell ref="D181:E181"/>
    <mergeCell ref="P91:T91"/>
    <mergeCell ref="A351:Z351"/>
    <mergeCell ref="P252:V252"/>
    <mergeCell ref="P324:T324"/>
    <mergeCell ref="A82:Z82"/>
    <mergeCell ref="A126:Z126"/>
    <mergeCell ref="A218:Z218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D42:E42"/>
    <mergeCell ref="P363:T363"/>
    <mergeCell ref="A35:Z35"/>
    <mergeCell ref="P370:T370"/>
    <mergeCell ref="F17:F18"/>
    <mergeCell ref="D276:E276"/>
    <mergeCell ref="A107:Z107"/>
    <mergeCell ref="D341:E341"/>
    <mergeCell ref="D170:E170"/>
    <mergeCell ref="P93:T93"/>
    <mergeCell ref="P132:V132"/>
    <mergeCell ref="P72:T72"/>
    <mergeCell ref="A124:O12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2026-08-21T09:46:29Z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