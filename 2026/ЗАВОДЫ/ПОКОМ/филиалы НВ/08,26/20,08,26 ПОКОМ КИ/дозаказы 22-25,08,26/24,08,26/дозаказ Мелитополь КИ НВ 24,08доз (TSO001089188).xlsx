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0890BCB-7A28-4718-8BD7-2F3C60016A5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1" i="1" l="1"/>
  <c r="X550" i="1"/>
  <c r="BO549" i="1"/>
  <c r="BM549" i="1"/>
  <c r="Y549" i="1"/>
  <c r="P549" i="1"/>
  <c r="X546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Y481" i="1" s="1"/>
  <c r="P479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X466" i="1"/>
  <c r="X465" i="1"/>
  <c r="BO464" i="1"/>
  <c r="BM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X450" i="1"/>
  <c r="X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X364" i="1"/>
  <c r="BO363" i="1"/>
  <c r="BM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BO359" i="1"/>
  <c r="BM359" i="1"/>
  <c r="Y359" i="1"/>
  <c r="P359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Z347" i="1"/>
  <c r="Y347" i="1"/>
  <c r="P347" i="1"/>
  <c r="BO346" i="1"/>
  <c r="BM346" i="1"/>
  <c r="Y346" i="1"/>
  <c r="Y348" i="1" s="1"/>
  <c r="P346" i="1"/>
  <c r="X344" i="1"/>
  <c r="X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BP332" i="1" s="1"/>
  <c r="P332" i="1"/>
  <c r="BO331" i="1"/>
  <c r="BM331" i="1"/>
  <c r="Y331" i="1"/>
  <c r="P331" i="1"/>
  <c r="X328" i="1"/>
  <c r="X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P291" i="1"/>
  <c r="X289" i="1"/>
  <c r="X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N280" i="1"/>
  <c r="BM280" i="1"/>
  <c r="Z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Y241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X217" i="1"/>
  <c r="Y216" i="1"/>
  <c r="X216" i="1"/>
  <c r="BP215" i="1"/>
  <c r="BO215" i="1"/>
  <c r="BN215" i="1"/>
  <c r="BM215" i="1"/>
  <c r="Z215" i="1"/>
  <c r="Z216" i="1" s="1"/>
  <c r="Y215" i="1"/>
  <c r="P215" i="1"/>
  <c r="X212" i="1"/>
  <c r="X211" i="1"/>
  <c r="BO210" i="1"/>
  <c r="BM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6" i="1"/>
  <c r="Y195" i="1"/>
  <c r="X195" i="1"/>
  <c r="BP194" i="1"/>
  <c r="BO194" i="1"/>
  <c r="BN194" i="1"/>
  <c r="BM194" i="1"/>
  <c r="Z194" i="1"/>
  <c r="Z195" i="1" s="1"/>
  <c r="Y194" i="1"/>
  <c r="Y196" i="1" s="1"/>
  <c r="P194" i="1"/>
  <c r="X192" i="1"/>
  <c r="X191" i="1"/>
  <c r="BO190" i="1"/>
  <c r="BM190" i="1"/>
  <c r="Y190" i="1"/>
  <c r="BP190" i="1" s="1"/>
  <c r="P190" i="1"/>
  <c r="BO189" i="1"/>
  <c r="BM189" i="1"/>
  <c r="Y189" i="1"/>
  <c r="BP189" i="1" s="1"/>
  <c r="P189" i="1"/>
  <c r="BP188" i="1"/>
  <c r="BO188" i="1"/>
  <c r="BN188" i="1"/>
  <c r="BM188" i="1"/>
  <c r="Z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Y172" i="1" s="1"/>
  <c r="P169" i="1"/>
  <c r="X167" i="1"/>
  <c r="X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BP130" i="1" s="1"/>
  <c r="P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G562" i="1" s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Y94" i="1" s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BO83" i="1"/>
  <c r="BM83" i="1"/>
  <c r="Y83" i="1"/>
  <c r="F562" i="1" s="1"/>
  <c r="P83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P56" i="1"/>
  <c r="X53" i="1"/>
  <c r="X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BP352" i="1" l="1"/>
  <c r="BN352" i="1"/>
  <c r="Z352" i="1"/>
  <c r="BP363" i="1"/>
  <c r="BN363" i="1"/>
  <c r="Z363" i="1"/>
  <c r="BP373" i="1"/>
  <c r="BN373" i="1"/>
  <c r="Z373" i="1"/>
  <c r="BP391" i="1"/>
  <c r="BN391" i="1"/>
  <c r="Z391" i="1"/>
  <c r="Y407" i="1"/>
  <c r="BP403" i="1"/>
  <c r="BN403" i="1"/>
  <c r="Z403" i="1"/>
  <c r="Z406" i="1" s="1"/>
  <c r="BP427" i="1"/>
  <c r="BN427" i="1"/>
  <c r="Z427" i="1"/>
  <c r="BP437" i="1"/>
  <c r="BN437" i="1"/>
  <c r="Z437" i="1"/>
  <c r="BP441" i="1"/>
  <c r="BN441" i="1"/>
  <c r="Z441" i="1"/>
  <c r="BP464" i="1"/>
  <c r="BN464" i="1"/>
  <c r="Z464" i="1"/>
  <c r="BP480" i="1"/>
  <c r="BN480" i="1"/>
  <c r="Z480" i="1"/>
  <c r="Y487" i="1"/>
  <c r="Y486" i="1"/>
  <c r="BP485" i="1"/>
  <c r="BN485" i="1"/>
  <c r="Z485" i="1"/>
  <c r="Z486" i="1" s="1"/>
  <c r="BP490" i="1"/>
  <c r="BN490" i="1"/>
  <c r="Z490" i="1"/>
  <c r="BP504" i="1"/>
  <c r="BN504" i="1"/>
  <c r="Z504" i="1"/>
  <c r="BP520" i="1"/>
  <c r="BN520" i="1"/>
  <c r="Z520" i="1"/>
  <c r="X553" i="1"/>
  <c r="X556" i="1"/>
  <c r="Z28" i="1"/>
  <c r="BN28" i="1"/>
  <c r="Z38" i="1"/>
  <c r="BN38" i="1"/>
  <c r="Z42" i="1"/>
  <c r="BN42" i="1"/>
  <c r="Z50" i="1"/>
  <c r="BN50" i="1"/>
  <c r="E562" i="1"/>
  <c r="Z59" i="1"/>
  <c r="BN59" i="1"/>
  <c r="Z65" i="1"/>
  <c r="BN65" i="1"/>
  <c r="BP65" i="1"/>
  <c r="Z73" i="1"/>
  <c r="BN73" i="1"/>
  <c r="Y79" i="1"/>
  <c r="Z84" i="1"/>
  <c r="BN84" i="1"/>
  <c r="Z90" i="1"/>
  <c r="BN90" i="1"/>
  <c r="BP90" i="1"/>
  <c r="Z99" i="1"/>
  <c r="BN99" i="1"/>
  <c r="Z103" i="1"/>
  <c r="BN103" i="1"/>
  <c r="Y113" i="1"/>
  <c r="Z111" i="1"/>
  <c r="BN111" i="1"/>
  <c r="Y121" i="1"/>
  <c r="Z119" i="1"/>
  <c r="BN119" i="1"/>
  <c r="Z130" i="1"/>
  <c r="BN130" i="1"/>
  <c r="Y138" i="1"/>
  <c r="Z136" i="1"/>
  <c r="BN136" i="1"/>
  <c r="Y144" i="1"/>
  <c r="Z149" i="1"/>
  <c r="BN149" i="1"/>
  <c r="Z153" i="1"/>
  <c r="BN153" i="1"/>
  <c r="J562" i="1"/>
  <c r="Z170" i="1"/>
  <c r="BN170" i="1"/>
  <c r="Y186" i="1"/>
  <c r="Z176" i="1"/>
  <c r="BN176" i="1"/>
  <c r="Z180" i="1"/>
  <c r="BN180" i="1"/>
  <c r="Z184" i="1"/>
  <c r="BN184" i="1"/>
  <c r="Y192" i="1"/>
  <c r="Z190" i="1"/>
  <c r="BN190" i="1"/>
  <c r="Z206" i="1"/>
  <c r="BN206" i="1"/>
  <c r="Z210" i="1"/>
  <c r="BN210" i="1"/>
  <c r="Y233" i="1"/>
  <c r="Z221" i="1"/>
  <c r="BN221" i="1"/>
  <c r="Z225" i="1"/>
  <c r="BN225" i="1"/>
  <c r="Z229" i="1"/>
  <c r="BN229" i="1"/>
  <c r="Z237" i="1"/>
  <c r="BN237" i="1"/>
  <c r="Z245" i="1"/>
  <c r="BN245" i="1"/>
  <c r="M562" i="1"/>
  <c r="Z260" i="1"/>
  <c r="BN260" i="1"/>
  <c r="BP260" i="1"/>
  <c r="Y274" i="1"/>
  <c r="Z268" i="1"/>
  <c r="BN268" i="1"/>
  <c r="Z272" i="1"/>
  <c r="BN272" i="1"/>
  <c r="Z278" i="1"/>
  <c r="BN278" i="1"/>
  <c r="Z283" i="1"/>
  <c r="BN283" i="1"/>
  <c r="Z287" i="1"/>
  <c r="BN287" i="1"/>
  <c r="Y293" i="1"/>
  <c r="Z298" i="1"/>
  <c r="BN298" i="1"/>
  <c r="Z302" i="1"/>
  <c r="BN302" i="1"/>
  <c r="Z323" i="1"/>
  <c r="BN323" i="1"/>
  <c r="Z332" i="1"/>
  <c r="BN332" i="1"/>
  <c r="R562" i="1"/>
  <c r="Z341" i="1"/>
  <c r="BN341" i="1"/>
  <c r="BP347" i="1"/>
  <c r="BN347" i="1"/>
  <c r="T562" i="1"/>
  <c r="BP359" i="1"/>
  <c r="BN359" i="1"/>
  <c r="Z359" i="1"/>
  <c r="BP369" i="1"/>
  <c r="BN369" i="1"/>
  <c r="Z369" i="1"/>
  <c r="BP379" i="1"/>
  <c r="BN379" i="1"/>
  <c r="Z379" i="1"/>
  <c r="BP397" i="1"/>
  <c r="BN397" i="1"/>
  <c r="Z397" i="1"/>
  <c r="Y406" i="1"/>
  <c r="BP417" i="1"/>
  <c r="BN417" i="1"/>
  <c r="Z417" i="1"/>
  <c r="BP431" i="1"/>
  <c r="BN431" i="1"/>
  <c r="Z431" i="1"/>
  <c r="Y449" i="1"/>
  <c r="BP447" i="1"/>
  <c r="BN447" i="1"/>
  <c r="Z447" i="1"/>
  <c r="BP472" i="1"/>
  <c r="BN472" i="1"/>
  <c r="Z472" i="1"/>
  <c r="BP500" i="1"/>
  <c r="BN500" i="1"/>
  <c r="Z500" i="1"/>
  <c r="BP516" i="1"/>
  <c r="BN516" i="1"/>
  <c r="Z516" i="1"/>
  <c r="AC562" i="1"/>
  <c r="Y550" i="1"/>
  <c r="BP549" i="1"/>
  <c r="BN549" i="1"/>
  <c r="Z549" i="1"/>
  <c r="Z550" i="1" s="1"/>
  <c r="Y375" i="1"/>
  <c r="Y439" i="1"/>
  <c r="Y438" i="1"/>
  <c r="Y43" i="1"/>
  <c r="Y62" i="1"/>
  <c r="Y80" i="1"/>
  <c r="Y87" i="1"/>
  <c r="Y95" i="1"/>
  <c r="Y114" i="1"/>
  <c r="Y145" i="1"/>
  <c r="Y167" i="1"/>
  <c r="Y185" i="1"/>
  <c r="Y191" i="1"/>
  <c r="Y211" i="1"/>
  <c r="Y234" i="1"/>
  <c r="Y242" i="1"/>
  <c r="Y248" i="1"/>
  <c r="Y252" i="1"/>
  <c r="Y257" i="1"/>
  <c r="Y263" i="1"/>
  <c r="Y273" i="1"/>
  <c r="BP282" i="1"/>
  <c r="BN282" i="1"/>
  <c r="Z282" i="1"/>
  <c r="BP286" i="1"/>
  <c r="BN286" i="1"/>
  <c r="Z286" i="1"/>
  <c r="BP299" i="1"/>
  <c r="BN299" i="1"/>
  <c r="Z299" i="1"/>
  <c r="BP303" i="1"/>
  <c r="BN303" i="1"/>
  <c r="Z303" i="1"/>
  <c r="Y305" i="1"/>
  <c r="Y308" i="1"/>
  <c r="BP307" i="1"/>
  <c r="BN307" i="1"/>
  <c r="Z307" i="1"/>
  <c r="Z308" i="1" s="1"/>
  <c r="Y309" i="1"/>
  <c r="Y312" i="1"/>
  <c r="BP311" i="1"/>
  <c r="BN311" i="1"/>
  <c r="Z311" i="1"/>
  <c r="Z312" i="1" s="1"/>
  <c r="Y313" i="1"/>
  <c r="Y318" i="1"/>
  <c r="BP315" i="1"/>
  <c r="BN315" i="1"/>
  <c r="Z315" i="1"/>
  <c r="BP324" i="1"/>
  <c r="BN324" i="1"/>
  <c r="Z324" i="1"/>
  <c r="BP362" i="1"/>
  <c r="BN362" i="1"/>
  <c r="Z362" i="1"/>
  <c r="BP411" i="1"/>
  <c r="BN411" i="1"/>
  <c r="Z411" i="1"/>
  <c r="Z412" i="1" s="1"/>
  <c r="Y413" i="1"/>
  <c r="Y419" i="1"/>
  <c r="BP416" i="1"/>
  <c r="BN416" i="1"/>
  <c r="Z416" i="1"/>
  <c r="V562" i="1"/>
  <c r="Y420" i="1"/>
  <c r="BP426" i="1"/>
  <c r="BN426" i="1"/>
  <c r="Z426" i="1"/>
  <c r="BP430" i="1"/>
  <c r="BN430" i="1"/>
  <c r="Z430" i="1"/>
  <c r="BP463" i="1"/>
  <c r="BN463" i="1"/>
  <c r="Z463" i="1"/>
  <c r="Y465" i="1"/>
  <c r="Y25" i="1"/>
  <c r="Y33" i="1"/>
  <c r="Y53" i="1"/>
  <c r="Y70" i="1"/>
  <c r="Y74" i="1"/>
  <c r="Y106" i="1"/>
  <c r="Y120" i="1"/>
  <c r="Y131" i="1"/>
  <c r="Y139" i="1"/>
  <c r="Y156" i="1"/>
  <c r="Y160" i="1"/>
  <c r="Y171" i="1"/>
  <c r="H9" i="1"/>
  <c r="B562" i="1"/>
  <c r="X554" i="1"/>
  <c r="Z23" i="1"/>
  <c r="Z24" i="1" s="1"/>
  <c r="BN23" i="1"/>
  <c r="Y24" i="1"/>
  <c r="X552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4" i="1"/>
  <c r="D562" i="1"/>
  <c r="Z49" i="1"/>
  <c r="BN49" i="1"/>
  <c r="Z51" i="1"/>
  <c r="BN51" i="1"/>
  <c r="Y52" i="1"/>
  <c r="Z56" i="1"/>
  <c r="BN56" i="1"/>
  <c r="BP56" i="1"/>
  <c r="Z58" i="1"/>
  <c r="BN58" i="1"/>
  <c r="Z60" i="1"/>
  <c r="BN60" i="1"/>
  <c r="Y63" i="1"/>
  <c r="Z66" i="1"/>
  <c r="BN66" i="1"/>
  <c r="Z68" i="1"/>
  <c r="BN68" i="1"/>
  <c r="Z72" i="1"/>
  <c r="BN72" i="1"/>
  <c r="BP72" i="1"/>
  <c r="Z78" i="1"/>
  <c r="Z79" i="1" s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BN116" i="1"/>
  <c r="BP116" i="1"/>
  <c r="Z118" i="1"/>
  <c r="BN118" i="1"/>
  <c r="H562" i="1"/>
  <c r="Z129" i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BN163" i="1"/>
  <c r="BP163" i="1"/>
  <c r="Z165" i="1"/>
  <c r="BN165" i="1"/>
  <c r="Y166" i="1"/>
  <c r="Z169" i="1"/>
  <c r="Z171" i="1" s="1"/>
  <c r="BN169" i="1"/>
  <c r="BP169" i="1"/>
  <c r="Z175" i="1"/>
  <c r="BN175" i="1"/>
  <c r="Z177" i="1"/>
  <c r="BN177" i="1"/>
  <c r="Z179" i="1"/>
  <c r="BN179" i="1"/>
  <c r="Z181" i="1"/>
  <c r="BN181" i="1"/>
  <c r="Z183" i="1"/>
  <c r="BN183" i="1"/>
  <c r="Z189" i="1"/>
  <c r="Z191" i="1" s="1"/>
  <c r="BN189" i="1"/>
  <c r="K562" i="1"/>
  <c r="Z205" i="1"/>
  <c r="BN205" i="1"/>
  <c r="Z207" i="1"/>
  <c r="BN207" i="1"/>
  <c r="Z209" i="1"/>
  <c r="BN209" i="1"/>
  <c r="Y212" i="1"/>
  <c r="L562" i="1"/>
  <c r="Y217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N267" i="1"/>
  <c r="Z269" i="1"/>
  <c r="BN269" i="1"/>
  <c r="Z271" i="1"/>
  <c r="BN271" i="1"/>
  <c r="Y289" i="1"/>
  <c r="Z277" i="1"/>
  <c r="BN277" i="1"/>
  <c r="Z279" i="1"/>
  <c r="BN279" i="1"/>
  <c r="BP284" i="1"/>
  <c r="BN284" i="1"/>
  <c r="Z284" i="1"/>
  <c r="Y288" i="1"/>
  <c r="BP292" i="1"/>
  <c r="BN292" i="1"/>
  <c r="Z292" i="1"/>
  <c r="Z293" i="1" s="1"/>
  <c r="Y294" i="1"/>
  <c r="O562" i="1"/>
  <c r="Y304" i="1"/>
  <c r="BP297" i="1"/>
  <c r="BN297" i="1"/>
  <c r="Z297" i="1"/>
  <c r="BP301" i="1"/>
  <c r="BN301" i="1"/>
  <c r="Z301" i="1"/>
  <c r="BP317" i="1"/>
  <c r="BN317" i="1"/>
  <c r="Z317" i="1"/>
  <c r="Y319" i="1"/>
  <c r="P562" i="1"/>
  <c r="Y327" i="1"/>
  <c r="BP322" i="1"/>
  <c r="BN322" i="1"/>
  <c r="Z322" i="1"/>
  <c r="BP326" i="1"/>
  <c r="BN326" i="1"/>
  <c r="Z326" i="1"/>
  <c r="Y328" i="1"/>
  <c r="Q562" i="1"/>
  <c r="Y334" i="1"/>
  <c r="BP331" i="1"/>
  <c r="BN331" i="1"/>
  <c r="Z331" i="1"/>
  <c r="Y335" i="1"/>
  <c r="BP340" i="1"/>
  <c r="BN340" i="1"/>
  <c r="Z340" i="1"/>
  <c r="BP353" i="1"/>
  <c r="BN353" i="1"/>
  <c r="Z353" i="1"/>
  <c r="Z355" i="1" s="1"/>
  <c r="Y355" i="1"/>
  <c r="BP370" i="1"/>
  <c r="BN370" i="1"/>
  <c r="Z370" i="1"/>
  <c r="Y374" i="1"/>
  <c r="BP378" i="1"/>
  <c r="BN378" i="1"/>
  <c r="Z378" i="1"/>
  <c r="Y382" i="1"/>
  <c r="BP386" i="1"/>
  <c r="BN386" i="1"/>
  <c r="Z386" i="1"/>
  <c r="Y388" i="1"/>
  <c r="Y395" i="1"/>
  <c r="BP390" i="1"/>
  <c r="BN390" i="1"/>
  <c r="Z390" i="1"/>
  <c r="Y394" i="1"/>
  <c r="Z400" i="1"/>
  <c r="BP398" i="1"/>
  <c r="BN398" i="1"/>
  <c r="Z398" i="1"/>
  <c r="Y400" i="1"/>
  <c r="BP442" i="1"/>
  <c r="BN442" i="1"/>
  <c r="Z442" i="1"/>
  <c r="Z444" i="1" s="1"/>
  <c r="Y444" i="1"/>
  <c r="BP473" i="1"/>
  <c r="BN473" i="1"/>
  <c r="Z473" i="1"/>
  <c r="BP491" i="1"/>
  <c r="BN491" i="1"/>
  <c r="Z491" i="1"/>
  <c r="Y493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Y513" i="1"/>
  <c r="BP517" i="1"/>
  <c r="BN517" i="1"/>
  <c r="Z517" i="1"/>
  <c r="BP521" i="1"/>
  <c r="BN521" i="1"/>
  <c r="Z521" i="1"/>
  <c r="Y523" i="1"/>
  <c r="Y528" i="1"/>
  <c r="BP527" i="1"/>
  <c r="BN527" i="1"/>
  <c r="Z527" i="1"/>
  <c r="Z528" i="1" s="1"/>
  <c r="AB562" i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45" i="1"/>
  <c r="Z562" i="1"/>
  <c r="BP333" i="1"/>
  <c r="BN333" i="1"/>
  <c r="Z333" i="1"/>
  <c r="Y343" i="1"/>
  <c r="BP338" i="1"/>
  <c r="BN338" i="1"/>
  <c r="Z338" i="1"/>
  <c r="BP342" i="1"/>
  <c r="BN342" i="1"/>
  <c r="Z342" i="1"/>
  <c r="Y344" i="1"/>
  <c r="Y349" i="1"/>
  <c r="BP346" i="1"/>
  <c r="BN346" i="1"/>
  <c r="Z346" i="1"/>
  <c r="Z348" i="1" s="1"/>
  <c r="Z364" i="1"/>
  <c r="BP360" i="1"/>
  <c r="BN360" i="1"/>
  <c r="Z360" i="1"/>
  <c r="Y364" i="1"/>
  <c r="BP368" i="1"/>
  <c r="BN368" i="1"/>
  <c r="Z368" i="1"/>
  <c r="BP372" i="1"/>
  <c r="BN372" i="1"/>
  <c r="Z372" i="1"/>
  <c r="Y381" i="1"/>
  <c r="BP380" i="1"/>
  <c r="BN380" i="1"/>
  <c r="Z380" i="1"/>
  <c r="Z381" i="1" s="1"/>
  <c r="Y387" i="1"/>
  <c r="BP384" i="1"/>
  <c r="BN384" i="1"/>
  <c r="Z384" i="1"/>
  <c r="Z387" i="1" s="1"/>
  <c r="BP392" i="1"/>
  <c r="BN392" i="1"/>
  <c r="Z392" i="1"/>
  <c r="Y401" i="1"/>
  <c r="BP404" i="1"/>
  <c r="BN404" i="1"/>
  <c r="Z404" i="1"/>
  <c r="BP418" i="1"/>
  <c r="BN418" i="1"/>
  <c r="Z418" i="1"/>
  <c r="W562" i="1"/>
  <c r="Y433" i="1"/>
  <c r="BP424" i="1"/>
  <c r="BN424" i="1"/>
  <c r="Z424" i="1"/>
  <c r="BP428" i="1"/>
  <c r="BN428" i="1"/>
  <c r="Z428" i="1"/>
  <c r="Y432" i="1"/>
  <c r="BP436" i="1"/>
  <c r="BN436" i="1"/>
  <c r="Z436" i="1"/>
  <c r="Z438" i="1" s="1"/>
  <c r="Y445" i="1"/>
  <c r="BP448" i="1"/>
  <c r="BN448" i="1"/>
  <c r="Z448" i="1"/>
  <c r="Z449" i="1" s="1"/>
  <c r="Y450" i="1"/>
  <c r="X562" i="1"/>
  <c r="Y456" i="1"/>
  <c r="BP453" i="1"/>
  <c r="BN453" i="1"/>
  <c r="Z453" i="1"/>
  <c r="Z455" i="1" s="1"/>
  <c r="Y466" i="1"/>
  <c r="BP471" i="1"/>
  <c r="BN471" i="1"/>
  <c r="Z471" i="1"/>
  <c r="Z476" i="1" s="1"/>
  <c r="BP475" i="1"/>
  <c r="BN475" i="1"/>
  <c r="Z475" i="1"/>
  <c r="Y477" i="1"/>
  <c r="Y482" i="1"/>
  <c r="BP479" i="1"/>
  <c r="BN479" i="1"/>
  <c r="Z479" i="1"/>
  <c r="Z481" i="1" s="1"/>
  <c r="S562" i="1"/>
  <c r="Y356" i="1"/>
  <c r="Y365" i="1"/>
  <c r="U562" i="1"/>
  <c r="Y412" i="1"/>
  <c r="Y562" i="1"/>
  <c r="Y476" i="1"/>
  <c r="Y492" i="1"/>
  <c r="BP489" i="1"/>
  <c r="BN489" i="1"/>
  <c r="Z489" i="1"/>
  <c r="BP499" i="1"/>
  <c r="BN499" i="1"/>
  <c r="Z499" i="1"/>
  <c r="BP503" i="1"/>
  <c r="BN503" i="1"/>
  <c r="Z503" i="1"/>
  <c r="BP511" i="1"/>
  <c r="BN511" i="1"/>
  <c r="Z511" i="1"/>
  <c r="Y522" i="1"/>
  <c r="BP515" i="1"/>
  <c r="BN515" i="1"/>
  <c r="Z515" i="1"/>
  <c r="BP519" i="1"/>
  <c r="BN519" i="1"/>
  <c r="Z519" i="1"/>
  <c r="Y551" i="1"/>
  <c r="Z288" i="1" l="1"/>
  <c r="Z211" i="1"/>
  <c r="Z138" i="1"/>
  <c r="Z94" i="1"/>
  <c r="Z52" i="1"/>
  <c r="Y554" i="1"/>
  <c r="Z492" i="1"/>
  <c r="Z374" i="1"/>
  <c r="Z334" i="1"/>
  <c r="Z241" i="1"/>
  <c r="Z233" i="1"/>
  <c r="Z185" i="1"/>
  <c r="Z155" i="1"/>
  <c r="Z131" i="1"/>
  <c r="Z120" i="1"/>
  <c r="Z74" i="1"/>
  <c r="Z69" i="1"/>
  <c r="Z62" i="1"/>
  <c r="Z43" i="1"/>
  <c r="Y553" i="1"/>
  <c r="Y555" i="1" s="1"/>
  <c r="X555" i="1"/>
  <c r="Z465" i="1"/>
  <c r="Z506" i="1"/>
  <c r="Z394" i="1"/>
  <c r="Y552" i="1"/>
  <c r="Z522" i="1"/>
  <c r="Z432" i="1"/>
  <c r="Z343" i="1"/>
  <c r="Z512" i="1"/>
  <c r="Z327" i="1"/>
  <c r="Z304" i="1"/>
  <c r="Z273" i="1"/>
  <c r="Z247" i="1"/>
  <c r="Z166" i="1"/>
  <c r="Z144" i="1"/>
  <c r="Z113" i="1"/>
  <c r="Z105" i="1"/>
  <c r="Z87" i="1"/>
  <c r="Z32" i="1"/>
  <c r="Y556" i="1"/>
  <c r="Z419" i="1"/>
  <c r="Z318" i="1"/>
  <c r="Z557" i="1" l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<sst xmlns="http://schemas.openxmlformats.org/spreadsheetml/2006/main" count="2497" uniqueCount="905">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</sst>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2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869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47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6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7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5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62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2" customWidth="1"/>
    <col min="19" max="19" width="6.140625" style="62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2" customWidth="1"/>
    <col min="25" max="25" width="11" style="622" customWidth="1"/>
    <col min="26" max="26" width="10" style="622" customWidth="1"/>
    <col min="27" max="27" width="11.5703125" style="622" customWidth="1"/>
    <col min="28" max="28" width="10.42578125" style="622" customWidth="1"/>
    <col min="29" max="29" width="30" style="62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2" customWidth="1"/>
    <col min="34" max="34" width="9.140625" style="622" customWidth="1"/>
    <col min="35" max="16384" width="9.140625" style="622"/>
  </cols>
  <sheetData>
    <row r="1" spans="1:32" s="626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6" customFormat="1" ht="23.45" customHeight="1" x14ac:dyDescent="0.2">
      <c r="A5" s="767" t="s">
        <v>7</v>
      </c>
      <c r="B5" s="737"/>
      <c r="C5" s="738"/>
      <c r="D5" s="721"/>
      <c r="E5" s="722"/>
      <c r="F5" s="952" t="s">
        <v>8</v>
      </c>
      <c r="G5" s="738"/>
      <c r="H5" s="721"/>
      <c r="I5" s="890"/>
      <c r="J5" s="890"/>
      <c r="K5" s="890"/>
      <c r="L5" s="890"/>
      <c r="M5" s="722"/>
      <c r="N5" s="58"/>
      <c r="P5" s="24" t="s">
        <v>9</v>
      </c>
      <c r="Q5" s="963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6" customFormat="1" ht="24" customHeight="1" x14ac:dyDescent="0.2">
      <c r="A6" s="767" t="s">
        <v>12</v>
      </c>
      <c r="B6" s="737"/>
      <c r="C6" s="738"/>
      <c r="D6" s="893"/>
      <c r="E6" s="894"/>
      <c r="F6" s="894"/>
      <c r="G6" s="894"/>
      <c r="H6" s="894"/>
      <c r="I6" s="894"/>
      <c r="J6" s="894"/>
      <c r="K6" s="894"/>
      <c r="L6" s="894"/>
      <c r="M6" s="765"/>
      <c r="N6" s="59"/>
      <c r="P6" s="24" t="s">
        <v>13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6" t="s">
        <v>15</v>
      </c>
      <c r="W6" s="684"/>
      <c r="AB6" s="51"/>
      <c r="AC6" s="51"/>
      <c r="AD6" s="51"/>
      <c r="AE6" s="51"/>
    </row>
    <row r="7" spans="1:32" s="626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7"/>
      <c r="W7" s="878"/>
      <c r="AB7" s="51"/>
      <c r="AC7" s="51"/>
      <c r="AD7" s="51"/>
      <c r="AE7" s="51"/>
    </row>
    <row r="8" spans="1:32" s="626" customFormat="1" ht="25.5" customHeight="1" x14ac:dyDescent="0.2">
      <c r="A8" s="988" t="s">
        <v>16</v>
      </c>
      <c r="B8" s="647"/>
      <c r="C8" s="648"/>
      <c r="D8" s="703"/>
      <c r="E8" s="704"/>
      <c r="F8" s="704"/>
      <c r="G8" s="704"/>
      <c r="H8" s="704"/>
      <c r="I8" s="704"/>
      <c r="J8" s="704"/>
      <c r="K8" s="704"/>
      <c r="L8" s="704"/>
      <c r="M8" s="705"/>
      <c r="N8" s="61"/>
      <c r="P8" s="24" t="s">
        <v>17</v>
      </c>
      <c r="Q8" s="777">
        <v>0.41666666666666669</v>
      </c>
      <c r="R8" s="693"/>
      <c r="T8" s="643"/>
      <c r="U8" s="790"/>
      <c r="V8" s="877"/>
      <c r="W8" s="878"/>
      <c r="AB8" s="51"/>
      <c r="AC8" s="51"/>
      <c r="AD8" s="51"/>
      <c r="AE8" s="51"/>
    </row>
    <row r="9" spans="1:32" s="626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2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7"/>
      <c r="P9" s="26" t="s">
        <v>18</v>
      </c>
      <c r="Q9" s="761"/>
      <c r="R9" s="762"/>
      <c r="T9" s="643"/>
      <c r="U9" s="790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6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2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69" t="str">
        <f>IFERROR(VLOOKUP($D$10,Proxy,2,FALSE),"")</f>
        <v/>
      </c>
      <c r="I10" s="643"/>
      <c r="J10" s="643"/>
      <c r="K10" s="643"/>
      <c r="L10" s="643"/>
      <c r="M10" s="643"/>
      <c r="N10" s="625"/>
      <c r="P10" s="26" t="s">
        <v>19</v>
      </c>
      <c r="Q10" s="825"/>
      <c r="R10" s="826"/>
      <c r="U10" s="24" t="s">
        <v>20</v>
      </c>
      <c r="V10" s="683" t="s">
        <v>21</v>
      </c>
      <c r="W10" s="684"/>
      <c r="X10" s="44"/>
      <c r="Y10" s="44"/>
      <c r="Z10" s="44"/>
      <c r="AA10" s="44"/>
      <c r="AB10" s="51"/>
      <c r="AC10" s="51"/>
      <c r="AD10" s="51"/>
      <c r="AE10" s="51"/>
    </row>
    <row r="11" spans="1:32" s="626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6" customFormat="1" ht="18.600000000000001" customHeight="1" x14ac:dyDescent="0.2">
      <c r="A12" s="812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7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6" customFormat="1" ht="23.25" customHeight="1" x14ac:dyDescent="0.2">
      <c r="A13" s="812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6" customFormat="1" ht="18.600000000000001" customHeight="1" x14ac:dyDescent="0.2">
      <c r="A14" s="812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6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799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0"/>
      <c r="Q16" s="800"/>
      <c r="R16" s="800"/>
      <c r="S16" s="800"/>
      <c r="T16" s="8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6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85" t="s">
        <v>48</v>
      </c>
      <c r="V17" s="738"/>
      <c r="W17" s="679" t="s">
        <v>49</v>
      </c>
      <c r="X17" s="679" t="s">
        <v>50</v>
      </c>
      <c r="Y17" s="986" t="s">
        <v>51</v>
      </c>
      <c r="Z17" s="888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87"/>
      <c r="Z18" s="889"/>
      <c r="AA18" s="871"/>
      <c r="AB18" s="871"/>
      <c r="AC18" s="871"/>
      <c r="AD18" s="949"/>
      <c r="AE18" s="950"/>
      <c r="AF18" s="951"/>
      <c r="AG18" s="66"/>
      <c r="BD18" s="65"/>
    </row>
    <row r="19" spans="1:68" ht="27.75" hidden="1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hidden="1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3"/>
      <c r="AB20" s="623"/>
      <c r="AC20" s="623"/>
    </row>
    <row r="21" spans="1:68" ht="14.25" hidden="1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4"/>
      <c r="AB21" s="624"/>
      <c r="AC21" s="624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4"/>
      <c r="AB26" s="624"/>
      <c r="AC26" s="624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hidden="1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3"/>
      <c r="AB35" s="623"/>
      <c r="AC35" s="623"/>
    </row>
    <row r="36" spans="1:68" ht="14.25" hidden="1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4"/>
      <c r="AB36" s="624"/>
      <c r="AC36" s="624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hidden="1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3"/>
      <c r="AB46" s="623"/>
      <c r="AC46" s="623"/>
    </row>
    <row r="47" spans="1:68" ht="14.25" hidden="1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4"/>
      <c r="AB47" s="624"/>
      <c r="AC47" s="624"/>
    </row>
    <row r="48" spans="1:68" ht="16.5" hidden="1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idden="1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hidden="1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hidden="1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3"/>
      <c r="AB54" s="623"/>
      <c r="AC54" s="623"/>
    </row>
    <row r="55" spans="1:68" ht="14.25" hidden="1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4"/>
      <c r="AB55" s="624"/>
      <c r="AC55" s="624"/>
    </row>
    <row r="56" spans="1:68" ht="27" hidden="1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idden="1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0</v>
      </c>
      <c r="Y62" s="631">
        <f>IFERROR(Y56/H56,"0")+IFERROR(Y57/H57,"0")+IFERROR(Y58/H58,"0")+IFERROR(Y59/H59,"0")+IFERROR(Y60/H60,"0")+IFERROR(Y61/H61,"0")</f>
        <v>0</v>
      </c>
      <c r="Z62" s="631">
        <f>IFERROR(IF(Z56="",0,Z56),"0")+IFERROR(IF(Z57="",0,Z57),"0")+IFERROR(IF(Z58="",0,Z58),"0")+IFERROR(IF(Z59="",0,Z59),"0")+IFERROR(IF(Z60="",0,Z60),"0")+IFERROR(IF(Z61="",0,Z61),"0")</f>
        <v>0</v>
      </c>
      <c r="AA62" s="632"/>
      <c r="AB62" s="632"/>
      <c r="AC62" s="632"/>
    </row>
    <row r="63" spans="1:68" hidden="1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0</v>
      </c>
      <c r="Y63" s="631">
        <f>IFERROR(SUM(Y56:Y61),"0")</f>
        <v>0</v>
      </c>
      <c r="Z63" s="37"/>
      <c r="AA63" s="632"/>
      <c r="AB63" s="632"/>
      <c r="AC63" s="632"/>
    </row>
    <row r="64" spans="1:68" ht="14.25" hidden="1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4"/>
      <c r="AB64" s="624"/>
      <c r="AC64" s="624"/>
    </row>
    <row r="65" spans="1:68" ht="16.5" hidden="1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4"/>
      <c r="AB71" s="624"/>
      <c r="AC71" s="624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4"/>
      <c r="AB76" s="624"/>
      <c r="AC76" s="624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14.25" hidden="1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4"/>
      <c r="AB82" s="624"/>
      <c r="AC82" s="624"/>
    </row>
    <row r="83" spans="1:68" ht="27" hidden="1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idden="1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0</v>
      </c>
      <c r="Y87" s="631">
        <f>IFERROR(Y83/H83,"0")+IFERROR(Y84/H84,"0")+IFERROR(Y85/H85,"0")+IFERROR(Y86/H86,"0")</f>
        <v>0</v>
      </c>
      <c r="Z87" s="631">
        <f>IFERROR(IF(Z83="",0,Z83),"0")+IFERROR(IF(Z84="",0,Z84),"0")+IFERROR(IF(Z85="",0,Z85),"0")+IFERROR(IF(Z86="",0,Z86),"0")</f>
        <v>0</v>
      </c>
      <c r="AA87" s="632"/>
      <c r="AB87" s="632"/>
      <c r="AC87" s="632"/>
    </row>
    <row r="88" spans="1:68" hidden="1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0</v>
      </c>
      <c r="Y88" s="631">
        <f>IFERROR(SUM(Y83:Y86),"0")</f>
        <v>0</v>
      </c>
      <c r="Z88" s="37"/>
      <c r="AA88" s="632"/>
      <c r="AB88" s="632"/>
      <c r="AC88" s="632"/>
    </row>
    <row r="89" spans="1:68" ht="14.25" hidden="1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4"/>
      <c r="AB89" s="624"/>
      <c r="AC89" s="624"/>
    </row>
    <row r="90" spans="1:68" ht="27" hidden="1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0</v>
      </c>
      <c r="Y90" s="630">
        <f>IFERROR(IF(X90="",0,CEILING((X90/$H90),1)*$H90),"")</f>
        <v>0</v>
      </c>
      <c r="Z90" s="36" t="str">
        <f>IFERROR(IF(Y90=0,"",ROUNDUP(Y90/H90,0)*0.01898),"")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idden="1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0</v>
      </c>
      <c r="Y94" s="631">
        <f>IFERROR(Y90/H90,"0")+IFERROR(Y91/H91,"0")+IFERROR(Y92/H92,"0")+IFERROR(Y93/H93,"0")</f>
        <v>0</v>
      </c>
      <c r="Z94" s="631">
        <f>IFERROR(IF(Z90="",0,Z90),"0")+IFERROR(IF(Z91="",0,Z91),"0")+IFERROR(IF(Z92="",0,Z92),"0")+IFERROR(IF(Z93="",0,Z93),"0")</f>
        <v>0</v>
      </c>
      <c r="AA94" s="632"/>
      <c r="AB94" s="632"/>
      <c r="AC94" s="632"/>
    </row>
    <row r="95" spans="1:68" hidden="1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0</v>
      </c>
      <c r="Y95" s="631">
        <f>IFERROR(SUM(Y90:Y93),"0")</f>
        <v>0</v>
      </c>
      <c r="Z95" s="37"/>
      <c r="AA95" s="632"/>
      <c r="AB95" s="632"/>
      <c r="AC95" s="632"/>
    </row>
    <row r="96" spans="1:68" ht="16.5" hidden="1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3"/>
      <c r="AB96" s="623"/>
      <c r="AC96" s="623"/>
    </row>
    <row r="97" spans="1:68" ht="14.25" hidden="1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4"/>
      <c r="AB97" s="624"/>
      <c r="AC97" s="624"/>
    </row>
    <row r="98" spans="1:68" ht="37.5" hidden="1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0</v>
      </c>
      <c r="Y98" s="630">
        <f t="shared" ref="Y98:Y104" si="11"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0</v>
      </c>
      <c r="BN98" s="64">
        <f t="shared" ref="BN98:BN104" si="13">IFERROR(Y98*I98/H98,"0")</f>
        <v>0</v>
      </c>
      <c r="BO98" s="64">
        <f t="shared" ref="BO98:BO104" si="14">IFERROR(1/J98*(X98/H98),"0")</f>
        <v>0</v>
      </c>
      <c r="BP98" s="64">
        <f t="shared" ref="BP98:BP104" si="15">IFERROR(1/J98*(Y98/H98),"0")</f>
        <v>0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6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idden="1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0</v>
      </c>
      <c r="Y105" s="631">
        <f>IFERROR(Y98/H98,"0")+IFERROR(Y99/H99,"0")+IFERROR(Y100/H100,"0")+IFERROR(Y101/H101,"0")+IFERROR(Y102/H102,"0")+IFERROR(Y103/H103,"0")+IFERROR(Y104/H104,"0")</f>
        <v>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32"/>
      <c r="AB105" s="632"/>
      <c r="AC105" s="632"/>
    </row>
    <row r="106" spans="1:68" hidden="1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0</v>
      </c>
      <c r="Y106" s="631">
        <f>IFERROR(SUM(Y98:Y104),"0")</f>
        <v>0</v>
      </c>
      <c r="Z106" s="37"/>
      <c r="AA106" s="632"/>
      <c r="AB106" s="632"/>
      <c r="AC106" s="632"/>
    </row>
    <row r="107" spans="1:68" ht="14.25" hidden="1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4"/>
      <c r="AB107" s="624"/>
      <c r="AC107" s="624"/>
    </row>
    <row r="108" spans="1:68" ht="27" hidden="1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hidden="1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hidden="1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4"/>
      <c r="AB115" s="624"/>
      <c r="AC115" s="624"/>
    </row>
    <row r="116" spans="1:68" ht="27" hidden="1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0</v>
      </c>
      <c r="Y116" s="63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0</v>
      </c>
      <c r="Y118" s="63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0</v>
      </c>
      <c r="Y120" s="631">
        <f>IFERROR(Y116/H116,"0")+IFERROR(Y117/H117,"0")+IFERROR(Y118/H118,"0")+IFERROR(Y119/H119,"0")</f>
        <v>0</v>
      </c>
      <c r="Z120" s="631">
        <f>IFERROR(IF(Z116="",0,Z116),"0")+IFERROR(IF(Z117="",0,Z117),"0")+IFERROR(IF(Z118="",0,Z118),"0")+IFERROR(IF(Z119="",0,Z119),"0")</f>
        <v>0</v>
      </c>
      <c r="AA120" s="632"/>
      <c r="AB120" s="632"/>
      <c r="AC120" s="632"/>
    </row>
    <row r="121" spans="1:68" hidden="1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0</v>
      </c>
      <c r="Y121" s="631">
        <f>IFERROR(SUM(Y116:Y119),"0")</f>
        <v>0</v>
      </c>
      <c r="Z121" s="37"/>
      <c r="AA121" s="632"/>
      <c r="AB121" s="632"/>
      <c r="AC121" s="632"/>
    </row>
    <row r="122" spans="1:68" ht="14.25" hidden="1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4"/>
      <c r="AB122" s="624"/>
      <c r="AC122" s="624"/>
    </row>
    <row r="123" spans="1:68" ht="16.5" hidden="1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4.25" hidden="1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4"/>
      <c r="AB127" s="624"/>
      <c r="AC127" s="624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4"/>
      <c r="AB133" s="624"/>
      <c r="AC133" s="624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5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4"/>
      <c r="AB140" s="624"/>
      <c r="AC140" s="624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3"/>
      <c r="AB146" s="623"/>
      <c r="AC146" s="623"/>
    </row>
    <row r="147" spans="1:68" ht="14.25" hidden="1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4"/>
      <c r="AB147" s="624"/>
      <c r="AC147" s="624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4"/>
      <c r="AB157" s="624"/>
      <c r="AC157" s="624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3"/>
      <c r="AB161" s="623"/>
      <c r="AC161" s="623"/>
    </row>
    <row r="162" spans="1:68" ht="14.25" hidden="1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4"/>
      <c r="AB162" s="624"/>
      <c r="AC162" s="624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4"/>
      <c r="AB168" s="624"/>
      <c r="AC168" s="624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4"/>
      <c r="AB173" s="624"/>
      <c r="AC173" s="624"/>
    </row>
    <row r="174" spans="1:68" ht="27" hidden="1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0</v>
      </c>
      <c r="Y174" s="630">
        <f t="shared" ref="Y174:Y184" si="22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0</v>
      </c>
      <c r="BN174" s="64">
        <f t="shared" ref="BN174:BN184" si="24">IFERROR(Y174*I174/H174,"0")</f>
        <v>0</v>
      </c>
      <c r="BO174" s="64">
        <f t="shared" ref="BO174:BO184" si="25">IFERROR(1/J174*(X174/H174),"0")</f>
        <v>0</v>
      </c>
      <c r="BP174" s="64">
        <f t="shared" ref="BP174:BP184" si="26">IFERROR(1/J174*(Y174/H174),"0")</f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0</v>
      </c>
      <c r="Y176" s="630">
        <f t="shared" si="22"/>
        <v>0</v>
      </c>
      <c r="Z176" s="36" t="str">
        <f>IFERROR(IF(Y176=0,"",ROUNDUP(Y176/H176,0)*0.00902),"")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0</v>
      </c>
      <c r="BN176" s="64">
        <f t="shared" si="24"/>
        <v>0</v>
      </c>
      <c r="BO176" s="64">
        <f t="shared" si="25"/>
        <v>0</v>
      </c>
      <c r="BP176" s="64">
        <f t="shared" si="26"/>
        <v>0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0</v>
      </c>
      <c r="Y177" s="630">
        <f t="shared" si="22"/>
        <v>0</v>
      </c>
      <c r="Z177" s="36" t="str">
        <f>IFERROR(IF(Y177=0,"",ROUNDUP(Y177/H177,0)*0.00902),"")</f>
        <v/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0</v>
      </c>
      <c r="BN177" s="64">
        <f t="shared" si="24"/>
        <v>0</v>
      </c>
      <c r="BO177" s="64">
        <f t="shared" si="25"/>
        <v>0</v>
      </c>
      <c r="BP177" s="64">
        <f t="shared" si="26"/>
        <v>0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0</v>
      </c>
      <c r="Y179" s="630">
        <f t="shared" si="22"/>
        <v>0</v>
      </c>
      <c r="Z179" s="36" t="str">
        <f>IFERROR(IF(Y179=0,"",ROUNDUP(Y179/H179,0)*0.00502),"")</f>
        <v/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0</v>
      </c>
      <c r="BN179" s="64">
        <f t="shared" si="24"/>
        <v>0</v>
      </c>
      <c r="BO179" s="64">
        <f t="shared" si="25"/>
        <v>0</v>
      </c>
      <c r="BP179" s="64">
        <f t="shared" si="26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hidden="1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0</v>
      </c>
      <c r="Y184" s="630">
        <f t="shared" si="22"/>
        <v>0</v>
      </c>
      <c r="Z184" s="36" t="str">
        <f>IFERROR(IF(Y184=0,"",ROUNDUP(Y184/H184,0)*0.00502),"")</f>
        <v/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0</v>
      </c>
      <c r="BN184" s="64">
        <f t="shared" si="24"/>
        <v>0</v>
      </c>
      <c r="BO184" s="64">
        <f t="shared" si="25"/>
        <v>0</v>
      </c>
      <c r="BP184" s="64">
        <f t="shared" si="26"/>
        <v>0</v>
      </c>
    </row>
    <row r="185" spans="1:68" hidden="1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32"/>
      <c r="AB185" s="632"/>
      <c r="AC185" s="632"/>
    </row>
    <row r="186" spans="1:68" hidden="1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0</v>
      </c>
      <c r="Y186" s="631">
        <f>IFERROR(SUM(Y174:Y184),"0")</f>
        <v>0</v>
      </c>
      <c r="Z186" s="37"/>
      <c r="AA186" s="632"/>
      <c r="AB186" s="632"/>
      <c r="AC186" s="632"/>
    </row>
    <row r="187" spans="1:68" ht="14.25" hidden="1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4"/>
      <c r="AB187" s="624"/>
      <c r="AC187" s="624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4"/>
      <c r="AB193" s="624"/>
      <c r="AC193" s="624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4"/>
      <c r="AB197" s="624"/>
      <c r="AC197" s="624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hidden="1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3"/>
      <c r="AB202" s="623"/>
      <c r="AC202" s="623"/>
    </row>
    <row r="203" spans="1:68" ht="14.25" hidden="1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4"/>
      <c r="AB203" s="624"/>
      <c r="AC203" s="624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80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3"/>
      <c r="AB213" s="623"/>
      <c r="AC213" s="623"/>
    </row>
    <row r="214" spans="1:68" ht="14.25" hidden="1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4"/>
      <c r="AB214" s="624"/>
      <c r="AC214" s="624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4"/>
      <c r="AB218" s="624"/>
      <c r="AC218" s="624"/>
    </row>
    <row r="219" spans="1:68" ht="27" hidden="1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0</v>
      </c>
      <c r="Y219" s="630">
        <f t="shared" ref="Y219:Y232" si="33">IFERROR(IF(X219="",0,CEILING((X219/$H219),1)*$H219),"")</f>
        <v>0</v>
      </c>
      <c r="Z219" s="36" t="str">
        <f>IFERROR(IF(Y219=0,"",ROUNDUP(Y219/H219,0)*0.00902),"")</f>
        <v/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0</v>
      </c>
      <c r="BN219" s="64">
        <f t="shared" ref="BN219:BN232" si="35">IFERROR(Y219*I219/H219,"0")</f>
        <v>0</v>
      </c>
      <c r="BO219" s="64">
        <f t="shared" ref="BO219:BO232" si="36">IFERROR(1/J219*(X219/H219),"0")</f>
        <v>0</v>
      </c>
      <c r="BP219" s="64">
        <f t="shared" ref="BP219:BP232" si="37">IFERROR(1/J219*(Y219/H219),"0")</f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hidden="1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hidden="1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0</v>
      </c>
      <c r="Y223" s="630">
        <f t="shared" si="33"/>
        <v>0</v>
      </c>
      <c r="Z223" s="36" t="str">
        <f t="shared" ref="Z223:Z228" si="38">IFERROR(IF(Y223=0,"",ROUNDUP(Y223/H223,0)*0.00502),"")</f>
        <v/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0</v>
      </c>
      <c r="BN223" s="64">
        <f t="shared" si="35"/>
        <v>0</v>
      </c>
      <c r="BO223" s="64">
        <f t="shared" si="36"/>
        <v>0</v>
      </c>
      <c r="BP223" s="64">
        <f t="shared" si="37"/>
        <v>0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0</v>
      </c>
      <c r="Y228" s="630">
        <f t="shared" si="33"/>
        <v>0</v>
      </c>
      <c r="Z228" s="36" t="str">
        <f t="shared" si="38"/>
        <v/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0</v>
      </c>
      <c r="BN228" s="64">
        <f t="shared" si="35"/>
        <v>0</v>
      </c>
      <c r="BO228" s="64">
        <f t="shared" si="36"/>
        <v>0</v>
      </c>
      <c r="BP228" s="64">
        <f t="shared" si="37"/>
        <v>0</v>
      </c>
    </row>
    <row r="229" spans="1:68" ht="27" hidden="1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hidden="1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0</v>
      </c>
      <c r="Y230" s="630">
        <f t="shared" si="33"/>
        <v>0</v>
      </c>
      <c r="Z230" s="36" t="str">
        <f>IFERROR(IF(Y230=0,"",ROUNDUP(Y230/H230,0)*0.00502),"")</f>
        <v/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0</v>
      </c>
      <c r="BN230" s="64">
        <f t="shared" si="35"/>
        <v>0</v>
      </c>
      <c r="BO230" s="64">
        <f t="shared" si="36"/>
        <v>0</v>
      </c>
      <c r="BP230" s="64">
        <f t="shared" si="37"/>
        <v>0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hidden="1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2"/>
      <c r="AB233" s="632"/>
      <c r="AC233" s="632"/>
    </row>
    <row r="234" spans="1:68" hidden="1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0</v>
      </c>
      <c r="Y234" s="631">
        <f>IFERROR(SUM(Y219:Y232),"0")</f>
        <v>0</v>
      </c>
      <c r="Z234" s="37"/>
      <c r="AA234" s="632"/>
      <c r="AB234" s="632"/>
      <c r="AC234" s="632"/>
    </row>
    <row r="235" spans="1:68" ht="14.25" hidden="1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4"/>
      <c r="AB235" s="624"/>
      <c r="AC235" s="624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4"/>
      <c r="AB243" s="624"/>
      <c r="AC243" s="624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hidden="1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hidden="1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4"/>
      <c r="AB249" s="624"/>
      <c r="AC249" s="624"/>
    </row>
    <row r="250" spans="1:68" ht="27" hidden="1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14.25" hidden="1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4"/>
      <c r="AB254" s="624"/>
      <c r="AC254" s="624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4"/>
      <c r="AB259" s="624"/>
      <c r="AC259" s="624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4"/>
      <c r="AB264" s="624"/>
      <c r="AC264" s="624"/>
    </row>
    <row r="265" spans="1:68" ht="27" hidden="1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0</v>
      </c>
      <c r="Y265" s="630">
        <f t="shared" ref="Y265:Y272" si="39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0</v>
      </c>
      <c r="BN265" s="64">
        <f t="shared" ref="BN265:BN272" si="41">IFERROR(Y265*I265/H265,"0")</f>
        <v>0</v>
      </c>
      <c r="BO265" s="64">
        <f t="shared" ref="BO265:BO272" si="42">IFERROR(1/J265*(X265/H265),"0")</f>
        <v>0</v>
      </c>
      <c r="BP265" s="64">
        <f t="shared" ref="BP265:BP272" si="43">IFERROR(1/J265*(Y265/H265),"0")</f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hidden="1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0</v>
      </c>
      <c r="Y267" s="630">
        <f t="shared" si="39"/>
        <v>0</v>
      </c>
      <c r="Z267" s="36" t="str">
        <f>IFERROR(IF(Y267=0,"",ROUNDUP(Y267/H267,0)*0.00902),"")</f>
        <v/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0</v>
      </c>
      <c r="BN267" s="64">
        <f t="shared" si="41"/>
        <v>0</v>
      </c>
      <c r="BO267" s="64">
        <f t="shared" si="42"/>
        <v>0</v>
      </c>
      <c r="BP267" s="64">
        <f t="shared" si="43"/>
        <v>0</v>
      </c>
    </row>
    <row r="268" spans="1:68" ht="27" hidden="1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hidden="1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0</v>
      </c>
      <c r="Y269" s="630">
        <f t="shared" si="39"/>
        <v>0</v>
      </c>
      <c r="Z269" s="36" t="str">
        <f>IFERROR(IF(Y269=0,"",ROUNDUP(Y269/H269,0)*0.00502),"")</f>
        <v/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0</v>
      </c>
      <c r="BN269" s="64">
        <f t="shared" si="41"/>
        <v>0</v>
      </c>
      <c r="BO269" s="64">
        <f t="shared" si="42"/>
        <v>0</v>
      </c>
      <c r="BP269" s="64">
        <f t="shared" si="43"/>
        <v>0</v>
      </c>
    </row>
    <row r="270" spans="1:68" ht="27" hidden="1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0</v>
      </c>
      <c r="Y270" s="630">
        <f t="shared" si="39"/>
        <v>0</v>
      </c>
      <c r="Z270" s="36" t="str">
        <f>IFERROR(IF(Y270=0,"",ROUNDUP(Y270/H270,0)*0.00502),"")</f>
        <v/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0</v>
      </c>
      <c r="BN270" s="64">
        <f t="shared" si="41"/>
        <v>0</v>
      </c>
      <c r="BO270" s="64">
        <f t="shared" si="42"/>
        <v>0</v>
      </c>
      <c r="BP270" s="64">
        <f t="shared" si="43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6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0</v>
      </c>
      <c r="Y272" s="630">
        <f t="shared" si="39"/>
        <v>0</v>
      </c>
      <c r="Z272" s="36" t="str">
        <f>IFERROR(IF(Y272=0,"",ROUNDUP(Y272/H272,0)*0.00502),"")</f>
        <v/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0</v>
      </c>
      <c r="BN272" s="64">
        <f t="shared" si="41"/>
        <v>0</v>
      </c>
      <c r="BO272" s="64">
        <f t="shared" si="42"/>
        <v>0</v>
      </c>
      <c r="BP272" s="64">
        <f t="shared" si="43"/>
        <v>0</v>
      </c>
    </row>
    <row r="273" spans="1:68" hidden="1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0</v>
      </c>
      <c r="Y273" s="631">
        <f>IFERROR(Y265/H265,"0")+IFERROR(Y266/H266,"0")+IFERROR(Y267/H267,"0")+IFERROR(Y268/H268,"0")+IFERROR(Y269/H269,"0")+IFERROR(Y270/H270,"0")+IFERROR(Y271/H271,"0")+IFERROR(Y272/H272,"0")</f>
        <v>0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32"/>
      <c r="AB273" s="632"/>
      <c r="AC273" s="632"/>
    </row>
    <row r="274" spans="1:68" hidden="1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0</v>
      </c>
      <c r="Y274" s="631">
        <f>IFERROR(SUM(Y265:Y272),"0")</f>
        <v>0</v>
      </c>
      <c r="Z274" s="37"/>
      <c r="AA274" s="632"/>
      <c r="AB274" s="632"/>
      <c r="AC274" s="632"/>
    </row>
    <row r="275" spans="1:68" ht="14.25" hidden="1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4"/>
      <c r="AB275" s="624"/>
      <c r="AC275" s="624"/>
    </row>
    <row r="276" spans="1:68" ht="27" hidden="1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0</v>
      </c>
      <c r="Y276" s="630">
        <f t="shared" ref="Y276:Y287" si="44">IFERROR(IF(X276="",0,CEILING((X276/$H276),1)*$H276),"")</f>
        <v>0</v>
      </c>
      <c r="Z276" s="36" t="str">
        <f>IFERROR(IF(Y276=0,"",ROUNDUP(Y276/H276,0)*0.01898),"")</f>
        <v/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0</v>
      </c>
      <c r="BN276" s="64">
        <f t="shared" ref="BN276:BN287" si="46">IFERROR(Y276*I276/H276,"0")</f>
        <v>0</v>
      </c>
      <c r="BO276" s="64">
        <f t="shared" ref="BO276:BO287" si="47">IFERROR(1/J276*(X276/H276),"0")</f>
        <v>0</v>
      </c>
      <c r="BP276" s="64">
        <f t="shared" ref="BP276:BP287" si="48">IFERROR(1/J276*(Y276/H276),"0")</f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0</v>
      </c>
      <c r="Y277" s="630">
        <f t="shared" si="44"/>
        <v>0</v>
      </c>
      <c r="Z277" s="36" t="str">
        <f>IFERROR(IF(Y277=0,"",ROUNDUP(Y277/H277,0)*0.01898),"")</f>
        <v/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0</v>
      </c>
      <c r="BN277" s="64">
        <f t="shared" si="46"/>
        <v>0</v>
      </c>
      <c r="BO277" s="64">
        <f t="shared" si="47"/>
        <v>0</v>
      </c>
      <c r="BP277" s="64">
        <f t="shared" si="48"/>
        <v>0</v>
      </c>
    </row>
    <row r="278" spans="1:68" ht="27" hidden="1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0</v>
      </c>
      <c r="Y278" s="630">
        <f t="shared" si="44"/>
        <v>0</v>
      </c>
      <c r="Z278" s="36" t="str">
        <f>IFERROR(IF(Y278=0,"",ROUNDUP(Y278/H278,0)*0.01898),"")</f>
        <v/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0</v>
      </c>
      <c r="BN278" s="64">
        <f t="shared" si="46"/>
        <v>0</v>
      </c>
      <c r="BO278" s="64">
        <f t="shared" si="47"/>
        <v>0</v>
      </c>
      <c r="BP278" s="64">
        <f t="shared" si="48"/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hidden="1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0</v>
      </c>
      <c r="Y282" s="630">
        <f t="shared" si="44"/>
        <v>0</v>
      </c>
      <c r="Z282" s="36" t="str">
        <f>IFERROR(IF(Y282=0,"",ROUNDUP(Y282/H282,0)*0.00651),"")</f>
        <v/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0</v>
      </c>
      <c r="BN282" s="64">
        <f t="shared" si="46"/>
        <v>0</v>
      </c>
      <c r="BO282" s="64">
        <f t="shared" si="47"/>
        <v>0</v>
      </c>
      <c r="BP282" s="64">
        <f t="shared" si="48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0</v>
      </c>
      <c r="Y284" s="630">
        <f t="shared" si="44"/>
        <v>0</v>
      </c>
      <c r="Z284" s="36" t="str">
        <f>IFERROR(IF(Y284=0,"",ROUNDUP(Y284/H284,0)*0.00651),"")</f>
        <v/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0</v>
      </c>
      <c r="BN284" s="64">
        <f t="shared" si="46"/>
        <v>0</v>
      </c>
      <c r="BO284" s="64">
        <f t="shared" si="47"/>
        <v>0</v>
      </c>
      <c r="BP284" s="64">
        <f t="shared" si="48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0</v>
      </c>
      <c r="Y285" s="630">
        <f t="shared" si="44"/>
        <v>0</v>
      </c>
      <c r="Z285" s="36" t="str">
        <f>IFERROR(IF(Y285=0,"",ROUNDUP(Y285/H285,0)*0.00651),"")</f>
        <v/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0</v>
      </c>
      <c r="BN285" s="64">
        <f t="shared" si="46"/>
        <v>0</v>
      </c>
      <c r="BO285" s="64">
        <f t="shared" si="47"/>
        <v>0</v>
      </c>
      <c r="BP285" s="64">
        <f t="shared" si="48"/>
        <v>0</v>
      </c>
    </row>
    <row r="286" spans="1:68" ht="27" hidden="1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0</v>
      </c>
      <c r="Y286" s="630">
        <f t="shared" si="44"/>
        <v>0</v>
      </c>
      <c r="Z286" s="36" t="str">
        <f>IFERROR(IF(Y286=0,"",ROUNDUP(Y286/H286,0)*0.00651),"")</f>
        <v/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0</v>
      </c>
      <c r="BN286" s="64">
        <f t="shared" si="46"/>
        <v>0</v>
      </c>
      <c r="BO286" s="64">
        <f t="shared" si="47"/>
        <v>0</v>
      </c>
      <c r="BP286" s="64">
        <f t="shared" si="48"/>
        <v>0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hidden="1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32"/>
      <c r="AB288" s="632"/>
      <c r="AC288" s="632"/>
    </row>
    <row r="289" spans="1:68" hidden="1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0</v>
      </c>
      <c r="Y289" s="631">
        <f>IFERROR(SUM(Y276:Y287),"0")</f>
        <v>0</v>
      </c>
      <c r="Z289" s="37"/>
      <c r="AA289" s="632"/>
      <c r="AB289" s="632"/>
      <c r="AC289" s="632"/>
    </row>
    <row r="290" spans="1:68" ht="14.25" hidden="1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4"/>
      <c r="AB290" s="624"/>
      <c r="AC290" s="624"/>
    </row>
    <row r="291" spans="1:68" ht="27" hidden="1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0</v>
      </c>
      <c r="Y293" s="631">
        <f>IFERROR(Y291/H291,"0")+IFERROR(Y292/H292,"0")</f>
        <v>0</v>
      </c>
      <c r="Z293" s="631">
        <f>IFERROR(IF(Z291="",0,Z291),"0")+IFERROR(IF(Z292="",0,Z292),"0")</f>
        <v>0</v>
      </c>
      <c r="AA293" s="632"/>
      <c r="AB293" s="632"/>
      <c r="AC293" s="632"/>
    </row>
    <row r="294" spans="1:68" hidden="1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0</v>
      </c>
      <c r="Y294" s="631">
        <f>IFERROR(SUM(Y291:Y292),"0")</f>
        <v>0</v>
      </c>
      <c r="Z294" s="37"/>
      <c r="AA294" s="632"/>
      <c r="AB294" s="632"/>
      <c r="AC294" s="632"/>
    </row>
    <row r="295" spans="1:68" ht="16.5" hidden="1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3"/>
      <c r="AB295" s="623"/>
      <c r="AC295" s="623"/>
    </row>
    <row r="296" spans="1:68" ht="14.25" hidden="1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4"/>
      <c r="AB296" s="624"/>
      <c r="AC296" s="624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4"/>
      <c r="AB306" s="624"/>
      <c r="AC306" s="624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4"/>
      <c r="AB310" s="624"/>
      <c r="AC310" s="624"/>
    </row>
    <row r="311" spans="1:68" ht="27" hidden="1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hidden="1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hidden="1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4"/>
      <c r="AB314" s="624"/>
      <c r="AC314" s="624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3"/>
      <c r="AB320" s="623"/>
      <c r="AC320" s="623"/>
    </row>
    <row r="321" spans="1:68" ht="14.25" hidden="1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4"/>
      <c r="AB321" s="624"/>
      <c r="AC321" s="624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3"/>
      <c r="AB329" s="623"/>
      <c r="AC329" s="623"/>
    </row>
    <row r="330" spans="1:68" ht="14.25" hidden="1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4"/>
      <c r="AB330" s="624"/>
      <c r="AC330" s="624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0</v>
      </c>
      <c r="Y332" s="63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0</v>
      </c>
      <c r="Y333" s="630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0</v>
      </c>
      <c r="Y334" s="631">
        <f>IFERROR(Y331/H331,"0")+IFERROR(Y332/H332,"0")+IFERROR(Y333/H333,"0")</f>
        <v>0</v>
      </c>
      <c r="Z334" s="631">
        <f>IFERROR(IF(Z331="",0,Z331),"0")+IFERROR(IF(Z332="",0,Z332),"0")+IFERROR(IF(Z333="",0,Z333),"0")</f>
        <v>0</v>
      </c>
      <c r="AA334" s="632"/>
      <c r="AB334" s="632"/>
      <c r="AC334" s="632"/>
    </row>
    <row r="335" spans="1:68" hidden="1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0</v>
      </c>
      <c r="Y335" s="631">
        <f>IFERROR(SUM(Y331:Y333),"0")</f>
        <v>0</v>
      </c>
      <c r="Z335" s="37"/>
      <c r="AA335" s="632"/>
      <c r="AB335" s="632"/>
      <c r="AC335" s="632"/>
    </row>
    <row r="336" spans="1:68" ht="16.5" hidden="1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3"/>
      <c r="AB336" s="623"/>
      <c r="AC336" s="623"/>
    </row>
    <row r="337" spans="1:68" ht="14.25" hidden="1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4"/>
      <c r="AB337" s="624"/>
      <c r="AC337" s="624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4"/>
      <c r="AB345" s="624"/>
      <c r="AC345" s="624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3"/>
      <c r="AB350" s="623"/>
      <c r="AC350" s="623"/>
    </row>
    <row r="351" spans="1:68" ht="14.25" hidden="1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4"/>
      <c r="AB351" s="624"/>
      <c r="AC351" s="624"/>
    </row>
    <row r="352" spans="1:68" ht="27" hidden="1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hidden="1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hidden="1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3"/>
      <c r="AB357" s="623"/>
      <c r="AC357" s="623"/>
    </row>
    <row r="358" spans="1:68" ht="14.25" hidden="1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4"/>
      <c r="AB358" s="624"/>
      <c r="AC358" s="624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4"/>
      <c r="AB366" s="624"/>
      <c r="AC366" s="624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10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hidden="1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0</v>
      </c>
      <c r="Y374" s="631">
        <f>IFERROR(Y367/H367,"0")+IFERROR(Y368/H368,"0")+IFERROR(Y369/H369,"0")+IFERROR(Y370/H370,"0")+IFERROR(Y371/H371,"0")+IFERROR(Y372/H372,"0")+IFERROR(Y373/H373,"0")</f>
        <v>0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2"/>
      <c r="AB374" s="632"/>
      <c r="AC374" s="632"/>
    </row>
    <row r="375" spans="1:68" hidden="1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0</v>
      </c>
      <c r="Y375" s="631">
        <f>IFERROR(SUM(Y367:Y373),"0")</f>
        <v>0</v>
      </c>
      <c r="Z375" s="37"/>
      <c r="AA375" s="632"/>
      <c r="AB375" s="632"/>
      <c r="AC375" s="632"/>
    </row>
    <row r="376" spans="1:68" ht="14.25" hidden="1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4"/>
      <c r="AB376" s="624"/>
      <c r="AC376" s="624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4"/>
      <c r="AB383" s="624"/>
      <c r="AC383" s="624"/>
    </row>
    <row r="384" spans="1:68" ht="27" hidden="1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0</v>
      </c>
      <c r="Y385" s="630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0</v>
      </c>
      <c r="Y387" s="631">
        <f>IFERROR(Y384/H384,"0")+IFERROR(Y385/H385,"0")+IFERROR(Y386/H386,"0")</f>
        <v>0</v>
      </c>
      <c r="Z387" s="631">
        <f>IFERROR(IF(Z384="",0,Z384),"0")+IFERROR(IF(Z385="",0,Z385),"0")+IFERROR(IF(Z386="",0,Z386),"0")</f>
        <v>0</v>
      </c>
      <c r="AA387" s="632"/>
      <c r="AB387" s="632"/>
      <c r="AC387" s="632"/>
    </row>
    <row r="388" spans="1:68" hidden="1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0</v>
      </c>
      <c r="Y388" s="631">
        <f>IFERROR(SUM(Y384:Y386),"0")</f>
        <v>0</v>
      </c>
      <c r="Z388" s="37"/>
      <c r="AA388" s="632"/>
      <c r="AB388" s="632"/>
      <c r="AC388" s="632"/>
    </row>
    <row r="389" spans="1:68" ht="14.25" hidden="1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4"/>
      <c r="AB389" s="624"/>
      <c r="AC389" s="624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hidden="1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hidden="1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4"/>
      <c r="AB396" s="624"/>
      <c r="AC396" s="624"/>
    </row>
    <row r="397" spans="1:68" ht="16.5" hidden="1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hidden="1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hidden="1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4"/>
      <c r="AB402" s="624"/>
      <c r="AC402" s="624"/>
    </row>
    <row r="403" spans="1:68" ht="27" hidden="1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0</v>
      </c>
      <c r="Y406" s="631">
        <f>IFERROR(Y403/H403,"0")+IFERROR(Y404/H404,"0")+IFERROR(Y405/H405,"0")</f>
        <v>0</v>
      </c>
      <c r="Z406" s="631">
        <f>IFERROR(IF(Z403="",0,Z403),"0")+IFERROR(IF(Z404="",0,Z404),"0")+IFERROR(IF(Z405="",0,Z405),"0")</f>
        <v>0</v>
      </c>
      <c r="AA406" s="632"/>
      <c r="AB406" s="632"/>
      <c r="AC406" s="632"/>
    </row>
    <row r="407" spans="1:68" hidden="1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0</v>
      </c>
      <c r="Y407" s="631">
        <f>IFERROR(SUM(Y403:Y405),"0")</f>
        <v>0</v>
      </c>
      <c r="Z407" s="37"/>
      <c r="AA407" s="632"/>
      <c r="AB407" s="632"/>
      <c r="AC407" s="632"/>
    </row>
    <row r="408" spans="1:68" ht="16.5" hidden="1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3"/>
      <c r="AB408" s="623"/>
      <c r="AC408" s="623"/>
    </row>
    <row r="409" spans="1:68" ht="14.25" hidden="1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4"/>
      <c r="AB409" s="624"/>
      <c r="AC409" s="624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9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3"/>
      <c r="AB414" s="623"/>
      <c r="AC414" s="623"/>
    </row>
    <row r="415" spans="1:68" ht="14.25" hidden="1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4"/>
      <c r="AB415" s="624"/>
      <c r="AC415" s="624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0</v>
      </c>
      <c r="Y417" s="630">
        <f>IFERROR(IF(X417="",0,CEILING((X417/$H417),1)*$H417),"")</f>
        <v>0</v>
      </c>
      <c r="Z417" s="36" t="str">
        <f>IFERROR(IF(Y417=0,"",ROUNDUP(Y417/H417,0)*0.00651),"")</f>
        <v/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0</v>
      </c>
      <c r="Y418" s="630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0</v>
      </c>
      <c r="Y419" s="631">
        <f>IFERROR(Y416/H416,"0")+IFERROR(Y417/H417,"0")+IFERROR(Y418/H418,"0")</f>
        <v>0</v>
      </c>
      <c r="Z419" s="631">
        <f>IFERROR(IF(Z416="",0,Z416),"0")+IFERROR(IF(Z417="",0,Z417),"0")+IFERROR(IF(Z418="",0,Z418),"0")</f>
        <v>0</v>
      </c>
      <c r="AA419" s="632"/>
      <c r="AB419" s="632"/>
      <c r="AC419" s="632"/>
    </row>
    <row r="420" spans="1:68" hidden="1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0</v>
      </c>
      <c r="Y420" s="631">
        <f>IFERROR(SUM(Y416:Y418),"0")</f>
        <v>0</v>
      </c>
      <c r="Z420" s="37"/>
      <c r="AA420" s="632"/>
      <c r="AB420" s="632"/>
      <c r="AC420" s="632"/>
    </row>
    <row r="421" spans="1:68" ht="27.75" hidden="1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hidden="1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3"/>
      <c r="AB422" s="623"/>
      <c r="AC422" s="623"/>
    </row>
    <row r="423" spans="1:68" ht="14.25" hidden="1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4"/>
      <c r="AB423" s="624"/>
      <c r="AC423" s="624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240</v>
      </c>
      <c r="Y425" s="630">
        <f t="shared" si="59"/>
        <v>240</v>
      </c>
      <c r="Z425" s="36">
        <f>IFERROR(IF(Y425=0,"",ROUNDUP(Y425/H425,0)*0.02175),"")</f>
        <v>0.34799999999999998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247.52</v>
      </c>
      <c r="BN425" s="64">
        <f t="shared" si="61"/>
        <v>247.52</v>
      </c>
      <c r="BO425" s="64">
        <f t="shared" si="62"/>
        <v>0.33333333333333331</v>
      </c>
      <c r="BP425" s="64">
        <f t="shared" si="63"/>
        <v>0.33333333333333331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200</v>
      </c>
      <c r="Y427" s="630">
        <f t="shared" si="59"/>
        <v>210</v>
      </c>
      <c r="Z427" s="36">
        <f>IFERROR(IF(Y427=0,"",ROUNDUP(Y427/H427,0)*0.02175),"")</f>
        <v>0.30449999999999999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206.26666666666668</v>
      </c>
      <c r="BN427" s="64">
        <f t="shared" si="61"/>
        <v>216.58</v>
      </c>
      <c r="BO427" s="64">
        <f t="shared" si="62"/>
        <v>0.27777777777777779</v>
      </c>
      <c r="BP427" s="64">
        <f t="shared" si="63"/>
        <v>0.29166666666666663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110</v>
      </c>
      <c r="Y428" s="630">
        <f t="shared" si="59"/>
        <v>120</v>
      </c>
      <c r="Z428" s="36">
        <f>IFERROR(IF(Y428=0,"",ROUNDUP(Y428/H428,0)*0.02175),"")</f>
        <v>0.17399999999999999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113.44666666666667</v>
      </c>
      <c r="BN428" s="64">
        <f t="shared" si="61"/>
        <v>123.76</v>
      </c>
      <c r="BO428" s="64">
        <f t="shared" si="62"/>
        <v>0.15277777777777776</v>
      </c>
      <c r="BP428" s="64">
        <f t="shared" si="63"/>
        <v>0.16666666666666666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36.666666666666671</v>
      </c>
      <c r="Y432" s="631">
        <f>IFERROR(Y424/H424,"0")+IFERROR(Y425/H425,"0")+IFERROR(Y426/H426,"0")+IFERROR(Y427/H427,"0")+IFERROR(Y428/H428,"0")+IFERROR(Y429/H429,"0")+IFERROR(Y430/H430,"0")+IFERROR(Y431/H431,"0")</f>
        <v>38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0.82650000000000001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550</v>
      </c>
      <c r="Y433" s="631">
        <f>IFERROR(SUM(Y424:Y431),"0")</f>
        <v>570</v>
      </c>
      <c r="Z433" s="37"/>
      <c r="AA433" s="632"/>
      <c r="AB433" s="632"/>
      <c r="AC433" s="632"/>
    </row>
    <row r="434" spans="1:68" ht="14.25" hidden="1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4"/>
      <c r="AB434" s="624"/>
      <c r="AC434" s="624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300</v>
      </c>
      <c r="Y435" s="630">
        <f>IFERROR(IF(X435="",0,CEILING((X435/$H435),1)*$H435),"")</f>
        <v>300</v>
      </c>
      <c r="Z435" s="36">
        <f>IFERROR(IF(Y435=0,"",ROUNDUP(Y435/H435,0)*0.02175),"")</f>
        <v>0.43499999999999994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309.39999999999998</v>
      </c>
      <c r="BN435" s="64">
        <f>IFERROR(Y435*I435/H435,"0")</f>
        <v>309.39999999999998</v>
      </c>
      <c r="BO435" s="64">
        <f>IFERROR(1/J435*(X435/H435),"0")</f>
        <v>0.41666666666666663</v>
      </c>
      <c r="BP435" s="64">
        <f>IFERROR(1/J435*(Y435/H435),"0")</f>
        <v>0.41666666666666663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20</v>
      </c>
      <c r="Y438" s="631">
        <f>IFERROR(Y435/H435,"0")+IFERROR(Y436/H436,"0")+IFERROR(Y437/H437,"0")</f>
        <v>20</v>
      </c>
      <c r="Z438" s="631">
        <f>IFERROR(IF(Z435="",0,Z435),"0")+IFERROR(IF(Z436="",0,Z436),"0")+IFERROR(IF(Z437="",0,Z437),"0")</f>
        <v>0.43499999999999994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300</v>
      </c>
      <c r="Y439" s="631">
        <f>IFERROR(SUM(Y435:Y437),"0")</f>
        <v>300</v>
      </c>
      <c r="Z439" s="37"/>
      <c r="AA439" s="632"/>
      <c r="AB439" s="632"/>
      <c r="AC439" s="632"/>
    </row>
    <row r="440" spans="1:68" ht="14.25" hidden="1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4"/>
      <c r="AB440" s="624"/>
      <c r="AC440" s="624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4"/>
      <c r="AB446" s="624"/>
      <c r="AC446" s="624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9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hidden="1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4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hidden="1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hidden="1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3"/>
      <c r="AB451" s="623"/>
      <c r="AC451" s="623"/>
    </row>
    <row r="452" spans="1:68" ht="14.25" hidden="1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4"/>
      <c r="AB452" s="624"/>
      <c r="AC452" s="624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4"/>
      <c r="AB457" s="624"/>
      <c r="AC457" s="624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4"/>
      <c r="AB461" s="624"/>
      <c r="AC461" s="624"/>
    </row>
    <row r="462" spans="1:68" ht="27" hidden="1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0</v>
      </c>
      <c r="Y462" s="630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0</v>
      </c>
      <c r="Y463" s="630">
        <f>IFERROR(IF(X463="",0,CEILING((X463/$H463),1)*$H463),"")</f>
        <v>0</v>
      </c>
      <c r="Z463" s="36" t="str">
        <f>IFERROR(IF(Y463=0,"",ROUNDUP(Y463/H463,0)*0.00651),"")</f>
        <v/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0</v>
      </c>
      <c r="Y465" s="631">
        <f>IFERROR(Y462/H462,"0")+IFERROR(Y463/H463,"0")+IFERROR(Y464/H464,"0")</f>
        <v>0</v>
      </c>
      <c r="Z465" s="631">
        <f>IFERROR(IF(Z462="",0,Z462),"0")+IFERROR(IF(Z463="",0,Z463),"0")+IFERROR(IF(Z464="",0,Z464),"0")</f>
        <v>0</v>
      </c>
      <c r="AA465" s="632"/>
      <c r="AB465" s="632"/>
      <c r="AC465" s="632"/>
    </row>
    <row r="466" spans="1:68" hidden="1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0</v>
      </c>
      <c r="Y466" s="631">
        <f>IFERROR(SUM(Y462:Y464),"0")</f>
        <v>0</v>
      </c>
      <c r="Z466" s="37"/>
      <c r="AA466" s="632"/>
      <c r="AB466" s="632"/>
      <c r="AC466" s="632"/>
    </row>
    <row r="467" spans="1:68" ht="27.75" hidden="1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hidden="1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3"/>
      <c r="AB468" s="623"/>
      <c r="AC468" s="623"/>
    </row>
    <row r="469" spans="1:68" ht="14.25" hidden="1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4"/>
      <c r="AB469" s="624"/>
      <c r="AC469" s="624"/>
    </row>
    <row r="470" spans="1:68" ht="27" hidden="1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4"/>
      <c r="AB478" s="624"/>
      <c r="AC478" s="624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3"/>
      <c r="AB483" s="623"/>
      <c r="AC483" s="623"/>
    </row>
    <row r="484" spans="1:68" ht="14.25" hidden="1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4"/>
      <c r="AB484" s="624"/>
      <c r="AC484" s="624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4"/>
      <c r="AB488" s="624"/>
      <c r="AC488" s="624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hidden="1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3"/>
      <c r="AB495" s="623"/>
      <c r="AC495" s="623"/>
    </row>
    <row r="496" spans="1:68" ht="14.25" hidden="1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4"/>
      <c r="AB496" s="624"/>
      <c r="AC496" s="624"/>
    </row>
    <row r="497" spans="1:68" ht="27" hidden="1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hidden="1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9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hidden="1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hidden="1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0</v>
      </c>
      <c r="Y506" s="631">
        <f>IFERROR(Y497/H497,"0")+IFERROR(Y498/H498,"0")+IFERROR(Y499/H499,"0")+IFERROR(Y500/H500,"0")+IFERROR(Y501/H501,"0")+IFERROR(Y502/H502,"0")+IFERROR(Y503/H503,"0")+IFERROR(Y504/H504,"0")+IFERROR(Y505/H505,"0")</f>
        <v>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32"/>
      <c r="AB506" s="632"/>
      <c r="AC506" s="632"/>
    </row>
    <row r="507" spans="1:68" hidden="1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0</v>
      </c>
      <c r="Y507" s="631">
        <f>IFERROR(SUM(Y497:Y505),"0")</f>
        <v>0</v>
      </c>
      <c r="Z507" s="37"/>
      <c r="AA507" s="632"/>
      <c r="AB507" s="632"/>
      <c r="AC507" s="632"/>
    </row>
    <row r="508" spans="1:68" ht="14.25" hidden="1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4"/>
      <c r="AB508" s="624"/>
      <c r="AC508" s="624"/>
    </row>
    <row r="509" spans="1:68" ht="16.5" hidden="1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0</v>
      </c>
      <c r="Y509" s="630">
        <f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0</v>
      </c>
      <c r="Y512" s="631">
        <f>IFERROR(Y509/H509,"0")+IFERROR(Y510/H510,"0")+IFERROR(Y511/H511,"0")</f>
        <v>0</v>
      </c>
      <c r="Z512" s="631">
        <f>IFERROR(IF(Z509="",0,Z509),"0")+IFERROR(IF(Z510="",0,Z510),"0")+IFERROR(IF(Z511="",0,Z511),"0")</f>
        <v>0</v>
      </c>
      <c r="AA512" s="632"/>
      <c r="AB512" s="632"/>
      <c r="AC512" s="632"/>
    </row>
    <row r="513" spans="1:68" hidden="1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0</v>
      </c>
      <c r="Y513" s="631">
        <f>IFERROR(SUM(Y509:Y511),"0")</f>
        <v>0</v>
      </c>
      <c r="Z513" s="37"/>
      <c r="AA513" s="632"/>
      <c r="AB513" s="632"/>
      <c r="AC513" s="632"/>
    </row>
    <row r="514" spans="1:68" ht="14.25" hidden="1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4"/>
      <c r="AB514" s="624"/>
      <c r="AC514" s="624"/>
    </row>
    <row r="515" spans="1:68" ht="27" hidden="1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0</v>
      </c>
      <c r="Y517" s="630">
        <f t="shared" si="75"/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hidden="1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0</v>
      </c>
      <c r="Y522" s="631">
        <f>IFERROR(Y515/H515,"0")+IFERROR(Y516/H516,"0")+IFERROR(Y517/H517,"0")+IFERROR(Y518/H518,"0")+IFERROR(Y519/H519,"0")+IFERROR(Y520/H520,"0")+IFERROR(Y521/H521,"0")</f>
        <v>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32"/>
      <c r="AB522" s="632"/>
      <c r="AC522" s="632"/>
    </row>
    <row r="523" spans="1:68" hidden="1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0</v>
      </c>
      <c r="Y523" s="631">
        <f>IFERROR(SUM(Y515:Y521),"0")</f>
        <v>0</v>
      </c>
      <c r="Z523" s="37"/>
      <c r="AA523" s="632"/>
      <c r="AB523" s="632"/>
      <c r="AC523" s="632"/>
    </row>
    <row r="524" spans="1:68" ht="27.75" hidden="1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hidden="1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3"/>
      <c r="AB525" s="623"/>
      <c r="AC525" s="623"/>
    </row>
    <row r="526" spans="1:68" ht="14.25" hidden="1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4"/>
      <c r="AB526" s="624"/>
      <c r="AC526" s="624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4"/>
      <c r="AB530" s="624"/>
      <c r="AC530" s="624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4"/>
      <c r="AB534" s="624"/>
      <c r="AC534" s="624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4"/>
      <c r="AB538" s="624"/>
      <c r="AC538" s="624"/>
    </row>
    <row r="539" spans="1:68" ht="27" hidden="1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hidden="1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hidden="1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4"/>
      <c r="AB542" s="624"/>
      <c r="AC542" s="624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3"/>
      <c r="AB547" s="623"/>
      <c r="AC547" s="623"/>
    </row>
    <row r="548" spans="1:68" ht="14.25" hidden="1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4"/>
      <c r="AB548" s="624"/>
      <c r="AC548" s="624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850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870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876.63333333333333</v>
      </c>
      <c r="Y553" s="631">
        <f>IFERROR(SUM(BN22:BN549),"0")</f>
        <v>897.26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2</v>
      </c>
      <c r="Y554" s="38">
        <f>ROUNDUP(SUM(BP22:BP549),0)</f>
        <v>2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926.63333333333333</v>
      </c>
      <c r="Y555" s="631">
        <f>GrossWeightTotalR+PalletQtyTotalR*25</f>
        <v>947.26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56.666666666666671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58</v>
      </c>
      <c r="Z556" s="37"/>
      <c r="AA556" s="632"/>
      <c r="AB556" s="632"/>
      <c r="AC556" s="632"/>
    </row>
    <row r="557" spans="1:68" ht="15.6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1.2614999999999998</v>
      </c>
      <c r="AA557" s="632"/>
      <c r="AB557" s="632"/>
      <c r="AC557" s="632"/>
    </row>
    <row r="558" spans="1:68" ht="13.9" customHeight="1" thickBot="1" x14ac:dyDescent="0.25"/>
    <row r="559" spans="1:68" ht="28.9" customHeight="1" thickTop="1" thickBot="1" x14ac:dyDescent="0.25">
      <c r="A559" s="40" t="s">
        <v>861</v>
      </c>
      <c r="B559" s="621" t="s">
        <v>60</v>
      </c>
      <c r="C559" s="621" t="s">
        <v>91</v>
      </c>
      <c r="D559" s="674" t="s">
        <v>110</v>
      </c>
      <c r="E559" s="707"/>
      <c r="F559" s="707"/>
      <c r="G559" s="707"/>
      <c r="H559" s="707"/>
      <c r="I559" s="707"/>
      <c r="J559" s="708"/>
      <c r="K559" s="674" t="s">
        <v>338</v>
      </c>
      <c r="L559" s="707"/>
      <c r="M559" s="707"/>
      <c r="N559" s="707"/>
      <c r="O559" s="707"/>
      <c r="P559" s="707"/>
      <c r="Q559" s="707"/>
      <c r="R559" s="707"/>
      <c r="S559" s="707"/>
      <c r="T559" s="707"/>
      <c r="U559" s="707"/>
      <c r="V559" s="708"/>
      <c r="W559" s="674" t="s">
        <v>681</v>
      </c>
      <c r="X559" s="708"/>
      <c r="Y559" s="674" t="s">
        <v>747</v>
      </c>
      <c r="Z559" s="708"/>
      <c r="AA559" s="621" t="s">
        <v>783</v>
      </c>
      <c r="AB559" s="674" t="s">
        <v>830</v>
      </c>
      <c r="AC559" s="708"/>
      <c r="AF559" s="622"/>
    </row>
    <row r="560" spans="1:68" ht="14.25" customHeight="1" thickTop="1" x14ac:dyDescent="0.2">
      <c r="A560" s="700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2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2"/>
    </row>
    <row r="561" spans="1:32" ht="13.9" customHeight="1" thickBot="1" x14ac:dyDescent="0.25">
      <c r="A561" s="701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2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2"/>
    </row>
    <row r="562" spans="1:32" ht="15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46">
        <f>IFERROR(Y83*1,"0")+IFERROR(Y84*1,"0")+IFERROR(Y85*1,"0")+IFERROR(Y86*1,"0")+IFERROR(Y90*1,"0")+IFERROR(Y91*1,"0")+IFERROR(Y92*1,"0")+IFERROR(Y93*1,"0")</f>
        <v>0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622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0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46">
        <f>IFERROR(Y410*1,"0")+IFERROR(Y411*1,"0")</f>
        <v>0</v>
      </c>
      <c r="V562" s="46">
        <f>IFERROR(Y416*1,"0")+IFERROR(Y417*1,"0")+IFERROR(Y418*1,"0")</f>
        <v>0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870</v>
      </c>
      <c r="X562" s="46">
        <f>IFERROR(Y453*1,"0")+IFERROR(Y454*1,"0")+IFERROR(Y458*1,"0")+IFERROR(Y462*1,"0")+IFERROR(Y463*1,"0")+IFERROR(Y464*1,"0")</f>
        <v>0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2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0,00"/>
        <filter val="2"/>
        <filter val="20,00"/>
        <filter val="200,00"/>
        <filter val="240,00"/>
        <filter val="300,00"/>
        <filter val="36,67"/>
        <filter val="550,00"/>
        <filter val="56,67"/>
        <filter val="850,00"/>
        <filter val="876,63"/>
        <filter val="926,63"/>
      </filters>
    </filterColumn>
    <filterColumn colId="29" showButton="0"/>
    <filterColumn colId="30" showButton="0"/>
  </autoFilter>
  <mergeCells count="989">
    <mergeCell ref="D17:E18"/>
    <mergeCell ref="D515:E515"/>
    <mergeCell ref="D471:E471"/>
    <mergeCell ref="A449:O450"/>
    <mergeCell ref="X17:X18"/>
    <mergeCell ref="D123:E123"/>
    <mergeCell ref="P58:T58"/>
    <mergeCell ref="P500:T500"/>
    <mergeCell ref="D50:E50"/>
    <mergeCell ref="A494:Z494"/>
    <mergeCell ref="P307:T307"/>
    <mergeCell ref="P373:T373"/>
    <mergeCell ref="D286:E286"/>
    <mergeCell ref="P387:V387"/>
    <mergeCell ref="U17:V17"/>
    <mergeCell ref="Y17:Y18"/>
    <mergeCell ref="D331:E331"/>
    <mergeCell ref="D57:E57"/>
    <mergeCell ref="A8:C8"/>
    <mergeCell ref="P385:T385"/>
    <mergeCell ref="P410:T410"/>
    <mergeCell ref="P447:T447"/>
    <mergeCell ref="O560:O561"/>
    <mergeCell ref="Q560:Q561"/>
    <mergeCell ref="P360:T360"/>
    <mergeCell ref="P138:V138"/>
    <mergeCell ref="P151:T151"/>
    <mergeCell ref="D268:E26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D549:E549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134:T134"/>
    <mergeCell ref="P513:V513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A35:Z35"/>
    <mergeCell ref="P510:T510"/>
    <mergeCell ref="N17:N18"/>
    <mergeCell ref="D49:E49"/>
    <mergeCell ref="Q5:R5"/>
    <mergeCell ref="F17:F18"/>
    <mergeCell ref="P72:T72"/>
    <mergeCell ref="P370:T370"/>
    <mergeCell ref="P497:T497"/>
    <mergeCell ref="P297:T297"/>
    <mergeCell ref="P435:T435"/>
    <mergeCell ref="D278:E278"/>
    <mergeCell ref="D163:E163"/>
    <mergeCell ref="P291:T291"/>
    <mergeCell ref="D405:E405"/>
    <mergeCell ref="Q6:R6"/>
    <mergeCell ref="P308:V308"/>
    <mergeCell ref="P185:V185"/>
    <mergeCell ref="P160:V160"/>
    <mergeCell ref="P216:V216"/>
    <mergeCell ref="P83:T83"/>
    <mergeCell ref="D271:E271"/>
    <mergeCell ref="V12:W12"/>
    <mergeCell ref="D458:E458"/>
    <mergeCell ref="P368:T368"/>
    <mergeCell ref="P43:V43"/>
    <mergeCell ref="P529:V529"/>
    <mergeCell ref="P110:T110"/>
    <mergeCell ref="P53:V53"/>
    <mergeCell ref="A127:Z127"/>
    <mergeCell ref="A249:Z249"/>
    <mergeCell ref="A320:Z320"/>
    <mergeCell ref="P289:V289"/>
    <mergeCell ref="A314:Z314"/>
    <mergeCell ref="A534:Z534"/>
    <mergeCell ref="A64:Z64"/>
    <mergeCell ref="P432:V432"/>
    <mergeCell ref="A107:Z107"/>
    <mergeCell ref="D276:E276"/>
    <mergeCell ref="D170:E170"/>
    <mergeCell ref="D341:E341"/>
    <mergeCell ref="P132:V132"/>
    <mergeCell ref="D237:E237"/>
    <mergeCell ref="A310:Z310"/>
    <mergeCell ref="A337:Z337"/>
    <mergeCell ref="P85:T85"/>
    <mergeCell ref="P60:T60"/>
    <mergeCell ref="D291:E291"/>
    <mergeCell ref="D239:E239"/>
    <mergeCell ref="P174:T174"/>
    <mergeCell ref="D521:E521"/>
    <mergeCell ref="A254:Z254"/>
    <mergeCell ref="P181:T181"/>
    <mergeCell ref="D29:E29"/>
    <mergeCell ref="D23:E23"/>
    <mergeCell ref="D265:E265"/>
    <mergeCell ref="P515:T515"/>
    <mergeCell ref="P195:V195"/>
    <mergeCell ref="A20:Z20"/>
    <mergeCell ref="P493:V493"/>
    <mergeCell ref="P123:T123"/>
    <mergeCell ref="P149:T149"/>
    <mergeCell ref="P74:V74"/>
    <mergeCell ref="D266:E266"/>
    <mergeCell ref="D42:E42"/>
    <mergeCell ref="P356:V356"/>
    <mergeCell ref="P363:T363"/>
    <mergeCell ref="P338:T338"/>
    <mergeCell ref="AB560:AB561"/>
    <mergeCell ref="A201:Z201"/>
    <mergeCell ref="P128:T128"/>
    <mergeCell ref="A52:O53"/>
    <mergeCell ref="D503:E503"/>
    <mergeCell ref="AD17:AF18"/>
    <mergeCell ref="P167:V167"/>
    <mergeCell ref="D101:E101"/>
    <mergeCell ref="A481:O482"/>
    <mergeCell ref="P365:V365"/>
    <mergeCell ref="A488:Z488"/>
    <mergeCell ref="P144:V144"/>
    <mergeCell ref="P67:T67"/>
    <mergeCell ref="D430:E430"/>
    <mergeCell ref="P509:T509"/>
    <mergeCell ref="D175:E175"/>
    <mergeCell ref="A334:O335"/>
    <mergeCell ref="D221:E221"/>
    <mergeCell ref="D392:E392"/>
    <mergeCell ref="P57:T57"/>
    <mergeCell ref="P367:T367"/>
    <mergeCell ref="D165:E165"/>
    <mergeCell ref="D475:E475"/>
    <mergeCell ref="P342:T342"/>
    <mergeCell ref="P2:W3"/>
    <mergeCell ref="P298:T298"/>
    <mergeCell ref="D437:E437"/>
    <mergeCell ref="P198:T198"/>
    <mergeCell ref="P369:T369"/>
    <mergeCell ref="P347:T347"/>
    <mergeCell ref="D539:E539"/>
    <mergeCell ref="P418:T418"/>
    <mergeCell ref="D228:E228"/>
    <mergeCell ref="D333:E333"/>
    <mergeCell ref="P312:V312"/>
    <mergeCell ref="D404:E404"/>
    <mergeCell ref="D10:E10"/>
    <mergeCell ref="F10:G10"/>
    <mergeCell ref="P135:T135"/>
    <mergeCell ref="P362:T362"/>
    <mergeCell ref="A308:O309"/>
    <mergeCell ref="D99:E99"/>
    <mergeCell ref="D270:E270"/>
    <mergeCell ref="D397:E397"/>
    <mergeCell ref="F5:G5"/>
    <mergeCell ref="V11:W11"/>
    <mergeCell ref="P317:T317"/>
    <mergeCell ref="D152:E152"/>
    <mergeCell ref="E560:E561"/>
    <mergeCell ref="P258:V258"/>
    <mergeCell ref="G560:G561"/>
    <mergeCell ref="P556:V556"/>
    <mergeCell ref="P52:V52"/>
    <mergeCell ref="P430:T430"/>
    <mergeCell ref="A235:Z235"/>
    <mergeCell ref="P102:T102"/>
    <mergeCell ref="P417:T417"/>
    <mergeCell ref="P481:V481"/>
    <mergeCell ref="D531:E531"/>
    <mergeCell ref="P456:V456"/>
    <mergeCell ref="A508:Z508"/>
    <mergeCell ref="D177:E177"/>
    <mergeCell ref="A483:Z483"/>
    <mergeCell ref="P183:T183"/>
    <mergeCell ref="D226:E226"/>
    <mergeCell ref="D164:E164"/>
    <mergeCell ref="P354:T354"/>
    <mergeCell ref="P523:V523"/>
    <mergeCell ref="D462:E462"/>
    <mergeCell ref="D544:E544"/>
    <mergeCell ref="A550:O551"/>
    <mergeCell ref="Z560:Z561"/>
    <mergeCell ref="Q13:R13"/>
    <mergeCell ref="P401:V401"/>
    <mergeCell ref="A318:O319"/>
    <mergeCell ref="P176:T176"/>
    <mergeCell ref="P41:T41"/>
    <mergeCell ref="D84:E84"/>
    <mergeCell ref="D22:E22"/>
    <mergeCell ref="A157:Z157"/>
    <mergeCell ref="A62:O63"/>
    <mergeCell ref="D149:E149"/>
    <mergeCell ref="P301:T301"/>
    <mergeCell ref="D385:E385"/>
    <mergeCell ref="P178:T178"/>
    <mergeCell ref="P276:T276"/>
    <mergeCell ref="D86:E86"/>
    <mergeCell ref="P270:T270"/>
    <mergeCell ref="A400:O401"/>
    <mergeCell ref="P341:T341"/>
    <mergeCell ref="D384:E384"/>
    <mergeCell ref="D151:E151"/>
    <mergeCell ref="P192:V192"/>
    <mergeCell ref="A191:O192"/>
    <mergeCell ref="A387:O388"/>
    <mergeCell ref="P49:T49"/>
    <mergeCell ref="AA560:AA561"/>
    <mergeCell ref="A241:O242"/>
    <mergeCell ref="P111:T111"/>
    <mergeCell ref="D154:E154"/>
    <mergeCell ref="D225:E225"/>
    <mergeCell ref="P282:T282"/>
    <mergeCell ref="A412:O413"/>
    <mergeCell ref="AC560:AC561"/>
    <mergeCell ref="P61:T61"/>
    <mergeCell ref="P359:T359"/>
    <mergeCell ref="D436:E436"/>
    <mergeCell ref="D292:E292"/>
    <mergeCell ref="A105:O106"/>
    <mergeCell ref="P346:T346"/>
    <mergeCell ref="A476:O477"/>
    <mergeCell ref="P490:T490"/>
    <mergeCell ref="D227:E227"/>
    <mergeCell ref="P262:V262"/>
    <mergeCell ref="D373:E373"/>
    <mergeCell ref="P112:T112"/>
    <mergeCell ref="D500:E500"/>
    <mergeCell ref="P273:V273"/>
    <mergeCell ref="A465:O466"/>
    <mergeCell ref="P323:T323"/>
    <mergeCell ref="P553:V553"/>
    <mergeCell ref="A296:Z296"/>
    <mergeCell ref="A467:Z467"/>
    <mergeCell ref="A461:Z461"/>
    <mergeCell ref="P59:T59"/>
    <mergeCell ref="P130:T130"/>
    <mergeCell ref="D136:E136"/>
    <mergeCell ref="P190:T190"/>
    <mergeCell ref="P482:V482"/>
    <mergeCell ref="A113:O114"/>
    <mergeCell ref="A414:Z414"/>
    <mergeCell ref="D231:E231"/>
    <mergeCell ref="P70:V70"/>
    <mergeCell ref="P537:V537"/>
    <mergeCell ref="A389:Z389"/>
    <mergeCell ref="P470:T470"/>
    <mergeCell ref="D447:E447"/>
    <mergeCell ref="A457:Z457"/>
    <mergeCell ref="P463:T463"/>
    <mergeCell ref="A166:O167"/>
    <mergeCell ref="D150:E150"/>
    <mergeCell ref="P278:T278"/>
    <mergeCell ref="P63:V63"/>
    <mergeCell ref="P101:T101"/>
    <mergeCell ref="F560:F561"/>
    <mergeCell ref="P93:T93"/>
    <mergeCell ref="P226:T226"/>
    <mergeCell ref="D85:E85"/>
    <mergeCell ref="P164:T164"/>
    <mergeCell ref="D207:E207"/>
    <mergeCell ref="P120:V120"/>
    <mergeCell ref="D256:E256"/>
    <mergeCell ref="P269:T269"/>
    <mergeCell ref="P462:T462"/>
    <mergeCell ref="D299:E299"/>
    <mergeCell ref="H560:H561"/>
    <mergeCell ref="D370:E370"/>
    <mergeCell ref="D222:E222"/>
    <mergeCell ref="P476:V476"/>
    <mergeCell ref="A295:Z295"/>
    <mergeCell ref="P333:T333"/>
    <mergeCell ref="P399:T399"/>
    <mergeCell ref="P171:V171"/>
    <mergeCell ref="P242:V242"/>
    <mergeCell ref="P413:V413"/>
    <mergeCell ref="W559:X559"/>
    <mergeCell ref="P407:V407"/>
    <mergeCell ref="P121:V121"/>
    <mergeCell ref="H5:M5"/>
    <mergeCell ref="P98:T98"/>
    <mergeCell ref="P522:V522"/>
    <mergeCell ref="A214:Z214"/>
    <mergeCell ref="P225:T225"/>
    <mergeCell ref="D317:E317"/>
    <mergeCell ref="D510:E510"/>
    <mergeCell ref="D6:M6"/>
    <mergeCell ref="A306:Z306"/>
    <mergeCell ref="P175:T175"/>
    <mergeCell ref="P95:V95"/>
    <mergeCell ref="D83:E83"/>
    <mergeCell ref="D143:E143"/>
    <mergeCell ref="P227:T227"/>
    <mergeCell ref="P398:T398"/>
    <mergeCell ref="D441:E441"/>
    <mergeCell ref="D368:E368"/>
    <mergeCell ref="P177:T177"/>
    <mergeCell ref="P475:T475"/>
    <mergeCell ref="G17:G18"/>
    <mergeCell ref="P188:T188"/>
    <mergeCell ref="P382:V382"/>
    <mergeCell ref="P48:T48"/>
    <mergeCell ref="A9:C9"/>
    <mergeCell ref="U560:U561"/>
    <mergeCell ref="P445:V445"/>
    <mergeCell ref="D153:E153"/>
    <mergeCell ref="V6:W9"/>
    <mergeCell ref="D128:E128"/>
    <mergeCell ref="P256:T256"/>
    <mergeCell ref="P38:T38"/>
    <mergeCell ref="P109:T109"/>
    <mergeCell ref="P234:V234"/>
    <mergeCell ref="A348:O349"/>
    <mergeCell ref="A155:O156"/>
    <mergeCell ref="D435:E435"/>
    <mergeCell ref="D497:E497"/>
    <mergeCell ref="P84:T84"/>
    <mergeCell ref="P222:T222"/>
    <mergeCell ref="P22:T22"/>
    <mergeCell ref="D65:E65"/>
    <mergeCell ref="P40:T40"/>
    <mergeCell ref="D428:E428"/>
    <mergeCell ref="P334:V334"/>
    <mergeCell ref="K559:V559"/>
    <mergeCell ref="P394:V394"/>
    <mergeCell ref="A455:O456"/>
    <mergeCell ref="D194:E194"/>
    <mergeCell ref="P535:T535"/>
    <mergeCell ref="A144:O145"/>
    <mergeCell ref="H10:M10"/>
    <mergeCell ref="AA17:AA18"/>
    <mergeCell ref="P552:V552"/>
    <mergeCell ref="AC17:AC18"/>
    <mergeCell ref="P485:T485"/>
    <mergeCell ref="A122:Z122"/>
    <mergeCell ref="P108:T108"/>
    <mergeCell ref="P279:T279"/>
    <mergeCell ref="D393:E393"/>
    <mergeCell ref="D418:E418"/>
    <mergeCell ref="P472:T472"/>
    <mergeCell ref="Z17:Z18"/>
    <mergeCell ref="AB17:AB18"/>
    <mergeCell ref="A54:Z54"/>
    <mergeCell ref="P94:V94"/>
    <mergeCell ref="P44:V44"/>
    <mergeCell ref="P550:V550"/>
    <mergeCell ref="D367:E367"/>
    <mergeCell ref="A528:O529"/>
    <mergeCell ref="A530:Z530"/>
    <mergeCell ref="D58:E58"/>
    <mergeCell ref="P32:V32"/>
    <mergeCell ref="P390:T390"/>
    <mergeCell ref="P241:V241"/>
    <mergeCell ref="D504:E504"/>
    <mergeCell ref="D298:E298"/>
    <mergeCell ref="D181:E181"/>
    <mergeCell ref="P91:T91"/>
    <mergeCell ref="A351:Z351"/>
    <mergeCell ref="P252:V252"/>
    <mergeCell ref="A444:O445"/>
    <mergeCell ref="P105:V105"/>
    <mergeCell ref="D215:E215"/>
    <mergeCell ref="D386:E386"/>
    <mergeCell ref="A364:O365"/>
    <mergeCell ref="P492:V492"/>
    <mergeCell ref="A409:Z409"/>
    <mergeCell ref="A469:Z469"/>
    <mergeCell ref="P131:V131"/>
    <mergeCell ref="D323:E323"/>
    <mergeCell ref="D223:E223"/>
    <mergeCell ref="D279:E279"/>
    <mergeCell ref="P406:V406"/>
    <mergeCell ref="S560:S561"/>
    <mergeCell ref="A273:O274"/>
    <mergeCell ref="P143:T143"/>
    <mergeCell ref="A514:Z514"/>
    <mergeCell ref="D362:E362"/>
    <mergeCell ref="P441:T441"/>
    <mergeCell ref="D51:E51"/>
    <mergeCell ref="P328:V328"/>
    <mergeCell ref="P455:V455"/>
    <mergeCell ref="A147:Z147"/>
    <mergeCell ref="A451:Z451"/>
    <mergeCell ref="P207:T207"/>
    <mergeCell ref="A131:O132"/>
    <mergeCell ref="P172:V172"/>
    <mergeCell ref="P299:T299"/>
    <mergeCell ref="P393:T393"/>
    <mergeCell ref="P232:T232"/>
    <mergeCell ref="A82:Z82"/>
    <mergeCell ref="A275:Z275"/>
    <mergeCell ref="D267:E267"/>
    <mergeCell ref="P517:T517"/>
    <mergeCell ref="D509:E509"/>
    <mergeCell ref="D425:E425"/>
    <mergeCell ref="D359:E359"/>
    <mergeCell ref="J9:M9"/>
    <mergeCell ref="D112:E112"/>
    <mergeCell ref="D283:E283"/>
    <mergeCell ref="D519:E519"/>
    <mergeCell ref="A532:O533"/>
    <mergeCell ref="P141:T141"/>
    <mergeCell ref="D56:E56"/>
    <mergeCell ref="P206:T206"/>
    <mergeCell ref="P377:T377"/>
    <mergeCell ref="P448:T448"/>
    <mergeCell ref="P37:T37"/>
    <mergeCell ref="D176:E176"/>
    <mergeCell ref="D347:E347"/>
    <mergeCell ref="P155:V155"/>
    <mergeCell ref="D285:E285"/>
    <mergeCell ref="D491:E491"/>
    <mergeCell ref="P504:T504"/>
    <mergeCell ref="H17:H18"/>
    <mergeCell ref="P90:T90"/>
    <mergeCell ref="A146:Z146"/>
    <mergeCell ref="D204:E204"/>
    <mergeCell ref="P261:T261"/>
    <mergeCell ref="P332:T332"/>
    <mergeCell ref="D198:E198"/>
    <mergeCell ref="R560:R561"/>
    <mergeCell ref="P511:T511"/>
    <mergeCell ref="T560:T561"/>
    <mergeCell ref="P507:V507"/>
    <mergeCell ref="A506:O507"/>
    <mergeCell ref="A350:Z350"/>
    <mergeCell ref="P313:V313"/>
    <mergeCell ref="P380:T380"/>
    <mergeCell ref="A13:M13"/>
    <mergeCell ref="P444:V444"/>
    <mergeCell ref="A496:Z496"/>
    <mergeCell ref="P536:V536"/>
    <mergeCell ref="P79:V79"/>
    <mergeCell ref="A548:Z548"/>
    <mergeCell ref="D250:E250"/>
    <mergeCell ref="D61:E61"/>
    <mergeCell ref="A15:M15"/>
    <mergeCell ref="P238:T238"/>
    <mergeCell ref="D48:E48"/>
    <mergeCell ref="D490:E490"/>
    <mergeCell ref="D346:E346"/>
    <mergeCell ref="P229:T229"/>
    <mergeCell ref="P77:T77"/>
    <mergeCell ref="A133:Z133"/>
    <mergeCell ref="Q10:R10"/>
    <mergeCell ref="D41:E41"/>
    <mergeCell ref="A486:O487"/>
    <mergeCell ref="P25:V25"/>
    <mergeCell ref="D277:E277"/>
    <mergeCell ref="P318:V318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68:E68"/>
    <mergeCell ref="A203:Z203"/>
    <mergeCell ref="D372:E372"/>
    <mergeCell ref="P449:V449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V5:W5"/>
    <mergeCell ref="D190:E190"/>
    <mergeCell ref="D246:E246"/>
    <mergeCell ref="P294:V294"/>
    <mergeCell ref="I560:I561"/>
    <mergeCell ref="D40:E40"/>
    <mergeCell ref="D111:E111"/>
    <mergeCell ref="D282:E282"/>
    <mergeCell ref="P212:V212"/>
    <mergeCell ref="D338:E338"/>
    <mergeCell ref="P361:T361"/>
    <mergeCell ref="Q8:R8"/>
    <mergeCell ref="D183:E183"/>
    <mergeCell ref="P311:T311"/>
    <mergeCell ref="P267:T267"/>
    <mergeCell ref="A257:O258"/>
    <mergeCell ref="D219:E219"/>
    <mergeCell ref="D104:E104"/>
    <mergeCell ref="A288:O289"/>
    <mergeCell ref="P425:T425"/>
    <mergeCell ref="T6:U9"/>
    <mergeCell ref="D340:E340"/>
    <mergeCell ref="A12:M12"/>
    <mergeCell ref="A495:Z495"/>
    <mergeCell ref="P355:V355"/>
    <mergeCell ref="P501:T501"/>
    <mergeCell ref="P293:V293"/>
    <mergeCell ref="P397:T397"/>
    <mergeCell ref="A538:Z538"/>
    <mergeCell ref="P200:V200"/>
    <mergeCell ref="A19:Z19"/>
    <mergeCell ref="P372:T372"/>
    <mergeCell ref="D182:E182"/>
    <mergeCell ref="A14:M14"/>
    <mergeCell ref="D109:E109"/>
    <mergeCell ref="P163:T163"/>
    <mergeCell ref="D280:E280"/>
    <mergeCell ref="D480:E480"/>
    <mergeCell ref="P528:V528"/>
    <mergeCell ref="P424:T424"/>
    <mergeCell ref="P319:V319"/>
    <mergeCell ref="P512:V512"/>
    <mergeCell ref="P491:T491"/>
    <mergeCell ref="P322:T322"/>
    <mergeCell ref="P260:T260"/>
    <mergeCell ref="D399:E399"/>
    <mergeCell ref="A536:O537"/>
    <mergeCell ref="D416:E416"/>
    <mergeCell ref="P427:T427"/>
    <mergeCell ref="P544:T544"/>
    <mergeCell ref="P283:T283"/>
    <mergeCell ref="D93:E93"/>
    <mergeCell ref="P277:T277"/>
    <mergeCell ref="D220:E220"/>
    <mergeCell ref="D391:E391"/>
    <mergeCell ref="P199:V199"/>
    <mergeCell ref="A394:O395"/>
    <mergeCell ref="P519:T519"/>
    <mergeCell ref="P288:V288"/>
    <mergeCell ref="P285:T285"/>
    <mergeCell ref="P263:V263"/>
    <mergeCell ref="A126:Z126"/>
    <mergeCell ref="A259:Z259"/>
    <mergeCell ref="A253:Z253"/>
    <mergeCell ref="D178:E178"/>
    <mergeCell ref="P153:T153"/>
    <mergeCell ref="P324:T324"/>
    <mergeCell ref="D463:E463"/>
    <mergeCell ref="A199:O200"/>
    <mergeCell ref="A193:Z193"/>
    <mergeCell ref="P15:T16"/>
    <mergeCell ref="P208:T208"/>
    <mergeCell ref="D116:E116"/>
    <mergeCell ref="D352:E352"/>
    <mergeCell ref="D91:E91"/>
    <mergeCell ref="P23:T23"/>
    <mergeCell ref="P219:T219"/>
    <mergeCell ref="A69:O70"/>
    <mergeCell ref="P272:T272"/>
    <mergeCell ref="P210:T210"/>
    <mergeCell ref="D59:E59"/>
    <mergeCell ref="P51:T51"/>
    <mergeCell ref="P204:T204"/>
    <mergeCell ref="P179:T179"/>
    <mergeCell ref="A264:Z264"/>
    <mergeCell ref="D269:E269"/>
    <mergeCell ref="P27:T27"/>
    <mergeCell ref="P154:T154"/>
    <mergeCell ref="P325:T325"/>
    <mergeCell ref="D206:E206"/>
    <mergeCell ref="P247:V247"/>
    <mergeCell ref="D39:E39"/>
    <mergeCell ref="M17:M18"/>
    <mergeCell ref="O17:O18"/>
    <mergeCell ref="F9:G9"/>
    <mergeCell ref="D180:E180"/>
    <mergeCell ref="A47:Z47"/>
    <mergeCell ref="A419:O420"/>
    <mergeCell ref="D232:E232"/>
    <mergeCell ref="D403:E403"/>
    <mergeCell ref="A406:O407"/>
    <mergeCell ref="P68:T68"/>
    <mergeCell ref="P239:T239"/>
    <mergeCell ref="P186:V186"/>
    <mergeCell ref="D38:E38"/>
    <mergeCell ref="A185:O186"/>
    <mergeCell ref="A247:O248"/>
    <mergeCell ref="D169:E169"/>
    <mergeCell ref="A312:O313"/>
    <mergeCell ref="P353:T353"/>
    <mergeCell ref="A262:O263"/>
    <mergeCell ref="P303:T303"/>
    <mergeCell ref="A357:Z357"/>
    <mergeCell ref="P75:V75"/>
    <mergeCell ref="P304:V304"/>
    <mergeCell ref="A329:Z329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P349:V349"/>
    <mergeCell ref="A423:Z423"/>
    <mergeCell ref="P420:V420"/>
    <mergeCell ref="D464:E464"/>
    <mergeCell ref="A17:A18"/>
    <mergeCell ref="K17:K18"/>
    <mergeCell ref="P300:T300"/>
    <mergeCell ref="C17:C18"/>
    <mergeCell ref="P364:V364"/>
    <mergeCell ref="P371:T371"/>
    <mergeCell ref="D103:E103"/>
    <mergeCell ref="D37:E37"/>
    <mergeCell ref="P431:T431"/>
    <mergeCell ref="D230:E230"/>
    <mergeCell ref="D339:E339"/>
    <mergeCell ref="A6:C6"/>
    <mergeCell ref="D322:E322"/>
    <mergeCell ref="D453:E453"/>
    <mergeCell ref="P465:V465"/>
    <mergeCell ref="P180:T180"/>
    <mergeCell ref="M560:M561"/>
    <mergeCell ref="P118:T118"/>
    <mergeCell ref="A96:Z96"/>
    <mergeCell ref="P416:T416"/>
    <mergeCell ref="P142:T142"/>
    <mergeCell ref="D148:E148"/>
    <mergeCell ref="A161:Z161"/>
    <mergeCell ref="D324:E324"/>
    <mergeCell ref="P378:T378"/>
    <mergeCell ref="P403:T403"/>
    <mergeCell ref="D517:E517"/>
    <mergeCell ref="P117:T117"/>
    <mergeCell ref="D311:E311"/>
    <mergeCell ref="P182:T182"/>
    <mergeCell ref="P480:T480"/>
    <mergeCell ref="Q12:R12"/>
    <mergeCell ref="P280:T280"/>
    <mergeCell ref="D90:E90"/>
    <mergeCell ref="P169:T169"/>
    <mergeCell ref="Q9:R9"/>
    <mergeCell ref="D255:E255"/>
    <mergeCell ref="A524:Z524"/>
    <mergeCell ref="P78:T78"/>
    <mergeCell ref="A97:Z97"/>
    <mergeCell ref="K560:K561"/>
    <mergeCell ref="Q11:R11"/>
    <mergeCell ref="P205:T205"/>
    <mergeCell ref="D260:E260"/>
    <mergeCell ref="A195:O196"/>
    <mergeCell ref="A290:Z290"/>
    <mergeCell ref="D261:E261"/>
    <mergeCell ref="P411:T411"/>
    <mergeCell ref="P442:T442"/>
    <mergeCell ref="P196:V196"/>
    <mergeCell ref="D448:E448"/>
    <mergeCell ref="P119:T119"/>
    <mergeCell ref="A43:O44"/>
    <mergeCell ref="P246:T246"/>
    <mergeCell ref="P62:V62"/>
    <mergeCell ref="D390:E390"/>
    <mergeCell ref="A552:O557"/>
    <mergeCell ref="P66:T66"/>
    <mergeCell ref="D9:E9"/>
    <mergeCell ref="I17:I18"/>
    <mergeCell ref="D141:E141"/>
    <mergeCell ref="D135:E135"/>
    <mergeCell ref="P189:T189"/>
    <mergeCell ref="P114:V114"/>
    <mergeCell ref="D377:E377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D27:E27"/>
    <mergeCell ref="A162:Z162"/>
    <mergeCell ref="D325:E325"/>
    <mergeCell ref="A138:O139"/>
    <mergeCell ref="D398:E398"/>
    <mergeCell ref="P439:V439"/>
    <mergeCell ref="A438:O439"/>
    <mergeCell ref="B560:B561"/>
    <mergeCell ref="P255:T255"/>
    <mergeCell ref="P426:T426"/>
    <mergeCell ref="A542:Z542"/>
    <mergeCell ref="D560:D561"/>
    <mergeCell ref="AB559:AC559"/>
    <mergeCell ref="A336:Z336"/>
    <mergeCell ref="A293:O294"/>
    <mergeCell ref="P125:V125"/>
    <mergeCell ref="P557:V557"/>
    <mergeCell ref="P428:T428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D158:E158"/>
    <mergeCell ref="P286:T286"/>
    <mergeCell ref="D229:E229"/>
    <mergeCell ref="A402:Z402"/>
    <mergeCell ref="P479:T479"/>
    <mergeCell ref="D1:F1"/>
    <mergeCell ref="P474:T474"/>
    <mergeCell ref="A71:Z71"/>
    <mergeCell ref="A512:O513"/>
    <mergeCell ref="J17:J18"/>
    <mergeCell ref="L17:L18"/>
    <mergeCell ref="P555:V555"/>
    <mergeCell ref="A327:O328"/>
    <mergeCell ref="D240:E240"/>
    <mergeCell ref="D511:E511"/>
    <mergeCell ref="A115:Z115"/>
    <mergeCell ref="D100:E100"/>
    <mergeCell ref="P17:T18"/>
    <mergeCell ref="P50:T50"/>
    <mergeCell ref="D31:E31"/>
    <mergeCell ref="D77:E77"/>
    <mergeCell ref="D108:E108"/>
    <mergeCell ref="P429:T429"/>
    <mergeCell ref="D369:E369"/>
    <mergeCell ref="A304:O305"/>
    <mergeCell ref="P223:T223"/>
    <mergeCell ref="A168:Z168"/>
    <mergeCell ref="A540:O541"/>
    <mergeCell ref="P139:V139"/>
    <mergeCell ref="W560:W561"/>
    <mergeCell ref="P335:V335"/>
    <mergeCell ref="P560:P561"/>
    <mergeCell ref="A45:Z45"/>
    <mergeCell ref="A452:Z452"/>
    <mergeCell ref="Y559:Z559"/>
    <mergeCell ref="D316:E316"/>
    <mergeCell ref="A218:Z218"/>
    <mergeCell ref="D272:E272"/>
    <mergeCell ref="D443:E443"/>
    <mergeCell ref="D210:E210"/>
    <mergeCell ref="A345:Z345"/>
    <mergeCell ref="A492:O493"/>
    <mergeCell ref="A46:Z46"/>
    <mergeCell ref="A89:Z89"/>
    <mergeCell ref="D209:E209"/>
    <mergeCell ref="D380:E380"/>
    <mergeCell ref="P464:T464"/>
    <mergeCell ref="D245:E245"/>
    <mergeCell ref="D301:E301"/>
    <mergeCell ref="D516:E516"/>
    <mergeCell ref="P116:T116"/>
    <mergeCell ref="P551:V551"/>
    <mergeCell ref="A376:Z376"/>
    <mergeCell ref="V560:V561"/>
    <mergeCell ref="D28:E28"/>
    <mergeCell ref="X560:X561"/>
    <mergeCell ref="D326:E326"/>
    <mergeCell ref="P405:T405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P240:T240"/>
    <mergeCell ref="H1:Q1"/>
    <mergeCell ref="A330:Z330"/>
    <mergeCell ref="A243:Z243"/>
    <mergeCell ref="P274:V274"/>
    <mergeCell ref="P541:V541"/>
    <mergeCell ref="A366:Z366"/>
    <mergeCell ref="D284:E284"/>
    <mergeCell ref="P539:T539"/>
    <mergeCell ref="D520:E520"/>
    <mergeCell ref="D501:E501"/>
    <mergeCell ref="D5:E5"/>
    <mergeCell ref="D498:E498"/>
    <mergeCell ref="D354:E354"/>
    <mergeCell ref="P460:V460"/>
    <mergeCell ref="P106:V106"/>
    <mergeCell ref="P33:V33"/>
    <mergeCell ref="D527:E527"/>
    <mergeCell ref="P39:T39"/>
    <mergeCell ref="D224:E224"/>
    <mergeCell ref="A26:Z26"/>
    <mergeCell ref="P103:T103"/>
    <mergeCell ref="A233:O234"/>
    <mergeCell ref="P230:T230"/>
    <mergeCell ref="P268:T268"/>
    <mergeCell ref="A560:A561"/>
    <mergeCell ref="P265:T265"/>
    <mergeCell ref="C560:C561"/>
    <mergeCell ref="D208:E208"/>
    <mergeCell ref="D8:M8"/>
    <mergeCell ref="D379:E379"/>
    <mergeCell ref="A211:O212"/>
    <mergeCell ref="P458:T458"/>
    <mergeCell ref="D559:J559"/>
    <mergeCell ref="D300:E300"/>
    <mergeCell ref="P237:T237"/>
    <mergeCell ref="P31:T31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331:T331"/>
    <mergeCell ref="D470:E470"/>
    <mergeCell ref="P502:T502"/>
    <mergeCell ref="P546:V546"/>
    <mergeCell ref="D110:E110"/>
    <mergeCell ref="A321:Z321"/>
    <mergeCell ref="D142:E142"/>
    <mergeCell ref="A120:O121"/>
    <mergeCell ref="D378:E378"/>
    <mergeCell ref="D7:M7"/>
    <mergeCell ref="D129:E129"/>
    <mergeCell ref="P236:T236"/>
    <mergeCell ref="A81:Z81"/>
    <mergeCell ref="P92:T92"/>
    <mergeCell ref="P156:V156"/>
    <mergeCell ref="P327:V327"/>
    <mergeCell ref="D315:E315"/>
    <mergeCell ref="D442:E442"/>
    <mergeCell ref="P521:T521"/>
    <mergeCell ref="D502:E502"/>
    <mergeCell ref="D302:E302"/>
    <mergeCell ref="D429:E429"/>
    <mergeCell ref="A159:O160"/>
    <mergeCell ref="P29:T29"/>
    <mergeCell ref="P100:T100"/>
    <mergeCell ref="P271:T271"/>
    <mergeCell ref="P339:T339"/>
    <mergeCell ref="P549:T549"/>
    <mergeCell ref="P400:V400"/>
    <mergeCell ref="D98:E98"/>
    <mergeCell ref="P30:T30"/>
    <mergeCell ref="D73:E73"/>
    <mergeCell ref="P152:T152"/>
    <mergeCell ref="P375:V375"/>
    <mergeCell ref="A374:O375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R1:T1"/>
    <mergeCell ref="P28:T28"/>
    <mergeCell ref="P150:T150"/>
    <mergeCell ref="P221:T221"/>
    <mergeCell ref="A74:O75"/>
    <mergeCell ref="P326:T326"/>
    <mergeCell ref="P215:T215"/>
    <mergeCell ref="D307:E307"/>
    <mergeCell ref="D332:E332"/>
    <mergeCell ref="P165:T165"/>
    <mergeCell ref="B17:B18"/>
    <mergeCell ref="P56:T56"/>
    <mergeCell ref="A197:Z197"/>
    <mergeCell ref="D189:E189"/>
    <mergeCell ref="P99:T99"/>
    <mergeCell ref="D287:E287"/>
    <mergeCell ref="P170:T170"/>
    <mergeCell ref="A94:O95"/>
    <mergeCell ref="D66:E66"/>
    <mergeCell ref="P113:V113"/>
    <mergeCell ref="P316:T316"/>
    <mergeCell ref="P159:V159"/>
    <mergeCell ref="P209:T209"/>
    <mergeCell ref="W17:W18"/>
    <mergeCell ref="P545:V545"/>
    <mergeCell ref="P88:V88"/>
    <mergeCell ref="A79:O80"/>
    <mergeCell ref="P220:T220"/>
    <mergeCell ref="P391:T391"/>
    <mergeCell ref="D505:E505"/>
    <mergeCell ref="P518:T518"/>
    <mergeCell ref="D499:E499"/>
    <mergeCell ref="D238:E238"/>
    <mergeCell ref="D426:E426"/>
    <mergeCell ref="A216:O217"/>
    <mergeCell ref="P86:T86"/>
    <mergeCell ref="D134:E134"/>
    <mergeCell ref="A343:O344"/>
    <mergeCell ref="D205:E205"/>
    <mergeCell ref="P384:T384"/>
    <mergeCell ref="D363:E363"/>
    <mergeCell ref="P520:T520"/>
    <mergeCell ref="A87:O88"/>
    <mergeCell ref="P386:T386"/>
    <mergeCell ref="P392:T392"/>
    <mergeCell ref="A381:O382"/>
    <mergeCell ref="D543:E543"/>
    <mergeCell ref="D518:E518"/>
    <mergeCell ref="A34:Z34"/>
    <mergeCell ref="D410:E410"/>
    <mergeCell ref="D472:E472"/>
    <mergeCell ref="H9:I9"/>
    <mergeCell ref="P24:V24"/>
    <mergeCell ref="D281:E281"/>
    <mergeCell ref="P211:V211"/>
    <mergeCell ref="A36:Z36"/>
    <mergeCell ref="P309:V309"/>
    <mergeCell ref="A383:Z383"/>
    <mergeCell ref="P454:T454"/>
    <mergeCell ref="D297:E297"/>
    <mergeCell ref="D78:E78"/>
    <mergeCell ref="A55:Z55"/>
    <mergeCell ref="V10:W10"/>
    <mergeCell ref="P379:T379"/>
    <mergeCell ref="D360:E360"/>
    <mergeCell ref="D431:E431"/>
    <mergeCell ref="A422:Z422"/>
    <mergeCell ref="P443:T443"/>
    <mergeCell ref="D411:E411"/>
    <mergeCell ref="P395:V395"/>
    <mergeCell ref="A434:Z434"/>
    <mergeCell ref="P217:V217"/>
    <mergeCell ref="D535:E535"/>
    <mergeCell ref="D473:E473"/>
    <mergeCell ref="D60:E60"/>
    <mergeCell ref="P73:T73"/>
    <mergeCell ref="P244:T244"/>
    <mergeCell ref="P315:T315"/>
    <mergeCell ref="P437:T437"/>
    <mergeCell ref="P231:T231"/>
    <mergeCell ref="A432:O433"/>
    <mergeCell ref="D174:E174"/>
    <mergeCell ref="P302:T302"/>
    <mergeCell ref="P87:V87"/>
    <mergeCell ref="D474:E474"/>
    <mergeCell ref="A522:O523"/>
    <mergeCell ref="P532:V532"/>
    <mergeCell ref="A213:Z213"/>
    <mergeCell ref="P388:V388"/>
    <mergeCell ref="P459:V459"/>
    <mergeCell ref="A468:Z468"/>
    <mergeCell ref="P433:V433"/>
    <mergeCell ref="D454:E454"/>
    <mergeCell ref="P503:T503"/>
    <mergeCell ref="D489:E489"/>
    <mergeCell ref="D427:E42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2026-08-24T11:47:25Z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