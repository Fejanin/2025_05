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6FFEDAF-08DE-4733-8C2D-ED5386C162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1" l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BP189" i="1" s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Y164" i="1"/>
  <c r="Z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O134" i="1"/>
  <c r="BM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6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Y247" i="1" l="1"/>
  <c r="BP322" i="1"/>
  <c r="BN322" i="1"/>
  <c r="Z322" i="1"/>
  <c r="BP333" i="1"/>
  <c r="BN333" i="1"/>
  <c r="Z333" i="1"/>
  <c r="Y348" i="1"/>
  <c r="BP346" i="1"/>
  <c r="BN346" i="1"/>
  <c r="Z346" i="1"/>
  <c r="BP368" i="1"/>
  <c r="BN368" i="1"/>
  <c r="Z368" i="1"/>
  <c r="BP380" i="1"/>
  <c r="BN380" i="1"/>
  <c r="Z380" i="1"/>
  <c r="BP398" i="1"/>
  <c r="BN398" i="1"/>
  <c r="Z398" i="1"/>
  <c r="BP424" i="1"/>
  <c r="BN424" i="1"/>
  <c r="Z424" i="1"/>
  <c r="BP436" i="1"/>
  <c r="BN436" i="1"/>
  <c r="Z436" i="1"/>
  <c r="BP471" i="1"/>
  <c r="BN471" i="1"/>
  <c r="Z471" i="1"/>
  <c r="BP490" i="1"/>
  <c r="BN490" i="1"/>
  <c r="Z490" i="1"/>
  <c r="BP504" i="1"/>
  <c r="BN504" i="1"/>
  <c r="Z504" i="1"/>
  <c r="BP520" i="1"/>
  <c r="BN520" i="1"/>
  <c r="Z520" i="1"/>
  <c r="Z22" i="1"/>
  <c r="BN22" i="1"/>
  <c r="Y32" i="1"/>
  <c r="Z30" i="1"/>
  <c r="BN30" i="1"/>
  <c r="C562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F562" i="1"/>
  <c r="Z86" i="1"/>
  <c r="BN86" i="1"/>
  <c r="Y94" i="1"/>
  <c r="Z92" i="1"/>
  <c r="BN92" i="1"/>
  <c r="G56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BN128" i="1"/>
  <c r="Z134" i="1"/>
  <c r="BN134" i="1"/>
  <c r="BP134" i="1"/>
  <c r="Z142" i="1"/>
  <c r="BN142" i="1"/>
  <c r="I562" i="1"/>
  <c r="Z151" i="1"/>
  <c r="BN151" i="1"/>
  <c r="Z169" i="1"/>
  <c r="BN169" i="1"/>
  <c r="BP169" i="1"/>
  <c r="Z177" i="1"/>
  <c r="BN177" i="1"/>
  <c r="Z181" i="1"/>
  <c r="BN181" i="1"/>
  <c r="Z189" i="1"/>
  <c r="BN189" i="1"/>
  <c r="Z207" i="1"/>
  <c r="BN207" i="1"/>
  <c r="Z220" i="1"/>
  <c r="BN220" i="1"/>
  <c r="Z224" i="1"/>
  <c r="BN224" i="1"/>
  <c r="Z228" i="1"/>
  <c r="BN228" i="1"/>
  <c r="Z232" i="1"/>
  <c r="BN232" i="1"/>
  <c r="Y242" i="1"/>
  <c r="Z238" i="1"/>
  <c r="BN238" i="1"/>
  <c r="Z244" i="1"/>
  <c r="Z247" i="1" s="1"/>
  <c r="BN244" i="1"/>
  <c r="BP244" i="1"/>
  <c r="Z261" i="1"/>
  <c r="BN261" i="1"/>
  <c r="Z267" i="1"/>
  <c r="BN267" i="1"/>
  <c r="Z271" i="1"/>
  <c r="BN271" i="1"/>
  <c r="Z278" i="1"/>
  <c r="BN278" i="1"/>
  <c r="Z282" i="1"/>
  <c r="BN282" i="1"/>
  <c r="Z286" i="1"/>
  <c r="BN286" i="1"/>
  <c r="Z299" i="1"/>
  <c r="BN299" i="1"/>
  <c r="Z303" i="1"/>
  <c r="BN303" i="1"/>
  <c r="Y319" i="1"/>
  <c r="Y318" i="1"/>
  <c r="Z317" i="1"/>
  <c r="BN317" i="1"/>
  <c r="BP326" i="1"/>
  <c r="BN326" i="1"/>
  <c r="Z326" i="1"/>
  <c r="BP340" i="1"/>
  <c r="BN340" i="1"/>
  <c r="Z340" i="1"/>
  <c r="BP360" i="1"/>
  <c r="BN360" i="1"/>
  <c r="Z360" i="1"/>
  <c r="BP372" i="1"/>
  <c r="BN372" i="1"/>
  <c r="Z372" i="1"/>
  <c r="BP386" i="1"/>
  <c r="BN386" i="1"/>
  <c r="Z386" i="1"/>
  <c r="BP390" i="1"/>
  <c r="BN390" i="1"/>
  <c r="Z390" i="1"/>
  <c r="BP411" i="1"/>
  <c r="BN411" i="1"/>
  <c r="Z411" i="1"/>
  <c r="BP416" i="1"/>
  <c r="BN416" i="1"/>
  <c r="Z416" i="1"/>
  <c r="Z419" i="1" s="1"/>
  <c r="BP428" i="1"/>
  <c r="BN428" i="1"/>
  <c r="Z428" i="1"/>
  <c r="BP448" i="1"/>
  <c r="BN448" i="1"/>
  <c r="Z448" i="1"/>
  <c r="BP453" i="1"/>
  <c r="BN453" i="1"/>
  <c r="Z453" i="1"/>
  <c r="BP475" i="1"/>
  <c r="BN475" i="1"/>
  <c r="Z475" i="1"/>
  <c r="BP500" i="1"/>
  <c r="BN500" i="1"/>
  <c r="Z500" i="1"/>
  <c r="BP516" i="1"/>
  <c r="BN516" i="1"/>
  <c r="Z516" i="1"/>
  <c r="P562" i="1"/>
  <c r="Y388" i="1"/>
  <c r="Y387" i="1"/>
  <c r="Y25" i="1"/>
  <c r="Y62" i="1"/>
  <c r="Y70" i="1"/>
  <c r="Y74" i="1"/>
  <c r="Y80" i="1"/>
  <c r="Y87" i="1"/>
  <c r="Y106" i="1"/>
  <c r="Y114" i="1"/>
  <c r="Y120" i="1"/>
  <c r="Y131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Y419" i="1"/>
  <c r="Y33" i="1"/>
  <c r="Y43" i="1"/>
  <c r="Y53" i="1"/>
  <c r="Y95" i="1"/>
  <c r="Y139" i="1"/>
  <c r="Y145" i="1"/>
  <c r="Y156" i="1"/>
  <c r="H9" i="1"/>
  <c r="B562" i="1"/>
  <c r="X553" i="1"/>
  <c r="X554" i="1"/>
  <c r="Z23" i="1"/>
  <c r="Z24" i="1" s="1"/>
  <c r="BN23" i="1"/>
  <c r="Y24" i="1"/>
  <c r="X552" i="1"/>
  <c r="Z27" i="1"/>
  <c r="BN27" i="1"/>
  <c r="BP27" i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Z327" i="1" s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04" i="1" s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69" i="1" l="1"/>
  <c r="Y553" i="1"/>
  <c r="Z288" i="1"/>
  <c r="Z476" i="1"/>
  <c r="Z438" i="1"/>
  <c r="Z432" i="1"/>
  <c r="Z381" i="1"/>
  <c r="Z241" i="1"/>
  <c r="Z171" i="1"/>
  <c r="Z138" i="1"/>
  <c r="Z94" i="1"/>
  <c r="Z79" i="1"/>
  <c r="Z52" i="1"/>
  <c r="Y554" i="1"/>
  <c r="X555" i="1"/>
  <c r="Z506" i="1"/>
  <c r="Z492" i="1"/>
  <c r="Z374" i="1"/>
  <c r="Z364" i="1"/>
  <c r="Z273" i="1"/>
  <c r="Z211" i="1"/>
  <c r="Z144" i="1"/>
  <c r="Z113" i="1"/>
  <c r="Z105" i="1"/>
  <c r="Z87" i="1"/>
  <c r="Z32" i="1"/>
  <c r="Y556" i="1"/>
  <c r="Z406" i="1"/>
  <c r="Z233" i="1"/>
  <c r="Z522" i="1"/>
  <c r="Z465" i="1"/>
  <c r="Z444" i="1"/>
  <c r="Z185" i="1"/>
  <c r="Z191" i="1"/>
  <c r="Y552" i="1"/>
  <c r="Z557" i="1" l="1"/>
  <c r="Y555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<sst xmlns="http://schemas.openxmlformats.org/spreadsheetml/2006/main" count="2497" uniqueCount="905">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</sst>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B10" sqref="AB10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67" t="s">
        <v>7</v>
      </c>
      <c r="B5" s="737"/>
      <c r="C5" s="738"/>
      <c r="D5" s="721"/>
      <c r="E5" s="722"/>
      <c r="F5" s="952" t="s">
        <v>8</v>
      </c>
      <c r="G5" s="738"/>
      <c r="H5" s="721"/>
      <c r="I5" s="890"/>
      <c r="J5" s="890"/>
      <c r="K5" s="890"/>
      <c r="L5" s="890"/>
      <c r="M5" s="722"/>
      <c r="N5" s="58"/>
      <c r="P5" s="24" t="s">
        <v>9</v>
      </c>
      <c r="Q5" s="963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6" customFormat="1" ht="24" customHeight="1" x14ac:dyDescent="0.2">
      <c r="A6" s="767" t="s">
        <v>12</v>
      </c>
      <c r="B6" s="737"/>
      <c r="C6" s="738"/>
      <c r="D6" s="893"/>
      <c r="E6" s="894"/>
      <c r="F6" s="894"/>
      <c r="G6" s="894"/>
      <c r="H6" s="894"/>
      <c r="I6" s="894"/>
      <c r="J6" s="894"/>
      <c r="K6" s="894"/>
      <c r="L6" s="894"/>
      <c r="M6" s="765"/>
      <c r="N6" s="59"/>
      <c r="P6" s="24" t="s">
        <v>13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6" t="s">
        <v>15</v>
      </c>
      <c r="W6" s="684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8" t="s">
        <v>16</v>
      </c>
      <c r="B8" s="647"/>
      <c r="C8" s="648"/>
      <c r="D8" s="703"/>
      <c r="E8" s="704"/>
      <c r="F8" s="704"/>
      <c r="G8" s="704"/>
      <c r="H8" s="704"/>
      <c r="I8" s="704"/>
      <c r="J8" s="704"/>
      <c r="K8" s="704"/>
      <c r="L8" s="704"/>
      <c r="M8" s="705"/>
      <c r="N8" s="61"/>
      <c r="P8" s="24" t="s">
        <v>17</v>
      </c>
      <c r="Q8" s="777">
        <v>0.41666666666666669</v>
      </c>
      <c r="R8" s="693"/>
      <c r="T8" s="643"/>
      <c r="U8" s="790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2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7"/>
      <c r="P9" s="26" t="s">
        <v>18</v>
      </c>
      <c r="Q9" s="761"/>
      <c r="R9" s="762"/>
      <c r="T9" s="643"/>
      <c r="U9" s="790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2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9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25"/>
      <c r="R10" s="826"/>
      <c r="U10" s="24" t="s">
        <v>20</v>
      </c>
      <c r="V10" s="683" t="s">
        <v>21</v>
      </c>
      <c r="W10" s="684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12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7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6" customFormat="1" ht="23.25" customHeight="1" x14ac:dyDescent="0.2">
      <c r="A13" s="812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12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799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6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85" t="s">
        <v>48</v>
      </c>
      <c r="V17" s="738"/>
      <c r="W17" s="679" t="s">
        <v>49</v>
      </c>
      <c r="X17" s="679" t="s">
        <v>50</v>
      </c>
      <c r="Y17" s="986" t="s">
        <v>51</v>
      </c>
      <c r="Z17" s="888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87"/>
      <c r="Z18" s="889"/>
      <c r="AA18" s="871"/>
      <c r="AB18" s="871"/>
      <c r="AC18" s="871"/>
      <c r="AD18" s="949"/>
      <c r="AE18" s="950"/>
      <c r="AF18" s="951"/>
      <c r="AG18" s="66"/>
      <c r="BD18" s="65"/>
    </row>
    <row r="19" spans="1:68" ht="27.75" hidden="1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hidden="1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idden="1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0</v>
      </c>
      <c r="Y94" s="631">
        <f>IFERROR(Y90/H90,"0")+IFERROR(Y91/H91,"0")+IFERROR(Y92/H92,"0")+IFERROR(Y93/H93,"0")</f>
        <v>0</v>
      </c>
      <c r="Z94" s="631">
        <f>IFERROR(IF(Z90="",0,Z90),"0")+IFERROR(IF(Z91="",0,Z91),"0")+IFERROR(IF(Z92="",0,Z92),"0")+IFERROR(IF(Z93="",0,Z93),"0")</f>
        <v>0</v>
      </c>
      <c r="AA94" s="632"/>
      <c r="AB94" s="632"/>
      <c r="AC94" s="632"/>
    </row>
    <row r="95" spans="1:68" hidden="1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0</v>
      </c>
      <c r="Y95" s="631">
        <f>IFERROR(SUM(Y90:Y93),"0")</f>
        <v>0</v>
      </c>
      <c r="Z95" s="37"/>
      <c r="AA95" s="632"/>
      <c r="AB95" s="632"/>
      <c r="AC95" s="632"/>
    </row>
    <row r="96" spans="1:68" ht="16.5" hidden="1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6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5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hidden="1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80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6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10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9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hidden="1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400</v>
      </c>
      <c r="Y425" s="630">
        <f t="shared" si="59"/>
        <v>405</v>
      </c>
      <c r="Z425" s="36">
        <f>IFERROR(IF(Y425=0,"",ROUNDUP(Y425/H425,0)*0.02175),"")</f>
        <v>0.58724999999999994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412.53333333333336</v>
      </c>
      <c r="BN425" s="64">
        <f t="shared" si="61"/>
        <v>417.69</v>
      </c>
      <c r="BO425" s="64">
        <f t="shared" si="62"/>
        <v>0.55555555555555558</v>
      </c>
      <c r="BP425" s="64">
        <f t="shared" si="63"/>
        <v>0.5625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300</v>
      </c>
      <c r="Y426" s="630">
        <f t="shared" si="59"/>
        <v>300</v>
      </c>
      <c r="Z426" s="36">
        <f>IFERROR(IF(Y426=0,"",ROUNDUP(Y426/H426,0)*0.02175),"")</f>
        <v>0.43499999999999994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309.39999999999998</v>
      </c>
      <c r="BN426" s="64">
        <f t="shared" si="61"/>
        <v>309.39999999999998</v>
      </c>
      <c r="BO426" s="64">
        <f t="shared" si="62"/>
        <v>0.41666666666666663</v>
      </c>
      <c r="BP426" s="64">
        <f t="shared" si="63"/>
        <v>0.41666666666666663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200</v>
      </c>
      <c r="Y427" s="630">
        <f t="shared" si="59"/>
        <v>210</v>
      </c>
      <c r="Z427" s="36">
        <f>IFERROR(IF(Y427=0,"",ROUNDUP(Y427/H427,0)*0.02175),"")</f>
        <v>0.30449999999999999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206.26666666666668</v>
      </c>
      <c r="BN427" s="64">
        <f t="shared" si="61"/>
        <v>216.58</v>
      </c>
      <c r="BO427" s="64">
        <f t="shared" si="62"/>
        <v>0.27777777777777779</v>
      </c>
      <c r="BP427" s="64">
        <f t="shared" si="63"/>
        <v>0.29166666666666663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200</v>
      </c>
      <c r="Y428" s="630">
        <f t="shared" si="59"/>
        <v>210</v>
      </c>
      <c r="Z428" s="36">
        <f>IFERROR(IF(Y428=0,"",ROUNDUP(Y428/H428,0)*0.02175),"")</f>
        <v>0.30449999999999999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206.26666666666668</v>
      </c>
      <c r="BN428" s="64">
        <f t="shared" si="61"/>
        <v>216.58</v>
      </c>
      <c r="BO428" s="64">
        <f t="shared" si="62"/>
        <v>0.27777777777777779</v>
      </c>
      <c r="BP428" s="64">
        <f t="shared" si="63"/>
        <v>0.29166666666666663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73.333333333333343</v>
      </c>
      <c r="Y432" s="631">
        <f>IFERROR(Y424/H424,"0")+IFERROR(Y425/H425,"0")+IFERROR(Y426/H426,"0")+IFERROR(Y427/H427,"0")+IFERROR(Y428/H428,"0")+IFERROR(Y429/H429,"0")+IFERROR(Y430/H430,"0")+IFERROR(Y431/H431,"0")</f>
        <v>75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1.6312499999999999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1100</v>
      </c>
      <c r="Y433" s="631">
        <f>IFERROR(SUM(Y424:Y431),"0")</f>
        <v>1125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450</v>
      </c>
      <c r="Y435" s="630">
        <f>IFERROR(IF(X435="",0,CEILING((X435/$H435),1)*$H435),"")</f>
        <v>450</v>
      </c>
      <c r="Z435" s="36">
        <f>IFERROR(IF(Y435=0,"",ROUNDUP(Y435/H435,0)*0.02175),"")</f>
        <v>0.65249999999999997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464.1</v>
      </c>
      <c r="BN435" s="64">
        <f>IFERROR(Y435*I435/H435,"0")</f>
        <v>464.1</v>
      </c>
      <c r="BO435" s="64">
        <f>IFERROR(1/J435*(X435/H435),"0")</f>
        <v>0.625</v>
      </c>
      <c r="BP435" s="64">
        <f>IFERROR(1/J435*(Y435/H435),"0")</f>
        <v>0.625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30</v>
      </c>
      <c r="Y438" s="631">
        <f>IFERROR(Y435/H435,"0")+IFERROR(Y436/H436,"0")+IFERROR(Y437/H437,"0")</f>
        <v>30</v>
      </c>
      <c r="Z438" s="631">
        <f>IFERROR(IF(Z435="",0,Z435),"0")+IFERROR(IF(Z436="",0,Z436),"0")+IFERROR(IF(Z437="",0,Z437),"0")</f>
        <v>0.65249999999999997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450</v>
      </c>
      <c r="Y439" s="631">
        <f>IFERROR(SUM(Y435:Y437),"0")</f>
        <v>450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9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4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hidden="1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hidden="1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9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hidden="1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1550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1575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1598.5666666666666</v>
      </c>
      <c r="Y553" s="631">
        <f>IFERROR(SUM(BN22:BN549),"0")</f>
        <v>1624.35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3</v>
      </c>
      <c r="Y554" s="38">
        <f>ROUNDUP(SUM(BP22:BP549),0)</f>
        <v>3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1673.5666666666666</v>
      </c>
      <c r="Y555" s="631">
        <f>GrossWeightTotalR+PalletQtyTotalR*25</f>
        <v>1699.35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103.33333333333334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105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2.2837499999999999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861</v>
      </c>
      <c r="B559" s="621" t="s">
        <v>60</v>
      </c>
      <c r="C559" s="621" t="s">
        <v>91</v>
      </c>
      <c r="D559" s="674" t="s">
        <v>110</v>
      </c>
      <c r="E559" s="707"/>
      <c r="F559" s="707"/>
      <c r="G559" s="707"/>
      <c r="H559" s="707"/>
      <c r="I559" s="707"/>
      <c r="J559" s="708"/>
      <c r="K559" s="674" t="s">
        <v>338</v>
      </c>
      <c r="L559" s="707"/>
      <c r="M559" s="707"/>
      <c r="N559" s="707"/>
      <c r="O559" s="707"/>
      <c r="P559" s="707"/>
      <c r="Q559" s="707"/>
      <c r="R559" s="707"/>
      <c r="S559" s="707"/>
      <c r="T559" s="707"/>
      <c r="U559" s="707"/>
      <c r="V559" s="708"/>
      <c r="W559" s="674" t="s">
        <v>681</v>
      </c>
      <c r="X559" s="708"/>
      <c r="Y559" s="674" t="s">
        <v>747</v>
      </c>
      <c r="Z559" s="708"/>
      <c r="AA559" s="621" t="s">
        <v>783</v>
      </c>
      <c r="AB559" s="674" t="s">
        <v>830</v>
      </c>
      <c r="AC559" s="708"/>
      <c r="AF559" s="622"/>
    </row>
    <row r="560" spans="1:68" ht="14.25" customHeight="1" thickTop="1" x14ac:dyDescent="0.2">
      <c r="A560" s="700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2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2"/>
    </row>
    <row r="561" spans="1:32" ht="13.9" customHeight="1" thickBot="1" x14ac:dyDescent="0.25">
      <c r="A561" s="701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2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2"/>
    </row>
    <row r="562" spans="1:32" ht="15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0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1575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550,00"/>
        <filter val="1 598,57"/>
        <filter val="1 673,57"/>
        <filter val="103,33"/>
        <filter val="200,00"/>
        <filter val="3"/>
        <filter val="30,00"/>
        <filter val="300,00"/>
        <filter val="400,00"/>
        <filter val="450,00"/>
        <filter val="73,33"/>
      </filters>
    </filterColumn>
    <filterColumn colId="29" showButton="0"/>
    <filterColumn colId="30" showButton="0"/>
  </autoFilter>
  <mergeCells count="989">
    <mergeCell ref="D17:E18"/>
    <mergeCell ref="D515:E515"/>
    <mergeCell ref="D471:E471"/>
    <mergeCell ref="A449:O450"/>
    <mergeCell ref="X17:X18"/>
    <mergeCell ref="D123:E123"/>
    <mergeCell ref="P58:T58"/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A8:C8"/>
    <mergeCell ref="P385:T385"/>
    <mergeCell ref="P410:T410"/>
    <mergeCell ref="P447:T447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368:T36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P60:T60"/>
    <mergeCell ref="D291:E291"/>
    <mergeCell ref="D239:E239"/>
    <mergeCell ref="P174:T174"/>
    <mergeCell ref="D521:E521"/>
    <mergeCell ref="A254:Z254"/>
    <mergeCell ref="P181:T181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P105:V105"/>
    <mergeCell ref="D215:E215"/>
    <mergeCell ref="D386:E386"/>
    <mergeCell ref="A364:O365"/>
    <mergeCell ref="P492:V492"/>
    <mergeCell ref="A409:Z409"/>
    <mergeCell ref="A469:Z469"/>
    <mergeCell ref="P131:V131"/>
    <mergeCell ref="D323:E323"/>
    <mergeCell ref="D223:E223"/>
    <mergeCell ref="D279:E279"/>
    <mergeCell ref="P406:V406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