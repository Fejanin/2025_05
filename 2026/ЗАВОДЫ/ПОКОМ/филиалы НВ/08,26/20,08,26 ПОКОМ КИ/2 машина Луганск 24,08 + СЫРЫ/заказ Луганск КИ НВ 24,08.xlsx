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01A40A26-F135-4D0E-A488-DC6FC3818D0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2" i="1" l="1"/>
  <c r="X551" i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BP429" i="1" s="1"/>
  <c r="P429" i="1"/>
  <c r="BP428" i="1"/>
  <c r="BO428" i="1"/>
  <c r="BN428" i="1"/>
  <c r="BM428" i="1"/>
  <c r="Z428" i="1"/>
  <c r="Y428" i="1"/>
  <c r="P428" i="1"/>
  <c r="BO427" i="1"/>
  <c r="BM427" i="1"/>
  <c r="Y427" i="1"/>
  <c r="BP427" i="1" s="1"/>
  <c r="P427" i="1"/>
  <c r="BP426" i="1"/>
  <c r="BO426" i="1"/>
  <c r="BN426" i="1"/>
  <c r="BM426" i="1"/>
  <c r="Z426" i="1"/>
  <c r="Y426" i="1"/>
  <c r="P426" i="1"/>
  <c r="BO425" i="1"/>
  <c r="BM425" i="1"/>
  <c r="Y425" i="1"/>
  <c r="BP425" i="1" s="1"/>
  <c r="P425" i="1"/>
  <c r="BP424" i="1"/>
  <c r="BO424" i="1"/>
  <c r="BN424" i="1"/>
  <c r="BM424" i="1"/>
  <c r="Z424" i="1"/>
  <c r="Y424" i="1"/>
  <c r="P424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BP417" i="1" s="1"/>
  <c r="P417" i="1"/>
  <c r="BP416" i="1"/>
  <c r="BO416" i="1"/>
  <c r="BN416" i="1"/>
  <c r="BM416" i="1"/>
  <c r="Z416" i="1"/>
  <c r="Y416" i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U562" i="1" s="1"/>
  <c r="P410" i="1"/>
  <c r="X407" i="1"/>
  <c r="X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Y400" i="1" s="1"/>
  <c r="P397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Y394" i="1" s="1"/>
  <c r="P390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Y382" i="1" s="1"/>
  <c r="P377" i="1"/>
  <c r="X375" i="1"/>
  <c r="X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BP371" i="1" s="1"/>
  <c r="P371" i="1"/>
  <c r="BP370" i="1"/>
  <c r="BO370" i="1"/>
  <c r="BN370" i="1"/>
  <c r="BM370" i="1"/>
  <c r="Z370" i="1"/>
  <c r="Y370" i="1"/>
  <c r="P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Y374" i="1" s="1"/>
  <c r="P367" i="1"/>
  <c r="X365" i="1"/>
  <c r="X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BP361" i="1" s="1"/>
  <c r="P361" i="1"/>
  <c r="BP360" i="1"/>
  <c r="BO360" i="1"/>
  <c r="BN360" i="1"/>
  <c r="BM360" i="1"/>
  <c r="Z360" i="1"/>
  <c r="Y360" i="1"/>
  <c r="P360" i="1"/>
  <c r="BO359" i="1"/>
  <c r="BM359" i="1"/>
  <c r="Y359" i="1"/>
  <c r="T562" i="1" s="1"/>
  <c r="P359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S562" i="1" s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Y348" i="1" s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Y334" i="1" s="1"/>
  <c r="P332" i="1"/>
  <c r="BP331" i="1"/>
  <c r="BO331" i="1"/>
  <c r="BN331" i="1"/>
  <c r="BM331" i="1"/>
  <c r="Z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Y304" i="1" s="1"/>
  <c r="P298" i="1"/>
  <c r="BP297" i="1"/>
  <c r="BO297" i="1"/>
  <c r="BN297" i="1"/>
  <c r="BM297" i="1"/>
  <c r="Z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Y289" i="1" s="1"/>
  <c r="P277" i="1"/>
  <c r="BP276" i="1"/>
  <c r="BO276" i="1"/>
  <c r="BN276" i="1"/>
  <c r="BM276" i="1"/>
  <c r="Z276" i="1"/>
  <c r="Y276" i="1"/>
  <c r="Y288" i="1" s="1"/>
  <c r="P276" i="1"/>
  <c r="X274" i="1"/>
  <c r="X273" i="1"/>
  <c r="BO272" i="1"/>
  <c r="BM272" i="1"/>
  <c r="Z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Y274" i="1" s="1"/>
  <c r="P265" i="1"/>
  <c r="X263" i="1"/>
  <c r="X262" i="1"/>
  <c r="BO261" i="1"/>
  <c r="BM261" i="1"/>
  <c r="Y261" i="1"/>
  <c r="BP261" i="1" s="1"/>
  <c r="P261" i="1"/>
  <c r="BP260" i="1"/>
  <c r="BO260" i="1"/>
  <c r="BN260" i="1"/>
  <c r="BM260" i="1"/>
  <c r="Z260" i="1"/>
  <c r="Y260" i="1"/>
  <c r="Y262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M562" i="1" s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Y241" i="1" s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Y233" i="1" s="1"/>
  <c r="P219" i="1"/>
  <c r="X217" i="1"/>
  <c r="X216" i="1"/>
  <c r="BO215" i="1"/>
  <c r="BM215" i="1"/>
  <c r="Y215" i="1"/>
  <c r="L562" i="1" s="1"/>
  <c r="P215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K562" i="1" s="1"/>
  <c r="P204" i="1"/>
  <c r="X200" i="1"/>
  <c r="X199" i="1"/>
  <c r="BO198" i="1"/>
  <c r="BM198" i="1"/>
  <c r="Y198" i="1"/>
  <c r="Y200" i="1" s="1"/>
  <c r="P198" i="1"/>
  <c r="X196" i="1"/>
  <c r="X195" i="1"/>
  <c r="BO194" i="1"/>
  <c r="BM194" i="1"/>
  <c r="Y194" i="1"/>
  <c r="Y196" i="1" s="1"/>
  <c r="P194" i="1"/>
  <c r="X192" i="1"/>
  <c r="X191" i="1"/>
  <c r="BO190" i="1"/>
  <c r="BM190" i="1"/>
  <c r="Y190" i="1"/>
  <c r="BP190" i="1" s="1"/>
  <c r="P190" i="1"/>
  <c r="BP189" i="1"/>
  <c r="BO189" i="1"/>
  <c r="BN189" i="1"/>
  <c r="BM189" i="1"/>
  <c r="Z189" i="1"/>
  <c r="Y189" i="1"/>
  <c r="P189" i="1"/>
  <c r="BO188" i="1"/>
  <c r="BM188" i="1"/>
  <c r="Y188" i="1"/>
  <c r="Y192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6" i="1" s="1"/>
  <c r="P174" i="1"/>
  <c r="X172" i="1"/>
  <c r="X171" i="1"/>
  <c r="BO170" i="1"/>
  <c r="BM170" i="1"/>
  <c r="Y170" i="1"/>
  <c r="Y172" i="1" s="1"/>
  <c r="P170" i="1"/>
  <c r="BP169" i="1"/>
  <c r="BO169" i="1"/>
  <c r="BN169" i="1"/>
  <c r="BM169" i="1"/>
  <c r="Z169" i="1"/>
  <c r="Y169" i="1"/>
  <c r="Y171" i="1" s="1"/>
  <c r="P169" i="1"/>
  <c r="X167" i="1"/>
  <c r="X166" i="1"/>
  <c r="BP165" i="1"/>
  <c r="BO165" i="1"/>
  <c r="BN165" i="1"/>
  <c r="BM165" i="1"/>
  <c r="Z165" i="1"/>
  <c r="Y165" i="1"/>
  <c r="P165" i="1"/>
  <c r="BO164" i="1"/>
  <c r="BM164" i="1"/>
  <c r="Y164" i="1"/>
  <c r="Y166" i="1" s="1"/>
  <c r="P164" i="1"/>
  <c r="BP163" i="1"/>
  <c r="BO163" i="1"/>
  <c r="BN163" i="1"/>
  <c r="BM163" i="1"/>
  <c r="Z163" i="1"/>
  <c r="Y163" i="1"/>
  <c r="P163" i="1"/>
  <c r="X160" i="1"/>
  <c r="Y159" i="1"/>
  <c r="X159" i="1"/>
  <c r="BP158" i="1"/>
  <c r="BO158" i="1"/>
  <c r="BN158" i="1"/>
  <c r="BM158" i="1"/>
  <c r="Z158" i="1"/>
  <c r="Z159" i="1" s="1"/>
  <c r="Y158" i="1"/>
  <c r="Y160" i="1" s="1"/>
  <c r="P158" i="1"/>
  <c r="X156" i="1"/>
  <c r="X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5" i="1" s="1"/>
  <c r="P149" i="1"/>
  <c r="BP148" i="1"/>
  <c r="BO148" i="1"/>
  <c r="BN148" i="1"/>
  <c r="BM148" i="1"/>
  <c r="Z148" i="1"/>
  <c r="Y148" i="1"/>
  <c r="P148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4" i="1" s="1"/>
  <c r="P142" i="1"/>
  <c r="BP141" i="1"/>
  <c r="BO141" i="1"/>
  <c r="BN141" i="1"/>
  <c r="BM141" i="1"/>
  <c r="Z141" i="1"/>
  <c r="Y141" i="1"/>
  <c r="Y145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Y121" i="1" s="1"/>
  <c r="P117" i="1"/>
  <c r="BP116" i="1"/>
  <c r="BO116" i="1"/>
  <c r="BN116" i="1"/>
  <c r="BM116" i="1"/>
  <c r="Z116" i="1"/>
  <c r="Y116" i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BP90" i="1"/>
  <c r="BO90" i="1"/>
  <c r="BN90" i="1"/>
  <c r="BM90" i="1"/>
  <c r="Z90" i="1"/>
  <c r="Y90" i="1"/>
  <c r="Y94" i="1" s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BO83" i="1"/>
  <c r="BM83" i="1"/>
  <c r="Y83" i="1"/>
  <c r="F562" i="1" s="1"/>
  <c r="P83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4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E562" i="1" s="1"/>
  <c r="P56" i="1"/>
  <c r="X53" i="1"/>
  <c r="X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Y53" i="1" s="1"/>
  <c r="P49" i="1"/>
  <c r="BP48" i="1"/>
  <c r="BO48" i="1"/>
  <c r="BN48" i="1"/>
  <c r="BM48" i="1"/>
  <c r="Z48" i="1"/>
  <c r="Y48" i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556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62" i="1"/>
  <c r="X553" i="1"/>
  <c r="X554" i="1"/>
  <c r="Z23" i="1"/>
  <c r="Z24" i="1" s="1"/>
  <c r="BN23" i="1"/>
  <c r="BP23" i="1"/>
  <c r="Y24" i="1"/>
  <c r="X552" i="1"/>
  <c r="Z27" i="1"/>
  <c r="Z32" i="1" s="1"/>
  <c r="BN27" i="1"/>
  <c r="BP27" i="1"/>
  <c r="Y554" i="1" s="1"/>
  <c r="Z29" i="1"/>
  <c r="BN29" i="1"/>
  <c r="Z31" i="1"/>
  <c r="BN31" i="1"/>
  <c r="Y32" i="1"/>
  <c r="Z37" i="1"/>
  <c r="Z43" i="1" s="1"/>
  <c r="BN37" i="1"/>
  <c r="BP37" i="1"/>
  <c r="Z39" i="1"/>
  <c r="BN39" i="1"/>
  <c r="Z41" i="1"/>
  <c r="BN41" i="1"/>
  <c r="Y44" i="1"/>
  <c r="D562" i="1"/>
  <c r="Z49" i="1"/>
  <c r="Z52" i="1" s="1"/>
  <c r="BN49" i="1"/>
  <c r="BP49" i="1"/>
  <c r="Z51" i="1"/>
  <c r="BN51" i="1"/>
  <c r="Y52" i="1"/>
  <c r="Z56" i="1"/>
  <c r="BN56" i="1"/>
  <c r="BP56" i="1"/>
  <c r="Z58" i="1"/>
  <c r="BN58" i="1"/>
  <c r="Z60" i="1"/>
  <c r="BN60" i="1"/>
  <c r="Y63" i="1"/>
  <c r="Y552" i="1" s="1"/>
  <c r="Z66" i="1"/>
  <c r="Z69" i="1" s="1"/>
  <c r="BN66" i="1"/>
  <c r="BP66" i="1"/>
  <c r="Z68" i="1"/>
  <c r="BN68" i="1"/>
  <c r="Z72" i="1"/>
  <c r="Z74" i="1" s="1"/>
  <c r="BN72" i="1"/>
  <c r="BP72" i="1"/>
  <c r="Y75" i="1"/>
  <c r="Z78" i="1"/>
  <c r="Z79" i="1" s="1"/>
  <c r="BN78" i="1"/>
  <c r="BP78" i="1"/>
  <c r="Z83" i="1"/>
  <c r="BN83" i="1"/>
  <c r="BP83" i="1"/>
  <c r="Z85" i="1"/>
  <c r="BN85" i="1"/>
  <c r="Y88" i="1"/>
  <c r="Z91" i="1"/>
  <c r="BN91" i="1"/>
  <c r="BP91" i="1"/>
  <c r="Z93" i="1"/>
  <c r="Z94" i="1" s="1"/>
  <c r="BN93" i="1"/>
  <c r="Z98" i="1"/>
  <c r="BN98" i="1"/>
  <c r="Z100" i="1"/>
  <c r="BN100" i="1"/>
  <c r="Z102" i="1"/>
  <c r="BN102" i="1"/>
  <c r="BP103" i="1"/>
  <c r="BN103" i="1"/>
  <c r="Z103" i="1"/>
  <c r="Y114" i="1"/>
  <c r="BP111" i="1"/>
  <c r="BN111" i="1"/>
  <c r="Z111" i="1"/>
  <c r="Y120" i="1"/>
  <c r="BP119" i="1"/>
  <c r="BN119" i="1"/>
  <c r="Z119" i="1"/>
  <c r="Y124" i="1"/>
  <c r="BP123" i="1"/>
  <c r="BN123" i="1"/>
  <c r="Z123" i="1"/>
  <c r="Z124" i="1" s="1"/>
  <c r="Y125" i="1"/>
  <c r="H562" i="1"/>
  <c r="Y131" i="1"/>
  <c r="BP128" i="1"/>
  <c r="BN128" i="1"/>
  <c r="Z128" i="1"/>
  <c r="BP136" i="1"/>
  <c r="BN136" i="1"/>
  <c r="Z136" i="1"/>
  <c r="F9" i="1"/>
  <c r="J9" i="1"/>
  <c r="Y43" i="1"/>
  <c r="Y62" i="1"/>
  <c r="Y87" i="1"/>
  <c r="G562" i="1"/>
  <c r="Y106" i="1"/>
  <c r="Y105" i="1"/>
  <c r="Z113" i="1"/>
  <c r="BP109" i="1"/>
  <c r="BN109" i="1"/>
  <c r="Y553" i="1" s="1"/>
  <c r="Y555" i="1" s="1"/>
  <c r="Z109" i="1"/>
  <c r="Y113" i="1"/>
  <c r="BP117" i="1"/>
  <c r="BN117" i="1"/>
  <c r="Z117" i="1"/>
  <c r="Z120" i="1" s="1"/>
  <c r="BP130" i="1"/>
  <c r="BN130" i="1"/>
  <c r="Z130" i="1"/>
  <c r="Y132" i="1"/>
  <c r="Y139" i="1"/>
  <c r="BP134" i="1"/>
  <c r="BN134" i="1"/>
  <c r="Z134" i="1"/>
  <c r="Z138" i="1" s="1"/>
  <c r="Y138" i="1"/>
  <c r="Z171" i="1"/>
  <c r="Z142" i="1"/>
  <c r="Z144" i="1" s="1"/>
  <c r="BN142" i="1"/>
  <c r="BP142" i="1"/>
  <c r="I562" i="1"/>
  <c r="Z149" i="1"/>
  <c r="Z155" i="1" s="1"/>
  <c r="BN149" i="1"/>
  <c r="BP149" i="1"/>
  <c r="Z151" i="1"/>
  <c r="BN151" i="1"/>
  <c r="Z153" i="1"/>
  <c r="BN153" i="1"/>
  <c r="Y156" i="1"/>
  <c r="J562" i="1"/>
  <c r="Z164" i="1"/>
  <c r="Z166" i="1" s="1"/>
  <c r="BN164" i="1"/>
  <c r="BP164" i="1"/>
  <c r="Y167" i="1"/>
  <c r="Z170" i="1"/>
  <c r="BN170" i="1"/>
  <c r="BP170" i="1"/>
  <c r="Z174" i="1"/>
  <c r="Z185" i="1" s="1"/>
  <c r="BN174" i="1"/>
  <c r="BP174" i="1"/>
  <c r="Z176" i="1"/>
  <c r="BN176" i="1"/>
  <c r="Z178" i="1"/>
  <c r="BN178" i="1"/>
  <c r="Z180" i="1"/>
  <c r="BN180" i="1"/>
  <c r="Z182" i="1"/>
  <c r="BN182" i="1"/>
  <c r="Z184" i="1"/>
  <c r="BN184" i="1"/>
  <c r="Y185" i="1"/>
  <c r="Z188" i="1"/>
  <c r="Z191" i="1" s="1"/>
  <c r="BN188" i="1"/>
  <c r="BP188" i="1"/>
  <c r="Z190" i="1"/>
  <c r="BN190" i="1"/>
  <c r="Y191" i="1"/>
  <c r="Z194" i="1"/>
  <c r="Z195" i="1" s="1"/>
  <c r="BN194" i="1"/>
  <c r="BP194" i="1"/>
  <c r="Y195" i="1"/>
  <c r="Z198" i="1"/>
  <c r="Z199" i="1" s="1"/>
  <c r="BN198" i="1"/>
  <c r="BP198" i="1"/>
  <c r="Y199" i="1"/>
  <c r="Z204" i="1"/>
  <c r="Z211" i="1" s="1"/>
  <c r="BN204" i="1"/>
  <c r="BP204" i="1"/>
  <c r="Z206" i="1"/>
  <c r="BN206" i="1"/>
  <c r="Z208" i="1"/>
  <c r="BN208" i="1"/>
  <c r="Z210" i="1"/>
  <c r="BN210" i="1"/>
  <c r="Y211" i="1"/>
  <c r="Z215" i="1"/>
  <c r="Z216" i="1" s="1"/>
  <c r="BN215" i="1"/>
  <c r="BP215" i="1"/>
  <c r="Y216" i="1"/>
  <c r="Z219" i="1"/>
  <c r="Z233" i="1" s="1"/>
  <c r="BN219" i="1"/>
  <c r="BP219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Y234" i="1"/>
  <c r="Y242" i="1"/>
  <c r="Y248" i="1"/>
  <c r="Y252" i="1"/>
  <c r="Y257" i="1"/>
  <c r="Y263" i="1"/>
  <c r="BN272" i="1"/>
  <c r="Y273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BP316" i="1"/>
  <c r="BN316" i="1"/>
  <c r="Z316" i="1"/>
  <c r="Z318" i="1" s="1"/>
  <c r="Y328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Z455" i="1"/>
  <c r="Y212" i="1"/>
  <c r="Y217" i="1"/>
  <c r="Z232" i="1"/>
  <c r="BN232" i="1"/>
  <c r="Z236" i="1"/>
  <c r="BN236" i="1"/>
  <c r="BP236" i="1"/>
  <c r="Z238" i="1"/>
  <c r="BN238" i="1"/>
  <c r="Z240" i="1"/>
  <c r="BN240" i="1"/>
  <c r="Z244" i="1"/>
  <c r="Z247" i="1" s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Z273" i="1" s="1"/>
  <c r="BN265" i="1"/>
  <c r="BP265" i="1"/>
  <c r="Z267" i="1"/>
  <c r="BN267" i="1"/>
  <c r="Z269" i="1"/>
  <c r="BN269" i="1"/>
  <c r="Z271" i="1"/>
  <c r="BN271" i="1"/>
  <c r="BP277" i="1"/>
  <c r="BN277" i="1"/>
  <c r="Z277" i="1"/>
  <c r="BP281" i="1"/>
  <c r="BN281" i="1"/>
  <c r="Z281" i="1"/>
  <c r="Z288" i="1" s="1"/>
  <c r="BP285" i="1"/>
  <c r="BN285" i="1"/>
  <c r="Z285" i="1"/>
  <c r="Y293" i="1"/>
  <c r="BP298" i="1"/>
  <c r="BN298" i="1"/>
  <c r="Z298" i="1"/>
  <c r="Z304" i="1" s="1"/>
  <c r="BP302" i="1"/>
  <c r="BN302" i="1"/>
  <c r="Z302" i="1"/>
  <c r="Z327" i="1"/>
  <c r="BP323" i="1"/>
  <c r="BN323" i="1"/>
  <c r="Z323" i="1"/>
  <c r="Y327" i="1"/>
  <c r="BP332" i="1"/>
  <c r="BN332" i="1"/>
  <c r="Z332" i="1"/>
  <c r="Z334" i="1" s="1"/>
  <c r="BP341" i="1"/>
  <c r="BN341" i="1"/>
  <c r="Z341" i="1"/>
  <c r="Z387" i="1"/>
  <c r="Y356" i="1"/>
  <c r="Y365" i="1"/>
  <c r="Y375" i="1"/>
  <c r="Y381" i="1"/>
  <c r="Y387" i="1"/>
  <c r="Y395" i="1"/>
  <c r="Y401" i="1"/>
  <c r="Y407" i="1"/>
  <c r="Y412" i="1"/>
  <c r="Y419" i="1"/>
  <c r="BP437" i="1"/>
  <c r="BN437" i="1"/>
  <c r="Z437" i="1"/>
  <c r="Y439" i="1"/>
  <c r="Y444" i="1"/>
  <c r="BP441" i="1"/>
  <c r="BN441" i="1"/>
  <c r="Z441" i="1"/>
  <c r="Z444" i="1" s="1"/>
  <c r="BP454" i="1"/>
  <c r="BN454" i="1"/>
  <c r="Z454" i="1"/>
  <c r="Y456" i="1"/>
  <c r="Y459" i="1"/>
  <c r="BP458" i="1"/>
  <c r="BN458" i="1"/>
  <c r="Z458" i="1"/>
  <c r="Z459" i="1" s="1"/>
  <c r="Y460" i="1"/>
  <c r="Y465" i="1"/>
  <c r="BP462" i="1"/>
  <c r="BN462" i="1"/>
  <c r="Z462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P562" i="1"/>
  <c r="X562" i="1"/>
  <c r="O562" i="1"/>
  <c r="Y305" i="1"/>
  <c r="Q562" i="1"/>
  <c r="Y335" i="1"/>
  <c r="R562" i="1"/>
  <c r="Y344" i="1"/>
  <c r="Z352" i="1"/>
  <c r="BN352" i="1"/>
  <c r="BP352" i="1"/>
  <c r="Z354" i="1"/>
  <c r="BN354" i="1"/>
  <c r="Y355" i="1"/>
  <c r="Z359" i="1"/>
  <c r="BN359" i="1"/>
  <c r="BP359" i="1"/>
  <c r="Z361" i="1"/>
  <c r="BN361" i="1"/>
  <c r="Z363" i="1"/>
  <c r="BN363" i="1"/>
  <c r="Y364" i="1"/>
  <c r="Z367" i="1"/>
  <c r="BN367" i="1"/>
  <c r="BP367" i="1"/>
  <c r="Z369" i="1"/>
  <c r="BN369" i="1"/>
  <c r="Z371" i="1"/>
  <c r="BN371" i="1"/>
  <c r="Z373" i="1"/>
  <c r="BN373" i="1"/>
  <c r="Z377" i="1"/>
  <c r="Z381" i="1" s="1"/>
  <c r="BN377" i="1"/>
  <c r="BP377" i="1"/>
  <c r="Z379" i="1"/>
  <c r="BN379" i="1"/>
  <c r="Z385" i="1"/>
  <c r="BN385" i="1"/>
  <c r="Z391" i="1"/>
  <c r="Z394" i="1" s="1"/>
  <c r="BN391" i="1"/>
  <c r="Z393" i="1"/>
  <c r="BN393" i="1"/>
  <c r="Z397" i="1"/>
  <c r="BN397" i="1"/>
  <c r="BP397" i="1"/>
  <c r="Z399" i="1"/>
  <c r="BN399" i="1"/>
  <c r="Z403" i="1"/>
  <c r="Z406" i="1" s="1"/>
  <c r="BN403" i="1"/>
  <c r="BP403" i="1"/>
  <c r="Z405" i="1"/>
  <c r="BN405" i="1"/>
  <c r="Z410" i="1"/>
  <c r="Z412" i="1" s="1"/>
  <c r="BN410" i="1"/>
  <c r="BP410" i="1"/>
  <c r="Y413" i="1"/>
  <c r="V562" i="1"/>
  <c r="Z417" i="1"/>
  <c r="Z419" i="1" s="1"/>
  <c r="BN417" i="1"/>
  <c r="Y420" i="1"/>
  <c r="W562" i="1"/>
  <c r="Y432" i="1"/>
  <c r="Z425" i="1"/>
  <c r="Z432" i="1" s="1"/>
  <c r="BN425" i="1"/>
  <c r="Z427" i="1"/>
  <c r="BN427" i="1"/>
  <c r="Z429" i="1"/>
  <c r="BN429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45" i="1"/>
  <c r="Y450" i="1"/>
  <c r="BP447" i="1"/>
  <c r="BN447" i="1"/>
  <c r="Z447" i="1"/>
  <c r="Z449" i="1" s="1"/>
  <c r="Y455" i="1"/>
  <c r="BP464" i="1"/>
  <c r="BN464" i="1"/>
  <c r="Z464" i="1"/>
  <c r="Y466" i="1"/>
  <c r="Y562" i="1"/>
  <c r="Y477" i="1"/>
  <c r="BP470" i="1"/>
  <c r="BN470" i="1"/>
  <c r="Z470" i="1"/>
  <c r="Z476" i="1" s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506" i="1" l="1"/>
  <c r="Z522" i="1"/>
  <c r="Z131" i="1"/>
  <c r="Z105" i="1"/>
  <c r="Y556" i="1"/>
  <c r="Z400" i="1"/>
  <c r="Z374" i="1"/>
  <c r="Z364" i="1"/>
  <c r="Z355" i="1"/>
  <c r="Z492" i="1"/>
  <c r="Z465" i="1"/>
  <c r="Z241" i="1"/>
  <c r="Z87" i="1"/>
  <c r="Z62" i="1"/>
  <c r="Z557" i="1" s="1"/>
  <c r="X555" i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<sst xmlns="http://schemas.openxmlformats.org/spreadsheetml/2006/main" count="2497" uniqueCount="905">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</sst>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28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68" t="s">
        <v>7</v>
      </c>
      <c r="B5" s="737"/>
      <c r="C5" s="738"/>
      <c r="D5" s="721"/>
      <c r="E5" s="722"/>
      <c r="F5" s="952" t="s">
        <v>8</v>
      </c>
      <c r="G5" s="738"/>
      <c r="H5" s="721"/>
      <c r="I5" s="891"/>
      <c r="J5" s="891"/>
      <c r="K5" s="891"/>
      <c r="L5" s="891"/>
      <c r="M5" s="722"/>
      <c r="N5" s="58"/>
      <c r="P5" s="24" t="s">
        <v>9</v>
      </c>
      <c r="Q5" s="966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3" customFormat="1" ht="24" customHeight="1" x14ac:dyDescent="0.2">
      <c r="A6" s="768" t="s">
        <v>12</v>
      </c>
      <c r="B6" s="737"/>
      <c r="C6" s="738"/>
      <c r="D6" s="894"/>
      <c r="E6" s="895"/>
      <c r="F6" s="895"/>
      <c r="G6" s="895"/>
      <c r="H6" s="895"/>
      <c r="I6" s="895"/>
      <c r="J6" s="895"/>
      <c r="K6" s="895"/>
      <c r="L6" s="895"/>
      <c r="M6" s="765"/>
      <c r="N6" s="59"/>
      <c r="P6" s="24" t="s">
        <v>13</v>
      </c>
      <c r="Q6" s="975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8" t="s">
        <v>15</v>
      </c>
      <c r="W6" s="685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9"/>
      <c r="W7" s="880"/>
      <c r="AB7" s="51"/>
      <c r="AC7" s="51"/>
      <c r="AD7" s="51"/>
      <c r="AE7" s="51"/>
    </row>
    <row r="8" spans="1:32" s="623" customFormat="1" ht="25.5" customHeight="1" x14ac:dyDescent="0.2">
      <c r="A8" s="992" t="s">
        <v>16</v>
      </c>
      <c r="B8" s="647"/>
      <c r="C8" s="648"/>
      <c r="D8" s="706"/>
      <c r="E8" s="707"/>
      <c r="F8" s="707"/>
      <c r="G8" s="707"/>
      <c r="H8" s="707"/>
      <c r="I8" s="707"/>
      <c r="J8" s="707"/>
      <c r="K8" s="707"/>
      <c r="L8" s="707"/>
      <c r="M8" s="708"/>
      <c r="N8" s="61"/>
      <c r="P8" s="24" t="s">
        <v>17</v>
      </c>
      <c r="Q8" s="778">
        <v>0.41666666666666669</v>
      </c>
      <c r="R8" s="693"/>
      <c r="T8" s="643"/>
      <c r="U8" s="790"/>
      <c r="V8" s="879"/>
      <c r="W8" s="880"/>
      <c r="AB8" s="51"/>
      <c r="AC8" s="51"/>
      <c r="AD8" s="51"/>
      <c r="AE8" s="51"/>
    </row>
    <row r="9" spans="1:32" s="623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3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1"/>
      <c r="P9" s="26" t="s">
        <v>18</v>
      </c>
      <c r="Q9" s="761"/>
      <c r="R9" s="762"/>
      <c r="T9" s="643"/>
      <c r="U9" s="790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3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5"/>
      <c r="R10" s="826"/>
      <c r="U10" s="24" t="s">
        <v>20</v>
      </c>
      <c r="V10" s="684" t="s">
        <v>21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3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8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3" customFormat="1" ht="23.25" customHeight="1" x14ac:dyDescent="0.2">
      <c r="A13" s="813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3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800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7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91" t="s">
        <v>48</v>
      </c>
      <c r="V17" s="738"/>
      <c r="W17" s="679" t="s">
        <v>49</v>
      </c>
      <c r="X17" s="679" t="s">
        <v>50</v>
      </c>
      <c r="Y17" s="989" t="s">
        <v>51</v>
      </c>
      <c r="Z17" s="889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90"/>
      <c r="Z18" s="890"/>
      <c r="AA18" s="871"/>
      <c r="AB18" s="871"/>
      <c r="AC18" s="871"/>
      <c r="AD18" s="949"/>
      <c r="AE18" s="950"/>
      <c r="AF18" s="951"/>
      <c r="AG18" s="66"/>
      <c r="BD18" s="65"/>
    </row>
    <row r="19" spans="1:68" ht="27.75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19</v>
      </c>
      <c r="Y29" s="630">
        <f>IFERROR(IF(X29="",0,CEILING((X29/$H29),1)*$H29),"")</f>
        <v>19.8</v>
      </c>
      <c r="Z29" s="36">
        <f>IFERROR(IF(Y29=0,"",ROUNDUP(Y29/H29,0)*0.00651),"")</f>
        <v>7.1610000000000007E-2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33.56666666666667</v>
      </c>
      <c r="BN29" s="64">
        <f>IFERROR(Y29*I29/H29,"0")</f>
        <v>34.980000000000004</v>
      </c>
      <c r="BO29" s="64">
        <f>IFERROR(1/J29*(X29/H29),"0")</f>
        <v>5.7997557997558E-2</v>
      </c>
      <c r="BP29" s="64">
        <f>IFERROR(1/J29*(Y29/H29),"0")</f>
        <v>6.0439560439560447E-2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55</v>
      </c>
      <c r="Y30" s="630">
        <f>IFERROR(IF(X30="",0,CEILING((X30/$H30),1)*$H30),"")</f>
        <v>55.800000000000004</v>
      </c>
      <c r="Z30" s="36">
        <f>IFERROR(IF(Y30=0,"",ROUNDUP(Y30/H30,0)*0.00651),"")</f>
        <v>0.20181000000000002</v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97.166666666666671</v>
      </c>
      <c r="BN30" s="64">
        <f>IFERROR(Y30*I30/H30,"0")</f>
        <v>98.580000000000013</v>
      </c>
      <c r="BO30" s="64">
        <f>IFERROR(1/J30*(X30/H30),"0")</f>
        <v>0.1678876678876679</v>
      </c>
      <c r="BP30" s="64">
        <f>IFERROR(1/J30*(Y30/H30),"0")</f>
        <v>0.17032967032967034</v>
      </c>
    </row>
    <row r="31" spans="1:68" ht="27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41.111111111111107</v>
      </c>
      <c r="Y32" s="631">
        <f>IFERROR(Y27/H27,"0")+IFERROR(Y28/H28,"0")+IFERROR(Y29/H29,"0")+IFERROR(Y30/H30,"0")+IFERROR(Y31/H31,"0")</f>
        <v>42</v>
      </c>
      <c r="Z32" s="631">
        <f>IFERROR(IF(Z27="",0,Z27),"0")+IFERROR(IF(Z28="",0,Z28),"0")+IFERROR(IF(Z29="",0,Z29),"0")+IFERROR(IF(Z30="",0,Z30),"0")+IFERROR(IF(Z31="",0,Z31),"0")</f>
        <v>0.27342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74</v>
      </c>
      <c r="Y33" s="631">
        <f>IFERROR(SUM(Y27:Y31),"0")</f>
        <v>75.600000000000009</v>
      </c>
      <c r="Z33" s="37"/>
      <c r="AA33" s="632"/>
      <c r="AB33" s="632"/>
      <c r="AC33" s="632"/>
    </row>
    <row r="34" spans="1:68" ht="27.75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815</v>
      </c>
      <c r="Y48" s="630">
        <f>IFERROR(IF(X48="",0,CEILING((X48/$H48),1)*$H48),"")</f>
        <v>820.80000000000007</v>
      </c>
      <c r="Z48" s="36">
        <f>IFERROR(IF(Y48=0,"",ROUNDUP(Y48/H48,0)*0.01898),"")</f>
        <v>1.44248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845.93981481481489</v>
      </c>
      <c r="BN48" s="64">
        <f>IFERROR(Y48*I48/H48,"0")</f>
        <v>851.96</v>
      </c>
      <c r="BO48" s="64">
        <f>IFERROR(1/J48*(X48/H48),"0")</f>
        <v>1.1791087962962963</v>
      </c>
      <c r="BP48" s="64">
        <f>IFERROR(1/J48*(Y48/H48),"0")</f>
        <v>1.1875</v>
      </c>
    </row>
    <row r="49" spans="1:68" ht="27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61</v>
      </c>
      <c r="Y51" s="630">
        <f>IFERROR(IF(X51="",0,CEILING((X51/$H51),1)*$H51),"")</f>
        <v>62.900000000000006</v>
      </c>
      <c r="Z51" s="36">
        <f>IFERROR(IF(Y51=0,"",ROUNDUP(Y51/H51,0)*0.00902),"")</f>
        <v>0.15334</v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64.132432432432438</v>
      </c>
      <c r="BN51" s="64">
        <f>IFERROR(Y51*I51/H51,"0")</f>
        <v>66.13000000000001</v>
      </c>
      <c r="BO51" s="64">
        <f>IFERROR(1/J51*(X51/H51),"0")</f>
        <v>0.12489762489762489</v>
      </c>
      <c r="BP51" s="64">
        <f>IFERROR(1/J51*(Y51/H51),"0")</f>
        <v>0.12878787878787878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91.949449449449446</v>
      </c>
      <c r="Y52" s="631">
        <f>IFERROR(Y48/H48,"0")+IFERROR(Y49/H49,"0")+IFERROR(Y50/H50,"0")+IFERROR(Y51/H51,"0")</f>
        <v>93</v>
      </c>
      <c r="Z52" s="631">
        <f>IFERROR(IF(Z48="",0,Z48),"0")+IFERROR(IF(Z49="",0,Z49),"0")+IFERROR(IF(Z50="",0,Z50),"0")+IFERROR(IF(Z51="",0,Z51),"0")</f>
        <v>1.59582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876</v>
      </c>
      <c r="Y53" s="631">
        <f>IFERROR(SUM(Y48:Y51),"0")</f>
        <v>883.7</v>
      </c>
      <c r="Z53" s="37"/>
      <c r="AA53" s="632"/>
      <c r="AB53" s="632"/>
      <c r="AC53" s="632"/>
    </row>
    <row r="54" spans="1:68" ht="16.5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93</v>
      </c>
      <c r="Y56" s="630">
        <f t="shared" ref="Y56:Y61" si="6">IFERROR(IF(X56="",0,CEILING((X56/$H56),1)*$H56),"")</f>
        <v>100.8</v>
      </c>
      <c r="Z56" s="36">
        <f>IFERROR(IF(Y56=0,"",ROUNDUP(Y56/H56,0)*0.01898),"")</f>
        <v>0.17082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96.404464285714297</v>
      </c>
      <c r="BN56" s="64">
        <f t="shared" ref="BN56:BN61" si="8">IFERROR(Y56*I56/H56,"0")</f>
        <v>104.49000000000001</v>
      </c>
      <c r="BO56" s="64">
        <f t="shared" ref="BO56:BO61" si="9">IFERROR(1/J56*(X56/H56),"0")</f>
        <v>0.12974330357142858</v>
      </c>
      <c r="BP56" s="64">
        <f t="shared" ref="BP56:BP61" si="10">IFERROR(1/J56*(Y56/H56),"0")</f>
        <v>0.140625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227</v>
      </c>
      <c r="Y57" s="630">
        <f t="shared" si="6"/>
        <v>237.60000000000002</v>
      </c>
      <c r="Z57" s="36">
        <f>IFERROR(IF(Y57=0,"",ROUNDUP(Y57/H57,0)*0.01898),"")</f>
        <v>0.41755999999999999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235.61759259259259</v>
      </c>
      <c r="BN57" s="64">
        <f t="shared" si="8"/>
        <v>246.62000000000003</v>
      </c>
      <c r="BO57" s="64">
        <f t="shared" si="9"/>
        <v>0.3284143518518518</v>
      </c>
      <c r="BP57" s="64">
        <f t="shared" si="10"/>
        <v>0.34375</v>
      </c>
    </row>
    <row r="58" spans="1:68" ht="27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33</v>
      </c>
      <c r="Y59" s="630">
        <f t="shared" si="6"/>
        <v>36</v>
      </c>
      <c r="Z59" s="36">
        <f>IFERROR(IF(Y59=0,"",ROUNDUP(Y59/H59,0)*0.00902),"")</f>
        <v>8.1180000000000002E-2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34.567500000000003</v>
      </c>
      <c r="BN59" s="64">
        <f t="shared" si="8"/>
        <v>37.71</v>
      </c>
      <c r="BO59" s="64">
        <f t="shared" si="9"/>
        <v>6.25E-2</v>
      </c>
      <c r="BP59" s="64">
        <f t="shared" si="10"/>
        <v>6.8181818181818177E-2</v>
      </c>
    </row>
    <row r="60" spans="1:68" ht="27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37.572089947089943</v>
      </c>
      <c r="Y62" s="631">
        <f>IFERROR(Y56/H56,"0")+IFERROR(Y57/H57,"0")+IFERROR(Y58/H58,"0")+IFERROR(Y59/H59,"0")+IFERROR(Y60/H60,"0")+IFERROR(Y61/H61,"0")</f>
        <v>40</v>
      </c>
      <c r="Z62" s="631">
        <f>IFERROR(IF(Z56="",0,Z56),"0")+IFERROR(IF(Z57="",0,Z57),"0")+IFERROR(IF(Z58="",0,Z58),"0")+IFERROR(IF(Z59="",0,Z59),"0")+IFERROR(IF(Z60="",0,Z60),"0")+IFERROR(IF(Z61="",0,Z61),"0")</f>
        <v>0.66956000000000004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353</v>
      </c>
      <c r="Y63" s="631">
        <f>IFERROR(SUM(Y56:Y61),"0")</f>
        <v>374.40000000000003</v>
      </c>
      <c r="Z63" s="37"/>
      <c r="AA63" s="632"/>
      <c r="AB63" s="632"/>
      <c r="AC63" s="632"/>
    </row>
    <row r="64" spans="1:68" ht="14.25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146</v>
      </c>
      <c r="Y65" s="630">
        <f>IFERROR(IF(X65="",0,CEILING((X65/$H65),1)*$H65),"")</f>
        <v>151.20000000000002</v>
      </c>
      <c r="Z65" s="36">
        <f>IFERROR(IF(Y65=0,"",ROUNDUP(Y65/H65,0)*0.01898),"")</f>
        <v>0.26572000000000001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151.5425925925926</v>
      </c>
      <c r="BN65" s="64">
        <f>IFERROR(Y65*I65/H65,"0")</f>
        <v>156.94</v>
      </c>
      <c r="BO65" s="64">
        <f>IFERROR(1/J65*(X65/H65),"0")</f>
        <v>0.21122685185185183</v>
      </c>
      <c r="BP65" s="64">
        <f>IFERROR(1/J65*(Y65/H65),"0")</f>
        <v>0.21875</v>
      </c>
    </row>
    <row r="66" spans="1:68" ht="16.5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13.518518518518517</v>
      </c>
      <c r="Y69" s="631">
        <f>IFERROR(Y65/H65,"0")+IFERROR(Y66/H66,"0")+IFERROR(Y67/H67,"0")+IFERROR(Y68/H68,"0")</f>
        <v>14</v>
      </c>
      <c r="Z69" s="631">
        <f>IFERROR(IF(Z65="",0,Z65),"0")+IFERROR(IF(Z66="",0,Z66),"0")+IFERROR(IF(Z67="",0,Z67),"0")+IFERROR(IF(Z68="",0,Z68),"0")</f>
        <v>0.26572000000000001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146</v>
      </c>
      <c r="Y70" s="631">
        <f>IFERROR(SUM(Y65:Y68),"0")</f>
        <v>151.20000000000002</v>
      </c>
      <c r="Z70" s="37"/>
      <c r="AA70" s="632"/>
      <c r="AB70" s="632"/>
      <c r="AC70" s="632"/>
    </row>
    <row r="71" spans="1:68" ht="14.25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179</v>
      </c>
      <c r="Y77" s="630">
        <f>IFERROR(IF(X77="",0,CEILING((X77/$H77),1)*$H77),"")</f>
        <v>179.4</v>
      </c>
      <c r="Z77" s="36">
        <f>IFERROR(IF(Y77=0,"",ROUNDUP(Y77/H77,0)*0.01898),"")</f>
        <v>0.43653999999999998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188.40897435897438</v>
      </c>
      <c r="BN77" s="64">
        <f>IFERROR(Y77*I77/H77,"0")</f>
        <v>188.83000000000004</v>
      </c>
      <c r="BO77" s="64">
        <f>IFERROR(1/J77*(X77/H77),"0")</f>
        <v>0.35857371794871795</v>
      </c>
      <c r="BP77" s="64">
        <f>IFERROR(1/J77*(Y77/H77),"0")</f>
        <v>0.359375</v>
      </c>
    </row>
    <row r="78" spans="1:68" ht="27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22.948717948717949</v>
      </c>
      <c r="Y79" s="631">
        <f>IFERROR(Y77/H77,"0")+IFERROR(Y78/H78,"0")</f>
        <v>23</v>
      </c>
      <c r="Z79" s="631">
        <f>IFERROR(IF(Z77="",0,Z77),"0")+IFERROR(IF(Z78="",0,Z78),"0")</f>
        <v>0.43653999999999998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179</v>
      </c>
      <c r="Y80" s="631">
        <f>IFERROR(SUM(Y77:Y78),"0")</f>
        <v>179.4</v>
      </c>
      <c r="Z80" s="37"/>
      <c r="AA80" s="632"/>
      <c r="AB80" s="632"/>
      <c r="AC80" s="632"/>
    </row>
    <row r="81" spans="1:68" ht="16.5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176</v>
      </c>
      <c r="Y83" s="630">
        <f>IFERROR(IF(X83="",0,CEILING((X83/$H83),1)*$H83),"")</f>
        <v>183.60000000000002</v>
      </c>
      <c r="Z83" s="36">
        <f>IFERROR(IF(Y83=0,"",ROUNDUP(Y83/H83,0)*0.01898),"")</f>
        <v>0.32266</v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182.68148148148148</v>
      </c>
      <c r="BN83" s="64">
        <f>IFERROR(Y83*I83/H83,"0")</f>
        <v>190.57000000000002</v>
      </c>
      <c r="BO83" s="64">
        <f>IFERROR(1/J83*(X83/H83),"0")</f>
        <v>0.25462962962962959</v>
      </c>
      <c r="BP83" s="64">
        <f>IFERROR(1/J83*(Y83/H83),"0")</f>
        <v>0.265625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1</v>
      </c>
      <c r="Y84" s="630">
        <f>IFERROR(IF(X84="",0,CEILING((X84/$H84),1)*$H84),"")</f>
        <v>1.7</v>
      </c>
      <c r="Z84" s="36">
        <f>IFERROR(IF(Y84=0,"",ROUNDUP(Y84/H84,0)*0.00726),"")</f>
        <v>7.26E-3</v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1.0588235294117647</v>
      </c>
      <c r="BN84" s="64">
        <f>IFERROR(Y84*I84/H84,"0")</f>
        <v>1.8</v>
      </c>
      <c r="BO84" s="64">
        <f>IFERROR(1/J84*(X84/H84),"0")</f>
        <v>3.0637254901960784E-3</v>
      </c>
      <c r="BP84" s="64">
        <f>IFERROR(1/J84*(Y84/H84),"0")</f>
        <v>5.208333333333333E-3</v>
      </c>
    </row>
    <row r="85" spans="1:68" ht="27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65</v>
      </c>
      <c r="Y86" s="630">
        <f>IFERROR(IF(X86="",0,CEILING((X86/$H86),1)*$H86),"")</f>
        <v>67.5</v>
      </c>
      <c r="Z86" s="36">
        <f>IFERROR(IF(Y86=0,"",ROUNDUP(Y86/H86,0)*0.00902),"")</f>
        <v>0.1353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67.744444444444454</v>
      </c>
      <c r="BN86" s="64">
        <f>IFERROR(Y86*I86/H86,"0")</f>
        <v>70.350000000000009</v>
      </c>
      <c r="BO86" s="64">
        <f>IFERROR(1/J86*(X86/H86),"0")</f>
        <v>0.10942760942760943</v>
      </c>
      <c r="BP86" s="64">
        <f>IFERROR(1/J86*(Y86/H86),"0")</f>
        <v>0.11363636363636365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31.328976034858385</v>
      </c>
      <c r="Y87" s="631">
        <f>IFERROR(Y83/H83,"0")+IFERROR(Y84/H84,"0")+IFERROR(Y85/H85,"0")+IFERROR(Y86/H86,"0")</f>
        <v>33</v>
      </c>
      <c r="Z87" s="631">
        <f>IFERROR(IF(Z83="",0,Z83),"0")+IFERROR(IF(Z84="",0,Z84),"0")+IFERROR(IF(Z85="",0,Z85),"0")+IFERROR(IF(Z86="",0,Z86),"0")</f>
        <v>0.46521999999999997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242</v>
      </c>
      <c r="Y88" s="631">
        <f>IFERROR(SUM(Y83:Y86),"0")</f>
        <v>252.8</v>
      </c>
      <c r="Z88" s="37"/>
      <c r="AA88" s="632"/>
      <c r="AB88" s="632"/>
      <c r="AC88" s="632"/>
    </row>
    <row r="89" spans="1:68" ht="14.25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460</v>
      </c>
      <c r="Y90" s="630">
        <f>IFERROR(IF(X90="",0,CEILING((X90/$H90),1)*$H90),"")</f>
        <v>461.7</v>
      </c>
      <c r="Z90" s="36">
        <f>IFERROR(IF(Y90=0,"",ROUNDUP(Y90/H90,0)*0.01898),"")</f>
        <v>1.08186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488.05432098765431</v>
      </c>
      <c r="BN90" s="64">
        <f>IFERROR(Y90*I90/H90,"0")</f>
        <v>489.85799999999995</v>
      </c>
      <c r="BO90" s="64">
        <f>IFERROR(1/J90*(X90/H90),"0")</f>
        <v>0.88734567901234573</v>
      </c>
      <c r="BP90" s="64">
        <f>IFERROR(1/J90*(Y90/H90),"0")</f>
        <v>0.890625</v>
      </c>
    </row>
    <row r="91" spans="1:68" ht="27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82</v>
      </c>
      <c r="Y92" s="630">
        <f>IFERROR(IF(X92="",0,CEILING((X92/$H92),1)*$H92),"")</f>
        <v>83.7</v>
      </c>
      <c r="Z92" s="36">
        <f>IFERROR(IF(Y92=0,"",ROUNDUP(Y92/H92,0)*0.00651),"")</f>
        <v>0.20181000000000002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89.653333333333322</v>
      </c>
      <c r="BN92" s="64">
        <f>IFERROR(Y92*I92/H92,"0")</f>
        <v>91.512</v>
      </c>
      <c r="BO92" s="64">
        <f>IFERROR(1/J92*(X92/H92),"0")</f>
        <v>0.16687016687016687</v>
      </c>
      <c r="BP92" s="64">
        <f>IFERROR(1/J92*(Y92/H92),"0")</f>
        <v>0.17032967032967034</v>
      </c>
    </row>
    <row r="93" spans="1:68" ht="16.5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87.160493827160494</v>
      </c>
      <c r="Y94" s="631">
        <f>IFERROR(Y90/H90,"0")+IFERROR(Y91/H91,"0")+IFERROR(Y92/H92,"0")+IFERROR(Y93/H93,"0")</f>
        <v>88</v>
      </c>
      <c r="Z94" s="631">
        <f>IFERROR(IF(Z90="",0,Z90),"0")+IFERROR(IF(Z91="",0,Z91),"0")+IFERROR(IF(Z92="",0,Z92),"0")+IFERROR(IF(Z93="",0,Z93),"0")</f>
        <v>1.2836700000000001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542</v>
      </c>
      <c r="Y95" s="631">
        <f>IFERROR(SUM(Y90:Y93),"0")</f>
        <v>545.4</v>
      </c>
      <c r="Z95" s="37"/>
      <c r="AA95" s="632"/>
      <c r="AB95" s="632"/>
      <c r="AC95" s="632"/>
    </row>
    <row r="96" spans="1:68" ht="16.5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241</v>
      </c>
      <c r="Y98" s="630">
        <f t="shared" ref="Y98:Y104" si="11">IFERROR(IF(X98="",0,CEILING((X98/$H98),1)*$H98),"")</f>
        <v>248.4</v>
      </c>
      <c r="Z98" s="36">
        <f>IFERROR(IF(Y98=0,"",ROUNDUP(Y98/H98,0)*0.01898),"")</f>
        <v>0.43653999999999998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250.14907407407406</v>
      </c>
      <c r="BN98" s="64">
        <f t="shared" ref="BN98:BN104" si="13">IFERROR(Y98*I98/H98,"0")</f>
        <v>257.83</v>
      </c>
      <c r="BO98" s="64">
        <f t="shared" ref="BO98:BO104" si="14">IFERROR(1/J98*(X98/H98),"0")</f>
        <v>0.34866898148148145</v>
      </c>
      <c r="BP98" s="64">
        <f t="shared" ref="BP98:BP104" si="15">IFERROR(1/J98*(Y98/H98),"0")</f>
        <v>0.359375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73</v>
      </c>
      <c r="Y103" s="630">
        <f t="shared" si="11"/>
        <v>76.5</v>
      </c>
      <c r="Z103" s="36">
        <f>IFERROR(IF(Y103=0,"",ROUNDUP(Y103/H103,0)*0.00902),"")</f>
        <v>0.15334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76.082222222222228</v>
      </c>
      <c r="BN103" s="64">
        <f t="shared" si="13"/>
        <v>79.73</v>
      </c>
      <c r="BO103" s="64">
        <f t="shared" si="14"/>
        <v>0.12289562289562289</v>
      </c>
      <c r="BP103" s="64">
        <f t="shared" si="15"/>
        <v>0.12878787878787878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38.537037037037038</v>
      </c>
      <c r="Y105" s="631">
        <f>IFERROR(Y98/H98,"0")+IFERROR(Y99/H99,"0")+IFERROR(Y100/H100,"0")+IFERROR(Y101/H101,"0")+IFERROR(Y102/H102,"0")+IFERROR(Y103/H103,"0")+IFERROR(Y104/H104,"0")</f>
        <v>40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0.58987999999999996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314</v>
      </c>
      <c r="Y106" s="631">
        <f>IFERROR(SUM(Y98:Y104),"0")</f>
        <v>324.89999999999998</v>
      </c>
      <c r="Z106" s="37"/>
      <c r="AA106" s="632"/>
      <c r="AB106" s="632"/>
      <c r="AC106" s="632"/>
    </row>
    <row r="107" spans="1:68" ht="14.25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3</v>
      </c>
      <c r="Y109" s="630">
        <f>IFERROR(IF(X109="",0,CEILING((X109/$H109),1)*$H109),"")</f>
        <v>3</v>
      </c>
      <c r="Z109" s="36">
        <f>IFERROR(IF(Y109=0,"",ROUNDUP(Y109/H109,0)*0.00358),"")</f>
        <v>1.074E-2</v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3.63</v>
      </c>
      <c r="BN109" s="64">
        <f>IFERROR(Y109*I109/H109,"0")</f>
        <v>3.63</v>
      </c>
      <c r="BO109" s="64">
        <f>IFERROR(1/J109*(X109/H109),"0")</f>
        <v>7.6530612244897957E-3</v>
      </c>
      <c r="BP109" s="64">
        <f>IFERROR(1/J109*(Y109/H109),"0")</f>
        <v>7.6530612244897957E-3</v>
      </c>
    </row>
    <row r="110" spans="1:68" ht="27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34</v>
      </c>
      <c r="Y112" s="630">
        <f>IFERROR(IF(X112="",0,CEILING((X112/$H112),1)*$H112),"")</f>
        <v>36</v>
      </c>
      <c r="Z112" s="36">
        <f>IFERROR(IF(Y112=0,"",ROUNDUP(Y112/H112,0)*0.00651),"")</f>
        <v>9.7650000000000001E-2</v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36.550000000000004</v>
      </c>
      <c r="BN112" s="64">
        <f>IFERROR(Y112*I112/H112,"0")</f>
        <v>38.700000000000003</v>
      </c>
      <c r="BO112" s="64">
        <f>IFERROR(1/J112*(X112/H112),"0")</f>
        <v>7.7838827838827854E-2</v>
      </c>
      <c r="BP112" s="64">
        <f>IFERROR(1/J112*(Y112/H112),"0")</f>
        <v>8.241758241758243E-2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17.166666666666668</v>
      </c>
      <c r="Y113" s="631">
        <f>IFERROR(Y108/H108,"0")+IFERROR(Y109/H109,"0")+IFERROR(Y110/H110,"0")+IFERROR(Y111/H111,"0")+IFERROR(Y112/H112,"0")</f>
        <v>18</v>
      </c>
      <c r="Z113" s="631">
        <f>IFERROR(IF(Z108="",0,Z108),"0")+IFERROR(IF(Z109="",0,Z109),"0")+IFERROR(IF(Z110="",0,Z110),"0")+IFERROR(IF(Z111="",0,Z111),"0")+IFERROR(IF(Z112="",0,Z112),"0")</f>
        <v>0.10839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37</v>
      </c>
      <c r="Y114" s="631">
        <f>IFERROR(SUM(Y108:Y112),"0")</f>
        <v>39</v>
      </c>
      <c r="Z114" s="37"/>
      <c r="AA114" s="632"/>
      <c r="AB114" s="632"/>
      <c r="AC114" s="632"/>
    </row>
    <row r="115" spans="1:68" ht="14.25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333</v>
      </c>
      <c r="Y116" s="630">
        <f>IFERROR(IF(X116="",0,CEILING((X116/$H116),1)*$H116),"")</f>
        <v>340.2</v>
      </c>
      <c r="Z116" s="36">
        <f>IFERROR(IF(Y116=0,"",ROUNDUP(Y116/H116,0)*0.01898),"")</f>
        <v>0.79715999999999998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353.0622222222222</v>
      </c>
      <c r="BN116" s="64">
        <f>IFERROR(Y116*I116/H116,"0")</f>
        <v>360.69599999999997</v>
      </c>
      <c r="BO116" s="64">
        <f>IFERROR(1/J116*(X116/H116),"0")</f>
        <v>0.64236111111111116</v>
      </c>
      <c r="BP116" s="64">
        <f>IFERROR(1/J116*(Y116/H116),"0")</f>
        <v>0.65625</v>
      </c>
    </row>
    <row r="117" spans="1:68" ht="27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205</v>
      </c>
      <c r="Y118" s="630">
        <f>IFERROR(IF(X118="",0,CEILING((X118/$H118),1)*$H118),"")</f>
        <v>205.20000000000002</v>
      </c>
      <c r="Z118" s="36">
        <f>IFERROR(IF(Y118=0,"",ROUNDUP(Y118/H118,0)*0.00651),"")</f>
        <v>0.49476000000000003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224.1333333333333</v>
      </c>
      <c r="BN118" s="64">
        <f>IFERROR(Y118*I118/H118,"0")</f>
        <v>224.352</v>
      </c>
      <c r="BO118" s="64">
        <f>IFERROR(1/J118*(X118/H118),"0")</f>
        <v>0.41717541717541717</v>
      </c>
      <c r="BP118" s="64">
        <f>IFERROR(1/J118*(Y118/H118),"0")</f>
        <v>0.4175824175824176</v>
      </c>
    </row>
    <row r="119" spans="1:68" ht="16.5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117.03703703703704</v>
      </c>
      <c r="Y120" s="631">
        <f>IFERROR(Y116/H116,"0")+IFERROR(Y117/H117,"0")+IFERROR(Y118/H118,"0")+IFERROR(Y119/H119,"0")</f>
        <v>118</v>
      </c>
      <c r="Z120" s="631">
        <f>IFERROR(IF(Z116="",0,Z116),"0")+IFERROR(IF(Z117="",0,Z117),"0")+IFERROR(IF(Z118="",0,Z118),"0")+IFERROR(IF(Z119="",0,Z119),"0")</f>
        <v>1.29192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538</v>
      </c>
      <c r="Y121" s="631">
        <f>IFERROR(SUM(Y116:Y119),"0")</f>
        <v>545.4</v>
      </c>
      <c r="Z121" s="37"/>
      <c r="AA121" s="632"/>
      <c r="AB121" s="632"/>
      <c r="AC121" s="632"/>
    </row>
    <row r="122" spans="1:68" ht="14.25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31</v>
      </c>
      <c r="Y123" s="630">
        <f>IFERROR(IF(X123="",0,CEILING((X123/$H123),1)*$H123),"")</f>
        <v>31.68</v>
      </c>
      <c r="Z123" s="36">
        <f>IFERROR(IF(Y123=0,"",ROUNDUP(Y123/H123,0)*0.00651),"")</f>
        <v>0.10416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35.039393939393939</v>
      </c>
      <c r="BN123" s="64">
        <f>IFERROR(Y123*I123/H123,"0")</f>
        <v>35.808</v>
      </c>
      <c r="BO123" s="64">
        <f>IFERROR(1/J123*(X123/H123),"0")</f>
        <v>8.6025086025086031E-2</v>
      </c>
      <c r="BP123" s="64">
        <f>IFERROR(1/J123*(Y123/H123),"0")</f>
        <v>8.7912087912087919E-2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15.656565656565657</v>
      </c>
      <c r="Y124" s="631">
        <f>IFERROR(Y123/H123,"0")</f>
        <v>16</v>
      </c>
      <c r="Z124" s="631">
        <f>IFERROR(IF(Z123="",0,Z123),"0")</f>
        <v>0.10416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31</v>
      </c>
      <c r="Y125" s="631">
        <f>IFERROR(SUM(Y123:Y123),"0")</f>
        <v>31.68</v>
      </c>
      <c r="Z125" s="37"/>
      <c r="AA125" s="632"/>
      <c r="AB125" s="632"/>
      <c r="AC125" s="632"/>
    </row>
    <row r="126" spans="1:68" ht="16.5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30</v>
      </c>
      <c r="Y129" s="630">
        <f>IFERROR(IF(X129="",0,CEILING((X129/$H129),1)*$H129),"")</f>
        <v>32</v>
      </c>
      <c r="Z129" s="36">
        <f>IFERROR(IF(Y129=0,"",ROUNDUP(Y129/H129,0)*0.00651),"")</f>
        <v>6.5100000000000005E-2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31.687499999999996</v>
      </c>
      <c r="BN129" s="64">
        <f>IFERROR(Y129*I129/H129,"0")</f>
        <v>33.799999999999997</v>
      </c>
      <c r="BO129" s="64">
        <f>IFERROR(1/J129*(X129/H129),"0")</f>
        <v>5.1510989010989015E-2</v>
      </c>
      <c r="BP129" s="64">
        <f>IFERROR(1/J129*(Y129/H129),"0")</f>
        <v>5.4945054945054951E-2</v>
      </c>
    </row>
    <row r="130" spans="1:68" ht="27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9.375</v>
      </c>
      <c r="Y131" s="631">
        <f>IFERROR(Y128/H128,"0")+IFERROR(Y129/H129,"0")+IFERROR(Y130/H130,"0")</f>
        <v>10</v>
      </c>
      <c r="Z131" s="631">
        <f>IFERROR(IF(Z128="",0,Z128),"0")+IFERROR(IF(Z129="",0,Z129),"0")+IFERROR(IF(Z130="",0,Z130),"0")</f>
        <v>6.5100000000000005E-2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30</v>
      </c>
      <c r="Y132" s="631">
        <f>IFERROR(SUM(Y128:Y130),"0")</f>
        <v>32</v>
      </c>
      <c r="Z132" s="37"/>
      <c r="AA132" s="632"/>
      <c r="AB132" s="632"/>
      <c r="AC132" s="632"/>
    </row>
    <row r="133" spans="1:68" ht="14.25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68</v>
      </c>
      <c r="Y135" s="630">
        <f>IFERROR(IF(X135="",0,CEILING((X135/$H135),1)*$H135),"")</f>
        <v>70</v>
      </c>
      <c r="Z135" s="36">
        <f>IFERROR(IF(Y135=0,"",ROUNDUP(Y135/H135,0)*0.00651),"")</f>
        <v>0.16275000000000001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74.508571428571429</v>
      </c>
      <c r="BN135" s="64">
        <f>IFERROR(Y135*I135/H135,"0")</f>
        <v>76.7</v>
      </c>
      <c r="BO135" s="64">
        <f>IFERROR(1/J135*(X135/H135),"0")</f>
        <v>0.13343799058084774</v>
      </c>
      <c r="BP135" s="64">
        <f>IFERROR(1/J135*(Y135/H135),"0")</f>
        <v>0.13736263736263737</v>
      </c>
    </row>
    <row r="136" spans="1:68" ht="27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24.285714285714288</v>
      </c>
      <c r="Y138" s="631">
        <f>IFERROR(Y134/H134,"0")+IFERROR(Y135/H135,"0")+IFERROR(Y136/H136,"0")+IFERROR(Y137/H137,"0")</f>
        <v>25</v>
      </c>
      <c r="Z138" s="631">
        <f>IFERROR(IF(Z134="",0,Z134),"0")+IFERROR(IF(Z135="",0,Z135),"0")+IFERROR(IF(Z136="",0,Z136),"0")+IFERROR(IF(Z137="",0,Z137),"0")</f>
        <v>0.16275000000000001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68</v>
      </c>
      <c r="Y139" s="631">
        <f>IFERROR(SUM(Y134:Y137),"0")</f>
        <v>70</v>
      </c>
      <c r="Z139" s="37"/>
      <c r="AA139" s="632"/>
      <c r="AB139" s="632"/>
      <c r="AC139" s="632"/>
    </row>
    <row r="140" spans="1:68" ht="14.25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37</v>
      </c>
      <c r="Y142" s="630">
        <f>IFERROR(IF(X142="",0,CEILING((X142/$H142),1)*$H142),"")</f>
        <v>39.6</v>
      </c>
      <c r="Z142" s="36">
        <f>IFERROR(IF(Y142=0,"",ROUNDUP(Y142/H142,0)*0.00651),"")</f>
        <v>9.7650000000000001E-2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40.756060606060608</v>
      </c>
      <c r="BN142" s="64">
        <f>IFERROR(Y142*I142/H142,"0")</f>
        <v>43.62</v>
      </c>
      <c r="BO142" s="64">
        <f>IFERROR(1/J142*(X142/H142),"0")</f>
        <v>7.7006327006327008E-2</v>
      </c>
      <c r="BP142" s="64">
        <f>IFERROR(1/J142*(Y142/H142),"0")</f>
        <v>8.241758241758243E-2</v>
      </c>
    </row>
    <row r="143" spans="1:68" ht="16.5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14.015151515151514</v>
      </c>
      <c r="Y144" s="631">
        <f>IFERROR(Y141/H141,"0")+IFERROR(Y142/H142,"0")+IFERROR(Y143/H143,"0")</f>
        <v>15</v>
      </c>
      <c r="Z144" s="631">
        <f>IFERROR(IF(Z141="",0,Z141),"0")+IFERROR(IF(Z142="",0,Z142),"0")+IFERROR(IF(Z143="",0,Z143),"0")</f>
        <v>9.7650000000000001E-2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37</v>
      </c>
      <c r="Y145" s="631">
        <f>IFERROR(SUM(Y141:Y143),"0")</f>
        <v>39.6</v>
      </c>
      <c r="Z145" s="37"/>
      <c r="AA145" s="632"/>
      <c r="AB145" s="632"/>
      <c r="AC145" s="632"/>
    </row>
    <row r="146" spans="1:68" ht="16.5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80</v>
      </c>
      <c r="Y163" s="630">
        <f>IFERROR(IF(X163="",0,CEILING((X163/$H163),1)*$H163),"")</f>
        <v>84</v>
      </c>
      <c r="Z163" s="36">
        <f>IFERROR(IF(Y163=0,"",ROUNDUP(Y163/H163,0)*0.01196),"")</f>
        <v>0.16744000000000001</v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84.666666666666671</v>
      </c>
      <c r="BN163" s="64">
        <f>IFERROR(Y163*I163/H163,"0")</f>
        <v>88.899999999999991</v>
      </c>
      <c r="BO163" s="64">
        <f>IFERROR(1/J163*(X163/H163),"0")</f>
        <v>0.12820512820512822</v>
      </c>
      <c r="BP163" s="64">
        <f>IFERROR(1/J163*(Y163/H163),"0")</f>
        <v>0.13461538461538464</v>
      </c>
    </row>
    <row r="164" spans="1:68" ht="27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13.333333333333334</v>
      </c>
      <c r="Y166" s="631">
        <f>IFERROR(Y163/H163,"0")+IFERROR(Y164/H164,"0")+IFERROR(Y165/H165,"0")</f>
        <v>14</v>
      </c>
      <c r="Z166" s="631">
        <f>IFERROR(IF(Z163="",0,Z163),"0")+IFERROR(IF(Z164="",0,Z164),"0")+IFERROR(IF(Z165="",0,Z165),"0")</f>
        <v>0.16744000000000001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80</v>
      </c>
      <c r="Y167" s="631">
        <f>IFERROR(SUM(Y163:Y165),"0")</f>
        <v>84</v>
      </c>
      <c r="Z167" s="37"/>
      <c r="AA167" s="632"/>
      <c r="AB167" s="632"/>
      <c r="AC167" s="632"/>
    </row>
    <row r="168" spans="1:68" ht="14.25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300</v>
      </c>
      <c r="Y174" s="630">
        <f t="shared" ref="Y174:Y184" si="22">IFERROR(IF(X174="",0,CEILING((X174/$H174),1)*$H174),"")</f>
        <v>301</v>
      </c>
      <c r="Z174" s="36">
        <f>IFERROR(IF(Y174=0,"",ROUNDUP(Y174/H174,0)*0.00902),"")</f>
        <v>0.77571999999999997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316.28571428571428</v>
      </c>
      <c r="BN174" s="64">
        <f t="shared" ref="BN174:BN184" si="24">IFERROR(Y174*I174/H174,"0")</f>
        <v>317.34000000000003</v>
      </c>
      <c r="BO174" s="64">
        <f t="shared" ref="BO174:BO184" si="25">IFERROR(1/J174*(X174/H174),"0")</f>
        <v>0.64935064935064934</v>
      </c>
      <c r="BP174" s="64">
        <f t="shared" ref="BP174:BP184" si="26">IFERROR(1/J174*(Y174/H174),"0")</f>
        <v>0.65151515151515149</v>
      </c>
    </row>
    <row r="175" spans="1:68" ht="27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200</v>
      </c>
      <c r="Y176" s="630">
        <f t="shared" si="22"/>
        <v>203</v>
      </c>
      <c r="Z176" s="36">
        <f>IFERROR(IF(Y176=0,"",ROUNDUP(Y176/H176,0)*0.00902),"")</f>
        <v>0.52316000000000007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210.85714285714286</v>
      </c>
      <c r="BN176" s="64">
        <f t="shared" si="24"/>
        <v>214.01999999999998</v>
      </c>
      <c r="BO176" s="64">
        <f t="shared" si="25"/>
        <v>0.43290043290043295</v>
      </c>
      <c r="BP176" s="64">
        <f t="shared" si="26"/>
        <v>0.43939393939393939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200</v>
      </c>
      <c r="Y177" s="630">
        <f t="shared" si="22"/>
        <v>203</v>
      </c>
      <c r="Z177" s="36">
        <f>IFERROR(IF(Y177=0,"",ROUNDUP(Y177/H177,0)*0.00902),"")</f>
        <v>0.52316000000000007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210.85714285714286</v>
      </c>
      <c r="BN177" s="64">
        <f t="shared" si="24"/>
        <v>214.01999999999998</v>
      </c>
      <c r="BO177" s="64">
        <f t="shared" si="25"/>
        <v>0.43290043290043295</v>
      </c>
      <c r="BP177" s="64">
        <f t="shared" si="26"/>
        <v>0.43939393939393939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38</v>
      </c>
      <c r="Y179" s="630">
        <f t="shared" si="22"/>
        <v>38.64</v>
      </c>
      <c r="Z179" s="36">
        <f>IFERROR(IF(Y179=0,"",ROUNDUP(Y179/H179,0)*0.00502),"")</f>
        <v>0.11546000000000001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40.261904761904766</v>
      </c>
      <c r="BN179" s="64">
        <f t="shared" si="24"/>
        <v>40.940000000000005</v>
      </c>
      <c r="BO179" s="64">
        <f t="shared" si="25"/>
        <v>9.6662596662596675E-2</v>
      </c>
      <c r="BP179" s="64">
        <f t="shared" si="26"/>
        <v>9.8290598290598302E-2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84</v>
      </c>
      <c r="Y184" s="630">
        <f t="shared" si="22"/>
        <v>84</v>
      </c>
      <c r="Z184" s="36">
        <f>IFERROR(IF(Y184=0,"",ROUNDUP(Y184/H184,0)*0.00502),"")</f>
        <v>0.251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89.000000000000014</v>
      </c>
      <c r="BN184" s="64">
        <f t="shared" si="24"/>
        <v>89.000000000000014</v>
      </c>
      <c r="BO184" s="64">
        <f t="shared" si="25"/>
        <v>0.21367521367521369</v>
      </c>
      <c r="BP184" s="64">
        <f t="shared" si="26"/>
        <v>0.21367521367521369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272.61904761904759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275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2.1884999999999999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822</v>
      </c>
      <c r="Y186" s="631">
        <f>IFERROR(SUM(Y174:Y184),"0")</f>
        <v>829.64</v>
      </c>
      <c r="Z186" s="37"/>
      <c r="AA186" s="632"/>
      <c r="AB186" s="632"/>
      <c r="AC186" s="632"/>
    </row>
    <row r="187" spans="1:68" ht="14.25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30</v>
      </c>
      <c r="Y219" s="630">
        <f t="shared" ref="Y219:Y232" si="33">IFERROR(IF(X219="",0,CEILING((X219/$H219),1)*$H219),"")</f>
        <v>33.6</v>
      </c>
      <c r="Z219" s="36">
        <f>IFERROR(IF(Y219=0,"",ROUNDUP(Y219/H219,0)*0.00902),"")</f>
        <v>7.2160000000000002E-2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31.785714285714285</v>
      </c>
      <c r="BN219" s="64">
        <f t="shared" ref="BN219:BN232" si="35">IFERROR(Y219*I219/H219,"0")</f>
        <v>35.6</v>
      </c>
      <c r="BO219" s="64">
        <f t="shared" ref="BO219:BO232" si="36">IFERROR(1/J219*(X219/H219),"0")</f>
        <v>5.4112554112554112E-2</v>
      </c>
      <c r="BP219" s="64">
        <f t="shared" ref="BP219:BP232" si="37">IFERROR(1/J219*(Y219/H219),"0")</f>
        <v>6.0606060606060608E-2</v>
      </c>
    </row>
    <row r="220" spans="1:68" ht="27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103</v>
      </c>
      <c r="Y221" s="630">
        <f t="shared" si="33"/>
        <v>105</v>
      </c>
      <c r="Z221" s="36">
        <f>IFERROR(IF(Y221=0,"",ROUNDUP(Y221/H221,0)*0.00902),"")</f>
        <v>0.22550000000000001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107.65952380952379</v>
      </c>
      <c r="BN221" s="64">
        <f t="shared" si="35"/>
        <v>109.74999999999999</v>
      </c>
      <c r="BO221" s="64">
        <f t="shared" si="36"/>
        <v>0.18578643578643578</v>
      </c>
      <c r="BP221" s="64">
        <f t="shared" si="37"/>
        <v>0.18939393939393939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12</v>
      </c>
      <c r="Y222" s="630">
        <f t="shared" si="33"/>
        <v>12</v>
      </c>
      <c r="Z222" s="36">
        <f>IFERROR(IF(Y222=0,"",ROUNDUP(Y222/H222,0)*0.00556),"")</f>
        <v>8.3400000000000002E-2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13.95</v>
      </c>
      <c r="BN222" s="64">
        <f t="shared" si="35"/>
        <v>13.95</v>
      </c>
      <c r="BO222" s="64">
        <f t="shared" si="36"/>
        <v>5.9523809523809521E-2</v>
      </c>
      <c r="BP222" s="64">
        <f t="shared" si="37"/>
        <v>5.9523809523809521E-2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35</v>
      </c>
      <c r="Y223" s="630">
        <f t="shared" si="33"/>
        <v>35.700000000000003</v>
      </c>
      <c r="Z223" s="36">
        <f t="shared" ref="Z223:Z228" si="38">IFERROR(IF(Y223=0,"",ROUNDUP(Y223/H223,0)*0.00502),"")</f>
        <v>8.5339999999999999E-2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37.166666666666664</v>
      </c>
      <c r="BN223" s="64">
        <f t="shared" si="35"/>
        <v>37.910000000000004</v>
      </c>
      <c r="BO223" s="64">
        <f t="shared" si="36"/>
        <v>7.1225071225071226E-2</v>
      </c>
      <c r="BP223" s="64">
        <f t="shared" si="37"/>
        <v>7.2649572649572655E-2</v>
      </c>
    </row>
    <row r="224" spans="1:68" ht="27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60</v>
      </c>
      <c r="Y228" s="630">
        <f t="shared" si="33"/>
        <v>61.2</v>
      </c>
      <c r="Z228" s="36">
        <f t="shared" si="38"/>
        <v>0.17068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64.333333333333329</v>
      </c>
      <c r="BN228" s="64">
        <f t="shared" si="35"/>
        <v>65.62</v>
      </c>
      <c r="BO228" s="64">
        <f t="shared" si="36"/>
        <v>0.14245014245014248</v>
      </c>
      <c r="BP228" s="64">
        <f t="shared" si="37"/>
        <v>0.14529914529914531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15</v>
      </c>
      <c r="Y229" s="630">
        <f t="shared" si="33"/>
        <v>15.200000000000001</v>
      </c>
      <c r="Z229" s="36">
        <f>IFERROR(IF(Y229=0,"",ROUNDUP(Y229/H229,0)*0.00417),"")</f>
        <v>7.9229999999999995E-2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18.9375</v>
      </c>
      <c r="BN229" s="64">
        <f t="shared" si="35"/>
        <v>19.190000000000001</v>
      </c>
      <c r="BO229" s="64">
        <f t="shared" si="36"/>
        <v>5.5803571428571425E-2</v>
      </c>
      <c r="BP229" s="64">
        <f t="shared" si="37"/>
        <v>5.6547619047619041E-2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525</v>
      </c>
      <c r="Y230" s="630">
        <f t="shared" si="33"/>
        <v>525</v>
      </c>
      <c r="Z230" s="36">
        <f>IFERROR(IF(Y230=0,"",ROUNDUP(Y230/H230,0)*0.00502),"")</f>
        <v>1.2550000000000001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550</v>
      </c>
      <c r="BN230" s="64">
        <f t="shared" si="35"/>
        <v>550</v>
      </c>
      <c r="BO230" s="64">
        <f t="shared" si="36"/>
        <v>1.0683760683760686</v>
      </c>
      <c r="BP230" s="64">
        <f t="shared" si="37"/>
        <v>1.0683760683760686</v>
      </c>
    </row>
    <row r="231" spans="1:68" ht="27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365.41666666666663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368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1.9713100000000003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780</v>
      </c>
      <c r="Y234" s="631">
        <f>IFERROR(SUM(Y219:Y232),"0")</f>
        <v>787.7</v>
      </c>
      <c r="Z234" s="37"/>
      <c r="AA234" s="632"/>
      <c r="AB234" s="632"/>
      <c r="AC234" s="632"/>
    </row>
    <row r="235" spans="1:68" ht="14.25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7</v>
      </c>
      <c r="Y246" s="630">
        <f>IFERROR(IF(X246="",0,CEILING((X246/$H246),1)*$H246),"")</f>
        <v>7.5600000000000005</v>
      </c>
      <c r="Z246" s="36">
        <f>IFERROR(IF(Y246=0,"",ROUNDUP(Y246/H246,0)*0.0059),"")</f>
        <v>3.5400000000000001E-2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8.0555555555555554</v>
      </c>
      <c r="BN246" s="64">
        <f>IFERROR(Y246*I246/H246,"0")</f>
        <v>8.6999999999999993</v>
      </c>
      <c r="BO246" s="64">
        <f>IFERROR(1/J246*(X246/H246),"0")</f>
        <v>2.5720164609053495E-2</v>
      </c>
      <c r="BP246" s="64">
        <f>IFERROR(1/J246*(Y246/H246),"0")</f>
        <v>2.7777777777777776E-2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5.5555555555555554</v>
      </c>
      <c r="Y247" s="631">
        <f>IFERROR(Y244/H244,"0")+IFERROR(Y245/H245,"0")+IFERROR(Y246/H246,"0")</f>
        <v>6</v>
      </c>
      <c r="Z247" s="631">
        <f>IFERROR(IF(Z244="",0,Z244),"0")+IFERROR(IF(Z245="",0,Z245),"0")+IFERROR(IF(Z246="",0,Z246),"0")</f>
        <v>3.5400000000000001E-2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7</v>
      </c>
      <c r="Y248" s="631">
        <f>IFERROR(SUM(Y244:Y246),"0")</f>
        <v>7.5600000000000005</v>
      </c>
      <c r="Z248" s="37"/>
      <c r="AA248" s="632"/>
      <c r="AB248" s="632"/>
      <c r="AC248" s="632"/>
    </row>
    <row r="249" spans="1:68" ht="14.25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6</v>
      </c>
      <c r="Y250" s="630">
        <f>IFERROR(IF(X250="",0,CEILING((X250/$H250),1)*$H250),"")</f>
        <v>6.3</v>
      </c>
      <c r="Z250" s="36">
        <f>IFERROR(IF(Y250=0,"",ROUNDUP(Y250/H250,0)*0.0059),"")</f>
        <v>2.9499999999999998E-2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6.9047619047619042</v>
      </c>
      <c r="BN250" s="64">
        <f>IFERROR(Y250*I250/H250,"0")</f>
        <v>7.25</v>
      </c>
      <c r="BO250" s="64">
        <f>IFERROR(1/J250*(X250/H250),"0")</f>
        <v>2.2045855379188711E-2</v>
      </c>
      <c r="BP250" s="64">
        <f>IFERROR(1/J250*(Y250/H250),"0")</f>
        <v>2.3148148148148147E-2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4.7619047619047619</v>
      </c>
      <c r="Y251" s="631">
        <f>IFERROR(Y250/H250,"0")</f>
        <v>5</v>
      </c>
      <c r="Z251" s="631">
        <f>IFERROR(IF(Z250="",0,Z250),"0")</f>
        <v>2.9499999999999998E-2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6</v>
      </c>
      <c r="Y252" s="631">
        <f>IFERROR(SUM(Y250:Y250),"0")</f>
        <v>6.3</v>
      </c>
      <c r="Z252" s="37"/>
      <c r="AA252" s="632"/>
      <c r="AB252" s="632"/>
      <c r="AC252" s="632"/>
    </row>
    <row r="253" spans="1:68" ht="16.5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7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168</v>
      </c>
      <c r="Y265" s="630">
        <f t="shared" ref="Y265:Y272" si="39">IFERROR(IF(X265="",0,CEILING((X265/$H265),1)*$H265),"")</f>
        <v>172.8</v>
      </c>
      <c r="Z265" s="36">
        <f>IFERROR(IF(Y265=0,"",ROUNDUP(Y265/H265,0)*0.00902),"")</f>
        <v>0.28864000000000001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173.9111111111111</v>
      </c>
      <c r="BN265" s="64">
        <f t="shared" ref="BN265:BN272" si="41">IFERROR(Y265*I265/H265,"0")</f>
        <v>178.88</v>
      </c>
      <c r="BO265" s="64">
        <f t="shared" ref="BO265:BO272" si="42">IFERROR(1/J265*(X265/H265),"0")</f>
        <v>0.2356902356902357</v>
      </c>
      <c r="BP265" s="64">
        <f t="shared" ref="BP265:BP272" si="43">IFERROR(1/J265*(Y265/H265),"0")</f>
        <v>0.24242424242424243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50</v>
      </c>
      <c r="Y266" s="630">
        <f t="shared" si="39"/>
        <v>54</v>
      </c>
      <c r="Z266" s="36">
        <f>IFERROR(IF(Y266=0,"",ROUNDUP(Y266/H266,0)*0.00902),"")</f>
        <v>9.0200000000000002E-2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51.759259259259252</v>
      </c>
      <c r="BN266" s="64">
        <f t="shared" si="41"/>
        <v>55.9</v>
      </c>
      <c r="BO266" s="64">
        <f t="shared" si="42"/>
        <v>7.0145903479236812E-2</v>
      </c>
      <c r="BP266" s="64">
        <f t="shared" si="43"/>
        <v>7.575757575757576E-2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275</v>
      </c>
      <c r="Y267" s="630">
        <f t="shared" si="39"/>
        <v>275.40000000000003</v>
      </c>
      <c r="Z267" s="36">
        <f>IFERROR(IF(Y267=0,"",ROUNDUP(Y267/H267,0)*0.00902),"")</f>
        <v>0.46001999999999998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284.67592592592592</v>
      </c>
      <c r="BN267" s="64">
        <f t="shared" si="41"/>
        <v>285.08999999999997</v>
      </c>
      <c r="BO267" s="64">
        <f t="shared" si="42"/>
        <v>0.38580246913580246</v>
      </c>
      <c r="BP267" s="64">
        <f t="shared" si="43"/>
        <v>0.38636363636363635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151</v>
      </c>
      <c r="Y268" s="630">
        <f t="shared" si="39"/>
        <v>151.20000000000002</v>
      </c>
      <c r="Z268" s="36">
        <f>IFERROR(IF(Y268=0,"",ROUNDUP(Y268/H268,0)*0.00902),"")</f>
        <v>0.25256000000000001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156.31296296296296</v>
      </c>
      <c r="BN268" s="64">
        <f t="shared" si="41"/>
        <v>156.52000000000001</v>
      </c>
      <c r="BO268" s="64">
        <f t="shared" si="42"/>
        <v>0.21184062850729518</v>
      </c>
      <c r="BP268" s="64">
        <f t="shared" si="43"/>
        <v>0.21212121212121213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90</v>
      </c>
      <c r="Y269" s="630">
        <f t="shared" si="39"/>
        <v>90</v>
      </c>
      <c r="Z269" s="36">
        <f>IFERROR(IF(Y269=0,"",ROUNDUP(Y269/H269,0)*0.00502),"")</f>
        <v>0.251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96.499999999999986</v>
      </c>
      <c r="BN269" s="64">
        <f t="shared" si="41"/>
        <v>96.499999999999986</v>
      </c>
      <c r="BO269" s="64">
        <f t="shared" si="42"/>
        <v>0.21367521367521369</v>
      </c>
      <c r="BP269" s="64">
        <f t="shared" si="43"/>
        <v>0.21367521367521369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45</v>
      </c>
      <c r="Y270" s="630">
        <f t="shared" si="39"/>
        <v>45</v>
      </c>
      <c r="Z270" s="36">
        <f>IFERROR(IF(Y270=0,"",ROUNDUP(Y270/H270,0)*0.00502),"")</f>
        <v>0.1255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47.5</v>
      </c>
      <c r="BN270" s="64">
        <f t="shared" si="41"/>
        <v>47.5</v>
      </c>
      <c r="BO270" s="64">
        <f t="shared" si="42"/>
        <v>0.10683760683760685</v>
      </c>
      <c r="BP270" s="64">
        <f t="shared" si="43"/>
        <v>0.10683760683760685</v>
      </c>
    </row>
    <row r="271" spans="1:68" ht="27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30</v>
      </c>
      <c r="Y272" s="630">
        <f t="shared" si="39"/>
        <v>30.6</v>
      </c>
      <c r="Z272" s="36">
        <f>IFERROR(IF(Y272=0,"",ROUNDUP(Y272/H272,0)*0.00502),"")</f>
        <v>8.5339999999999999E-2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31.666666666666664</v>
      </c>
      <c r="BN272" s="64">
        <f t="shared" si="41"/>
        <v>32.299999999999997</v>
      </c>
      <c r="BO272" s="64">
        <f t="shared" si="42"/>
        <v>7.122507122507124E-2</v>
      </c>
      <c r="BP272" s="64">
        <f t="shared" si="43"/>
        <v>7.2649572649572655E-2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210.9259259259259</v>
      </c>
      <c r="Y273" s="631">
        <f>IFERROR(Y265/H265,"0")+IFERROR(Y266/H266,"0")+IFERROR(Y267/H267,"0")+IFERROR(Y268/H268,"0")+IFERROR(Y269/H269,"0")+IFERROR(Y270/H270,"0")+IFERROR(Y271/H271,"0")+IFERROR(Y272/H272,"0")</f>
        <v>213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1.5532599999999996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809</v>
      </c>
      <c r="Y274" s="631">
        <f>IFERROR(SUM(Y265:Y272),"0")</f>
        <v>819.00000000000011</v>
      </c>
      <c r="Z274" s="37"/>
      <c r="AA274" s="632"/>
      <c r="AB274" s="632"/>
      <c r="AC274" s="632"/>
    </row>
    <row r="275" spans="1:68" ht="14.25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310</v>
      </c>
      <c r="Y276" s="630">
        <f t="shared" ref="Y276:Y287" si="44">IFERROR(IF(X276="",0,CEILING((X276/$H276),1)*$H276),"")</f>
        <v>315.89999999999998</v>
      </c>
      <c r="Z276" s="36">
        <f>IFERROR(IF(Y276=0,"",ROUNDUP(Y276/H276,0)*0.01898),"")</f>
        <v>0.74021999999999999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328.90617283950616</v>
      </c>
      <c r="BN276" s="64">
        <f t="shared" ref="BN276:BN287" si="46">IFERROR(Y276*I276/H276,"0")</f>
        <v>335.16599999999994</v>
      </c>
      <c r="BO276" s="64">
        <f t="shared" ref="BO276:BO287" si="47">IFERROR(1/J276*(X276/H276),"0")</f>
        <v>0.59799382716049387</v>
      </c>
      <c r="BP276" s="64">
        <f t="shared" ref="BP276:BP287" si="48">IFERROR(1/J276*(Y276/H276),"0")</f>
        <v>0.609375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242</v>
      </c>
      <c r="Y277" s="630">
        <f t="shared" si="44"/>
        <v>243</v>
      </c>
      <c r="Z277" s="36">
        <f>IFERROR(IF(Y277=0,"",ROUNDUP(Y277/H277,0)*0.01898),"")</f>
        <v>0.56940000000000002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256.22123456790126</v>
      </c>
      <c r="BN277" s="64">
        <f t="shared" si="46"/>
        <v>257.28000000000003</v>
      </c>
      <c r="BO277" s="64">
        <f t="shared" si="47"/>
        <v>0.46682098765432101</v>
      </c>
      <c r="BP277" s="64">
        <f t="shared" si="48"/>
        <v>0.46875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157</v>
      </c>
      <c r="Y278" s="630">
        <f t="shared" si="44"/>
        <v>165.29999999999998</v>
      </c>
      <c r="Z278" s="36">
        <f>IFERROR(IF(Y278=0,"",ROUNDUP(Y278/H278,0)*0.01898),"")</f>
        <v>0.36062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165.91471264367817</v>
      </c>
      <c r="BN278" s="64">
        <f t="shared" si="46"/>
        <v>174.68600000000001</v>
      </c>
      <c r="BO278" s="64">
        <f t="shared" si="47"/>
        <v>0.28196839080459773</v>
      </c>
      <c r="BP278" s="64">
        <f t="shared" si="48"/>
        <v>0.296875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334</v>
      </c>
      <c r="Y279" s="630">
        <f t="shared" si="44"/>
        <v>336</v>
      </c>
      <c r="Z279" s="36">
        <f>IFERROR(IF(Y279=0,"",ROUNDUP(Y279/H279,0)*0.00651),"")</f>
        <v>0.91139999999999999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371.57499999999999</v>
      </c>
      <c r="BN279" s="64">
        <f t="shared" si="46"/>
        <v>373.8</v>
      </c>
      <c r="BO279" s="64">
        <f t="shared" si="47"/>
        <v>0.76465201465201482</v>
      </c>
      <c r="BP279" s="64">
        <f t="shared" si="48"/>
        <v>0.76923076923076927</v>
      </c>
    </row>
    <row r="280" spans="1:68" ht="27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800</v>
      </c>
      <c r="Y282" s="630">
        <f t="shared" si="44"/>
        <v>801.6</v>
      </c>
      <c r="Z282" s="36">
        <f>IFERROR(IF(Y282=0,"",ROUNDUP(Y282/H282,0)*0.00651),"")</f>
        <v>2.1743399999999999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884</v>
      </c>
      <c r="BN282" s="64">
        <f t="shared" si="46"/>
        <v>885.76800000000014</v>
      </c>
      <c r="BO282" s="64">
        <f t="shared" si="47"/>
        <v>1.8315018315018319</v>
      </c>
      <c r="BP282" s="64">
        <f t="shared" si="48"/>
        <v>1.8351648351648353</v>
      </c>
    </row>
    <row r="283" spans="1:68" ht="27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160</v>
      </c>
      <c r="Y284" s="630">
        <f t="shared" si="44"/>
        <v>160.79999999999998</v>
      </c>
      <c r="Z284" s="36">
        <f>IFERROR(IF(Y284=0,"",ROUNDUP(Y284/H284,0)*0.00651),"")</f>
        <v>0.43617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176.80000000000004</v>
      </c>
      <c r="BN284" s="64">
        <f t="shared" si="46"/>
        <v>177.684</v>
      </c>
      <c r="BO284" s="64">
        <f t="shared" si="47"/>
        <v>0.36630036630036633</v>
      </c>
      <c r="BP284" s="64">
        <f t="shared" si="48"/>
        <v>0.36813186813186816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120</v>
      </c>
      <c r="Y285" s="630">
        <f t="shared" si="44"/>
        <v>120</v>
      </c>
      <c r="Z285" s="36">
        <f>IFERROR(IF(Y285=0,"",ROUNDUP(Y285/H285,0)*0.00651),"")</f>
        <v>0.32550000000000001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132.60000000000002</v>
      </c>
      <c r="BN285" s="64">
        <f t="shared" si="46"/>
        <v>132.60000000000002</v>
      </c>
      <c r="BO285" s="64">
        <f t="shared" si="47"/>
        <v>0.27472527472527475</v>
      </c>
      <c r="BP285" s="64">
        <f t="shared" si="48"/>
        <v>0.27472527472527475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120</v>
      </c>
      <c r="Y286" s="630">
        <f t="shared" si="44"/>
        <v>120</v>
      </c>
      <c r="Z286" s="36">
        <f>IFERROR(IF(Y286=0,"",ROUNDUP(Y286/H286,0)*0.00651),"")</f>
        <v>0.32550000000000001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132.9</v>
      </c>
      <c r="BN286" s="64">
        <f t="shared" si="46"/>
        <v>132.9</v>
      </c>
      <c r="BO286" s="64">
        <f t="shared" si="47"/>
        <v>0.27472527472527475</v>
      </c>
      <c r="BP286" s="64">
        <f t="shared" si="48"/>
        <v>0.27472527472527475</v>
      </c>
    </row>
    <row r="287" spans="1:68" ht="27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725.36079182630908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729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5.8431499999999996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2243</v>
      </c>
      <c r="Y289" s="631">
        <f>IFERROR(SUM(Y276:Y287),"0")</f>
        <v>2262.5999999999995</v>
      </c>
      <c r="Z289" s="37"/>
      <c r="AA289" s="632"/>
      <c r="AB289" s="632"/>
      <c r="AC289" s="632"/>
    </row>
    <row r="290" spans="1:68" ht="14.25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18</v>
      </c>
      <c r="Y291" s="630">
        <f>IFERROR(IF(X291="",0,CEILING((X291/$H291),1)*$H291),"")</f>
        <v>19.2</v>
      </c>
      <c r="Z291" s="36">
        <f>IFERROR(IF(Y291=0,"",ROUNDUP(Y291/H291,0)*0.00651),"")</f>
        <v>5.2080000000000001E-2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19.890000000000004</v>
      </c>
      <c r="BN291" s="64">
        <f>IFERROR(Y291*I291/H291,"0")</f>
        <v>21.216000000000001</v>
      </c>
      <c r="BO291" s="64">
        <f>IFERROR(1/J291*(X291/H291),"0")</f>
        <v>4.1208791208791215E-2</v>
      </c>
      <c r="BP291" s="64">
        <f>IFERROR(1/J291*(Y291/H291),"0")</f>
        <v>4.3956043956043959E-2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32</v>
      </c>
      <c r="Y292" s="630">
        <f>IFERROR(IF(X292="",0,CEILING((X292/$H292),1)*$H292),"")</f>
        <v>33.6</v>
      </c>
      <c r="Z292" s="36">
        <f>IFERROR(IF(Y292=0,"",ROUNDUP(Y292/H292,0)*0.00651),"")</f>
        <v>9.1139999999999999E-2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35.360000000000007</v>
      </c>
      <c r="BN292" s="64">
        <f>IFERROR(Y292*I292/H292,"0")</f>
        <v>37.128000000000007</v>
      </c>
      <c r="BO292" s="64">
        <f>IFERROR(1/J292*(X292/H292),"0")</f>
        <v>7.3260073260073263E-2</v>
      </c>
      <c r="BP292" s="64">
        <f>IFERROR(1/J292*(Y292/H292),"0")</f>
        <v>7.6923076923076941E-2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20.833333333333336</v>
      </c>
      <c r="Y293" s="631">
        <f>IFERROR(Y291/H291,"0")+IFERROR(Y292/H292,"0")</f>
        <v>22</v>
      </c>
      <c r="Z293" s="631">
        <f>IFERROR(IF(Z291="",0,Z291),"0")+IFERROR(IF(Z292="",0,Z292),"0")</f>
        <v>0.14322000000000001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50</v>
      </c>
      <c r="Y294" s="631">
        <f>IFERROR(SUM(Y291:Y292),"0")</f>
        <v>52.8</v>
      </c>
      <c r="Z294" s="37"/>
      <c r="AA294" s="632"/>
      <c r="AB294" s="632"/>
      <c r="AC294" s="632"/>
    </row>
    <row r="295" spans="1:68" ht="16.5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96</v>
      </c>
      <c r="Y297" s="630">
        <f t="shared" ref="Y297:Y303" si="49">IFERROR(IF(X297="",0,CEILING((X297/$H297),1)*$H297),"")</f>
        <v>104.39999999999999</v>
      </c>
      <c r="Z297" s="36">
        <f>IFERROR(IF(Y297=0,"",ROUNDUP(Y297/H297,0)*0.01898),"")</f>
        <v>0.17082</v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99.393103448275866</v>
      </c>
      <c r="BN297" s="64">
        <f t="shared" ref="BN297:BN303" si="51">IFERROR(Y297*I297/H297,"0")</f>
        <v>108.08999999999999</v>
      </c>
      <c r="BO297" s="64">
        <f t="shared" ref="BO297:BO303" si="52">IFERROR(1/J297*(X297/H297),"0")</f>
        <v>0.12931034482758622</v>
      </c>
      <c r="BP297" s="64">
        <f t="shared" ref="BP297:BP303" si="53">IFERROR(1/J297*(Y297/H297),"0")</f>
        <v>0.140625</v>
      </c>
    </row>
    <row r="298" spans="1:68" ht="27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8.2758620689655178</v>
      </c>
      <c r="Y304" s="631">
        <f>IFERROR(Y297/H297,"0")+IFERROR(Y298/H298,"0")+IFERROR(Y299/H299,"0")+IFERROR(Y300/H300,"0")+IFERROR(Y301/H301,"0")+IFERROR(Y302/H302,"0")+IFERROR(Y303/H303,"0")</f>
        <v>9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0.17082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96</v>
      </c>
      <c r="Y305" s="631">
        <f>IFERROR(SUM(Y297:Y303),"0")</f>
        <v>104.39999999999999</v>
      </c>
      <c r="Z305" s="37"/>
      <c r="AA305" s="632"/>
      <c r="AB305" s="632"/>
      <c r="AC305" s="632"/>
    </row>
    <row r="306" spans="1:68" ht="14.25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4</v>
      </c>
      <c r="Y311" s="630">
        <f>IFERROR(IF(X311="",0,CEILING((X311/$H311),1)*$H311),"")</f>
        <v>5.4</v>
      </c>
      <c r="Z311" s="36">
        <f>IFERROR(IF(Y311=0,"",ROUNDUP(Y311/H311,0)*0.0059),"")</f>
        <v>1.77E-2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4.3888888888888893</v>
      </c>
      <c r="BN311" s="64">
        <f>IFERROR(Y311*I311/H311,"0")</f>
        <v>5.9250000000000007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2.2222222222222223</v>
      </c>
      <c r="Y312" s="631">
        <f>IFERROR(Y311/H311,"0")</f>
        <v>3</v>
      </c>
      <c r="Z312" s="631">
        <f>IFERROR(IF(Z311="",0,Z311),"0")</f>
        <v>1.77E-2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4</v>
      </c>
      <c r="Y313" s="631">
        <f>IFERROR(SUM(Y311:Y311),"0")</f>
        <v>5.4</v>
      </c>
      <c r="Z313" s="37"/>
      <c r="AA313" s="632"/>
      <c r="AB313" s="632"/>
      <c r="AC313" s="632"/>
    </row>
    <row r="314" spans="1:68" ht="14.25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40</v>
      </c>
      <c r="Y332" s="630">
        <f>IFERROR(IF(X332="",0,CEILING((X332/$H332),1)*$H332),"")</f>
        <v>40.799999999999997</v>
      </c>
      <c r="Z332" s="36">
        <f>IFERROR(IF(Y332=0,"",ROUNDUP(Y332/H332,0)*0.00651),"")</f>
        <v>0.11067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44.20000000000001</v>
      </c>
      <c r="BN332" s="64">
        <f>IFERROR(Y332*I332/H332,"0")</f>
        <v>45.084000000000003</v>
      </c>
      <c r="BO332" s="64">
        <f>IFERROR(1/J332*(X332/H332),"0")</f>
        <v>9.1575091575091583E-2</v>
      </c>
      <c r="BP332" s="64">
        <f>IFERROR(1/J332*(Y332/H332),"0")</f>
        <v>9.3406593406593408E-2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40</v>
      </c>
      <c r="Y333" s="630">
        <f>IFERROR(IF(X333="",0,CEILING((X333/$H333),1)*$H333),"")</f>
        <v>40.799999999999997</v>
      </c>
      <c r="Z333" s="36">
        <f>IFERROR(IF(Y333=0,"",ROUNDUP(Y333/H333,0)*0.00651),"")</f>
        <v>0.11067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43</v>
      </c>
      <c r="BN333" s="64">
        <f>IFERROR(Y333*I333/H333,"0")</f>
        <v>43.86</v>
      </c>
      <c r="BO333" s="64">
        <f>IFERROR(1/J333*(X333/H333),"0")</f>
        <v>9.1575091575091583E-2</v>
      </c>
      <c r="BP333" s="64">
        <f>IFERROR(1/J333*(Y333/H333),"0")</f>
        <v>9.3406593406593408E-2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33.333333333333336</v>
      </c>
      <c r="Y334" s="631">
        <f>IFERROR(Y331/H331,"0")+IFERROR(Y332/H332,"0")+IFERROR(Y333/H333,"0")</f>
        <v>34</v>
      </c>
      <c r="Z334" s="631">
        <f>IFERROR(IF(Z331="",0,Z331),"0")+IFERROR(IF(Z332="",0,Z332),"0")+IFERROR(IF(Z333="",0,Z333),"0")</f>
        <v>0.22134000000000001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80</v>
      </c>
      <c r="Y335" s="631">
        <f>IFERROR(SUM(Y331:Y333),"0")</f>
        <v>81.599999999999994</v>
      </c>
      <c r="Z335" s="37"/>
      <c r="AA335" s="632"/>
      <c r="AB335" s="632"/>
      <c r="AC335" s="632"/>
    </row>
    <row r="336" spans="1:68" ht="16.5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153</v>
      </c>
      <c r="Y352" s="630">
        <f>IFERROR(IF(X352="",0,CEILING((X352/$H352),1)*$H352),"")</f>
        <v>156</v>
      </c>
      <c r="Z352" s="36">
        <f>IFERROR(IF(Y352=0,"",ROUNDUP(Y352/H352,0)*0.01898),"")</f>
        <v>0.37959999999999999</v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161.0423076923077</v>
      </c>
      <c r="BN352" s="64">
        <f>IFERROR(Y352*I352/H352,"0")</f>
        <v>164.20000000000005</v>
      </c>
      <c r="BO352" s="64">
        <f>IFERROR(1/J352*(X352/H352),"0")</f>
        <v>0.30649038461538464</v>
      </c>
      <c r="BP352" s="64">
        <f>IFERROR(1/J352*(Y352/H352),"0")</f>
        <v>0.3125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162</v>
      </c>
      <c r="Y353" s="630">
        <f>IFERROR(IF(X353="",0,CEILING((X353/$H353),1)*$H353),"")</f>
        <v>163.79999999999998</v>
      </c>
      <c r="Z353" s="36">
        <f>IFERROR(IF(Y353=0,"",ROUNDUP(Y353/H353,0)*0.01898),"")</f>
        <v>0.39857999999999999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170.51538461538465</v>
      </c>
      <c r="BN353" s="64">
        <f>IFERROR(Y353*I353/H353,"0")</f>
        <v>172.41</v>
      </c>
      <c r="BO353" s="64">
        <f>IFERROR(1/J353*(X353/H353),"0")</f>
        <v>0.32451923076923078</v>
      </c>
      <c r="BP353" s="64">
        <f>IFERROR(1/J353*(Y353/H353),"0")</f>
        <v>0.328125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77</v>
      </c>
      <c r="Y354" s="630">
        <f>IFERROR(IF(X354="",0,CEILING((X354/$H354),1)*$H354),"")</f>
        <v>78</v>
      </c>
      <c r="Z354" s="36">
        <f>IFERROR(IF(Y354=0,"",ROUNDUP(Y354/H354,0)*0.01898),"")</f>
        <v>0.1898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81.047435897435903</v>
      </c>
      <c r="BN354" s="64">
        <f>IFERROR(Y354*I354/H354,"0")</f>
        <v>82.100000000000023</v>
      </c>
      <c r="BO354" s="64">
        <f>IFERROR(1/J354*(X354/H354),"0")</f>
        <v>0.15424679487179488</v>
      </c>
      <c r="BP354" s="64">
        <f>IFERROR(1/J354*(Y354/H354),"0")</f>
        <v>0.15625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50.256410256410263</v>
      </c>
      <c r="Y355" s="631">
        <f>IFERROR(Y352/H352,"0")+IFERROR(Y353/H353,"0")+IFERROR(Y354/H354,"0")</f>
        <v>51</v>
      </c>
      <c r="Z355" s="631">
        <f>IFERROR(IF(Z352="",0,Z352),"0")+IFERROR(IF(Z353="",0,Z353),"0")+IFERROR(IF(Z354="",0,Z354),"0")</f>
        <v>0.96797999999999995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392</v>
      </c>
      <c r="Y356" s="631">
        <f>IFERROR(SUM(Y352:Y354),"0")</f>
        <v>397.79999999999995</v>
      </c>
      <c r="Z356" s="37"/>
      <c r="AA356" s="632"/>
      <c r="AB356" s="632"/>
      <c r="AC356" s="632"/>
    </row>
    <row r="357" spans="1:68" ht="16.5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90</v>
      </c>
      <c r="Y368" s="630">
        <f t="shared" si="54"/>
        <v>92.4</v>
      </c>
      <c r="Z368" s="36">
        <f>IFERROR(IF(Y368=0,"",ROUNDUP(Y368/H368,0)*0.00902),"")</f>
        <v>0.19844000000000001</v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95.357142857142847</v>
      </c>
      <c r="BN368" s="64">
        <f t="shared" si="56"/>
        <v>97.9</v>
      </c>
      <c r="BO368" s="64">
        <f t="shared" si="57"/>
        <v>0.16233766233766234</v>
      </c>
      <c r="BP368" s="64">
        <f t="shared" si="58"/>
        <v>0.16666666666666669</v>
      </c>
    </row>
    <row r="369" spans="1:68" ht="27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29</v>
      </c>
      <c r="Y373" s="630">
        <f t="shared" si="54"/>
        <v>30.6</v>
      </c>
      <c r="Z373" s="36">
        <f>IFERROR(IF(Y373=0,"",ROUNDUP(Y373/H373,0)*0.00651),"")</f>
        <v>0.11067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32.673333333333332</v>
      </c>
      <c r="BN373" s="64">
        <f t="shared" si="56"/>
        <v>34.475999999999999</v>
      </c>
      <c r="BO373" s="64">
        <f t="shared" si="57"/>
        <v>8.8522588522588527E-2</v>
      </c>
      <c r="BP373" s="64">
        <f t="shared" si="58"/>
        <v>9.3406593406593408E-2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37.539682539682538</v>
      </c>
      <c r="Y374" s="631">
        <f>IFERROR(Y367/H367,"0")+IFERROR(Y368/H368,"0")+IFERROR(Y369/H369,"0")+IFERROR(Y370/H370,"0")+IFERROR(Y371/H371,"0")+IFERROR(Y372/H372,"0")+IFERROR(Y373/H373,"0")</f>
        <v>39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0.30911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119</v>
      </c>
      <c r="Y375" s="631">
        <f>IFERROR(SUM(Y367:Y373),"0")</f>
        <v>123</v>
      </c>
      <c r="Z375" s="37"/>
      <c r="AA375" s="632"/>
      <c r="AB375" s="632"/>
      <c r="AC375" s="632"/>
    </row>
    <row r="376" spans="1:68" ht="14.25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130</v>
      </c>
      <c r="Y384" s="630">
        <f>IFERROR(IF(X384="",0,CEILING((X384/$H384),1)*$H384),"")</f>
        <v>134.4</v>
      </c>
      <c r="Z384" s="36">
        <f>IFERROR(IF(Y384=0,"",ROUNDUP(Y384/H384,0)*0.01898),"")</f>
        <v>0.30368000000000001</v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137.64523809523808</v>
      </c>
      <c r="BN384" s="64">
        <f>IFERROR(Y384*I384/H384,"0")</f>
        <v>142.304</v>
      </c>
      <c r="BO384" s="64">
        <f>IFERROR(1/J384*(X384/H384),"0")</f>
        <v>0.24181547619047619</v>
      </c>
      <c r="BP384" s="64">
        <f>IFERROR(1/J384*(Y384/H384),"0")</f>
        <v>0.25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1921</v>
      </c>
      <c r="Y385" s="630">
        <f>IFERROR(IF(X385="",0,CEILING((X385/$H385),1)*$H385),"")</f>
        <v>1926.6</v>
      </c>
      <c r="Z385" s="36">
        <f>IFERROR(IF(Y385=0,"",ROUNDUP(Y385/H385,0)*0.01898),"")</f>
        <v>4.6880600000000001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2042.6633333333336</v>
      </c>
      <c r="BN385" s="64">
        <f>IFERROR(Y385*I385/H385,"0")</f>
        <v>2048.6179999999999</v>
      </c>
      <c r="BO385" s="64">
        <f>IFERROR(1/J385*(X385/H385),"0")</f>
        <v>3.8481570512820515</v>
      </c>
      <c r="BP385" s="64">
        <f>IFERROR(1/J385*(Y385/H385),"0")</f>
        <v>3.859375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150</v>
      </c>
      <c r="Y386" s="630">
        <f>IFERROR(IF(X386="",0,CEILING((X386/$H386),1)*$H386),"")</f>
        <v>151.20000000000002</v>
      </c>
      <c r="Z386" s="36">
        <f>IFERROR(IF(Y386=0,"",ROUNDUP(Y386/H386,0)*0.01898),"")</f>
        <v>0.34164</v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158.82142857142856</v>
      </c>
      <c r="BN386" s="64">
        <f>IFERROR(Y386*I386/H386,"0")</f>
        <v>160.09200000000001</v>
      </c>
      <c r="BO386" s="64">
        <f>IFERROR(1/J386*(X386/H386),"0")</f>
        <v>0.27901785714285715</v>
      </c>
      <c r="BP386" s="64">
        <f>IFERROR(1/J386*(Y386/H386),"0")</f>
        <v>0.28125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279.61538461538458</v>
      </c>
      <c r="Y387" s="631">
        <f>IFERROR(Y384/H384,"0")+IFERROR(Y385/H385,"0")+IFERROR(Y386/H386,"0")</f>
        <v>281</v>
      </c>
      <c r="Z387" s="631">
        <f>IFERROR(IF(Z384="",0,Z384),"0")+IFERROR(IF(Z385="",0,Z385),"0")+IFERROR(IF(Z386="",0,Z386),"0")</f>
        <v>5.33338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2201</v>
      </c>
      <c r="Y388" s="631">
        <f>IFERROR(SUM(Y384:Y386),"0")</f>
        <v>2212.1999999999998</v>
      </c>
      <c r="Z388" s="37"/>
      <c r="AA388" s="632"/>
      <c r="AB388" s="632"/>
      <c r="AC388" s="632"/>
    </row>
    <row r="389" spans="1:68" ht="14.25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5</v>
      </c>
      <c r="Y391" s="630">
        <f>IFERROR(IF(X391="",0,CEILING((X391/$H391),1)*$H391),"")</f>
        <v>6.08</v>
      </c>
      <c r="Z391" s="36">
        <f>IFERROR(IF(Y391=0,"",ROUNDUP(Y391/H391,0)*0.00902),"")</f>
        <v>1.804E-2</v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5.3782894736842106</v>
      </c>
      <c r="BN391" s="64">
        <f>IFERROR(Y391*I391/H391,"0")</f>
        <v>6.5399999999999991</v>
      </c>
      <c r="BO391" s="64">
        <f>IFERROR(1/J391*(X391/H391),"0")</f>
        <v>1.2460127591706539E-2</v>
      </c>
      <c r="BP391" s="64">
        <f>IFERROR(1/J391*(Y391/H391),"0")</f>
        <v>1.5151515151515152E-2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4</v>
      </c>
      <c r="Y392" s="630">
        <f>IFERROR(IF(X392="",0,CEILING((X392/$H392),1)*$H392),"")</f>
        <v>5.0999999999999996</v>
      </c>
      <c r="Z392" s="36">
        <f>IFERROR(IF(Y392=0,"",ROUNDUP(Y392/H392,0)*0.00651),"")</f>
        <v>1.302E-2</v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4.6352941176470592</v>
      </c>
      <c r="BN392" s="64">
        <f>IFERROR(Y392*I392/H392,"0")</f>
        <v>5.91</v>
      </c>
      <c r="BO392" s="64">
        <f>IFERROR(1/J392*(X392/H392),"0")</f>
        <v>8.6188321482439153E-3</v>
      </c>
      <c r="BP392" s="64">
        <f>IFERROR(1/J392*(Y392/H392),"0")</f>
        <v>1.098901098901099E-2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23</v>
      </c>
      <c r="Y393" s="630">
        <f>IFERROR(IF(X393="",0,CEILING((X393/$H393),1)*$H393),"")</f>
        <v>25.5</v>
      </c>
      <c r="Z393" s="36">
        <f>IFERROR(IF(Y393=0,"",ROUNDUP(Y393/H393,0)*0.00651),"")</f>
        <v>6.5100000000000005E-2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25.976470588235294</v>
      </c>
      <c r="BN393" s="64">
        <f>IFERROR(Y393*I393/H393,"0")</f>
        <v>28.8</v>
      </c>
      <c r="BO393" s="64">
        <f>IFERROR(1/J393*(X393/H393),"0")</f>
        <v>4.9558284852402504E-2</v>
      </c>
      <c r="BP393" s="64">
        <f>IFERROR(1/J393*(Y393/H393),"0")</f>
        <v>5.4945054945054951E-2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12.23297213622291</v>
      </c>
      <c r="Y394" s="631">
        <f>IFERROR(Y390/H390,"0")+IFERROR(Y391/H391,"0")+IFERROR(Y392/H392,"0")+IFERROR(Y393/H393,"0")</f>
        <v>14</v>
      </c>
      <c r="Z394" s="631">
        <f>IFERROR(IF(Z390="",0,Z390),"0")+IFERROR(IF(Z391="",0,Z391),"0")+IFERROR(IF(Z392="",0,Z392),"0")+IFERROR(IF(Z393="",0,Z393),"0")</f>
        <v>9.6160000000000009E-2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32</v>
      </c>
      <c r="Y395" s="631">
        <f>IFERROR(SUM(Y390:Y393),"0")</f>
        <v>36.68</v>
      </c>
      <c r="Z395" s="37"/>
      <c r="AA395" s="632"/>
      <c r="AB395" s="632"/>
      <c r="AC395" s="632"/>
    </row>
    <row r="396" spans="1:68" ht="14.25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3</v>
      </c>
      <c r="Y397" s="630">
        <f>IFERROR(IF(X397="",0,CEILING((X397/$H397),1)*$H397),"")</f>
        <v>4</v>
      </c>
      <c r="Z397" s="36">
        <f>IFERROR(IF(Y397=0,"",ROUNDUP(Y397/H397,0)*0.00474),"")</f>
        <v>9.4800000000000006E-3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3.3600000000000003</v>
      </c>
      <c r="BN397" s="64">
        <f>IFERROR(Y397*I397/H397,"0")</f>
        <v>4.4800000000000004</v>
      </c>
      <c r="BO397" s="64">
        <f>IFERROR(1/J397*(X397/H397),"0")</f>
        <v>6.3025210084033615E-3</v>
      </c>
      <c r="BP397" s="64">
        <f>IFERROR(1/J397*(Y397/H397),"0")</f>
        <v>8.4033613445378148E-3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20</v>
      </c>
      <c r="Y399" s="630">
        <f>IFERROR(IF(X399="",0,CEILING((X399/$H399),1)*$H399),"")</f>
        <v>20</v>
      </c>
      <c r="Z399" s="36">
        <f>IFERROR(IF(Y399=0,"",ROUNDUP(Y399/H399,0)*0.00474),"")</f>
        <v>4.7400000000000005E-2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22.400000000000002</v>
      </c>
      <c r="BN399" s="64">
        <f>IFERROR(Y399*I399/H399,"0")</f>
        <v>22.400000000000002</v>
      </c>
      <c r="BO399" s="64">
        <f>IFERROR(1/J399*(X399/H399),"0")</f>
        <v>4.2016806722689072E-2</v>
      </c>
      <c r="BP399" s="64">
        <f>IFERROR(1/J399*(Y399/H399),"0")</f>
        <v>4.2016806722689072E-2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11.5</v>
      </c>
      <c r="Y400" s="631">
        <f>IFERROR(Y397/H397,"0")+IFERROR(Y398/H398,"0")+IFERROR(Y399/H399,"0")</f>
        <v>12</v>
      </c>
      <c r="Z400" s="631">
        <f>IFERROR(IF(Z397="",0,Z397),"0")+IFERROR(IF(Z398="",0,Z398),"0")+IFERROR(IF(Z399="",0,Z399),"0")</f>
        <v>5.6880000000000007E-2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23</v>
      </c>
      <c r="Y401" s="631">
        <f>IFERROR(SUM(Y397:Y399),"0")</f>
        <v>24</v>
      </c>
      <c r="Z401" s="37"/>
      <c r="AA401" s="632"/>
      <c r="AB401" s="632"/>
      <c r="AC401" s="632"/>
    </row>
    <row r="402" spans="1:68" ht="14.25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25</v>
      </c>
      <c r="Y403" s="630">
        <f>IFERROR(IF(X403="",0,CEILING((X403/$H403),1)*$H403),"")</f>
        <v>27</v>
      </c>
      <c r="Z403" s="36">
        <f>IFERROR(IF(Y403=0,"",ROUNDUP(Y403/H403,0)*0.0045),"")</f>
        <v>4.0499999999999994E-2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26.833333333333332</v>
      </c>
      <c r="BN403" s="64">
        <f>IFERROR(Y403*I403/H403,"0")</f>
        <v>28.980000000000004</v>
      </c>
      <c r="BO403" s="64">
        <f>IFERROR(1/J403*(X403/H403),"0")</f>
        <v>3.7202380952380952E-2</v>
      </c>
      <c r="BP403" s="64">
        <f>IFERROR(1/J403*(Y403/H403),"0")</f>
        <v>4.0178571428571425E-2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8.3333333333333339</v>
      </c>
      <c r="Y406" s="631">
        <f>IFERROR(Y403/H403,"0")+IFERROR(Y404/H404,"0")+IFERROR(Y405/H405,"0")</f>
        <v>9</v>
      </c>
      <c r="Z406" s="631">
        <f>IFERROR(IF(Z403="",0,Z403),"0")+IFERROR(IF(Z404="",0,Z404),"0")+IFERROR(IF(Z405="",0,Z405),"0")</f>
        <v>4.0499999999999994E-2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25</v>
      </c>
      <c r="Y407" s="631">
        <f>IFERROR(SUM(Y403:Y405),"0")</f>
        <v>27</v>
      </c>
      <c r="Z407" s="37"/>
      <c r="AA407" s="632"/>
      <c r="AB407" s="632"/>
      <c r="AC407" s="632"/>
    </row>
    <row r="408" spans="1:68" ht="16.5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39</v>
      </c>
      <c r="Y417" s="630">
        <f>IFERROR(IF(X417="",0,CEILING((X417/$H417),1)*$H417),"")</f>
        <v>39.9</v>
      </c>
      <c r="Z417" s="36">
        <f>IFERROR(IF(Y417=0,"",ROUNDUP(Y417/H417,0)*0.00651),"")</f>
        <v>0.12369000000000001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43.679999999999993</v>
      </c>
      <c r="BN417" s="64">
        <f>IFERROR(Y417*I417/H417,"0")</f>
        <v>44.687999999999995</v>
      </c>
      <c r="BO417" s="64">
        <f>IFERROR(1/J417*(X417/H417),"0")</f>
        <v>0.10204081632653061</v>
      </c>
      <c r="BP417" s="64">
        <f>IFERROR(1/J417*(Y417/H417),"0")</f>
        <v>0.1043956043956044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18</v>
      </c>
      <c r="Y418" s="630">
        <f>IFERROR(IF(X418="",0,CEILING((X418/$H418),1)*$H418),"")</f>
        <v>18.900000000000002</v>
      </c>
      <c r="Z418" s="36">
        <f>IFERROR(IF(Y418=0,"",ROUNDUP(Y418/H418,0)*0.00651),"")</f>
        <v>5.8590000000000003E-2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20.057142857142853</v>
      </c>
      <c r="BN418" s="64">
        <f>IFERROR(Y418*I418/H418,"0")</f>
        <v>21.06</v>
      </c>
      <c r="BO418" s="64">
        <f>IFERROR(1/J418*(X418/H418),"0")</f>
        <v>4.709576138147567E-2</v>
      </c>
      <c r="BP418" s="64">
        <f>IFERROR(1/J418*(Y418/H418),"0")</f>
        <v>4.9450549450549455E-2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27.142857142857139</v>
      </c>
      <c r="Y419" s="631">
        <f>IFERROR(Y416/H416,"0")+IFERROR(Y417/H417,"0")+IFERROR(Y418/H418,"0")</f>
        <v>28</v>
      </c>
      <c r="Z419" s="631">
        <f>IFERROR(IF(Z416="",0,Z416),"0")+IFERROR(IF(Z417="",0,Z417),"0")+IFERROR(IF(Z418="",0,Z418),"0")</f>
        <v>0.18228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57</v>
      </c>
      <c r="Y420" s="631">
        <f>IFERROR(SUM(Y416:Y418),"0")</f>
        <v>58.8</v>
      </c>
      <c r="Z420" s="37"/>
      <c r="AA420" s="632"/>
      <c r="AB420" s="632"/>
      <c r="AC420" s="632"/>
    </row>
    <row r="421" spans="1:68" ht="27.75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10</v>
      </c>
      <c r="Y424" s="630">
        <f t="shared" ref="Y424:Y431" si="59">IFERROR(IF(X424="",0,CEILING((X424/$H424),1)*$H424),"")</f>
        <v>15</v>
      </c>
      <c r="Z424" s="36">
        <f>IFERROR(IF(Y424=0,"",ROUNDUP(Y424/H424,0)*0.02175),"")</f>
        <v>2.1749999999999999E-2</v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10.313333333333334</v>
      </c>
      <c r="BN424" s="64">
        <f t="shared" ref="BN424:BN431" si="61">IFERROR(Y424*I424/H424,"0")</f>
        <v>15.47</v>
      </c>
      <c r="BO424" s="64">
        <f t="shared" ref="BO424:BO431" si="62">IFERROR(1/J424*(X424/H424),"0")</f>
        <v>1.3888888888888888E-2</v>
      </c>
      <c r="BP424" s="64">
        <f t="shared" ref="BP424:BP431" si="63">IFERROR(1/J424*(Y424/H424),"0")</f>
        <v>2.0833333333333332E-2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467</v>
      </c>
      <c r="Y425" s="630">
        <f t="shared" si="59"/>
        <v>480</v>
      </c>
      <c r="Z425" s="36">
        <f>IFERROR(IF(Y425=0,"",ROUNDUP(Y425/H425,0)*0.02175),"")</f>
        <v>0.69599999999999995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481.63266666666669</v>
      </c>
      <c r="BN425" s="64">
        <f t="shared" si="61"/>
        <v>495.04</v>
      </c>
      <c r="BO425" s="64">
        <f t="shared" si="62"/>
        <v>0.64861111111111103</v>
      </c>
      <c r="BP425" s="64">
        <f t="shared" si="63"/>
        <v>0.66666666666666663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519</v>
      </c>
      <c r="Y426" s="630">
        <f t="shared" si="59"/>
        <v>525</v>
      </c>
      <c r="Z426" s="36">
        <f>IFERROR(IF(Y426=0,"",ROUNDUP(Y426/H426,0)*0.02175),"")</f>
        <v>0.76124999999999998</v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535.26200000000006</v>
      </c>
      <c r="BN426" s="64">
        <f t="shared" si="61"/>
        <v>541.45000000000005</v>
      </c>
      <c r="BO426" s="64">
        <f t="shared" si="62"/>
        <v>0.72083333333333333</v>
      </c>
      <c r="BP426" s="64">
        <f t="shared" si="63"/>
        <v>0.72916666666666663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428</v>
      </c>
      <c r="Y427" s="630">
        <f t="shared" si="59"/>
        <v>435</v>
      </c>
      <c r="Z427" s="36">
        <f>IFERROR(IF(Y427=0,"",ROUNDUP(Y427/H427,0)*0.02175),"")</f>
        <v>0.63074999999999992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441.41066666666666</v>
      </c>
      <c r="BN427" s="64">
        <f t="shared" si="61"/>
        <v>448.63000000000005</v>
      </c>
      <c r="BO427" s="64">
        <f t="shared" si="62"/>
        <v>0.59444444444444444</v>
      </c>
      <c r="BP427" s="64">
        <f t="shared" si="63"/>
        <v>0.60416666666666663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371</v>
      </c>
      <c r="Y428" s="630">
        <f t="shared" si="59"/>
        <v>375</v>
      </c>
      <c r="Z428" s="36">
        <f>IFERROR(IF(Y428=0,"",ROUNDUP(Y428/H428,0)*0.02175),"")</f>
        <v>0.54374999999999996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382.62466666666666</v>
      </c>
      <c r="BN428" s="64">
        <f t="shared" si="61"/>
        <v>386.75</v>
      </c>
      <c r="BO428" s="64">
        <f t="shared" si="62"/>
        <v>0.51527777777777772</v>
      </c>
      <c r="BP428" s="64">
        <f t="shared" si="63"/>
        <v>0.52083333333333326</v>
      </c>
    </row>
    <row r="429" spans="1:68" ht="27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119.66666666666667</v>
      </c>
      <c r="Y432" s="631">
        <f>IFERROR(Y424/H424,"0")+IFERROR(Y425/H425,"0")+IFERROR(Y426/H426,"0")+IFERROR(Y427/H427,"0")+IFERROR(Y428/H428,"0")+IFERROR(Y429/H429,"0")+IFERROR(Y430/H430,"0")+IFERROR(Y431/H431,"0")</f>
        <v>122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2.6535000000000002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1795</v>
      </c>
      <c r="Y433" s="631">
        <f>IFERROR(SUM(Y424:Y431),"0")</f>
        <v>1830</v>
      </c>
      <c r="Z433" s="37"/>
      <c r="AA433" s="632"/>
      <c r="AB433" s="632"/>
      <c r="AC433" s="632"/>
    </row>
    <row r="434" spans="1:68" ht="14.25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1196</v>
      </c>
      <c r="Y435" s="630">
        <f>IFERROR(IF(X435="",0,CEILING((X435/$H435),1)*$H435),"")</f>
        <v>1200</v>
      </c>
      <c r="Z435" s="36">
        <f>IFERROR(IF(Y435=0,"",ROUNDUP(Y435/H435,0)*0.02175),"")</f>
        <v>1.7399999999999998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1233.4746666666665</v>
      </c>
      <c r="BN435" s="64">
        <f>IFERROR(Y435*I435/H435,"0")</f>
        <v>1237.5999999999999</v>
      </c>
      <c r="BO435" s="64">
        <f>IFERROR(1/J435*(X435/H435),"0")</f>
        <v>1.661111111111111</v>
      </c>
      <c r="BP435" s="64">
        <f>IFERROR(1/J435*(Y435/H435),"0")</f>
        <v>1.6666666666666665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79.733333333333334</v>
      </c>
      <c r="Y438" s="631">
        <f>IFERROR(Y435/H435,"0")+IFERROR(Y436/H436,"0")+IFERROR(Y437/H437,"0")</f>
        <v>80</v>
      </c>
      <c r="Z438" s="631">
        <f>IFERROR(IF(Z435="",0,Z435),"0")+IFERROR(IF(Z436="",0,Z436),"0")+IFERROR(IF(Z437="",0,Z437),"0")</f>
        <v>1.7399999999999998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1196</v>
      </c>
      <c r="Y439" s="631">
        <f>IFERROR(SUM(Y435:Y437),"0")</f>
        <v>1200</v>
      </c>
      <c r="Z439" s="37"/>
      <c r="AA439" s="632"/>
      <c r="AB439" s="632"/>
      <c r="AC439" s="632"/>
    </row>
    <row r="440" spans="1:68" ht="14.25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100</v>
      </c>
      <c r="Y448" s="630">
        <f>IFERROR(IF(X448="",0,CEILING((X448/$H448),1)*$H448),"")</f>
        <v>108</v>
      </c>
      <c r="Z448" s="36">
        <f>IFERROR(IF(Y448=0,"",ROUNDUP(Y448/H448,0)*0.01898),"")</f>
        <v>0.22776000000000002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105.48888888888888</v>
      </c>
      <c r="BN448" s="64">
        <f>IFERROR(Y448*I448/H448,"0")</f>
        <v>113.92799999999998</v>
      </c>
      <c r="BO448" s="64">
        <f>IFERROR(1/J448*(X448/H448),"0")</f>
        <v>0.1736111111111111</v>
      </c>
      <c r="BP448" s="64">
        <f>IFERROR(1/J448*(Y448/H448),"0")</f>
        <v>0.1875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11.111111111111111</v>
      </c>
      <c r="Y449" s="631">
        <f>IFERROR(Y447/H447,"0")+IFERROR(Y448/H448,"0")</f>
        <v>12</v>
      </c>
      <c r="Z449" s="631">
        <f>IFERROR(IF(Z447="",0,Z447),"0")+IFERROR(IF(Z448="",0,Z448),"0")</f>
        <v>0.22776000000000002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100</v>
      </c>
      <c r="Y450" s="631">
        <f>IFERROR(SUM(Y447:Y448),"0")</f>
        <v>108</v>
      </c>
      <c r="Z450" s="37"/>
      <c r="AA450" s="632"/>
      <c r="AB450" s="632"/>
      <c r="AC450" s="632"/>
    </row>
    <row r="451" spans="1:68" ht="16.5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1000</v>
      </c>
      <c r="Y462" s="630">
        <f>IFERROR(IF(X462="",0,CEILING((X462/$H462),1)*$H462),"")</f>
        <v>1008</v>
      </c>
      <c r="Z462" s="36">
        <f>IFERROR(IF(Y462=0,"",ROUNDUP(Y462/H462,0)*0.01898),"")</f>
        <v>2.1257600000000001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1054.8888888888889</v>
      </c>
      <c r="BN462" s="64">
        <f>IFERROR(Y462*I462/H462,"0")</f>
        <v>1063.328</v>
      </c>
      <c r="BO462" s="64">
        <f>IFERROR(1/J462*(X462/H462),"0")</f>
        <v>1.7361111111111112</v>
      </c>
      <c r="BP462" s="64">
        <f>IFERROR(1/J462*(Y462/H462),"0")</f>
        <v>1.75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8</v>
      </c>
      <c r="Y463" s="630">
        <f>IFERROR(IF(X463="",0,CEILING((X463/$H463),1)*$H463),"")</f>
        <v>9.6</v>
      </c>
      <c r="Z463" s="36">
        <f>IFERROR(IF(Y463=0,"",ROUNDUP(Y463/H463,0)*0.00651),"")</f>
        <v>2.6040000000000001E-2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8.8800000000000008</v>
      </c>
      <c r="BN463" s="64">
        <f>IFERROR(Y463*I463/H463,"0")</f>
        <v>10.656000000000001</v>
      </c>
      <c r="BO463" s="64">
        <f>IFERROR(1/J463*(X463/H463),"0")</f>
        <v>1.8315018315018316E-2</v>
      </c>
      <c r="BP463" s="64">
        <f>IFERROR(1/J463*(Y463/H463),"0")</f>
        <v>2.197802197802198E-2</v>
      </c>
    </row>
    <row r="464" spans="1:68" ht="27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114.44444444444444</v>
      </c>
      <c r="Y465" s="631">
        <f>IFERROR(Y462/H462,"0")+IFERROR(Y463/H463,"0")+IFERROR(Y464/H464,"0")</f>
        <v>116</v>
      </c>
      <c r="Z465" s="631">
        <f>IFERROR(IF(Z462="",0,Z462),"0")+IFERROR(IF(Z463="",0,Z463),"0")+IFERROR(IF(Z464="",0,Z464),"0")</f>
        <v>2.1518000000000002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1008</v>
      </c>
      <c r="Y466" s="631">
        <f>IFERROR(SUM(Y462:Y464),"0")</f>
        <v>1017.6</v>
      </c>
      <c r="Z466" s="37"/>
      <c r="AA466" s="632"/>
      <c r="AB466" s="632"/>
      <c r="AC466" s="632"/>
    </row>
    <row r="467" spans="1:68" ht="27.75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56</v>
      </c>
      <c r="Y497" s="630">
        <f t="shared" ref="Y497:Y505" si="69">IFERROR(IF(X497="",0,CEILING((X497/$H497),1)*$H497),"")</f>
        <v>58.080000000000005</v>
      </c>
      <c r="Z497" s="36">
        <f t="shared" ref="Z497:Z502" si="70">IFERROR(IF(Y497=0,"",ROUNDUP(Y497/H497,0)*0.01196),"")</f>
        <v>0.13156000000000001</v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59.712121212121204</v>
      </c>
      <c r="BN497" s="64">
        <f t="shared" ref="BN497:BN505" si="72">IFERROR(Y497*I497/H497,"0")</f>
        <v>61.93</v>
      </c>
      <c r="BO497" s="64">
        <f t="shared" ref="BO497:BO505" si="73">IFERROR(1/J497*(X497/H497),"0")</f>
        <v>0.10198135198135198</v>
      </c>
      <c r="BP497" s="64">
        <f t="shared" ref="BP497:BP505" si="74">IFERROR(1/J497*(Y497/H497),"0")</f>
        <v>0.10576923076923078</v>
      </c>
    </row>
    <row r="498" spans="1:68" ht="16.5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65</v>
      </c>
      <c r="Y499" s="630">
        <f t="shared" si="69"/>
        <v>68.64</v>
      </c>
      <c r="Z499" s="36">
        <f t="shared" si="70"/>
        <v>0.15548000000000001</v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69.30871212121211</v>
      </c>
      <c r="BN499" s="64">
        <f t="shared" si="72"/>
        <v>73.19</v>
      </c>
      <c r="BO499" s="64">
        <f t="shared" si="73"/>
        <v>0.11837121212121213</v>
      </c>
      <c r="BP499" s="64">
        <f t="shared" si="74"/>
        <v>0.125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301</v>
      </c>
      <c r="Y500" s="630">
        <f t="shared" si="69"/>
        <v>306.24</v>
      </c>
      <c r="Z500" s="36">
        <f t="shared" si="70"/>
        <v>0.69367999999999996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320.9526515151515</v>
      </c>
      <c r="BN500" s="64">
        <f t="shared" si="72"/>
        <v>326.53999999999996</v>
      </c>
      <c r="BO500" s="64">
        <f t="shared" si="73"/>
        <v>0.54814976689976691</v>
      </c>
      <c r="BP500" s="64">
        <f t="shared" si="74"/>
        <v>0.55769230769230771</v>
      </c>
    </row>
    <row r="501" spans="1:68" ht="16.5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445</v>
      </c>
      <c r="Y502" s="630">
        <f t="shared" si="69"/>
        <v>448.8</v>
      </c>
      <c r="Z502" s="36">
        <f t="shared" si="70"/>
        <v>1.0165999999999999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474.49810606060601</v>
      </c>
      <c r="BN502" s="64">
        <f t="shared" si="72"/>
        <v>478.55</v>
      </c>
      <c r="BO502" s="64">
        <f t="shared" si="73"/>
        <v>0.81038752913752921</v>
      </c>
      <c r="BP502" s="64">
        <f t="shared" si="74"/>
        <v>0.8173076923076924</v>
      </c>
    </row>
    <row r="503" spans="1:68" ht="27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30</v>
      </c>
      <c r="Y504" s="630">
        <f t="shared" si="69"/>
        <v>33.6</v>
      </c>
      <c r="Z504" s="36">
        <f>IFERROR(IF(Y504=0,"",ROUNDUP(Y504/H504,0)*0.00902),"")</f>
        <v>6.3140000000000002E-2</v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43.187500000000007</v>
      </c>
      <c r="BN504" s="64">
        <f t="shared" si="72"/>
        <v>48.370000000000005</v>
      </c>
      <c r="BO504" s="64">
        <f t="shared" si="73"/>
        <v>4.7348484848484848E-2</v>
      </c>
      <c r="BP504" s="64">
        <f t="shared" si="74"/>
        <v>5.3030303030303039E-2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9</v>
      </c>
      <c r="Y505" s="630">
        <f t="shared" si="69"/>
        <v>9.6</v>
      </c>
      <c r="Z505" s="36">
        <f>IFERROR(IF(Y505=0,"",ROUNDUP(Y505/H505,0)*0.00902),"")</f>
        <v>1.804E-2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12.956250000000001</v>
      </c>
      <c r="BN505" s="64">
        <f t="shared" si="72"/>
        <v>13.82</v>
      </c>
      <c r="BO505" s="64">
        <f t="shared" si="73"/>
        <v>1.4204545454545456E-2</v>
      </c>
      <c r="BP505" s="64">
        <f t="shared" si="74"/>
        <v>1.5151515151515152E-2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172.32954545454544</v>
      </c>
      <c r="Y506" s="631">
        <f>IFERROR(Y497/H497,"0")+IFERROR(Y498/H498,"0")+IFERROR(Y499/H499,"0")+IFERROR(Y500/H500,"0")+IFERROR(Y501/H501,"0")+IFERROR(Y502/H502,"0")+IFERROR(Y503/H503,"0")+IFERROR(Y504/H504,"0")+IFERROR(Y505/H505,"0")</f>
        <v>176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2.0785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906</v>
      </c>
      <c r="Y507" s="631">
        <f>IFERROR(SUM(Y497:Y505),"0")</f>
        <v>924.96</v>
      </c>
      <c r="Z507" s="37"/>
      <c r="AA507" s="632"/>
      <c r="AB507" s="632"/>
      <c r="AC507" s="632"/>
    </row>
    <row r="508" spans="1:68" ht="14.25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183</v>
      </c>
      <c r="Y509" s="630">
        <f>IFERROR(IF(X509="",0,CEILING((X509/$H509),1)*$H509),"")</f>
        <v>184.8</v>
      </c>
      <c r="Z509" s="36">
        <f>IFERROR(IF(Y509=0,"",ROUNDUP(Y509/H509,0)*0.01196),"")</f>
        <v>0.41860000000000003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195.13068181818181</v>
      </c>
      <c r="BN509" s="64">
        <f>IFERROR(Y509*I509/H509,"0")</f>
        <v>197.04999999999998</v>
      </c>
      <c r="BO509" s="64">
        <f>IFERROR(1/J509*(X509/H509),"0")</f>
        <v>0.33326048951048948</v>
      </c>
      <c r="BP509" s="64">
        <f>IFERROR(1/J509*(Y509/H509),"0")</f>
        <v>0.33653846153846156</v>
      </c>
    </row>
    <row r="510" spans="1:68" ht="16.5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57</v>
      </c>
      <c r="Y511" s="630">
        <f>IFERROR(IF(X511="",0,CEILING((X511/$H511),1)*$H511),"")</f>
        <v>57.599999999999994</v>
      </c>
      <c r="Z511" s="36">
        <f>IFERROR(IF(Y511=0,"",ROUNDUP(Y511/H511,0)*0.00902),"")</f>
        <v>0.10824</v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82.056250000000006</v>
      </c>
      <c r="BN511" s="64">
        <f>IFERROR(Y511*I511/H511,"0")</f>
        <v>82.92</v>
      </c>
      <c r="BO511" s="64">
        <f>IFERROR(1/J511*(X511/H511),"0")</f>
        <v>8.9962121212121215E-2</v>
      </c>
      <c r="BP511" s="64">
        <f>IFERROR(1/J511*(Y511/H511),"0")</f>
        <v>9.0909090909090912E-2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46.534090909090907</v>
      </c>
      <c r="Y512" s="631">
        <f>IFERROR(Y509/H509,"0")+IFERROR(Y510/H510,"0")+IFERROR(Y511/H511,"0")</f>
        <v>47</v>
      </c>
      <c r="Z512" s="631">
        <f>IFERROR(IF(Z509="",0,Z509),"0")+IFERROR(IF(Z510="",0,Z510),"0")+IFERROR(IF(Z511="",0,Z511),"0")</f>
        <v>0.52683999999999997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240</v>
      </c>
      <c r="Y513" s="631">
        <f>IFERROR(SUM(Y509:Y511),"0")</f>
        <v>242.4</v>
      </c>
      <c r="Z513" s="37"/>
      <c r="AA513" s="632"/>
      <c r="AB513" s="632"/>
      <c r="AC513" s="632"/>
    </row>
    <row r="514" spans="1:68" ht="14.25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133</v>
      </c>
      <c r="Y515" s="630">
        <f t="shared" ref="Y515:Y521" si="75">IFERROR(IF(X515="",0,CEILING((X515/$H515),1)*$H515),"")</f>
        <v>137.28</v>
      </c>
      <c r="Z515" s="36">
        <f>IFERROR(IF(Y515=0,"",ROUNDUP(Y515/H515,0)*0.01196),"")</f>
        <v>0.31096000000000001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141.81628787878788</v>
      </c>
      <c r="BN515" s="64">
        <f t="shared" ref="BN515:BN521" si="77">IFERROR(Y515*I515/H515,"0")</f>
        <v>146.38</v>
      </c>
      <c r="BO515" s="64">
        <f t="shared" ref="BO515:BO521" si="78">IFERROR(1/J515*(X515/H515),"0")</f>
        <v>0.24220571095571095</v>
      </c>
      <c r="BP515" s="64">
        <f t="shared" ref="BP515:BP521" si="79">IFERROR(1/J515*(Y515/H515),"0")</f>
        <v>0.25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151</v>
      </c>
      <c r="Y516" s="630">
        <f t="shared" si="75"/>
        <v>153.12</v>
      </c>
      <c r="Z516" s="36">
        <f>IFERROR(IF(Y516=0,"",ROUNDUP(Y516/H516,0)*0.01196),"")</f>
        <v>0.34683999999999998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161.00946969696969</v>
      </c>
      <c r="BN516" s="64">
        <f t="shared" si="77"/>
        <v>163.26999999999998</v>
      </c>
      <c r="BO516" s="64">
        <f t="shared" si="78"/>
        <v>0.27498543123543123</v>
      </c>
      <c r="BP516" s="64">
        <f t="shared" si="79"/>
        <v>0.27884615384615385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231</v>
      </c>
      <c r="Y517" s="630">
        <f t="shared" si="75"/>
        <v>232.32000000000002</v>
      </c>
      <c r="Z517" s="36">
        <f>IFERROR(IF(Y517=0,"",ROUNDUP(Y517/H517,0)*0.01196),"")</f>
        <v>0.52624000000000004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246.31249999999997</v>
      </c>
      <c r="BN517" s="64">
        <f t="shared" si="77"/>
        <v>247.72</v>
      </c>
      <c r="BO517" s="64">
        <f t="shared" si="78"/>
        <v>0.42067307692307693</v>
      </c>
      <c r="BP517" s="64">
        <f t="shared" si="79"/>
        <v>0.42307692307692313</v>
      </c>
    </row>
    <row r="518" spans="1:68" ht="27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97.537878787878782</v>
      </c>
      <c r="Y522" s="631">
        <f>IFERROR(Y515/H515,"0")+IFERROR(Y516/H516,"0")+IFERROR(Y517/H517,"0")+IFERROR(Y518/H518,"0")+IFERROR(Y519/H519,"0")+IFERROR(Y520/H520,"0")+IFERROR(Y521/H521,"0")</f>
        <v>99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1.18404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515</v>
      </c>
      <c r="Y523" s="631">
        <f>IFERROR(SUM(Y515:Y521),"0")</f>
        <v>522.72</v>
      </c>
      <c r="Z523" s="37"/>
      <c r="AA523" s="632"/>
      <c r="AB523" s="632"/>
      <c r="AC523" s="632"/>
    </row>
    <row r="524" spans="1:68" ht="27.75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40</v>
      </c>
      <c r="Y539" s="630">
        <f>IFERROR(IF(X539="",0,CEILING((X539/$H539),1)*$H539),"")</f>
        <v>45</v>
      </c>
      <c r="Z539" s="36">
        <f>IFERROR(IF(Y539=0,"",ROUNDUP(Y539/H539,0)*0.01898),"")</f>
        <v>9.4899999999999998E-2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42.195555555555558</v>
      </c>
      <c r="BN539" s="64">
        <f>IFERROR(Y539*I539/H539,"0")</f>
        <v>47.47</v>
      </c>
      <c r="BO539" s="64">
        <f>IFERROR(1/J539*(X539/H539),"0")</f>
        <v>6.9444444444444448E-2</v>
      </c>
      <c r="BP539" s="64">
        <f>IFERROR(1/J539*(Y539/H539),"0")</f>
        <v>7.8125E-2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4.4444444444444446</v>
      </c>
      <c r="Y540" s="631">
        <f>IFERROR(Y539/H539,"0")</f>
        <v>5</v>
      </c>
      <c r="Z540" s="631">
        <f>IFERROR(IF(Z539="",0,Z539),"0")</f>
        <v>9.4899999999999998E-2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40</v>
      </c>
      <c r="Y541" s="631">
        <f>IFERROR(SUM(Y539:Y539),"0")</f>
        <v>45</v>
      </c>
      <c r="Z541" s="37"/>
      <c r="AA541" s="632"/>
      <c r="AB541" s="632"/>
      <c r="AC541" s="632"/>
    </row>
    <row r="542" spans="1:68" ht="14.25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17093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17356.240000000002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18165.532149712973</v>
      </c>
      <c r="Y553" s="631">
        <f>IFERROR(SUM(BN22:BN549),"0")</f>
        <v>18446.282999999999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32</v>
      </c>
      <c r="Y554" s="38">
        <f>ROUNDUP(SUM(BP22:BP549),0)</f>
        <v>32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18965.532149712973</v>
      </c>
      <c r="Y555" s="631">
        <f>GrossWeightTotalR+PalletQtyTotalR*25</f>
        <v>19246.282999999999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3296.7226608570822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3344</v>
      </c>
      <c r="Z556" s="37"/>
      <c r="AA556" s="632"/>
      <c r="AB556" s="632"/>
      <c r="AC556" s="632"/>
    </row>
    <row r="557" spans="1:68" ht="14.25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37.395070000000004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74" t="s">
        <v>110</v>
      </c>
      <c r="E559" s="704"/>
      <c r="F559" s="704"/>
      <c r="G559" s="704"/>
      <c r="H559" s="704"/>
      <c r="I559" s="704"/>
      <c r="J559" s="705"/>
      <c r="K559" s="674" t="s">
        <v>338</v>
      </c>
      <c r="L559" s="704"/>
      <c r="M559" s="704"/>
      <c r="N559" s="704"/>
      <c r="O559" s="704"/>
      <c r="P559" s="704"/>
      <c r="Q559" s="704"/>
      <c r="R559" s="704"/>
      <c r="S559" s="704"/>
      <c r="T559" s="704"/>
      <c r="U559" s="704"/>
      <c r="V559" s="705"/>
      <c r="W559" s="674" t="s">
        <v>681</v>
      </c>
      <c r="X559" s="705"/>
      <c r="Y559" s="674" t="s">
        <v>747</v>
      </c>
      <c r="Z559" s="705"/>
      <c r="AA559" s="626" t="s">
        <v>783</v>
      </c>
      <c r="AB559" s="674" t="s">
        <v>830</v>
      </c>
      <c r="AC559" s="705"/>
      <c r="AF559" s="627"/>
    </row>
    <row r="560" spans="1:68" ht="14.25" customHeight="1" thickTop="1" x14ac:dyDescent="0.2">
      <c r="A560" s="698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7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7"/>
    </row>
    <row r="561" spans="1:32" ht="13.5" customHeight="1" thickBot="1" x14ac:dyDescent="0.25">
      <c r="A561" s="699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7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75.600000000000009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883.7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705</v>
      </c>
      <c r="F562" s="46">
        <f>IFERROR(Y83*1,"0")+IFERROR(Y84*1,"0")+IFERROR(Y85*1,"0")+IFERROR(Y86*1,"0")+IFERROR(Y90*1,"0")+IFERROR(Y91*1,"0")+IFERROR(Y92*1,"0")+IFERROR(Y93*1,"0")</f>
        <v>798.2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940.9799999999999</v>
      </c>
      <c r="H562" s="46">
        <f>IFERROR(Y128*1,"0")+IFERROR(Y129*1,"0")+IFERROR(Y130*1,"0")+IFERROR(Y134*1,"0")+IFERROR(Y135*1,"0")+IFERROR(Y136*1,"0")+IFERROR(Y137*1,"0")+IFERROR(Y141*1,"0")+IFERROR(Y142*1,"0")+IFERROR(Y143*1,"0")</f>
        <v>141.6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913.64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801.56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3134.4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109.8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81.599999999999994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397.79999999999995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2422.8799999999997</v>
      </c>
      <c r="U562" s="46">
        <f>IFERROR(Y410*1,"0")+IFERROR(Y411*1,"0")</f>
        <v>0</v>
      </c>
      <c r="V562" s="46">
        <f>IFERROR(Y416*1,"0")+IFERROR(Y417*1,"0")+IFERROR(Y418*1,"0")</f>
        <v>58.8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3138</v>
      </c>
      <c r="X562" s="46">
        <f>IFERROR(Y453*1,"0")+IFERROR(Y454*1,"0")+IFERROR(Y458*1,"0")+IFERROR(Y462*1,"0")+IFERROR(Y463*1,"0")+IFERROR(Y464*1,"0")</f>
        <v>1017.6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1690.0799999999997</v>
      </c>
      <c r="AB562" s="46">
        <f>IFERROR(Y527*1,"0")+IFERROR(Y531*1,"0")+IFERROR(Y535*1,"0")+IFERROR(Y539*1,"0")+IFERROR(Y543*1,"0")+IFERROR(Y544*1,"0")</f>
        <v>45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9"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D42:E42"/>
    <mergeCell ref="P363:T363"/>
    <mergeCell ref="A35:Z35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370:T370"/>
    <mergeCell ref="F17:F18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D276:E276"/>
    <mergeCell ref="A107:Z107"/>
    <mergeCell ref="D341:E341"/>
    <mergeCell ref="D170:E170"/>
    <mergeCell ref="P93:T93"/>
    <mergeCell ref="P132:V132"/>
    <mergeCell ref="P72:T72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D223:E223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P192:V192"/>
    <mergeCell ref="D151:E151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D298:E298"/>
    <mergeCell ref="D181:E181"/>
    <mergeCell ref="P91:T91"/>
    <mergeCell ref="A351:Z351"/>
    <mergeCell ref="P252:V252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P260:T260"/>
    <mergeCell ref="D399:E399"/>
    <mergeCell ref="D59:E59"/>
    <mergeCell ref="D178:E178"/>
    <mergeCell ref="P51:T51"/>
    <mergeCell ref="P324:T3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82:Z82"/>
    <mergeCell ref="A275:Z275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6:Z126"/>
    <mergeCell ref="P501:T501"/>
    <mergeCell ref="A253:Z253"/>
    <mergeCell ref="A495:Z495"/>
    <mergeCell ref="P355:V355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26:Z26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D527:E527"/>
    <mergeCell ref="P335:V335"/>
    <mergeCell ref="A45:Z45"/>
    <mergeCell ref="Y559:Z559"/>
    <mergeCell ref="A452:Z452"/>
    <mergeCell ref="P387:V387"/>
    <mergeCell ref="D316:E316"/>
    <mergeCell ref="A218:Z218"/>
    <mergeCell ref="D443:E443"/>
    <mergeCell ref="D272:E272"/>
    <mergeCell ref="A345:Z345"/>
    <mergeCell ref="D210:E210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2026-08-21T09:31:15Z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