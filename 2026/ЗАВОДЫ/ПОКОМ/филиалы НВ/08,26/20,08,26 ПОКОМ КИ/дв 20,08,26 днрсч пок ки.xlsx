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Father\Work\2025_05\2026\ЗАВОДЫ\ПОКОМ\филиалы НВ\08,26\20,08,26 ПОКОМ КИ\"/>
    </mc:Choice>
  </mc:AlternateContent>
  <xr:revisionPtr revIDLastSave="0" documentId="13_ncr:1_{09B64D65-DB12-4042-B2A9-9A08BCFC5241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  <sheet name="недогруз 22,08" sheetId="2" r:id="rId2"/>
  </sheets>
  <externalReferences>
    <externalReference r:id="rId3"/>
    <externalReference r:id="rId4"/>
  </externalReferences>
  <definedNames>
    <definedName name="_xlnm._FilterDatabase" localSheetId="0" hidden="1">Sheet!$A$3:$AQ$137</definedName>
  </definedNames>
  <calcPr calcId="191029"/>
</workbook>
</file>

<file path=xl/calcChain.xml><?xml version="1.0" encoding="utf-8"?>
<calcChain xmlns="http://schemas.openxmlformats.org/spreadsheetml/2006/main">
  <c r="V5" i="1" l="1"/>
  <c r="U5" i="1"/>
  <c r="S54" i="1"/>
  <c r="S5" i="1" l="1"/>
  <c r="R5" i="1"/>
  <c r="AQ10" i="1"/>
  <c r="AQ16" i="1"/>
  <c r="AQ17" i="1"/>
  <c r="AQ19" i="1"/>
  <c r="AQ23" i="1"/>
  <c r="AQ54" i="1"/>
  <c r="AQ58" i="1"/>
  <c r="AQ90" i="1"/>
  <c r="AQ92" i="1"/>
  <c r="AQ93" i="1"/>
  <c r="AQ94" i="1"/>
  <c r="AQ128" i="1"/>
  <c r="AO137" i="1"/>
  <c r="Y137" i="1"/>
  <c r="Z137" i="1" s="1"/>
  <c r="M137" i="1"/>
  <c r="W137" i="1" s="1"/>
  <c r="AD137" i="1" s="1"/>
  <c r="L137" i="1"/>
  <c r="AO136" i="1"/>
  <c r="M136" i="1"/>
  <c r="W136" i="1" s="1"/>
  <c r="AD136" i="1" s="1"/>
  <c r="L136" i="1"/>
  <c r="Y135" i="1"/>
  <c r="AA135" i="1" s="1"/>
  <c r="AO135" i="1" s="1"/>
  <c r="M135" i="1"/>
  <c r="W135" i="1" s="1"/>
  <c r="AD135" i="1" s="1"/>
  <c r="L135" i="1"/>
  <c r="AO134" i="1"/>
  <c r="M134" i="1"/>
  <c r="W134" i="1" s="1"/>
  <c r="AD134" i="1" s="1"/>
  <c r="L134" i="1"/>
  <c r="Y133" i="1"/>
  <c r="AA133" i="1" s="1"/>
  <c r="AO133" i="1" s="1"/>
  <c r="M133" i="1"/>
  <c r="W133" i="1" s="1"/>
  <c r="AD133" i="1" s="1"/>
  <c r="L133" i="1"/>
  <c r="Y132" i="1"/>
  <c r="AA132" i="1" s="1"/>
  <c r="AO132" i="1" s="1"/>
  <c r="M132" i="1"/>
  <c r="W132" i="1" s="1"/>
  <c r="AD132" i="1" s="1"/>
  <c r="L132" i="1"/>
  <c r="AO131" i="1"/>
  <c r="Y131" i="1"/>
  <c r="Z131" i="1" s="1"/>
  <c r="M131" i="1"/>
  <c r="W131" i="1" s="1"/>
  <c r="AD131" i="1" s="1"/>
  <c r="L131" i="1"/>
  <c r="AO130" i="1"/>
  <c r="Y130" i="1"/>
  <c r="Z130" i="1" s="1"/>
  <c r="AN130" i="1" s="1"/>
  <c r="F130" i="1"/>
  <c r="AC130" i="1" s="1"/>
  <c r="E130" i="1"/>
  <c r="M130" i="1" s="1"/>
  <c r="W130" i="1" s="1"/>
  <c r="Y129" i="1"/>
  <c r="AA129" i="1" s="1"/>
  <c r="AO129" i="1" s="1"/>
  <c r="M129" i="1"/>
  <c r="W129" i="1" s="1"/>
  <c r="AD129" i="1" s="1"/>
  <c r="L129" i="1"/>
  <c r="AO128" i="1"/>
  <c r="F128" i="1"/>
  <c r="E128" i="1"/>
  <c r="M128" i="1" s="1"/>
  <c r="W128" i="1" s="1"/>
  <c r="AO127" i="1"/>
  <c r="Y127" i="1"/>
  <c r="Z127" i="1" s="1"/>
  <c r="M127" i="1"/>
  <c r="W127" i="1" s="1"/>
  <c r="AD127" i="1" s="1"/>
  <c r="L127" i="1"/>
  <c r="AO126" i="1"/>
  <c r="Z126" i="1"/>
  <c r="M126" i="1"/>
  <c r="W126" i="1" s="1"/>
  <c r="AD126" i="1" s="1"/>
  <c r="L126" i="1"/>
  <c r="AO125" i="1"/>
  <c r="Y125" i="1"/>
  <c r="Z125" i="1" s="1"/>
  <c r="M125" i="1"/>
  <c r="W125" i="1" s="1"/>
  <c r="AD125" i="1" s="1"/>
  <c r="L125" i="1"/>
  <c r="AO124" i="1"/>
  <c r="AB124" i="1"/>
  <c r="Y124" i="1"/>
  <c r="Z124" i="1" s="1"/>
  <c r="M124" i="1"/>
  <c r="W124" i="1" s="1"/>
  <c r="AD124" i="1" s="1"/>
  <c r="L124" i="1"/>
  <c r="AO123" i="1"/>
  <c r="AB123" i="1"/>
  <c r="Y123" i="1"/>
  <c r="Z123" i="1" s="1"/>
  <c r="M123" i="1"/>
  <c r="W123" i="1" s="1"/>
  <c r="AD123" i="1" s="1"/>
  <c r="L123" i="1"/>
  <c r="AO122" i="1"/>
  <c r="Y122" i="1"/>
  <c r="Z122" i="1" s="1"/>
  <c r="M122" i="1"/>
  <c r="W122" i="1" s="1"/>
  <c r="AD122" i="1" s="1"/>
  <c r="L122" i="1"/>
  <c r="AO121" i="1"/>
  <c r="Y121" i="1"/>
  <c r="Z121" i="1" s="1"/>
  <c r="M121" i="1"/>
  <c r="W121" i="1" s="1"/>
  <c r="AD121" i="1" s="1"/>
  <c r="L121" i="1"/>
  <c r="AO120" i="1"/>
  <c r="Y120" i="1"/>
  <c r="Z120" i="1" s="1"/>
  <c r="M120" i="1"/>
  <c r="W120" i="1" s="1"/>
  <c r="AD120" i="1" s="1"/>
  <c r="L120" i="1"/>
  <c r="AO119" i="1"/>
  <c r="AB119" i="1"/>
  <c r="M119" i="1"/>
  <c r="W119" i="1" s="1"/>
  <c r="L119" i="1"/>
  <c r="Y118" i="1"/>
  <c r="AA118" i="1" s="1"/>
  <c r="AO118" i="1" s="1"/>
  <c r="M118" i="1"/>
  <c r="W118" i="1" s="1"/>
  <c r="AD118" i="1" s="1"/>
  <c r="L118" i="1"/>
  <c r="Y117" i="1"/>
  <c r="AA117" i="1" s="1"/>
  <c r="AO117" i="1" s="1"/>
  <c r="M117" i="1"/>
  <c r="W117" i="1" s="1"/>
  <c r="AD117" i="1" s="1"/>
  <c r="L117" i="1"/>
  <c r="M116" i="1"/>
  <c r="W116" i="1" s="1"/>
  <c r="L116" i="1"/>
  <c r="AO115" i="1"/>
  <c r="Y115" i="1"/>
  <c r="Z115" i="1" s="1"/>
  <c r="M115" i="1"/>
  <c r="W115" i="1" s="1"/>
  <c r="AD115" i="1" s="1"/>
  <c r="L115" i="1"/>
  <c r="AO114" i="1"/>
  <c r="M114" i="1"/>
  <c r="W114" i="1" s="1"/>
  <c r="L114" i="1"/>
  <c r="Y113" i="1"/>
  <c r="AA113" i="1" s="1"/>
  <c r="AO113" i="1" s="1"/>
  <c r="M113" i="1"/>
  <c r="W113" i="1" s="1"/>
  <c r="AD113" i="1" s="1"/>
  <c r="L113" i="1"/>
  <c r="M112" i="1"/>
  <c r="W112" i="1" s="1"/>
  <c r="L112" i="1"/>
  <c r="M111" i="1"/>
  <c r="W111" i="1" s="1"/>
  <c r="L111" i="1"/>
  <c r="AO110" i="1"/>
  <c r="AB110" i="1"/>
  <c r="M110" i="1"/>
  <c r="W110" i="1" s="1"/>
  <c r="X110" i="1" s="1"/>
  <c r="Y110" i="1" s="1"/>
  <c r="Z110" i="1" s="1"/>
  <c r="AC110" i="1" s="1"/>
  <c r="L110" i="1"/>
  <c r="AO109" i="1"/>
  <c r="AB109" i="1"/>
  <c r="M109" i="1"/>
  <c r="W109" i="1" s="1"/>
  <c r="L109" i="1"/>
  <c r="AO108" i="1"/>
  <c r="AB108" i="1"/>
  <c r="Y108" i="1"/>
  <c r="Z108" i="1" s="1"/>
  <c r="M108" i="1"/>
  <c r="W108" i="1" s="1"/>
  <c r="AD108" i="1" s="1"/>
  <c r="L108" i="1"/>
  <c r="AO107" i="1"/>
  <c r="Y107" i="1"/>
  <c r="Z107" i="1" s="1"/>
  <c r="M107" i="1"/>
  <c r="W107" i="1" s="1"/>
  <c r="AD107" i="1" s="1"/>
  <c r="L107" i="1"/>
  <c r="AO106" i="1"/>
  <c r="AB106" i="1"/>
  <c r="M106" i="1"/>
  <c r="W106" i="1" s="1"/>
  <c r="L106" i="1"/>
  <c r="AO105" i="1"/>
  <c r="M105" i="1"/>
  <c r="W105" i="1" s="1"/>
  <c r="L105" i="1"/>
  <c r="AO104" i="1"/>
  <c r="M104" i="1"/>
  <c r="W104" i="1" s="1"/>
  <c r="L104" i="1"/>
  <c r="AO103" i="1"/>
  <c r="Y103" i="1"/>
  <c r="Z103" i="1" s="1"/>
  <c r="M103" i="1"/>
  <c r="W103" i="1" s="1"/>
  <c r="AD103" i="1" s="1"/>
  <c r="L103" i="1"/>
  <c r="AO102" i="1"/>
  <c r="AB102" i="1"/>
  <c r="Y102" i="1"/>
  <c r="Z102" i="1" s="1"/>
  <c r="AC102" i="1" s="1"/>
  <c r="M102" i="1"/>
  <c r="W102" i="1" s="1"/>
  <c r="AD102" i="1" s="1"/>
  <c r="L102" i="1"/>
  <c r="AO101" i="1"/>
  <c r="AB101" i="1"/>
  <c r="W101" i="1"/>
  <c r="AD101" i="1" s="1"/>
  <c r="M101" i="1"/>
  <c r="L101" i="1"/>
  <c r="AO100" i="1"/>
  <c r="AB100" i="1"/>
  <c r="Y100" i="1"/>
  <c r="Z100" i="1" s="1"/>
  <c r="M100" i="1"/>
  <c r="W100" i="1" s="1"/>
  <c r="AD100" i="1" s="1"/>
  <c r="L100" i="1"/>
  <c r="AO99" i="1"/>
  <c r="Y99" i="1"/>
  <c r="Z99" i="1" s="1"/>
  <c r="M99" i="1"/>
  <c r="W99" i="1" s="1"/>
  <c r="AD99" i="1" s="1"/>
  <c r="L99" i="1"/>
  <c r="Y98" i="1"/>
  <c r="AA98" i="1" s="1"/>
  <c r="AO98" i="1" s="1"/>
  <c r="M98" i="1"/>
  <c r="W98" i="1" s="1"/>
  <c r="AD98" i="1" s="1"/>
  <c r="L98" i="1"/>
  <c r="AO97" i="1"/>
  <c r="Y97" i="1"/>
  <c r="Z97" i="1" s="1"/>
  <c r="M97" i="1"/>
  <c r="W97" i="1" s="1"/>
  <c r="L97" i="1"/>
  <c r="AO96" i="1"/>
  <c r="Y96" i="1"/>
  <c r="Z96" i="1" s="1"/>
  <c r="AC96" i="1" s="1"/>
  <c r="M96" i="1"/>
  <c r="W96" i="1" s="1"/>
  <c r="AD96" i="1" s="1"/>
  <c r="L96" i="1"/>
  <c r="AO95" i="1"/>
  <c r="M95" i="1"/>
  <c r="W95" i="1" s="1"/>
  <c r="L95" i="1"/>
  <c r="AO94" i="1"/>
  <c r="Y94" i="1"/>
  <c r="Z94" i="1" s="1"/>
  <c r="AN94" i="1" s="1"/>
  <c r="F94" i="1"/>
  <c r="E94" i="1"/>
  <c r="M94" i="1" s="1"/>
  <c r="W94" i="1" s="1"/>
  <c r="AO93" i="1"/>
  <c r="Z93" i="1"/>
  <c r="Y93" i="1"/>
  <c r="M93" i="1"/>
  <c r="W93" i="1" s="1"/>
  <c r="AD93" i="1" s="1"/>
  <c r="L93" i="1"/>
  <c r="AO92" i="1"/>
  <c r="Y92" i="1"/>
  <c r="Z92" i="1" s="1"/>
  <c r="M92" i="1"/>
  <c r="W92" i="1" s="1"/>
  <c r="AD92" i="1" s="1"/>
  <c r="L92" i="1"/>
  <c r="AO91" i="1"/>
  <c r="M91" i="1"/>
  <c r="W91" i="1" s="1"/>
  <c r="L91" i="1"/>
  <c r="AO90" i="1"/>
  <c r="Z90" i="1"/>
  <c r="M90" i="1"/>
  <c r="W90" i="1" s="1"/>
  <c r="L90" i="1"/>
  <c r="AO89" i="1"/>
  <c r="Y89" i="1"/>
  <c r="Z89" i="1" s="1"/>
  <c r="M89" i="1"/>
  <c r="W89" i="1" s="1"/>
  <c r="AD89" i="1" s="1"/>
  <c r="L89" i="1"/>
  <c r="AO88" i="1"/>
  <c r="Y88" i="1"/>
  <c r="Z88" i="1" s="1"/>
  <c r="AC88" i="1" s="1"/>
  <c r="M88" i="1"/>
  <c r="W88" i="1" s="1"/>
  <c r="AD88" i="1" s="1"/>
  <c r="L88" i="1"/>
  <c r="AO87" i="1"/>
  <c r="Y87" i="1"/>
  <c r="Z87" i="1" s="1"/>
  <c r="AC87" i="1" s="1"/>
  <c r="M87" i="1"/>
  <c r="W87" i="1" s="1"/>
  <c r="AD87" i="1" s="1"/>
  <c r="L87" i="1"/>
  <c r="AO86" i="1"/>
  <c r="Y86" i="1"/>
  <c r="Z86" i="1" s="1"/>
  <c r="M86" i="1"/>
  <c r="W86" i="1" s="1"/>
  <c r="AD86" i="1" s="1"/>
  <c r="L86" i="1"/>
  <c r="Y85" i="1"/>
  <c r="AA85" i="1" s="1"/>
  <c r="AO85" i="1" s="1"/>
  <c r="M85" i="1"/>
  <c r="W85" i="1" s="1"/>
  <c r="AD85" i="1" s="1"/>
  <c r="L85" i="1"/>
  <c r="Y84" i="1"/>
  <c r="AA84" i="1" s="1"/>
  <c r="AO84" i="1" s="1"/>
  <c r="M84" i="1"/>
  <c r="W84" i="1" s="1"/>
  <c r="AD84" i="1" s="1"/>
  <c r="L84" i="1"/>
  <c r="AO83" i="1"/>
  <c r="M83" i="1"/>
  <c r="W83" i="1" s="1"/>
  <c r="L83" i="1"/>
  <c r="AO82" i="1"/>
  <c r="M82" i="1"/>
  <c r="W82" i="1" s="1"/>
  <c r="L82" i="1"/>
  <c r="AO81" i="1"/>
  <c r="M81" i="1"/>
  <c r="W81" i="1" s="1"/>
  <c r="L81" i="1"/>
  <c r="AO80" i="1"/>
  <c r="M80" i="1"/>
  <c r="W80" i="1" s="1"/>
  <c r="L80" i="1"/>
  <c r="AO79" i="1"/>
  <c r="Y79" i="1"/>
  <c r="Z79" i="1" s="1"/>
  <c r="M79" i="1"/>
  <c r="W79" i="1" s="1"/>
  <c r="AD79" i="1" s="1"/>
  <c r="L79" i="1"/>
  <c r="AO78" i="1"/>
  <c r="Y78" i="1"/>
  <c r="Z78" i="1" s="1"/>
  <c r="M78" i="1"/>
  <c r="W78" i="1" s="1"/>
  <c r="AD78" i="1" s="1"/>
  <c r="L78" i="1"/>
  <c r="AO77" i="1"/>
  <c r="Y77" i="1"/>
  <c r="Z77" i="1" s="1"/>
  <c r="M77" i="1"/>
  <c r="W77" i="1" s="1"/>
  <c r="AD77" i="1" s="1"/>
  <c r="L77" i="1"/>
  <c r="AO76" i="1"/>
  <c r="M76" i="1"/>
  <c r="W76" i="1" s="1"/>
  <c r="L76" i="1"/>
  <c r="AO75" i="1"/>
  <c r="M75" i="1"/>
  <c r="W75" i="1" s="1"/>
  <c r="L75" i="1"/>
  <c r="AO74" i="1"/>
  <c r="Y74" i="1"/>
  <c r="Z74" i="1" s="1"/>
  <c r="M74" i="1"/>
  <c r="W74" i="1" s="1"/>
  <c r="AD74" i="1" s="1"/>
  <c r="L74" i="1"/>
  <c r="AO73" i="1"/>
  <c r="M73" i="1"/>
  <c r="W73" i="1" s="1"/>
  <c r="L73" i="1"/>
  <c r="AO72" i="1"/>
  <c r="Y72" i="1"/>
  <c r="Z72" i="1" s="1"/>
  <c r="M72" i="1"/>
  <c r="W72" i="1" s="1"/>
  <c r="AD72" i="1" s="1"/>
  <c r="L72" i="1"/>
  <c r="AO71" i="1"/>
  <c r="M71" i="1"/>
  <c r="W71" i="1" s="1"/>
  <c r="L71" i="1"/>
  <c r="AO70" i="1"/>
  <c r="M70" i="1"/>
  <c r="W70" i="1" s="1"/>
  <c r="L70" i="1"/>
  <c r="AO69" i="1"/>
  <c r="Y69" i="1"/>
  <c r="Z69" i="1" s="1"/>
  <c r="M69" i="1"/>
  <c r="W69" i="1" s="1"/>
  <c r="AD69" i="1" s="1"/>
  <c r="L69" i="1"/>
  <c r="AO68" i="1"/>
  <c r="M68" i="1"/>
  <c r="W68" i="1" s="1"/>
  <c r="X68" i="1" s="1"/>
  <c r="Y68" i="1" s="1"/>
  <c r="Z68" i="1" s="1"/>
  <c r="AC68" i="1" s="1"/>
  <c r="L68" i="1"/>
  <c r="Y67" i="1"/>
  <c r="Z67" i="1" s="1"/>
  <c r="M67" i="1"/>
  <c r="W67" i="1" s="1"/>
  <c r="AD67" i="1" s="1"/>
  <c r="L67" i="1"/>
  <c r="AO66" i="1"/>
  <c r="M66" i="1"/>
  <c r="W66" i="1" s="1"/>
  <c r="X66" i="1" s="1"/>
  <c r="Y66" i="1" s="1"/>
  <c r="Z66" i="1" s="1"/>
  <c r="AC66" i="1" s="1"/>
  <c r="L66" i="1"/>
  <c r="Y65" i="1"/>
  <c r="Z65" i="1" s="1"/>
  <c r="M65" i="1"/>
  <c r="W65" i="1" s="1"/>
  <c r="AD65" i="1" s="1"/>
  <c r="L65" i="1"/>
  <c r="Y64" i="1"/>
  <c r="AA64" i="1" s="1"/>
  <c r="AO64" i="1" s="1"/>
  <c r="M64" i="1"/>
  <c r="W64" i="1" s="1"/>
  <c r="AD64" i="1" s="1"/>
  <c r="L64" i="1"/>
  <c r="AO63" i="1"/>
  <c r="Y63" i="1"/>
  <c r="Z63" i="1" s="1"/>
  <c r="M63" i="1"/>
  <c r="W63" i="1" s="1"/>
  <c r="AD63" i="1" s="1"/>
  <c r="L63" i="1"/>
  <c r="AO62" i="1"/>
  <c r="M62" i="1"/>
  <c r="W62" i="1" s="1"/>
  <c r="L62" i="1"/>
  <c r="AO61" i="1"/>
  <c r="Y61" i="1"/>
  <c r="Z61" i="1" s="1"/>
  <c r="M61" i="1"/>
  <c r="W61" i="1" s="1"/>
  <c r="AD61" i="1" s="1"/>
  <c r="L61" i="1"/>
  <c r="AO60" i="1"/>
  <c r="M60" i="1"/>
  <c r="W60" i="1" s="1"/>
  <c r="L60" i="1"/>
  <c r="AO59" i="1"/>
  <c r="M59" i="1"/>
  <c r="W59" i="1" s="1"/>
  <c r="L59" i="1"/>
  <c r="AO58" i="1"/>
  <c r="M58" i="1"/>
  <c r="W58" i="1" s="1"/>
  <c r="L58" i="1"/>
  <c r="AO57" i="1"/>
  <c r="Y57" i="1"/>
  <c r="Z57" i="1" s="1"/>
  <c r="AC57" i="1" s="1"/>
  <c r="M57" i="1"/>
  <c r="W57" i="1" s="1"/>
  <c r="AD57" i="1" s="1"/>
  <c r="L57" i="1"/>
  <c r="AO56" i="1"/>
  <c r="Y56" i="1"/>
  <c r="Z56" i="1" s="1"/>
  <c r="M56" i="1"/>
  <c r="W56" i="1" s="1"/>
  <c r="AD56" i="1" s="1"/>
  <c r="L56" i="1"/>
  <c r="AO55" i="1"/>
  <c r="M55" i="1"/>
  <c r="W55" i="1" s="1"/>
  <c r="L55" i="1"/>
  <c r="AO54" i="1"/>
  <c r="Y54" i="1"/>
  <c r="Z54" i="1" s="1"/>
  <c r="M54" i="1"/>
  <c r="W54" i="1" s="1"/>
  <c r="AD54" i="1" s="1"/>
  <c r="L54" i="1"/>
  <c r="AO53" i="1"/>
  <c r="Y53" i="1"/>
  <c r="Z53" i="1" s="1"/>
  <c r="M53" i="1"/>
  <c r="W53" i="1" s="1"/>
  <c r="AD53" i="1" s="1"/>
  <c r="L53" i="1"/>
  <c r="AO52" i="1"/>
  <c r="Y52" i="1"/>
  <c r="Z52" i="1" s="1"/>
  <c r="M52" i="1"/>
  <c r="W52" i="1" s="1"/>
  <c r="AD52" i="1" s="1"/>
  <c r="L52" i="1"/>
  <c r="AO51" i="1"/>
  <c r="Y51" i="1"/>
  <c r="Z51" i="1" s="1"/>
  <c r="M51" i="1"/>
  <c r="W51" i="1" s="1"/>
  <c r="AD51" i="1" s="1"/>
  <c r="L51" i="1"/>
  <c r="Y50" i="1"/>
  <c r="Z50" i="1" s="1"/>
  <c r="M50" i="1"/>
  <c r="W50" i="1" s="1"/>
  <c r="AD50" i="1" s="1"/>
  <c r="L50" i="1"/>
  <c r="AB49" i="1"/>
  <c r="X49" i="1"/>
  <c r="Y49" i="1" s="1"/>
  <c r="M49" i="1"/>
  <c r="W49" i="1" s="1"/>
  <c r="AD49" i="1" s="1"/>
  <c r="L49" i="1"/>
  <c r="AO48" i="1"/>
  <c r="M48" i="1"/>
  <c r="W48" i="1" s="1"/>
  <c r="X48" i="1" s="1"/>
  <c r="Y48" i="1" s="1"/>
  <c r="Z48" i="1" s="1"/>
  <c r="AC48" i="1" s="1"/>
  <c r="L48" i="1"/>
  <c r="Y47" i="1"/>
  <c r="Z47" i="1" s="1"/>
  <c r="M47" i="1"/>
  <c r="W47" i="1" s="1"/>
  <c r="AD47" i="1" s="1"/>
  <c r="L47" i="1"/>
  <c r="Y46" i="1"/>
  <c r="Z46" i="1" s="1"/>
  <c r="M46" i="1"/>
  <c r="W46" i="1" s="1"/>
  <c r="AD46" i="1" s="1"/>
  <c r="L46" i="1"/>
  <c r="AO45" i="1"/>
  <c r="M45" i="1"/>
  <c r="W45" i="1" s="1"/>
  <c r="AD45" i="1" s="1"/>
  <c r="L45" i="1"/>
  <c r="Y44" i="1"/>
  <c r="AA44" i="1" s="1"/>
  <c r="AO44" i="1" s="1"/>
  <c r="M44" i="1"/>
  <c r="W44" i="1" s="1"/>
  <c r="AD44" i="1" s="1"/>
  <c r="L44" i="1"/>
  <c r="AO43" i="1"/>
  <c r="M43" i="1"/>
  <c r="W43" i="1" s="1"/>
  <c r="AD43" i="1" s="1"/>
  <c r="L43" i="1"/>
  <c r="Y42" i="1"/>
  <c r="AA42" i="1" s="1"/>
  <c r="AO42" i="1" s="1"/>
  <c r="M42" i="1"/>
  <c r="W42" i="1" s="1"/>
  <c r="AD42" i="1" s="1"/>
  <c r="L42" i="1"/>
  <c r="Y41" i="1"/>
  <c r="Z41" i="1" s="1"/>
  <c r="M41" i="1"/>
  <c r="W41" i="1" s="1"/>
  <c r="AD41" i="1" s="1"/>
  <c r="L41" i="1"/>
  <c r="Y40" i="1"/>
  <c r="AA40" i="1" s="1"/>
  <c r="AO40" i="1" s="1"/>
  <c r="M40" i="1"/>
  <c r="W40" i="1" s="1"/>
  <c r="AD40" i="1" s="1"/>
  <c r="L40" i="1"/>
  <c r="AO39" i="1"/>
  <c r="AB39" i="1"/>
  <c r="M39" i="1"/>
  <c r="W39" i="1" s="1"/>
  <c r="L39" i="1"/>
  <c r="AO38" i="1"/>
  <c r="AN38" i="1"/>
  <c r="AB38" i="1"/>
  <c r="M38" i="1"/>
  <c r="W38" i="1" s="1"/>
  <c r="AC38" i="1" s="1"/>
  <c r="L38" i="1"/>
  <c r="AO37" i="1"/>
  <c r="Y37" i="1"/>
  <c r="Z37" i="1" s="1"/>
  <c r="M37" i="1"/>
  <c r="W37" i="1" s="1"/>
  <c r="AD37" i="1" s="1"/>
  <c r="L37" i="1"/>
  <c r="AO36" i="1"/>
  <c r="Y36" i="1"/>
  <c r="Z36" i="1" s="1"/>
  <c r="AC36" i="1" s="1"/>
  <c r="M36" i="1"/>
  <c r="W36" i="1" s="1"/>
  <c r="AD36" i="1" s="1"/>
  <c r="L36" i="1"/>
  <c r="AO35" i="1"/>
  <c r="Y35" i="1"/>
  <c r="Z35" i="1" s="1"/>
  <c r="M35" i="1"/>
  <c r="W35" i="1" s="1"/>
  <c r="AD35" i="1" s="1"/>
  <c r="L35" i="1"/>
  <c r="AO34" i="1"/>
  <c r="Y34" i="1"/>
  <c r="Z34" i="1" s="1"/>
  <c r="AC34" i="1" s="1"/>
  <c r="M34" i="1"/>
  <c r="W34" i="1" s="1"/>
  <c r="AD34" i="1" s="1"/>
  <c r="L34" i="1"/>
  <c r="Y33" i="1"/>
  <c r="AA33" i="1" s="1"/>
  <c r="AO33" i="1" s="1"/>
  <c r="M33" i="1"/>
  <c r="W33" i="1" s="1"/>
  <c r="AD33" i="1" s="1"/>
  <c r="L33" i="1"/>
  <c r="AO32" i="1"/>
  <c r="Y32" i="1"/>
  <c r="Z32" i="1" s="1"/>
  <c r="AC32" i="1" s="1"/>
  <c r="M32" i="1"/>
  <c r="W32" i="1" s="1"/>
  <c r="AD32" i="1" s="1"/>
  <c r="L32" i="1"/>
  <c r="AN31" i="1"/>
  <c r="M31" i="1"/>
  <c r="W31" i="1" s="1"/>
  <c r="X31" i="1" s="1"/>
  <c r="Y31" i="1" s="1"/>
  <c r="AA31" i="1" s="1"/>
  <c r="AC31" i="1" s="1"/>
  <c r="L31" i="1"/>
  <c r="AO30" i="1"/>
  <c r="Y30" i="1"/>
  <c r="Z30" i="1" s="1"/>
  <c r="M30" i="1"/>
  <c r="W30" i="1" s="1"/>
  <c r="AD30" i="1" s="1"/>
  <c r="L30" i="1"/>
  <c r="AO29" i="1"/>
  <c r="Y29" i="1"/>
  <c r="Z29" i="1" s="1"/>
  <c r="AC29" i="1" s="1"/>
  <c r="M29" i="1"/>
  <c r="W29" i="1" s="1"/>
  <c r="AD29" i="1" s="1"/>
  <c r="L29" i="1"/>
  <c r="AO28" i="1"/>
  <c r="Y28" i="1"/>
  <c r="Z28" i="1" s="1"/>
  <c r="M28" i="1"/>
  <c r="W28" i="1" s="1"/>
  <c r="AD28" i="1" s="1"/>
  <c r="L28" i="1"/>
  <c r="AO27" i="1"/>
  <c r="M27" i="1"/>
  <c r="W27" i="1" s="1"/>
  <c r="AD27" i="1" s="1"/>
  <c r="L27" i="1"/>
  <c r="AO26" i="1"/>
  <c r="Y26" i="1"/>
  <c r="Z26" i="1" s="1"/>
  <c r="M26" i="1"/>
  <c r="W26" i="1" s="1"/>
  <c r="AD26" i="1" s="1"/>
  <c r="L26" i="1"/>
  <c r="AO25" i="1"/>
  <c r="M25" i="1"/>
  <c r="W25" i="1" s="1"/>
  <c r="L25" i="1"/>
  <c r="AO24" i="1"/>
  <c r="Y24" i="1"/>
  <c r="Z24" i="1" s="1"/>
  <c r="M24" i="1"/>
  <c r="W24" i="1" s="1"/>
  <c r="AD24" i="1" s="1"/>
  <c r="L24" i="1"/>
  <c r="AO23" i="1"/>
  <c r="Y23" i="1"/>
  <c r="Z23" i="1" s="1"/>
  <c r="AC23" i="1" s="1"/>
  <c r="M23" i="1"/>
  <c r="W23" i="1" s="1"/>
  <c r="AD23" i="1" s="1"/>
  <c r="L23" i="1"/>
  <c r="AO22" i="1"/>
  <c r="Z22" i="1"/>
  <c r="M22" i="1"/>
  <c r="W22" i="1" s="1"/>
  <c r="L22" i="1"/>
  <c r="AO21" i="1"/>
  <c r="Y21" i="1"/>
  <c r="Z21" i="1" s="1"/>
  <c r="M21" i="1"/>
  <c r="W21" i="1" s="1"/>
  <c r="AD21" i="1" s="1"/>
  <c r="L21" i="1"/>
  <c r="AO20" i="1"/>
  <c r="Y20" i="1"/>
  <c r="Z20" i="1" s="1"/>
  <c r="AC20" i="1" s="1"/>
  <c r="M20" i="1"/>
  <c r="W20" i="1" s="1"/>
  <c r="AD20" i="1" s="1"/>
  <c r="L20" i="1"/>
  <c r="AO19" i="1"/>
  <c r="Y19" i="1"/>
  <c r="Z19" i="1" s="1"/>
  <c r="M19" i="1"/>
  <c r="W19" i="1" s="1"/>
  <c r="AD19" i="1" s="1"/>
  <c r="L19" i="1"/>
  <c r="AO18" i="1"/>
  <c r="M18" i="1"/>
  <c r="W18" i="1" s="1"/>
  <c r="X18" i="1" s="1"/>
  <c r="Y18" i="1" s="1"/>
  <c r="Z18" i="1" s="1"/>
  <c r="AC18" i="1" s="1"/>
  <c r="L18" i="1"/>
  <c r="AO17" i="1"/>
  <c r="Y17" i="1"/>
  <c r="Z17" i="1" s="1"/>
  <c r="AC17" i="1" s="1"/>
  <c r="M17" i="1"/>
  <c r="W17" i="1" s="1"/>
  <c r="AD17" i="1" s="1"/>
  <c r="L17" i="1"/>
  <c r="AO16" i="1"/>
  <c r="M16" i="1"/>
  <c r="W16" i="1" s="1"/>
  <c r="L16" i="1"/>
  <c r="AO15" i="1"/>
  <c r="Y15" i="1"/>
  <c r="Z15" i="1" s="1"/>
  <c r="AC15" i="1" s="1"/>
  <c r="M15" i="1"/>
  <c r="W15" i="1" s="1"/>
  <c r="AD15" i="1" s="1"/>
  <c r="L15" i="1"/>
  <c r="AO14" i="1"/>
  <c r="M14" i="1"/>
  <c r="W14" i="1" s="1"/>
  <c r="L14" i="1"/>
  <c r="AO13" i="1"/>
  <c r="M13" i="1"/>
  <c r="W13" i="1" s="1"/>
  <c r="L13" i="1"/>
  <c r="AO12" i="1"/>
  <c r="M12" i="1"/>
  <c r="W12" i="1" s="1"/>
  <c r="L12" i="1"/>
  <c r="AO11" i="1"/>
  <c r="M11" i="1"/>
  <c r="W11" i="1" s="1"/>
  <c r="L11" i="1"/>
  <c r="AO10" i="1"/>
  <c r="Y10" i="1"/>
  <c r="Z10" i="1" s="1"/>
  <c r="M10" i="1"/>
  <c r="W10" i="1" s="1"/>
  <c r="AD10" i="1" s="1"/>
  <c r="L10" i="1"/>
  <c r="AO9" i="1"/>
  <c r="Y9" i="1"/>
  <c r="Z9" i="1" s="1"/>
  <c r="M9" i="1"/>
  <c r="W9" i="1" s="1"/>
  <c r="AD9" i="1" s="1"/>
  <c r="L9" i="1"/>
  <c r="AO8" i="1"/>
  <c r="M8" i="1"/>
  <c r="W8" i="1" s="1"/>
  <c r="L8" i="1"/>
  <c r="F8" i="1"/>
  <c r="AO7" i="1"/>
  <c r="M7" i="1"/>
  <c r="W7" i="1" s="1"/>
  <c r="AD7" i="1" s="1"/>
  <c r="L7" i="1"/>
  <c r="AO6" i="1"/>
  <c r="Z6" i="1"/>
  <c r="M6" i="1"/>
  <c r="L6" i="1"/>
  <c r="AL5" i="1"/>
  <c r="AK5" i="1"/>
  <c r="AJ5" i="1"/>
  <c r="AI5" i="1"/>
  <c r="AH5" i="1"/>
  <c r="AG5" i="1"/>
  <c r="AF5" i="1"/>
  <c r="AE5" i="1"/>
  <c r="T5" i="1"/>
  <c r="Q5" i="1"/>
  <c r="P5" i="1"/>
  <c r="O5" i="1"/>
  <c r="N5" i="1"/>
  <c r="K5" i="1"/>
  <c r="AC52" i="1" l="1"/>
  <c r="AC100" i="1"/>
  <c r="AC19" i="1"/>
  <c r="AC120" i="1"/>
  <c r="AC108" i="1"/>
  <c r="AC53" i="1"/>
  <c r="AC103" i="1"/>
  <c r="AC137" i="1"/>
  <c r="AN30" i="1"/>
  <c r="AC30" i="1"/>
  <c r="AC77" i="1"/>
  <c r="AC99" i="1"/>
  <c r="AC115" i="1"/>
  <c r="AC121" i="1"/>
  <c r="AN131" i="1"/>
  <c r="AC131" i="1"/>
  <c r="AN93" i="1"/>
  <c r="AC93" i="1"/>
  <c r="AN125" i="1"/>
  <c r="AC125" i="1"/>
  <c r="AC94" i="1"/>
  <c r="AN35" i="1"/>
  <c r="AC35" i="1"/>
  <c r="AN126" i="1"/>
  <c r="AC126" i="1"/>
  <c r="AN9" i="1"/>
  <c r="AC9" i="1"/>
  <c r="AN26" i="1"/>
  <c r="AC26" i="1"/>
  <c r="AC54" i="1"/>
  <c r="AC72" i="1"/>
  <c r="AC24" i="1"/>
  <c r="AN89" i="1"/>
  <c r="AC89" i="1"/>
  <c r="AC21" i="1"/>
  <c r="AC37" i="1"/>
  <c r="AC78" i="1"/>
  <c r="AN122" i="1"/>
  <c r="AC122" i="1"/>
  <c r="AC127" i="1"/>
  <c r="AC10" i="1"/>
  <c r="AN90" i="1"/>
  <c r="AC90" i="1"/>
  <c r="AC61" i="1"/>
  <c r="AN22" i="1"/>
  <c r="AC22" i="1"/>
  <c r="AC79" i="1"/>
  <c r="AN123" i="1"/>
  <c r="AC123" i="1"/>
  <c r="AN28" i="1"/>
  <c r="AC28" i="1"/>
  <c r="AN56" i="1"/>
  <c r="AC56" i="1"/>
  <c r="AN74" i="1"/>
  <c r="AC74" i="1"/>
  <c r="AN86" i="1"/>
  <c r="AC86" i="1"/>
  <c r="AC51" i="1"/>
  <c r="AC69" i="1"/>
  <c r="AC92" i="1"/>
  <c r="AN97" i="1"/>
  <c r="AC97" i="1"/>
  <c r="AC107" i="1"/>
  <c r="AC124" i="1"/>
  <c r="AN63" i="1"/>
  <c r="AC63" i="1"/>
  <c r="AD128" i="1"/>
  <c r="Z64" i="1"/>
  <c r="AC64" i="1" s="1"/>
  <c r="AN57" i="1"/>
  <c r="AD91" i="1"/>
  <c r="X91" i="1"/>
  <c r="Y91" i="1" s="1"/>
  <c r="Z91" i="1" s="1"/>
  <c r="AC91" i="1" s="1"/>
  <c r="AD105" i="1"/>
  <c r="X105" i="1"/>
  <c r="Y105" i="1" s="1"/>
  <c r="Z105" i="1" s="1"/>
  <c r="AC105" i="1" s="1"/>
  <c r="AD58" i="1"/>
  <c r="X58" i="1"/>
  <c r="Y58" i="1" s="1"/>
  <c r="Z58" i="1" s="1"/>
  <c r="AC58" i="1" s="1"/>
  <c r="AD70" i="1"/>
  <c r="X70" i="1"/>
  <c r="Y70" i="1" s="1"/>
  <c r="Z70" i="1" s="1"/>
  <c r="AC70" i="1" s="1"/>
  <c r="AD119" i="1"/>
  <c r="X119" i="1"/>
  <c r="Y119" i="1" s="1"/>
  <c r="Z119" i="1" s="1"/>
  <c r="AC119" i="1" s="1"/>
  <c r="X60" i="1"/>
  <c r="Y60" i="1" s="1"/>
  <c r="Z60" i="1" s="1"/>
  <c r="AC60" i="1" s="1"/>
  <c r="AD60" i="1"/>
  <c r="AD39" i="1"/>
  <c r="X39" i="1"/>
  <c r="Y39" i="1" s="1"/>
  <c r="Z39" i="1" s="1"/>
  <c r="AC39" i="1" s="1"/>
  <c r="AD109" i="1"/>
  <c r="X109" i="1"/>
  <c r="Y109" i="1" s="1"/>
  <c r="Z109" i="1" s="1"/>
  <c r="AC109" i="1" s="1"/>
  <c r="AN51" i="1"/>
  <c r="E5" i="1"/>
  <c r="AN17" i="1"/>
  <c r="AA47" i="1"/>
  <c r="AO47" i="1" s="1"/>
  <c r="L130" i="1"/>
  <c r="Z84" i="1"/>
  <c r="AC84" i="1" s="1"/>
  <c r="X101" i="1"/>
  <c r="Y101" i="1" s="1"/>
  <c r="Z101" i="1" s="1"/>
  <c r="AC101" i="1" s="1"/>
  <c r="AA65" i="1"/>
  <c r="AO65" i="1" s="1"/>
  <c r="Z85" i="1"/>
  <c r="AC85" i="1" s="1"/>
  <c r="F5" i="1"/>
  <c r="L94" i="1"/>
  <c r="X128" i="1"/>
  <c r="Y128" i="1" s="1"/>
  <c r="Z128" i="1" s="1"/>
  <c r="AN128" i="1" s="1"/>
  <c r="M5" i="1"/>
  <c r="AA41" i="1"/>
  <c r="AO41" i="1" s="1"/>
  <c r="AA67" i="1"/>
  <c r="AO67" i="1" s="1"/>
  <c r="AN103" i="1"/>
  <c r="AN121" i="1"/>
  <c r="AD83" i="1"/>
  <c r="X83" i="1"/>
  <c r="Y83" i="1" s="1"/>
  <c r="Z83" i="1" s="1"/>
  <c r="AC83" i="1" s="1"/>
  <c r="AN87" i="1"/>
  <c r="AD112" i="1"/>
  <c r="X112" i="1"/>
  <c r="Y112" i="1" s="1"/>
  <c r="AN47" i="1"/>
  <c r="AN100" i="1"/>
  <c r="X73" i="1"/>
  <c r="Y73" i="1" s="1"/>
  <c r="Z73" i="1" s="1"/>
  <c r="AC73" i="1" s="1"/>
  <c r="AD73" i="1"/>
  <c r="AN96" i="1"/>
  <c r="AN68" i="1"/>
  <c r="AN78" i="1"/>
  <c r="AN92" i="1"/>
  <c r="AD104" i="1"/>
  <c r="X104" i="1"/>
  <c r="Y104" i="1" s="1"/>
  <c r="Z104" i="1" s="1"/>
  <c r="AC104" i="1" s="1"/>
  <c r="AN108" i="1"/>
  <c r="AD130" i="1"/>
  <c r="AN18" i="1"/>
  <c r="AN88" i="1"/>
  <c r="AN52" i="1"/>
  <c r="AN69" i="1"/>
  <c r="AD97" i="1"/>
  <c r="X14" i="1"/>
  <c r="Y14" i="1" s="1"/>
  <c r="Z14" i="1" s="1"/>
  <c r="AC14" i="1" s="1"/>
  <c r="AD14" i="1"/>
  <c r="AN23" i="1"/>
  <c r="AD114" i="1"/>
  <c r="X114" i="1"/>
  <c r="Y114" i="1" s="1"/>
  <c r="Z114" i="1" s="1"/>
  <c r="AC114" i="1" s="1"/>
  <c r="AO31" i="1"/>
  <c r="AN19" i="1"/>
  <c r="AN10" i="1"/>
  <c r="AD59" i="1"/>
  <c r="X59" i="1"/>
  <c r="Y59" i="1" s="1"/>
  <c r="Z59" i="1" s="1"/>
  <c r="AC59" i="1" s="1"/>
  <c r="AN36" i="1"/>
  <c r="AN61" i="1"/>
  <c r="AN65" i="1"/>
  <c r="AN79" i="1"/>
  <c r="AN32" i="1"/>
  <c r="AN53" i="1"/>
  <c r="AD22" i="1"/>
  <c r="X22" i="1"/>
  <c r="AN15" i="1"/>
  <c r="AA49" i="1"/>
  <c r="AO49" i="1" s="1"/>
  <c r="Z49" i="1"/>
  <c r="AC49" i="1" s="1"/>
  <c r="X75" i="1"/>
  <c r="Y75" i="1" s="1"/>
  <c r="Z75" i="1" s="1"/>
  <c r="AC75" i="1" s="1"/>
  <c r="AD75" i="1"/>
  <c r="AD80" i="1"/>
  <c r="X80" i="1"/>
  <c r="Y80" i="1" s="1"/>
  <c r="Z80" i="1" s="1"/>
  <c r="AC80" i="1" s="1"/>
  <c r="AN41" i="1"/>
  <c r="X62" i="1"/>
  <c r="Y62" i="1" s="1"/>
  <c r="Z62" i="1" s="1"/>
  <c r="AC62" i="1" s="1"/>
  <c r="AD62" i="1"/>
  <c r="AD90" i="1"/>
  <c r="X90" i="1"/>
  <c r="X106" i="1"/>
  <c r="Y106" i="1" s="1"/>
  <c r="Z106" i="1" s="1"/>
  <c r="AC106" i="1" s="1"/>
  <c r="AD106" i="1"/>
  <c r="AN115" i="1"/>
  <c r="AD13" i="1"/>
  <c r="X13" i="1"/>
  <c r="Y13" i="1" s="1"/>
  <c r="Z13" i="1" s="1"/>
  <c r="AC13" i="1" s="1"/>
  <c r="AN20" i="1"/>
  <c r="AN37" i="1"/>
  <c r="AN66" i="1"/>
  <c r="AD71" i="1"/>
  <c r="X71" i="1"/>
  <c r="Y71" i="1" s="1"/>
  <c r="Z71" i="1" s="1"/>
  <c r="AC71" i="1" s="1"/>
  <c r="AN102" i="1"/>
  <c r="AN127" i="1"/>
  <c r="X12" i="1"/>
  <c r="Y12" i="1" s="1"/>
  <c r="Z12" i="1" s="1"/>
  <c r="AC12" i="1" s="1"/>
  <c r="AD12" i="1"/>
  <c r="AD8" i="1"/>
  <c r="X8" i="1"/>
  <c r="Y8" i="1" s="1"/>
  <c r="Z8" i="1" s="1"/>
  <c r="AC8" i="1" s="1"/>
  <c r="AN48" i="1"/>
  <c r="AN24" i="1"/>
  <c r="X16" i="1"/>
  <c r="Y16" i="1" s="1"/>
  <c r="Z16" i="1" s="1"/>
  <c r="AC16" i="1" s="1"/>
  <c r="AD16" i="1"/>
  <c r="AD76" i="1"/>
  <c r="X76" i="1"/>
  <c r="Y76" i="1" s="1"/>
  <c r="Z76" i="1" s="1"/>
  <c r="AC76" i="1" s="1"/>
  <c r="AD81" i="1"/>
  <c r="X81" i="1"/>
  <c r="Y81" i="1" s="1"/>
  <c r="Z81" i="1" s="1"/>
  <c r="AC81" i="1" s="1"/>
  <c r="AN110" i="1"/>
  <c r="AN120" i="1"/>
  <c r="AN54" i="1"/>
  <c r="AD25" i="1"/>
  <c r="X25" i="1"/>
  <c r="Y25" i="1" s="1"/>
  <c r="Z25" i="1" s="1"/>
  <c r="AC25" i="1" s="1"/>
  <c r="AN29" i="1"/>
  <c r="AN50" i="1"/>
  <c r="AN99" i="1"/>
  <c r="AD116" i="1"/>
  <c r="X116" i="1"/>
  <c r="Y116" i="1" s="1"/>
  <c r="AN124" i="1"/>
  <c r="X38" i="1"/>
  <c r="Y38" i="1" s="1"/>
  <c r="AD38" i="1"/>
  <c r="AN46" i="1"/>
  <c r="AN67" i="1"/>
  <c r="AD82" i="1"/>
  <c r="X82" i="1"/>
  <c r="Y82" i="1" s="1"/>
  <c r="Z82" i="1" s="1"/>
  <c r="AC82" i="1" s="1"/>
  <c r="AN137" i="1"/>
  <c r="AD11" i="1"/>
  <c r="X11" i="1"/>
  <c r="Y11" i="1" s="1"/>
  <c r="Z11" i="1" s="1"/>
  <c r="AC11" i="1" s="1"/>
  <c r="AN21" i="1"/>
  <c r="AN34" i="1"/>
  <c r="AD55" i="1"/>
  <c r="X55" i="1"/>
  <c r="Y55" i="1" s="1"/>
  <c r="Z55" i="1" s="1"/>
  <c r="AC55" i="1" s="1"/>
  <c r="AN72" i="1"/>
  <c r="AN77" i="1"/>
  <c r="AD95" i="1"/>
  <c r="X95" i="1"/>
  <c r="Y95" i="1" s="1"/>
  <c r="Z95" i="1" s="1"/>
  <c r="AC95" i="1" s="1"/>
  <c r="AN107" i="1"/>
  <c r="X111" i="1"/>
  <c r="Y111" i="1" s="1"/>
  <c r="AD111" i="1"/>
  <c r="W6" i="1"/>
  <c r="AC6" i="1" s="1"/>
  <c r="X27" i="1"/>
  <c r="Y27" i="1" s="1"/>
  <c r="Z27" i="1" s="1"/>
  <c r="AC27" i="1" s="1"/>
  <c r="L128" i="1"/>
  <c r="AD18" i="1"/>
  <c r="AD31" i="1"/>
  <c r="AD66" i="1"/>
  <c r="AD68" i="1"/>
  <c r="X126" i="1"/>
  <c r="X134" i="1"/>
  <c r="Y134" i="1" s="1"/>
  <c r="Z134" i="1" s="1"/>
  <c r="AC134" i="1" s="1"/>
  <c r="X136" i="1"/>
  <c r="Y136" i="1" s="1"/>
  <c r="Z136" i="1" s="1"/>
  <c r="AC136" i="1" s="1"/>
  <c r="Z132" i="1"/>
  <c r="AC132" i="1" s="1"/>
  <c r="Z44" i="1"/>
  <c r="AC44" i="1" s="1"/>
  <c r="AN6" i="1"/>
  <c r="AA46" i="1"/>
  <c r="AO46" i="1" s="1"/>
  <c r="AD48" i="1"/>
  <c r="AA50" i="1"/>
  <c r="AO50" i="1" s="1"/>
  <c r="Z118" i="1"/>
  <c r="AC118" i="1" s="1"/>
  <c r="AD110" i="1"/>
  <c r="Z40" i="1"/>
  <c r="AC40" i="1" s="1"/>
  <c r="AD94" i="1"/>
  <c r="X7" i="1"/>
  <c r="Y7" i="1" s="1"/>
  <c r="Z42" i="1"/>
  <c r="AC42" i="1" s="1"/>
  <c r="Z98" i="1"/>
  <c r="AC98" i="1" s="1"/>
  <c r="X43" i="1"/>
  <c r="Y43" i="1" s="1"/>
  <c r="Z43" i="1" s="1"/>
  <c r="AC43" i="1" s="1"/>
  <c r="X45" i="1"/>
  <c r="Y45" i="1" s="1"/>
  <c r="Z45" i="1" s="1"/>
  <c r="AC45" i="1" s="1"/>
  <c r="Z129" i="1"/>
  <c r="AC129" i="1" s="1"/>
  <c r="Z133" i="1"/>
  <c r="AC133" i="1" s="1"/>
  <c r="Z135" i="1"/>
  <c r="AC135" i="1" s="1"/>
  <c r="Z113" i="1"/>
  <c r="AC113" i="1" s="1"/>
  <c r="Z117" i="1"/>
  <c r="AC117" i="1" s="1"/>
  <c r="Z33" i="1"/>
  <c r="AC33" i="1" s="1"/>
  <c r="AC128" i="1" l="1"/>
  <c r="L5" i="1"/>
  <c r="AC46" i="1"/>
  <c r="AC50" i="1"/>
  <c r="AC41" i="1"/>
  <c r="AC47" i="1"/>
  <c r="AC67" i="1"/>
  <c r="AC65" i="1"/>
  <c r="AN85" i="1"/>
  <c r="AN105" i="1"/>
  <c r="AN70" i="1"/>
  <c r="AN58" i="1"/>
  <c r="AN101" i="1"/>
  <c r="AN91" i="1"/>
  <c r="AN109" i="1"/>
  <c r="AN39" i="1"/>
  <c r="AN60" i="1"/>
  <c r="AN64" i="1"/>
  <c r="AN119" i="1"/>
  <c r="AN84" i="1"/>
  <c r="AN80" i="1"/>
  <c r="AN114" i="1"/>
  <c r="AN16" i="1"/>
  <c r="AN49" i="1"/>
  <c r="AN76" i="1"/>
  <c r="AN33" i="1"/>
  <c r="AN13" i="1"/>
  <c r="AN73" i="1"/>
  <c r="Z111" i="1"/>
  <c r="AA111" i="1"/>
  <c r="AA112" i="1"/>
  <c r="AO112" i="1" s="1"/>
  <c r="Z112" i="1"/>
  <c r="AC112" i="1" s="1"/>
  <c r="AN113" i="1"/>
  <c r="AN82" i="1"/>
  <c r="AN8" i="1"/>
  <c r="AN59" i="1"/>
  <c r="AN104" i="1"/>
  <c r="AN117" i="1"/>
  <c r="AN95" i="1"/>
  <c r="AN135" i="1"/>
  <c r="AN129" i="1"/>
  <c r="AN106" i="1"/>
  <c r="AN14" i="1"/>
  <c r="AN83" i="1"/>
  <c r="AN81" i="1"/>
  <c r="AN40" i="1"/>
  <c r="AN75" i="1"/>
  <c r="AN12" i="1"/>
  <c r="AN27" i="1"/>
  <c r="AN118" i="1"/>
  <c r="AN133" i="1"/>
  <c r="AN43" i="1"/>
  <c r="AN44" i="1"/>
  <c r="AN132" i="1"/>
  <c r="AN11" i="1"/>
  <c r="AN25" i="1"/>
  <c r="AN136" i="1"/>
  <c r="AD6" i="1"/>
  <c r="W5" i="1"/>
  <c r="X6" i="1"/>
  <c r="X5" i="1" s="1"/>
  <c r="AN98" i="1"/>
  <c r="AN42" i="1"/>
  <c r="AN134" i="1"/>
  <c r="AN55" i="1"/>
  <c r="AN62" i="1"/>
  <c r="AA116" i="1"/>
  <c r="AO116" i="1" s="1"/>
  <c r="Z116" i="1"/>
  <c r="AC116" i="1" s="1"/>
  <c r="AN45" i="1"/>
  <c r="AN71" i="1"/>
  <c r="Z7" i="1"/>
  <c r="AC7" i="1" s="1"/>
  <c r="Y5" i="1"/>
  <c r="AC111" i="1" l="1"/>
  <c r="AO111" i="1"/>
  <c r="AO5" i="1" s="1"/>
  <c r="AA5" i="1"/>
  <c r="AN111" i="1"/>
  <c r="AN7" i="1"/>
  <c r="Z5" i="1"/>
  <c r="AN116" i="1"/>
  <c r="AN112" i="1"/>
  <c r="AN5" i="1" l="1"/>
</calcChain>
</file>

<file path=xl/sharedStrings.xml><?xml version="1.0" encoding="utf-8"?>
<sst xmlns="http://schemas.openxmlformats.org/spreadsheetml/2006/main" count="665" uniqueCount="342">
  <si>
    <t>дн</t>
  </si>
  <si>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</si>
  <si>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</si>
  <si>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</si>
  <si>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</si>
  <si>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</si>
  <si>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</si>
  <si>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</si>
  <si>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</si>
  <si>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</si>
  <si>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</si>
  <si>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</si>
  <si>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</si>
  <si>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</si>
  <si>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</si>
  <si>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 в пути</t>
  </si>
  <si>
    <t>ср нов</t>
  </si>
  <si>
    <t>расчет</t>
  </si>
  <si>
    <t>итого</t>
  </si>
  <si>
    <t>заказ</t>
  </si>
  <si>
    <t>ТК</t>
  </si>
  <si>
    <t>кон ост</t>
  </si>
  <si>
    <t>факт</t>
  </si>
  <si>
    <t>ср</t>
  </si>
  <si>
    <t>комментарии</t>
  </si>
  <si>
    <t>вес</t>
  </si>
  <si>
    <t>18,08,</t>
  </si>
  <si>
    <t>18,08,недогр</t>
  </si>
  <si>
    <t>22,08,</t>
  </si>
  <si>
    <t>23,08,</t>
  </si>
  <si>
    <t>20,08,</t>
  </si>
  <si>
    <t>25,08,</t>
  </si>
  <si>
    <t>24,08,</t>
  </si>
  <si>
    <t>Хмель</t>
  </si>
  <si>
    <t>13,08,</t>
  </si>
  <si>
    <t>11,08,</t>
  </si>
  <si>
    <t>06,08,</t>
  </si>
  <si>
    <t>04,08,</t>
  </si>
  <si>
    <t>30,07,</t>
  </si>
  <si>
    <t>28,07,</t>
  </si>
  <si>
    <t>23,07,</t>
  </si>
  <si>
    <t xml:space="preserve"> 005  Колбаса Докторская ГОСТ, Вязанка вектор,ВЕС. ПОКОМ</t>
  </si>
  <si>
    <t>кг</t>
  </si>
  <si>
    <t>матрица</t>
  </si>
  <si>
    <t>SU000722</t>
  </si>
  <si>
    <t xml:space="preserve"> 016  Сосиски Вязанка Молочные, Вязанка вискофан  ВЕС.ПОКОМ</t>
  </si>
  <si>
    <t>SU001523</t>
  </si>
  <si>
    <t xml:space="preserve"> 017  Сосиски Вязанка Сливочные, Вязанка амицел ВЕС.ПОКОМ</t>
  </si>
  <si>
    <t>SU001721</t>
  </si>
  <si>
    <t xml:space="preserve"> 023  Колбаса Докторская ГОСТ, Вязанка вектор, 0,4 кг, ПОКОМ</t>
  </si>
  <si>
    <t>шт</t>
  </si>
  <si>
    <t>19 шт списано (12,07,26)</t>
  </si>
  <si>
    <t>SU001485</t>
  </si>
  <si>
    <t xml:space="preserve"> 030  Сосиски Вязанка Молочные, Вязанка вискофан МГС, 0.45кг, ПОКОМ</t>
  </si>
  <si>
    <t>ВНИМАНИЕ / матрица</t>
  </si>
  <si>
    <t>1000шт под ЮТЛ (Хмель 15,07,26)</t>
  </si>
  <si>
    <t>SU001718</t>
  </si>
  <si>
    <t xml:space="preserve"> 032  Сосиски Вязанка Сливочные, Вязанка амицел МГС, 0.45кг, ПОКОМ</t>
  </si>
  <si>
    <t>1000 сеть МКД (05,08,26)</t>
  </si>
  <si>
    <t>SU001720</t>
  </si>
  <si>
    <t xml:space="preserve"> 047  Кол Баварская, белков.обол. в термоусад. пакете 0.17 кг, ТМ Стародворье  ПОКОМ</t>
  </si>
  <si>
    <t>SU002092</t>
  </si>
  <si>
    <t xml:space="preserve"> 062  Колбаса Кракушка пряная с сальцем, 0.3кг в/у п/к, БАВАРУШКА ПОКОМ</t>
  </si>
  <si>
    <t>SU002252</t>
  </si>
  <si>
    <t xml:space="preserve"> 083  Колбаса Швейцарская 0,17 кг., ШТ., сырокопченая   ПОКОМ</t>
  </si>
  <si>
    <t>SU001869</t>
  </si>
  <si>
    <t xml:space="preserve"> 103  Сосиски Классические, 0.42кг,ядрена копотьПОКОМ</t>
  </si>
  <si>
    <t>не в матрице</t>
  </si>
  <si>
    <t>Продукция для ПРС!!!</t>
  </si>
  <si>
    <t>SU000341</t>
  </si>
  <si>
    <t xml:space="preserve"> 200  Ветчина Дугушка ТМ Стародворье, вектор в/у    ПОКОМ</t>
  </si>
  <si>
    <t>SU002035</t>
  </si>
  <si>
    <t xml:space="preserve"> 201  Ветчина Нежная ТМ Особый рецепт, (2,5кг), ПОКОМ</t>
  </si>
  <si>
    <t>SU000126</t>
  </si>
  <si>
    <t xml:space="preserve"> 215  Колбаса Докторская ГОСТ Дугушка, ВЕС, ТМ Стародворье ПОКОМ</t>
  </si>
  <si>
    <t>SU002011</t>
  </si>
  <si>
    <t xml:space="preserve"> 219  Колбаса Докторская Особая ТМ Особый рецепт, ВЕС  ПОКОМ</t>
  </si>
  <si>
    <t xml:space="preserve"> 597  Колбаса Классическая ТМ Особый рецепт в оболочке полиамид ВЕС. ПОКОМ</t>
  </si>
  <si>
    <t>SU004238</t>
  </si>
  <si>
    <t xml:space="preserve"> 225  Колбаса Дугушка со шпиком, ВЕС, ТМ Стародворье   ПОКОМ</t>
  </si>
  <si>
    <t>нет потребности</t>
  </si>
  <si>
    <t>SU002182</t>
  </si>
  <si>
    <t xml:space="preserve"> 226  Колбаса Княжеская, с/к белков.обол в термоусад. пакете, ВЕС, ТМ Стародворье ПОКОМ</t>
  </si>
  <si>
    <t>нужно увеличить продажи</t>
  </si>
  <si>
    <t>SU001920</t>
  </si>
  <si>
    <t xml:space="preserve"> 229  Колбаса Молочная Дугушка, в/у, ВЕС, ТМ Стародворье   ПОКОМ</t>
  </si>
  <si>
    <t>SU002010</t>
  </si>
  <si>
    <t xml:space="preserve"> 230  Колбаса Молочная Особая ТМ Особый рецепт, п/а, ВЕС. ПОКОМ</t>
  </si>
  <si>
    <t xml:space="preserve"> 457  Колбаса Молочная ТМ Особый рецепт ВЕС большой батон  ПОКОМ</t>
  </si>
  <si>
    <t>SU003422</t>
  </si>
  <si>
    <t xml:space="preserve"> 236  Колбаса Рубленая ЗАПЕЧ. Дугушка ТМ Стародворье, вектор, в/к    ПОКОМ</t>
  </si>
  <si>
    <t>SU002150</t>
  </si>
  <si>
    <t xml:space="preserve"> 239  Колбаса Салями запеч Дугушка, оболочка вектор, ВЕС, ТМ Стародворье  ПОКОМ</t>
  </si>
  <si>
    <t>SU002158</t>
  </si>
  <si>
    <t xml:space="preserve"> 240  Колбаса Салями охотничья, ВЕС. ПОКОМ</t>
  </si>
  <si>
    <t>SU001921</t>
  </si>
  <si>
    <t xml:space="preserve"> 242  Колбаса Сервелат ЗАПЕЧ.Дугушка ТМ Стародворье, вектор, в/к     ПОКОМ</t>
  </si>
  <si>
    <t>SU002151</t>
  </si>
  <si>
    <t xml:space="preserve"> 244  Колбаса Сервелат Кремлевский, ВЕС. ПОКОМ</t>
  </si>
  <si>
    <t>нужно увеличить продажи!!!</t>
  </si>
  <si>
    <t>SU001822</t>
  </si>
  <si>
    <t xml:space="preserve"> 247  Сардельки Нежные, ВЕС.  ПОКОМ</t>
  </si>
  <si>
    <t>SU001051</t>
  </si>
  <si>
    <t xml:space="preserve"> 248  Сардельки Сочные ТМ Особый рецепт,   ПОКОМ</t>
  </si>
  <si>
    <t>SU002287</t>
  </si>
  <si>
    <t xml:space="preserve"> 250  Сардельки стародворские с говядиной в обол. NDX, ВЕС. ПОКОМ</t>
  </si>
  <si>
    <t>НЕДОГРУЗ / матрица</t>
  </si>
  <si>
    <t>SU000227</t>
  </si>
  <si>
    <t xml:space="preserve"> 253  Сосиски Ганноверские   ПОКОМ</t>
  </si>
  <si>
    <t>SU001340</t>
  </si>
  <si>
    <t xml:space="preserve"> 255  Сосиски Молочные для завтрака ТМ Особый рецепт, п/а МГС, ВЕС, ТМ Стародворье  ПОКОМ</t>
  </si>
  <si>
    <t>SU002074</t>
  </si>
  <si>
    <t xml:space="preserve"> 257  Сосиски Молочные оригинальные ТМ Особый рецепт, ВЕС.   ПОКОМ</t>
  </si>
  <si>
    <t>SU000246</t>
  </si>
  <si>
    <t xml:space="preserve"> 263  Шпикачки Стародворские, ВЕС.  ПОКОМ</t>
  </si>
  <si>
    <t>SU001430</t>
  </si>
  <si>
    <t xml:space="preserve"> 265  Колбаса Балыкбургская, ВЕС, ТМ Баварушка  ПОКОМ</t>
  </si>
  <si>
    <t>SU002612</t>
  </si>
  <si>
    <t xml:space="preserve"> 267  Колбаса Салями Филейбургская зернистая, оболочка фиброуз, ВЕС, ТМ Баварушка  ПОКОМ</t>
  </si>
  <si>
    <t>SU002614</t>
  </si>
  <si>
    <t xml:space="preserve"> 273  Сосиски Сочинки с сочной грудинкой, МГС 0.4кг,   ПОКОМ</t>
  </si>
  <si>
    <t>SU002618</t>
  </si>
  <si>
    <t xml:space="preserve"> 276  Колбаса Сливушка ТМ Вязанка в оболочке полиамид 0,45 кг  ПОКОМ</t>
  </si>
  <si>
    <t>500шт под ЮТЛ (Хмель 21,08,26)</t>
  </si>
  <si>
    <t>SU002734</t>
  </si>
  <si>
    <t xml:space="preserve"> 278  Сосиски Сочинки с сочным окороком, МГС 0.4кг,   ПОКОМ</t>
  </si>
  <si>
    <t>SU002621</t>
  </si>
  <si>
    <t xml:space="preserve"> 281  Сосиски Молочные для завтрака ТМ Особый рецепт, 0,4кг  ПОКОМ</t>
  </si>
  <si>
    <t>SU002205</t>
  </si>
  <si>
    <t xml:space="preserve"> 283  Сосиски Сочинки, ВЕС, ТМ Стародворье ПОКОМ</t>
  </si>
  <si>
    <t>300кг под задачи ТК (05,08,26) / 31,07,26 начали заказывать</t>
  </si>
  <si>
    <t>SU002725</t>
  </si>
  <si>
    <t xml:space="preserve"> 285  Паштет печеночный со слив.маслом ТМ Стародворье ламистер 0,1 кг  ПОКОМ</t>
  </si>
  <si>
    <t>SU002368</t>
  </si>
  <si>
    <t xml:space="preserve"> 296  Колбаса Мясорубская с рубленой грудинкой 0,35кг срез ТМ Стародворье  ПОКОМ</t>
  </si>
  <si>
    <t>SU002660</t>
  </si>
  <si>
    <t xml:space="preserve"> 297  Колбаса Мясорубская с рубленой грудинкой ВЕС ТМ Стародворье  ПОКОМ</t>
  </si>
  <si>
    <t>SU002756</t>
  </si>
  <si>
    <t xml:space="preserve"> 301  Сосиски Сочинки по-баварски с сыром,  0.4кг, ТМ Стародворье  ПОКОМ</t>
  </si>
  <si>
    <t>SU002801</t>
  </si>
  <si>
    <t xml:space="preserve"> 302  Сосиски Сочинки по-баварски,  0.4кг, ТМ Стародворье  ПОКОМ</t>
  </si>
  <si>
    <t>SU002799</t>
  </si>
  <si>
    <t xml:space="preserve"> 305  Колбаса Сервелат Мясорубский с мелкорубленным окороком в/у  ТМ Стародворье ВЕС   ПОКОМ</t>
  </si>
  <si>
    <t>SU002847</t>
  </si>
  <si>
    <t xml:space="preserve"> 307  Колбаса Сервелат Мясорубский с мелкорубленным окороком 0,35 кг срез ТМ Стародворье   Поком</t>
  </si>
  <si>
    <t>SU002848</t>
  </si>
  <si>
    <t xml:space="preserve"> 309  Сосиски Сочинки с сыром 0,4 кг ТМ Стародворье  ПОКОМ</t>
  </si>
  <si>
    <t>SU002686</t>
  </si>
  <si>
    <t xml:space="preserve"> 312  Ветчина Филейская ВЕС ТМ  Вязанка ТС Столичная  ПОКОМ</t>
  </si>
  <si>
    <t>SU002828</t>
  </si>
  <si>
    <t xml:space="preserve"> 315  Колбаса вареная Молокуша ТМ Вязанка ВЕС, ПОКОМ</t>
  </si>
  <si>
    <t>SU002830</t>
  </si>
  <si>
    <t xml:space="preserve"> 318  Сосиски Датские ТМ Зареченские, ВЕС  ПОКОМ</t>
  </si>
  <si>
    <t>SU002655</t>
  </si>
  <si>
    <t xml:space="preserve"> 319  Колбаса вареная Филейская ТМ Вязанка ТС Классическая, 0,45 кг. ПОКОМ</t>
  </si>
  <si>
    <t>SU002815</t>
  </si>
  <si>
    <t xml:space="preserve"> 322  Колбаса вареная Молокуша 0,45кг ТМ Вязанка  ПОКОМ</t>
  </si>
  <si>
    <t>SU002816</t>
  </si>
  <si>
    <t xml:space="preserve"> 328  Сардельки Сочинки Стародворье ТМ  0,4 кг ПОКОМ</t>
  </si>
  <si>
    <t>SU002758</t>
  </si>
  <si>
    <t xml:space="preserve"> 329  Сардельки Сочинки с сыром Стародворье ТМ, 0,4 кг. ПОКОМ</t>
  </si>
  <si>
    <t>SU002759</t>
  </si>
  <si>
    <t xml:space="preserve"> 330  Колбаса вареная Филейская ТМ Вязанка ТС Классическая ВЕС  ПОКОМ</t>
  </si>
  <si>
    <t>SU002829</t>
  </si>
  <si>
    <t xml:space="preserve"> 334  Паштет Любительский ТМ Стародворье ламистер 0,1 кг  ПОКОМ</t>
  </si>
  <si>
    <t>SU002841</t>
  </si>
  <si>
    <t xml:space="preserve"> 335  Колбаса Сливушка ТМ Вязанка. ВЕС.  ПОКОМ </t>
  </si>
  <si>
    <t>SU002928</t>
  </si>
  <si>
    <t xml:space="preserve"> 336  Ветчина Сливушка с индейкой ТМ Вязанка. ВЕС  ПОКОМ</t>
  </si>
  <si>
    <t>SU002833</t>
  </si>
  <si>
    <t xml:space="preserve"> 338  Паштет печеночный с морковью ТМ Стародворье ламистер 0,1 кг.  ПОКОМ</t>
  </si>
  <si>
    <t>SU002840</t>
  </si>
  <si>
    <t xml:space="preserve"> 339  Колбаса вареная Филейская ТМ Вязанка ТС Классическая, 0,40 кг.  ПОКОМ</t>
  </si>
  <si>
    <t>SU002831</t>
  </si>
  <si>
    <t xml:space="preserve"> 340  Сосиски Сочинки Молочные ТМ Стародворье, ВЕС ПОКОМ</t>
  </si>
  <si>
    <t>300кг под задачи ТК (05,08,26) / 150кг под задачи ТК (31,07,26)</t>
  </si>
  <si>
    <t>SU002843</t>
  </si>
  <si>
    <t xml:space="preserve"> 341 Сосиски Сочинки Сливочные ТМ Стародворье ВЕС ПОКОМ</t>
  </si>
  <si>
    <t>SU002845</t>
  </si>
  <si>
    <t xml:space="preserve"> 342 Сосиски Сочинки Молочные ТМ Стародворье 0,4 кг ПОКОМ</t>
  </si>
  <si>
    <t>SU002842</t>
  </si>
  <si>
    <t xml:space="preserve"> 343 Сосиски Сочинки Сливочные ТМ Стародворье  0,4 кг ПОКОМ</t>
  </si>
  <si>
    <t>SU002844</t>
  </si>
  <si>
    <t xml:space="preserve"> 344  Колбаса Сочинка по-европейски с сочной грудинкой ТМ Стародворье, ВЕС ПОКОМ</t>
  </si>
  <si>
    <t>SU002941</t>
  </si>
  <si>
    <t xml:space="preserve"> 345  Колбаса Сочинка по-фински с сочным окроком ТМ Стародворье ВЕС ПОКОМ</t>
  </si>
  <si>
    <t>SU002943</t>
  </si>
  <si>
    <t xml:space="preserve"> 346  Колбаса Сочинка зернистая с сочной грудинкой ТМ Стародворье.ВЕС ПОКОМ</t>
  </si>
  <si>
    <t>SU002945</t>
  </si>
  <si>
    <t xml:space="preserve"> 347  Колбаса Сочинка рубленая с сочным окороком ТМ Стародворье ВЕС ПОКОМ</t>
  </si>
  <si>
    <t>SU002947</t>
  </si>
  <si>
    <t xml:space="preserve"> 355  Колбаса Сервелат запеченный ТМ Стародворье ТС Дугушка. 0,6 кг. ПОКОМ</t>
  </si>
  <si>
    <t>SU002918</t>
  </si>
  <si>
    <t xml:space="preserve"> 364  Сардельки Филейские Вязанка ВЕС NDX ТМ Вязанка  ПОКОМ</t>
  </si>
  <si>
    <t>SU002835</t>
  </si>
  <si>
    <t xml:space="preserve"> 365  Колбаса Салями Филейбургская зернистая, 0,28 кг срез ТМ Баварушка ПОКОМ</t>
  </si>
  <si>
    <t xml:space="preserve"> 376  Колбаса Докторская Дугушка 0,6кг ГОСТ ТМ Стародворье  ПОКОМ </t>
  </si>
  <si>
    <t>SU002632</t>
  </si>
  <si>
    <t xml:space="preserve"> 377  Колбаса Молочная Дугушка 0,6кг ТМ Стародворье  ПОКОМ</t>
  </si>
  <si>
    <t>SU002631</t>
  </si>
  <si>
    <t xml:space="preserve"> 387  Колбаса вареная Мусульманская Халяль ТМ Вязанка, 0,4 кг ПОКОМ</t>
  </si>
  <si>
    <t>с 14,08,26 начинаем заказывать</t>
  </si>
  <si>
    <t>SU002983</t>
  </si>
  <si>
    <t xml:space="preserve"> 388  Сосиски Восточные Халяль ТМ Вязанка 0,33 кг АК. ПОКОМ</t>
  </si>
  <si>
    <t>SU002984</t>
  </si>
  <si>
    <t xml:space="preserve"> 394 Колбаса полукопченая Аль-Ислами халяль ТМ Вязанка оболочка фиброуз в в/у 0,35 кг  ПОКОМ</t>
  </si>
  <si>
    <t>SU002985</t>
  </si>
  <si>
    <t xml:space="preserve"> 395  Колбаса Докторская ГОСТ ТМ Вязанка в оболочке полиамид 0,37 кг. ПОКОМ</t>
  </si>
  <si>
    <t>SU002986</t>
  </si>
  <si>
    <t xml:space="preserve"> 397  Ветчина Дугушка ТМ Стародворье ТС Дугушка в полиамидной оболочке 0,6 кг. ПОКОМ</t>
  </si>
  <si>
    <t>500шт под ЮТЛ (Хмель 05,08,26) / 500шт под ЮТЛ (Хмель 15,07,26)</t>
  </si>
  <si>
    <t>SU002643</t>
  </si>
  <si>
    <t xml:space="preserve"> 405  Сардельки Сливушки ТМ Вязанка в оболочке айпил 0,33 кг. ПОКОМ</t>
  </si>
  <si>
    <t>SU002367</t>
  </si>
  <si>
    <t xml:space="preserve"> 408  Ветчина Сливушка с индейкой ТМ Вязанка, 0,4кг  ПОКОМ</t>
  </si>
  <si>
    <t>SU002735</t>
  </si>
  <si>
    <t xml:space="preserve"> 410  Сосиски Баварские с сыром ТМ Стародворье 0,35 кг. ПОКОМ</t>
  </si>
  <si>
    <t>SU003168</t>
  </si>
  <si>
    <t xml:space="preserve"> 412  Сосиски Баварские ТМ Стародворье 0,35 кг ПОКОМ</t>
  </si>
  <si>
    <t>SU003167</t>
  </si>
  <si>
    <t xml:space="preserve"> 425 Сосиски Сливочные Вязанка Сливушки Весовые П/а мгс Вязанка  Поком</t>
  </si>
  <si>
    <t xml:space="preserve"> 430  Колбаса Стародворская с окороком 0,4 кг. ТМ Стародворье в оболочке полиамид  ПОКОМ</t>
  </si>
  <si>
    <t>SU003272</t>
  </si>
  <si>
    <t xml:space="preserve"> 433 Колбаса Стародворская со шпиком  в оболочке полиамид. ТМ Стародворье ВЕС ПОКОМ</t>
  </si>
  <si>
    <t>SU003275</t>
  </si>
  <si>
    <t xml:space="preserve"> 436  Колбаса Молочная стародворская с молоком, ВЕС, ТМ Стародворье  ПОКОМ</t>
  </si>
  <si>
    <t>SU003273</t>
  </si>
  <si>
    <t xml:space="preserve"> 449  Колбаса Дугушка Стародворская ВЕС ТС Дугушка ПОКОМ</t>
  </si>
  <si>
    <t>SU002634</t>
  </si>
  <si>
    <t xml:space="preserve"> 451 Сосиски Филейские ТМ Вязанка в оболочке целлофан 0,3 кг. ПОКОМ</t>
  </si>
  <si>
    <t>SU002825</t>
  </si>
  <si>
    <t xml:space="preserve"> 452  Колбаса Со шпиком ВЕС большой батон ТМ Особый рецепт  ПОКОМ</t>
  </si>
  <si>
    <t>SU003423</t>
  </si>
  <si>
    <t xml:space="preserve"> 456  Колбаса Филейная ТМ Особый рецепт ВЕС большой батон  ПОКОМ</t>
  </si>
  <si>
    <t>SU003420</t>
  </si>
  <si>
    <t xml:space="preserve"> 460  Колбаса Стародворская Традиционная ВЕС ТМ Стародворье в оболочке полиамид. ПОКОМ</t>
  </si>
  <si>
    <t>SU003392</t>
  </si>
  <si>
    <t xml:space="preserve"> 463  Колбаса Молочная Традиционнаяв оболочке полиамид.ТМ Стародворье. ВЕС ПОКОМ</t>
  </si>
  <si>
    <t>SU003394</t>
  </si>
  <si>
    <t xml:space="preserve"> 485  Колбаса Молочная по-стародворски ТМ Стародворье в оболочке полиамид. ВЕС ПОКОМ </t>
  </si>
  <si>
    <t xml:space="preserve"> 498  Колбаса Сочинка рубленая с сочным окороком 0,3кг ТМ Стародворье  ПОКОМ</t>
  </si>
  <si>
    <t>SU002948</t>
  </si>
  <si>
    <t xml:space="preserve"> 517  Сосиски С сыром ТМ Ядрена копоть 0,3кг  ПОКОМ</t>
  </si>
  <si>
    <t>SU003665</t>
  </si>
  <si>
    <t xml:space="preserve"> 523  Колбаса Сальчичон нарезка 0,07кг ТМ Стародворье  ПОКОМ </t>
  </si>
  <si>
    <t>плюсом 400шт сеть Молоко (21,08,26) / плюсом 300шт сеть Молоко (05,08,26)</t>
  </si>
  <si>
    <t>SU003893</t>
  </si>
  <si>
    <t xml:space="preserve"> 524  Колбаса Сервелат Ореховый нарезка 0,07кг ТМ Стародворье  ПОКОМ</t>
  </si>
  <si>
    <t>плюсом 500шт сеть Молоко (21,08,26) / плюсом 300шт сеть Молоко (05,08,26)</t>
  </si>
  <si>
    <t>SU003894</t>
  </si>
  <si>
    <t xml:space="preserve"> 525  Колбаса Фуэт нарезка 0,07кг ТМ Стародворье  ПОКОМ</t>
  </si>
  <si>
    <t>SU003896</t>
  </si>
  <si>
    <t xml:space="preserve"> 526  Корейка вяленая выдержанная нарезка 0,05кг ТМ Стародворье  ПОКОМ</t>
  </si>
  <si>
    <t>SU003925</t>
  </si>
  <si>
    <t xml:space="preserve"> 544  Сосиски Мясные для гриля ТС Ядрена копоть 0,3 кг  ПОКОМ</t>
  </si>
  <si>
    <t>SU004016</t>
  </si>
  <si>
    <t xml:space="preserve"> 547  Колбаса Мясная Классическая ТМ Вязанка в оболочке полиамид. ВЕС  ПОКОМ</t>
  </si>
  <si>
    <t>SU004157</t>
  </si>
  <si>
    <t xml:space="preserve"> 551  Колбаса Сливушка ТМ Вязанка в модифицированной газовой среде 0,11 кг нарезка  ПОКОМ</t>
  </si>
  <si>
    <t>SU003745</t>
  </si>
  <si>
    <t xml:space="preserve"> 552  Ветчина Сливушка с индейкой ТМ Вязанка в модифицированной газовой среде 0,1 кг нарезка  ПОКОМ</t>
  </si>
  <si>
    <t>SU002356</t>
  </si>
  <si>
    <t xml:space="preserve"> 553  Ассорти колбас Мясорубская коллекция: Сервелат Делюкс, С балыком 0,08 кг нарезка  ПОКОМ</t>
  </si>
  <si>
    <t>плюсом 300шт сеть Молоко (21,08,26) / плюсом 300шт сеть Молоко (05,08,26)</t>
  </si>
  <si>
    <t>SU004026</t>
  </si>
  <si>
    <t xml:space="preserve"> 554  Колбаса Сервелат Мясорубский ТМ Стародворье в упаковке скин 0,08 кг нарезка  ПОКОМ</t>
  </si>
  <si>
    <t>плюсом 600шт сеть Молоко (21,08,26) / плюсом 300шт сеть Молоко (05,08,26)</t>
  </si>
  <si>
    <t>SU003178</t>
  </si>
  <si>
    <t xml:space="preserve"> 555  Колбаса Молокуша ТМ Вязанка в модифицированной газовой среде 0,17 кг нарезка  ПОКОМ</t>
  </si>
  <si>
    <t>SU002354</t>
  </si>
  <si>
    <t xml:space="preserve"> 556  Колбаса Сервелат Ореховый ТМ Вязанка в оболочке фиброуз в вакуумной упаковке, ВЕС  ПОКОМ</t>
  </si>
  <si>
    <t>SU004044</t>
  </si>
  <si>
    <t xml:space="preserve"> 557  Колбаса Сервелат Финский ТМ Вязанка в оболочке фиброуз в вакуумной упаковке, ВЕС  ПОКОМ</t>
  </si>
  <si>
    <t>SU004047</t>
  </si>
  <si>
    <t xml:space="preserve"> 558  Колбаса Балыковая НОВАЯ ВЕС Вязанка фиброуз в/у ПОКОМ</t>
  </si>
  <si>
    <t>SU004041</t>
  </si>
  <si>
    <t xml:space="preserve"> 564  Сосиски Сочные 0,3 кг ТМ Вязанка  ПОКОМ</t>
  </si>
  <si>
    <t>SU004053</t>
  </si>
  <si>
    <t xml:space="preserve"> 567 Колбаса Со шпиком Стародворская ТМ Стародворье в оболочке полиамид ВЕС  ПОКОМ</t>
  </si>
  <si>
    <t>SU004007</t>
  </si>
  <si>
    <t xml:space="preserve"> 569  Колбаса Балыковая ТМ Вязанка в оболочке фиброуз в вакуумной упаковке 0,28 кг срез.  ПОКОМ</t>
  </si>
  <si>
    <t>SU004039</t>
  </si>
  <si>
    <t xml:space="preserve"> 570  Колбаса Сервелат Финский ТМ Вязанка в оболочке фиброуз в вак. упаковке 0,28 кг срез  ПОКОМ</t>
  </si>
  <si>
    <t>SU004045</t>
  </si>
  <si>
    <t xml:space="preserve"> 571  Колбаса Сервелат Ореховый ТМ Вязанка в оболочке фиброуз в вак. упаковке 0,28 кг срез  ПОКОМ</t>
  </si>
  <si>
    <t>SU004042</t>
  </si>
  <si>
    <t xml:space="preserve"> 574  Колбаса Сервелат Финский ТМ Вязанка в упаковке скин 0,09 кг нарезка  ПОКОМ</t>
  </si>
  <si>
    <t>плюсом 700шт сеть Молоко (21,08,26)</t>
  </si>
  <si>
    <t>SU003751</t>
  </si>
  <si>
    <t xml:space="preserve"> 577  Колбаса Молочная Стародворская ТМ Стародворье в оболочке полиамид НД ВЕС.  ПОКОМ</t>
  </si>
  <si>
    <t xml:space="preserve"> 579  Колбаса Ветчинно-рубленая ТМ Особый рецепт в оболочке полиамид.ВЕС  ПОКОМ</t>
  </si>
  <si>
    <t>SU004131</t>
  </si>
  <si>
    <t xml:space="preserve"> 580  Ветчина Нежная с индейкой ТМ Особый рецепт в оболочке полиамид.ВЕС  ПОКОМ</t>
  </si>
  <si>
    <t>SU003686</t>
  </si>
  <si>
    <t xml:space="preserve"> 583  Колбаса Балыковая ТМ Вязанка в упаковке скин 0,09 кг нарезка  ПОКОМ</t>
  </si>
  <si>
    <t>нужно увеличить продажи / плюсом 400шт сеть Молоко (21,08,26) / плюсом 300шт сеть Молоко (05,08,26)</t>
  </si>
  <si>
    <t>SU003753</t>
  </si>
  <si>
    <t xml:space="preserve"> 584  Колбаса Сервелат Ореховый ТМ Вязанка в упаковке скин 0,09 кг нарезка  ПОКОМ</t>
  </si>
  <si>
    <t>SU003988</t>
  </si>
  <si>
    <t xml:space="preserve"> 585  Колбаса Молочная ТМ Стародворье в оболочке вектор НД ВЕС.  ПОКОМ</t>
  </si>
  <si>
    <t>нужно увеличить продажи / 08,07,26 +350кг (задача от завода для ТК / просили 450кг) не продали - переместили в Крым</t>
  </si>
  <si>
    <t>SU004103</t>
  </si>
  <si>
    <t xml:space="preserve"> 586  Колбаса Мясная ТМ Стародворье в оболочке вектор НД ВЕС.  ПОКОМ</t>
  </si>
  <si>
    <t>SU004104</t>
  </si>
  <si>
    <t xml:space="preserve"> 588 Колбаса Со шпиком ТМ Стародворье в оболочке вектор ВЕС  ПОКОМ</t>
  </si>
  <si>
    <t>08,07,26 +250кг (задача от завода для ТК / просили 350кг)</t>
  </si>
  <si>
    <t>SU004106</t>
  </si>
  <si>
    <t xml:space="preserve"> 614  Буженина в пряном маринаде 0,25 кг консервы из мяса индейки ТМ Стародворье  ПОКОМ</t>
  </si>
  <si>
    <t>новинка</t>
  </si>
  <si>
    <t>SU004146</t>
  </si>
  <si>
    <t xml:space="preserve"> 615  Гречка по-купечески с говядиной и овощами 0,325кг ТМ Стародворье  ПОКОМ</t>
  </si>
  <si>
    <t>SU004144</t>
  </si>
  <si>
    <t xml:space="preserve"> 616  Индейка томлёная в собственном соку 0,25кг ТМ Стародлворье Консервый из мяс.птицы  ПОКОМ</t>
  </si>
  <si>
    <t>SU004145</t>
  </si>
  <si>
    <t>495  Колбаса Сочинка по-европейски с сочной грудинкой 0,3кг ТМ Стародворье  ПОКОМ</t>
  </si>
  <si>
    <t>SU002944</t>
  </si>
  <si>
    <t>496  Колбаса Сочинка по-фински с сочным окроком 0,3кг ТМ Стародворье  ПОКОМ</t>
  </si>
  <si>
    <t>SU002942</t>
  </si>
  <si>
    <t>503 Колбаса Филейская со шпиком ТМ Вязанка в оболочке полиамид.ПОКОМ</t>
  </si>
  <si>
    <t>SU003642</t>
  </si>
  <si>
    <t>515  Колбаса Сервелат Мясорубский Делюкс 0,3кг ТМ Стародворье  ПОКОМ</t>
  </si>
  <si>
    <t>SU003829</t>
  </si>
  <si>
    <t>519  Грудинка 0,12 кг нарезка ТМ Стародворье  ПОКОМ</t>
  </si>
  <si>
    <t>SU003921</t>
  </si>
  <si>
    <t>БОНУС_615  Гречка по-купечески с говядиной и овощами 0,325кг ТМ Стародворье  ПОКОМ</t>
  </si>
  <si>
    <t>бонус</t>
  </si>
  <si>
    <t>22,08,недогр</t>
  </si>
  <si>
    <t>22,08,доз</t>
  </si>
  <si>
    <t>Сосиски «Молочные для завтрака» Фикс.вес 0,4 П/а мгс ТМ «Особый рецепт»</t>
  </si>
  <si>
    <t>П/к колбасы Кракушка пряная с сальцем Бавария Фикс.вес 0,3 н/о в/у Стародворье</t>
  </si>
  <si>
    <t>Сосиски «Сочинки с сочным окороком» Фикс.вес 0,4 П/а мгс ТМ «Стародворье»</t>
  </si>
  <si>
    <t>Колбаса Мясорубская ТМ Стародворье с рубленой грудинкой в оболочке фиброуз в вакуумной упаковке 0,35 кг срез</t>
  </si>
  <si>
    <t>Сосиски «Сочинки Сливочные» Фикс.вес 0,4 п/а мгс ТМ «Стародворье»</t>
  </si>
  <si>
    <t>В/к колбасы Сервелат Мясорубский с мелкорубленным окороком срез Бордо Фикс.вес 0,35 фиброуз Стародворье</t>
  </si>
  <si>
    <t>В/к колбасы «Сочинка по-фински с сочным окороком» срез Фикс.вес 0,3 фиброуз ТМ «Стародворье»</t>
  </si>
  <si>
    <t>В/к колбасы «Сочинка по-европейски с сочной грудинкой» срез Фикс.вес 0,3 фиброуз ТМ «Стародворье»</t>
  </si>
  <si>
    <t>П/к колбасы «Сочинка зернистая с сочной грудинкой» Весовой фиброуз ТМ «Стародворье»</t>
  </si>
  <si>
    <t>П/к колбасы «Сочинка рубленая с сочным окороком» срез Фикс.вес 0,3 фиброуз ТМ «Стародворье»</t>
  </si>
  <si>
    <t>Копченые колбасы «Балыковая» Весовой фиброуз ТМ «Вязанка»</t>
  </si>
  <si>
    <t>Копченые колбасы «Сервелат Финский» Фикс.вес 0,28 фиброуз срез ТМ «Вязанка»</t>
  </si>
  <si>
    <t>23,08,недогр</t>
  </si>
  <si>
    <t>23,08,доз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</si>
</sst>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_ ;[Red]\-0\ "/>
    <numFmt numFmtId="165" formatCode="0.00_ ;[Red]\-0.00\ "/>
  </numFmts>
  <fonts count="11" x14ac:knownFonts="1">
    <font>
      <sz val="11"/>
      <color theme="1"/>
      <name val="Calibri"/>
      <family val="2"/>
      <scheme val="minor"/>
    </font>
    <font>
      <sz val="10"/>
      <name val="Arial"/>
    </font>
    <font>
      <b/>
      <sz val="11"/>
      <name val="Calibri"/>
    </font>
    <font>
      <b/>
      <sz val="11"/>
      <color rgb="FFFF0000"/>
      <name val="Calibri"/>
    </font>
    <font>
      <b/>
      <sz val="10"/>
      <color rgb="FFFF0000"/>
      <name val="Arial"/>
      <family val="2"/>
      <charset val="204"/>
    </font>
    <font>
      <sz val="11"/>
      <color rgb="FFFF0000"/>
      <name val="Calibri"/>
    </font>
    <font>
      <sz val="10"/>
      <name val="Arial"/>
      <family val="2"/>
      <charset val="204"/>
    </font>
    <font>
      <b/>
      <sz val="11"/>
      <color rgb="FFFF0000"/>
      <name val="Calibri"/>
      <family val="2"/>
      <charset val="204"/>
    </font>
    <font>
      <b/>
      <sz val="11"/>
      <color theme="1"/>
      <name val="Calibri"/>
      <family val="2"/>
      <charset val="204"/>
      <scheme val="minor"/>
    </font>
    <font>
      <b/>
      <sz val="10"/>
      <name val="Arial"/>
      <family val="2"/>
      <charset val="204"/>
    </font>
    <font>
      <b/>
      <sz val="11"/>
      <name val="Calibri"/>
      <family val="2"/>
      <charset val="204"/>
    </font>
  </fonts>
  <fills count="11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2D050"/>
        <bgColor indexed="64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1"/>
    <xf numFmtId="0" fontId="1" fillId="0" borderId="1"/>
  </cellStyleXfs>
  <cellXfs count="33">
    <xf numFmtId="0" fontId="0" fillId="0" borderId="0" xfId="0" applyBorder="1"/>
    <xf numFmtId="164" fontId="1" fillId="0" borderId="1" xfId="1" applyNumberFormat="1"/>
    <xf numFmtId="164" fontId="2" fillId="2" borderId="1" xfId="1" applyNumberFormat="1" applyFont="1" applyFill="1"/>
    <xf numFmtId="164" fontId="3" fillId="2" borderId="1" xfId="1" applyNumberFormat="1" applyFont="1" applyFill="1"/>
    <xf numFmtId="164" fontId="1" fillId="3" borderId="1" xfId="1" applyNumberFormat="1" applyFill="1"/>
    <xf numFmtId="164" fontId="1" fillId="0" borderId="2" xfId="1" applyNumberFormat="1" applyBorder="1"/>
    <xf numFmtId="2" fontId="0" fillId="0" borderId="0" xfId="0" applyNumberFormat="1" applyBorder="1"/>
    <xf numFmtId="2" fontId="1" fillId="0" borderId="1" xfId="1" applyNumberFormat="1"/>
    <xf numFmtId="2" fontId="2" fillId="2" borderId="1" xfId="1" applyNumberFormat="1" applyFont="1" applyFill="1"/>
    <xf numFmtId="164" fontId="1" fillId="5" borderId="1" xfId="1" applyNumberFormat="1" applyFill="1"/>
    <xf numFmtId="2" fontId="1" fillId="5" borderId="1" xfId="1" applyNumberFormat="1" applyFill="1"/>
    <xf numFmtId="164" fontId="1" fillId="5" borderId="2" xfId="1" applyNumberFormat="1" applyFill="1" applyBorder="1"/>
    <xf numFmtId="164" fontId="4" fillId="4" borderId="1" xfId="1" applyNumberFormat="1" applyFont="1" applyFill="1"/>
    <xf numFmtId="164" fontId="5" fillId="6" borderId="1" xfId="1" applyNumberFormat="1" applyFont="1" applyFill="1"/>
    <xf numFmtId="164" fontId="1" fillId="7" borderId="1" xfId="1" applyNumberFormat="1" applyFill="1"/>
    <xf numFmtId="164" fontId="1" fillId="8" borderId="1" xfId="1" applyNumberFormat="1" applyFill="1"/>
    <xf numFmtId="164" fontId="1" fillId="4" borderId="1" xfId="1" applyNumberFormat="1" applyFill="1"/>
    <xf numFmtId="164" fontId="6" fillId="4" borderId="1" xfId="1" applyNumberFormat="1" applyFont="1" applyFill="1"/>
    <xf numFmtId="0" fontId="0" fillId="0" borderId="1" xfId="0"/>
    <xf numFmtId="164" fontId="1" fillId="9" borderId="2" xfId="1" applyNumberFormat="1" applyFill="1" applyBorder="1"/>
    <xf numFmtId="165" fontId="1" fillId="0" borderId="1" xfId="1" applyNumberFormat="1"/>
    <xf numFmtId="164" fontId="7" fillId="2" borderId="1" xfId="1" applyNumberFormat="1" applyFont="1" applyFill="1"/>
    <xf numFmtId="164" fontId="6" fillId="0" borderId="1" xfId="1" applyNumberFormat="1" applyFont="1"/>
    <xf numFmtId="164" fontId="1" fillId="10" borderId="1" xfId="1" applyNumberFormat="1" applyFill="1"/>
    <xf numFmtId="164" fontId="9" fillId="0" borderId="1" xfId="1" applyNumberFormat="1" applyFont="1"/>
    <xf numFmtId="164" fontId="10" fillId="2" borderId="1" xfId="1" applyNumberFormat="1" applyFont="1" applyFill="1"/>
    <xf numFmtId="164" fontId="9" fillId="3" borderId="1" xfId="1" applyNumberFormat="1" applyFont="1" applyFill="1"/>
    <xf numFmtId="164" fontId="9" fillId="5" borderId="1" xfId="1" applyNumberFormat="1" applyFont="1" applyFill="1"/>
    <xf numFmtId="0" fontId="8" fillId="0" borderId="1" xfId="0" applyFont="1"/>
    <xf numFmtId="0" fontId="0" fillId="0" borderId="3" xfId="0" applyBorder="1"/>
    <xf numFmtId="0" fontId="0" fillId="4" borderId="3" xfId="0" applyFill="1" applyBorder="1"/>
    <xf numFmtId="0" fontId="0" fillId="0" borderId="1" xfId="0" applyBorder="1"/>
    <xf numFmtId="0" fontId="8" fillId="0" borderId="1" xfId="0" applyFont="1" applyBorder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2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Father\Work\2025_05\2026\&#1047;&#1040;&#1042;&#1054;&#1044;&#1067;\&#1055;&#1054;&#1050;&#1054;&#1052;\&#1092;&#1080;&#1083;&#1080;&#1072;&#1083;&#1099;%20&#1053;&#1042;\08,26\20,08,26%20&#1055;&#1054;&#1050;&#1054;&#1052;%20&#1050;&#1048;\&#1076;&#1083;&#1103;%20&#1076;&#1086;&#1079;&#1072;&#1082;&#1072;&#1079;&#1072;%2022,08.xlsx" TargetMode="External"/><Relationship Id="rId1" Type="http://schemas.openxmlformats.org/officeDocument/2006/relationships/externalLinkPath" Target="&#1076;&#1083;&#1103;%20&#1076;&#1086;&#1079;&#1072;&#1082;&#1072;&#1079;&#1072;%2022,08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&#1050;&#1086;&#1087;&#1080;&#1103;%20&#1076;&#1074;%20200826%20&#1076;&#1085;&#1088;&#1089;&#1095;%20&#1087;&#1086;&#1082;%20&#1082;&#1080;%20&#1079;&#1072;&#1082;&#1072;&#1079;%20(&#1086;&#1090;%20&#1061;&#1084;&#1077;&#1083;&#1100;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Лист1"/>
    </sheetNames>
    <sheetDataSet>
      <sheetData sheetId="0">
        <row r="1">
          <cell r="A1" t="str">
            <v>SU003423</v>
          </cell>
        </row>
        <row r="2">
          <cell r="A2" t="str">
            <v>SU003422</v>
          </cell>
        </row>
        <row r="3">
          <cell r="A3" t="str">
            <v>SU003420</v>
          </cell>
        </row>
        <row r="4">
          <cell r="A4" t="str">
            <v>SU004238</v>
          </cell>
        </row>
        <row r="5">
          <cell r="A5" t="str">
            <v>SU002035</v>
          </cell>
        </row>
        <row r="6">
          <cell r="A6" t="str">
            <v>SU003689</v>
          </cell>
        </row>
        <row r="7">
          <cell r="A7" t="str">
            <v>SU001718</v>
          </cell>
        </row>
        <row r="8">
          <cell r="A8" t="str">
            <v>SU002634</v>
          </cell>
        </row>
        <row r="9">
          <cell r="A9" t="str">
            <v>SU002814</v>
          </cell>
        </row>
        <row r="10">
          <cell r="A10" t="str">
            <v>SU002815</v>
          </cell>
        </row>
        <row r="11">
          <cell r="A11" t="str">
            <v>SU002829</v>
          </cell>
        </row>
        <row r="12">
          <cell r="A12" t="str">
            <v>SU000126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"/>
    </sheetNames>
    <sheetDataSet>
      <sheetData sheetId="0">
        <row r="1">
          <cell r="A1"/>
          <cell r="B1"/>
          <cell r="C1"/>
          <cell r="D1"/>
          <cell r="E1"/>
          <cell r="F1"/>
          <cell r="G1"/>
          <cell r="H1"/>
          <cell r="I1"/>
          <cell r="J1"/>
          <cell r="K1"/>
          <cell r="L1"/>
          <cell r="M1"/>
          <cell r="N1"/>
          <cell r="O1"/>
          <cell r="P1"/>
          <cell r="Q1"/>
          <cell r="R1"/>
          <cell r="S1"/>
          <cell r="T1"/>
          <cell r="U1"/>
        </row>
        <row r="2">
          <cell r="A2"/>
          <cell r="B2"/>
          <cell r="C2"/>
          <cell r="D2"/>
          <cell r="E2"/>
          <cell r="F2"/>
          <cell r="G2"/>
          <cell r="H2"/>
          <cell r="I2"/>
          <cell r="J2"/>
          <cell r="K2"/>
          <cell r="L2"/>
          <cell r="M2"/>
          <cell r="N2"/>
          <cell r="O2"/>
          <cell r="P2"/>
          <cell r="Q2"/>
          <cell r="R2"/>
          <cell r="S2"/>
          <cell r="T2"/>
          <cell r="U2"/>
        </row>
        <row r="3">
          <cell r="A3" t="str">
            <v>Номенклатура</v>
          </cell>
          <cell r="B3" t="str">
            <v>Ед. изм.</v>
          </cell>
          <cell r="C3" t="str">
            <v>Начальный остаток</v>
          </cell>
          <cell r="D3" t="str">
            <v>Приход</v>
          </cell>
          <cell r="E3" t="str">
            <v>Расход</v>
          </cell>
          <cell r="F3" t="str">
            <v>Конечный остаток</v>
          </cell>
          <cell r="G3" t="str">
            <v>крат</v>
          </cell>
          <cell r="H3" t="str">
            <v>сроки</v>
          </cell>
          <cell r="I3" t="str">
            <v>метка</v>
          </cell>
          <cell r="J3" t="str">
            <v>метка2</v>
          </cell>
          <cell r="K3" t="str">
            <v>заяв</v>
          </cell>
          <cell r="L3" t="str">
            <v>разн</v>
          </cell>
          <cell r="M3" t="str">
            <v>без опта</v>
          </cell>
          <cell r="N3" t="str">
            <v>опт</v>
          </cell>
          <cell r="O3" t="str">
            <v>заказ в пути</v>
          </cell>
          <cell r="P3" t="str">
            <v>заказ в пути</v>
          </cell>
          <cell r="Q3" t="str">
            <v>заказ в пути</v>
          </cell>
          <cell r="R3" t="str">
            <v>заказ в пути</v>
          </cell>
          <cell r="S3" t="str">
            <v>ср нов</v>
          </cell>
          <cell r="T3" t="str">
            <v>расчет</v>
          </cell>
          <cell r="U3"/>
        </row>
        <row r="4">
          <cell r="A4"/>
          <cell r="B4"/>
          <cell r="C4"/>
          <cell r="D4"/>
          <cell r="E4"/>
          <cell r="F4"/>
          <cell r="G4"/>
          <cell r="H4"/>
          <cell r="I4"/>
          <cell r="J4"/>
          <cell r="K4"/>
          <cell r="L4"/>
          <cell r="M4"/>
          <cell r="N4"/>
          <cell r="O4" t="str">
            <v>18,08,</v>
          </cell>
          <cell r="P4" t="str">
            <v>18,08,недогр</v>
          </cell>
          <cell r="Q4" t="str">
            <v>22,08,</v>
          </cell>
          <cell r="R4" t="str">
            <v>23,08,</v>
          </cell>
          <cell r="S4" t="str">
            <v>20,08,</v>
          </cell>
          <cell r="T4"/>
          <cell r="U4"/>
        </row>
        <row r="5">
          <cell r="A5"/>
          <cell r="B5"/>
          <cell r="C5"/>
          <cell r="D5"/>
          <cell r="E5">
            <v>73581.433000000019</v>
          </cell>
          <cell r="F5">
            <v>46657.596999999994</v>
          </cell>
          <cell r="G5"/>
          <cell r="H5"/>
          <cell r="I5"/>
          <cell r="J5"/>
          <cell r="K5">
            <v>92199.357999999949</v>
          </cell>
          <cell r="L5">
            <v>-18617.925000000003</v>
          </cell>
          <cell r="M5">
            <v>58637.696000000018</v>
          </cell>
          <cell r="N5">
            <v>14943.736999999999</v>
          </cell>
          <cell r="O5">
            <v>19603.011368952004</v>
          </cell>
          <cell r="P5">
            <v>-1273.5</v>
          </cell>
          <cell r="Q5">
            <v>22586.476596293371</v>
          </cell>
          <cell r="R5">
            <v>20743.400047946052</v>
          </cell>
          <cell r="S5">
            <v>11727.539200000003</v>
          </cell>
          <cell r="T5">
            <v>30243.415234286313</v>
          </cell>
          <cell r="U5"/>
        </row>
        <row r="6">
          <cell r="A6" t="str">
            <v xml:space="preserve"> 005  Колбаса Докторская ГОСТ, Вязанка вектор,ВЕС. ПОКОМ</v>
          </cell>
          <cell r="B6" t="str">
            <v>кг</v>
          </cell>
          <cell r="C6">
            <v>2019.1469999999999</v>
          </cell>
          <cell r="D6">
            <v>3887.194</v>
          </cell>
          <cell r="E6">
            <v>2033.1679999999999</v>
          </cell>
          <cell r="F6">
            <v>2734.6849999999999</v>
          </cell>
          <cell r="G6">
            <v>1</v>
          </cell>
          <cell r="H6">
            <v>50</v>
          </cell>
          <cell r="I6" t="str">
            <v>матрица</v>
          </cell>
          <cell r="J6"/>
          <cell r="K6">
            <v>2268.741</v>
          </cell>
          <cell r="L6">
            <v>-235.57300000000009</v>
          </cell>
          <cell r="M6">
            <v>1628.1079999999999</v>
          </cell>
          <cell r="N6">
            <v>405.06</v>
          </cell>
          <cell r="O6">
            <v>571.67824957775997</v>
          </cell>
          <cell r="P6"/>
          <cell r="Q6">
            <v>215.47622976</v>
          </cell>
          <cell r="R6">
            <v>267.65433023999998</v>
          </cell>
          <cell r="S6">
            <v>325.6216</v>
          </cell>
          <cell r="T6">
            <v>117.96539042224003</v>
          </cell>
          <cell r="U6"/>
        </row>
        <row r="7">
          <cell r="A7" t="str">
            <v xml:space="preserve"> 016  Сосиски Вязанка Молочные, Вязанка вискофан  ВЕС.ПОКОМ</v>
          </cell>
          <cell r="B7" t="str">
            <v>кг</v>
          </cell>
          <cell r="C7">
            <v>473.78399999999999</v>
          </cell>
          <cell r="D7">
            <v>2893.569</v>
          </cell>
          <cell r="E7">
            <v>1688.492</v>
          </cell>
          <cell r="F7">
            <v>1204.04</v>
          </cell>
          <cell r="G7">
            <v>1</v>
          </cell>
          <cell r="H7">
            <v>45</v>
          </cell>
          <cell r="I7" t="str">
            <v>матрица</v>
          </cell>
          <cell r="J7"/>
          <cell r="K7">
            <v>1499.1020000000001</v>
          </cell>
          <cell r="L7">
            <v>189.38999999999987</v>
          </cell>
          <cell r="M7">
            <v>1081.529</v>
          </cell>
          <cell r="N7">
            <v>606.96299999999997</v>
          </cell>
          <cell r="O7">
            <v>753.70391199999995</v>
          </cell>
          <cell r="P7"/>
          <cell r="Q7">
            <v>200.7</v>
          </cell>
          <cell r="R7">
            <v>249.3</v>
          </cell>
          <cell r="S7">
            <v>216.3058</v>
          </cell>
          <cell r="T7">
            <v>187.92568800000026</v>
          </cell>
          <cell r="U7"/>
        </row>
        <row r="8">
          <cell r="A8" t="str">
            <v xml:space="preserve"> 017  Сосиски Вязанка Сливочные, Вязанка амицел ВЕС.ПОКОМ</v>
          </cell>
          <cell r="B8" t="str">
            <v>кг</v>
          </cell>
          <cell r="C8">
            <v>2754.893</v>
          </cell>
          <cell r="D8">
            <v>6282.7259999999997</v>
          </cell>
          <cell r="E8">
            <v>4646.4849999999997</v>
          </cell>
          <cell r="F8">
            <v>2260.8630000000003</v>
          </cell>
          <cell r="G8">
            <v>1</v>
          </cell>
          <cell r="H8">
            <v>45</v>
          </cell>
          <cell r="I8" t="str">
            <v>матрица</v>
          </cell>
          <cell r="J8"/>
          <cell r="K8">
            <v>4805.0240000000003</v>
          </cell>
          <cell r="L8">
            <v>-158.53900000000067</v>
          </cell>
          <cell r="M8">
            <v>2732.1219999999994</v>
          </cell>
          <cell r="N8">
            <v>1914.3630000000001</v>
          </cell>
          <cell r="O8">
            <v>976.73630996240047</v>
          </cell>
          <cell r="P8"/>
          <cell r="Q8">
            <v>1024.615398301479</v>
          </cell>
          <cell r="R8">
            <v>1272.728544078519</v>
          </cell>
          <cell r="S8">
            <v>546.42439999999988</v>
          </cell>
          <cell r="T8">
            <v>1022.1495476575997</v>
          </cell>
          <cell r="U8"/>
        </row>
        <row r="9">
          <cell r="A9" t="str">
            <v xml:space="preserve"> 023  Колбаса Докторская ГОСТ, Вязанка вектор, 0,4 кг, ПОКОМ</v>
          </cell>
          <cell r="B9" t="str">
            <v>шт</v>
          </cell>
          <cell r="C9">
            <v>23</v>
          </cell>
          <cell r="D9">
            <v>10</v>
          </cell>
          <cell r="E9">
            <v>7</v>
          </cell>
          <cell r="F9">
            <v>18</v>
          </cell>
          <cell r="G9">
            <v>0.4</v>
          </cell>
          <cell r="H9">
            <v>50</v>
          </cell>
          <cell r="I9" t="str">
            <v>матрица</v>
          </cell>
          <cell r="J9"/>
          <cell r="K9">
            <v>14</v>
          </cell>
          <cell r="L9">
            <v>-7</v>
          </cell>
          <cell r="M9">
            <v>7</v>
          </cell>
          <cell r="N9"/>
          <cell r="O9"/>
          <cell r="P9"/>
          <cell r="Q9">
            <v>0</v>
          </cell>
          <cell r="R9"/>
          <cell r="S9">
            <v>1.4</v>
          </cell>
          <cell r="T9"/>
          <cell r="U9"/>
        </row>
        <row r="10">
          <cell r="A10" t="str">
            <v xml:space="preserve"> 030  Сосиски Вязанка Молочные, Вязанка вискофан МГС, 0.45кг, ПОКОМ</v>
          </cell>
          <cell r="B10" t="str">
            <v>шт</v>
          </cell>
          <cell r="C10">
            <v>1956.55</v>
          </cell>
          <cell r="D10">
            <v>2792</v>
          </cell>
          <cell r="E10">
            <v>2608.174</v>
          </cell>
          <cell r="F10">
            <v>615.37599999999998</v>
          </cell>
          <cell r="G10">
            <v>0.45</v>
          </cell>
          <cell r="H10">
            <v>45</v>
          </cell>
          <cell r="I10" t="str">
            <v>ВНИМАНИЕ / матрица</v>
          </cell>
          <cell r="J10"/>
          <cell r="K10">
            <v>3201</v>
          </cell>
          <cell r="L10">
            <v>-592.82600000000002</v>
          </cell>
          <cell r="M10">
            <v>2464.174</v>
          </cell>
          <cell r="N10">
            <v>144</v>
          </cell>
          <cell r="O10">
            <v>907.60799999999995</v>
          </cell>
          <cell r="P10"/>
          <cell r="Q10">
            <v>535.19999999999993</v>
          </cell>
          <cell r="R10">
            <v>664.80000000000007</v>
          </cell>
          <cell r="S10">
            <v>492.83479999999997</v>
          </cell>
          <cell r="T10">
            <v>2000</v>
          </cell>
          <cell r="U10"/>
        </row>
        <row r="11">
          <cell r="A11" t="str">
            <v xml:space="preserve"> 032  Сосиски Вязанка Сливочные, Вязанка амицел МГС, 0.45кг, ПОКОМ</v>
          </cell>
          <cell r="B11" t="str">
            <v>шт</v>
          </cell>
          <cell r="C11">
            <v>5853.0209999999997</v>
          </cell>
          <cell r="D11">
            <v>2392</v>
          </cell>
          <cell r="E11">
            <v>4360.366</v>
          </cell>
          <cell r="F11">
            <v>1646.655</v>
          </cell>
          <cell r="G11">
            <v>0.45</v>
          </cell>
          <cell r="H11">
            <v>45</v>
          </cell>
          <cell r="I11" t="str">
            <v>ВНИМАНИЕ / матрица</v>
          </cell>
          <cell r="J11"/>
          <cell r="K11">
            <v>4886</v>
          </cell>
          <cell r="L11">
            <v>-525.63400000000001</v>
          </cell>
          <cell r="M11">
            <v>3424.366</v>
          </cell>
          <cell r="N11">
            <v>936</v>
          </cell>
          <cell r="O11">
            <v>260</v>
          </cell>
          <cell r="P11"/>
          <cell r="Q11">
            <v>356.8</v>
          </cell>
          <cell r="R11">
            <v>443.2</v>
          </cell>
          <cell r="S11">
            <v>684.8732</v>
          </cell>
          <cell r="T11">
            <v>4826.9502000000002</v>
          </cell>
          <cell r="U11"/>
        </row>
        <row r="12">
          <cell r="A12" t="str">
            <v xml:space="preserve"> 047  Кол Баварская, белков.обол. в термоусад. пакете 0.17 кг, ТМ Стародворье  ПОКОМ</v>
          </cell>
          <cell r="B12" t="str">
            <v>шт</v>
          </cell>
          <cell r="C12">
            <v>282</v>
          </cell>
          <cell r="D12">
            <v>37</v>
          </cell>
          <cell r="E12">
            <v>119</v>
          </cell>
          <cell r="F12">
            <v>126</v>
          </cell>
          <cell r="G12">
            <v>0.17</v>
          </cell>
          <cell r="H12">
            <v>180</v>
          </cell>
          <cell r="I12" t="str">
            <v>матрица</v>
          </cell>
          <cell r="J12"/>
          <cell r="K12">
            <v>149</v>
          </cell>
          <cell r="L12">
            <v>-30</v>
          </cell>
          <cell r="M12">
            <v>89</v>
          </cell>
          <cell r="N12">
            <v>30</v>
          </cell>
          <cell r="O12"/>
          <cell r="P12"/>
          <cell r="Q12">
            <v>0</v>
          </cell>
          <cell r="R12"/>
          <cell r="S12">
            <v>17.8</v>
          </cell>
          <cell r="T12">
            <v>87.600000000000023</v>
          </cell>
          <cell r="U12"/>
        </row>
        <row r="13">
          <cell r="A13" t="str">
            <v xml:space="preserve"> 062  Колбаса Кракушка пряная с сальцем, 0.3кг в/у п/к, БАВАРУШКА ПОКОМ</v>
          </cell>
          <cell r="B13" t="str">
            <v>шт</v>
          </cell>
          <cell r="C13">
            <v>96</v>
          </cell>
          <cell r="D13">
            <v>9</v>
          </cell>
          <cell r="E13">
            <v>60</v>
          </cell>
          <cell r="F13">
            <v>19</v>
          </cell>
          <cell r="G13">
            <v>0.3</v>
          </cell>
          <cell r="H13">
            <v>40</v>
          </cell>
          <cell r="I13" t="str">
            <v>матрица</v>
          </cell>
          <cell r="J13"/>
          <cell r="K13">
            <v>80</v>
          </cell>
          <cell r="L13">
            <v>-20</v>
          </cell>
          <cell r="M13">
            <v>60</v>
          </cell>
          <cell r="N13"/>
          <cell r="O13"/>
          <cell r="P13"/>
          <cell r="Q13">
            <v>75</v>
          </cell>
          <cell r="R13"/>
          <cell r="S13">
            <v>12</v>
          </cell>
          <cell r="T13">
            <v>50</v>
          </cell>
          <cell r="U13"/>
        </row>
        <row r="14">
          <cell r="A14" t="str">
            <v xml:space="preserve"> 083  Колбаса Швейцарская 0,17 кг., ШТ., сырокопченая   ПОКОМ</v>
          </cell>
          <cell r="B14" t="str">
            <v>шт</v>
          </cell>
          <cell r="C14">
            <v>383</v>
          </cell>
          <cell r="D14">
            <v>103</v>
          </cell>
          <cell r="E14">
            <v>297</v>
          </cell>
          <cell r="F14">
            <v>6</v>
          </cell>
          <cell r="G14">
            <v>0.17</v>
          </cell>
          <cell r="H14">
            <v>180</v>
          </cell>
          <cell r="I14" t="str">
            <v>матрица</v>
          </cell>
          <cell r="J14"/>
          <cell r="K14">
            <v>397</v>
          </cell>
          <cell r="L14">
            <v>-100</v>
          </cell>
          <cell r="M14">
            <v>87</v>
          </cell>
          <cell r="N14">
            <v>210</v>
          </cell>
          <cell r="O14"/>
          <cell r="P14"/>
          <cell r="Q14">
            <v>151.99999999999989</v>
          </cell>
          <cell r="R14"/>
          <cell r="S14">
            <v>17.399999999999999</v>
          </cell>
          <cell r="T14">
            <v>50.800000000000097</v>
          </cell>
          <cell r="U14"/>
        </row>
        <row r="15">
          <cell r="A15" t="str">
            <v xml:space="preserve"> 103  Сосиски Классические, 0.42кг,ядрена копотьПОКОМ</v>
          </cell>
          <cell r="B15" t="str">
            <v>шт</v>
          </cell>
          <cell r="C15">
            <v>336</v>
          </cell>
          <cell r="D15">
            <v>2</v>
          </cell>
          <cell r="E15">
            <v>5</v>
          </cell>
          <cell r="F15">
            <v>272</v>
          </cell>
          <cell r="G15">
            <v>0</v>
          </cell>
          <cell r="H15"/>
          <cell r="I15" t="str">
            <v>не в матрице</v>
          </cell>
          <cell r="J15"/>
          <cell r="K15">
            <v>53</v>
          </cell>
          <cell r="L15">
            <v>-48</v>
          </cell>
          <cell r="M15">
            <v>5</v>
          </cell>
          <cell r="N15"/>
          <cell r="O15"/>
          <cell r="P15"/>
          <cell r="Q15">
            <v>0</v>
          </cell>
          <cell r="R15"/>
          <cell r="S15">
            <v>1</v>
          </cell>
          <cell r="T15"/>
          <cell r="U15"/>
        </row>
        <row r="16">
          <cell r="A16" t="str">
            <v xml:space="preserve"> 200  Ветчина Дугушка ТМ Стародворье, вектор в/у    ПОКОМ</v>
          </cell>
          <cell r="B16" t="str">
            <v>кг</v>
          </cell>
          <cell r="C16">
            <v>3949.2420000000002</v>
          </cell>
          <cell r="D16">
            <v>5740.3339999999998</v>
          </cell>
          <cell r="E16">
            <v>4270.7960000000003</v>
          </cell>
          <cell r="F16">
            <v>3018.5230000000001</v>
          </cell>
          <cell r="G16">
            <v>1</v>
          </cell>
          <cell r="H16">
            <v>70</v>
          </cell>
          <cell r="I16" t="str">
            <v>матрица</v>
          </cell>
          <cell r="J16"/>
          <cell r="K16">
            <v>4821.759</v>
          </cell>
          <cell r="L16">
            <v>-550.96299999999974</v>
          </cell>
          <cell r="M16">
            <v>2883.3020000000006</v>
          </cell>
          <cell r="N16">
            <v>1387.4939999999999</v>
          </cell>
          <cell r="O16">
            <v>1598.80850351872</v>
          </cell>
          <cell r="P16"/>
          <cell r="Q16">
            <v>267.60000000000002</v>
          </cell>
          <cell r="R16">
            <v>332.4</v>
          </cell>
          <cell r="S16">
            <v>576.6604000000001</v>
          </cell>
          <cell r="T16">
            <v>1702.593296481281</v>
          </cell>
          <cell r="U16"/>
        </row>
        <row r="17">
          <cell r="A17" t="str">
            <v xml:space="preserve"> 201  Ветчина Нежная ТМ Особый рецепт, (2,5кг), ПОКОМ</v>
          </cell>
          <cell r="B17" t="str">
            <v>кг</v>
          </cell>
          <cell r="C17">
            <v>3045.259</v>
          </cell>
          <cell r="D17">
            <v>3464.7330000000002</v>
          </cell>
          <cell r="E17">
            <v>3118.3069999999998</v>
          </cell>
          <cell r="F17">
            <v>1311.933</v>
          </cell>
          <cell r="G17">
            <v>1</v>
          </cell>
          <cell r="H17">
            <v>50</v>
          </cell>
          <cell r="I17" t="str">
            <v>матрица</v>
          </cell>
          <cell r="J17"/>
          <cell r="K17">
            <v>4089.0889999999999</v>
          </cell>
          <cell r="L17">
            <v>-970.78200000000015</v>
          </cell>
          <cell r="M17">
            <v>1418.0369999999998</v>
          </cell>
          <cell r="N17">
            <v>1700.27</v>
          </cell>
          <cell r="O17">
            <v>270.40264458688011</v>
          </cell>
          <cell r="P17"/>
          <cell r="Q17">
            <v>888.46132639817574</v>
          </cell>
          <cell r="R17">
            <v>1103.604427857824</v>
          </cell>
          <cell r="S17">
            <v>283.60739999999998</v>
          </cell>
          <cell r="T17"/>
          <cell r="U17"/>
        </row>
        <row r="18">
          <cell r="A18" t="str">
            <v xml:space="preserve"> 215  Колбаса Докторская ГОСТ Дугушка, ВЕС, ТМ Стародворье ПОКОМ</v>
          </cell>
          <cell r="B18" t="str">
            <v>кг</v>
          </cell>
          <cell r="C18">
            <v>328.6</v>
          </cell>
          <cell r="D18">
            <v>310.21800000000002</v>
          </cell>
          <cell r="E18">
            <v>448.40499999999997</v>
          </cell>
          <cell r="F18">
            <v>-10.763999999999999</v>
          </cell>
          <cell r="G18">
            <v>1</v>
          </cell>
          <cell r="H18">
            <v>60</v>
          </cell>
          <cell r="I18" t="str">
            <v>матрица</v>
          </cell>
          <cell r="J18"/>
          <cell r="K18">
            <v>523.84400000000005</v>
          </cell>
          <cell r="L18">
            <v>-75.439000000000078</v>
          </cell>
          <cell r="M18">
            <v>146.16099999999994</v>
          </cell>
          <cell r="N18">
            <v>302.24400000000003</v>
          </cell>
          <cell r="O18"/>
          <cell r="P18"/>
          <cell r="Q18">
            <v>211.8583999999999</v>
          </cell>
          <cell r="R18"/>
          <cell r="S18">
            <v>29.232199999999988</v>
          </cell>
          <cell r="T18">
            <v>149.69199999999995</v>
          </cell>
          <cell r="U18"/>
        </row>
        <row r="19">
          <cell r="A19" t="str">
            <v xml:space="preserve"> 219  Колбаса Докторская Особая ТМ Особый рецепт, ВЕС  ПОКОМ</v>
          </cell>
          <cell r="B19" t="str">
            <v>кг</v>
          </cell>
          <cell r="C19">
            <v>-4.9740000000000002</v>
          </cell>
          <cell r="D19"/>
          <cell r="E19">
            <v>1.7549999999999999</v>
          </cell>
          <cell r="F19">
            <v>-27.492999999999999</v>
          </cell>
          <cell r="G19">
            <v>0</v>
          </cell>
          <cell r="H19"/>
          <cell r="I19" t="str">
            <v>не в матрице</v>
          </cell>
          <cell r="J19" t="str">
            <v xml:space="preserve"> 597  Колбаса Классическая ТМ Особый рецепт в оболочке полиамид ВЕС. ПОКОМ</v>
          </cell>
          <cell r="K19">
            <v>22.5</v>
          </cell>
          <cell r="L19">
            <v>-20.745000000000001</v>
          </cell>
          <cell r="M19">
            <v>1.7549999999999999</v>
          </cell>
          <cell r="N19"/>
          <cell r="O19"/>
          <cell r="P19"/>
          <cell r="Q19">
            <v>0</v>
          </cell>
          <cell r="R19"/>
          <cell r="S19">
            <v>0.35099999999999998</v>
          </cell>
          <cell r="T19"/>
          <cell r="U19"/>
        </row>
        <row r="20">
          <cell r="A20" t="str">
            <v xml:space="preserve"> 225  Колбаса Дугушка со шпиком, ВЕС, ТМ Стародворье   ПОКОМ</v>
          </cell>
          <cell r="B20" t="str">
            <v>кг</v>
          </cell>
          <cell r="C20"/>
          <cell r="D20"/>
          <cell r="E20"/>
          <cell r="F20"/>
          <cell r="G20">
            <v>0</v>
          </cell>
          <cell r="H20"/>
          <cell r="I20" t="str">
            <v>матрица</v>
          </cell>
          <cell r="J20"/>
          <cell r="K20"/>
          <cell r="L20">
            <v>0</v>
          </cell>
          <cell r="M20">
            <v>0</v>
          </cell>
          <cell r="N20"/>
          <cell r="O20"/>
          <cell r="P20"/>
          <cell r="Q20">
            <v>0</v>
          </cell>
          <cell r="R20"/>
          <cell r="S20">
            <v>0</v>
          </cell>
          <cell r="T20"/>
          <cell r="U20"/>
        </row>
        <row r="21">
          <cell r="A21" t="str">
            <v xml:space="preserve"> 226  Колбаса Княжеская, с/к белков.обол в термоусад. пакете, ВЕС, ТМ Стародворье ПОКОМ</v>
          </cell>
          <cell r="B21" t="str">
            <v>кг</v>
          </cell>
          <cell r="C21">
            <v>4.0739999999999998</v>
          </cell>
          <cell r="D21">
            <v>20.452000000000002</v>
          </cell>
          <cell r="E21">
            <v>4.4169999999999998</v>
          </cell>
          <cell r="F21">
            <v>21.475999999999999</v>
          </cell>
          <cell r="G21">
            <v>1</v>
          </cell>
          <cell r="H21">
            <v>180</v>
          </cell>
          <cell r="I21" t="str">
            <v>матрица</v>
          </cell>
          <cell r="J21"/>
          <cell r="K21">
            <v>3.2</v>
          </cell>
          <cell r="L21">
            <v>1.2169999999999996</v>
          </cell>
          <cell r="M21">
            <v>4.4169999999999998</v>
          </cell>
          <cell r="N21"/>
          <cell r="O21"/>
          <cell r="P21"/>
          <cell r="Q21">
            <v>0</v>
          </cell>
          <cell r="R21"/>
          <cell r="S21">
            <v>0.88339999999999996</v>
          </cell>
          <cell r="T21"/>
          <cell r="U21"/>
        </row>
        <row r="22">
          <cell r="A22" t="str">
            <v xml:space="preserve"> 229  Колбаса Молочная Дугушка, в/у, ВЕС, ТМ Стародворье   ПОКОМ</v>
          </cell>
          <cell r="B22" t="str">
            <v>кг</v>
          </cell>
          <cell r="C22">
            <v>4132.4440000000004</v>
          </cell>
          <cell r="D22">
            <v>9744.6650000000009</v>
          </cell>
          <cell r="E22">
            <v>5972.8879999999999</v>
          </cell>
          <cell r="F22">
            <v>5774.89</v>
          </cell>
          <cell r="G22">
            <v>1</v>
          </cell>
          <cell r="H22">
            <v>60</v>
          </cell>
          <cell r="I22" t="str">
            <v>матрица</v>
          </cell>
          <cell r="J22"/>
          <cell r="K22">
            <v>5380.9189999999999</v>
          </cell>
          <cell r="L22">
            <v>591.96900000000005</v>
          </cell>
          <cell r="M22">
            <v>5972.8879999999999</v>
          </cell>
          <cell r="N22"/>
          <cell r="O22">
            <v>3489.2332883200011</v>
          </cell>
          <cell r="P22"/>
          <cell r="Q22">
            <v>1826.1224807039989</v>
          </cell>
          <cell r="R22">
            <v>2268.3225432959989</v>
          </cell>
          <cell r="S22">
            <v>1194.5776000000001</v>
          </cell>
          <cell r="T22">
            <v>976.36288768000031</v>
          </cell>
          <cell r="U22"/>
        </row>
        <row r="23">
          <cell r="A23" t="str">
            <v xml:space="preserve"> 230  Колбаса Молочная Особая ТМ Особый рецепт, п/а, ВЕС. ПОКОМ</v>
          </cell>
          <cell r="B23" t="str">
            <v>кг</v>
          </cell>
          <cell r="C23">
            <v>-7.4930000000000003</v>
          </cell>
          <cell r="D23"/>
          <cell r="E23">
            <v>4.97</v>
          </cell>
          <cell r="F23">
            <v>-12.462999999999999</v>
          </cell>
          <cell r="G23">
            <v>0</v>
          </cell>
          <cell r="H23"/>
          <cell r="I23" t="str">
            <v>не в матрице</v>
          </cell>
          <cell r="J23" t="str">
            <v xml:space="preserve"> 457  Колбаса Молочная ТМ Особый рецепт ВЕС большой батон  ПОКОМ</v>
          </cell>
          <cell r="K23">
            <v>5</v>
          </cell>
          <cell r="L23">
            <v>-3.0000000000000249E-2</v>
          </cell>
          <cell r="M23">
            <v>4.97</v>
          </cell>
          <cell r="N23"/>
          <cell r="O23"/>
          <cell r="P23"/>
          <cell r="Q23">
            <v>0</v>
          </cell>
          <cell r="R23"/>
          <cell r="S23">
            <v>0.99399999999999999</v>
          </cell>
          <cell r="T23"/>
          <cell r="U23"/>
        </row>
        <row r="24">
          <cell r="A24" t="str">
            <v xml:space="preserve"> 236  Колбаса Рубленая ЗАПЕЧ. Дугушка ТМ Стародворье, вектор, в/к    ПОКОМ</v>
          </cell>
          <cell r="B24" t="str">
            <v>кг</v>
          </cell>
          <cell r="C24">
            <v>335.72899999999998</v>
          </cell>
          <cell r="D24">
            <v>1254.8689999999999</v>
          </cell>
          <cell r="E24">
            <v>209.511</v>
          </cell>
          <cell r="F24">
            <v>583.08699999999999</v>
          </cell>
          <cell r="G24">
            <v>1</v>
          </cell>
          <cell r="H24">
            <v>70</v>
          </cell>
          <cell r="I24" t="str">
            <v>матрица</v>
          </cell>
          <cell r="J24"/>
          <cell r="K24">
            <v>1037.5450000000001</v>
          </cell>
          <cell r="L24">
            <v>-828.03400000000011</v>
          </cell>
          <cell r="M24">
            <v>108.401</v>
          </cell>
          <cell r="N24">
            <v>101.11</v>
          </cell>
          <cell r="O24"/>
          <cell r="P24"/>
          <cell r="Q24">
            <v>0</v>
          </cell>
          <cell r="R24"/>
          <cell r="S24">
            <v>21.680199999999999</v>
          </cell>
          <cell r="T24"/>
          <cell r="U24"/>
        </row>
        <row r="25">
          <cell r="A25" t="str">
            <v xml:space="preserve"> 239  Колбаса Салями запеч Дугушка, оболочка вектор, ВЕС, ТМ Стародворье  ПОКОМ</v>
          </cell>
          <cell r="B25" t="str">
            <v>кг</v>
          </cell>
          <cell r="C25">
            <v>1316.174</v>
          </cell>
          <cell r="D25">
            <v>1676.538</v>
          </cell>
          <cell r="E25">
            <v>1398.375</v>
          </cell>
          <cell r="F25">
            <v>990.20899999999995</v>
          </cell>
          <cell r="G25">
            <v>1</v>
          </cell>
          <cell r="H25">
            <v>70</v>
          </cell>
          <cell r="I25" t="str">
            <v>матрица</v>
          </cell>
          <cell r="J25"/>
          <cell r="K25">
            <v>1519.923</v>
          </cell>
          <cell r="L25">
            <v>-121.548</v>
          </cell>
          <cell r="M25">
            <v>1063.414</v>
          </cell>
          <cell r="N25">
            <v>334.96100000000001</v>
          </cell>
          <cell r="O25">
            <v>457.30278177584012</v>
          </cell>
          <cell r="P25"/>
          <cell r="Q25">
            <v>322.91478138456802</v>
          </cell>
          <cell r="R25">
            <v>401.10939212343197</v>
          </cell>
          <cell r="S25">
            <v>212.68279999999999</v>
          </cell>
          <cell r="T25">
            <v>380.65764471615955</v>
          </cell>
          <cell r="U25"/>
        </row>
        <row r="26">
          <cell r="A26" t="str">
            <v xml:space="preserve"> 240  Колбаса Салями охотничья, ВЕС. ПОКОМ</v>
          </cell>
          <cell r="B26" t="str">
            <v>кг</v>
          </cell>
          <cell r="C26"/>
          <cell r="D26"/>
          <cell r="E26"/>
          <cell r="F26"/>
          <cell r="G26">
            <v>0</v>
          </cell>
          <cell r="H26"/>
          <cell r="I26" t="str">
            <v>матрица</v>
          </cell>
          <cell r="J26"/>
          <cell r="K26"/>
          <cell r="L26">
            <v>0</v>
          </cell>
          <cell r="M26">
            <v>0</v>
          </cell>
          <cell r="N26"/>
          <cell r="O26"/>
          <cell r="P26"/>
          <cell r="Q26">
            <v>0</v>
          </cell>
          <cell r="R26"/>
          <cell r="S26">
            <v>0</v>
          </cell>
          <cell r="T26"/>
          <cell r="U26"/>
        </row>
        <row r="27">
          <cell r="A27" t="str">
            <v xml:space="preserve"> 242  Колбаса Сервелат ЗАПЕЧ.Дугушка ТМ Стародворье, вектор, в/к     ПОКОМ</v>
          </cell>
          <cell r="B27" t="str">
            <v>кг</v>
          </cell>
          <cell r="C27">
            <v>2323.6109999999999</v>
          </cell>
          <cell r="D27">
            <v>2015.317</v>
          </cell>
          <cell r="E27">
            <v>2505.23</v>
          </cell>
          <cell r="F27">
            <v>633.43299999999999</v>
          </cell>
          <cell r="G27">
            <v>1</v>
          </cell>
          <cell r="H27">
            <v>70</v>
          </cell>
          <cell r="I27" t="str">
            <v>матрица</v>
          </cell>
          <cell r="J27"/>
          <cell r="K27">
            <v>2693.62</v>
          </cell>
          <cell r="L27">
            <v>-188.38999999999987</v>
          </cell>
          <cell r="M27">
            <v>1782.2339999999999</v>
          </cell>
          <cell r="N27">
            <v>722.99599999999998</v>
          </cell>
          <cell r="O27">
            <v>416</v>
          </cell>
          <cell r="P27"/>
          <cell r="Q27">
            <v>1084.23770304</v>
          </cell>
          <cell r="R27">
            <v>1346.7885369600001</v>
          </cell>
          <cell r="S27">
            <v>356.4468</v>
          </cell>
          <cell r="T27">
            <v>796.90236000000027</v>
          </cell>
          <cell r="U27"/>
        </row>
        <row r="28">
          <cell r="A28" t="str">
            <v xml:space="preserve"> 244  Колбаса Сервелат Кремлевский, ВЕС. ПОКОМ</v>
          </cell>
          <cell r="B28" t="str">
            <v>кг</v>
          </cell>
          <cell r="C28">
            <v>81.498000000000005</v>
          </cell>
          <cell r="D28"/>
          <cell r="E28">
            <v>6.5110000000000001</v>
          </cell>
          <cell r="F28">
            <v>69.201999999999998</v>
          </cell>
          <cell r="G28">
            <v>1</v>
          </cell>
          <cell r="H28">
            <v>40</v>
          </cell>
          <cell r="I28" t="str">
            <v>матрица</v>
          </cell>
          <cell r="J28"/>
          <cell r="K28">
            <v>7.2</v>
          </cell>
          <cell r="L28">
            <v>-0.68900000000000006</v>
          </cell>
          <cell r="M28">
            <v>6.5110000000000001</v>
          </cell>
          <cell r="N28"/>
          <cell r="O28"/>
          <cell r="P28"/>
          <cell r="Q28">
            <v>0</v>
          </cell>
          <cell r="R28"/>
          <cell r="S28">
            <v>1.3022</v>
          </cell>
          <cell r="T28"/>
          <cell r="U28"/>
        </row>
        <row r="29">
          <cell r="A29" t="str">
            <v xml:space="preserve"> 247  Сардельки Нежные, ВЕС.  ПОКОМ</v>
          </cell>
          <cell r="B29" t="str">
            <v>кг</v>
          </cell>
          <cell r="C29"/>
          <cell r="D29"/>
          <cell r="E29"/>
          <cell r="F29"/>
          <cell r="G29">
            <v>0</v>
          </cell>
          <cell r="H29"/>
          <cell r="I29" t="str">
            <v>матрица</v>
          </cell>
          <cell r="J29"/>
          <cell r="K29"/>
          <cell r="L29">
            <v>0</v>
          </cell>
          <cell r="M29">
            <v>0</v>
          </cell>
          <cell r="N29"/>
          <cell r="O29"/>
          <cell r="P29"/>
          <cell r="Q29">
            <v>0</v>
          </cell>
          <cell r="R29"/>
          <cell r="S29">
            <v>0</v>
          </cell>
          <cell r="T29"/>
          <cell r="U29"/>
        </row>
        <row r="30">
          <cell r="A30" t="str">
            <v xml:space="preserve"> 248  Сардельки Сочные ТМ Особый рецепт,   ПОКОМ</v>
          </cell>
          <cell r="B30" t="str">
            <v>кг</v>
          </cell>
          <cell r="C30"/>
          <cell r="D30"/>
          <cell r="E30"/>
          <cell r="F30"/>
          <cell r="G30">
            <v>0</v>
          </cell>
          <cell r="H30"/>
          <cell r="I30" t="str">
            <v>матрица</v>
          </cell>
          <cell r="J30"/>
          <cell r="K30"/>
          <cell r="L30">
            <v>0</v>
          </cell>
          <cell r="M30">
            <v>0</v>
          </cell>
          <cell r="N30"/>
          <cell r="O30"/>
          <cell r="P30"/>
          <cell r="Q30">
            <v>0</v>
          </cell>
          <cell r="R30"/>
          <cell r="S30">
            <v>0</v>
          </cell>
          <cell r="T30"/>
          <cell r="U30"/>
        </row>
        <row r="31">
          <cell r="A31" t="str">
            <v xml:space="preserve"> 250  Сардельки стародворские с говядиной в обол. NDX, ВЕС. ПОКОМ</v>
          </cell>
          <cell r="B31" t="str">
            <v>кг</v>
          </cell>
          <cell r="C31">
            <v>1400.299</v>
          </cell>
          <cell r="D31">
            <v>2826.5219999999999</v>
          </cell>
          <cell r="E31">
            <v>3172.8249999999998</v>
          </cell>
          <cell r="F31">
            <v>187.90199999999999</v>
          </cell>
          <cell r="G31">
            <v>1</v>
          </cell>
          <cell r="H31">
            <v>30</v>
          </cell>
          <cell r="I31" t="str">
            <v>НЕДОГРУЗ / матрица</v>
          </cell>
          <cell r="J31"/>
          <cell r="K31">
            <v>2490.0369999999998</v>
          </cell>
          <cell r="L31">
            <v>682.78800000000001</v>
          </cell>
          <cell r="M31">
            <v>2203.2379999999998</v>
          </cell>
          <cell r="N31">
            <v>969.58699999999999</v>
          </cell>
          <cell r="O31">
            <v>416</v>
          </cell>
          <cell r="P31"/>
          <cell r="Q31">
            <v>668.99999999999989</v>
          </cell>
          <cell r="R31">
            <v>831.00000000000011</v>
          </cell>
          <cell r="S31">
            <v>440.64759999999995</v>
          </cell>
          <cell r="T31">
            <v>2743.2215999999999</v>
          </cell>
          <cell r="U31"/>
        </row>
        <row r="32">
          <cell r="A32" t="str">
            <v xml:space="preserve"> 253  Сосиски Ганноверские   ПОКОМ</v>
          </cell>
          <cell r="B32" t="str">
            <v>кг</v>
          </cell>
          <cell r="C32">
            <v>-0.23</v>
          </cell>
          <cell r="D32"/>
          <cell r="E32"/>
          <cell r="F32">
            <v>-0.23</v>
          </cell>
          <cell r="G32">
            <v>0</v>
          </cell>
          <cell r="H32">
            <v>40</v>
          </cell>
          <cell r="I32" t="str">
            <v>не в матрице</v>
          </cell>
          <cell r="J32"/>
          <cell r="K32"/>
          <cell r="L32">
            <v>0</v>
          </cell>
          <cell r="M32">
            <v>0</v>
          </cell>
          <cell r="N32"/>
          <cell r="O32"/>
          <cell r="P32"/>
          <cell r="Q32">
            <v>0</v>
          </cell>
          <cell r="R32"/>
          <cell r="S32">
            <v>0</v>
          </cell>
          <cell r="T32"/>
          <cell r="U32"/>
        </row>
        <row r="33">
          <cell r="A33" t="str">
            <v xml:space="preserve"> 255  Сосиски Молочные для завтрака ТМ Особый рецепт, п/а МГС, ВЕС, ТМ Стародворье  ПОКОМ</v>
          </cell>
          <cell r="B33" t="str">
            <v>кг</v>
          </cell>
          <cell r="C33">
            <v>1148.73</v>
          </cell>
          <cell r="D33">
            <v>431.798</v>
          </cell>
          <cell r="E33">
            <v>3281.402</v>
          </cell>
          <cell r="F33">
            <v>-114.405</v>
          </cell>
          <cell r="G33">
            <v>1</v>
          </cell>
          <cell r="H33">
            <v>40</v>
          </cell>
          <cell r="I33" t="str">
            <v>НЕДОГРУЗ / матрица</v>
          </cell>
          <cell r="J33"/>
          <cell r="K33">
            <v>3984.6759999999999</v>
          </cell>
          <cell r="L33">
            <v>-703.27399999999989</v>
          </cell>
          <cell r="M33">
            <v>3281.402</v>
          </cell>
          <cell r="N33"/>
          <cell r="O33">
            <v>520</v>
          </cell>
          <cell r="P33">
            <v>-522</v>
          </cell>
          <cell r="Q33">
            <v>892</v>
          </cell>
          <cell r="R33">
            <v>1208</v>
          </cell>
          <cell r="S33">
            <v>656.28039999999999</v>
          </cell>
          <cell r="T33">
            <v>2200</v>
          </cell>
          <cell r="U33"/>
        </row>
        <row r="34">
          <cell r="A34" t="str">
            <v xml:space="preserve"> 257  Сосиски Молочные оригинальные ТМ Особый рецепт, ВЕС.   ПОКОМ</v>
          </cell>
          <cell r="B34" t="str">
            <v>кг</v>
          </cell>
          <cell r="C34"/>
          <cell r="D34"/>
          <cell r="E34"/>
          <cell r="F34"/>
          <cell r="G34">
            <v>0</v>
          </cell>
          <cell r="H34"/>
          <cell r="I34" t="str">
            <v>матрица</v>
          </cell>
          <cell r="J34"/>
          <cell r="K34"/>
          <cell r="L34">
            <v>0</v>
          </cell>
          <cell r="M34">
            <v>0</v>
          </cell>
          <cell r="N34"/>
          <cell r="O34"/>
          <cell r="P34"/>
          <cell r="Q34">
            <v>0</v>
          </cell>
          <cell r="R34"/>
          <cell r="S34">
            <v>0</v>
          </cell>
          <cell r="T34"/>
          <cell r="U34"/>
        </row>
        <row r="35">
          <cell r="A35" t="str">
            <v xml:space="preserve"> 263  Шпикачки Стародворские, ВЕС.  ПОКОМ</v>
          </cell>
          <cell r="B35" t="str">
            <v>кг</v>
          </cell>
          <cell r="C35"/>
          <cell r="D35"/>
          <cell r="E35"/>
          <cell r="F35"/>
          <cell r="G35">
            <v>0</v>
          </cell>
          <cell r="H35"/>
          <cell r="I35" t="str">
            <v>матрица</v>
          </cell>
          <cell r="J35"/>
          <cell r="K35"/>
          <cell r="L35">
            <v>0</v>
          </cell>
          <cell r="M35">
            <v>0</v>
          </cell>
          <cell r="N35"/>
          <cell r="O35"/>
          <cell r="P35"/>
          <cell r="Q35">
            <v>0</v>
          </cell>
          <cell r="R35"/>
          <cell r="S35">
            <v>0</v>
          </cell>
          <cell r="T35"/>
          <cell r="U35"/>
        </row>
        <row r="36">
          <cell r="A36" t="str">
            <v xml:space="preserve"> 265  Колбаса Балыкбургская, ВЕС, ТМ Баварушка  ПОКОМ</v>
          </cell>
          <cell r="B36" t="str">
            <v>кг</v>
          </cell>
          <cell r="C36"/>
          <cell r="D36"/>
          <cell r="E36"/>
          <cell r="F36"/>
          <cell r="G36">
            <v>0</v>
          </cell>
          <cell r="H36"/>
          <cell r="I36" t="str">
            <v>матрица</v>
          </cell>
          <cell r="J36"/>
          <cell r="K36"/>
          <cell r="L36">
            <v>0</v>
          </cell>
          <cell r="M36">
            <v>0</v>
          </cell>
          <cell r="N36"/>
          <cell r="O36"/>
          <cell r="P36"/>
          <cell r="Q36">
            <v>0</v>
          </cell>
          <cell r="R36"/>
          <cell r="S36">
            <v>0</v>
          </cell>
          <cell r="T36"/>
          <cell r="U36"/>
        </row>
        <row r="37">
          <cell r="A37" t="str">
            <v xml:space="preserve"> 267  Колбаса Салями Филейбургская зернистая, оболочка фиброуз, ВЕС, ТМ Баварушка  ПОКОМ</v>
          </cell>
          <cell r="B37" t="str">
            <v>кг</v>
          </cell>
          <cell r="C37"/>
          <cell r="D37"/>
          <cell r="E37"/>
          <cell r="F37"/>
          <cell r="G37">
            <v>0</v>
          </cell>
          <cell r="H37"/>
          <cell r="I37" t="str">
            <v>матрица</v>
          </cell>
          <cell r="J37"/>
          <cell r="K37"/>
          <cell r="L37">
            <v>0</v>
          </cell>
          <cell r="M37">
            <v>0</v>
          </cell>
          <cell r="N37"/>
          <cell r="O37"/>
          <cell r="P37"/>
          <cell r="Q37">
            <v>0</v>
          </cell>
          <cell r="R37"/>
          <cell r="S37">
            <v>0</v>
          </cell>
          <cell r="T37"/>
          <cell r="U37"/>
        </row>
        <row r="38">
          <cell r="A38" t="str">
            <v xml:space="preserve"> 273  Сосиски Сочинки с сочной грудинкой, МГС 0.4кг,   ПОКОМ</v>
          </cell>
          <cell r="B38" t="str">
            <v>шт</v>
          </cell>
          <cell r="C38">
            <v>1008</v>
          </cell>
          <cell r="D38">
            <v>4256</v>
          </cell>
          <cell r="E38">
            <v>5155</v>
          </cell>
          <cell r="F38">
            <v>-322</v>
          </cell>
          <cell r="G38">
            <v>0.4</v>
          </cell>
          <cell r="H38">
            <v>45</v>
          </cell>
          <cell r="I38" t="str">
            <v>НЕДОГРУЗ / матрица</v>
          </cell>
          <cell r="J38"/>
          <cell r="K38">
            <v>4558</v>
          </cell>
          <cell r="L38">
            <v>597</v>
          </cell>
          <cell r="M38">
            <v>4075</v>
          </cell>
          <cell r="N38">
            <v>1080</v>
          </cell>
          <cell r="O38">
            <v>780</v>
          </cell>
          <cell r="P38"/>
          <cell r="Q38">
            <v>1767.944</v>
          </cell>
          <cell r="R38">
            <v>2196.056</v>
          </cell>
          <cell r="S38">
            <v>815</v>
          </cell>
          <cell r="T38">
            <v>4543</v>
          </cell>
          <cell r="U38" t="str">
            <v>ОЧЕНЬ НУЖНА ЭТА ПОЗИЦИЯ !!!</v>
          </cell>
        </row>
        <row r="39">
          <cell r="A39" t="str">
            <v xml:space="preserve"> 276  Колбаса Сливушка ТМ Вязанка в оболочке полиамид 0,45 кг  ПОКОМ</v>
          </cell>
          <cell r="B39" t="str">
            <v>шт</v>
          </cell>
          <cell r="C39">
            <v>839.75</v>
          </cell>
          <cell r="D39">
            <v>263</v>
          </cell>
          <cell r="E39">
            <v>735</v>
          </cell>
          <cell r="F39">
            <v>253.75</v>
          </cell>
          <cell r="G39">
            <v>0.45</v>
          </cell>
          <cell r="H39">
            <v>50</v>
          </cell>
          <cell r="I39" t="str">
            <v>матрица</v>
          </cell>
          <cell r="J39"/>
          <cell r="K39">
            <v>1175</v>
          </cell>
          <cell r="L39">
            <v>-440</v>
          </cell>
          <cell r="M39">
            <v>735</v>
          </cell>
          <cell r="N39"/>
          <cell r="O39"/>
          <cell r="P39"/>
          <cell r="Q39">
            <v>200</v>
          </cell>
          <cell r="R39"/>
          <cell r="S39">
            <v>147</v>
          </cell>
          <cell r="T39">
            <v>1016.25</v>
          </cell>
          <cell r="U39" t="str">
            <v xml:space="preserve">еще плюс 500 сеть ютл </v>
          </cell>
        </row>
        <row r="40">
          <cell r="A40" t="str">
            <v xml:space="preserve"> 278  Сосиски Сочинки с сочным окороком, МГС 0.4кг,   ПОКОМ</v>
          </cell>
          <cell r="B40" t="str">
            <v>шт</v>
          </cell>
          <cell r="C40">
            <v>-5</v>
          </cell>
          <cell r="D40">
            <v>832</v>
          </cell>
          <cell r="E40">
            <v>742</v>
          </cell>
          <cell r="F40">
            <v>43</v>
          </cell>
          <cell r="G40">
            <v>0.4</v>
          </cell>
          <cell r="H40">
            <v>45</v>
          </cell>
          <cell r="I40" t="str">
            <v>НЕДОГРУЗ / матрица</v>
          </cell>
          <cell r="J40"/>
          <cell r="K40">
            <v>2165</v>
          </cell>
          <cell r="L40">
            <v>-1423</v>
          </cell>
          <cell r="M40">
            <v>742</v>
          </cell>
          <cell r="N40"/>
          <cell r="O40">
            <v>208</v>
          </cell>
          <cell r="P40"/>
          <cell r="Q40">
            <v>400</v>
          </cell>
          <cell r="R40"/>
          <cell r="S40">
            <v>148.4</v>
          </cell>
          <cell r="T40">
            <v>500</v>
          </cell>
          <cell r="U40"/>
        </row>
        <row r="41">
          <cell r="A41" t="str">
            <v xml:space="preserve"> 281  Сосиски Молочные для завтрака ТМ Особый рецепт, 0,4кг  ПОКОМ</v>
          </cell>
          <cell r="B41" t="str">
            <v>шт</v>
          </cell>
          <cell r="C41">
            <v>-33</v>
          </cell>
          <cell r="D41">
            <v>30</v>
          </cell>
          <cell r="E41">
            <v>13</v>
          </cell>
          <cell r="F41">
            <v>-13</v>
          </cell>
          <cell r="G41">
            <v>0.4</v>
          </cell>
          <cell r="H41">
            <v>40</v>
          </cell>
          <cell r="I41" t="str">
            <v>НЕДОГРУЗ / матрица</v>
          </cell>
          <cell r="J41"/>
          <cell r="K41">
            <v>569</v>
          </cell>
          <cell r="L41">
            <v>-556</v>
          </cell>
          <cell r="M41">
            <v>13</v>
          </cell>
          <cell r="N41"/>
          <cell r="O41">
            <v>100</v>
          </cell>
          <cell r="P41">
            <v>-102</v>
          </cell>
          <cell r="Q41">
            <v>200</v>
          </cell>
          <cell r="R41"/>
          <cell r="S41">
            <v>2.6</v>
          </cell>
          <cell r="T41">
            <v>200</v>
          </cell>
          <cell r="U41"/>
        </row>
        <row r="42">
          <cell r="A42" t="str">
            <v xml:space="preserve"> 283  Сосиски Сочинки, ВЕС, ТМ Стародворье ПОКОМ</v>
          </cell>
          <cell r="B42" t="str">
            <v>кг</v>
          </cell>
          <cell r="C42"/>
          <cell r="D42">
            <v>52.552</v>
          </cell>
          <cell r="E42"/>
          <cell r="F42">
            <v>48.122999999999998</v>
          </cell>
          <cell r="G42">
            <v>1</v>
          </cell>
          <cell r="H42"/>
          <cell r="I42" t="str">
            <v>НЕДОГРУЗ / матрица</v>
          </cell>
          <cell r="J42"/>
          <cell r="K42">
            <v>82.6</v>
          </cell>
          <cell r="L42">
            <v>-82.6</v>
          </cell>
          <cell r="M42">
            <v>0</v>
          </cell>
          <cell r="N42"/>
          <cell r="O42">
            <v>20</v>
          </cell>
          <cell r="P42"/>
          <cell r="Q42">
            <v>0</v>
          </cell>
          <cell r="R42"/>
          <cell r="S42">
            <v>0</v>
          </cell>
          <cell r="T42"/>
          <cell r="U42"/>
        </row>
        <row r="43">
          <cell r="A43" t="str">
            <v xml:space="preserve"> 285  Паштет печеночный со слив.маслом ТМ Стародворье ламистер 0,1 кг  ПОКОМ</v>
          </cell>
          <cell r="B43" t="str">
            <v>шт</v>
          </cell>
          <cell r="C43">
            <v>327</v>
          </cell>
          <cell r="D43">
            <v>220</v>
          </cell>
          <cell r="E43">
            <v>212</v>
          </cell>
          <cell r="F43">
            <v>276</v>
          </cell>
          <cell r="G43">
            <v>0.1</v>
          </cell>
          <cell r="H43">
            <v>731</v>
          </cell>
          <cell r="I43" t="str">
            <v>матрица</v>
          </cell>
          <cell r="J43"/>
          <cell r="K43">
            <v>270</v>
          </cell>
          <cell r="L43">
            <v>-58</v>
          </cell>
          <cell r="M43">
            <v>212</v>
          </cell>
          <cell r="N43"/>
          <cell r="O43"/>
          <cell r="P43"/>
          <cell r="Q43">
            <v>102.6</v>
          </cell>
          <cell r="R43"/>
          <cell r="S43">
            <v>42.4</v>
          </cell>
          <cell r="T43">
            <v>130.19999999999993</v>
          </cell>
          <cell r="U43"/>
        </row>
        <row r="44">
          <cell r="A44" t="str">
            <v xml:space="preserve"> 296  Колбаса Мясорубская с рубленой грудинкой 0,35кг срез ТМ Стародворье  ПОКОМ</v>
          </cell>
          <cell r="B44" t="str">
            <v>шт</v>
          </cell>
          <cell r="C44"/>
          <cell r="D44">
            <v>2</v>
          </cell>
          <cell r="E44">
            <v>21</v>
          </cell>
          <cell r="F44">
            <v>-2</v>
          </cell>
          <cell r="G44">
            <v>0.35</v>
          </cell>
          <cell r="H44">
            <v>40</v>
          </cell>
          <cell r="I44" t="str">
            <v>НЕДОГРУЗ / матрица</v>
          </cell>
          <cell r="J44"/>
          <cell r="K44">
            <v>125</v>
          </cell>
          <cell r="L44">
            <v>-104</v>
          </cell>
          <cell r="M44">
            <v>21</v>
          </cell>
          <cell r="N44"/>
          <cell r="O44">
            <v>50</v>
          </cell>
          <cell r="P44">
            <v>-54</v>
          </cell>
          <cell r="Q44">
            <v>50</v>
          </cell>
          <cell r="R44"/>
          <cell r="S44">
            <v>4.2</v>
          </cell>
          <cell r="T44">
            <v>50</v>
          </cell>
          <cell r="U44"/>
        </row>
        <row r="45">
          <cell r="A45" t="str">
            <v xml:space="preserve"> 297  Колбаса Мясорубская с рубленой грудинкой ВЕС ТМ Стародворье  ПОКОМ</v>
          </cell>
          <cell r="B45" t="str">
            <v>кг</v>
          </cell>
          <cell r="C45">
            <v>18.667999999999999</v>
          </cell>
          <cell r="D45">
            <v>27.004999999999999</v>
          </cell>
          <cell r="E45">
            <v>14.656000000000001</v>
          </cell>
          <cell r="F45">
            <v>23.622</v>
          </cell>
          <cell r="G45">
            <v>1</v>
          </cell>
          <cell r="H45">
            <v>40</v>
          </cell>
          <cell r="I45" t="str">
            <v>матрица</v>
          </cell>
          <cell r="J45"/>
          <cell r="K45">
            <v>21.2</v>
          </cell>
          <cell r="L45">
            <v>-6.5439999999999987</v>
          </cell>
          <cell r="M45">
            <v>14.656000000000001</v>
          </cell>
          <cell r="N45"/>
          <cell r="O45"/>
          <cell r="P45"/>
          <cell r="Q45">
            <v>4</v>
          </cell>
          <cell r="R45"/>
          <cell r="S45">
            <v>2.9312</v>
          </cell>
          <cell r="T45">
            <v>7.5523999999999987</v>
          </cell>
          <cell r="U45"/>
        </row>
        <row r="46">
          <cell r="A46" t="str">
            <v xml:space="preserve"> 301  Сосиски Сочинки по-баварски с сыром,  0.4кг, ТМ Стародворье  ПОКОМ</v>
          </cell>
          <cell r="B46" t="str">
            <v>шт</v>
          </cell>
          <cell r="C46">
            <v>-32</v>
          </cell>
          <cell r="D46">
            <v>268</v>
          </cell>
          <cell r="E46">
            <v>154</v>
          </cell>
          <cell r="F46">
            <v>-31</v>
          </cell>
          <cell r="G46">
            <v>0.4</v>
          </cell>
          <cell r="H46">
            <v>40</v>
          </cell>
          <cell r="I46" t="str">
            <v>НЕДОГРУЗ / матрица</v>
          </cell>
          <cell r="J46"/>
          <cell r="K46">
            <v>348</v>
          </cell>
          <cell r="L46">
            <v>-194</v>
          </cell>
          <cell r="M46">
            <v>154</v>
          </cell>
          <cell r="N46"/>
          <cell r="O46"/>
          <cell r="P46"/>
          <cell r="Q46">
            <v>100</v>
          </cell>
          <cell r="R46"/>
          <cell r="S46">
            <v>30.8</v>
          </cell>
          <cell r="T46">
            <v>100</v>
          </cell>
          <cell r="U46"/>
        </row>
        <row r="47">
          <cell r="A47" t="str">
            <v xml:space="preserve"> 302  Сосиски Сочинки по-баварски,  0.4кг, ТМ Стародворье  ПОКОМ</v>
          </cell>
          <cell r="B47" t="str">
            <v>шт</v>
          </cell>
          <cell r="C47">
            <v>9</v>
          </cell>
          <cell r="D47">
            <v>326</v>
          </cell>
          <cell r="E47">
            <v>146</v>
          </cell>
          <cell r="F47">
            <v>87</v>
          </cell>
          <cell r="G47">
            <v>0.4</v>
          </cell>
          <cell r="H47">
            <v>45</v>
          </cell>
          <cell r="I47" t="str">
            <v>НЕДОГРУЗ / матрица</v>
          </cell>
          <cell r="J47"/>
          <cell r="K47">
            <v>525</v>
          </cell>
          <cell r="L47">
            <v>-379</v>
          </cell>
          <cell r="M47">
            <v>146</v>
          </cell>
          <cell r="N47"/>
          <cell r="O47">
            <v>50</v>
          </cell>
          <cell r="P47"/>
          <cell r="Q47">
            <v>60.199999999999989</v>
          </cell>
          <cell r="R47"/>
          <cell r="S47">
            <v>29.2</v>
          </cell>
          <cell r="T47">
            <v>100</v>
          </cell>
          <cell r="U47"/>
        </row>
        <row r="48">
          <cell r="A48" t="str">
            <v xml:space="preserve"> 305  Колбаса Сервелат Мясорубский с мелкорубленным окороком в/у  ТМ Стародворье ВЕС   ПОКОМ</v>
          </cell>
          <cell r="B48" t="str">
            <v>кг</v>
          </cell>
          <cell r="C48">
            <v>35.881</v>
          </cell>
          <cell r="D48">
            <v>18.788</v>
          </cell>
          <cell r="E48">
            <v>29.079000000000001</v>
          </cell>
          <cell r="F48">
            <v>24.257000000000001</v>
          </cell>
          <cell r="G48">
            <v>1</v>
          </cell>
          <cell r="H48">
            <v>40</v>
          </cell>
          <cell r="I48" t="str">
            <v>НЕДОГРУЗ / матрица</v>
          </cell>
          <cell r="J48"/>
          <cell r="K48">
            <v>33.121000000000002</v>
          </cell>
          <cell r="L48">
            <v>-4.0420000000000016</v>
          </cell>
          <cell r="M48">
            <v>29.079000000000001</v>
          </cell>
          <cell r="N48"/>
          <cell r="O48"/>
          <cell r="P48"/>
          <cell r="Q48">
            <v>34.781200000000013</v>
          </cell>
          <cell r="R48"/>
          <cell r="S48">
            <v>5.8158000000000003</v>
          </cell>
          <cell r="T48">
            <v>10.751399999999993</v>
          </cell>
          <cell r="U48"/>
        </row>
        <row r="49">
          <cell r="A49" t="str">
            <v xml:space="preserve"> 307  Колбаса Сервелат Мясорубский с мелкорубленным окороком 0,35 кг срез ТМ Стародворье   Поком</v>
          </cell>
          <cell r="B49" t="str">
            <v>шт</v>
          </cell>
          <cell r="C49">
            <v>508</v>
          </cell>
          <cell r="D49">
            <v>351</v>
          </cell>
          <cell r="E49">
            <v>644</v>
          </cell>
          <cell r="F49">
            <v>-55</v>
          </cell>
          <cell r="G49">
            <v>0.35</v>
          </cell>
          <cell r="H49">
            <v>40</v>
          </cell>
          <cell r="I49" t="str">
            <v>НЕДОГРУЗ / матрица</v>
          </cell>
          <cell r="J49"/>
          <cell r="K49">
            <v>886</v>
          </cell>
          <cell r="L49">
            <v>-242</v>
          </cell>
          <cell r="M49">
            <v>494</v>
          </cell>
          <cell r="N49">
            <v>150</v>
          </cell>
          <cell r="O49">
            <v>158.80799999999991</v>
          </cell>
          <cell r="P49">
            <v>-162</v>
          </cell>
          <cell r="Q49">
            <v>200</v>
          </cell>
          <cell r="R49"/>
          <cell r="S49">
            <v>98.8</v>
          </cell>
          <cell r="T49">
            <v>200</v>
          </cell>
          <cell r="U49" t="str">
            <v xml:space="preserve">1500 нужно в сеть ютл </v>
          </cell>
        </row>
        <row r="50">
          <cell r="A50" t="str">
            <v xml:space="preserve"> 309  Сосиски Сочинки с сыром 0,4 кг ТМ Стародворье  ПОКОМ</v>
          </cell>
          <cell r="B50" t="str">
            <v>шт</v>
          </cell>
          <cell r="C50">
            <v>61</v>
          </cell>
          <cell r="D50">
            <v>511</v>
          </cell>
          <cell r="E50">
            <v>154</v>
          </cell>
          <cell r="F50">
            <v>222</v>
          </cell>
          <cell r="G50">
            <v>0.4</v>
          </cell>
          <cell r="H50">
            <v>40</v>
          </cell>
          <cell r="I50" t="str">
            <v>НЕДОГРУЗ / матрица</v>
          </cell>
          <cell r="J50"/>
          <cell r="K50">
            <v>640</v>
          </cell>
          <cell r="L50">
            <v>-486</v>
          </cell>
          <cell r="M50">
            <v>154</v>
          </cell>
          <cell r="N50"/>
          <cell r="O50">
            <v>100</v>
          </cell>
          <cell r="P50"/>
          <cell r="Q50">
            <v>150</v>
          </cell>
          <cell r="R50"/>
          <cell r="S50">
            <v>30.8</v>
          </cell>
          <cell r="T50">
            <v>50</v>
          </cell>
          <cell r="U50"/>
        </row>
        <row r="51">
          <cell r="A51" t="str">
            <v xml:space="preserve"> 312  Ветчина Филейская ВЕС ТМ  Вязанка ТС Столичная  ПОКОМ</v>
          </cell>
          <cell r="B51" t="str">
            <v>кг</v>
          </cell>
          <cell r="C51">
            <v>71.088999999999999</v>
          </cell>
          <cell r="D51">
            <v>229.054</v>
          </cell>
          <cell r="E51">
            <v>87.635999999999996</v>
          </cell>
          <cell r="F51">
            <v>19.741</v>
          </cell>
          <cell r="G51">
            <v>1</v>
          </cell>
          <cell r="H51">
            <v>50</v>
          </cell>
          <cell r="I51" t="str">
            <v>матрица</v>
          </cell>
          <cell r="J51"/>
          <cell r="K51">
            <v>260.08999999999997</v>
          </cell>
          <cell r="L51">
            <v>-172.45399999999998</v>
          </cell>
          <cell r="M51">
            <v>-53.712999999999994</v>
          </cell>
          <cell r="N51">
            <v>141.34899999999999</v>
          </cell>
          <cell r="O51"/>
          <cell r="P51"/>
          <cell r="Q51">
            <v>54.571199999999983</v>
          </cell>
          <cell r="R51"/>
          <cell r="S51">
            <v>-10.742599999999999</v>
          </cell>
          <cell r="T51">
            <v>60</v>
          </cell>
          <cell r="U51"/>
        </row>
        <row r="52">
          <cell r="A52" t="str">
            <v xml:space="preserve"> 315  Колбаса вареная Молокуша ТМ Вязанка ВЕС, ПОКОМ</v>
          </cell>
          <cell r="B52" t="str">
            <v>кг</v>
          </cell>
          <cell r="C52">
            <v>909.63800000000003</v>
          </cell>
          <cell r="D52">
            <v>1210.748</v>
          </cell>
          <cell r="E52">
            <v>841.53599999999994</v>
          </cell>
          <cell r="F52">
            <v>386.55599999999998</v>
          </cell>
          <cell r="G52">
            <v>1</v>
          </cell>
          <cell r="H52">
            <v>50</v>
          </cell>
          <cell r="I52" t="str">
            <v>матрица</v>
          </cell>
          <cell r="J52"/>
          <cell r="K52">
            <v>1224.2149999999999</v>
          </cell>
          <cell r="L52">
            <v>-382.67899999999997</v>
          </cell>
          <cell r="M52">
            <v>517.01900000000001</v>
          </cell>
          <cell r="N52">
            <v>324.517</v>
          </cell>
          <cell r="O52"/>
          <cell r="P52"/>
          <cell r="Q52">
            <v>414.87601488000001</v>
          </cell>
          <cell r="R52">
            <v>515.33926512000005</v>
          </cell>
          <cell r="S52">
            <v>103.4038</v>
          </cell>
          <cell r="T52"/>
          <cell r="U52"/>
        </row>
        <row r="53">
          <cell r="A53" t="str">
            <v xml:space="preserve"> 318  Сосиски Датские ТМ Зареченские, ВЕС  ПОКОМ</v>
          </cell>
          <cell r="B53" t="str">
            <v>кг</v>
          </cell>
          <cell r="C53"/>
          <cell r="D53"/>
          <cell r="E53"/>
          <cell r="F53"/>
          <cell r="G53">
            <v>0</v>
          </cell>
          <cell r="H53"/>
          <cell r="I53" t="str">
            <v>матрица</v>
          </cell>
          <cell r="J53"/>
          <cell r="K53"/>
          <cell r="L53">
            <v>0</v>
          </cell>
          <cell r="M53">
            <v>0</v>
          </cell>
          <cell r="N53"/>
          <cell r="O53"/>
          <cell r="P53"/>
          <cell r="Q53">
            <v>0</v>
          </cell>
          <cell r="R53"/>
          <cell r="S53">
            <v>0</v>
          </cell>
          <cell r="T53"/>
          <cell r="U53"/>
        </row>
        <row r="54">
          <cell r="A54" t="str">
            <v xml:space="preserve"> 319  Колбаса вареная Филейская ТМ Вязанка ТС Классическая, 0,45 кг. ПОКОМ</v>
          </cell>
          <cell r="B54" t="str">
            <v>шт</v>
          </cell>
          <cell r="C54">
            <v>366</v>
          </cell>
          <cell r="D54">
            <v>644</v>
          </cell>
          <cell r="E54">
            <v>496</v>
          </cell>
          <cell r="F54">
            <v>335</v>
          </cell>
          <cell r="G54">
            <v>0.45</v>
          </cell>
          <cell r="H54">
            <v>50</v>
          </cell>
          <cell r="I54" t="str">
            <v>матрица</v>
          </cell>
          <cell r="J54"/>
          <cell r="K54">
            <v>627</v>
          </cell>
          <cell r="L54">
            <v>-131</v>
          </cell>
          <cell r="M54">
            <v>346</v>
          </cell>
          <cell r="N54">
            <v>150</v>
          </cell>
          <cell r="O54">
            <v>124.983456</v>
          </cell>
          <cell r="P54"/>
          <cell r="Q54">
            <v>180.29425119999991</v>
          </cell>
          <cell r="R54">
            <v>223.9529488</v>
          </cell>
          <cell r="S54">
            <v>69.2</v>
          </cell>
          <cell r="T54"/>
          <cell r="U54"/>
        </row>
        <row r="55">
          <cell r="A55" t="str">
            <v xml:space="preserve"> 322  Колбаса вареная Молокуша 0,45кг ТМ Вязанка  ПОКОМ</v>
          </cell>
          <cell r="B55" t="str">
            <v>шт</v>
          </cell>
          <cell r="C55">
            <v>677</v>
          </cell>
          <cell r="D55">
            <v>675</v>
          </cell>
          <cell r="E55">
            <v>694</v>
          </cell>
          <cell r="F55">
            <v>691</v>
          </cell>
          <cell r="G55">
            <v>0.45</v>
          </cell>
          <cell r="H55">
            <v>50</v>
          </cell>
          <cell r="I55" t="str">
            <v>матрица</v>
          </cell>
          <cell r="J55"/>
          <cell r="K55">
            <v>641</v>
          </cell>
          <cell r="L55">
            <v>53</v>
          </cell>
          <cell r="M55">
            <v>694</v>
          </cell>
          <cell r="N55"/>
          <cell r="O55">
            <v>166.32128239999989</v>
          </cell>
          <cell r="P55"/>
          <cell r="Q55">
            <v>295.51575548</v>
          </cell>
          <cell r="R55">
            <v>367.07562452000008</v>
          </cell>
          <cell r="S55">
            <v>138.80000000000001</v>
          </cell>
          <cell r="T55">
            <v>145.68733760000021</v>
          </cell>
          <cell r="U55"/>
        </row>
        <row r="56">
          <cell r="A56" t="str">
            <v xml:space="preserve"> 328  Сардельки Сочинки Стародворье ТМ  0,4 кг ПОКОМ</v>
          </cell>
          <cell r="B56" t="str">
            <v>шт</v>
          </cell>
          <cell r="C56"/>
          <cell r="D56"/>
          <cell r="E56"/>
          <cell r="F56"/>
          <cell r="G56">
            <v>0</v>
          </cell>
          <cell r="H56"/>
          <cell r="I56" t="str">
            <v>матрица</v>
          </cell>
          <cell r="J56"/>
          <cell r="K56"/>
          <cell r="L56">
            <v>0</v>
          </cell>
          <cell r="M56">
            <v>0</v>
          </cell>
          <cell r="N56"/>
          <cell r="O56"/>
          <cell r="P56"/>
          <cell r="Q56">
            <v>0</v>
          </cell>
          <cell r="R56"/>
          <cell r="S56">
            <v>0</v>
          </cell>
          <cell r="T56"/>
          <cell r="U56"/>
        </row>
        <row r="57">
          <cell r="A57" t="str">
            <v xml:space="preserve"> 329  Сардельки Сочинки с сыром Стародворье ТМ, 0,4 кг. ПОКОМ</v>
          </cell>
          <cell r="B57" t="str">
            <v>шт</v>
          </cell>
          <cell r="C57"/>
          <cell r="D57">
            <v>50</v>
          </cell>
          <cell r="E57">
            <v>12</v>
          </cell>
          <cell r="F57">
            <v>19</v>
          </cell>
          <cell r="G57">
            <v>0.4</v>
          </cell>
          <cell r="H57">
            <v>40</v>
          </cell>
          <cell r="I57" t="str">
            <v>НЕДОГРУЗ / матрица</v>
          </cell>
          <cell r="J57"/>
          <cell r="K57">
            <v>30</v>
          </cell>
          <cell r="L57">
            <v>-18</v>
          </cell>
          <cell r="M57">
            <v>12</v>
          </cell>
          <cell r="N57"/>
          <cell r="O57"/>
          <cell r="P57"/>
          <cell r="Q57">
            <v>10</v>
          </cell>
          <cell r="R57"/>
          <cell r="S57">
            <v>2.4</v>
          </cell>
          <cell r="T57">
            <v>10</v>
          </cell>
          <cell r="U57"/>
        </row>
        <row r="58">
          <cell r="A58" t="str">
            <v xml:space="preserve"> 330  Колбаса вареная Филейская ТМ Вязанка ТС Классическая ВЕС  ПОКОМ</v>
          </cell>
          <cell r="B58" t="str">
            <v>кг</v>
          </cell>
          <cell r="C58">
            <v>237.38200000000001</v>
          </cell>
          <cell r="D58">
            <v>761.19600000000003</v>
          </cell>
          <cell r="E58">
            <v>397.166</v>
          </cell>
          <cell r="F58">
            <v>313.839</v>
          </cell>
          <cell r="G58">
            <v>1</v>
          </cell>
          <cell r="H58">
            <v>50</v>
          </cell>
          <cell r="I58" t="str">
            <v>матрица</v>
          </cell>
          <cell r="J58"/>
          <cell r="K58">
            <v>623.72699999999998</v>
          </cell>
          <cell r="L58">
            <v>-226.56099999999998</v>
          </cell>
          <cell r="M58">
            <v>290.13900000000001</v>
          </cell>
          <cell r="N58">
            <v>107.027</v>
          </cell>
          <cell r="O58">
            <v>231.74273485791991</v>
          </cell>
          <cell r="P58"/>
          <cell r="Q58">
            <v>0</v>
          </cell>
          <cell r="R58"/>
          <cell r="S58">
            <v>58.027799999999999</v>
          </cell>
          <cell r="T58">
            <v>150.75186514208002</v>
          </cell>
          <cell r="U58"/>
        </row>
        <row r="59">
          <cell r="A59" t="str">
            <v xml:space="preserve"> 334  Паштет Любительский ТМ Стародворье ламистер 0,1 кг  ПОКОМ</v>
          </cell>
          <cell r="B59" t="str">
            <v>шт</v>
          </cell>
          <cell r="C59">
            <v>104</v>
          </cell>
          <cell r="D59">
            <v>232</v>
          </cell>
          <cell r="E59">
            <v>136</v>
          </cell>
          <cell r="F59">
            <v>160</v>
          </cell>
          <cell r="G59">
            <v>0.1</v>
          </cell>
          <cell r="H59">
            <v>731</v>
          </cell>
          <cell r="I59" t="str">
            <v>матрица</v>
          </cell>
          <cell r="J59"/>
          <cell r="K59">
            <v>175</v>
          </cell>
          <cell r="L59">
            <v>-39</v>
          </cell>
          <cell r="M59">
            <v>136</v>
          </cell>
          <cell r="N59"/>
          <cell r="O59"/>
          <cell r="P59"/>
          <cell r="Q59">
            <v>77.600000000000023</v>
          </cell>
          <cell r="R59"/>
          <cell r="S59">
            <v>27.2</v>
          </cell>
          <cell r="T59">
            <v>88.799999999999955</v>
          </cell>
          <cell r="U59"/>
        </row>
        <row r="60">
          <cell r="A60" t="str">
            <v xml:space="preserve"> 335  Колбаса Сливушка ТМ Вязанка. ВЕС.  ПОКОМ </v>
          </cell>
          <cell r="B60" t="str">
            <v>кг</v>
          </cell>
          <cell r="C60">
            <v>491.87299999999999</v>
          </cell>
          <cell r="D60">
            <v>782.45100000000002</v>
          </cell>
          <cell r="E60">
            <v>492.62299999999999</v>
          </cell>
          <cell r="F60">
            <v>426.03100000000001</v>
          </cell>
          <cell r="G60">
            <v>1</v>
          </cell>
          <cell r="H60">
            <v>50</v>
          </cell>
          <cell r="I60" t="str">
            <v>матрица</v>
          </cell>
          <cell r="J60"/>
          <cell r="K60">
            <v>654.69799999999998</v>
          </cell>
          <cell r="L60">
            <v>-162.07499999999999</v>
          </cell>
          <cell r="M60">
            <v>364.81599999999997</v>
          </cell>
          <cell r="N60">
            <v>127.807</v>
          </cell>
          <cell r="O60"/>
          <cell r="P60"/>
          <cell r="Q60">
            <v>133.80848404799971</v>
          </cell>
          <cell r="R60"/>
          <cell r="S60">
            <v>72.963200000000001</v>
          </cell>
          <cell r="T60">
            <v>315.71891595200026</v>
          </cell>
          <cell r="U60"/>
        </row>
        <row r="61">
          <cell r="A61" t="str">
            <v xml:space="preserve"> 336  Ветчина Сливушка с индейкой ТМ Вязанка. ВЕС  ПОКОМ</v>
          </cell>
          <cell r="B61" t="str">
            <v>кг</v>
          </cell>
          <cell r="C61">
            <v>48.067999999999998</v>
          </cell>
          <cell r="D61">
            <v>53.972999999999999</v>
          </cell>
          <cell r="E61">
            <v>24.356999999999999</v>
          </cell>
          <cell r="F61">
            <v>77.317999999999998</v>
          </cell>
          <cell r="G61">
            <v>1</v>
          </cell>
          <cell r="H61">
            <v>55</v>
          </cell>
          <cell r="I61" t="str">
            <v>матрица</v>
          </cell>
          <cell r="J61"/>
          <cell r="K61">
            <v>22.2</v>
          </cell>
          <cell r="L61">
            <v>2.157</v>
          </cell>
          <cell r="M61">
            <v>24.356999999999999</v>
          </cell>
          <cell r="N61"/>
          <cell r="O61"/>
          <cell r="P61"/>
          <cell r="Q61">
            <v>0</v>
          </cell>
          <cell r="R61"/>
          <cell r="S61">
            <v>4.8713999999999995</v>
          </cell>
          <cell r="T61"/>
          <cell r="U61"/>
        </row>
        <row r="62">
          <cell r="A62" t="str">
            <v xml:space="preserve"> 338  Паштет печеночный с морковью ТМ Стародворье ламистер 0,1 кг.  ПОКОМ</v>
          </cell>
          <cell r="B62" t="str">
            <v>шт</v>
          </cell>
          <cell r="C62">
            <v>105</v>
          </cell>
          <cell r="D62">
            <v>147</v>
          </cell>
          <cell r="E62">
            <v>118</v>
          </cell>
          <cell r="F62">
            <v>119</v>
          </cell>
          <cell r="G62">
            <v>0.1</v>
          </cell>
          <cell r="H62">
            <v>731</v>
          </cell>
          <cell r="I62" t="str">
            <v>матрица</v>
          </cell>
          <cell r="J62"/>
          <cell r="K62">
            <v>132</v>
          </cell>
          <cell r="L62">
            <v>-14</v>
          </cell>
          <cell r="M62">
            <v>118</v>
          </cell>
          <cell r="N62"/>
          <cell r="O62"/>
          <cell r="P62"/>
          <cell r="Q62">
            <v>100.2</v>
          </cell>
          <cell r="R62"/>
          <cell r="S62">
            <v>23.6</v>
          </cell>
          <cell r="T62">
            <v>64.000000000000057</v>
          </cell>
          <cell r="U62"/>
        </row>
        <row r="63">
          <cell r="A63" t="str">
            <v xml:space="preserve"> 339  Колбаса вареная Филейская ТМ Вязанка ТС Классическая, 0,40 кг.  ПОКОМ</v>
          </cell>
          <cell r="B63" t="str">
            <v>шт</v>
          </cell>
          <cell r="C63">
            <v>18</v>
          </cell>
          <cell r="D63">
            <v>10</v>
          </cell>
          <cell r="E63">
            <v>1</v>
          </cell>
          <cell r="F63">
            <v>27</v>
          </cell>
          <cell r="G63">
            <v>0.4</v>
          </cell>
          <cell r="H63">
            <v>50</v>
          </cell>
          <cell r="I63" t="str">
            <v>матрица</v>
          </cell>
          <cell r="J63"/>
          <cell r="K63">
            <v>3</v>
          </cell>
          <cell r="L63">
            <v>-2</v>
          </cell>
          <cell r="M63">
            <v>1</v>
          </cell>
          <cell r="N63"/>
          <cell r="O63"/>
          <cell r="P63"/>
          <cell r="Q63">
            <v>0</v>
          </cell>
          <cell r="R63"/>
          <cell r="S63">
            <v>0.2</v>
          </cell>
          <cell r="T63"/>
          <cell r="U63"/>
        </row>
        <row r="64">
          <cell r="A64" t="str">
            <v xml:space="preserve"> 340  Сосиски Сочинки Молочные ТМ Стародворье, ВЕС ПОКОМ</v>
          </cell>
          <cell r="B64" t="str">
            <v>кг</v>
          </cell>
          <cell r="C64">
            <v>-26.584</v>
          </cell>
          <cell r="D64">
            <v>296.51600000000002</v>
          </cell>
          <cell r="E64">
            <v>9.8889999999999993</v>
          </cell>
          <cell r="F64">
            <v>71.605000000000004</v>
          </cell>
          <cell r="G64">
            <v>1</v>
          </cell>
          <cell r="H64">
            <v>40</v>
          </cell>
          <cell r="I64" t="str">
            <v>НЕДОГРУЗ / матрица</v>
          </cell>
          <cell r="J64"/>
          <cell r="K64">
            <v>168.8</v>
          </cell>
          <cell r="L64">
            <v>-158.911</v>
          </cell>
          <cell r="M64">
            <v>9.8889999999999993</v>
          </cell>
          <cell r="N64"/>
          <cell r="O64"/>
          <cell r="P64"/>
          <cell r="Q64">
            <v>0</v>
          </cell>
          <cell r="R64"/>
          <cell r="S64">
            <v>1.9777999999999998</v>
          </cell>
          <cell r="T64">
            <v>50</v>
          </cell>
          <cell r="U64"/>
        </row>
        <row r="65">
          <cell r="A65" t="str">
            <v xml:space="preserve"> 341 Сосиски Сочинки Сливочные ТМ Стародворье ВЕС ПОКОМ</v>
          </cell>
          <cell r="B65" t="str">
            <v>кг</v>
          </cell>
          <cell r="C65">
            <v>-40.819000000000003</v>
          </cell>
          <cell r="D65">
            <v>261.31700000000001</v>
          </cell>
          <cell r="E65">
            <v>98.992000000000004</v>
          </cell>
          <cell r="F65">
            <v>-53.939</v>
          </cell>
          <cell r="G65">
            <v>1</v>
          </cell>
          <cell r="H65">
            <v>40</v>
          </cell>
          <cell r="I65" t="str">
            <v>НЕДОГРУЗ / матрица</v>
          </cell>
          <cell r="J65"/>
          <cell r="K65">
            <v>233.49700000000001</v>
          </cell>
          <cell r="L65">
            <v>-134.505</v>
          </cell>
          <cell r="M65">
            <v>98.992000000000004</v>
          </cell>
          <cell r="N65"/>
          <cell r="O65"/>
          <cell r="P65"/>
          <cell r="Q65">
            <v>50</v>
          </cell>
          <cell r="R65"/>
          <cell r="S65">
            <v>19.798400000000001</v>
          </cell>
          <cell r="T65">
            <v>60</v>
          </cell>
          <cell r="U65"/>
        </row>
        <row r="66">
          <cell r="A66" t="str">
            <v xml:space="preserve"> 342 Сосиски Сочинки Молочные ТМ Стародворье 0,4 кг ПОКОМ</v>
          </cell>
          <cell r="B66" t="str">
            <v>шт</v>
          </cell>
          <cell r="C66">
            <v>878</v>
          </cell>
          <cell r="D66">
            <v>1011</v>
          </cell>
          <cell r="E66">
            <v>940</v>
          </cell>
          <cell r="F66">
            <v>124</v>
          </cell>
          <cell r="G66">
            <v>0.4</v>
          </cell>
          <cell r="H66">
            <v>40</v>
          </cell>
          <cell r="I66" t="str">
            <v>матрица</v>
          </cell>
          <cell r="J66"/>
          <cell r="K66">
            <v>1435</v>
          </cell>
          <cell r="L66">
            <v>-495</v>
          </cell>
          <cell r="M66">
            <v>820</v>
          </cell>
          <cell r="N66">
            <v>120</v>
          </cell>
          <cell r="O66"/>
          <cell r="P66"/>
          <cell r="Q66">
            <v>551.05975999999987</v>
          </cell>
          <cell r="R66">
            <v>684.50024000000008</v>
          </cell>
          <cell r="S66">
            <v>164</v>
          </cell>
          <cell r="T66">
            <v>608.44000000000005</v>
          </cell>
          <cell r="U66"/>
        </row>
        <row r="67">
          <cell r="A67" t="str">
            <v xml:space="preserve"> 343 Сосиски Сочинки Сливочные ТМ Стародворье  0,4 кг ПОКОМ</v>
          </cell>
          <cell r="B67" t="str">
            <v>шт</v>
          </cell>
          <cell r="C67">
            <v>79</v>
          </cell>
          <cell r="D67">
            <v>315</v>
          </cell>
          <cell r="E67">
            <v>193</v>
          </cell>
          <cell r="F67"/>
          <cell r="G67">
            <v>0.4</v>
          </cell>
          <cell r="H67">
            <v>40</v>
          </cell>
          <cell r="I67" t="str">
            <v>НЕДОГРУЗ / матрица</v>
          </cell>
          <cell r="J67"/>
          <cell r="K67">
            <v>667</v>
          </cell>
          <cell r="L67">
            <v>-474</v>
          </cell>
          <cell r="M67">
            <v>133</v>
          </cell>
          <cell r="N67">
            <v>60</v>
          </cell>
          <cell r="O67">
            <v>50</v>
          </cell>
          <cell r="P67"/>
          <cell r="Q67">
            <v>187.4</v>
          </cell>
          <cell r="R67"/>
          <cell r="S67">
            <v>26.6</v>
          </cell>
          <cell r="T67">
            <v>200</v>
          </cell>
          <cell r="U67"/>
        </row>
        <row r="68">
          <cell r="A68" t="str">
            <v xml:space="preserve"> 344  Колбаса Сочинка по-европейски с сочной грудинкой ТМ Стародворье, ВЕС ПОКОМ</v>
          </cell>
          <cell r="B68" t="str">
            <v>кг</v>
          </cell>
          <cell r="C68">
            <v>131.67500000000001</v>
          </cell>
          <cell r="D68">
            <v>182.43899999999999</v>
          </cell>
          <cell r="E68">
            <v>131.47399999999999</v>
          </cell>
          <cell r="F68">
            <v>90.784000000000006</v>
          </cell>
          <cell r="G68">
            <v>1</v>
          </cell>
          <cell r="H68">
            <v>40</v>
          </cell>
          <cell r="I68" t="str">
            <v>матрица</v>
          </cell>
          <cell r="J68"/>
          <cell r="K68">
            <v>130.68799999999999</v>
          </cell>
          <cell r="L68">
            <v>0.78600000000000136</v>
          </cell>
          <cell r="M68">
            <v>55.727999999999994</v>
          </cell>
          <cell r="N68">
            <v>75.745999999999995</v>
          </cell>
          <cell r="O68"/>
          <cell r="P68"/>
          <cell r="Q68">
            <v>0</v>
          </cell>
          <cell r="R68"/>
          <cell r="S68">
            <v>11.145599999999998</v>
          </cell>
          <cell r="T68">
            <v>42.963199999999958</v>
          </cell>
          <cell r="U68"/>
        </row>
        <row r="69">
          <cell r="A69" t="str">
            <v xml:space="preserve"> 345  Колбаса Сочинка по-фински с сочным окроком ТМ Стародворье ВЕС ПОКОМ</v>
          </cell>
          <cell r="B69" t="str">
            <v>кг</v>
          </cell>
          <cell r="C69">
            <v>59.363</v>
          </cell>
          <cell r="D69">
            <v>389.28</v>
          </cell>
          <cell r="E69">
            <v>48.875999999999998</v>
          </cell>
          <cell r="F69">
            <v>191.06299999999999</v>
          </cell>
          <cell r="G69">
            <v>1</v>
          </cell>
          <cell r="H69">
            <v>40</v>
          </cell>
          <cell r="I69" t="str">
            <v>матрица</v>
          </cell>
          <cell r="J69"/>
          <cell r="K69">
            <v>237.13200000000001</v>
          </cell>
          <cell r="L69">
            <v>-188.256</v>
          </cell>
          <cell r="M69">
            <v>16.555999999999997</v>
          </cell>
          <cell r="N69">
            <v>32.32</v>
          </cell>
          <cell r="O69"/>
          <cell r="P69"/>
          <cell r="Q69">
            <v>0</v>
          </cell>
          <cell r="R69"/>
          <cell r="S69">
            <v>3.3111999999999995</v>
          </cell>
          <cell r="T69"/>
          <cell r="U69"/>
        </row>
        <row r="70">
          <cell r="A70" t="str">
            <v xml:space="preserve"> 346  Колбаса Сочинка зернистая с сочной грудинкой ТМ Стародворье.ВЕС ПОКОМ</v>
          </cell>
          <cell r="B70" t="str">
            <v>кг</v>
          </cell>
          <cell r="C70">
            <v>764.34199999999998</v>
          </cell>
          <cell r="D70">
            <v>374.04199999999997</v>
          </cell>
          <cell r="E70">
            <v>525.47400000000005</v>
          </cell>
          <cell r="F70">
            <v>354.42099999999999</v>
          </cell>
          <cell r="G70">
            <v>1</v>
          </cell>
          <cell r="H70">
            <v>40</v>
          </cell>
          <cell r="I70" t="str">
            <v>матрица</v>
          </cell>
          <cell r="J70"/>
          <cell r="K70">
            <v>631.66800000000001</v>
          </cell>
          <cell r="L70">
            <v>-106.19399999999996</v>
          </cell>
          <cell r="M70">
            <v>417.27700000000004</v>
          </cell>
          <cell r="N70">
            <v>108.197</v>
          </cell>
          <cell r="O70"/>
          <cell r="P70"/>
          <cell r="Q70">
            <v>378.85399999999993</v>
          </cell>
          <cell r="R70"/>
          <cell r="S70">
            <v>83.455400000000012</v>
          </cell>
          <cell r="T70">
            <v>268.18980000000028</v>
          </cell>
          <cell r="U70"/>
        </row>
        <row r="71">
          <cell r="A71" t="str">
            <v xml:space="preserve"> 347  Колбаса Сочинка рубленая с сочным окороком ТМ Стародворье ВЕС ПОКОМ</v>
          </cell>
          <cell r="B71" t="str">
            <v>кг</v>
          </cell>
          <cell r="C71">
            <v>115.339</v>
          </cell>
          <cell r="D71">
            <v>182.22200000000001</v>
          </cell>
          <cell r="E71">
            <v>117.982</v>
          </cell>
          <cell r="F71">
            <v>-28.298999999999999</v>
          </cell>
          <cell r="G71">
            <v>1</v>
          </cell>
          <cell r="H71">
            <v>40</v>
          </cell>
          <cell r="I71" t="str">
            <v>матрица</v>
          </cell>
          <cell r="J71"/>
          <cell r="K71">
            <v>235.834</v>
          </cell>
          <cell r="L71">
            <v>-117.852</v>
          </cell>
          <cell r="M71">
            <v>85.561999999999998</v>
          </cell>
          <cell r="N71">
            <v>32.42</v>
          </cell>
          <cell r="O71"/>
          <cell r="P71"/>
          <cell r="Q71">
            <v>186.3614</v>
          </cell>
          <cell r="R71"/>
          <cell r="S71">
            <v>17.112400000000001</v>
          </cell>
          <cell r="T71">
            <v>47.286400000000008</v>
          </cell>
          <cell r="U71"/>
        </row>
        <row r="72">
          <cell r="A72" t="str">
            <v xml:space="preserve"> 355  Колбаса Сервелат запеченный ТМ Стародворье ТС Дугушка. 0,6 кг. ПОКОМ</v>
          </cell>
          <cell r="B72" t="str">
            <v>шт</v>
          </cell>
          <cell r="C72"/>
          <cell r="D72"/>
          <cell r="E72"/>
          <cell r="F72"/>
          <cell r="G72">
            <v>0</v>
          </cell>
          <cell r="H72"/>
          <cell r="I72" t="str">
            <v>матрица</v>
          </cell>
          <cell r="J72"/>
          <cell r="K72"/>
          <cell r="L72">
            <v>0</v>
          </cell>
          <cell r="M72">
            <v>0</v>
          </cell>
          <cell r="N72"/>
          <cell r="O72"/>
          <cell r="P72"/>
          <cell r="Q72">
            <v>0</v>
          </cell>
          <cell r="R72"/>
          <cell r="S72">
            <v>0</v>
          </cell>
          <cell r="T72"/>
          <cell r="U72"/>
        </row>
        <row r="73">
          <cell r="A73" t="str">
            <v xml:space="preserve"> 364  Сардельки Филейские Вязанка ВЕС NDX ТМ Вязанка  ПОКОМ</v>
          </cell>
          <cell r="B73" t="str">
            <v>кг</v>
          </cell>
          <cell r="C73">
            <v>709.1</v>
          </cell>
          <cell r="D73">
            <v>204.63800000000001</v>
          </cell>
          <cell r="E73">
            <v>230.79599999999999</v>
          </cell>
          <cell r="F73">
            <v>484.81400000000002</v>
          </cell>
          <cell r="G73">
            <v>1</v>
          </cell>
          <cell r="H73">
            <v>30</v>
          </cell>
          <cell r="I73" t="str">
            <v>матрица</v>
          </cell>
          <cell r="J73"/>
          <cell r="K73">
            <v>378.4</v>
          </cell>
          <cell r="L73">
            <v>-147.60399999999998</v>
          </cell>
          <cell r="M73">
            <v>230.79599999999999</v>
          </cell>
          <cell r="N73"/>
          <cell r="O73"/>
          <cell r="P73"/>
          <cell r="Q73">
            <v>0</v>
          </cell>
          <cell r="R73"/>
          <cell r="S73">
            <v>46.159199999999998</v>
          </cell>
          <cell r="T73">
            <v>69.09639999999996</v>
          </cell>
          <cell r="U73"/>
        </row>
        <row r="74">
          <cell r="A74" t="str">
            <v xml:space="preserve"> 365  Колбаса Салями Филейбургская зернистая, 0,28 кг срез ТМ Баварушка ПОКОМ</v>
          </cell>
          <cell r="B74" t="str">
            <v>шт</v>
          </cell>
          <cell r="C74"/>
          <cell r="D74"/>
          <cell r="E74">
            <v>1</v>
          </cell>
          <cell r="F74">
            <v>-1</v>
          </cell>
          <cell r="G74">
            <v>0</v>
          </cell>
          <cell r="H74"/>
          <cell r="I74" t="str">
            <v>не в матрице</v>
          </cell>
          <cell r="J74"/>
          <cell r="K74">
            <v>1</v>
          </cell>
          <cell r="L74">
            <v>0</v>
          </cell>
          <cell r="M74">
            <v>1</v>
          </cell>
          <cell r="N74"/>
          <cell r="O74"/>
          <cell r="P74"/>
          <cell r="Q74">
            <v>0</v>
          </cell>
          <cell r="R74"/>
          <cell r="S74">
            <v>0.2</v>
          </cell>
          <cell r="T74"/>
          <cell r="U74"/>
        </row>
        <row r="75">
          <cell r="A75" t="str">
            <v xml:space="preserve"> 376  Колбаса Докторская Дугушка 0,6кг ГОСТ ТМ Стародворье  ПОКОМ </v>
          </cell>
          <cell r="B75" t="str">
            <v>шт</v>
          </cell>
          <cell r="C75">
            <v>1155</v>
          </cell>
          <cell r="D75">
            <v>212</v>
          </cell>
          <cell r="E75">
            <v>639</v>
          </cell>
          <cell r="F75">
            <v>482</v>
          </cell>
          <cell r="G75">
            <v>0.6</v>
          </cell>
          <cell r="H75">
            <v>60</v>
          </cell>
          <cell r="I75" t="str">
            <v>матрица</v>
          </cell>
          <cell r="J75"/>
          <cell r="K75">
            <v>739</v>
          </cell>
          <cell r="L75">
            <v>-100</v>
          </cell>
          <cell r="M75">
            <v>639</v>
          </cell>
          <cell r="N75"/>
          <cell r="O75"/>
          <cell r="P75"/>
          <cell r="Q75">
            <v>317.08816000000002</v>
          </cell>
          <cell r="R75">
            <v>393.87184000000008</v>
          </cell>
          <cell r="S75">
            <v>127.8</v>
          </cell>
          <cell r="T75">
            <v>340.63999999999987</v>
          </cell>
          <cell r="U75"/>
        </row>
        <row r="76">
          <cell r="A76" t="str">
            <v xml:space="preserve"> 377  Колбаса Молочная Дугушка 0,6кг ТМ Стародворье  ПОКОМ</v>
          </cell>
          <cell r="B76" t="str">
            <v>шт</v>
          </cell>
          <cell r="C76">
            <v>831</v>
          </cell>
          <cell r="D76">
            <v>520</v>
          </cell>
          <cell r="E76">
            <v>646</v>
          </cell>
          <cell r="F76">
            <v>503</v>
          </cell>
          <cell r="G76">
            <v>0.6</v>
          </cell>
          <cell r="H76">
            <v>60</v>
          </cell>
          <cell r="I76" t="str">
            <v>матрица</v>
          </cell>
          <cell r="J76"/>
          <cell r="K76">
            <v>720</v>
          </cell>
          <cell r="L76">
            <v>-74</v>
          </cell>
          <cell r="M76">
            <v>646</v>
          </cell>
          <cell r="N76"/>
          <cell r="O76">
            <v>347.88</v>
          </cell>
          <cell r="P76"/>
          <cell r="Q76">
            <v>354.23999999999972</v>
          </cell>
          <cell r="R76"/>
          <cell r="S76">
            <v>129.19999999999999</v>
          </cell>
          <cell r="T76">
            <v>345.28000000000009</v>
          </cell>
          <cell r="U76"/>
        </row>
        <row r="77">
          <cell r="A77" t="str">
            <v xml:space="preserve"> 387  Колбаса вареная Мусульманская Халяль ТМ Вязанка, 0,4 кг ПОКОМ</v>
          </cell>
          <cell r="B77" t="str">
            <v>шт</v>
          </cell>
          <cell r="C77"/>
          <cell r="D77">
            <v>40</v>
          </cell>
          <cell r="E77"/>
          <cell r="F77">
            <v>40</v>
          </cell>
          <cell r="G77">
            <v>0.4</v>
          </cell>
          <cell r="H77"/>
          <cell r="I77" t="str">
            <v>матрица</v>
          </cell>
          <cell r="J77"/>
          <cell r="K77"/>
          <cell r="L77">
            <v>0</v>
          </cell>
          <cell r="M77">
            <v>0</v>
          </cell>
          <cell r="N77"/>
          <cell r="O77"/>
          <cell r="P77"/>
          <cell r="Q77">
            <v>10</v>
          </cell>
          <cell r="R77"/>
          <cell r="S77">
            <v>0</v>
          </cell>
          <cell r="T77"/>
          <cell r="U77"/>
        </row>
        <row r="78">
          <cell r="A78" t="str">
            <v xml:space="preserve"> 388  Сосиски Восточные Халяль ТМ Вязанка 0,33 кг АК. ПОКОМ</v>
          </cell>
          <cell r="B78" t="str">
            <v>шт</v>
          </cell>
          <cell r="C78">
            <v>1</v>
          </cell>
          <cell r="D78"/>
          <cell r="E78"/>
          <cell r="F78">
            <v>1</v>
          </cell>
          <cell r="G78">
            <v>0</v>
          </cell>
          <cell r="H78"/>
          <cell r="I78" t="str">
            <v>матрица</v>
          </cell>
          <cell r="J78"/>
          <cell r="K78"/>
          <cell r="L78">
            <v>0</v>
          </cell>
          <cell r="M78">
            <v>0</v>
          </cell>
          <cell r="N78"/>
          <cell r="O78"/>
          <cell r="P78"/>
          <cell r="Q78">
            <v>0</v>
          </cell>
          <cell r="R78"/>
          <cell r="S78">
            <v>0</v>
          </cell>
          <cell r="T78"/>
          <cell r="U78"/>
        </row>
        <row r="79">
          <cell r="A79" t="str">
            <v xml:space="preserve"> 394 Колбаса полукопченая Аль-Ислами халяль ТМ Вязанка оболочка фиброуз в в/у 0,35 кг  ПОКОМ</v>
          </cell>
          <cell r="B79" t="str">
            <v>шт</v>
          </cell>
          <cell r="C79">
            <v>14</v>
          </cell>
          <cell r="D79">
            <v>66</v>
          </cell>
          <cell r="E79">
            <v>20</v>
          </cell>
          <cell r="F79">
            <v>64</v>
          </cell>
          <cell r="G79">
            <v>0.35</v>
          </cell>
          <cell r="H79">
            <v>90</v>
          </cell>
          <cell r="I79" t="str">
            <v>матрица</v>
          </cell>
          <cell r="J79"/>
          <cell r="K79">
            <v>57</v>
          </cell>
          <cell r="L79">
            <v>-37</v>
          </cell>
          <cell r="M79">
            <v>20</v>
          </cell>
          <cell r="N79"/>
          <cell r="O79"/>
          <cell r="P79"/>
          <cell r="Q79">
            <v>0</v>
          </cell>
          <cell r="R79"/>
          <cell r="S79">
            <v>4</v>
          </cell>
          <cell r="T79"/>
          <cell r="U79"/>
        </row>
        <row r="80">
          <cell r="A80" t="str">
            <v xml:space="preserve"> 395  Колбаса Докторская ГОСТ ТМ Вязанка в оболочке полиамид 0,37 кг. ПОКОМ</v>
          </cell>
          <cell r="B80" t="str">
            <v>шт</v>
          </cell>
          <cell r="C80">
            <v>88</v>
          </cell>
          <cell r="D80">
            <v>275</v>
          </cell>
          <cell r="E80">
            <v>153</v>
          </cell>
          <cell r="F80">
            <v>195</v>
          </cell>
          <cell r="G80">
            <v>0.37</v>
          </cell>
          <cell r="H80">
            <v>50</v>
          </cell>
          <cell r="I80" t="str">
            <v>матрица</v>
          </cell>
          <cell r="J80"/>
          <cell r="K80">
            <v>175</v>
          </cell>
          <cell r="L80">
            <v>-22</v>
          </cell>
          <cell r="M80">
            <v>153</v>
          </cell>
          <cell r="N80"/>
          <cell r="O80"/>
          <cell r="P80"/>
          <cell r="Q80">
            <v>85.600000000000023</v>
          </cell>
          <cell r="R80"/>
          <cell r="S80">
            <v>30.6</v>
          </cell>
          <cell r="T80">
            <v>86.600000000000023</v>
          </cell>
          <cell r="U80"/>
        </row>
        <row r="81">
          <cell r="A81" t="str">
            <v xml:space="preserve"> 397  Ветчина Дугушка ТМ Стародворье ТС Дугушка в полиамидной оболочке 0,6 кг. ПОКОМ</v>
          </cell>
          <cell r="B81" t="str">
            <v>шт</v>
          </cell>
          <cell r="C81">
            <v>722</v>
          </cell>
          <cell r="D81">
            <v>13</v>
          </cell>
          <cell r="E81">
            <v>309</v>
          </cell>
          <cell r="F81">
            <v>389</v>
          </cell>
          <cell r="G81">
            <v>0.6</v>
          </cell>
          <cell r="H81">
            <v>70</v>
          </cell>
          <cell r="I81" t="str">
            <v>ВНИМАНИЕ / матрица</v>
          </cell>
          <cell r="J81"/>
          <cell r="K81">
            <v>331</v>
          </cell>
          <cell r="L81">
            <v>-22</v>
          </cell>
          <cell r="M81">
            <v>309</v>
          </cell>
          <cell r="N81"/>
          <cell r="O81"/>
          <cell r="P81"/>
          <cell r="Q81">
            <v>127</v>
          </cell>
          <cell r="R81"/>
          <cell r="S81">
            <v>61.8</v>
          </cell>
          <cell r="T81">
            <v>163.79999999999995</v>
          </cell>
          <cell r="U81"/>
        </row>
        <row r="82">
          <cell r="A82" t="str">
            <v xml:space="preserve"> 405  Сардельки Сливушки ТМ Вязанка в оболочке айпил 0,33 кг. ПОКОМ</v>
          </cell>
          <cell r="B82" t="str">
            <v>шт</v>
          </cell>
          <cell r="C82">
            <v>84</v>
          </cell>
          <cell r="D82">
            <v>372</v>
          </cell>
          <cell r="E82">
            <v>206</v>
          </cell>
          <cell r="F82">
            <v>55</v>
          </cell>
          <cell r="G82">
            <v>0.33</v>
          </cell>
          <cell r="H82">
            <v>40</v>
          </cell>
          <cell r="I82" t="str">
            <v>матрица</v>
          </cell>
          <cell r="J82"/>
          <cell r="K82">
            <v>342</v>
          </cell>
          <cell r="L82">
            <v>-136</v>
          </cell>
          <cell r="M82">
            <v>206</v>
          </cell>
          <cell r="N82"/>
          <cell r="O82">
            <v>144.0712</v>
          </cell>
          <cell r="P82"/>
          <cell r="Q82">
            <v>156.54000000000011</v>
          </cell>
          <cell r="R82"/>
          <cell r="S82">
            <v>41.2</v>
          </cell>
          <cell r="T82">
            <v>138.7887999999999</v>
          </cell>
          <cell r="U82"/>
        </row>
        <row r="83">
          <cell r="A83" t="str">
            <v xml:space="preserve"> 408  Ветчина Сливушка с индейкой ТМ Вязанка, 0,4кг  ПОКОМ</v>
          </cell>
          <cell r="B83" t="str">
            <v>шт</v>
          </cell>
          <cell r="C83">
            <v>50</v>
          </cell>
          <cell r="D83">
            <v>114</v>
          </cell>
          <cell r="E83">
            <v>66</v>
          </cell>
          <cell r="F83">
            <v>113</v>
          </cell>
          <cell r="G83">
            <v>0.4</v>
          </cell>
          <cell r="H83">
            <v>55</v>
          </cell>
          <cell r="I83" t="str">
            <v>матрица</v>
          </cell>
          <cell r="J83"/>
          <cell r="K83">
            <v>58</v>
          </cell>
          <cell r="L83">
            <v>8</v>
          </cell>
          <cell r="M83">
            <v>66</v>
          </cell>
          <cell r="N83"/>
          <cell r="O83"/>
          <cell r="P83"/>
          <cell r="Q83">
            <v>19.19999999999996</v>
          </cell>
          <cell r="R83"/>
          <cell r="S83">
            <v>13.2</v>
          </cell>
          <cell r="T83">
            <v>26.200000000000017</v>
          </cell>
          <cell r="U83"/>
        </row>
        <row r="84">
          <cell r="A84" t="str">
            <v xml:space="preserve"> 410  Сосиски Баварские с сыром ТМ Стародворье 0,35 кг. ПОКОМ</v>
          </cell>
          <cell r="B84" t="str">
            <v>шт</v>
          </cell>
          <cell r="C84">
            <v>-8</v>
          </cell>
          <cell r="D84">
            <v>375</v>
          </cell>
          <cell r="E84">
            <v>98</v>
          </cell>
          <cell r="F84">
            <v>262</v>
          </cell>
          <cell r="G84">
            <v>0.35</v>
          </cell>
          <cell r="H84">
            <v>40</v>
          </cell>
          <cell r="I84" t="str">
            <v>НЕДОГРУЗ / матрица</v>
          </cell>
          <cell r="J84"/>
          <cell r="K84">
            <v>70</v>
          </cell>
          <cell r="L84">
            <v>28</v>
          </cell>
          <cell r="M84">
            <v>98</v>
          </cell>
          <cell r="N84"/>
          <cell r="O84">
            <v>50</v>
          </cell>
          <cell r="P84"/>
          <cell r="Q84">
            <v>0</v>
          </cell>
          <cell r="R84"/>
          <cell r="S84">
            <v>19.600000000000001</v>
          </cell>
          <cell r="T84">
            <v>50</v>
          </cell>
          <cell r="U84"/>
        </row>
        <row r="85">
          <cell r="A85" t="str">
            <v xml:space="preserve"> 412  Сосиски Баварские ТМ Стародворье 0,35 кг ПОКОМ</v>
          </cell>
          <cell r="B85" t="str">
            <v>шт</v>
          </cell>
          <cell r="C85">
            <v>-1</v>
          </cell>
          <cell r="D85">
            <v>315</v>
          </cell>
          <cell r="E85">
            <v>-3</v>
          </cell>
          <cell r="F85">
            <v>10</v>
          </cell>
          <cell r="G85">
            <v>0.35</v>
          </cell>
          <cell r="H85">
            <v>45</v>
          </cell>
          <cell r="I85" t="str">
            <v>НЕДОГРУЗ / матрица</v>
          </cell>
          <cell r="J85"/>
          <cell r="K85">
            <v>269</v>
          </cell>
          <cell r="L85">
            <v>-272</v>
          </cell>
          <cell r="M85">
            <v>-153</v>
          </cell>
          <cell r="N85">
            <v>150</v>
          </cell>
          <cell r="O85">
            <v>50</v>
          </cell>
          <cell r="P85"/>
          <cell r="Q85">
            <v>100</v>
          </cell>
          <cell r="R85"/>
          <cell r="S85">
            <v>-30.6</v>
          </cell>
          <cell r="T85">
            <v>100</v>
          </cell>
          <cell r="U85"/>
        </row>
        <row r="86">
          <cell r="A86" t="str">
            <v xml:space="preserve"> 425 Сосиски Сливочные Вязанка Сливушки Весовые П/а мгс Вязанка  Поком</v>
          </cell>
          <cell r="B86" t="str">
            <v>кг</v>
          </cell>
          <cell r="C86">
            <v>-5.4409999999999998</v>
          </cell>
          <cell r="D86"/>
          <cell r="E86"/>
          <cell r="F86">
            <v>-5.4409999999999998</v>
          </cell>
          <cell r="G86">
            <v>0</v>
          </cell>
          <cell r="H86"/>
          <cell r="I86" t="str">
            <v>не в матрице</v>
          </cell>
          <cell r="J86" t="str">
            <v xml:space="preserve"> 017  Сосиски Вязанка Сливочные, Вязанка амицел ВЕС.ПОКОМ</v>
          </cell>
          <cell r="K86"/>
          <cell r="L86">
            <v>0</v>
          </cell>
          <cell r="M86">
            <v>0</v>
          </cell>
          <cell r="N86"/>
          <cell r="O86"/>
          <cell r="P86"/>
          <cell r="Q86">
            <v>0</v>
          </cell>
          <cell r="R86"/>
          <cell r="S86">
            <v>0</v>
          </cell>
          <cell r="T86"/>
          <cell r="U86"/>
        </row>
        <row r="87">
          <cell r="A87" t="str">
            <v xml:space="preserve"> 430  Колбаса Стародворская с окороком 0,4 кг. ТМ Стародворье в оболочке полиамид  ПОКОМ</v>
          </cell>
          <cell r="B87" t="str">
            <v>шт</v>
          </cell>
          <cell r="C87">
            <v>53</v>
          </cell>
          <cell r="D87">
            <v>50</v>
          </cell>
          <cell r="E87">
            <v>2</v>
          </cell>
          <cell r="F87">
            <v>103</v>
          </cell>
          <cell r="G87">
            <v>0.4</v>
          </cell>
          <cell r="H87">
            <v>55</v>
          </cell>
          <cell r="I87" t="str">
            <v>матрица</v>
          </cell>
          <cell r="J87"/>
          <cell r="K87"/>
          <cell r="L87">
            <v>2</v>
          </cell>
          <cell r="M87">
            <v>2</v>
          </cell>
          <cell r="N87"/>
          <cell r="O87"/>
          <cell r="P87"/>
          <cell r="Q87">
            <v>0</v>
          </cell>
          <cell r="R87"/>
          <cell r="S87">
            <v>0.4</v>
          </cell>
          <cell r="T87"/>
          <cell r="U87"/>
        </row>
        <row r="88">
          <cell r="A88" t="str">
            <v xml:space="preserve"> 433 Колбаса Стародворская со шпиком  в оболочке полиамид. ТМ Стародворье ВЕС ПОКОМ</v>
          </cell>
          <cell r="B88" t="str">
            <v>кг</v>
          </cell>
          <cell r="C88">
            <v>33.728999999999999</v>
          </cell>
          <cell r="D88"/>
          <cell r="E88">
            <v>4.0910000000000002</v>
          </cell>
          <cell r="F88">
            <v>16.384</v>
          </cell>
          <cell r="G88">
            <v>1</v>
          </cell>
          <cell r="H88">
            <v>55</v>
          </cell>
          <cell r="I88" t="str">
            <v>матрица</v>
          </cell>
          <cell r="J88"/>
          <cell r="K88">
            <v>15.3</v>
          </cell>
          <cell r="L88">
            <v>-11.209</v>
          </cell>
          <cell r="M88">
            <v>4.0910000000000002</v>
          </cell>
          <cell r="N88"/>
          <cell r="O88"/>
          <cell r="P88"/>
          <cell r="Q88">
            <v>0</v>
          </cell>
          <cell r="R88"/>
          <cell r="S88">
            <v>0.81820000000000004</v>
          </cell>
          <cell r="T88"/>
          <cell r="U88"/>
        </row>
        <row r="89">
          <cell r="A89" t="str">
            <v xml:space="preserve"> 436  Колбаса Молочная стародворская с молоком, ВЕС, ТМ Стародворье  ПОКОМ</v>
          </cell>
          <cell r="B89" t="str">
            <v>кг</v>
          </cell>
          <cell r="C89"/>
          <cell r="D89"/>
          <cell r="E89"/>
          <cell r="F89"/>
          <cell r="G89">
            <v>0</v>
          </cell>
          <cell r="H89"/>
          <cell r="I89" t="str">
            <v>матрица</v>
          </cell>
          <cell r="J89"/>
          <cell r="K89"/>
          <cell r="L89">
            <v>0</v>
          </cell>
          <cell r="M89">
            <v>0</v>
          </cell>
          <cell r="N89"/>
          <cell r="O89"/>
          <cell r="P89"/>
          <cell r="Q89">
            <v>0</v>
          </cell>
          <cell r="R89"/>
          <cell r="S89">
            <v>0</v>
          </cell>
          <cell r="T89"/>
          <cell r="U89"/>
        </row>
        <row r="90">
          <cell r="A90" t="str">
            <v xml:space="preserve"> 449  Колбаса Дугушка Стародворская ВЕС ТС Дугушка ПОКОМ</v>
          </cell>
          <cell r="B90" t="str">
            <v>кг</v>
          </cell>
          <cell r="C90">
            <v>3866.12</v>
          </cell>
          <cell r="D90">
            <v>5962.2690000000002</v>
          </cell>
          <cell r="E90">
            <v>4315.1090000000004</v>
          </cell>
          <cell r="F90">
            <v>3348.8519999999999</v>
          </cell>
          <cell r="G90">
            <v>1</v>
          </cell>
          <cell r="H90">
            <v>60</v>
          </cell>
          <cell r="I90" t="str">
            <v>матрица</v>
          </cell>
          <cell r="J90"/>
          <cell r="K90">
            <v>4583.6000000000004</v>
          </cell>
          <cell r="L90">
            <v>-268.49099999999999</v>
          </cell>
          <cell r="M90">
            <v>4213.1590000000006</v>
          </cell>
          <cell r="N90">
            <v>101.95</v>
          </cell>
          <cell r="O90">
            <v>1377.1870138935999</v>
          </cell>
          <cell r="P90"/>
          <cell r="Q90">
            <v>2305.7990356897199</v>
          </cell>
          <cell r="R90">
            <v>2864.1539591302808</v>
          </cell>
          <cell r="S90">
            <v>842.63180000000011</v>
          </cell>
          <cell r="T90">
            <v>215.58959128640072</v>
          </cell>
          <cell r="U90"/>
        </row>
        <row r="91">
          <cell r="A91" t="str">
            <v xml:space="preserve"> 451 Сосиски Филейские ТМ Вязанка в оболочке целлофан 0,3 кг. ПОКОМ</v>
          </cell>
          <cell r="B91" t="str">
            <v>шт</v>
          </cell>
          <cell r="C91">
            <v>146</v>
          </cell>
          <cell r="D91">
            <v>322</v>
          </cell>
          <cell r="E91">
            <v>245</v>
          </cell>
          <cell r="F91">
            <v>197</v>
          </cell>
          <cell r="G91">
            <v>0.3</v>
          </cell>
          <cell r="H91">
            <v>40</v>
          </cell>
          <cell r="I91" t="str">
            <v>матрица</v>
          </cell>
          <cell r="J91"/>
          <cell r="K91">
            <v>271</v>
          </cell>
          <cell r="L91">
            <v>-26</v>
          </cell>
          <cell r="M91">
            <v>245</v>
          </cell>
          <cell r="N91"/>
          <cell r="O91">
            <v>208.21943999999999</v>
          </cell>
          <cell r="P91"/>
          <cell r="Q91">
            <v>0</v>
          </cell>
          <cell r="R91"/>
          <cell r="S91">
            <v>49</v>
          </cell>
          <cell r="T91">
            <v>182.78056000000004</v>
          </cell>
          <cell r="U91"/>
        </row>
        <row r="92">
          <cell r="A92" t="str">
            <v xml:space="preserve"> 452  Колбаса Со шпиком ВЕС большой батон ТМ Особый рецепт  ПОКОМ</v>
          </cell>
          <cell r="B92" t="str">
            <v>кг</v>
          </cell>
          <cell r="C92">
            <v>1501.596</v>
          </cell>
          <cell r="D92">
            <v>4179.04</v>
          </cell>
          <cell r="E92">
            <v>1786.174</v>
          </cell>
          <cell r="F92">
            <v>383.12700000000001</v>
          </cell>
          <cell r="G92">
            <v>1</v>
          </cell>
          <cell r="H92">
            <v>60</v>
          </cell>
          <cell r="I92" t="str">
            <v>матрица</v>
          </cell>
          <cell r="J92"/>
          <cell r="K92">
            <v>3731.7339999999999</v>
          </cell>
          <cell r="L92">
            <v>-1945.56</v>
          </cell>
          <cell r="M92">
            <v>1786.174</v>
          </cell>
          <cell r="N92"/>
          <cell r="O92">
            <v>794.34634021391992</v>
          </cell>
          <cell r="P92"/>
          <cell r="Q92">
            <v>1619.6354969949839</v>
          </cell>
          <cell r="R92">
            <v>2011.834227209016</v>
          </cell>
          <cell r="S92">
            <v>357.23480000000001</v>
          </cell>
          <cell r="T92"/>
          <cell r="U92"/>
        </row>
        <row r="93">
          <cell r="A93" t="str">
            <v xml:space="preserve"> 456  Колбаса Филейная ТМ Особый рецепт ВЕС большой батон  ПОКОМ</v>
          </cell>
          <cell r="B93" t="str">
            <v>кг</v>
          </cell>
          <cell r="C93">
            <v>5155.0910000000003</v>
          </cell>
          <cell r="D93">
            <v>3786.1170000000002</v>
          </cell>
          <cell r="E93">
            <v>3167.6869999999999</v>
          </cell>
          <cell r="F93">
            <v>3242.4430000000002</v>
          </cell>
          <cell r="G93">
            <v>1</v>
          </cell>
          <cell r="H93">
            <v>60</v>
          </cell>
          <cell r="I93" t="str">
            <v>матрица</v>
          </cell>
          <cell r="J93"/>
          <cell r="K93">
            <v>4175.7219999999998</v>
          </cell>
          <cell r="L93">
            <v>-1008.0349999999999</v>
          </cell>
          <cell r="M93">
            <v>1522.6769999999999</v>
          </cell>
          <cell r="N93">
            <v>1645.01</v>
          </cell>
          <cell r="O93">
            <v>1039.1909161649589</v>
          </cell>
          <cell r="P93"/>
          <cell r="Q93">
            <v>398.05942898159287</v>
          </cell>
          <cell r="R93">
            <v>494.45050147040922</v>
          </cell>
          <cell r="S93">
            <v>304.53539999999998</v>
          </cell>
          <cell r="T93"/>
          <cell r="U93"/>
        </row>
        <row r="94">
          <cell r="A94" t="str">
            <v xml:space="preserve"> 457  Колбаса Молочная ТМ Особый рецепт ВЕС большой батон  ПОКОМ</v>
          </cell>
          <cell r="B94" t="str">
            <v>кг</v>
          </cell>
          <cell r="C94">
            <v>5918.6170000000002</v>
          </cell>
          <cell r="D94">
            <v>6028.2030000000004</v>
          </cell>
          <cell r="E94">
            <v>2740.491</v>
          </cell>
          <cell r="F94">
            <v>5512.5709999999999</v>
          </cell>
          <cell r="G94">
            <v>1</v>
          </cell>
          <cell r="H94">
            <v>60</v>
          </cell>
          <cell r="I94" t="str">
            <v>матрица</v>
          </cell>
          <cell r="J94"/>
          <cell r="K94">
            <v>6008.5770000000002</v>
          </cell>
          <cell r="L94">
            <v>-3268.0860000000002</v>
          </cell>
          <cell r="M94">
            <v>1989.252</v>
          </cell>
          <cell r="N94">
            <v>751.23900000000003</v>
          </cell>
          <cell r="O94">
            <v>1317.9080096</v>
          </cell>
          <cell r="P94"/>
          <cell r="Q94">
            <v>0</v>
          </cell>
          <cell r="R94"/>
          <cell r="S94">
            <v>397.85039999999998</v>
          </cell>
          <cell r="T94"/>
          <cell r="U94"/>
        </row>
        <row r="95">
          <cell r="A95" t="str">
            <v xml:space="preserve"> 460  Колбаса Стародворская Традиционная ВЕС ТМ Стародворье в оболочке полиамид. ПОКОМ</v>
          </cell>
          <cell r="B95" t="str">
            <v>кг</v>
          </cell>
          <cell r="C95">
            <v>76.864000000000004</v>
          </cell>
          <cell r="D95">
            <v>2.67</v>
          </cell>
          <cell r="E95">
            <v>26.853999999999999</v>
          </cell>
          <cell r="F95">
            <v>48.497999999999998</v>
          </cell>
          <cell r="G95">
            <v>1</v>
          </cell>
          <cell r="H95">
            <v>55</v>
          </cell>
          <cell r="I95" t="str">
            <v>матрица</v>
          </cell>
          <cell r="J95"/>
          <cell r="K95">
            <v>27.2</v>
          </cell>
          <cell r="L95">
            <v>-0.34600000000000009</v>
          </cell>
          <cell r="M95">
            <v>26.853999999999999</v>
          </cell>
          <cell r="N95"/>
          <cell r="O95"/>
          <cell r="P95"/>
          <cell r="Q95">
            <v>0</v>
          </cell>
          <cell r="R95"/>
          <cell r="S95">
            <v>5.3708</v>
          </cell>
          <cell r="T95">
            <v>15.951600000000006</v>
          </cell>
          <cell r="U95"/>
        </row>
        <row r="96">
          <cell r="A96" t="str">
            <v xml:space="preserve"> 463  Колбаса Молочная Традиционнаяв оболочке полиамид.ТМ Стародворье. ВЕС ПОКОМ</v>
          </cell>
          <cell r="B96" t="str">
            <v>кг</v>
          </cell>
          <cell r="C96">
            <v>-1.36</v>
          </cell>
          <cell r="D96"/>
          <cell r="E96"/>
          <cell r="F96">
            <v>-1.36</v>
          </cell>
          <cell r="G96">
            <v>0</v>
          </cell>
          <cell r="H96"/>
          <cell r="I96" t="str">
            <v>не в матрице</v>
          </cell>
          <cell r="J96"/>
          <cell r="K96"/>
          <cell r="L96">
            <v>0</v>
          </cell>
          <cell r="M96">
            <v>0</v>
          </cell>
          <cell r="N96"/>
          <cell r="O96"/>
          <cell r="P96"/>
          <cell r="Q96">
            <v>0</v>
          </cell>
          <cell r="R96"/>
          <cell r="S96">
            <v>0</v>
          </cell>
          <cell r="T96"/>
          <cell r="U96"/>
        </row>
        <row r="97">
          <cell r="A97" t="str">
            <v xml:space="preserve"> 485  Колбаса Молочная по-стародворски ТМ Стародворье в оболочке полиамид. ВЕС ПОКОМ </v>
          </cell>
          <cell r="B97" t="str">
            <v>кг</v>
          </cell>
          <cell r="C97">
            <v>-2.5960000000000001</v>
          </cell>
          <cell r="D97"/>
          <cell r="E97"/>
          <cell r="F97">
            <v>-2.5960000000000001</v>
          </cell>
          <cell r="G97">
            <v>0</v>
          </cell>
          <cell r="H97"/>
          <cell r="I97" t="str">
            <v>не в матрице</v>
          </cell>
          <cell r="J97"/>
          <cell r="K97"/>
          <cell r="L97">
            <v>0</v>
          </cell>
          <cell r="M97">
            <v>0</v>
          </cell>
          <cell r="N97"/>
          <cell r="O97"/>
          <cell r="P97"/>
          <cell r="Q97">
            <v>0</v>
          </cell>
          <cell r="R97"/>
          <cell r="S97">
            <v>0</v>
          </cell>
          <cell r="T97"/>
          <cell r="U97"/>
        </row>
        <row r="98">
          <cell r="A98" t="str">
            <v xml:space="preserve"> 498  Колбаса Сочинка рубленая с сочным окороком 0,3кг ТМ Стародворье  ПОКОМ</v>
          </cell>
          <cell r="B98" t="str">
            <v>шт</v>
          </cell>
          <cell r="C98">
            <v>-3</v>
          </cell>
          <cell r="D98">
            <v>2</v>
          </cell>
          <cell r="E98"/>
          <cell r="F98">
            <v>-3</v>
          </cell>
          <cell r="G98">
            <v>0.3</v>
          </cell>
          <cell r="H98">
            <v>40</v>
          </cell>
          <cell r="I98" t="str">
            <v>НЕДОГРУЗ / матрица</v>
          </cell>
          <cell r="J98"/>
          <cell r="K98">
            <v>182</v>
          </cell>
          <cell r="L98">
            <v>-182</v>
          </cell>
          <cell r="M98">
            <v>0</v>
          </cell>
          <cell r="N98"/>
          <cell r="O98"/>
          <cell r="P98"/>
          <cell r="Q98">
            <v>50</v>
          </cell>
          <cell r="R98"/>
          <cell r="S98">
            <v>0</v>
          </cell>
          <cell r="T98">
            <v>50</v>
          </cell>
          <cell r="U98"/>
        </row>
        <row r="99">
          <cell r="A99" t="str">
            <v xml:space="preserve"> 517  Сосиски С сыром ТМ Ядрена копоть 0,3кг  ПОКОМ</v>
          </cell>
          <cell r="B99" t="str">
            <v>шт</v>
          </cell>
          <cell r="C99">
            <v>56</v>
          </cell>
          <cell r="D99">
            <v>156</v>
          </cell>
          <cell r="E99">
            <v>39</v>
          </cell>
          <cell r="F99">
            <v>169</v>
          </cell>
          <cell r="G99">
            <v>0.3</v>
          </cell>
          <cell r="H99">
            <v>40</v>
          </cell>
          <cell r="I99" t="str">
            <v>матрица</v>
          </cell>
          <cell r="J99"/>
          <cell r="K99">
            <v>41</v>
          </cell>
          <cell r="L99">
            <v>-2</v>
          </cell>
          <cell r="M99">
            <v>39</v>
          </cell>
          <cell r="N99"/>
          <cell r="O99"/>
          <cell r="P99"/>
          <cell r="Q99">
            <v>0</v>
          </cell>
          <cell r="R99"/>
          <cell r="S99">
            <v>7.8</v>
          </cell>
          <cell r="T99"/>
          <cell r="U99"/>
        </row>
        <row r="100">
          <cell r="A100" t="str">
            <v xml:space="preserve"> 523  Колбаса Сальчичон нарезка 0,07кг ТМ Стародворье  ПОКОМ </v>
          </cell>
          <cell r="B100" t="str">
            <v>шт</v>
          </cell>
          <cell r="C100">
            <v>505</v>
          </cell>
          <cell r="D100">
            <v>23</v>
          </cell>
          <cell r="E100">
            <v>127</v>
          </cell>
          <cell r="F100">
            <v>327</v>
          </cell>
          <cell r="G100">
            <v>7.0000000000000007E-2</v>
          </cell>
          <cell r="H100">
            <v>90</v>
          </cell>
          <cell r="I100" t="str">
            <v>матрица</v>
          </cell>
          <cell r="J100"/>
          <cell r="K100">
            <v>189</v>
          </cell>
          <cell r="L100">
            <v>-62</v>
          </cell>
          <cell r="M100">
            <v>127</v>
          </cell>
          <cell r="N100"/>
          <cell r="O100"/>
          <cell r="P100"/>
          <cell r="Q100">
            <v>0</v>
          </cell>
          <cell r="R100"/>
          <cell r="S100">
            <v>25.4</v>
          </cell>
          <cell r="T100"/>
          <cell r="U100" t="str">
            <v xml:space="preserve">400 сеть молоко </v>
          </cell>
        </row>
        <row r="101">
          <cell r="A101" t="str">
            <v xml:space="preserve"> 524  Колбаса Сервелат Ореховый нарезка 0,07кг ТМ Стародворье  ПОКОМ</v>
          </cell>
          <cell r="B101" t="str">
            <v>шт</v>
          </cell>
          <cell r="C101">
            <v>428</v>
          </cell>
          <cell r="D101">
            <v>22</v>
          </cell>
          <cell r="E101">
            <v>138</v>
          </cell>
          <cell r="F101">
            <v>248</v>
          </cell>
          <cell r="G101">
            <v>7.0000000000000007E-2</v>
          </cell>
          <cell r="H101">
            <v>90</v>
          </cell>
          <cell r="I101" t="str">
            <v>матрица</v>
          </cell>
          <cell r="J101"/>
          <cell r="K101">
            <v>192</v>
          </cell>
          <cell r="L101">
            <v>-54</v>
          </cell>
          <cell r="M101">
            <v>138</v>
          </cell>
          <cell r="N101"/>
          <cell r="O101"/>
          <cell r="P101"/>
          <cell r="Q101">
            <v>0</v>
          </cell>
          <cell r="R101"/>
          <cell r="S101">
            <v>27.6</v>
          </cell>
          <cell r="T101">
            <v>83.200000000000045</v>
          </cell>
          <cell r="U101" t="str">
            <v xml:space="preserve">500 сеть молоко </v>
          </cell>
        </row>
        <row r="102">
          <cell r="A102" t="str">
            <v xml:space="preserve"> 525  Колбаса Фуэт нарезка 0,07кг ТМ Стародворье  ПОКОМ</v>
          </cell>
          <cell r="B102" t="str">
            <v>шт</v>
          </cell>
          <cell r="C102">
            <v>438</v>
          </cell>
          <cell r="D102">
            <v>10</v>
          </cell>
          <cell r="E102">
            <v>93</v>
          </cell>
          <cell r="F102">
            <v>304</v>
          </cell>
          <cell r="G102">
            <v>7.0000000000000007E-2</v>
          </cell>
          <cell r="H102">
            <v>90</v>
          </cell>
          <cell r="I102" t="str">
            <v>матрица</v>
          </cell>
          <cell r="J102"/>
          <cell r="K102">
            <v>137</v>
          </cell>
          <cell r="L102">
            <v>-44</v>
          </cell>
          <cell r="M102">
            <v>93</v>
          </cell>
          <cell r="N102"/>
          <cell r="O102"/>
          <cell r="P102"/>
          <cell r="Q102">
            <v>0</v>
          </cell>
          <cell r="R102"/>
          <cell r="S102">
            <v>18.600000000000001</v>
          </cell>
          <cell r="T102"/>
          <cell r="U102" t="str">
            <v xml:space="preserve">400 сеть молоко </v>
          </cell>
        </row>
        <row r="103">
          <cell r="A103" t="str">
            <v xml:space="preserve"> 526  Корейка вяленая выдержанная нарезка 0,05кг ТМ Стародворье  ПОКОМ</v>
          </cell>
          <cell r="B103" t="str">
            <v>шт</v>
          </cell>
          <cell r="C103">
            <v>4</v>
          </cell>
          <cell r="D103"/>
          <cell r="E103">
            <v>-3</v>
          </cell>
          <cell r="F103">
            <v>-11</v>
          </cell>
          <cell r="G103">
            <v>0</v>
          </cell>
          <cell r="H103">
            <v>90</v>
          </cell>
          <cell r="I103" t="str">
            <v>не в матрице</v>
          </cell>
          <cell r="J103"/>
          <cell r="K103">
            <v>107</v>
          </cell>
          <cell r="L103">
            <v>-110</v>
          </cell>
          <cell r="M103">
            <v>-3</v>
          </cell>
          <cell r="N103"/>
          <cell r="O103"/>
          <cell r="P103"/>
          <cell r="Q103">
            <v>0</v>
          </cell>
          <cell r="R103"/>
          <cell r="S103">
            <v>-0.6</v>
          </cell>
          <cell r="T103"/>
          <cell r="U103"/>
        </row>
        <row r="104">
          <cell r="A104" t="str">
            <v xml:space="preserve"> 544  Сосиски Мясные для гриля ТС Ядрена копоть 0,3 кг  ПОКОМ</v>
          </cell>
          <cell r="B104" t="str">
            <v>шт</v>
          </cell>
          <cell r="C104">
            <v>31</v>
          </cell>
          <cell r="D104">
            <v>3</v>
          </cell>
          <cell r="E104">
            <v>19</v>
          </cell>
          <cell r="F104">
            <v>14</v>
          </cell>
          <cell r="G104">
            <v>0.3</v>
          </cell>
          <cell r="H104">
            <v>40</v>
          </cell>
          <cell r="I104" t="str">
            <v>матрица</v>
          </cell>
          <cell r="J104"/>
          <cell r="K104">
            <v>44</v>
          </cell>
          <cell r="L104">
            <v>-25</v>
          </cell>
          <cell r="M104">
            <v>19</v>
          </cell>
          <cell r="N104"/>
          <cell r="O104"/>
          <cell r="P104"/>
          <cell r="Q104">
            <v>20</v>
          </cell>
          <cell r="R104"/>
          <cell r="S104">
            <v>3.8</v>
          </cell>
          <cell r="T104">
            <v>11.599999999999994</v>
          </cell>
          <cell r="U104"/>
        </row>
        <row r="105">
          <cell r="A105" t="str">
            <v xml:space="preserve"> 547  Колбаса Мясная Классическая ТМ Вязанка в оболочке полиамид. ВЕС  ПОКОМ</v>
          </cell>
          <cell r="B105" t="str">
            <v>кг</v>
          </cell>
          <cell r="C105">
            <v>30.44</v>
          </cell>
          <cell r="D105">
            <v>1.59</v>
          </cell>
          <cell r="E105">
            <v>12.779</v>
          </cell>
          <cell r="F105">
            <v>18.382000000000001</v>
          </cell>
          <cell r="G105">
            <v>1</v>
          </cell>
          <cell r="H105">
            <v>55</v>
          </cell>
          <cell r="I105" t="str">
            <v>матрица</v>
          </cell>
          <cell r="J105"/>
          <cell r="K105">
            <v>9.1999999999999993</v>
          </cell>
          <cell r="L105">
            <v>3.5790000000000006</v>
          </cell>
          <cell r="M105">
            <v>12.779</v>
          </cell>
          <cell r="N105"/>
          <cell r="O105"/>
          <cell r="P105"/>
          <cell r="Q105">
            <v>0</v>
          </cell>
          <cell r="R105"/>
          <cell r="S105">
            <v>2.5558000000000001</v>
          </cell>
          <cell r="T105">
            <v>12.287600000000001</v>
          </cell>
          <cell r="U105"/>
        </row>
        <row r="106">
          <cell r="A106" t="str">
            <v xml:space="preserve"> 551  Колбаса Сливушка ТМ Вязанка в модифицированной газовой среде 0,11 кг нарезка  ПОКОМ</v>
          </cell>
          <cell r="B106" t="str">
            <v>шт</v>
          </cell>
          <cell r="C106">
            <v>245</v>
          </cell>
          <cell r="D106">
            <v>21</v>
          </cell>
          <cell r="E106">
            <v>93</v>
          </cell>
          <cell r="F106">
            <v>123</v>
          </cell>
          <cell r="G106">
            <v>0.11</v>
          </cell>
          <cell r="H106">
            <v>30</v>
          </cell>
          <cell r="I106" t="str">
            <v>матрица</v>
          </cell>
          <cell r="J106"/>
          <cell r="K106">
            <v>142</v>
          </cell>
          <cell r="L106">
            <v>-49</v>
          </cell>
          <cell r="M106">
            <v>93</v>
          </cell>
          <cell r="N106"/>
          <cell r="O106"/>
          <cell r="P106"/>
          <cell r="Q106">
            <v>22.600000000000019</v>
          </cell>
          <cell r="R106"/>
          <cell r="S106">
            <v>18.600000000000001</v>
          </cell>
          <cell r="T106">
            <v>77.599999999999994</v>
          </cell>
          <cell r="U106" t="str">
            <v xml:space="preserve">500 сеть молоко </v>
          </cell>
        </row>
        <row r="107">
          <cell r="A107" t="str">
            <v xml:space="preserve"> 552  Ветчина Сливушка с индейкой ТМ Вязанка в модифицированной газовой среде 0,1 кг нарезка  ПОКОМ</v>
          </cell>
          <cell r="B107" t="str">
            <v>шт</v>
          </cell>
          <cell r="C107"/>
          <cell r="D107"/>
          <cell r="E107"/>
          <cell r="F107"/>
          <cell r="G107">
            <v>0</v>
          </cell>
          <cell r="H107"/>
          <cell r="I107" t="str">
            <v>матрица</v>
          </cell>
          <cell r="J107"/>
          <cell r="K107"/>
          <cell r="L107">
            <v>0</v>
          </cell>
          <cell r="M107">
            <v>0</v>
          </cell>
          <cell r="N107"/>
          <cell r="O107"/>
          <cell r="P107"/>
          <cell r="Q107">
            <v>0</v>
          </cell>
          <cell r="R107"/>
          <cell r="S107">
            <v>0</v>
          </cell>
          <cell r="T107"/>
          <cell r="U107"/>
        </row>
        <row r="108">
          <cell r="A108" t="str">
            <v xml:space="preserve"> 553  Ассорти колбас Мясорубская коллекция: Сервелат Делюкс, С балыком 0,08 кг нарезка  ПОКОМ</v>
          </cell>
          <cell r="B108" t="str">
            <v>шт</v>
          </cell>
          <cell r="C108">
            <v>575</v>
          </cell>
          <cell r="D108">
            <v>270</v>
          </cell>
          <cell r="E108">
            <v>205</v>
          </cell>
          <cell r="F108">
            <v>576</v>
          </cell>
          <cell r="G108">
            <v>0.08</v>
          </cell>
          <cell r="H108">
            <v>45</v>
          </cell>
          <cell r="I108" t="str">
            <v>матрица</v>
          </cell>
          <cell r="J108"/>
          <cell r="K108">
            <v>257</v>
          </cell>
          <cell r="L108">
            <v>-52</v>
          </cell>
          <cell r="M108">
            <v>205</v>
          </cell>
          <cell r="N108"/>
          <cell r="O108"/>
          <cell r="P108"/>
          <cell r="Q108">
            <v>0</v>
          </cell>
          <cell r="R108"/>
          <cell r="S108">
            <v>41</v>
          </cell>
          <cell r="T108"/>
          <cell r="U108" t="str">
            <v xml:space="preserve">300 сеть молоко </v>
          </cell>
        </row>
        <row r="109">
          <cell r="A109" t="str">
            <v xml:space="preserve"> 554  Колбаса Сервелат Мясорубский ТМ Стародворье в упаковке скин 0,08 кг нарезка  ПОКОМ</v>
          </cell>
          <cell r="B109" t="str">
            <v>шт</v>
          </cell>
          <cell r="C109">
            <v>456</v>
          </cell>
          <cell r="D109">
            <v>57</v>
          </cell>
          <cell r="E109">
            <v>208</v>
          </cell>
          <cell r="F109">
            <v>199</v>
          </cell>
          <cell r="G109">
            <v>0.08</v>
          </cell>
          <cell r="H109">
            <v>45</v>
          </cell>
          <cell r="I109" t="str">
            <v>матрица</v>
          </cell>
          <cell r="J109"/>
          <cell r="K109">
            <v>316</v>
          </cell>
          <cell r="L109">
            <v>-108</v>
          </cell>
          <cell r="M109">
            <v>208</v>
          </cell>
          <cell r="N109"/>
          <cell r="O109"/>
          <cell r="P109"/>
          <cell r="Q109">
            <v>97.600000000000023</v>
          </cell>
          <cell r="R109"/>
          <cell r="S109">
            <v>41.6</v>
          </cell>
          <cell r="T109">
            <v>202.60000000000002</v>
          </cell>
          <cell r="U109" t="str">
            <v xml:space="preserve">600 сеть молоко </v>
          </cell>
        </row>
        <row r="110">
          <cell r="A110" t="str">
            <v xml:space="preserve"> 555  Колбаса Молокуша ТМ Вязанка в модифицированной газовой среде 0,17 кг нарезка  ПОКОМ</v>
          </cell>
          <cell r="B110" t="str">
            <v>шт</v>
          </cell>
          <cell r="C110">
            <v>135</v>
          </cell>
          <cell r="D110">
            <v>124</v>
          </cell>
          <cell r="E110">
            <v>81</v>
          </cell>
          <cell r="F110">
            <v>165</v>
          </cell>
          <cell r="G110">
            <v>0.17</v>
          </cell>
          <cell r="H110">
            <v>30</v>
          </cell>
          <cell r="I110" t="str">
            <v>матрица</v>
          </cell>
          <cell r="J110"/>
          <cell r="K110">
            <v>93</v>
          </cell>
          <cell r="L110">
            <v>-12</v>
          </cell>
          <cell r="M110">
            <v>81</v>
          </cell>
          <cell r="N110"/>
          <cell r="O110"/>
          <cell r="P110"/>
          <cell r="Q110">
            <v>0</v>
          </cell>
          <cell r="R110"/>
          <cell r="S110">
            <v>16.2</v>
          </cell>
          <cell r="T110">
            <v>29.399999999999977</v>
          </cell>
          <cell r="U110" t="str">
            <v xml:space="preserve">500 сеть молоко </v>
          </cell>
        </row>
        <row r="111">
          <cell r="A111" t="str">
            <v xml:space="preserve"> 556  Колбаса Сервелат Ореховый ТМ Вязанка в оболочке фиброуз в вакуумной упаковке, ВЕС  ПОКОМ</v>
          </cell>
          <cell r="B111" t="str">
            <v>кг</v>
          </cell>
          <cell r="C111">
            <v>168.83500000000001</v>
          </cell>
          <cell r="D111">
            <v>62.28</v>
          </cell>
          <cell r="E111">
            <v>213.87100000000001</v>
          </cell>
          <cell r="F111">
            <v>-14.114000000000001</v>
          </cell>
          <cell r="G111">
            <v>1</v>
          </cell>
          <cell r="H111">
            <v>40</v>
          </cell>
          <cell r="I111" t="str">
            <v>НЕДОГРУЗ / матрица</v>
          </cell>
          <cell r="J111"/>
          <cell r="K111">
            <v>263.73399999999998</v>
          </cell>
          <cell r="L111">
            <v>-49.862999999999971</v>
          </cell>
          <cell r="M111">
            <v>213.87100000000001</v>
          </cell>
          <cell r="N111"/>
          <cell r="O111">
            <v>110.25716</v>
          </cell>
          <cell r="P111"/>
          <cell r="Q111">
            <v>236.92699999999999</v>
          </cell>
          <cell r="R111"/>
          <cell r="S111">
            <v>42.7742</v>
          </cell>
          <cell r="T111">
            <v>180.22023999999996</v>
          </cell>
          <cell r="U111"/>
        </row>
        <row r="112">
          <cell r="A112" t="str">
            <v xml:space="preserve"> 557  Колбаса Сервелат Финский ТМ Вязанка в оболочке фиброуз в вакуумной упаковке, ВЕС  ПОКОМ</v>
          </cell>
          <cell r="B112" t="str">
            <v>кг</v>
          </cell>
          <cell r="C112">
            <v>149.86500000000001</v>
          </cell>
          <cell r="D112">
            <v>2.8340000000000001</v>
          </cell>
          <cell r="E112">
            <v>85.805000000000007</v>
          </cell>
          <cell r="F112">
            <v>50.616999999999997</v>
          </cell>
          <cell r="G112">
            <v>1</v>
          </cell>
          <cell r="H112">
            <v>40</v>
          </cell>
          <cell r="I112" t="str">
            <v>НЕДОГРУЗ / матрица</v>
          </cell>
          <cell r="J112"/>
          <cell r="K112">
            <v>85.915000000000006</v>
          </cell>
          <cell r="L112">
            <v>-0.10999999999999943</v>
          </cell>
          <cell r="M112">
            <v>85.805000000000007</v>
          </cell>
          <cell r="N112"/>
          <cell r="O112"/>
          <cell r="P112"/>
          <cell r="Q112">
            <v>104.5</v>
          </cell>
          <cell r="R112"/>
          <cell r="S112">
            <v>17.161000000000001</v>
          </cell>
          <cell r="T112">
            <v>50.815000000000019</v>
          </cell>
          <cell r="U112"/>
        </row>
        <row r="113">
          <cell r="A113" t="str">
            <v xml:space="preserve"> 558  Колбаса Балыковая НОВАЯ ВЕС Вязанка фиброуз в/у ПОКОМ</v>
          </cell>
          <cell r="B113" t="str">
            <v>кг</v>
          </cell>
          <cell r="C113">
            <v>159.31</v>
          </cell>
          <cell r="D113">
            <v>158.161</v>
          </cell>
          <cell r="E113">
            <v>237.26599999999999</v>
          </cell>
          <cell r="F113">
            <v>2.621</v>
          </cell>
          <cell r="G113">
            <v>1</v>
          </cell>
          <cell r="H113">
            <v>40</v>
          </cell>
          <cell r="I113" t="str">
            <v>НЕДОГРУЗ / матрица</v>
          </cell>
          <cell r="J113"/>
          <cell r="K113">
            <v>290.21800000000002</v>
          </cell>
          <cell r="L113">
            <v>-52.952000000000027</v>
          </cell>
          <cell r="M113">
            <v>216.15899999999999</v>
          </cell>
          <cell r="N113">
            <v>21.106999999999999</v>
          </cell>
          <cell r="O113">
            <v>114.212592</v>
          </cell>
          <cell r="P113">
            <v>-115.5</v>
          </cell>
          <cell r="Q113">
            <v>100</v>
          </cell>
          <cell r="R113"/>
          <cell r="S113">
            <v>43.2318</v>
          </cell>
          <cell r="T113">
            <v>80</v>
          </cell>
          <cell r="U113"/>
        </row>
        <row r="114">
          <cell r="A114" t="str">
            <v xml:space="preserve"> 564  Сосиски Сочные 0,3 кг ТМ Вязанка  ПОКОМ</v>
          </cell>
          <cell r="B114" t="str">
            <v>шт</v>
          </cell>
          <cell r="C114">
            <v>53</v>
          </cell>
          <cell r="D114">
            <v>6</v>
          </cell>
          <cell r="E114">
            <v>10</v>
          </cell>
          <cell r="F114">
            <v>11</v>
          </cell>
          <cell r="G114">
            <v>0.3</v>
          </cell>
          <cell r="H114">
            <v>45</v>
          </cell>
          <cell r="I114" t="str">
            <v>матрица</v>
          </cell>
          <cell r="J114"/>
          <cell r="K114">
            <v>142</v>
          </cell>
          <cell r="L114">
            <v>-132</v>
          </cell>
          <cell r="M114">
            <v>10</v>
          </cell>
          <cell r="N114"/>
          <cell r="O114"/>
          <cell r="P114"/>
          <cell r="Q114">
            <v>0</v>
          </cell>
          <cell r="R114"/>
          <cell r="S114">
            <v>2</v>
          </cell>
          <cell r="T114">
            <v>13</v>
          </cell>
          <cell r="U114"/>
        </row>
        <row r="115">
          <cell r="A115" t="str">
            <v xml:space="preserve"> 567 Колбаса Со шпиком Стародворская ТМ Стародворье в оболочке полиамид ВЕС  ПОКОМ</v>
          </cell>
          <cell r="B115" t="str">
            <v>кг</v>
          </cell>
          <cell r="C115">
            <v>22.251000000000001</v>
          </cell>
          <cell r="D115">
            <v>14.807</v>
          </cell>
          <cell r="E115">
            <v>2.76</v>
          </cell>
          <cell r="F115">
            <v>16.754999999999999</v>
          </cell>
          <cell r="G115">
            <v>1</v>
          </cell>
          <cell r="H115">
            <v>55</v>
          </cell>
          <cell r="I115" t="str">
            <v>матрица</v>
          </cell>
          <cell r="J115"/>
          <cell r="K115">
            <v>18.899999999999999</v>
          </cell>
          <cell r="L115">
            <v>-16.14</v>
          </cell>
          <cell r="M115">
            <v>2.76</v>
          </cell>
          <cell r="N115"/>
          <cell r="O115"/>
          <cell r="P115"/>
          <cell r="Q115">
            <v>0</v>
          </cell>
          <cell r="R115"/>
          <cell r="S115">
            <v>0.55199999999999994</v>
          </cell>
          <cell r="T115"/>
          <cell r="U115"/>
        </row>
        <row r="116">
          <cell r="A116" t="str">
            <v xml:space="preserve"> 569  Колбаса Балыковая ТМ Вязанка в оболочке фиброуз в вакуумной упаковке 0,28 кг срез.  ПОКОМ</v>
          </cell>
          <cell r="B116" t="str">
            <v>шт</v>
          </cell>
          <cell r="C116">
            <v>309</v>
          </cell>
          <cell r="D116">
            <v>408</v>
          </cell>
          <cell r="E116">
            <v>383</v>
          </cell>
          <cell r="F116">
            <v>176</v>
          </cell>
          <cell r="G116">
            <v>0.28000000000000003</v>
          </cell>
          <cell r="H116">
            <v>40</v>
          </cell>
          <cell r="I116" t="str">
            <v>НЕДОГРУЗ / матрица</v>
          </cell>
          <cell r="J116"/>
          <cell r="K116">
            <v>497</v>
          </cell>
          <cell r="L116">
            <v>-114</v>
          </cell>
          <cell r="M116">
            <v>383</v>
          </cell>
          <cell r="N116"/>
          <cell r="O116"/>
          <cell r="P116"/>
          <cell r="Q116">
            <v>193.82813751085709</v>
          </cell>
          <cell r="R116">
            <v>240.76409906057151</v>
          </cell>
          <cell r="S116">
            <v>76.599999999999994</v>
          </cell>
          <cell r="T116">
            <v>308.60776342857127</v>
          </cell>
          <cell r="U116"/>
        </row>
        <row r="117">
          <cell r="A117" t="str">
            <v xml:space="preserve"> 570  Колбаса Сервелат Финский ТМ Вязанка в оболочке фиброуз в вак. упаковке 0,28 кг срез  ПОКОМ</v>
          </cell>
          <cell r="B117" t="str">
            <v>шт</v>
          </cell>
          <cell r="C117">
            <v>-15.273999999999999</v>
          </cell>
          <cell r="D117">
            <v>44</v>
          </cell>
          <cell r="E117">
            <v>114</v>
          </cell>
          <cell r="F117">
            <v>-3.274</v>
          </cell>
          <cell r="G117">
            <v>0.28000000000000003</v>
          </cell>
          <cell r="H117">
            <v>40</v>
          </cell>
          <cell r="I117" t="str">
            <v>НЕДОГРУЗ / матрица</v>
          </cell>
          <cell r="J117"/>
          <cell r="K117">
            <v>213</v>
          </cell>
          <cell r="L117">
            <v>-99</v>
          </cell>
          <cell r="M117">
            <v>114</v>
          </cell>
          <cell r="N117"/>
          <cell r="O117">
            <v>185.01599999999999</v>
          </cell>
          <cell r="P117">
            <v>-186</v>
          </cell>
          <cell r="Q117">
            <v>200</v>
          </cell>
          <cell r="R117"/>
          <cell r="S117">
            <v>22.8</v>
          </cell>
          <cell r="T117">
            <v>150</v>
          </cell>
          <cell r="U117"/>
        </row>
        <row r="118">
          <cell r="A118" t="str">
            <v xml:space="preserve"> 571  Колбаса Сервелат Ореховый ТМ Вязанка в оболочке фиброуз в вак. упаковке 0,28 кг срез  ПОКОМ</v>
          </cell>
          <cell r="B118" t="str">
            <v>шт</v>
          </cell>
          <cell r="C118">
            <v>534.5</v>
          </cell>
          <cell r="D118">
            <v>355</v>
          </cell>
          <cell r="E118">
            <v>546</v>
          </cell>
          <cell r="F118">
            <v>25.5</v>
          </cell>
          <cell r="G118">
            <v>0.28000000000000003</v>
          </cell>
          <cell r="H118">
            <v>40</v>
          </cell>
          <cell r="I118" t="str">
            <v>НЕДОГРУЗ / матрица</v>
          </cell>
          <cell r="J118"/>
          <cell r="K118">
            <v>780</v>
          </cell>
          <cell r="L118">
            <v>-234</v>
          </cell>
          <cell r="M118">
            <v>546</v>
          </cell>
          <cell r="N118"/>
          <cell r="O118">
            <v>130</v>
          </cell>
          <cell r="P118">
            <v>-132</v>
          </cell>
          <cell r="Q118">
            <v>250</v>
          </cell>
          <cell r="R118"/>
          <cell r="S118">
            <v>109.2</v>
          </cell>
          <cell r="T118">
            <v>250</v>
          </cell>
          <cell r="U118"/>
        </row>
        <row r="119">
          <cell r="A119" t="str">
            <v xml:space="preserve"> 574  Колбаса Сервелат Финский ТМ Вязанка в упаковке скин 0,09 кг нарезка  ПОКОМ</v>
          </cell>
          <cell r="B119" t="str">
            <v>шт</v>
          </cell>
          <cell r="C119">
            <v>67</v>
          </cell>
          <cell r="D119">
            <v>182</v>
          </cell>
          <cell r="E119">
            <v>101</v>
          </cell>
          <cell r="F119">
            <v>22</v>
          </cell>
          <cell r="G119">
            <v>0.09</v>
          </cell>
          <cell r="H119">
            <v>45</v>
          </cell>
          <cell r="I119" t="str">
            <v>матрица</v>
          </cell>
          <cell r="J119"/>
          <cell r="K119">
            <v>218</v>
          </cell>
          <cell r="L119">
            <v>-117</v>
          </cell>
          <cell r="M119">
            <v>101</v>
          </cell>
          <cell r="N119"/>
          <cell r="O119"/>
          <cell r="P119"/>
          <cell r="Q119">
            <v>126.18</v>
          </cell>
          <cell r="R119"/>
          <cell r="S119">
            <v>20.2</v>
          </cell>
          <cell r="T119">
            <v>94.21999999999997</v>
          </cell>
          <cell r="U119" t="str">
            <v xml:space="preserve">700 сеть молоко </v>
          </cell>
        </row>
        <row r="120">
          <cell r="A120" t="str">
            <v xml:space="preserve"> 577  Колбаса Молочная Стародворская ТМ Стародворье в оболочке полиамид НД ВЕС.  ПОКОМ</v>
          </cell>
          <cell r="B120" t="str">
            <v>кг</v>
          </cell>
          <cell r="C120">
            <v>-0.09</v>
          </cell>
          <cell r="D120"/>
          <cell r="E120"/>
          <cell r="F120">
            <v>-0.09</v>
          </cell>
          <cell r="G120">
            <v>0</v>
          </cell>
          <cell r="H120">
            <v>55</v>
          </cell>
          <cell r="I120" t="str">
            <v>не в матрице</v>
          </cell>
          <cell r="J120"/>
          <cell r="K120"/>
          <cell r="L120">
            <v>0</v>
          </cell>
          <cell r="M120">
            <v>0</v>
          </cell>
          <cell r="N120"/>
          <cell r="O120"/>
          <cell r="P120"/>
          <cell r="Q120">
            <v>0</v>
          </cell>
          <cell r="R120"/>
          <cell r="S120">
            <v>0</v>
          </cell>
          <cell r="T120"/>
          <cell r="U120"/>
        </row>
        <row r="121">
          <cell r="A121" t="str">
            <v xml:space="preserve"> 579  Колбаса Ветчинно-рубленая ТМ Особый рецепт в оболочке полиамид.ВЕС  ПОКОМ</v>
          </cell>
          <cell r="B121" t="str">
            <v>кг</v>
          </cell>
          <cell r="C121">
            <v>125.17700000000001</v>
          </cell>
          <cell r="D121"/>
          <cell r="E121">
            <v>27.283999999999999</v>
          </cell>
          <cell r="F121">
            <v>75.736000000000004</v>
          </cell>
          <cell r="G121">
            <v>1</v>
          </cell>
          <cell r="H121">
            <v>60</v>
          </cell>
          <cell r="I121" t="str">
            <v>матрица</v>
          </cell>
          <cell r="J121"/>
          <cell r="K121">
            <v>42.5</v>
          </cell>
          <cell r="L121">
            <v>-15.216000000000001</v>
          </cell>
          <cell r="M121">
            <v>27.283999999999999</v>
          </cell>
          <cell r="N121"/>
          <cell r="O121"/>
          <cell r="P121"/>
          <cell r="Q121">
            <v>0</v>
          </cell>
          <cell r="R121"/>
          <cell r="S121">
            <v>5.4567999999999994</v>
          </cell>
          <cell r="T121"/>
          <cell r="U121"/>
        </row>
        <row r="122">
          <cell r="A122" t="str">
            <v xml:space="preserve"> 580  Ветчина Нежная с индейкой ТМ Особый рецепт в оболочке полиамид.ВЕС  ПОКОМ</v>
          </cell>
          <cell r="B122" t="str">
            <v>кг</v>
          </cell>
          <cell r="C122">
            <v>41.155999999999999</v>
          </cell>
          <cell r="D122"/>
          <cell r="E122">
            <v>12.425000000000001</v>
          </cell>
          <cell r="F122">
            <v>33.710999999999999</v>
          </cell>
          <cell r="G122">
            <v>1</v>
          </cell>
          <cell r="H122">
            <v>50</v>
          </cell>
          <cell r="I122" t="str">
            <v>матрица</v>
          </cell>
          <cell r="J122"/>
          <cell r="K122">
            <v>2.5</v>
          </cell>
          <cell r="L122">
            <v>9.9250000000000007</v>
          </cell>
          <cell r="M122">
            <v>12.425000000000001</v>
          </cell>
          <cell r="N122"/>
          <cell r="O122"/>
          <cell r="P122"/>
          <cell r="Q122">
            <v>0</v>
          </cell>
          <cell r="R122"/>
          <cell r="S122">
            <v>2.4850000000000003</v>
          </cell>
          <cell r="T122"/>
          <cell r="U122"/>
        </row>
        <row r="123">
          <cell r="A123" t="str">
            <v xml:space="preserve"> 583  Колбаса Балыковая ТМ Вязанка в упаковке скин 0,09 кг нарезка  ПОКОМ</v>
          </cell>
          <cell r="B123" t="str">
            <v>шт</v>
          </cell>
          <cell r="C123">
            <v>352</v>
          </cell>
          <cell r="D123">
            <v>15</v>
          </cell>
          <cell r="E123">
            <v>55</v>
          </cell>
          <cell r="F123">
            <v>250</v>
          </cell>
          <cell r="G123">
            <v>0.09</v>
          </cell>
          <cell r="H123">
            <v>45</v>
          </cell>
          <cell r="I123" t="str">
            <v>матрица</v>
          </cell>
          <cell r="J123"/>
          <cell r="K123">
            <v>120</v>
          </cell>
          <cell r="L123">
            <v>-65</v>
          </cell>
          <cell r="M123">
            <v>55</v>
          </cell>
          <cell r="N123"/>
          <cell r="O123"/>
          <cell r="P123"/>
          <cell r="Q123">
            <v>0</v>
          </cell>
          <cell r="R123"/>
          <cell r="S123">
            <v>11</v>
          </cell>
          <cell r="T123"/>
          <cell r="U123" t="str">
            <v xml:space="preserve">500 сеть молоко </v>
          </cell>
        </row>
        <row r="124">
          <cell r="A124" t="str">
            <v xml:space="preserve"> 584  Колбаса Сервелат Ореховый ТМ Вязанка в упаковке скин 0,09 кг нарезка  ПОКОМ</v>
          </cell>
          <cell r="B124" t="str">
            <v>шт</v>
          </cell>
          <cell r="C124">
            <v>298</v>
          </cell>
          <cell r="D124">
            <v>59</v>
          </cell>
          <cell r="E124">
            <v>82</v>
          </cell>
          <cell r="F124">
            <v>239</v>
          </cell>
          <cell r="G124">
            <v>0.09</v>
          </cell>
          <cell r="H124">
            <v>45</v>
          </cell>
          <cell r="I124" t="str">
            <v>матрица</v>
          </cell>
          <cell r="J124"/>
          <cell r="K124">
            <v>110</v>
          </cell>
          <cell r="L124">
            <v>-28</v>
          </cell>
          <cell r="M124">
            <v>82</v>
          </cell>
          <cell r="N124"/>
          <cell r="O124"/>
          <cell r="P124"/>
          <cell r="Q124">
            <v>0</v>
          </cell>
          <cell r="R124"/>
          <cell r="S124">
            <v>16.399999999999999</v>
          </cell>
          <cell r="T124"/>
          <cell r="U124" t="str">
            <v xml:space="preserve">500 сеть молоко </v>
          </cell>
        </row>
        <row r="125">
          <cell r="A125" t="str">
            <v xml:space="preserve"> 585  Колбаса Молочная ТМ Стародворье в оболочке вектор НД ВЕС.  ПОКОМ</v>
          </cell>
          <cell r="B125" t="str">
            <v>кг</v>
          </cell>
          <cell r="C125">
            <v>32.576000000000001</v>
          </cell>
          <cell r="D125">
            <v>244.29300000000001</v>
          </cell>
          <cell r="E125">
            <v>77.186999999999998</v>
          </cell>
          <cell r="F125">
            <v>169.49</v>
          </cell>
          <cell r="G125">
            <v>1</v>
          </cell>
          <cell r="H125">
            <v>60</v>
          </cell>
          <cell r="I125" t="str">
            <v>матрица</v>
          </cell>
          <cell r="J125"/>
          <cell r="K125">
            <v>98.882000000000005</v>
          </cell>
          <cell r="L125">
            <v>-21.695000000000007</v>
          </cell>
          <cell r="M125">
            <v>77.186999999999998</v>
          </cell>
          <cell r="N125"/>
          <cell r="O125"/>
          <cell r="P125"/>
          <cell r="Q125">
            <v>150</v>
          </cell>
          <cell r="R125"/>
          <cell r="S125">
            <v>15.4374</v>
          </cell>
          <cell r="T125"/>
          <cell r="U125"/>
        </row>
        <row r="126">
          <cell r="A126" t="str">
            <v xml:space="preserve"> 586  Колбаса Мясная ТМ Стародворье в оболочке вектор НД ВЕС.  ПОКОМ</v>
          </cell>
          <cell r="B126" t="str">
            <v>кг</v>
          </cell>
          <cell r="C126">
            <v>434.37</v>
          </cell>
          <cell r="D126">
            <v>1002.655</v>
          </cell>
          <cell r="E126">
            <v>648.61900000000003</v>
          </cell>
          <cell r="F126">
            <v>766.62599999999998</v>
          </cell>
          <cell r="G126">
            <v>1</v>
          </cell>
          <cell r="H126">
            <v>60</v>
          </cell>
          <cell r="I126" t="str">
            <v>матрица</v>
          </cell>
          <cell r="J126"/>
          <cell r="K126">
            <v>701.15800000000002</v>
          </cell>
          <cell r="L126">
            <v>-52.538999999999987</v>
          </cell>
          <cell r="M126">
            <v>648.61900000000003</v>
          </cell>
          <cell r="N126"/>
          <cell r="O126">
            <v>359.30493247999999</v>
          </cell>
          <cell r="P126"/>
          <cell r="Q126">
            <v>400</v>
          </cell>
          <cell r="R126"/>
          <cell r="S126">
            <v>129.72380000000001</v>
          </cell>
          <cell r="T126">
            <v>30.754667520000339</v>
          </cell>
          <cell r="U126"/>
        </row>
        <row r="127">
          <cell r="A127" t="str">
            <v xml:space="preserve"> 588 Колбаса Со шпиком ТМ Стародворье в оболочке вектор ВЕС  ПОКОМ</v>
          </cell>
          <cell r="B127" t="str">
            <v>кг</v>
          </cell>
          <cell r="C127">
            <v>193.464</v>
          </cell>
          <cell r="D127">
            <v>2.73</v>
          </cell>
          <cell r="E127">
            <v>46.12</v>
          </cell>
          <cell r="F127">
            <v>132.01900000000001</v>
          </cell>
          <cell r="G127">
            <v>1</v>
          </cell>
          <cell r="H127">
            <v>60</v>
          </cell>
          <cell r="I127" t="str">
            <v>матрица</v>
          </cell>
          <cell r="J127"/>
          <cell r="K127">
            <v>54.67</v>
          </cell>
          <cell r="L127">
            <v>-8.5500000000000043</v>
          </cell>
          <cell r="M127">
            <v>46.12</v>
          </cell>
          <cell r="N127"/>
          <cell r="O127"/>
          <cell r="P127"/>
          <cell r="Q127">
            <v>0</v>
          </cell>
          <cell r="R127"/>
          <cell r="S127">
            <v>9.2240000000000002</v>
          </cell>
          <cell r="T127"/>
          <cell r="U127"/>
        </row>
        <row r="128">
          <cell r="A128" t="str">
            <v xml:space="preserve"> 597  Колбаса Классическая ТМ Особый рецепт в оболочке полиамид ВЕС. ПОКОМ</v>
          </cell>
          <cell r="B128" t="str">
            <v>кг</v>
          </cell>
          <cell r="C128">
            <v>1845.1659999999999</v>
          </cell>
          <cell r="D128">
            <v>996.54700000000003</v>
          </cell>
          <cell r="E128">
            <v>1308.2850000000001</v>
          </cell>
          <cell r="F128">
            <v>1413.9570000000001</v>
          </cell>
          <cell r="G128">
            <v>1</v>
          </cell>
          <cell r="H128">
            <v>60</v>
          </cell>
          <cell r="I128" t="str">
            <v>матрица</v>
          </cell>
          <cell r="J128"/>
          <cell r="K128">
            <v>1006.999</v>
          </cell>
          <cell r="L128">
            <v>301.28600000000006</v>
          </cell>
          <cell r="M128">
            <v>1308.2850000000001</v>
          </cell>
          <cell r="N128"/>
          <cell r="O128">
            <v>698.08860160000006</v>
          </cell>
          <cell r="P128"/>
          <cell r="Q128">
            <v>291.82695192000011</v>
          </cell>
          <cell r="R128">
            <v>362.49356808000022</v>
          </cell>
          <cell r="S128">
            <v>261.65700000000004</v>
          </cell>
          <cell r="T128">
            <v>373.51787839999974</v>
          </cell>
          <cell r="U128"/>
        </row>
        <row r="129">
          <cell r="A129" t="str">
            <v xml:space="preserve"> 614  Буженина в пряном маринаде 0,25 кг консервы из мяса индейки ТМ Стародворье  ПОКОМ</v>
          </cell>
          <cell r="B129" t="str">
            <v>шт</v>
          </cell>
          <cell r="C129">
            <v>59</v>
          </cell>
          <cell r="D129">
            <v>2</v>
          </cell>
          <cell r="E129">
            <v>31</v>
          </cell>
          <cell r="F129">
            <v>39</v>
          </cell>
          <cell r="G129">
            <v>0.25</v>
          </cell>
          <cell r="H129"/>
          <cell r="I129" t="str">
            <v>НЕДОГРУЗ / матрица</v>
          </cell>
          <cell r="J129"/>
          <cell r="K129">
            <v>19</v>
          </cell>
          <cell r="L129">
            <v>12</v>
          </cell>
          <cell r="M129">
            <v>31</v>
          </cell>
          <cell r="N129"/>
          <cell r="O129"/>
          <cell r="P129"/>
          <cell r="Q129">
            <v>28.2</v>
          </cell>
          <cell r="R129"/>
          <cell r="S129">
            <v>6.2</v>
          </cell>
          <cell r="T129">
            <v>20</v>
          </cell>
          <cell r="U129"/>
        </row>
        <row r="130">
          <cell r="A130" t="str">
            <v xml:space="preserve"> 615  Гречка по-купечески с говядиной и овощами 0,325кг ТМ Стародворье  ПОКОМ</v>
          </cell>
          <cell r="B130" t="str">
            <v>шт</v>
          </cell>
          <cell r="C130">
            <v>52</v>
          </cell>
          <cell r="D130">
            <v>12</v>
          </cell>
          <cell r="E130">
            <v>38</v>
          </cell>
          <cell r="F130">
            <v>95</v>
          </cell>
          <cell r="G130">
            <v>0.32500000000000001</v>
          </cell>
          <cell r="H130"/>
          <cell r="I130" t="str">
            <v>матрица</v>
          </cell>
          <cell r="J130"/>
          <cell r="K130">
            <v>9</v>
          </cell>
          <cell r="L130">
            <v>29</v>
          </cell>
          <cell r="M130">
            <v>38</v>
          </cell>
          <cell r="N130"/>
          <cell r="O130"/>
          <cell r="P130"/>
          <cell r="Q130">
            <v>0</v>
          </cell>
          <cell r="R130"/>
          <cell r="S130">
            <v>7.6</v>
          </cell>
          <cell r="T130"/>
          <cell r="U130"/>
        </row>
        <row r="131">
          <cell r="A131" t="str">
            <v xml:space="preserve"> 616  Индейка томлёная в собственном соку 0,25кг ТМ Стародлворье Консервый из мяс.птицы  ПОКОМ</v>
          </cell>
          <cell r="B131" t="str">
            <v>шт</v>
          </cell>
          <cell r="C131">
            <v>95</v>
          </cell>
          <cell r="D131">
            <v>36</v>
          </cell>
          <cell r="E131">
            <v>31</v>
          </cell>
          <cell r="F131">
            <v>103</v>
          </cell>
          <cell r="G131">
            <v>0.25</v>
          </cell>
          <cell r="H131"/>
          <cell r="I131" t="str">
            <v>матрица</v>
          </cell>
          <cell r="J131"/>
          <cell r="K131">
            <v>20</v>
          </cell>
          <cell r="L131">
            <v>11</v>
          </cell>
          <cell r="M131">
            <v>31</v>
          </cell>
          <cell r="N131"/>
          <cell r="O131"/>
          <cell r="P131"/>
          <cell r="Q131">
            <v>0</v>
          </cell>
          <cell r="R131"/>
          <cell r="S131">
            <v>6.2</v>
          </cell>
          <cell r="T131"/>
          <cell r="U131"/>
        </row>
        <row r="132">
          <cell r="A132" t="str">
            <v>495  Колбаса Сочинка по-европейски с сочной грудинкой 0,3кг ТМ Стародворье  ПОКОМ</v>
          </cell>
          <cell r="B132" t="str">
            <v>шт</v>
          </cell>
          <cell r="C132">
            <v>42</v>
          </cell>
          <cell r="D132">
            <v>14</v>
          </cell>
          <cell r="E132">
            <v>66</v>
          </cell>
          <cell r="F132">
            <v>35</v>
          </cell>
          <cell r="G132">
            <v>0.3</v>
          </cell>
          <cell r="H132">
            <v>40</v>
          </cell>
          <cell r="I132" t="str">
            <v>НЕДОГРУЗ / матрица</v>
          </cell>
          <cell r="J132"/>
          <cell r="K132">
            <v>201</v>
          </cell>
          <cell r="L132">
            <v>-135</v>
          </cell>
          <cell r="M132">
            <v>66</v>
          </cell>
          <cell r="N132"/>
          <cell r="O132"/>
          <cell r="P132"/>
          <cell r="Q132">
            <v>100</v>
          </cell>
          <cell r="R132"/>
          <cell r="S132">
            <v>13.2</v>
          </cell>
          <cell r="T132">
            <v>50</v>
          </cell>
          <cell r="U132"/>
        </row>
        <row r="133">
          <cell r="A133" t="str">
            <v>496  Колбаса Сочинка по-фински с сочным окроком 0,3кг ТМ Стародворье  ПОКОМ</v>
          </cell>
          <cell r="B133" t="str">
            <v>шт</v>
          </cell>
          <cell r="C133">
            <v>-10</v>
          </cell>
          <cell r="D133">
            <v>1</v>
          </cell>
          <cell r="E133">
            <v>2</v>
          </cell>
          <cell r="F133">
            <v>-12</v>
          </cell>
          <cell r="G133">
            <v>0.3</v>
          </cell>
          <cell r="H133">
            <v>40</v>
          </cell>
          <cell r="I133" t="str">
            <v>НЕДОГРУЗ / матрица</v>
          </cell>
          <cell r="J133"/>
          <cell r="K133">
            <v>3</v>
          </cell>
          <cell r="L133">
            <v>-1</v>
          </cell>
          <cell r="M133">
            <v>2</v>
          </cell>
          <cell r="N133"/>
          <cell r="O133"/>
          <cell r="P133"/>
          <cell r="Q133">
            <v>50</v>
          </cell>
          <cell r="R133"/>
          <cell r="S133">
            <v>0.4</v>
          </cell>
          <cell r="T133">
            <v>50</v>
          </cell>
          <cell r="U133"/>
        </row>
        <row r="134">
          <cell r="A134" t="str">
            <v>503 Колбаса Филейская со шпиком ТМ Вязанка в оболочке полиамид.ПОКОМ</v>
          </cell>
          <cell r="B134" t="str">
            <v>кг</v>
          </cell>
          <cell r="C134">
            <v>107.208</v>
          </cell>
          <cell r="D134">
            <v>73.757999999999996</v>
          </cell>
          <cell r="E134">
            <v>55.012999999999998</v>
          </cell>
          <cell r="F134">
            <v>116.578</v>
          </cell>
          <cell r="G134">
            <v>1</v>
          </cell>
          <cell r="H134">
            <v>50</v>
          </cell>
          <cell r="I134" t="str">
            <v>матрица</v>
          </cell>
          <cell r="J134"/>
          <cell r="K134">
            <v>56.5</v>
          </cell>
          <cell r="L134">
            <v>-1.4870000000000019</v>
          </cell>
          <cell r="M134">
            <v>55.012999999999998</v>
          </cell>
          <cell r="N134"/>
          <cell r="O134"/>
          <cell r="P134"/>
          <cell r="Q134">
            <v>0</v>
          </cell>
          <cell r="R134"/>
          <cell r="S134">
            <v>11.002599999999999</v>
          </cell>
          <cell r="T134">
            <v>15.453199999999981</v>
          </cell>
          <cell r="U134"/>
        </row>
        <row r="135">
          <cell r="A135" t="str">
            <v>515  Колбаса Сервелат Мясорубский Делюкс 0,3кг ТМ Стародворье  ПОКОМ</v>
          </cell>
          <cell r="B135" t="str">
            <v>шт</v>
          </cell>
          <cell r="C135">
            <v>7</v>
          </cell>
          <cell r="D135">
            <v>32</v>
          </cell>
          <cell r="E135">
            <v>49</v>
          </cell>
          <cell r="F135">
            <v>4</v>
          </cell>
          <cell r="G135">
            <v>0.3</v>
          </cell>
          <cell r="H135">
            <v>40</v>
          </cell>
          <cell r="I135" t="str">
            <v>НЕДОГРУЗ / матрица</v>
          </cell>
          <cell r="J135"/>
          <cell r="K135">
            <v>59</v>
          </cell>
          <cell r="L135">
            <v>-10</v>
          </cell>
          <cell r="M135">
            <v>49</v>
          </cell>
          <cell r="N135"/>
          <cell r="O135"/>
          <cell r="P135"/>
          <cell r="Q135">
            <v>20</v>
          </cell>
          <cell r="R135"/>
          <cell r="S135">
            <v>9.8000000000000007</v>
          </cell>
          <cell r="T135">
            <v>30</v>
          </cell>
          <cell r="U135"/>
        </row>
        <row r="136">
          <cell r="A136" t="str">
            <v>519  Грудинка 0,12 кг нарезка ТМ Стародворье  ПОКОМ</v>
          </cell>
          <cell r="B136" t="str">
            <v>шт</v>
          </cell>
          <cell r="C136">
            <v>34</v>
          </cell>
          <cell r="D136">
            <v>122</v>
          </cell>
          <cell r="E136">
            <v>69</v>
          </cell>
          <cell r="F136">
            <v>93</v>
          </cell>
          <cell r="G136">
            <v>0.12</v>
          </cell>
          <cell r="H136">
            <v>45</v>
          </cell>
          <cell r="I136" t="str">
            <v>матрица</v>
          </cell>
          <cell r="J136"/>
          <cell r="K136">
            <v>53</v>
          </cell>
          <cell r="L136">
            <v>16</v>
          </cell>
          <cell r="M136">
            <v>69</v>
          </cell>
          <cell r="N136"/>
          <cell r="O136"/>
          <cell r="P136"/>
          <cell r="Q136">
            <v>39.59999999999998</v>
          </cell>
          <cell r="R136"/>
          <cell r="S136">
            <v>13.8</v>
          </cell>
          <cell r="T136">
            <v>33.000000000000043</v>
          </cell>
          <cell r="U136"/>
        </row>
        <row r="137">
          <cell r="A137" t="str">
            <v>БОНУС_615  Гречка по-купечески с говядиной и овощами 0,325кг ТМ Стародворье  ПОКОМ</v>
          </cell>
          <cell r="B137" t="str">
            <v>шт</v>
          </cell>
          <cell r="C137">
            <v>51</v>
          </cell>
          <cell r="D137"/>
          <cell r="E137">
            <v>18</v>
          </cell>
          <cell r="F137">
            <v>40</v>
          </cell>
          <cell r="G137">
            <v>0</v>
          </cell>
          <cell r="H137"/>
          <cell r="I137" t="str">
            <v>бонус</v>
          </cell>
          <cell r="J137" t="str">
            <v xml:space="preserve"> 615  Гречка по-купечески с говядиной и овощами 0,325кг ТМ Стародворье  ПОКОМ</v>
          </cell>
          <cell r="K137">
            <v>8</v>
          </cell>
          <cell r="L137">
            <v>10</v>
          </cell>
          <cell r="M137">
            <v>18</v>
          </cell>
          <cell r="N137"/>
          <cell r="O137"/>
          <cell r="P137"/>
          <cell r="Q137">
            <v>0</v>
          </cell>
          <cell r="R137"/>
          <cell r="S137">
            <v>3.6</v>
          </cell>
          <cell r="T137"/>
          <cell r="U137"/>
        </row>
        <row r="138">
          <cell r="A138"/>
          <cell r="B138"/>
          <cell r="C138"/>
          <cell r="D138"/>
          <cell r="E138"/>
          <cell r="F138"/>
          <cell r="G138"/>
          <cell r="H138"/>
          <cell r="I138"/>
          <cell r="J138"/>
          <cell r="K138"/>
          <cell r="L138"/>
          <cell r="M138"/>
          <cell r="N138"/>
          <cell r="O138"/>
          <cell r="P138"/>
          <cell r="Q138"/>
          <cell r="R138"/>
          <cell r="S138"/>
          <cell r="T138"/>
          <cell r="U138"/>
        </row>
        <row r="139">
          <cell r="A139"/>
          <cell r="B139"/>
          <cell r="C139"/>
          <cell r="D139"/>
          <cell r="E139"/>
          <cell r="F139"/>
          <cell r="G139"/>
          <cell r="H139"/>
          <cell r="I139"/>
          <cell r="J139"/>
          <cell r="K139"/>
          <cell r="L139"/>
          <cell r="M139"/>
          <cell r="N139"/>
          <cell r="O139"/>
          <cell r="P139"/>
          <cell r="Q139"/>
          <cell r="R139"/>
          <cell r="S139"/>
          <cell r="T139"/>
          <cell r="U139"/>
        </row>
        <row r="140">
          <cell r="A140"/>
          <cell r="B140"/>
          <cell r="C140"/>
          <cell r="D140"/>
          <cell r="E140"/>
          <cell r="F140"/>
          <cell r="G140"/>
          <cell r="H140"/>
          <cell r="I140"/>
          <cell r="J140"/>
          <cell r="K140"/>
          <cell r="L140"/>
          <cell r="M140"/>
          <cell r="N140"/>
          <cell r="O140"/>
          <cell r="P140"/>
          <cell r="Q140"/>
          <cell r="R140"/>
          <cell r="S140"/>
          <cell r="T140"/>
          <cell r="U140"/>
        </row>
        <row r="141">
          <cell r="A141"/>
          <cell r="B141"/>
          <cell r="C141"/>
          <cell r="D141"/>
          <cell r="E141"/>
          <cell r="F141"/>
          <cell r="G141"/>
          <cell r="H141"/>
          <cell r="I141"/>
          <cell r="J141"/>
          <cell r="K141"/>
          <cell r="L141"/>
          <cell r="M141"/>
          <cell r="N141"/>
          <cell r="O141"/>
          <cell r="P141"/>
          <cell r="Q141"/>
          <cell r="R141"/>
          <cell r="S141"/>
          <cell r="T141"/>
          <cell r="U141"/>
        </row>
        <row r="142">
          <cell r="A142"/>
          <cell r="B142"/>
          <cell r="C142"/>
          <cell r="D142"/>
          <cell r="E142"/>
          <cell r="F142"/>
          <cell r="G142"/>
          <cell r="H142"/>
          <cell r="I142"/>
          <cell r="J142"/>
          <cell r="K142"/>
          <cell r="L142"/>
          <cell r="M142"/>
          <cell r="N142"/>
          <cell r="O142"/>
          <cell r="P142"/>
          <cell r="Q142"/>
          <cell r="R142"/>
          <cell r="S142"/>
          <cell r="T142"/>
          <cell r="U142"/>
        </row>
        <row r="143">
          <cell r="A143"/>
          <cell r="B143"/>
          <cell r="C143"/>
          <cell r="D143"/>
          <cell r="E143"/>
          <cell r="F143"/>
          <cell r="G143"/>
          <cell r="H143"/>
          <cell r="I143"/>
          <cell r="J143"/>
          <cell r="K143"/>
          <cell r="L143"/>
          <cell r="M143"/>
          <cell r="N143"/>
          <cell r="O143"/>
          <cell r="P143"/>
          <cell r="Q143"/>
          <cell r="R143"/>
          <cell r="S143"/>
          <cell r="T143"/>
          <cell r="U143"/>
        </row>
        <row r="144">
          <cell r="A144"/>
          <cell r="B144"/>
          <cell r="C144"/>
          <cell r="D144"/>
          <cell r="E144"/>
          <cell r="F144"/>
          <cell r="G144"/>
          <cell r="H144"/>
          <cell r="I144"/>
          <cell r="J144"/>
          <cell r="K144"/>
          <cell r="L144"/>
          <cell r="M144"/>
          <cell r="N144"/>
          <cell r="O144"/>
          <cell r="P144"/>
          <cell r="Q144"/>
          <cell r="R144"/>
          <cell r="S144"/>
          <cell r="T144"/>
          <cell r="U144"/>
        </row>
        <row r="145">
          <cell r="A145"/>
          <cell r="B145"/>
          <cell r="C145"/>
          <cell r="D145"/>
          <cell r="E145"/>
          <cell r="F145"/>
          <cell r="G145"/>
          <cell r="H145"/>
          <cell r="I145"/>
          <cell r="J145"/>
          <cell r="K145"/>
          <cell r="L145"/>
          <cell r="M145"/>
          <cell r="N145"/>
          <cell r="O145"/>
          <cell r="P145"/>
          <cell r="Q145"/>
          <cell r="R145"/>
          <cell r="S145"/>
          <cell r="T145"/>
          <cell r="U145"/>
        </row>
        <row r="146">
          <cell r="A146"/>
          <cell r="B146"/>
          <cell r="C146"/>
          <cell r="D146"/>
          <cell r="E146"/>
          <cell r="F146"/>
          <cell r="G146"/>
          <cell r="H146"/>
          <cell r="I146"/>
          <cell r="J146"/>
          <cell r="K146"/>
          <cell r="L146"/>
          <cell r="M146"/>
          <cell r="N146"/>
          <cell r="O146"/>
          <cell r="P146"/>
          <cell r="Q146"/>
          <cell r="R146"/>
          <cell r="S146"/>
          <cell r="T146"/>
          <cell r="U146"/>
        </row>
        <row r="147">
          <cell r="A147"/>
          <cell r="B147"/>
          <cell r="C147"/>
          <cell r="D147"/>
          <cell r="E147"/>
          <cell r="F147"/>
          <cell r="G147"/>
          <cell r="H147"/>
          <cell r="I147"/>
          <cell r="J147"/>
          <cell r="K147"/>
          <cell r="L147"/>
          <cell r="M147"/>
          <cell r="N147"/>
          <cell r="O147"/>
          <cell r="P147"/>
          <cell r="Q147"/>
          <cell r="R147"/>
          <cell r="S147"/>
          <cell r="T147"/>
          <cell r="U147"/>
        </row>
        <row r="148">
          <cell r="A148"/>
          <cell r="B148"/>
          <cell r="C148"/>
          <cell r="D148"/>
          <cell r="E148"/>
          <cell r="F148"/>
          <cell r="G148"/>
          <cell r="H148"/>
          <cell r="I148"/>
          <cell r="J148"/>
          <cell r="K148"/>
          <cell r="L148"/>
          <cell r="M148"/>
          <cell r="N148"/>
          <cell r="O148"/>
          <cell r="P148"/>
          <cell r="Q148"/>
          <cell r="R148"/>
          <cell r="S148"/>
          <cell r="T148"/>
          <cell r="U148"/>
        </row>
        <row r="149">
          <cell r="A149"/>
          <cell r="B149"/>
          <cell r="C149"/>
          <cell r="D149"/>
          <cell r="E149"/>
          <cell r="F149"/>
          <cell r="G149"/>
          <cell r="H149"/>
          <cell r="I149"/>
          <cell r="J149"/>
          <cell r="K149"/>
          <cell r="L149"/>
          <cell r="M149"/>
          <cell r="N149"/>
          <cell r="O149"/>
          <cell r="P149"/>
          <cell r="Q149"/>
          <cell r="R149"/>
          <cell r="S149"/>
          <cell r="T149"/>
          <cell r="U149"/>
        </row>
        <row r="150">
          <cell r="A150"/>
          <cell r="B150"/>
          <cell r="C150"/>
          <cell r="D150"/>
          <cell r="E150"/>
          <cell r="F150"/>
          <cell r="G150"/>
          <cell r="H150"/>
          <cell r="I150"/>
          <cell r="J150"/>
          <cell r="K150"/>
          <cell r="L150"/>
          <cell r="M150"/>
          <cell r="N150"/>
          <cell r="O150"/>
          <cell r="P150"/>
          <cell r="Q150"/>
          <cell r="R150"/>
          <cell r="S150"/>
          <cell r="T150"/>
          <cell r="U150"/>
        </row>
        <row r="151">
          <cell r="A151"/>
          <cell r="B151"/>
          <cell r="C151"/>
          <cell r="D151"/>
          <cell r="E151"/>
          <cell r="F151"/>
          <cell r="G151"/>
          <cell r="H151"/>
          <cell r="I151"/>
          <cell r="J151"/>
          <cell r="K151"/>
          <cell r="L151"/>
          <cell r="M151"/>
          <cell r="N151"/>
          <cell r="O151"/>
          <cell r="P151"/>
          <cell r="Q151"/>
          <cell r="R151"/>
          <cell r="S151"/>
          <cell r="T151"/>
          <cell r="U151"/>
        </row>
        <row r="152">
          <cell r="A152"/>
          <cell r="B152"/>
          <cell r="C152"/>
          <cell r="D152"/>
          <cell r="E152"/>
          <cell r="F152"/>
          <cell r="G152"/>
          <cell r="H152"/>
          <cell r="I152"/>
          <cell r="J152"/>
          <cell r="K152"/>
          <cell r="L152"/>
          <cell r="M152"/>
          <cell r="N152"/>
          <cell r="O152"/>
          <cell r="P152"/>
          <cell r="Q152"/>
          <cell r="R152"/>
          <cell r="S152"/>
          <cell r="T152"/>
          <cell r="U152"/>
        </row>
        <row r="153">
          <cell r="A153"/>
          <cell r="B153"/>
          <cell r="C153"/>
          <cell r="D153"/>
          <cell r="E153"/>
          <cell r="F153"/>
          <cell r="G153"/>
          <cell r="H153"/>
          <cell r="I153"/>
          <cell r="J153"/>
          <cell r="K153"/>
          <cell r="L153"/>
          <cell r="M153"/>
          <cell r="N153"/>
          <cell r="O153"/>
          <cell r="P153"/>
          <cell r="Q153"/>
          <cell r="R153"/>
          <cell r="S153"/>
          <cell r="T153"/>
          <cell r="U153"/>
        </row>
        <row r="154">
          <cell r="A154"/>
          <cell r="B154"/>
          <cell r="C154"/>
          <cell r="D154"/>
          <cell r="E154"/>
          <cell r="F154"/>
          <cell r="G154"/>
          <cell r="H154"/>
          <cell r="I154"/>
          <cell r="J154"/>
          <cell r="K154"/>
          <cell r="L154"/>
          <cell r="M154"/>
          <cell r="N154"/>
          <cell r="O154"/>
          <cell r="P154"/>
          <cell r="Q154"/>
          <cell r="R154"/>
          <cell r="S154"/>
          <cell r="T154"/>
          <cell r="U154"/>
        </row>
        <row r="155">
          <cell r="A155"/>
          <cell r="B155"/>
          <cell r="C155"/>
          <cell r="D155"/>
          <cell r="E155"/>
          <cell r="F155"/>
          <cell r="G155"/>
          <cell r="H155"/>
          <cell r="I155"/>
          <cell r="J155"/>
          <cell r="K155"/>
          <cell r="L155"/>
          <cell r="M155"/>
          <cell r="N155"/>
          <cell r="O155"/>
          <cell r="P155"/>
          <cell r="Q155"/>
          <cell r="R155"/>
          <cell r="S155"/>
          <cell r="T155"/>
          <cell r="U155"/>
        </row>
        <row r="156">
          <cell r="A156"/>
          <cell r="B156"/>
          <cell r="C156"/>
          <cell r="D156"/>
          <cell r="E156"/>
          <cell r="F156"/>
          <cell r="G156"/>
          <cell r="H156"/>
          <cell r="I156"/>
          <cell r="J156"/>
          <cell r="K156"/>
          <cell r="L156"/>
          <cell r="M156"/>
          <cell r="N156"/>
          <cell r="O156"/>
          <cell r="P156"/>
          <cell r="Q156"/>
          <cell r="R156"/>
          <cell r="S156"/>
          <cell r="T156"/>
          <cell r="U156"/>
        </row>
        <row r="157">
          <cell r="A157"/>
          <cell r="B157"/>
          <cell r="C157"/>
          <cell r="D157"/>
          <cell r="E157"/>
          <cell r="F157"/>
          <cell r="G157"/>
          <cell r="H157"/>
          <cell r="I157"/>
          <cell r="J157"/>
          <cell r="K157"/>
          <cell r="L157"/>
          <cell r="M157"/>
          <cell r="N157"/>
          <cell r="O157"/>
          <cell r="P157"/>
          <cell r="Q157"/>
          <cell r="R157"/>
          <cell r="S157"/>
          <cell r="T157"/>
          <cell r="U157"/>
        </row>
        <row r="158">
          <cell r="A158"/>
          <cell r="B158"/>
          <cell r="C158"/>
          <cell r="D158"/>
          <cell r="E158"/>
          <cell r="F158"/>
          <cell r="G158"/>
          <cell r="H158"/>
          <cell r="I158"/>
          <cell r="J158"/>
          <cell r="K158"/>
          <cell r="L158"/>
          <cell r="M158"/>
          <cell r="N158"/>
          <cell r="O158"/>
          <cell r="P158"/>
          <cell r="Q158"/>
          <cell r="R158"/>
          <cell r="S158"/>
          <cell r="T158"/>
          <cell r="U158"/>
        </row>
        <row r="159">
          <cell r="A159"/>
          <cell r="B159"/>
          <cell r="C159"/>
          <cell r="D159"/>
          <cell r="E159"/>
          <cell r="F159"/>
          <cell r="G159"/>
          <cell r="H159"/>
          <cell r="I159"/>
          <cell r="J159"/>
          <cell r="K159"/>
          <cell r="L159"/>
          <cell r="M159"/>
          <cell r="N159"/>
          <cell r="O159"/>
          <cell r="P159"/>
          <cell r="Q159"/>
          <cell r="R159"/>
          <cell r="S159"/>
          <cell r="T159"/>
          <cell r="U159"/>
        </row>
        <row r="160">
          <cell r="A160"/>
          <cell r="B160"/>
          <cell r="C160"/>
          <cell r="D160"/>
          <cell r="E160"/>
          <cell r="F160"/>
          <cell r="G160"/>
          <cell r="H160"/>
          <cell r="I160"/>
          <cell r="J160"/>
          <cell r="K160"/>
          <cell r="L160"/>
          <cell r="M160"/>
          <cell r="N160"/>
          <cell r="O160"/>
          <cell r="P160"/>
          <cell r="Q160"/>
          <cell r="R160"/>
          <cell r="S160"/>
          <cell r="T160"/>
          <cell r="U160"/>
        </row>
        <row r="161">
          <cell r="A161"/>
          <cell r="B161"/>
          <cell r="C161"/>
          <cell r="D161"/>
          <cell r="E161"/>
          <cell r="F161"/>
          <cell r="G161"/>
          <cell r="H161"/>
          <cell r="I161"/>
          <cell r="J161"/>
          <cell r="K161"/>
          <cell r="L161"/>
          <cell r="M161"/>
          <cell r="N161"/>
          <cell r="O161"/>
          <cell r="P161"/>
          <cell r="Q161"/>
          <cell r="R161"/>
          <cell r="S161"/>
          <cell r="T161"/>
          <cell r="U161"/>
        </row>
        <row r="162">
          <cell r="A162"/>
          <cell r="B162"/>
          <cell r="C162"/>
          <cell r="D162"/>
          <cell r="E162"/>
          <cell r="F162"/>
          <cell r="G162"/>
          <cell r="H162"/>
          <cell r="I162"/>
          <cell r="J162"/>
          <cell r="K162"/>
          <cell r="L162"/>
          <cell r="M162"/>
          <cell r="N162"/>
          <cell r="O162"/>
          <cell r="P162"/>
          <cell r="Q162"/>
          <cell r="R162"/>
          <cell r="S162"/>
          <cell r="T162"/>
          <cell r="U162"/>
        </row>
        <row r="163">
          <cell r="A163"/>
          <cell r="B163"/>
          <cell r="C163"/>
          <cell r="D163"/>
          <cell r="E163"/>
          <cell r="F163"/>
          <cell r="G163"/>
          <cell r="H163"/>
          <cell r="I163"/>
          <cell r="J163"/>
          <cell r="K163"/>
          <cell r="L163"/>
          <cell r="M163"/>
          <cell r="N163"/>
          <cell r="O163"/>
          <cell r="P163"/>
          <cell r="Q163"/>
          <cell r="R163"/>
          <cell r="S163"/>
          <cell r="T163"/>
          <cell r="U163"/>
        </row>
        <row r="164">
          <cell r="A164"/>
          <cell r="B164"/>
          <cell r="C164"/>
          <cell r="D164"/>
          <cell r="E164"/>
          <cell r="F164"/>
          <cell r="G164"/>
          <cell r="H164"/>
          <cell r="I164"/>
          <cell r="J164"/>
          <cell r="K164"/>
          <cell r="L164"/>
          <cell r="M164"/>
          <cell r="N164"/>
          <cell r="O164"/>
          <cell r="P164"/>
          <cell r="Q164"/>
          <cell r="R164"/>
          <cell r="S164"/>
          <cell r="T164"/>
          <cell r="U164"/>
        </row>
        <row r="165">
          <cell r="A165"/>
          <cell r="B165"/>
          <cell r="C165"/>
          <cell r="D165"/>
          <cell r="E165"/>
          <cell r="F165"/>
          <cell r="G165"/>
          <cell r="H165"/>
          <cell r="I165"/>
          <cell r="J165"/>
          <cell r="K165"/>
          <cell r="L165"/>
          <cell r="M165"/>
          <cell r="N165"/>
          <cell r="O165"/>
          <cell r="P165"/>
          <cell r="Q165"/>
          <cell r="R165"/>
          <cell r="S165"/>
          <cell r="T165"/>
          <cell r="U165"/>
        </row>
        <row r="166">
          <cell r="A166"/>
          <cell r="B166"/>
          <cell r="C166"/>
          <cell r="D166"/>
          <cell r="E166"/>
          <cell r="F166"/>
          <cell r="G166"/>
          <cell r="H166"/>
          <cell r="I166"/>
          <cell r="J166"/>
          <cell r="K166"/>
          <cell r="L166"/>
          <cell r="M166"/>
          <cell r="N166"/>
          <cell r="O166"/>
          <cell r="P166"/>
          <cell r="Q166"/>
          <cell r="R166"/>
          <cell r="S166"/>
          <cell r="T166"/>
          <cell r="U166"/>
        </row>
        <row r="167">
          <cell r="A167"/>
          <cell r="B167"/>
          <cell r="C167"/>
          <cell r="D167"/>
          <cell r="E167"/>
          <cell r="F167"/>
          <cell r="G167"/>
          <cell r="H167"/>
          <cell r="I167"/>
          <cell r="J167"/>
          <cell r="K167"/>
          <cell r="L167"/>
          <cell r="M167"/>
          <cell r="N167"/>
          <cell r="O167"/>
          <cell r="P167"/>
          <cell r="Q167"/>
          <cell r="R167"/>
          <cell r="S167"/>
          <cell r="T167"/>
          <cell r="U167"/>
        </row>
        <row r="168">
          <cell r="A168"/>
          <cell r="B168"/>
          <cell r="C168"/>
          <cell r="D168"/>
          <cell r="E168"/>
          <cell r="F168"/>
          <cell r="G168"/>
          <cell r="H168"/>
          <cell r="I168"/>
          <cell r="J168"/>
          <cell r="K168"/>
          <cell r="L168"/>
          <cell r="M168"/>
          <cell r="N168"/>
          <cell r="O168"/>
          <cell r="P168"/>
          <cell r="Q168"/>
          <cell r="R168"/>
          <cell r="S168"/>
          <cell r="T168"/>
          <cell r="U168"/>
        </row>
        <row r="169">
          <cell r="A169"/>
          <cell r="B169"/>
          <cell r="C169"/>
          <cell r="D169"/>
          <cell r="E169"/>
          <cell r="F169"/>
          <cell r="G169"/>
          <cell r="H169"/>
          <cell r="I169"/>
          <cell r="J169"/>
          <cell r="K169"/>
          <cell r="L169"/>
          <cell r="M169"/>
          <cell r="N169"/>
          <cell r="O169"/>
          <cell r="P169"/>
          <cell r="Q169"/>
          <cell r="R169"/>
          <cell r="S169"/>
          <cell r="T169"/>
          <cell r="U169"/>
        </row>
        <row r="170">
          <cell r="A170"/>
          <cell r="B170"/>
          <cell r="C170"/>
          <cell r="D170"/>
          <cell r="E170"/>
          <cell r="F170"/>
          <cell r="G170"/>
          <cell r="H170"/>
          <cell r="I170"/>
          <cell r="J170"/>
          <cell r="K170"/>
          <cell r="L170"/>
          <cell r="M170"/>
          <cell r="N170"/>
          <cell r="O170"/>
          <cell r="P170"/>
          <cell r="Q170"/>
          <cell r="R170"/>
          <cell r="S170"/>
          <cell r="T170"/>
          <cell r="U170"/>
        </row>
        <row r="171">
          <cell r="A171"/>
          <cell r="B171"/>
          <cell r="C171"/>
          <cell r="D171"/>
          <cell r="E171"/>
          <cell r="F171"/>
          <cell r="G171"/>
          <cell r="H171"/>
          <cell r="I171"/>
          <cell r="J171"/>
          <cell r="K171"/>
          <cell r="L171"/>
          <cell r="M171"/>
          <cell r="N171"/>
          <cell r="O171"/>
          <cell r="P171"/>
          <cell r="Q171"/>
          <cell r="R171"/>
          <cell r="S171"/>
          <cell r="T171"/>
          <cell r="U171"/>
        </row>
        <row r="172">
          <cell r="A172"/>
          <cell r="B172"/>
          <cell r="C172"/>
          <cell r="D172"/>
          <cell r="E172"/>
          <cell r="F172"/>
          <cell r="G172"/>
          <cell r="H172"/>
          <cell r="I172"/>
          <cell r="J172"/>
          <cell r="K172"/>
          <cell r="L172"/>
          <cell r="M172"/>
          <cell r="N172"/>
          <cell r="O172"/>
          <cell r="P172"/>
          <cell r="Q172"/>
          <cell r="R172"/>
          <cell r="S172"/>
          <cell r="T172"/>
          <cell r="U172"/>
        </row>
        <row r="173">
          <cell r="A173"/>
          <cell r="B173"/>
          <cell r="C173"/>
          <cell r="D173"/>
          <cell r="E173"/>
          <cell r="F173"/>
          <cell r="G173"/>
          <cell r="H173"/>
          <cell r="I173"/>
          <cell r="J173"/>
          <cell r="K173"/>
          <cell r="L173"/>
          <cell r="M173"/>
          <cell r="N173"/>
          <cell r="O173"/>
          <cell r="P173"/>
          <cell r="Q173"/>
          <cell r="R173"/>
          <cell r="S173"/>
          <cell r="T173"/>
          <cell r="U173"/>
        </row>
        <row r="174">
          <cell r="A174"/>
          <cell r="B174"/>
          <cell r="C174"/>
          <cell r="D174"/>
          <cell r="E174"/>
          <cell r="F174"/>
          <cell r="G174"/>
          <cell r="H174"/>
          <cell r="I174"/>
          <cell r="J174"/>
          <cell r="K174"/>
          <cell r="L174"/>
          <cell r="M174"/>
          <cell r="N174"/>
          <cell r="O174"/>
          <cell r="P174"/>
          <cell r="Q174"/>
          <cell r="R174"/>
          <cell r="S174"/>
          <cell r="T174"/>
          <cell r="U174"/>
        </row>
        <row r="175">
          <cell r="A175"/>
          <cell r="B175"/>
          <cell r="C175"/>
          <cell r="D175"/>
          <cell r="E175"/>
          <cell r="F175"/>
          <cell r="G175"/>
          <cell r="H175"/>
          <cell r="I175"/>
          <cell r="J175"/>
          <cell r="K175"/>
          <cell r="L175"/>
          <cell r="M175"/>
          <cell r="N175"/>
          <cell r="O175"/>
          <cell r="P175"/>
          <cell r="Q175"/>
          <cell r="R175"/>
          <cell r="S175"/>
          <cell r="T175"/>
          <cell r="U175"/>
        </row>
        <row r="176">
          <cell r="A176"/>
          <cell r="B176"/>
          <cell r="C176"/>
          <cell r="D176"/>
          <cell r="E176"/>
          <cell r="F176"/>
          <cell r="G176"/>
          <cell r="H176"/>
          <cell r="I176"/>
          <cell r="J176"/>
          <cell r="K176"/>
          <cell r="L176"/>
          <cell r="M176"/>
          <cell r="N176"/>
          <cell r="O176"/>
          <cell r="P176"/>
          <cell r="Q176"/>
          <cell r="R176"/>
          <cell r="S176"/>
          <cell r="T176"/>
          <cell r="U176"/>
        </row>
        <row r="177">
          <cell r="A177"/>
          <cell r="B177"/>
          <cell r="C177"/>
          <cell r="D177"/>
          <cell r="E177"/>
          <cell r="F177"/>
          <cell r="G177"/>
          <cell r="H177"/>
          <cell r="I177"/>
          <cell r="J177"/>
          <cell r="K177"/>
          <cell r="L177"/>
          <cell r="M177"/>
          <cell r="N177"/>
          <cell r="O177"/>
          <cell r="P177"/>
          <cell r="Q177"/>
          <cell r="R177"/>
          <cell r="S177"/>
          <cell r="T177"/>
          <cell r="U177"/>
        </row>
        <row r="178">
          <cell r="A178"/>
          <cell r="B178"/>
          <cell r="C178"/>
          <cell r="D178"/>
          <cell r="E178"/>
          <cell r="F178"/>
          <cell r="G178"/>
          <cell r="H178"/>
          <cell r="I178"/>
          <cell r="J178"/>
          <cell r="K178"/>
          <cell r="L178"/>
          <cell r="M178"/>
          <cell r="N178"/>
          <cell r="O178"/>
          <cell r="P178"/>
          <cell r="Q178"/>
          <cell r="R178"/>
          <cell r="S178"/>
          <cell r="T178"/>
          <cell r="U178"/>
        </row>
        <row r="179">
          <cell r="A179"/>
          <cell r="B179"/>
          <cell r="C179"/>
          <cell r="D179"/>
          <cell r="E179"/>
          <cell r="F179"/>
          <cell r="G179"/>
          <cell r="H179"/>
          <cell r="I179"/>
          <cell r="J179"/>
          <cell r="K179"/>
          <cell r="L179"/>
          <cell r="M179"/>
          <cell r="N179"/>
          <cell r="O179"/>
          <cell r="P179"/>
          <cell r="Q179"/>
          <cell r="R179"/>
          <cell r="S179"/>
          <cell r="T179"/>
          <cell r="U179"/>
        </row>
        <row r="180">
          <cell r="A180"/>
          <cell r="B180"/>
          <cell r="C180"/>
          <cell r="D180"/>
          <cell r="E180"/>
          <cell r="F180"/>
          <cell r="G180"/>
          <cell r="H180"/>
          <cell r="I180"/>
          <cell r="J180"/>
          <cell r="K180"/>
          <cell r="L180"/>
          <cell r="M180"/>
          <cell r="N180"/>
          <cell r="O180"/>
          <cell r="P180"/>
          <cell r="Q180"/>
          <cell r="R180"/>
          <cell r="S180"/>
          <cell r="T180"/>
          <cell r="U180"/>
        </row>
        <row r="181">
          <cell r="A181"/>
          <cell r="B181"/>
          <cell r="C181"/>
          <cell r="D181"/>
          <cell r="E181"/>
          <cell r="F181"/>
          <cell r="G181"/>
          <cell r="H181"/>
          <cell r="I181"/>
          <cell r="J181"/>
          <cell r="K181"/>
          <cell r="L181"/>
          <cell r="M181"/>
          <cell r="N181"/>
          <cell r="O181"/>
          <cell r="P181"/>
          <cell r="Q181"/>
          <cell r="R181"/>
          <cell r="S181"/>
          <cell r="T181"/>
          <cell r="U181"/>
        </row>
        <row r="182">
          <cell r="A182"/>
          <cell r="B182"/>
          <cell r="C182"/>
          <cell r="D182"/>
          <cell r="E182"/>
          <cell r="F182"/>
          <cell r="G182"/>
          <cell r="H182"/>
          <cell r="I182"/>
          <cell r="J182"/>
          <cell r="K182"/>
          <cell r="L182"/>
          <cell r="M182"/>
          <cell r="N182"/>
          <cell r="O182"/>
          <cell r="P182"/>
          <cell r="Q182"/>
          <cell r="R182"/>
          <cell r="S182"/>
          <cell r="T182"/>
          <cell r="U182"/>
        </row>
        <row r="183">
          <cell r="A183"/>
          <cell r="B183"/>
          <cell r="C183"/>
          <cell r="D183"/>
          <cell r="E183"/>
          <cell r="F183"/>
          <cell r="G183"/>
          <cell r="H183"/>
          <cell r="I183"/>
          <cell r="J183"/>
          <cell r="K183"/>
          <cell r="L183"/>
          <cell r="M183"/>
          <cell r="N183"/>
          <cell r="O183"/>
          <cell r="P183"/>
          <cell r="Q183"/>
          <cell r="R183"/>
          <cell r="S183"/>
          <cell r="T183"/>
          <cell r="U183"/>
        </row>
        <row r="184">
          <cell r="A184"/>
          <cell r="B184"/>
          <cell r="C184"/>
          <cell r="D184"/>
          <cell r="E184"/>
          <cell r="F184"/>
          <cell r="G184"/>
          <cell r="H184"/>
          <cell r="I184"/>
          <cell r="J184"/>
          <cell r="K184"/>
          <cell r="L184"/>
          <cell r="M184"/>
          <cell r="N184"/>
          <cell r="O184"/>
          <cell r="P184"/>
          <cell r="Q184"/>
          <cell r="R184"/>
          <cell r="S184"/>
          <cell r="T184"/>
          <cell r="U184"/>
        </row>
        <row r="185">
          <cell r="A185"/>
          <cell r="B185"/>
          <cell r="C185"/>
          <cell r="D185"/>
          <cell r="E185"/>
          <cell r="F185"/>
          <cell r="G185"/>
          <cell r="H185"/>
          <cell r="I185"/>
          <cell r="J185"/>
          <cell r="K185"/>
          <cell r="L185"/>
          <cell r="M185"/>
          <cell r="N185"/>
          <cell r="O185"/>
          <cell r="P185"/>
          <cell r="Q185"/>
          <cell r="R185"/>
          <cell r="S185"/>
          <cell r="T185"/>
          <cell r="U185"/>
        </row>
        <row r="186">
          <cell r="A186"/>
          <cell r="B186"/>
          <cell r="C186"/>
          <cell r="D186"/>
          <cell r="E186"/>
          <cell r="F186"/>
          <cell r="G186"/>
          <cell r="H186"/>
          <cell r="I186"/>
          <cell r="J186"/>
          <cell r="K186"/>
          <cell r="L186"/>
          <cell r="M186"/>
          <cell r="N186"/>
          <cell r="O186"/>
          <cell r="P186"/>
          <cell r="Q186"/>
          <cell r="R186"/>
          <cell r="S186"/>
          <cell r="T186"/>
          <cell r="U186"/>
        </row>
        <row r="187">
          <cell r="A187"/>
          <cell r="B187"/>
          <cell r="C187"/>
          <cell r="D187"/>
          <cell r="E187"/>
          <cell r="F187"/>
          <cell r="G187"/>
          <cell r="H187"/>
          <cell r="I187"/>
          <cell r="J187"/>
          <cell r="K187"/>
          <cell r="L187"/>
          <cell r="M187"/>
          <cell r="N187"/>
          <cell r="O187"/>
          <cell r="P187"/>
          <cell r="Q187"/>
          <cell r="R187"/>
          <cell r="S187"/>
          <cell r="T187"/>
          <cell r="U187"/>
        </row>
        <row r="188">
          <cell r="A188"/>
          <cell r="B188"/>
          <cell r="C188"/>
          <cell r="D188"/>
          <cell r="E188"/>
          <cell r="F188"/>
          <cell r="G188"/>
          <cell r="H188"/>
          <cell r="I188"/>
          <cell r="J188"/>
          <cell r="K188"/>
          <cell r="L188"/>
          <cell r="M188"/>
          <cell r="N188"/>
          <cell r="O188"/>
          <cell r="P188"/>
          <cell r="Q188"/>
          <cell r="R188"/>
          <cell r="S188"/>
          <cell r="T188"/>
          <cell r="U188"/>
        </row>
        <row r="189">
          <cell r="A189"/>
          <cell r="B189"/>
          <cell r="C189"/>
          <cell r="D189"/>
          <cell r="E189"/>
          <cell r="F189"/>
          <cell r="G189"/>
          <cell r="H189"/>
          <cell r="I189"/>
          <cell r="J189"/>
          <cell r="K189"/>
          <cell r="L189"/>
          <cell r="M189"/>
          <cell r="N189"/>
          <cell r="O189"/>
          <cell r="P189"/>
          <cell r="Q189"/>
          <cell r="R189"/>
          <cell r="S189"/>
          <cell r="T189"/>
          <cell r="U189"/>
        </row>
        <row r="190">
          <cell r="A190"/>
          <cell r="B190"/>
          <cell r="C190"/>
          <cell r="D190"/>
          <cell r="E190"/>
          <cell r="F190"/>
          <cell r="G190"/>
          <cell r="H190"/>
          <cell r="I190"/>
          <cell r="J190"/>
          <cell r="K190"/>
          <cell r="L190"/>
          <cell r="M190"/>
          <cell r="N190"/>
          <cell r="O190"/>
          <cell r="P190"/>
          <cell r="Q190"/>
          <cell r="R190"/>
          <cell r="S190"/>
          <cell r="T190"/>
          <cell r="U190"/>
        </row>
        <row r="191">
          <cell r="A191"/>
          <cell r="B191"/>
          <cell r="C191"/>
          <cell r="D191"/>
          <cell r="E191"/>
          <cell r="F191"/>
          <cell r="G191"/>
          <cell r="H191"/>
          <cell r="I191"/>
          <cell r="J191"/>
          <cell r="K191"/>
          <cell r="L191"/>
          <cell r="M191"/>
          <cell r="N191"/>
          <cell r="O191"/>
          <cell r="P191"/>
          <cell r="Q191"/>
          <cell r="R191"/>
          <cell r="S191"/>
          <cell r="T191"/>
          <cell r="U191"/>
        </row>
        <row r="192">
          <cell r="A192"/>
          <cell r="B192"/>
          <cell r="C192"/>
          <cell r="D192"/>
          <cell r="E192"/>
          <cell r="F192"/>
          <cell r="G192"/>
          <cell r="H192"/>
          <cell r="I192"/>
          <cell r="J192"/>
          <cell r="K192"/>
          <cell r="L192"/>
          <cell r="M192"/>
          <cell r="N192"/>
          <cell r="O192"/>
          <cell r="P192"/>
          <cell r="Q192"/>
          <cell r="R192"/>
          <cell r="S192"/>
          <cell r="T192"/>
          <cell r="U192"/>
        </row>
        <row r="193">
          <cell r="A193"/>
          <cell r="B193"/>
          <cell r="C193"/>
          <cell r="D193"/>
          <cell r="E193"/>
          <cell r="F193"/>
          <cell r="G193"/>
          <cell r="H193"/>
          <cell r="I193"/>
          <cell r="J193"/>
          <cell r="K193"/>
          <cell r="L193"/>
          <cell r="M193"/>
          <cell r="N193"/>
          <cell r="O193"/>
          <cell r="P193"/>
          <cell r="Q193"/>
          <cell r="R193"/>
          <cell r="S193"/>
          <cell r="T193"/>
          <cell r="U193"/>
        </row>
        <row r="194">
          <cell r="A194"/>
          <cell r="B194"/>
          <cell r="C194"/>
          <cell r="D194"/>
          <cell r="E194"/>
          <cell r="F194"/>
          <cell r="G194"/>
          <cell r="H194"/>
          <cell r="I194"/>
          <cell r="J194"/>
          <cell r="K194"/>
          <cell r="L194"/>
          <cell r="M194"/>
          <cell r="N194"/>
          <cell r="O194"/>
          <cell r="P194"/>
          <cell r="Q194"/>
          <cell r="R194"/>
          <cell r="S194"/>
          <cell r="T194"/>
          <cell r="U194"/>
        </row>
        <row r="195">
          <cell r="A195"/>
          <cell r="B195"/>
          <cell r="C195"/>
          <cell r="D195"/>
          <cell r="E195"/>
          <cell r="F195"/>
          <cell r="G195"/>
          <cell r="H195"/>
          <cell r="I195"/>
          <cell r="J195"/>
          <cell r="K195"/>
          <cell r="L195"/>
          <cell r="M195"/>
          <cell r="N195"/>
          <cell r="O195"/>
          <cell r="P195"/>
          <cell r="Q195"/>
          <cell r="R195"/>
          <cell r="S195"/>
          <cell r="T195"/>
          <cell r="U195"/>
        </row>
        <row r="196">
          <cell r="A196"/>
          <cell r="B196"/>
          <cell r="C196"/>
          <cell r="D196"/>
          <cell r="E196"/>
          <cell r="F196"/>
          <cell r="G196"/>
          <cell r="H196"/>
          <cell r="I196"/>
          <cell r="J196"/>
          <cell r="K196"/>
          <cell r="L196"/>
          <cell r="M196"/>
          <cell r="N196"/>
          <cell r="O196"/>
          <cell r="P196"/>
          <cell r="Q196"/>
          <cell r="R196"/>
          <cell r="S196"/>
          <cell r="T196"/>
          <cell r="U196"/>
        </row>
        <row r="197">
          <cell r="A197"/>
          <cell r="B197"/>
          <cell r="C197"/>
          <cell r="D197"/>
          <cell r="E197"/>
          <cell r="F197"/>
          <cell r="G197"/>
          <cell r="H197"/>
          <cell r="I197"/>
          <cell r="J197"/>
          <cell r="K197"/>
          <cell r="L197"/>
          <cell r="M197"/>
          <cell r="N197"/>
          <cell r="O197"/>
          <cell r="P197"/>
          <cell r="Q197"/>
          <cell r="R197"/>
          <cell r="S197"/>
          <cell r="T197"/>
          <cell r="U197"/>
        </row>
        <row r="198">
          <cell r="A198"/>
          <cell r="B198"/>
          <cell r="C198"/>
          <cell r="D198"/>
          <cell r="E198"/>
          <cell r="F198"/>
          <cell r="G198"/>
          <cell r="H198"/>
          <cell r="I198"/>
          <cell r="J198"/>
          <cell r="K198"/>
          <cell r="L198"/>
          <cell r="M198"/>
          <cell r="N198"/>
          <cell r="O198"/>
          <cell r="P198"/>
          <cell r="Q198"/>
          <cell r="R198"/>
          <cell r="S198"/>
          <cell r="T198"/>
          <cell r="U198"/>
        </row>
        <row r="199">
          <cell r="A199"/>
          <cell r="B199"/>
          <cell r="C199"/>
          <cell r="D199"/>
          <cell r="E199"/>
          <cell r="F199"/>
          <cell r="G199"/>
          <cell r="H199"/>
          <cell r="I199"/>
          <cell r="J199"/>
          <cell r="K199"/>
          <cell r="L199"/>
          <cell r="M199"/>
          <cell r="N199"/>
          <cell r="O199"/>
          <cell r="P199"/>
          <cell r="Q199"/>
          <cell r="R199"/>
          <cell r="S199"/>
          <cell r="T199"/>
          <cell r="U199"/>
        </row>
        <row r="200">
          <cell r="A200"/>
          <cell r="B200"/>
          <cell r="C200"/>
          <cell r="D200"/>
          <cell r="E200"/>
          <cell r="F200"/>
          <cell r="G200"/>
          <cell r="H200"/>
          <cell r="I200"/>
          <cell r="J200"/>
          <cell r="K200"/>
          <cell r="L200"/>
          <cell r="M200"/>
          <cell r="N200"/>
          <cell r="O200"/>
          <cell r="P200"/>
          <cell r="Q200"/>
          <cell r="R200"/>
          <cell r="S200"/>
          <cell r="T200"/>
          <cell r="U200"/>
        </row>
        <row r="201">
          <cell r="A201"/>
          <cell r="B201"/>
          <cell r="C201"/>
          <cell r="D201"/>
          <cell r="E201"/>
          <cell r="F201"/>
          <cell r="G201"/>
          <cell r="H201"/>
          <cell r="I201"/>
          <cell r="J201"/>
          <cell r="K201"/>
          <cell r="L201"/>
          <cell r="M201"/>
          <cell r="N201"/>
          <cell r="O201"/>
          <cell r="P201"/>
          <cell r="Q201"/>
          <cell r="R201"/>
          <cell r="S201"/>
          <cell r="T201"/>
          <cell r="U201"/>
        </row>
        <row r="202">
          <cell r="A202"/>
          <cell r="B202"/>
          <cell r="C202"/>
          <cell r="D202"/>
          <cell r="E202"/>
          <cell r="F202"/>
          <cell r="G202"/>
          <cell r="H202"/>
          <cell r="I202"/>
          <cell r="J202"/>
          <cell r="K202"/>
          <cell r="L202"/>
          <cell r="M202"/>
          <cell r="N202"/>
          <cell r="O202"/>
          <cell r="P202"/>
          <cell r="Q202"/>
          <cell r="R202"/>
          <cell r="S202"/>
          <cell r="T202"/>
          <cell r="U202"/>
        </row>
        <row r="203">
          <cell r="A203"/>
          <cell r="B203"/>
          <cell r="C203"/>
          <cell r="D203"/>
          <cell r="E203"/>
          <cell r="F203"/>
          <cell r="G203"/>
          <cell r="H203"/>
          <cell r="I203"/>
          <cell r="J203"/>
          <cell r="K203"/>
          <cell r="L203"/>
          <cell r="M203"/>
          <cell r="N203"/>
          <cell r="O203"/>
          <cell r="P203"/>
          <cell r="Q203"/>
          <cell r="R203"/>
          <cell r="S203"/>
          <cell r="T203"/>
          <cell r="U203"/>
        </row>
        <row r="204">
          <cell r="A204"/>
          <cell r="B204"/>
          <cell r="C204"/>
          <cell r="D204"/>
          <cell r="E204"/>
          <cell r="F204"/>
          <cell r="G204"/>
          <cell r="H204"/>
          <cell r="I204"/>
          <cell r="J204"/>
          <cell r="K204"/>
          <cell r="L204"/>
          <cell r="M204"/>
          <cell r="N204"/>
          <cell r="O204"/>
          <cell r="P204"/>
          <cell r="Q204"/>
          <cell r="R204"/>
          <cell r="S204"/>
          <cell r="T204"/>
          <cell r="U204"/>
        </row>
        <row r="205">
          <cell r="A205"/>
          <cell r="B205"/>
          <cell r="C205"/>
          <cell r="D205"/>
          <cell r="E205"/>
          <cell r="F205"/>
          <cell r="G205"/>
          <cell r="H205"/>
          <cell r="I205"/>
          <cell r="J205"/>
          <cell r="K205"/>
          <cell r="L205"/>
          <cell r="M205"/>
          <cell r="N205"/>
          <cell r="O205"/>
          <cell r="P205"/>
          <cell r="Q205"/>
          <cell r="R205"/>
          <cell r="S205"/>
          <cell r="T205"/>
          <cell r="U205"/>
        </row>
        <row r="206">
          <cell r="A206"/>
          <cell r="B206"/>
          <cell r="C206"/>
          <cell r="D206"/>
          <cell r="E206"/>
          <cell r="F206"/>
          <cell r="G206"/>
          <cell r="H206"/>
          <cell r="I206"/>
          <cell r="J206"/>
          <cell r="K206"/>
          <cell r="L206"/>
          <cell r="M206"/>
          <cell r="N206"/>
          <cell r="O206"/>
          <cell r="P206"/>
          <cell r="Q206"/>
          <cell r="R206"/>
          <cell r="S206"/>
          <cell r="T206"/>
          <cell r="U206"/>
        </row>
        <row r="207">
          <cell r="A207"/>
          <cell r="B207"/>
          <cell r="C207"/>
          <cell r="D207"/>
          <cell r="E207"/>
          <cell r="F207"/>
          <cell r="G207"/>
          <cell r="H207"/>
          <cell r="I207"/>
          <cell r="J207"/>
          <cell r="K207"/>
          <cell r="L207"/>
          <cell r="M207"/>
          <cell r="N207"/>
          <cell r="O207"/>
          <cell r="P207"/>
          <cell r="Q207"/>
          <cell r="R207"/>
          <cell r="S207"/>
          <cell r="T207"/>
          <cell r="U207"/>
        </row>
        <row r="208">
          <cell r="A208"/>
          <cell r="B208"/>
          <cell r="C208"/>
          <cell r="D208"/>
          <cell r="E208"/>
          <cell r="F208"/>
          <cell r="G208"/>
          <cell r="H208"/>
          <cell r="I208"/>
          <cell r="J208"/>
          <cell r="K208"/>
          <cell r="L208"/>
          <cell r="M208"/>
          <cell r="N208"/>
          <cell r="O208"/>
          <cell r="P208"/>
          <cell r="Q208"/>
          <cell r="R208"/>
          <cell r="S208"/>
          <cell r="T208"/>
          <cell r="U208"/>
        </row>
        <row r="209">
          <cell r="A209"/>
          <cell r="B209"/>
          <cell r="C209"/>
          <cell r="D209"/>
          <cell r="E209"/>
          <cell r="F209"/>
          <cell r="G209"/>
          <cell r="H209"/>
          <cell r="I209"/>
          <cell r="J209"/>
          <cell r="K209"/>
          <cell r="L209"/>
          <cell r="M209"/>
          <cell r="N209"/>
          <cell r="O209"/>
          <cell r="P209"/>
          <cell r="Q209"/>
          <cell r="R209"/>
          <cell r="S209"/>
          <cell r="T209"/>
          <cell r="U209"/>
        </row>
        <row r="210">
          <cell r="A210"/>
          <cell r="B210"/>
          <cell r="C210"/>
          <cell r="D210"/>
          <cell r="E210"/>
          <cell r="F210"/>
          <cell r="G210"/>
          <cell r="H210"/>
          <cell r="I210"/>
          <cell r="J210"/>
          <cell r="K210"/>
          <cell r="L210"/>
          <cell r="M210"/>
          <cell r="N210"/>
          <cell r="O210"/>
          <cell r="P210"/>
          <cell r="Q210"/>
          <cell r="R210"/>
          <cell r="S210"/>
          <cell r="T210"/>
          <cell r="U210"/>
        </row>
        <row r="211">
          <cell r="A211"/>
          <cell r="B211"/>
          <cell r="C211"/>
          <cell r="D211"/>
          <cell r="E211"/>
          <cell r="F211"/>
          <cell r="G211"/>
          <cell r="H211"/>
          <cell r="I211"/>
          <cell r="J211"/>
          <cell r="K211"/>
          <cell r="L211"/>
          <cell r="M211"/>
          <cell r="N211"/>
          <cell r="O211"/>
          <cell r="P211"/>
          <cell r="Q211"/>
          <cell r="R211"/>
          <cell r="S211"/>
          <cell r="T211"/>
          <cell r="U211"/>
        </row>
        <row r="212">
          <cell r="A212"/>
          <cell r="B212"/>
          <cell r="C212"/>
          <cell r="D212"/>
          <cell r="E212"/>
          <cell r="F212"/>
          <cell r="G212"/>
          <cell r="H212"/>
          <cell r="I212"/>
          <cell r="J212"/>
          <cell r="K212"/>
          <cell r="L212"/>
          <cell r="M212"/>
          <cell r="N212"/>
          <cell r="O212"/>
          <cell r="P212"/>
          <cell r="Q212"/>
          <cell r="R212"/>
          <cell r="S212"/>
          <cell r="T212"/>
          <cell r="U212"/>
        </row>
        <row r="213">
          <cell r="A213"/>
          <cell r="B213"/>
          <cell r="C213"/>
          <cell r="D213"/>
          <cell r="E213"/>
          <cell r="F213"/>
          <cell r="G213"/>
          <cell r="H213"/>
          <cell r="I213"/>
          <cell r="J213"/>
          <cell r="K213"/>
          <cell r="L213"/>
          <cell r="M213"/>
          <cell r="N213"/>
          <cell r="O213"/>
          <cell r="P213"/>
          <cell r="Q213"/>
          <cell r="R213"/>
          <cell r="S213"/>
          <cell r="T213"/>
          <cell r="U213"/>
        </row>
        <row r="214">
          <cell r="A214"/>
          <cell r="B214"/>
          <cell r="C214"/>
          <cell r="D214"/>
          <cell r="E214"/>
          <cell r="F214"/>
          <cell r="G214"/>
          <cell r="H214"/>
          <cell r="I214"/>
          <cell r="J214"/>
          <cell r="K214"/>
          <cell r="L214"/>
          <cell r="M214"/>
          <cell r="N214"/>
          <cell r="O214"/>
          <cell r="P214"/>
          <cell r="Q214"/>
          <cell r="R214"/>
          <cell r="S214"/>
          <cell r="T214"/>
          <cell r="U214"/>
        </row>
        <row r="215">
          <cell r="A215"/>
          <cell r="B215"/>
          <cell r="C215"/>
          <cell r="D215"/>
          <cell r="E215"/>
          <cell r="F215"/>
          <cell r="G215"/>
          <cell r="H215"/>
          <cell r="I215"/>
          <cell r="J215"/>
          <cell r="K215"/>
          <cell r="L215"/>
          <cell r="M215"/>
          <cell r="N215"/>
          <cell r="O215"/>
          <cell r="P215"/>
          <cell r="Q215"/>
          <cell r="R215"/>
          <cell r="S215"/>
          <cell r="T215"/>
          <cell r="U215"/>
        </row>
        <row r="216">
          <cell r="A216"/>
          <cell r="B216"/>
          <cell r="C216"/>
          <cell r="D216"/>
          <cell r="E216"/>
          <cell r="F216"/>
          <cell r="G216"/>
          <cell r="H216"/>
          <cell r="I216"/>
          <cell r="J216"/>
          <cell r="K216"/>
          <cell r="L216"/>
          <cell r="M216"/>
          <cell r="N216"/>
          <cell r="O216"/>
          <cell r="P216"/>
          <cell r="Q216"/>
          <cell r="R216"/>
          <cell r="S216"/>
          <cell r="T216"/>
          <cell r="U216"/>
        </row>
        <row r="217">
          <cell r="A217"/>
          <cell r="B217"/>
          <cell r="C217"/>
          <cell r="D217"/>
          <cell r="E217"/>
          <cell r="F217"/>
          <cell r="G217"/>
          <cell r="H217"/>
          <cell r="I217"/>
          <cell r="J217"/>
          <cell r="K217"/>
          <cell r="L217"/>
          <cell r="M217"/>
          <cell r="N217"/>
          <cell r="O217"/>
          <cell r="P217"/>
          <cell r="Q217"/>
          <cell r="R217"/>
          <cell r="S217"/>
          <cell r="T217"/>
          <cell r="U217"/>
        </row>
        <row r="218">
          <cell r="A218"/>
          <cell r="B218"/>
          <cell r="C218"/>
          <cell r="D218"/>
          <cell r="E218"/>
          <cell r="F218"/>
          <cell r="G218"/>
          <cell r="H218"/>
          <cell r="I218"/>
          <cell r="J218"/>
          <cell r="K218"/>
          <cell r="L218"/>
          <cell r="M218"/>
          <cell r="N218"/>
          <cell r="O218"/>
          <cell r="P218"/>
          <cell r="Q218"/>
          <cell r="R218"/>
          <cell r="S218"/>
          <cell r="T218"/>
          <cell r="U218"/>
        </row>
        <row r="219">
          <cell r="A219"/>
          <cell r="B219"/>
          <cell r="C219"/>
          <cell r="D219"/>
          <cell r="E219"/>
          <cell r="F219"/>
          <cell r="G219"/>
          <cell r="H219"/>
          <cell r="I219"/>
          <cell r="J219"/>
          <cell r="K219"/>
          <cell r="L219"/>
          <cell r="M219"/>
          <cell r="N219"/>
          <cell r="O219"/>
          <cell r="P219"/>
          <cell r="Q219"/>
          <cell r="R219"/>
          <cell r="S219"/>
          <cell r="T219"/>
          <cell r="U219"/>
        </row>
        <row r="220">
          <cell r="A220"/>
          <cell r="B220"/>
          <cell r="C220"/>
          <cell r="D220"/>
          <cell r="E220"/>
          <cell r="F220"/>
          <cell r="G220"/>
          <cell r="H220"/>
          <cell r="I220"/>
          <cell r="J220"/>
          <cell r="K220"/>
          <cell r="L220"/>
          <cell r="M220"/>
          <cell r="N220"/>
          <cell r="O220"/>
          <cell r="P220"/>
          <cell r="Q220"/>
          <cell r="R220"/>
          <cell r="S220"/>
          <cell r="T220"/>
          <cell r="U220"/>
        </row>
        <row r="221">
          <cell r="A221"/>
          <cell r="B221"/>
          <cell r="C221"/>
          <cell r="D221"/>
          <cell r="E221"/>
          <cell r="F221"/>
          <cell r="G221"/>
          <cell r="H221"/>
          <cell r="I221"/>
          <cell r="J221"/>
          <cell r="K221"/>
          <cell r="L221"/>
          <cell r="M221"/>
          <cell r="N221"/>
          <cell r="O221"/>
          <cell r="P221"/>
          <cell r="Q221"/>
          <cell r="R221"/>
          <cell r="S221"/>
          <cell r="T221"/>
          <cell r="U221"/>
        </row>
        <row r="222">
          <cell r="A222"/>
          <cell r="B222"/>
          <cell r="C222"/>
          <cell r="D222"/>
          <cell r="E222"/>
          <cell r="F222"/>
          <cell r="G222"/>
          <cell r="H222"/>
          <cell r="I222"/>
          <cell r="J222"/>
          <cell r="K222"/>
          <cell r="L222"/>
          <cell r="M222"/>
          <cell r="N222"/>
          <cell r="O222"/>
          <cell r="P222"/>
          <cell r="Q222"/>
          <cell r="R222"/>
          <cell r="S222"/>
          <cell r="T222"/>
          <cell r="U222"/>
        </row>
        <row r="223">
          <cell r="A223"/>
          <cell r="B223"/>
          <cell r="C223"/>
          <cell r="D223"/>
          <cell r="E223"/>
          <cell r="F223"/>
          <cell r="G223"/>
          <cell r="H223"/>
          <cell r="I223"/>
          <cell r="J223"/>
          <cell r="K223"/>
          <cell r="L223"/>
          <cell r="M223"/>
          <cell r="N223"/>
          <cell r="O223"/>
          <cell r="P223"/>
          <cell r="Q223"/>
          <cell r="R223"/>
          <cell r="S223"/>
          <cell r="T223"/>
          <cell r="U223"/>
        </row>
        <row r="224">
          <cell r="A224"/>
          <cell r="B224"/>
          <cell r="C224"/>
          <cell r="D224"/>
          <cell r="E224"/>
          <cell r="F224"/>
          <cell r="G224"/>
          <cell r="H224"/>
          <cell r="I224"/>
          <cell r="J224"/>
          <cell r="K224"/>
          <cell r="L224"/>
          <cell r="M224"/>
          <cell r="N224"/>
          <cell r="O224"/>
          <cell r="P224"/>
          <cell r="Q224"/>
          <cell r="R224"/>
          <cell r="S224"/>
          <cell r="T224"/>
          <cell r="U224"/>
        </row>
        <row r="225">
          <cell r="A225"/>
          <cell r="B225"/>
          <cell r="C225"/>
          <cell r="D225"/>
          <cell r="E225"/>
          <cell r="F225"/>
          <cell r="G225"/>
          <cell r="H225"/>
          <cell r="I225"/>
          <cell r="J225"/>
          <cell r="K225"/>
          <cell r="L225"/>
          <cell r="M225"/>
          <cell r="N225"/>
          <cell r="O225"/>
          <cell r="P225"/>
          <cell r="Q225"/>
          <cell r="R225"/>
          <cell r="S225"/>
          <cell r="T225"/>
          <cell r="U225"/>
        </row>
        <row r="226">
          <cell r="A226"/>
          <cell r="B226"/>
          <cell r="C226"/>
          <cell r="D226"/>
          <cell r="E226"/>
          <cell r="F226"/>
          <cell r="G226"/>
          <cell r="H226"/>
          <cell r="I226"/>
          <cell r="J226"/>
          <cell r="K226"/>
          <cell r="L226"/>
          <cell r="M226"/>
          <cell r="N226"/>
          <cell r="O226"/>
          <cell r="P226"/>
          <cell r="Q226"/>
          <cell r="R226"/>
          <cell r="S226"/>
          <cell r="T226"/>
          <cell r="U226"/>
        </row>
        <row r="227">
          <cell r="A227"/>
          <cell r="B227"/>
          <cell r="C227"/>
          <cell r="D227"/>
          <cell r="E227"/>
          <cell r="F227"/>
          <cell r="G227"/>
          <cell r="H227"/>
          <cell r="I227"/>
          <cell r="J227"/>
          <cell r="K227"/>
          <cell r="L227"/>
          <cell r="M227"/>
          <cell r="N227"/>
          <cell r="O227"/>
          <cell r="P227"/>
          <cell r="Q227"/>
          <cell r="R227"/>
          <cell r="S227"/>
          <cell r="T227"/>
          <cell r="U227"/>
        </row>
        <row r="228">
          <cell r="A228"/>
          <cell r="B228"/>
          <cell r="C228"/>
          <cell r="D228"/>
          <cell r="E228"/>
          <cell r="F228"/>
          <cell r="G228"/>
          <cell r="H228"/>
          <cell r="I228"/>
          <cell r="J228"/>
          <cell r="K228"/>
          <cell r="L228"/>
          <cell r="M228"/>
          <cell r="N228"/>
          <cell r="O228"/>
          <cell r="P228"/>
          <cell r="Q228"/>
          <cell r="R228"/>
          <cell r="S228"/>
          <cell r="T228"/>
          <cell r="U228"/>
        </row>
        <row r="229">
          <cell r="A229"/>
          <cell r="B229"/>
          <cell r="C229"/>
          <cell r="D229"/>
          <cell r="E229"/>
          <cell r="F229"/>
          <cell r="G229"/>
          <cell r="H229"/>
          <cell r="I229"/>
          <cell r="J229"/>
          <cell r="K229"/>
          <cell r="L229"/>
          <cell r="M229"/>
          <cell r="N229"/>
          <cell r="O229"/>
          <cell r="P229"/>
          <cell r="Q229"/>
          <cell r="R229"/>
          <cell r="S229"/>
          <cell r="T229"/>
          <cell r="U229"/>
        </row>
        <row r="230">
          <cell r="A230"/>
          <cell r="B230"/>
          <cell r="C230"/>
          <cell r="D230"/>
          <cell r="E230"/>
          <cell r="F230"/>
          <cell r="G230"/>
          <cell r="H230"/>
          <cell r="I230"/>
          <cell r="J230"/>
          <cell r="K230"/>
          <cell r="L230"/>
          <cell r="M230"/>
          <cell r="N230"/>
          <cell r="O230"/>
          <cell r="P230"/>
          <cell r="Q230"/>
          <cell r="R230"/>
          <cell r="S230"/>
          <cell r="T230"/>
          <cell r="U230"/>
        </row>
        <row r="231">
          <cell r="A231"/>
          <cell r="B231"/>
          <cell r="C231"/>
          <cell r="D231"/>
          <cell r="E231"/>
          <cell r="F231"/>
          <cell r="G231"/>
          <cell r="H231"/>
          <cell r="I231"/>
          <cell r="J231"/>
          <cell r="K231"/>
          <cell r="L231"/>
          <cell r="M231"/>
          <cell r="N231"/>
          <cell r="O231"/>
          <cell r="P231"/>
          <cell r="Q231"/>
          <cell r="R231"/>
          <cell r="S231"/>
          <cell r="T231"/>
          <cell r="U231"/>
        </row>
        <row r="232">
          <cell r="A232"/>
          <cell r="B232"/>
          <cell r="C232"/>
          <cell r="D232"/>
          <cell r="E232"/>
          <cell r="F232"/>
          <cell r="G232"/>
          <cell r="H232"/>
          <cell r="I232"/>
          <cell r="J232"/>
          <cell r="K232"/>
          <cell r="L232"/>
          <cell r="M232"/>
          <cell r="N232"/>
          <cell r="O232"/>
          <cell r="P232"/>
          <cell r="Q232"/>
          <cell r="R232"/>
          <cell r="S232"/>
          <cell r="T232"/>
          <cell r="U232"/>
        </row>
        <row r="233">
          <cell r="A233"/>
          <cell r="B233"/>
          <cell r="C233"/>
          <cell r="D233"/>
          <cell r="E233"/>
          <cell r="F233"/>
          <cell r="G233"/>
          <cell r="H233"/>
          <cell r="I233"/>
          <cell r="J233"/>
          <cell r="K233"/>
          <cell r="L233"/>
          <cell r="M233"/>
          <cell r="N233"/>
          <cell r="O233"/>
          <cell r="P233"/>
          <cell r="Q233"/>
          <cell r="R233"/>
          <cell r="S233"/>
          <cell r="T233"/>
          <cell r="U233"/>
        </row>
        <row r="234">
          <cell r="A234"/>
          <cell r="B234"/>
          <cell r="C234"/>
          <cell r="D234"/>
          <cell r="E234"/>
          <cell r="F234"/>
          <cell r="G234"/>
          <cell r="H234"/>
          <cell r="I234"/>
          <cell r="J234"/>
          <cell r="K234"/>
          <cell r="L234"/>
          <cell r="M234"/>
          <cell r="N234"/>
          <cell r="O234"/>
          <cell r="P234"/>
          <cell r="Q234"/>
          <cell r="R234"/>
          <cell r="S234"/>
          <cell r="T234"/>
          <cell r="U234"/>
        </row>
        <row r="235">
          <cell r="A235"/>
          <cell r="B235"/>
          <cell r="C235"/>
          <cell r="D235"/>
          <cell r="E235"/>
          <cell r="F235"/>
          <cell r="G235"/>
          <cell r="H235"/>
          <cell r="I235"/>
          <cell r="J235"/>
          <cell r="K235"/>
          <cell r="L235"/>
          <cell r="M235"/>
          <cell r="N235"/>
          <cell r="O235"/>
          <cell r="P235"/>
          <cell r="Q235"/>
          <cell r="R235"/>
          <cell r="S235"/>
          <cell r="T235"/>
          <cell r="U235"/>
        </row>
        <row r="236">
          <cell r="A236"/>
          <cell r="B236"/>
          <cell r="C236"/>
          <cell r="D236"/>
          <cell r="E236"/>
          <cell r="F236"/>
          <cell r="G236"/>
          <cell r="H236"/>
          <cell r="I236"/>
          <cell r="J236"/>
          <cell r="K236"/>
          <cell r="L236"/>
          <cell r="M236"/>
          <cell r="N236"/>
          <cell r="O236"/>
          <cell r="P236"/>
          <cell r="Q236"/>
          <cell r="R236"/>
          <cell r="S236"/>
          <cell r="T236"/>
          <cell r="U236"/>
        </row>
        <row r="237">
          <cell r="A237"/>
          <cell r="B237"/>
          <cell r="C237"/>
          <cell r="D237"/>
          <cell r="E237"/>
          <cell r="F237"/>
          <cell r="G237"/>
          <cell r="H237"/>
          <cell r="I237"/>
          <cell r="J237"/>
          <cell r="K237"/>
          <cell r="L237"/>
          <cell r="M237"/>
          <cell r="N237"/>
          <cell r="O237"/>
          <cell r="P237"/>
          <cell r="Q237"/>
          <cell r="R237"/>
          <cell r="S237"/>
          <cell r="T237"/>
          <cell r="U237"/>
        </row>
        <row r="238">
          <cell r="A238"/>
          <cell r="B238"/>
          <cell r="C238"/>
          <cell r="D238"/>
          <cell r="E238"/>
          <cell r="F238"/>
          <cell r="G238"/>
          <cell r="H238"/>
          <cell r="I238"/>
          <cell r="J238"/>
          <cell r="K238"/>
          <cell r="L238"/>
          <cell r="M238"/>
          <cell r="N238"/>
          <cell r="O238"/>
          <cell r="P238"/>
          <cell r="Q238"/>
          <cell r="R238"/>
          <cell r="S238"/>
          <cell r="T238"/>
          <cell r="U238"/>
        </row>
        <row r="239">
          <cell r="A239"/>
          <cell r="B239"/>
          <cell r="C239"/>
          <cell r="D239"/>
          <cell r="E239"/>
          <cell r="F239"/>
          <cell r="G239"/>
          <cell r="H239"/>
          <cell r="I239"/>
          <cell r="J239"/>
          <cell r="K239"/>
          <cell r="L239"/>
          <cell r="M239"/>
          <cell r="N239"/>
          <cell r="O239"/>
          <cell r="P239"/>
          <cell r="Q239"/>
          <cell r="R239"/>
          <cell r="S239"/>
          <cell r="T239"/>
          <cell r="U239"/>
        </row>
        <row r="240">
          <cell r="A240"/>
          <cell r="B240"/>
          <cell r="C240"/>
          <cell r="D240"/>
          <cell r="E240"/>
          <cell r="F240"/>
          <cell r="G240"/>
          <cell r="H240"/>
          <cell r="I240"/>
          <cell r="J240"/>
          <cell r="K240"/>
          <cell r="L240"/>
          <cell r="M240"/>
          <cell r="N240"/>
          <cell r="O240"/>
          <cell r="P240"/>
          <cell r="Q240"/>
          <cell r="R240"/>
          <cell r="S240"/>
          <cell r="T240"/>
          <cell r="U240"/>
        </row>
        <row r="241">
          <cell r="A241"/>
          <cell r="B241"/>
          <cell r="C241"/>
          <cell r="D241"/>
          <cell r="E241"/>
          <cell r="F241"/>
          <cell r="G241"/>
          <cell r="H241"/>
          <cell r="I241"/>
          <cell r="J241"/>
          <cell r="K241"/>
          <cell r="L241"/>
          <cell r="M241"/>
          <cell r="N241"/>
          <cell r="O241"/>
          <cell r="P241"/>
          <cell r="Q241"/>
          <cell r="R241"/>
          <cell r="S241"/>
          <cell r="T241"/>
          <cell r="U241"/>
        </row>
        <row r="242">
          <cell r="A242"/>
          <cell r="B242"/>
          <cell r="C242"/>
          <cell r="D242"/>
          <cell r="E242"/>
          <cell r="F242"/>
          <cell r="G242"/>
          <cell r="H242"/>
          <cell r="I242"/>
          <cell r="J242"/>
          <cell r="K242"/>
          <cell r="L242"/>
          <cell r="M242"/>
          <cell r="N242"/>
          <cell r="O242"/>
          <cell r="P242"/>
          <cell r="Q242"/>
          <cell r="R242"/>
          <cell r="S242"/>
          <cell r="T242"/>
          <cell r="U242"/>
        </row>
        <row r="243">
          <cell r="A243"/>
          <cell r="B243"/>
          <cell r="C243"/>
          <cell r="D243"/>
          <cell r="E243"/>
          <cell r="F243"/>
          <cell r="G243"/>
          <cell r="H243"/>
          <cell r="I243"/>
          <cell r="J243"/>
          <cell r="K243"/>
          <cell r="L243"/>
          <cell r="M243"/>
          <cell r="N243"/>
          <cell r="O243"/>
          <cell r="P243"/>
          <cell r="Q243"/>
          <cell r="R243"/>
          <cell r="S243"/>
          <cell r="T243"/>
          <cell r="U243"/>
        </row>
        <row r="244">
          <cell r="A244"/>
          <cell r="B244"/>
          <cell r="C244"/>
          <cell r="D244"/>
          <cell r="E244"/>
          <cell r="F244"/>
          <cell r="G244"/>
          <cell r="H244"/>
          <cell r="I244"/>
          <cell r="J244"/>
          <cell r="K244"/>
          <cell r="L244"/>
          <cell r="M244"/>
          <cell r="N244"/>
          <cell r="O244"/>
          <cell r="P244"/>
          <cell r="Q244"/>
          <cell r="R244"/>
          <cell r="S244"/>
          <cell r="T244"/>
          <cell r="U244"/>
        </row>
        <row r="245">
          <cell r="A245"/>
          <cell r="B245"/>
          <cell r="C245"/>
          <cell r="D245"/>
          <cell r="E245"/>
          <cell r="F245"/>
          <cell r="G245"/>
          <cell r="H245"/>
          <cell r="I245"/>
          <cell r="J245"/>
          <cell r="K245"/>
          <cell r="L245"/>
          <cell r="M245"/>
          <cell r="N245"/>
          <cell r="O245"/>
          <cell r="P245"/>
          <cell r="Q245"/>
          <cell r="R245"/>
          <cell r="S245"/>
          <cell r="T245"/>
          <cell r="U245"/>
        </row>
        <row r="246">
          <cell r="A246"/>
          <cell r="B246"/>
          <cell r="C246"/>
          <cell r="D246"/>
          <cell r="E246"/>
          <cell r="F246"/>
          <cell r="G246"/>
          <cell r="H246"/>
          <cell r="I246"/>
          <cell r="J246"/>
          <cell r="K246"/>
          <cell r="L246"/>
          <cell r="M246"/>
          <cell r="N246"/>
          <cell r="O246"/>
          <cell r="P246"/>
          <cell r="Q246"/>
          <cell r="R246"/>
          <cell r="S246"/>
          <cell r="T246"/>
          <cell r="U246"/>
        </row>
        <row r="247">
          <cell r="A247"/>
          <cell r="B247"/>
          <cell r="C247"/>
          <cell r="D247"/>
          <cell r="E247"/>
          <cell r="F247"/>
          <cell r="G247"/>
          <cell r="H247"/>
          <cell r="I247"/>
          <cell r="J247"/>
          <cell r="K247"/>
          <cell r="L247"/>
          <cell r="M247"/>
          <cell r="N247"/>
          <cell r="O247"/>
          <cell r="P247"/>
          <cell r="Q247"/>
          <cell r="R247"/>
          <cell r="S247"/>
          <cell r="T247"/>
          <cell r="U247"/>
        </row>
        <row r="248">
          <cell r="A248"/>
          <cell r="B248"/>
          <cell r="C248"/>
          <cell r="D248"/>
          <cell r="E248"/>
          <cell r="F248"/>
          <cell r="G248"/>
          <cell r="H248"/>
          <cell r="I248"/>
          <cell r="J248"/>
          <cell r="K248"/>
          <cell r="L248"/>
          <cell r="M248"/>
          <cell r="N248"/>
          <cell r="O248"/>
          <cell r="P248"/>
          <cell r="Q248"/>
          <cell r="R248"/>
          <cell r="S248"/>
          <cell r="T248"/>
          <cell r="U248"/>
        </row>
        <row r="249">
          <cell r="A249"/>
          <cell r="B249"/>
          <cell r="C249"/>
          <cell r="D249"/>
          <cell r="E249"/>
          <cell r="F249"/>
          <cell r="G249"/>
          <cell r="H249"/>
          <cell r="I249"/>
          <cell r="J249"/>
          <cell r="K249"/>
          <cell r="L249"/>
          <cell r="M249"/>
          <cell r="N249"/>
          <cell r="O249"/>
          <cell r="P249"/>
          <cell r="Q249"/>
          <cell r="R249"/>
          <cell r="S249"/>
          <cell r="T249"/>
          <cell r="U249"/>
        </row>
        <row r="250">
          <cell r="A250"/>
          <cell r="B250"/>
          <cell r="C250"/>
          <cell r="D250"/>
          <cell r="E250"/>
          <cell r="F250"/>
          <cell r="G250"/>
          <cell r="H250"/>
          <cell r="I250"/>
          <cell r="J250"/>
          <cell r="K250"/>
          <cell r="L250"/>
          <cell r="M250"/>
          <cell r="N250"/>
          <cell r="O250"/>
          <cell r="P250"/>
          <cell r="Q250"/>
          <cell r="R250"/>
          <cell r="S250"/>
          <cell r="T250"/>
          <cell r="U250"/>
        </row>
        <row r="251">
          <cell r="A251"/>
          <cell r="B251"/>
          <cell r="C251"/>
          <cell r="D251"/>
          <cell r="E251"/>
          <cell r="F251"/>
          <cell r="G251"/>
          <cell r="H251"/>
          <cell r="I251"/>
          <cell r="J251"/>
          <cell r="K251"/>
          <cell r="L251"/>
          <cell r="M251"/>
          <cell r="N251"/>
          <cell r="O251"/>
          <cell r="P251"/>
          <cell r="Q251"/>
          <cell r="R251"/>
          <cell r="S251"/>
          <cell r="T251"/>
          <cell r="U251"/>
        </row>
        <row r="252">
          <cell r="A252"/>
          <cell r="B252"/>
          <cell r="C252"/>
          <cell r="D252"/>
          <cell r="E252"/>
          <cell r="F252"/>
          <cell r="G252"/>
          <cell r="H252"/>
          <cell r="I252"/>
          <cell r="J252"/>
          <cell r="K252"/>
          <cell r="L252"/>
          <cell r="M252"/>
          <cell r="N252"/>
          <cell r="O252"/>
          <cell r="P252"/>
          <cell r="Q252"/>
          <cell r="R252"/>
          <cell r="S252"/>
          <cell r="T252"/>
          <cell r="U252"/>
        </row>
        <row r="253">
          <cell r="A253"/>
          <cell r="B253"/>
          <cell r="C253"/>
          <cell r="D253"/>
          <cell r="E253"/>
          <cell r="F253"/>
          <cell r="G253"/>
          <cell r="H253"/>
          <cell r="I253"/>
          <cell r="J253"/>
          <cell r="K253"/>
          <cell r="L253"/>
          <cell r="M253"/>
          <cell r="N253"/>
          <cell r="O253"/>
          <cell r="P253"/>
          <cell r="Q253"/>
          <cell r="R253"/>
          <cell r="S253"/>
          <cell r="T253"/>
          <cell r="U253"/>
        </row>
        <row r="254">
          <cell r="A254"/>
          <cell r="B254"/>
          <cell r="C254"/>
          <cell r="D254"/>
          <cell r="E254"/>
          <cell r="F254"/>
          <cell r="G254"/>
          <cell r="H254"/>
          <cell r="I254"/>
          <cell r="J254"/>
          <cell r="K254"/>
          <cell r="L254"/>
          <cell r="M254"/>
          <cell r="N254"/>
          <cell r="O254"/>
          <cell r="P254"/>
          <cell r="Q254"/>
          <cell r="R254"/>
          <cell r="S254"/>
          <cell r="T254"/>
          <cell r="U254"/>
        </row>
        <row r="255">
          <cell r="A255"/>
          <cell r="B255"/>
          <cell r="C255"/>
          <cell r="D255"/>
          <cell r="E255"/>
          <cell r="F255"/>
          <cell r="G255"/>
          <cell r="H255"/>
          <cell r="I255"/>
          <cell r="J255"/>
          <cell r="K255"/>
          <cell r="L255"/>
          <cell r="M255"/>
          <cell r="N255"/>
          <cell r="O255"/>
          <cell r="P255"/>
          <cell r="Q255"/>
          <cell r="R255"/>
          <cell r="S255"/>
          <cell r="T255"/>
          <cell r="U255"/>
        </row>
        <row r="256">
          <cell r="A256"/>
          <cell r="B256"/>
          <cell r="C256"/>
          <cell r="D256"/>
          <cell r="E256"/>
          <cell r="F256"/>
          <cell r="G256"/>
          <cell r="H256"/>
          <cell r="I256"/>
          <cell r="J256"/>
          <cell r="K256"/>
          <cell r="L256"/>
          <cell r="M256"/>
          <cell r="N256"/>
          <cell r="O256"/>
          <cell r="P256"/>
          <cell r="Q256"/>
          <cell r="R256"/>
          <cell r="S256"/>
          <cell r="T256"/>
          <cell r="U256"/>
        </row>
        <row r="257">
          <cell r="A257"/>
          <cell r="B257"/>
          <cell r="C257"/>
          <cell r="D257"/>
          <cell r="E257"/>
          <cell r="F257"/>
          <cell r="G257"/>
          <cell r="H257"/>
          <cell r="I257"/>
          <cell r="J257"/>
          <cell r="K257"/>
          <cell r="L257"/>
          <cell r="M257"/>
          <cell r="N257"/>
          <cell r="O257"/>
          <cell r="P257"/>
          <cell r="Q257"/>
          <cell r="R257"/>
          <cell r="S257"/>
          <cell r="T257"/>
          <cell r="U257"/>
        </row>
        <row r="258">
          <cell r="A258"/>
          <cell r="B258"/>
          <cell r="C258"/>
          <cell r="D258"/>
          <cell r="E258"/>
          <cell r="F258"/>
          <cell r="G258"/>
          <cell r="H258"/>
          <cell r="I258"/>
          <cell r="J258"/>
          <cell r="K258"/>
          <cell r="L258"/>
          <cell r="M258"/>
          <cell r="N258"/>
          <cell r="O258"/>
          <cell r="P258"/>
          <cell r="Q258"/>
          <cell r="R258"/>
          <cell r="S258"/>
          <cell r="T258"/>
          <cell r="U258"/>
        </row>
        <row r="259">
          <cell r="A259"/>
          <cell r="B259"/>
          <cell r="C259"/>
          <cell r="D259"/>
          <cell r="E259"/>
          <cell r="F259"/>
          <cell r="G259"/>
          <cell r="H259"/>
          <cell r="I259"/>
          <cell r="J259"/>
          <cell r="K259"/>
          <cell r="L259"/>
          <cell r="M259"/>
          <cell r="N259"/>
          <cell r="O259"/>
          <cell r="P259"/>
          <cell r="Q259"/>
          <cell r="R259"/>
          <cell r="S259"/>
          <cell r="T259"/>
          <cell r="U259"/>
        </row>
        <row r="260">
          <cell r="A260"/>
          <cell r="B260"/>
          <cell r="C260"/>
          <cell r="D260"/>
          <cell r="E260"/>
          <cell r="F260"/>
          <cell r="G260"/>
          <cell r="H260"/>
          <cell r="I260"/>
          <cell r="J260"/>
          <cell r="K260"/>
          <cell r="L260"/>
          <cell r="M260"/>
          <cell r="N260"/>
          <cell r="O260"/>
          <cell r="P260"/>
          <cell r="Q260"/>
          <cell r="R260"/>
          <cell r="S260"/>
          <cell r="T260"/>
          <cell r="U260"/>
        </row>
        <row r="261">
          <cell r="A261"/>
          <cell r="B261"/>
          <cell r="C261"/>
          <cell r="D261"/>
          <cell r="E261"/>
          <cell r="F261"/>
          <cell r="G261"/>
          <cell r="H261"/>
          <cell r="I261"/>
          <cell r="J261"/>
          <cell r="K261"/>
          <cell r="L261"/>
          <cell r="M261"/>
          <cell r="N261"/>
          <cell r="O261"/>
          <cell r="P261"/>
          <cell r="Q261"/>
          <cell r="R261"/>
          <cell r="S261"/>
          <cell r="T261"/>
          <cell r="U261"/>
        </row>
        <row r="262">
          <cell r="A262"/>
          <cell r="B262"/>
          <cell r="C262"/>
          <cell r="D262"/>
          <cell r="E262"/>
          <cell r="F262"/>
          <cell r="G262"/>
          <cell r="H262"/>
          <cell r="I262"/>
          <cell r="J262"/>
          <cell r="K262"/>
          <cell r="L262"/>
          <cell r="M262"/>
          <cell r="N262"/>
          <cell r="O262"/>
          <cell r="P262"/>
          <cell r="Q262"/>
          <cell r="R262"/>
          <cell r="S262"/>
          <cell r="T262"/>
          <cell r="U262"/>
        </row>
        <row r="263">
          <cell r="A263"/>
          <cell r="B263"/>
          <cell r="C263"/>
          <cell r="D263"/>
          <cell r="E263"/>
          <cell r="F263"/>
          <cell r="G263"/>
          <cell r="H263"/>
          <cell r="I263"/>
          <cell r="J263"/>
          <cell r="K263"/>
          <cell r="L263"/>
          <cell r="M263"/>
          <cell r="N263"/>
          <cell r="O263"/>
          <cell r="P263"/>
          <cell r="Q263"/>
          <cell r="R263"/>
          <cell r="S263"/>
          <cell r="T263"/>
          <cell r="U263"/>
        </row>
        <row r="264">
          <cell r="A264"/>
          <cell r="B264"/>
          <cell r="C264"/>
          <cell r="D264"/>
          <cell r="E264"/>
          <cell r="F264"/>
          <cell r="G264"/>
          <cell r="H264"/>
          <cell r="I264"/>
          <cell r="J264"/>
          <cell r="K264"/>
          <cell r="L264"/>
          <cell r="M264"/>
          <cell r="N264"/>
          <cell r="O264"/>
          <cell r="P264"/>
          <cell r="Q264"/>
          <cell r="R264"/>
          <cell r="S264"/>
          <cell r="T264"/>
          <cell r="U264"/>
        </row>
        <row r="265">
          <cell r="A265"/>
          <cell r="B265"/>
          <cell r="C265"/>
          <cell r="D265"/>
          <cell r="E265"/>
          <cell r="F265"/>
          <cell r="G265"/>
          <cell r="H265"/>
          <cell r="I265"/>
          <cell r="J265"/>
          <cell r="K265"/>
          <cell r="L265"/>
          <cell r="M265"/>
          <cell r="N265"/>
          <cell r="O265"/>
          <cell r="P265"/>
          <cell r="Q265"/>
          <cell r="R265"/>
          <cell r="S265"/>
          <cell r="T265"/>
          <cell r="U265"/>
        </row>
        <row r="266">
          <cell r="A266"/>
          <cell r="B266"/>
          <cell r="C266"/>
          <cell r="D266"/>
          <cell r="E266"/>
          <cell r="F266"/>
          <cell r="G266"/>
          <cell r="H266"/>
          <cell r="I266"/>
          <cell r="J266"/>
          <cell r="K266"/>
          <cell r="L266"/>
          <cell r="M266"/>
          <cell r="N266"/>
          <cell r="O266"/>
          <cell r="P266"/>
          <cell r="Q266"/>
          <cell r="R266"/>
          <cell r="S266"/>
          <cell r="T266"/>
          <cell r="U266"/>
        </row>
        <row r="267">
          <cell r="A267"/>
          <cell r="B267"/>
          <cell r="C267"/>
          <cell r="D267"/>
          <cell r="E267"/>
          <cell r="F267"/>
          <cell r="G267"/>
          <cell r="H267"/>
          <cell r="I267"/>
          <cell r="J267"/>
          <cell r="K267"/>
          <cell r="L267"/>
          <cell r="M267"/>
          <cell r="N267"/>
          <cell r="O267"/>
          <cell r="P267"/>
          <cell r="Q267"/>
          <cell r="R267"/>
          <cell r="S267"/>
          <cell r="T267"/>
          <cell r="U267"/>
        </row>
        <row r="268">
          <cell r="A268"/>
          <cell r="B268"/>
          <cell r="C268"/>
          <cell r="D268"/>
          <cell r="E268"/>
          <cell r="F268"/>
          <cell r="G268"/>
          <cell r="H268"/>
          <cell r="I268"/>
          <cell r="J268"/>
          <cell r="K268"/>
          <cell r="L268"/>
          <cell r="M268"/>
          <cell r="N268"/>
          <cell r="O268"/>
          <cell r="P268"/>
          <cell r="Q268"/>
          <cell r="R268"/>
          <cell r="S268"/>
          <cell r="T268"/>
          <cell r="U268"/>
        </row>
        <row r="269">
          <cell r="A269"/>
          <cell r="B269"/>
          <cell r="C269"/>
          <cell r="D269"/>
          <cell r="E269"/>
          <cell r="F269"/>
          <cell r="G269"/>
          <cell r="H269"/>
          <cell r="I269"/>
          <cell r="J269"/>
          <cell r="K269"/>
          <cell r="L269"/>
          <cell r="M269"/>
          <cell r="N269"/>
          <cell r="O269"/>
          <cell r="P269"/>
          <cell r="Q269"/>
          <cell r="R269"/>
          <cell r="S269"/>
          <cell r="T269"/>
          <cell r="U269"/>
        </row>
        <row r="270">
          <cell r="A270"/>
          <cell r="B270"/>
          <cell r="C270"/>
          <cell r="D270"/>
          <cell r="E270"/>
          <cell r="F270"/>
          <cell r="G270"/>
          <cell r="H270"/>
          <cell r="I270"/>
          <cell r="J270"/>
          <cell r="K270"/>
          <cell r="L270"/>
          <cell r="M270"/>
          <cell r="N270"/>
          <cell r="O270"/>
          <cell r="P270"/>
          <cell r="Q270"/>
          <cell r="R270"/>
          <cell r="S270"/>
          <cell r="T270"/>
          <cell r="U270"/>
        </row>
        <row r="271">
          <cell r="A271"/>
          <cell r="B271"/>
          <cell r="C271"/>
          <cell r="D271"/>
          <cell r="E271"/>
          <cell r="F271"/>
          <cell r="G271"/>
          <cell r="H271"/>
          <cell r="I271"/>
          <cell r="J271"/>
          <cell r="K271"/>
          <cell r="L271"/>
          <cell r="M271"/>
          <cell r="N271"/>
          <cell r="O271"/>
          <cell r="P271"/>
          <cell r="Q271"/>
          <cell r="R271"/>
          <cell r="S271"/>
          <cell r="T271"/>
          <cell r="U271"/>
        </row>
        <row r="272">
          <cell r="A272"/>
          <cell r="B272"/>
          <cell r="C272"/>
          <cell r="D272"/>
          <cell r="E272"/>
          <cell r="F272"/>
          <cell r="G272"/>
          <cell r="H272"/>
          <cell r="I272"/>
          <cell r="J272"/>
          <cell r="K272"/>
          <cell r="L272"/>
          <cell r="M272"/>
          <cell r="N272"/>
          <cell r="O272"/>
          <cell r="P272"/>
          <cell r="Q272"/>
          <cell r="R272"/>
          <cell r="S272"/>
          <cell r="T272"/>
          <cell r="U272"/>
        </row>
        <row r="273">
          <cell r="A273"/>
          <cell r="B273"/>
          <cell r="C273"/>
          <cell r="D273"/>
          <cell r="E273"/>
          <cell r="F273"/>
          <cell r="G273"/>
          <cell r="H273"/>
          <cell r="I273"/>
          <cell r="J273"/>
          <cell r="K273"/>
          <cell r="L273"/>
          <cell r="M273"/>
          <cell r="N273"/>
          <cell r="O273"/>
          <cell r="P273"/>
          <cell r="Q273"/>
          <cell r="R273"/>
          <cell r="S273"/>
          <cell r="T273"/>
          <cell r="U273"/>
        </row>
        <row r="274">
          <cell r="A274"/>
          <cell r="B274"/>
          <cell r="C274"/>
          <cell r="D274"/>
          <cell r="E274"/>
          <cell r="F274"/>
          <cell r="G274"/>
          <cell r="H274"/>
          <cell r="I274"/>
          <cell r="J274"/>
          <cell r="K274"/>
          <cell r="L274"/>
          <cell r="M274"/>
          <cell r="N274"/>
          <cell r="O274"/>
          <cell r="P274"/>
          <cell r="Q274"/>
          <cell r="R274"/>
          <cell r="S274"/>
          <cell r="T274"/>
          <cell r="U274"/>
        </row>
        <row r="275">
          <cell r="A275"/>
          <cell r="B275"/>
          <cell r="C275"/>
          <cell r="D275"/>
          <cell r="E275"/>
          <cell r="F275"/>
          <cell r="G275"/>
          <cell r="H275"/>
          <cell r="I275"/>
          <cell r="J275"/>
          <cell r="K275"/>
          <cell r="L275"/>
          <cell r="M275"/>
          <cell r="N275"/>
          <cell r="O275"/>
          <cell r="P275"/>
          <cell r="Q275"/>
          <cell r="R275"/>
          <cell r="S275"/>
          <cell r="T275"/>
          <cell r="U275"/>
        </row>
        <row r="276">
          <cell r="A276"/>
          <cell r="B276"/>
          <cell r="C276"/>
          <cell r="D276"/>
          <cell r="E276"/>
          <cell r="F276"/>
          <cell r="G276"/>
          <cell r="H276"/>
          <cell r="I276"/>
          <cell r="J276"/>
          <cell r="K276"/>
          <cell r="L276"/>
          <cell r="M276"/>
          <cell r="N276"/>
          <cell r="O276"/>
          <cell r="P276"/>
          <cell r="Q276"/>
          <cell r="R276"/>
          <cell r="S276"/>
          <cell r="T276"/>
          <cell r="U276"/>
        </row>
        <row r="277">
          <cell r="A277"/>
          <cell r="B277"/>
          <cell r="C277"/>
          <cell r="D277"/>
          <cell r="E277"/>
          <cell r="F277"/>
          <cell r="G277"/>
          <cell r="H277"/>
          <cell r="I277"/>
          <cell r="J277"/>
          <cell r="K277"/>
          <cell r="L277"/>
          <cell r="M277"/>
          <cell r="N277"/>
          <cell r="O277"/>
          <cell r="P277"/>
          <cell r="Q277"/>
          <cell r="R277"/>
          <cell r="S277"/>
          <cell r="T277"/>
          <cell r="U277"/>
        </row>
        <row r="278">
          <cell r="A278"/>
          <cell r="B278"/>
          <cell r="C278"/>
          <cell r="D278"/>
          <cell r="E278"/>
          <cell r="F278"/>
          <cell r="G278"/>
          <cell r="H278"/>
          <cell r="I278"/>
          <cell r="J278"/>
          <cell r="K278"/>
          <cell r="L278"/>
          <cell r="M278"/>
          <cell r="N278"/>
          <cell r="O278"/>
          <cell r="P278"/>
          <cell r="Q278"/>
          <cell r="R278"/>
          <cell r="S278"/>
          <cell r="T278"/>
          <cell r="U278"/>
        </row>
        <row r="279">
          <cell r="A279"/>
          <cell r="B279"/>
          <cell r="C279"/>
          <cell r="D279"/>
          <cell r="E279"/>
          <cell r="F279"/>
          <cell r="G279"/>
          <cell r="H279"/>
          <cell r="I279"/>
          <cell r="J279"/>
          <cell r="K279"/>
          <cell r="L279"/>
          <cell r="M279"/>
          <cell r="N279"/>
          <cell r="O279"/>
          <cell r="P279"/>
          <cell r="Q279"/>
          <cell r="R279"/>
          <cell r="S279"/>
          <cell r="T279"/>
          <cell r="U279"/>
        </row>
        <row r="280">
          <cell r="A280"/>
          <cell r="B280"/>
          <cell r="C280"/>
          <cell r="D280"/>
          <cell r="E280"/>
          <cell r="F280"/>
          <cell r="G280"/>
          <cell r="H280"/>
          <cell r="I280"/>
          <cell r="J280"/>
          <cell r="K280"/>
          <cell r="L280"/>
          <cell r="M280"/>
          <cell r="N280"/>
          <cell r="O280"/>
          <cell r="P280"/>
          <cell r="Q280"/>
          <cell r="R280"/>
          <cell r="S280"/>
          <cell r="T280"/>
          <cell r="U280"/>
        </row>
        <row r="281">
          <cell r="A281"/>
          <cell r="B281"/>
          <cell r="C281"/>
          <cell r="D281"/>
          <cell r="E281"/>
          <cell r="F281"/>
          <cell r="G281"/>
          <cell r="H281"/>
          <cell r="I281"/>
          <cell r="J281"/>
          <cell r="K281"/>
          <cell r="L281"/>
          <cell r="M281"/>
          <cell r="N281"/>
          <cell r="O281"/>
          <cell r="P281"/>
          <cell r="Q281"/>
          <cell r="R281"/>
          <cell r="S281"/>
          <cell r="T281"/>
          <cell r="U281"/>
        </row>
        <row r="282">
          <cell r="A282"/>
          <cell r="B282"/>
          <cell r="C282"/>
          <cell r="D282"/>
          <cell r="E282"/>
          <cell r="F282"/>
          <cell r="G282"/>
          <cell r="H282"/>
          <cell r="I282"/>
          <cell r="J282"/>
          <cell r="K282"/>
          <cell r="L282"/>
          <cell r="M282"/>
          <cell r="N282"/>
          <cell r="O282"/>
          <cell r="P282"/>
          <cell r="Q282"/>
          <cell r="R282"/>
          <cell r="S282"/>
          <cell r="T282"/>
          <cell r="U282"/>
        </row>
        <row r="283">
          <cell r="A283"/>
          <cell r="B283"/>
          <cell r="C283"/>
          <cell r="D283"/>
          <cell r="E283"/>
          <cell r="F283"/>
          <cell r="G283"/>
          <cell r="H283"/>
          <cell r="I283"/>
          <cell r="J283"/>
          <cell r="K283"/>
          <cell r="L283"/>
          <cell r="M283"/>
          <cell r="N283"/>
          <cell r="O283"/>
          <cell r="P283"/>
          <cell r="Q283"/>
          <cell r="R283"/>
          <cell r="S283"/>
          <cell r="T283"/>
          <cell r="U283"/>
        </row>
        <row r="284">
          <cell r="A284"/>
          <cell r="B284"/>
          <cell r="C284"/>
          <cell r="D284"/>
          <cell r="E284"/>
          <cell r="F284"/>
          <cell r="G284"/>
          <cell r="H284"/>
          <cell r="I284"/>
          <cell r="J284"/>
          <cell r="K284"/>
          <cell r="L284"/>
          <cell r="M284"/>
          <cell r="N284"/>
          <cell r="O284"/>
          <cell r="P284"/>
          <cell r="Q284"/>
          <cell r="R284"/>
          <cell r="S284"/>
          <cell r="T284"/>
          <cell r="U284"/>
        </row>
        <row r="285">
          <cell r="A285"/>
          <cell r="B285"/>
          <cell r="C285"/>
          <cell r="D285"/>
          <cell r="E285"/>
          <cell r="F285"/>
          <cell r="G285"/>
          <cell r="H285"/>
          <cell r="I285"/>
          <cell r="J285"/>
          <cell r="K285"/>
          <cell r="L285"/>
          <cell r="M285"/>
          <cell r="N285"/>
          <cell r="O285"/>
          <cell r="P285"/>
          <cell r="Q285"/>
          <cell r="R285"/>
          <cell r="S285"/>
          <cell r="T285"/>
          <cell r="U285"/>
        </row>
        <row r="286">
          <cell r="A286"/>
          <cell r="B286"/>
          <cell r="C286"/>
          <cell r="D286"/>
          <cell r="E286"/>
          <cell r="F286"/>
          <cell r="G286"/>
          <cell r="H286"/>
          <cell r="I286"/>
          <cell r="J286"/>
          <cell r="K286"/>
          <cell r="L286"/>
          <cell r="M286"/>
          <cell r="N286"/>
          <cell r="O286"/>
          <cell r="P286"/>
          <cell r="Q286"/>
          <cell r="R286"/>
          <cell r="S286"/>
          <cell r="T286"/>
          <cell r="U286"/>
        </row>
        <row r="287">
          <cell r="A287"/>
          <cell r="B287"/>
          <cell r="C287"/>
          <cell r="D287"/>
          <cell r="E287"/>
          <cell r="F287"/>
          <cell r="G287"/>
          <cell r="H287"/>
          <cell r="I287"/>
          <cell r="J287"/>
          <cell r="K287"/>
          <cell r="L287"/>
          <cell r="M287"/>
          <cell r="N287"/>
          <cell r="O287"/>
          <cell r="P287"/>
          <cell r="Q287"/>
          <cell r="R287"/>
          <cell r="S287"/>
          <cell r="T287"/>
          <cell r="U287"/>
        </row>
        <row r="288">
          <cell r="A288"/>
          <cell r="B288"/>
          <cell r="C288"/>
          <cell r="D288"/>
          <cell r="E288"/>
          <cell r="F288"/>
          <cell r="G288"/>
          <cell r="H288"/>
          <cell r="I288"/>
          <cell r="J288"/>
          <cell r="K288"/>
          <cell r="L288"/>
          <cell r="M288"/>
          <cell r="N288"/>
          <cell r="O288"/>
          <cell r="P288"/>
          <cell r="Q288"/>
          <cell r="R288"/>
          <cell r="S288"/>
          <cell r="T288"/>
          <cell r="U288"/>
        </row>
        <row r="289">
          <cell r="A289"/>
          <cell r="B289"/>
          <cell r="C289"/>
          <cell r="D289"/>
          <cell r="E289"/>
          <cell r="F289"/>
          <cell r="G289"/>
          <cell r="H289"/>
          <cell r="I289"/>
          <cell r="J289"/>
          <cell r="K289"/>
          <cell r="L289"/>
          <cell r="M289"/>
          <cell r="N289"/>
          <cell r="O289"/>
          <cell r="P289"/>
          <cell r="Q289"/>
          <cell r="R289"/>
          <cell r="S289"/>
          <cell r="T289"/>
          <cell r="U289"/>
        </row>
        <row r="290">
          <cell r="A290"/>
          <cell r="B290"/>
          <cell r="C290"/>
          <cell r="D290"/>
          <cell r="E290"/>
          <cell r="F290"/>
          <cell r="G290"/>
          <cell r="H290"/>
          <cell r="I290"/>
          <cell r="J290"/>
          <cell r="K290"/>
          <cell r="L290"/>
          <cell r="M290"/>
          <cell r="N290"/>
          <cell r="O290"/>
          <cell r="P290"/>
          <cell r="Q290"/>
          <cell r="R290"/>
          <cell r="S290"/>
          <cell r="T290"/>
          <cell r="U290"/>
        </row>
        <row r="291">
          <cell r="A291"/>
          <cell r="B291"/>
          <cell r="C291"/>
          <cell r="D291"/>
          <cell r="E291"/>
          <cell r="F291"/>
          <cell r="G291"/>
          <cell r="H291"/>
          <cell r="I291"/>
          <cell r="J291"/>
          <cell r="K291"/>
          <cell r="L291"/>
          <cell r="M291"/>
          <cell r="N291"/>
          <cell r="O291"/>
          <cell r="P291"/>
          <cell r="Q291"/>
          <cell r="R291"/>
          <cell r="S291"/>
          <cell r="T291"/>
          <cell r="U291"/>
        </row>
        <row r="292">
          <cell r="A292"/>
          <cell r="B292"/>
          <cell r="C292"/>
          <cell r="D292"/>
          <cell r="E292"/>
          <cell r="F292"/>
          <cell r="G292"/>
          <cell r="H292"/>
          <cell r="I292"/>
          <cell r="J292"/>
          <cell r="K292"/>
          <cell r="L292"/>
          <cell r="M292"/>
          <cell r="N292"/>
          <cell r="O292"/>
          <cell r="P292"/>
          <cell r="Q292"/>
          <cell r="R292"/>
          <cell r="S292"/>
          <cell r="T292"/>
          <cell r="U292"/>
        </row>
        <row r="293">
          <cell r="A293"/>
          <cell r="B293"/>
          <cell r="C293"/>
          <cell r="D293"/>
          <cell r="E293"/>
          <cell r="F293"/>
          <cell r="G293"/>
          <cell r="H293"/>
          <cell r="I293"/>
          <cell r="J293"/>
          <cell r="K293"/>
          <cell r="L293"/>
          <cell r="M293"/>
          <cell r="N293"/>
          <cell r="O293"/>
          <cell r="P293"/>
          <cell r="Q293"/>
          <cell r="R293"/>
          <cell r="S293"/>
          <cell r="T293"/>
          <cell r="U293"/>
        </row>
        <row r="294">
          <cell r="A294"/>
          <cell r="B294"/>
          <cell r="C294"/>
          <cell r="D294"/>
          <cell r="E294"/>
          <cell r="F294"/>
          <cell r="G294"/>
          <cell r="H294"/>
          <cell r="I294"/>
          <cell r="J294"/>
          <cell r="K294"/>
          <cell r="L294"/>
          <cell r="M294"/>
          <cell r="N294"/>
          <cell r="O294"/>
          <cell r="P294"/>
          <cell r="Q294"/>
          <cell r="R294"/>
          <cell r="S294"/>
          <cell r="T294"/>
          <cell r="U294"/>
        </row>
        <row r="295">
          <cell r="A295"/>
          <cell r="B295"/>
          <cell r="C295"/>
          <cell r="D295"/>
          <cell r="E295"/>
          <cell r="F295"/>
          <cell r="G295"/>
          <cell r="H295"/>
          <cell r="I295"/>
          <cell r="J295"/>
          <cell r="K295"/>
          <cell r="L295"/>
          <cell r="M295"/>
          <cell r="N295"/>
          <cell r="O295"/>
          <cell r="P295"/>
          <cell r="Q295"/>
          <cell r="R295"/>
          <cell r="S295"/>
          <cell r="T295"/>
          <cell r="U295"/>
        </row>
        <row r="296">
          <cell r="A296"/>
          <cell r="B296"/>
          <cell r="C296"/>
          <cell r="D296"/>
          <cell r="E296"/>
          <cell r="F296"/>
          <cell r="G296"/>
          <cell r="H296"/>
          <cell r="I296"/>
          <cell r="J296"/>
          <cell r="K296"/>
          <cell r="L296"/>
          <cell r="M296"/>
          <cell r="N296"/>
          <cell r="O296"/>
          <cell r="P296"/>
          <cell r="Q296"/>
          <cell r="R296"/>
          <cell r="S296"/>
          <cell r="T296"/>
          <cell r="U296"/>
        </row>
        <row r="297">
          <cell r="A297"/>
          <cell r="B297"/>
          <cell r="C297"/>
          <cell r="D297"/>
          <cell r="E297"/>
          <cell r="F297"/>
          <cell r="G297"/>
          <cell r="H297"/>
          <cell r="I297"/>
          <cell r="J297"/>
          <cell r="K297"/>
          <cell r="L297"/>
          <cell r="M297"/>
          <cell r="N297"/>
          <cell r="O297"/>
          <cell r="P297"/>
          <cell r="Q297"/>
          <cell r="R297"/>
          <cell r="S297"/>
          <cell r="T297"/>
          <cell r="U297"/>
        </row>
        <row r="298">
          <cell r="A298"/>
          <cell r="B298"/>
          <cell r="C298"/>
          <cell r="D298"/>
          <cell r="E298"/>
          <cell r="F298"/>
          <cell r="G298"/>
          <cell r="H298"/>
          <cell r="I298"/>
          <cell r="J298"/>
          <cell r="K298"/>
          <cell r="L298"/>
          <cell r="M298"/>
          <cell r="N298"/>
          <cell r="O298"/>
          <cell r="P298"/>
          <cell r="Q298"/>
          <cell r="R298"/>
          <cell r="S298"/>
          <cell r="T298"/>
          <cell r="U298"/>
        </row>
        <row r="299">
          <cell r="A299"/>
          <cell r="B299"/>
          <cell r="C299"/>
          <cell r="D299"/>
          <cell r="E299"/>
          <cell r="F299"/>
          <cell r="G299"/>
          <cell r="H299"/>
          <cell r="I299"/>
          <cell r="J299"/>
          <cell r="K299"/>
          <cell r="L299"/>
          <cell r="M299"/>
          <cell r="N299"/>
          <cell r="O299"/>
          <cell r="P299"/>
          <cell r="Q299"/>
          <cell r="R299"/>
          <cell r="S299"/>
          <cell r="T299"/>
          <cell r="U299"/>
        </row>
        <row r="300">
          <cell r="A300"/>
          <cell r="B300"/>
          <cell r="C300"/>
          <cell r="D300"/>
          <cell r="E300"/>
          <cell r="F300"/>
          <cell r="G300"/>
          <cell r="H300"/>
          <cell r="I300"/>
          <cell r="J300"/>
          <cell r="K300"/>
          <cell r="L300"/>
          <cell r="M300"/>
          <cell r="N300"/>
          <cell r="O300"/>
          <cell r="P300"/>
          <cell r="Q300"/>
          <cell r="R300"/>
          <cell r="S300"/>
          <cell r="T300"/>
          <cell r="U300"/>
        </row>
        <row r="301">
          <cell r="A301"/>
          <cell r="B301"/>
          <cell r="C301"/>
          <cell r="D301"/>
          <cell r="E301"/>
          <cell r="F301"/>
          <cell r="G301"/>
          <cell r="H301"/>
          <cell r="I301"/>
          <cell r="J301"/>
          <cell r="K301"/>
          <cell r="L301"/>
          <cell r="M301"/>
          <cell r="N301"/>
          <cell r="O301"/>
          <cell r="P301"/>
          <cell r="Q301"/>
          <cell r="R301"/>
          <cell r="S301"/>
          <cell r="T301"/>
          <cell r="U301"/>
        </row>
        <row r="302">
          <cell r="A302"/>
          <cell r="B302"/>
          <cell r="C302"/>
          <cell r="D302"/>
          <cell r="E302"/>
          <cell r="F302"/>
          <cell r="G302"/>
          <cell r="H302"/>
          <cell r="I302"/>
          <cell r="J302"/>
          <cell r="K302"/>
          <cell r="L302"/>
          <cell r="M302"/>
          <cell r="N302"/>
          <cell r="O302"/>
          <cell r="P302"/>
          <cell r="Q302"/>
          <cell r="R302"/>
          <cell r="S302"/>
          <cell r="T302"/>
          <cell r="U302"/>
        </row>
        <row r="303">
          <cell r="A303"/>
          <cell r="B303"/>
          <cell r="C303"/>
          <cell r="D303"/>
          <cell r="E303"/>
          <cell r="F303"/>
          <cell r="G303"/>
          <cell r="H303"/>
          <cell r="I303"/>
          <cell r="J303"/>
          <cell r="K303"/>
          <cell r="L303"/>
          <cell r="M303"/>
          <cell r="N303"/>
          <cell r="O303"/>
          <cell r="P303"/>
          <cell r="Q303"/>
          <cell r="R303"/>
          <cell r="S303"/>
          <cell r="T303"/>
          <cell r="U303"/>
        </row>
        <row r="304">
          <cell r="A304"/>
          <cell r="B304"/>
          <cell r="C304"/>
          <cell r="D304"/>
          <cell r="E304"/>
          <cell r="F304"/>
          <cell r="G304"/>
          <cell r="H304"/>
          <cell r="I304"/>
          <cell r="J304"/>
          <cell r="K304"/>
          <cell r="L304"/>
          <cell r="M304"/>
          <cell r="N304"/>
          <cell r="O304"/>
          <cell r="P304"/>
          <cell r="Q304"/>
          <cell r="R304"/>
          <cell r="S304"/>
          <cell r="T304"/>
          <cell r="U304"/>
        </row>
        <row r="305">
          <cell r="A305"/>
          <cell r="B305"/>
          <cell r="C305"/>
          <cell r="D305"/>
          <cell r="E305"/>
          <cell r="F305"/>
          <cell r="G305"/>
          <cell r="H305"/>
          <cell r="I305"/>
          <cell r="J305"/>
          <cell r="K305"/>
          <cell r="L305"/>
          <cell r="M305"/>
          <cell r="N305"/>
          <cell r="O305"/>
          <cell r="P305"/>
          <cell r="Q305"/>
          <cell r="R305"/>
          <cell r="S305"/>
          <cell r="T305"/>
          <cell r="U305"/>
        </row>
        <row r="306">
          <cell r="A306"/>
          <cell r="B306"/>
          <cell r="C306"/>
          <cell r="D306"/>
          <cell r="E306"/>
          <cell r="F306"/>
          <cell r="G306"/>
          <cell r="H306"/>
          <cell r="I306"/>
          <cell r="J306"/>
          <cell r="K306"/>
          <cell r="L306"/>
          <cell r="M306"/>
          <cell r="N306"/>
          <cell r="O306"/>
          <cell r="P306"/>
          <cell r="Q306"/>
          <cell r="R306"/>
          <cell r="S306"/>
          <cell r="T306"/>
          <cell r="U306"/>
        </row>
        <row r="307">
          <cell r="A307"/>
          <cell r="B307"/>
          <cell r="C307"/>
          <cell r="D307"/>
          <cell r="E307"/>
          <cell r="F307"/>
          <cell r="G307"/>
          <cell r="H307"/>
          <cell r="I307"/>
          <cell r="J307"/>
          <cell r="K307"/>
          <cell r="L307"/>
          <cell r="M307"/>
          <cell r="N307"/>
          <cell r="O307"/>
          <cell r="P307"/>
          <cell r="Q307"/>
          <cell r="R307"/>
          <cell r="S307"/>
          <cell r="T307"/>
          <cell r="U307"/>
        </row>
        <row r="308">
          <cell r="A308"/>
          <cell r="B308"/>
          <cell r="C308"/>
          <cell r="D308"/>
          <cell r="E308"/>
          <cell r="F308"/>
          <cell r="G308"/>
          <cell r="H308"/>
          <cell r="I308"/>
          <cell r="J308"/>
          <cell r="K308"/>
          <cell r="L308"/>
          <cell r="M308"/>
          <cell r="N308"/>
          <cell r="O308"/>
          <cell r="P308"/>
          <cell r="Q308"/>
          <cell r="R308"/>
          <cell r="S308"/>
          <cell r="T308"/>
          <cell r="U308"/>
        </row>
        <row r="309">
          <cell r="A309"/>
          <cell r="B309"/>
          <cell r="C309"/>
          <cell r="D309"/>
          <cell r="E309"/>
          <cell r="F309"/>
          <cell r="G309"/>
          <cell r="H309"/>
          <cell r="I309"/>
          <cell r="J309"/>
          <cell r="K309"/>
          <cell r="L309"/>
          <cell r="M309"/>
          <cell r="N309"/>
          <cell r="O309"/>
          <cell r="P309"/>
          <cell r="Q309"/>
          <cell r="R309"/>
          <cell r="S309"/>
          <cell r="T309"/>
          <cell r="U309"/>
        </row>
        <row r="310">
          <cell r="A310"/>
          <cell r="B310"/>
          <cell r="C310"/>
          <cell r="D310"/>
          <cell r="E310"/>
          <cell r="F310"/>
          <cell r="G310"/>
          <cell r="H310"/>
          <cell r="I310"/>
          <cell r="J310"/>
          <cell r="K310"/>
          <cell r="L310"/>
          <cell r="M310"/>
          <cell r="N310"/>
          <cell r="O310"/>
          <cell r="P310"/>
          <cell r="Q310"/>
          <cell r="R310"/>
          <cell r="S310"/>
          <cell r="T310"/>
          <cell r="U310"/>
        </row>
        <row r="311">
          <cell r="A311"/>
          <cell r="B311"/>
          <cell r="C311"/>
          <cell r="D311"/>
          <cell r="E311"/>
          <cell r="F311"/>
          <cell r="G311"/>
          <cell r="H311"/>
          <cell r="I311"/>
          <cell r="J311"/>
          <cell r="K311"/>
          <cell r="L311"/>
          <cell r="M311"/>
          <cell r="N311"/>
          <cell r="O311"/>
          <cell r="P311"/>
          <cell r="Q311"/>
          <cell r="R311"/>
          <cell r="S311"/>
          <cell r="T311"/>
          <cell r="U311"/>
        </row>
        <row r="312">
          <cell r="A312"/>
          <cell r="B312"/>
          <cell r="C312"/>
          <cell r="D312"/>
          <cell r="E312"/>
          <cell r="F312"/>
          <cell r="G312"/>
          <cell r="H312"/>
          <cell r="I312"/>
          <cell r="J312"/>
          <cell r="K312"/>
          <cell r="L312"/>
          <cell r="M312"/>
          <cell r="N312"/>
          <cell r="O312"/>
          <cell r="P312"/>
          <cell r="Q312"/>
          <cell r="R312"/>
          <cell r="S312"/>
          <cell r="T312"/>
          <cell r="U312"/>
        </row>
        <row r="313">
          <cell r="A313"/>
          <cell r="B313"/>
          <cell r="C313"/>
          <cell r="D313"/>
          <cell r="E313"/>
          <cell r="F313"/>
          <cell r="G313"/>
          <cell r="H313"/>
          <cell r="I313"/>
          <cell r="J313"/>
          <cell r="K313"/>
          <cell r="L313"/>
          <cell r="M313"/>
          <cell r="N313"/>
          <cell r="O313"/>
          <cell r="P313"/>
          <cell r="Q313"/>
          <cell r="R313"/>
          <cell r="S313"/>
          <cell r="T313"/>
          <cell r="U313"/>
        </row>
        <row r="314">
          <cell r="A314"/>
          <cell r="B314"/>
          <cell r="C314"/>
          <cell r="D314"/>
          <cell r="E314"/>
          <cell r="F314"/>
          <cell r="G314"/>
          <cell r="H314"/>
          <cell r="I314"/>
          <cell r="J314"/>
          <cell r="K314"/>
          <cell r="L314"/>
          <cell r="M314"/>
          <cell r="N314"/>
          <cell r="O314"/>
          <cell r="P314"/>
          <cell r="Q314"/>
          <cell r="R314"/>
          <cell r="S314"/>
          <cell r="T314"/>
          <cell r="U314"/>
        </row>
        <row r="315">
          <cell r="A315"/>
          <cell r="B315"/>
          <cell r="C315"/>
          <cell r="D315"/>
          <cell r="E315"/>
          <cell r="F315"/>
          <cell r="G315"/>
          <cell r="H315"/>
          <cell r="I315"/>
          <cell r="J315"/>
          <cell r="K315"/>
          <cell r="L315"/>
          <cell r="M315"/>
          <cell r="N315"/>
          <cell r="O315"/>
          <cell r="P315"/>
          <cell r="Q315"/>
          <cell r="R315"/>
          <cell r="S315"/>
          <cell r="T315"/>
          <cell r="U315"/>
        </row>
        <row r="316">
          <cell r="A316"/>
          <cell r="B316"/>
          <cell r="C316"/>
          <cell r="D316"/>
          <cell r="E316"/>
          <cell r="F316"/>
          <cell r="G316"/>
          <cell r="H316"/>
          <cell r="I316"/>
          <cell r="J316"/>
          <cell r="K316"/>
          <cell r="L316"/>
          <cell r="M316"/>
          <cell r="N316"/>
          <cell r="O316"/>
          <cell r="P316"/>
          <cell r="Q316"/>
          <cell r="R316"/>
          <cell r="S316"/>
          <cell r="T316"/>
          <cell r="U316"/>
        </row>
        <row r="317">
          <cell r="A317"/>
          <cell r="B317"/>
          <cell r="C317"/>
          <cell r="D317"/>
          <cell r="E317"/>
          <cell r="F317"/>
          <cell r="G317"/>
          <cell r="H317"/>
          <cell r="I317"/>
          <cell r="J317"/>
          <cell r="K317"/>
          <cell r="L317"/>
          <cell r="M317"/>
          <cell r="N317"/>
          <cell r="O317"/>
          <cell r="P317"/>
          <cell r="Q317"/>
          <cell r="R317"/>
          <cell r="S317"/>
          <cell r="T317"/>
          <cell r="U317"/>
        </row>
        <row r="318">
          <cell r="A318"/>
          <cell r="B318"/>
          <cell r="C318"/>
          <cell r="D318"/>
          <cell r="E318"/>
          <cell r="F318"/>
          <cell r="G318"/>
          <cell r="H318"/>
          <cell r="I318"/>
          <cell r="J318"/>
          <cell r="K318"/>
          <cell r="L318"/>
          <cell r="M318"/>
          <cell r="N318"/>
          <cell r="O318"/>
          <cell r="P318"/>
          <cell r="Q318"/>
          <cell r="R318"/>
          <cell r="S318"/>
          <cell r="T318"/>
          <cell r="U318"/>
        </row>
        <row r="319">
          <cell r="A319"/>
          <cell r="B319"/>
          <cell r="C319"/>
          <cell r="D319"/>
          <cell r="E319"/>
          <cell r="F319"/>
          <cell r="G319"/>
          <cell r="H319"/>
          <cell r="I319"/>
          <cell r="J319"/>
          <cell r="K319"/>
          <cell r="L319"/>
          <cell r="M319"/>
          <cell r="N319"/>
          <cell r="O319"/>
          <cell r="P319"/>
          <cell r="Q319"/>
          <cell r="R319"/>
          <cell r="S319"/>
          <cell r="T319"/>
          <cell r="U319"/>
        </row>
        <row r="320">
          <cell r="A320"/>
          <cell r="B320"/>
          <cell r="C320"/>
          <cell r="D320"/>
          <cell r="E320"/>
          <cell r="F320"/>
          <cell r="G320"/>
          <cell r="H320"/>
          <cell r="I320"/>
          <cell r="J320"/>
          <cell r="K320"/>
          <cell r="L320"/>
          <cell r="M320"/>
          <cell r="N320"/>
          <cell r="O320"/>
          <cell r="P320"/>
          <cell r="Q320"/>
          <cell r="R320"/>
          <cell r="S320"/>
          <cell r="T320"/>
          <cell r="U320"/>
        </row>
        <row r="321">
          <cell r="A321"/>
          <cell r="B321"/>
          <cell r="C321"/>
          <cell r="D321"/>
          <cell r="E321"/>
          <cell r="F321"/>
          <cell r="G321"/>
          <cell r="H321"/>
          <cell r="I321"/>
          <cell r="J321"/>
          <cell r="K321"/>
          <cell r="L321"/>
          <cell r="M321"/>
          <cell r="N321"/>
          <cell r="O321"/>
          <cell r="P321"/>
          <cell r="Q321"/>
          <cell r="R321"/>
          <cell r="S321"/>
          <cell r="T321"/>
          <cell r="U321"/>
        </row>
        <row r="322">
          <cell r="A322"/>
          <cell r="B322"/>
          <cell r="C322"/>
          <cell r="D322"/>
          <cell r="E322"/>
          <cell r="F322"/>
          <cell r="G322"/>
          <cell r="H322"/>
          <cell r="I322"/>
          <cell r="J322"/>
          <cell r="K322"/>
          <cell r="L322"/>
          <cell r="M322"/>
          <cell r="N322"/>
          <cell r="O322"/>
          <cell r="P322"/>
          <cell r="Q322"/>
          <cell r="R322"/>
          <cell r="S322"/>
          <cell r="T322"/>
          <cell r="U322"/>
        </row>
        <row r="323">
          <cell r="A323"/>
          <cell r="B323"/>
          <cell r="C323"/>
          <cell r="D323"/>
          <cell r="E323"/>
          <cell r="F323"/>
          <cell r="G323"/>
          <cell r="H323"/>
          <cell r="I323"/>
          <cell r="J323"/>
          <cell r="K323"/>
          <cell r="L323"/>
          <cell r="M323"/>
          <cell r="N323"/>
          <cell r="O323"/>
          <cell r="P323"/>
          <cell r="Q323"/>
          <cell r="R323"/>
          <cell r="S323"/>
          <cell r="T323"/>
          <cell r="U323"/>
        </row>
        <row r="324">
          <cell r="A324"/>
          <cell r="B324"/>
          <cell r="C324"/>
          <cell r="D324"/>
          <cell r="E324"/>
          <cell r="F324"/>
          <cell r="G324"/>
          <cell r="H324"/>
          <cell r="I324"/>
          <cell r="J324"/>
          <cell r="K324"/>
          <cell r="L324"/>
          <cell r="M324"/>
          <cell r="N324"/>
          <cell r="O324"/>
          <cell r="P324"/>
          <cell r="Q324"/>
          <cell r="R324"/>
          <cell r="S324"/>
          <cell r="T324"/>
          <cell r="U324"/>
        </row>
        <row r="325">
          <cell r="A325"/>
          <cell r="B325"/>
          <cell r="C325"/>
          <cell r="D325"/>
          <cell r="E325"/>
          <cell r="F325"/>
          <cell r="G325"/>
          <cell r="H325"/>
          <cell r="I325"/>
          <cell r="J325"/>
          <cell r="K325"/>
          <cell r="L325"/>
          <cell r="M325"/>
          <cell r="N325"/>
          <cell r="O325"/>
          <cell r="P325"/>
          <cell r="Q325"/>
          <cell r="R325"/>
          <cell r="S325"/>
          <cell r="T325"/>
          <cell r="U325"/>
        </row>
        <row r="326">
          <cell r="A326"/>
          <cell r="B326"/>
          <cell r="C326"/>
          <cell r="D326"/>
          <cell r="E326"/>
          <cell r="F326"/>
          <cell r="G326"/>
          <cell r="H326"/>
          <cell r="I326"/>
          <cell r="J326"/>
          <cell r="K326"/>
          <cell r="L326"/>
          <cell r="M326"/>
          <cell r="N326"/>
          <cell r="O326"/>
          <cell r="P326"/>
          <cell r="Q326"/>
          <cell r="R326"/>
          <cell r="S326"/>
          <cell r="T326"/>
          <cell r="U326"/>
        </row>
        <row r="327">
          <cell r="A327"/>
          <cell r="B327"/>
          <cell r="C327"/>
          <cell r="D327"/>
          <cell r="E327"/>
          <cell r="F327"/>
          <cell r="G327"/>
          <cell r="H327"/>
          <cell r="I327"/>
          <cell r="J327"/>
          <cell r="K327"/>
          <cell r="L327"/>
          <cell r="M327"/>
          <cell r="N327"/>
          <cell r="O327"/>
          <cell r="P327"/>
          <cell r="Q327"/>
          <cell r="R327"/>
          <cell r="S327"/>
          <cell r="T327"/>
          <cell r="U327"/>
        </row>
        <row r="328">
          <cell r="A328"/>
          <cell r="B328"/>
          <cell r="C328"/>
          <cell r="D328"/>
          <cell r="E328"/>
          <cell r="F328"/>
          <cell r="G328"/>
          <cell r="H328"/>
          <cell r="I328"/>
          <cell r="J328"/>
          <cell r="K328"/>
          <cell r="L328"/>
          <cell r="M328"/>
          <cell r="N328"/>
          <cell r="O328"/>
          <cell r="P328"/>
          <cell r="Q328"/>
          <cell r="R328"/>
          <cell r="S328"/>
          <cell r="T328"/>
          <cell r="U328"/>
        </row>
        <row r="329">
          <cell r="A329"/>
          <cell r="B329"/>
          <cell r="C329"/>
          <cell r="D329"/>
          <cell r="E329"/>
          <cell r="F329"/>
          <cell r="G329"/>
          <cell r="H329"/>
          <cell r="I329"/>
          <cell r="J329"/>
          <cell r="K329"/>
          <cell r="L329"/>
          <cell r="M329"/>
          <cell r="N329"/>
          <cell r="O329"/>
          <cell r="P329"/>
          <cell r="Q329"/>
          <cell r="R329"/>
          <cell r="S329"/>
          <cell r="T329"/>
          <cell r="U329"/>
        </row>
        <row r="330">
          <cell r="A330"/>
          <cell r="B330"/>
          <cell r="C330"/>
          <cell r="D330"/>
          <cell r="E330"/>
          <cell r="F330"/>
          <cell r="G330"/>
          <cell r="H330"/>
          <cell r="I330"/>
          <cell r="J330"/>
          <cell r="K330"/>
          <cell r="L330"/>
          <cell r="M330"/>
          <cell r="N330"/>
          <cell r="O330"/>
          <cell r="P330"/>
          <cell r="Q330"/>
          <cell r="R330"/>
          <cell r="S330"/>
          <cell r="T330"/>
          <cell r="U330"/>
        </row>
        <row r="331">
          <cell r="A331"/>
          <cell r="B331"/>
          <cell r="C331"/>
          <cell r="D331"/>
          <cell r="E331"/>
          <cell r="F331"/>
          <cell r="G331"/>
          <cell r="H331"/>
          <cell r="I331"/>
          <cell r="J331"/>
          <cell r="K331"/>
          <cell r="L331"/>
          <cell r="M331"/>
          <cell r="N331"/>
          <cell r="O331"/>
          <cell r="P331"/>
          <cell r="Q331"/>
          <cell r="R331"/>
          <cell r="S331"/>
          <cell r="T331"/>
          <cell r="U331"/>
        </row>
        <row r="332">
          <cell r="A332"/>
          <cell r="B332"/>
          <cell r="C332"/>
          <cell r="D332"/>
          <cell r="E332"/>
          <cell r="F332"/>
          <cell r="G332"/>
          <cell r="H332"/>
          <cell r="I332"/>
          <cell r="J332"/>
          <cell r="K332"/>
          <cell r="L332"/>
          <cell r="M332"/>
          <cell r="N332"/>
          <cell r="O332"/>
          <cell r="P332"/>
          <cell r="Q332"/>
          <cell r="R332"/>
          <cell r="S332"/>
          <cell r="T332"/>
          <cell r="U332"/>
        </row>
        <row r="333">
          <cell r="A333"/>
          <cell r="B333"/>
          <cell r="C333"/>
          <cell r="D333"/>
          <cell r="E333"/>
          <cell r="F333"/>
          <cell r="G333"/>
          <cell r="H333"/>
          <cell r="I333"/>
          <cell r="J333"/>
          <cell r="K333"/>
          <cell r="L333"/>
          <cell r="M333"/>
          <cell r="N333"/>
          <cell r="O333"/>
          <cell r="P333"/>
          <cell r="Q333"/>
          <cell r="R333"/>
          <cell r="S333"/>
          <cell r="T333"/>
          <cell r="U333"/>
        </row>
        <row r="334">
          <cell r="A334"/>
          <cell r="B334"/>
          <cell r="C334"/>
          <cell r="D334"/>
          <cell r="E334"/>
          <cell r="F334"/>
          <cell r="G334"/>
          <cell r="H334"/>
          <cell r="I334"/>
          <cell r="J334"/>
          <cell r="K334"/>
          <cell r="L334"/>
          <cell r="M334"/>
          <cell r="N334"/>
          <cell r="O334"/>
          <cell r="P334"/>
          <cell r="Q334"/>
          <cell r="R334"/>
          <cell r="S334"/>
          <cell r="T334"/>
          <cell r="U334"/>
        </row>
        <row r="335">
          <cell r="A335"/>
          <cell r="B335"/>
          <cell r="C335"/>
          <cell r="D335"/>
          <cell r="E335"/>
          <cell r="F335"/>
          <cell r="G335"/>
          <cell r="H335"/>
          <cell r="I335"/>
          <cell r="J335"/>
          <cell r="K335"/>
          <cell r="L335"/>
          <cell r="M335"/>
          <cell r="N335"/>
          <cell r="O335"/>
          <cell r="P335"/>
          <cell r="Q335"/>
          <cell r="R335"/>
          <cell r="S335"/>
          <cell r="T335"/>
          <cell r="U335"/>
        </row>
        <row r="336">
          <cell r="A336"/>
          <cell r="B336"/>
          <cell r="C336"/>
          <cell r="D336"/>
          <cell r="E336"/>
          <cell r="F336"/>
          <cell r="G336"/>
          <cell r="H336"/>
          <cell r="I336"/>
          <cell r="J336"/>
          <cell r="K336"/>
          <cell r="L336"/>
          <cell r="M336"/>
          <cell r="N336"/>
          <cell r="O336"/>
          <cell r="P336"/>
          <cell r="Q336"/>
          <cell r="R336"/>
          <cell r="S336"/>
          <cell r="T336"/>
          <cell r="U336"/>
        </row>
        <row r="337">
          <cell r="A337"/>
          <cell r="B337"/>
          <cell r="C337"/>
          <cell r="D337"/>
          <cell r="E337"/>
          <cell r="F337"/>
          <cell r="G337"/>
          <cell r="H337"/>
          <cell r="I337"/>
          <cell r="J337"/>
          <cell r="K337"/>
          <cell r="L337"/>
          <cell r="M337"/>
          <cell r="N337"/>
          <cell r="O337"/>
          <cell r="P337"/>
          <cell r="Q337"/>
          <cell r="R337"/>
          <cell r="S337"/>
          <cell r="T337"/>
          <cell r="U337"/>
        </row>
        <row r="338">
          <cell r="A338"/>
          <cell r="B338"/>
          <cell r="C338"/>
          <cell r="D338"/>
          <cell r="E338"/>
          <cell r="F338"/>
          <cell r="G338"/>
          <cell r="H338"/>
          <cell r="I338"/>
          <cell r="J338"/>
          <cell r="K338"/>
          <cell r="L338"/>
          <cell r="M338"/>
          <cell r="N338"/>
          <cell r="O338"/>
          <cell r="P338"/>
          <cell r="Q338"/>
          <cell r="R338"/>
          <cell r="S338"/>
          <cell r="T338"/>
          <cell r="U338"/>
        </row>
        <row r="339">
          <cell r="A339"/>
          <cell r="B339"/>
          <cell r="C339"/>
          <cell r="D339"/>
          <cell r="E339"/>
          <cell r="F339"/>
          <cell r="G339"/>
          <cell r="H339"/>
          <cell r="I339"/>
          <cell r="J339"/>
          <cell r="K339"/>
          <cell r="L339"/>
          <cell r="M339"/>
          <cell r="N339"/>
          <cell r="O339"/>
          <cell r="P339"/>
          <cell r="Q339"/>
          <cell r="R339"/>
          <cell r="S339"/>
          <cell r="T339"/>
          <cell r="U339"/>
        </row>
        <row r="340">
          <cell r="A340"/>
          <cell r="B340"/>
          <cell r="C340"/>
          <cell r="D340"/>
          <cell r="E340"/>
          <cell r="F340"/>
          <cell r="G340"/>
          <cell r="H340"/>
          <cell r="I340"/>
          <cell r="J340"/>
          <cell r="K340"/>
          <cell r="L340"/>
          <cell r="M340"/>
          <cell r="N340"/>
          <cell r="O340"/>
          <cell r="P340"/>
          <cell r="Q340"/>
          <cell r="R340"/>
          <cell r="S340"/>
          <cell r="T340"/>
          <cell r="U340"/>
        </row>
        <row r="341">
          <cell r="A341"/>
          <cell r="B341"/>
          <cell r="C341"/>
          <cell r="D341"/>
          <cell r="E341"/>
          <cell r="F341"/>
          <cell r="G341"/>
          <cell r="H341"/>
          <cell r="I341"/>
          <cell r="J341"/>
          <cell r="K341"/>
          <cell r="L341"/>
          <cell r="M341"/>
          <cell r="N341"/>
          <cell r="O341"/>
          <cell r="P341"/>
          <cell r="Q341"/>
          <cell r="R341"/>
          <cell r="S341"/>
          <cell r="T341"/>
          <cell r="U341"/>
        </row>
        <row r="342">
          <cell r="A342"/>
          <cell r="B342"/>
          <cell r="C342"/>
          <cell r="D342"/>
          <cell r="E342"/>
          <cell r="F342"/>
          <cell r="G342"/>
          <cell r="H342"/>
          <cell r="I342"/>
          <cell r="J342"/>
          <cell r="K342"/>
          <cell r="L342"/>
          <cell r="M342"/>
          <cell r="N342"/>
          <cell r="O342"/>
          <cell r="P342"/>
          <cell r="Q342"/>
          <cell r="R342"/>
          <cell r="S342"/>
          <cell r="T342"/>
          <cell r="U342"/>
        </row>
        <row r="343">
          <cell r="A343"/>
          <cell r="B343"/>
          <cell r="C343"/>
          <cell r="D343"/>
          <cell r="E343"/>
          <cell r="F343"/>
          <cell r="G343"/>
          <cell r="H343"/>
          <cell r="I343"/>
          <cell r="J343"/>
          <cell r="K343"/>
          <cell r="L343"/>
          <cell r="M343"/>
          <cell r="N343"/>
          <cell r="O343"/>
          <cell r="P343"/>
          <cell r="Q343"/>
          <cell r="R343"/>
          <cell r="S343"/>
          <cell r="T343"/>
          <cell r="U343"/>
        </row>
        <row r="344">
          <cell r="A344"/>
          <cell r="B344"/>
          <cell r="C344"/>
          <cell r="D344"/>
          <cell r="E344"/>
          <cell r="F344"/>
          <cell r="G344"/>
          <cell r="H344"/>
          <cell r="I344"/>
          <cell r="J344"/>
          <cell r="K344"/>
          <cell r="L344"/>
          <cell r="M344"/>
          <cell r="N344"/>
          <cell r="O344"/>
          <cell r="P344"/>
          <cell r="Q344"/>
          <cell r="R344"/>
          <cell r="S344"/>
          <cell r="T344"/>
          <cell r="U344"/>
        </row>
        <row r="345">
          <cell r="A345"/>
          <cell r="B345"/>
          <cell r="C345"/>
          <cell r="D345"/>
          <cell r="E345"/>
          <cell r="F345"/>
          <cell r="G345"/>
          <cell r="H345"/>
          <cell r="I345"/>
          <cell r="J345"/>
          <cell r="K345"/>
          <cell r="L345"/>
          <cell r="M345"/>
          <cell r="N345"/>
          <cell r="O345"/>
          <cell r="P345"/>
          <cell r="Q345"/>
          <cell r="R345"/>
          <cell r="S345"/>
          <cell r="T345"/>
          <cell r="U345"/>
        </row>
        <row r="346">
          <cell r="A346"/>
          <cell r="B346"/>
          <cell r="C346"/>
          <cell r="D346"/>
          <cell r="E346"/>
          <cell r="F346"/>
          <cell r="G346"/>
          <cell r="H346"/>
          <cell r="I346"/>
          <cell r="J346"/>
          <cell r="K346"/>
          <cell r="L346"/>
          <cell r="M346"/>
          <cell r="N346"/>
          <cell r="O346"/>
          <cell r="P346"/>
          <cell r="Q346"/>
          <cell r="R346"/>
          <cell r="S346"/>
          <cell r="T346"/>
          <cell r="U346"/>
        </row>
        <row r="347">
          <cell r="A347"/>
          <cell r="B347"/>
          <cell r="C347"/>
          <cell r="D347"/>
          <cell r="E347"/>
          <cell r="F347"/>
          <cell r="G347"/>
          <cell r="H347"/>
          <cell r="I347"/>
          <cell r="J347"/>
          <cell r="K347"/>
          <cell r="L347"/>
          <cell r="M347"/>
          <cell r="N347"/>
          <cell r="O347"/>
          <cell r="P347"/>
          <cell r="Q347"/>
          <cell r="R347"/>
          <cell r="S347"/>
          <cell r="T347"/>
          <cell r="U347"/>
        </row>
        <row r="348">
          <cell r="A348"/>
          <cell r="B348"/>
          <cell r="C348"/>
          <cell r="D348"/>
          <cell r="E348"/>
          <cell r="F348"/>
          <cell r="G348"/>
          <cell r="H348"/>
          <cell r="I348"/>
          <cell r="J348"/>
          <cell r="K348"/>
          <cell r="L348"/>
          <cell r="M348"/>
          <cell r="N348"/>
          <cell r="O348"/>
          <cell r="P348"/>
          <cell r="Q348"/>
          <cell r="R348"/>
          <cell r="S348"/>
          <cell r="T348"/>
          <cell r="U348"/>
        </row>
        <row r="349">
          <cell r="A349"/>
          <cell r="B349"/>
          <cell r="C349"/>
          <cell r="D349"/>
          <cell r="E349"/>
          <cell r="F349"/>
          <cell r="G349"/>
          <cell r="H349"/>
          <cell r="I349"/>
          <cell r="J349"/>
          <cell r="K349"/>
          <cell r="L349"/>
          <cell r="M349"/>
          <cell r="N349"/>
          <cell r="O349"/>
          <cell r="P349"/>
          <cell r="Q349"/>
          <cell r="R349"/>
          <cell r="S349"/>
          <cell r="T349"/>
          <cell r="U349"/>
        </row>
        <row r="350">
          <cell r="A350"/>
          <cell r="B350"/>
          <cell r="C350"/>
          <cell r="D350"/>
          <cell r="E350"/>
          <cell r="F350"/>
          <cell r="G350"/>
          <cell r="H350"/>
          <cell r="I350"/>
          <cell r="J350"/>
          <cell r="K350"/>
          <cell r="L350"/>
          <cell r="M350"/>
          <cell r="N350"/>
          <cell r="O350"/>
          <cell r="P350"/>
          <cell r="Q350"/>
          <cell r="R350"/>
          <cell r="S350"/>
          <cell r="T350"/>
          <cell r="U350"/>
        </row>
        <row r="351">
          <cell r="A351"/>
          <cell r="B351"/>
          <cell r="C351"/>
          <cell r="D351"/>
          <cell r="E351"/>
          <cell r="F351"/>
          <cell r="G351"/>
          <cell r="H351"/>
          <cell r="I351"/>
          <cell r="J351"/>
          <cell r="K351"/>
          <cell r="L351"/>
          <cell r="M351"/>
          <cell r="N351"/>
          <cell r="O351"/>
          <cell r="P351"/>
          <cell r="Q351"/>
          <cell r="R351"/>
          <cell r="S351"/>
          <cell r="T351"/>
          <cell r="U351"/>
        </row>
        <row r="352">
          <cell r="A352"/>
          <cell r="B352"/>
          <cell r="C352"/>
          <cell r="D352"/>
          <cell r="E352"/>
          <cell r="F352"/>
          <cell r="G352"/>
          <cell r="H352"/>
          <cell r="I352"/>
          <cell r="J352"/>
          <cell r="K352"/>
          <cell r="L352"/>
          <cell r="M352"/>
          <cell r="N352"/>
          <cell r="O352"/>
          <cell r="P352"/>
          <cell r="Q352"/>
          <cell r="R352"/>
          <cell r="S352"/>
          <cell r="T352"/>
          <cell r="U352"/>
        </row>
        <row r="353">
          <cell r="A353"/>
          <cell r="B353"/>
          <cell r="C353"/>
          <cell r="D353"/>
          <cell r="E353"/>
          <cell r="F353"/>
          <cell r="G353"/>
          <cell r="H353"/>
          <cell r="I353"/>
          <cell r="J353"/>
          <cell r="K353"/>
          <cell r="L353"/>
          <cell r="M353"/>
          <cell r="N353"/>
          <cell r="O353"/>
          <cell r="P353"/>
          <cell r="Q353"/>
          <cell r="R353"/>
          <cell r="S353"/>
          <cell r="T353"/>
          <cell r="U353"/>
        </row>
        <row r="354">
          <cell r="A354"/>
          <cell r="B354"/>
          <cell r="C354"/>
          <cell r="D354"/>
          <cell r="E354"/>
          <cell r="F354"/>
          <cell r="G354"/>
          <cell r="H354"/>
          <cell r="I354"/>
          <cell r="J354"/>
          <cell r="K354"/>
          <cell r="L354"/>
          <cell r="M354"/>
          <cell r="N354"/>
          <cell r="O354"/>
          <cell r="P354"/>
          <cell r="Q354"/>
          <cell r="R354"/>
          <cell r="S354"/>
          <cell r="T354"/>
          <cell r="U354"/>
        </row>
        <row r="355">
          <cell r="A355"/>
          <cell r="B355"/>
          <cell r="C355"/>
          <cell r="D355"/>
          <cell r="E355"/>
          <cell r="F355"/>
          <cell r="G355"/>
          <cell r="H355"/>
          <cell r="I355"/>
          <cell r="J355"/>
          <cell r="K355"/>
          <cell r="L355"/>
          <cell r="M355"/>
          <cell r="N355"/>
          <cell r="O355"/>
          <cell r="P355"/>
          <cell r="Q355"/>
          <cell r="R355"/>
          <cell r="S355"/>
          <cell r="T355"/>
          <cell r="U355"/>
        </row>
        <row r="356">
          <cell r="A356"/>
          <cell r="B356"/>
          <cell r="C356"/>
          <cell r="D356"/>
          <cell r="E356"/>
          <cell r="F356"/>
          <cell r="G356"/>
          <cell r="H356"/>
          <cell r="I356"/>
          <cell r="J356"/>
          <cell r="K356"/>
          <cell r="L356"/>
          <cell r="M356"/>
          <cell r="N356"/>
          <cell r="O356"/>
          <cell r="P356"/>
          <cell r="Q356"/>
          <cell r="R356"/>
          <cell r="S356"/>
          <cell r="T356"/>
          <cell r="U356"/>
        </row>
        <row r="357">
          <cell r="A357"/>
          <cell r="B357"/>
          <cell r="C357"/>
          <cell r="D357"/>
          <cell r="E357"/>
          <cell r="F357"/>
          <cell r="G357"/>
          <cell r="H357"/>
          <cell r="I357"/>
          <cell r="J357"/>
          <cell r="K357"/>
          <cell r="L357"/>
          <cell r="M357"/>
          <cell r="N357"/>
          <cell r="O357"/>
          <cell r="P357"/>
          <cell r="Q357"/>
          <cell r="R357"/>
          <cell r="S357"/>
          <cell r="T357"/>
          <cell r="U357"/>
        </row>
        <row r="358">
          <cell r="A358"/>
          <cell r="B358"/>
          <cell r="C358"/>
          <cell r="D358"/>
          <cell r="E358"/>
          <cell r="F358"/>
          <cell r="G358"/>
          <cell r="H358"/>
          <cell r="I358"/>
          <cell r="J358"/>
          <cell r="K358"/>
          <cell r="L358"/>
          <cell r="M358"/>
          <cell r="N358"/>
          <cell r="O358"/>
          <cell r="P358"/>
          <cell r="Q358"/>
          <cell r="R358"/>
          <cell r="S358"/>
          <cell r="T358"/>
          <cell r="U358"/>
        </row>
        <row r="359">
          <cell r="A359"/>
          <cell r="B359"/>
          <cell r="C359"/>
          <cell r="D359"/>
          <cell r="E359"/>
          <cell r="F359"/>
          <cell r="G359"/>
          <cell r="H359"/>
          <cell r="I359"/>
          <cell r="J359"/>
          <cell r="K359"/>
          <cell r="L359"/>
          <cell r="M359"/>
          <cell r="N359"/>
          <cell r="O359"/>
          <cell r="P359"/>
          <cell r="Q359"/>
          <cell r="R359"/>
          <cell r="S359"/>
          <cell r="T359"/>
          <cell r="U359"/>
        </row>
        <row r="360">
          <cell r="A360"/>
          <cell r="B360"/>
          <cell r="C360"/>
          <cell r="D360"/>
          <cell r="E360"/>
          <cell r="F360"/>
          <cell r="G360"/>
          <cell r="H360"/>
          <cell r="I360"/>
          <cell r="J360"/>
          <cell r="K360"/>
          <cell r="L360"/>
          <cell r="M360"/>
          <cell r="N360"/>
          <cell r="O360"/>
          <cell r="P360"/>
          <cell r="Q360"/>
          <cell r="R360"/>
          <cell r="S360"/>
          <cell r="T360"/>
          <cell r="U360"/>
        </row>
        <row r="361">
          <cell r="A361"/>
          <cell r="B361"/>
          <cell r="C361"/>
          <cell r="D361"/>
          <cell r="E361"/>
          <cell r="F361"/>
          <cell r="G361"/>
          <cell r="H361"/>
          <cell r="I361"/>
          <cell r="J361"/>
          <cell r="K361"/>
          <cell r="L361"/>
          <cell r="M361"/>
          <cell r="N361"/>
          <cell r="O361"/>
          <cell r="P361"/>
          <cell r="Q361"/>
          <cell r="R361"/>
          <cell r="S361"/>
          <cell r="T361"/>
          <cell r="U361"/>
        </row>
        <row r="362">
          <cell r="A362"/>
          <cell r="B362"/>
          <cell r="C362"/>
          <cell r="D362"/>
          <cell r="E362"/>
          <cell r="F362"/>
          <cell r="G362"/>
          <cell r="H362"/>
          <cell r="I362"/>
          <cell r="J362"/>
          <cell r="K362"/>
          <cell r="L362"/>
          <cell r="M362"/>
          <cell r="N362"/>
          <cell r="O362"/>
          <cell r="P362"/>
          <cell r="Q362"/>
          <cell r="R362"/>
          <cell r="S362"/>
          <cell r="T362"/>
          <cell r="U362"/>
        </row>
        <row r="363">
          <cell r="A363"/>
          <cell r="B363"/>
          <cell r="C363"/>
          <cell r="D363"/>
          <cell r="E363"/>
          <cell r="F363"/>
          <cell r="G363"/>
          <cell r="H363"/>
          <cell r="I363"/>
          <cell r="J363"/>
          <cell r="K363"/>
          <cell r="L363"/>
          <cell r="M363"/>
          <cell r="N363"/>
          <cell r="O363"/>
          <cell r="P363"/>
          <cell r="Q363"/>
          <cell r="R363"/>
          <cell r="S363"/>
          <cell r="T363"/>
          <cell r="U363"/>
        </row>
        <row r="364">
          <cell r="A364"/>
          <cell r="B364"/>
          <cell r="C364"/>
          <cell r="D364"/>
          <cell r="E364"/>
          <cell r="F364"/>
          <cell r="G364"/>
          <cell r="H364"/>
          <cell r="I364"/>
          <cell r="J364"/>
          <cell r="K364"/>
          <cell r="L364"/>
          <cell r="M364"/>
          <cell r="N364"/>
          <cell r="O364"/>
          <cell r="P364"/>
          <cell r="Q364"/>
          <cell r="R364"/>
          <cell r="S364"/>
          <cell r="T364"/>
          <cell r="U364"/>
        </row>
        <row r="365">
          <cell r="A365"/>
          <cell r="B365"/>
          <cell r="C365"/>
          <cell r="D365"/>
          <cell r="E365"/>
          <cell r="F365"/>
          <cell r="G365"/>
          <cell r="H365"/>
          <cell r="I365"/>
          <cell r="J365"/>
          <cell r="K365"/>
          <cell r="L365"/>
          <cell r="M365"/>
          <cell r="N365"/>
          <cell r="O365"/>
          <cell r="P365"/>
          <cell r="Q365"/>
          <cell r="R365"/>
          <cell r="S365"/>
          <cell r="T365"/>
          <cell r="U365"/>
        </row>
        <row r="366">
          <cell r="A366"/>
          <cell r="B366"/>
          <cell r="C366"/>
          <cell r="D366"/>
          <cell r="E366"/>
          <cell r="F366"/>
          <cell r="G366"/>
          <cell r="H366"/>
          <cell r="I366"/>
          <cell r="J366"/>
          <cell r="K366"/>
          <cell r="L366"/>
          <cell r="M366"/>
          <cell r="N366"/>
          <cell r="O366"/>
          <cell r="P366"/>
          <cell r="Q366"/>
          <cell r="R366"/>
          <cell r="S366"/>
          <cell r="T366"/>
          <cell r="U366"/>
        </row>
        <row r="367">
          <cell r="A367"/>
          <cell r="B367"/>
          <cell r="C367"/>
          <cell r="D367"/>
          <cell r="E367"/>
          <cell r="F367"/>
          <cell r="G367"/>
          <cell r="H367"/>
          <cell r="I367"/>
          <cell r="J367"/>
          <cell r="K367"/>
          <cell r="L367"/>
          <cell r="M367"/>
          <cell r="N367"/>
          <cell r="O367"/>
          <cell r="P367"/>
          <cell r="Q367"/>
          <cell r="R367"/>
          <cell r="S367"/>
          <cell r="T367"/>
          <cell r="U367"/>
        </row>
        <row r="368">
          <cell r="A368"/>
          <cell r="B368"/>
          <cell r="C368"/>
          <cell r="D368"/>
          <cell r="E368"/>
          <cell r="F368"/>
          <cell r="G368"/>
          <cell r="H368"/>
          <cell r="I368"/>
          <cell r="J368"/>
          <cell r="K368"/>
          <cell r="L368"/>
          <cell r="M368"/>
          <cell r="N368"/>
          <cell r="O368"/>
          <cell r="P368"/>
          <cell r="Q368"/>
          <cell r="R368"/>
          <cell r="S368"/>
          <cell r="T368"/>
          <cell r="U368"/>
        </row>
        <row r="369">
          <cell r="A369"/>
          <cell r="B369"/>
          <cell r="C369"/>
          <cell r="D369"/>
          <cell r="E369"/>
          <cell r="F369"/>
          <cell r="G369"/>
          <cell r="H369"/>
          <cell r="I369"/>
          <cell r="J369"/>
          <cell r="K369"/>
          <cell r="L369"/>
          <cell r="M369"/>
          <cell r="N369"/>
          <cell r="O369"/>
          <cell r="P369"/>
          <cell r="Q369"/>
          <cell r="R369"/>
          <cell r="S369"/>
          <cell r="T369"/>
          <cell r="U369"/>
        </row>
        <row r="370">
          <cell r="A370"/>
          <cell r="B370"/>
          <cell r="C370"/>
          <cell r="D370"/>
          <cell r="E370"/>
          <cell r="F370"/>
          <cell r="G370"/>
          <cell r="H370"/>
          <cell r="I370"/>
          <cell r="J370"/>
          <cell r="K370"/>
          <cell r="L370"/>
          <cell r="M370"/>
          <cell r="N370"/>
          <cell r="O370"/>
          <cell r="P370"/>
          <cell r="Q370"/>
          <cell r="R370"/>
          <cell r="S370"/>
          <cell r="T370"/>
          <cell r="U370"/>
        </row>
        <row r="371">
          <cell r="A371"/>
          <cell r="B371"/>
          <cell r="C371"/>
          <cell r="D371"/>
          <cell r="E371"/>
          <cell r="F371"/>
          <cell r="G371"/>
          <cell r="H371"/>
          <cell r="I371"/>
          <cell r="J371"/>
          <cell r="K371"/>
          <cell r="L371"/>
          <cell r="M371"/>
          <cell r="N371"/>
          <cell r="O371"/>
          <cell r="P371"/>
          <cell r="Q371"/>
          <cell r="R371"/>
          <cell r="S371"/>
          <cell r="T371"/>
          <cell r="U371"/>
        </row>
        <row r="372">
          <cell r="A372"/>
          <cell r="B372"/>
          <cell r="C372"/>
          <cell r="D372"/>
          <cell r="E372"/>
          <cell r="F372"/>
          <cell r="G372"/>
          <cell r="H372"/>
          <cell r="I372"/>
          <cell r="J372"/>
          <cell r="K372"/>
          <cell r="L372"/>
          <cell r="M372"/>
          <cell r="N372"/>
          <cell r="O372"/>
          <cell r="P372"/>
          <cell r="Q372"/>
          <cell r="R372"/>
          <cell r="S372"/>
          <cell r="T372"/>
          <cell r="U372"/>
        </row>
        <row r="373">
          <cell r="A373"/>
          <cell r="B373"/>
          <cell r="C373"/>
          <cell r="D373"/>
          <cell r="E373"/>
          <cell r="F373"/>
          <cell r="G373"/>
          <cell r="H373"/>
          <cell r="I373"/>
          <cell r="J373"/>
          <cell r="K373"/>
          <cell r="L373"/>
          <cell r="M373"/>
          <cell r="N373"/>
          <cell r="O373"/>
          <cell r="P373"/>
          <cell r="Q373"/>
          <cell r="R373"/>
          <cell r="S373"/>
          <cell r="T373"/>
          <cell r="U373"/>
        </row>
        <row r="374">
          <cell r="A374"/>
          <cell r="B374"/>
          <cell r="C374"/>
          <cell r="D374"/>
          <cell r="E374"/>
          <cell r="F374"/>
          <cell r="G374"/>
          <cell r="H374"/>
          <cell r="I374"/>
          <cell r="J374"/>
          <cell r="K374"/>
          <cell r="L374"/>
          <cell r="M374"/>
          <cell r="N374"/>
          <cell r="O374"/>
          <cell r="P374"/>
          <cell r="Q374"/>
          <cell r="R374"/>
          <cell r="S374"/>
          <cell r="T374"/>
          <cell r="U374"/>
        </row>
        <row r="375">
          <cell r="A375"/>
          <cell r="B375"/>
          <cell r="C375"/>
          <cell r="D375"/>
          <cell r="E375"/>
          <cell r="F375"/>
          <cell r="G375"/>
          <cell r="H375"/>
          <cell r="I375"/>
          <cell r="J375"/>
          <cell r="K375"/>
          <cell r="L375"/>
          <cell r="M375"/>
          <cell r="N375"/>
          <cell r="O375"/>
          <cell r="P375"/>
          <cell r="Q375"/>
          <cell r="R375"/>
          <cell r="S375"/>
          <cell r="T375"/>
          <cell r="U375"/>
        </row>
        <row r="376">
          <cell r="A376"/>
          <cell r="B376"/>
          <cell r="C376"/>
          <cell r="D376"/>
          <cell r="E376"/>
          <cell r="F376"/>
          <cell r="G376"/>
          <cell r="H376"/>
          <cell r="I376"/>
          <cell r="J376"/>
          <cell r="K376"/>
          <cell r="L376"/>
          <cell r="M376"/>
          <cell r="N376"/>
          <cell r="O376"/>
          <cell r="P376"/>
          <cell r="Q376"/>
          <cell r="R376"/>
          <cell r="S376"/>
          <cell r="T376"/>
          <cell r="U376"/>
        </row>
        <row r="377">
          <cell r="A377"/>
          <cell r="B377"/>
          <cell r="C377"/>
          <cell r="D377"/>
          <cell r="E377"/>
          <cell r="F377"/>
          <cell r="G377"/>
          <cell r="H377"/>
          <cell r="I377"/>
          <cell r="J377"/>
          <cell r="K377"/>
          <cell r="L377"/>
          <cell r="M377"/>
          <cell r="N377"/>
          <cell r="O377"/>
          <cell r="P377"/>
          <cell r="Q377"/>
          <cell r="R377"/>
          <cell r="S377"/>
          <cell r="T377"/>
          <cell r="U377"/>
        </row>
        <row r="378">
          <cell r="A378"/>
          <cell r="B378"/>
          <cell r="C378"/>
          <cell r="D378"/>
          <cell r="E378"/>
          <cell r="F378"/>
          <cell r="G378"/>
          <cell r="H378"/>
          <cell r="I378"/>
          <cell r="J378"/>
          <cell r="K378"/>
          <cell r="L378"/>
          <cell r="M378"/>
          <cell r="N378"/>
          <cell r="O378"/>
          <cell r="P378"/>
          <cell r="Q378"/>
          <cell r="R378"/>
          <cell r="S378"/>
          <cell r="T378"/>
          <cell r="U378"/>
        </row>
        <row r="379">
          <cell r="A379"/>
          <cell r="B379"/>
          <cell r="C379"/>
          <cell r="D379"/>
          <cell r="E379"/>
          <cell r="F379"/>
          <cell r="G379"/>
          <cell r="H379"/>
          <cell r="I379"/>
          <cell r="J379"/>
          <cell r="K379"/>
          <cell r="L379"/>
          <cell r="M379"/>
          <cell r="N379"/>
          <cell r="O379"/>
          <cell r="P379"/>
          <cell r="Q379"/>
          <cell r="R379"/>
          <cell r="S379"/>
          <cell r="T379"/>
          <cell r="U379"/>
        </row>
        <row r="380">
          <cell r="A380"/>
          <cell r="B380"/>
          <cell r="C380"/>
          <cell r="D380"/>
          <cell r="E380"/>
          <cell r="F380"/>
          <cell r="G380"/>
          <cell r="H380"/>
          <cell r="I380"/>
          <cell r="J380"/>
          <cell r="K380"/>
          <cell r="L380"/>
          <cell r="M380"/>
          <cell r="N380"/>
          <cell r="O380"/>
          <cell r="P380"/>
          <cell r="Q380"/>
          <cell r="R380"/>
          <cell r="S380"/>
          <cell r="T380"/>
          <cell r="U380"/>
        </row>
        <row r="381">
          <cell r="A381"/>
          <cell r="B381"/>
          <cell r="C381"/>
          <cell r="D381"/>
          <cell r="E381"/>
          <cell r="F381"/>
          <cell r="G381"/>
          <cell r="H381"/>
          <cell r="I381"/>
          <cell r="J381"/>
          <cell r="K381"/>
          <cell r="L381"/>
          <cell r="M381"/>
          <cell r="N381"/>
          <cell r="O381"/>
          <cell r="P381"/>
          <cell r="Q381"/>
          <cell r="R381"/>
          <cell r="S381"/>
          <cell r="T381"/>
          <cell r="U381"/>
        </row>
        <row r="382">
          <cell r="A382"/>
          <cell r="B382"/>
          <cell r="C382"/>
          <cell r="D382"/>
          <cell r="E382"/>
          <cell r="F382"/>
          <cell r="G382"/>
          <cell r="H382"/>
          <cell r="I382"/>
          <cell r="J382"/>
          <cell r="K382"/>
          <cell r="L382"/>
          <cell r="M382"/>
          <cell r="N382"/>
          <cell r="O382"/>
          <cell r="P382"/>
          <cell r="Q382"/>
          <cell r="R382"/>
          <cell r="S382"/>
          <cell r="T382"/>
          <cell r="U382"/>
        </row>
        <row r="383">
          <cell r="A383"/>
          <cell r="B383"/>
          <cell r="C383"/>
          <cell r="D383"/>
          <cell r="E383"/>
          <cell r="F383"/>
          <cell r="G383"/>
          <cell r="H383"/>
          <cell r="I383"/>
          <cell r="J383"/>
          <cell r="K383"/>
          <cell r="L383"/>
          <cell r="M383"/>
          <cell r="N383"/>
          <cell r="O383"/>
          <cell r="P383"/>
          <cell r="Q383"/>
          <cell r="R383"/>
          <cell r="S383"/>
          <cell r="T383"/>
          <cell r="U383"/>
        </row>
        <row r="384">
          <cell r="A384"/>
          <cell r="B384"/>
          <cell r="C384"/>
          <cell r="D384"/>
          <cell r="E384"/>
          <cell r="F384"/>
          <cell r="G384"/>
          <cell r="H384"/>
          <cell r="I384"/>
          <cell r="J384"/>
          <cell r="K384"/>
          <cell r="L384"/>
          <cell r="M384"/>
          <cell r="N384"/>
          <cell r="O384"/>
          <cell r="P384"/>
          <cell r="Q384"/>
          <cell r="R384"/>
          <cell r="S384"/>
          <cell r="T384"/>
          <cell r="U384"/>
        </row>
        <row r="385">
          <cell r="A385"/>
          <cell r="B385"/>
          <cell r="C385"/>
          <cell r="D385"/>
          <cell r="E385"/>
          <cell r="F385"/>
          <cell r="G385"/>
          <cell r="H385"/>
          <cell r="I385"/>
          <cell r="J385"/>
          <cell r="K385"/>
          <cell r="L385"/>
          <cell r="M385"/>
          <cell r="N385"/>
          <cell r="O385"/>
          <cell r="P385"/>
          <cell r="Q385"/>
          <cell r="R385"/>
          <cell r="S385"/>
          <cell r="T385"/>
          <cell r="U385"/>
        </row>
        <row r="386">
          <cell r="A386"/>
          <cell r="B386"/>
          <cell r="C386"/>
          <cell r="D386"/>
          <cell r="E386"/>
          <cell r="F386"/>
          <cell r="G386"/>
          <cell r="H386"/>
          <cell r="I386"/>
          <cell r="J386"/>
          <cell r="K386"/>
          <cell r="L386"/>
          <cell r="M386"/>
          <cell r="N386"/>
          <cell r="O386"/>
          <cell r="P386"/>
          <cell r="Q386"/>
          <cell r="R386"/>
          <cell r="S386"/>
          <cell r="T386"/>
          <cell r="U386"/>
        </row>
        <row r="387">
          <cell r="A387"/>
          <cell r="B387"/>
          <cell r="C387"/>
          <cell r="D387"/>
          <cell r="E387"/>
          <cell r="F387"/>
          <cell r="G387"/>
          <cell r="H387"/>
          <cell r="I387"/>
          <cell r="J387"/>
          <cell r="K387"/>
          <cell r="L387"/>
          <cell r="M387"/>
          <cell r="N387"/>
          <cell r="O387"/>
          <cell r="P387"/>
          <cell r="Q387"/>
          <cell r="R387"/>
          <cell r="S387"/>
          <cell r="T387"/>
          <cell r="U387"/>
        </row>
        <row r="388">
          <cell r="A388"/>
          <cell r="B388"/>
          <cell r="C388"/>
          <cell r="D388"/>
          <cell r="E388"/>
          <cell r="F388"/>
          <cell r="G388"/>
          <cell r="H388"/>
          <cell r="I388"/>
          <cell r="J388"/>
          <cell r="K388"/>
          <cell r="L388"/>
          <cell r="M388"/>
          <cell r="N388"/>
          <cell r="O388"/>
          <cell r="P388"/>
          <cell r="Q388"/>
          <cell r="R388"/>
          <cell r="S388"/>
          <cell r="T388"/>
          <cell r="U388"/>
        </row>
        <row r="389">
          <cell r="A389"/>
          <cell r="B389"/>
          <cell r="C389"/>
          <cell r="D389"/>
          <cell r="E389"/>
          <cell r="F389"/>
          <cell r="G389"/>
          <cell r="H389"/>
          <cell r="I389"/>
          <cell r="J389"/>
          <cell r="K389"/>
          <cell r="L389"/>
          <cell r="M389"/>
          <cell r="N389"/>
          <cell r="O389"/>
          <cell r="P389"/>
          <cell r="Q389"/>
          <cell r="R389"/>
          <cell r="S389"/>
          <cell r="T389"/>
          <cell r="U389"/>
        </row>
        <row r="390">
          <cell r="A390"/>
          <cell r="B390"/>
          <cell r="C390"/>
          <cell r="D390"/>
          <cell r="E390"/>
          <cell r="F390"/>
          <cell r="G390"/>
          <cell r="H390"/>
          <cell r="I390"/>
          <cell r="J390"/>
          <cell r="K390"/>
          <cell r="L390"/>
          <cell r="M390"/>
          <cell r="N390"/>
          <cell r="O390"/>
          <cell r="P390"/>
          <cell r="Q390"/>
          <cell r="R390"/>
          <cell r="S390"/>
          <cell r="T390"/>
          <cell r="U390"/>
        </row>
        <row r="391">
          <cell r="A391"/>
          <cell r="B391"/>
          <cell r="C391"/>
          <cell r="D391"/>
          <cell r="E391"/>
          <cell r="F391"/>
          <cell r="G391"/>
          <cell r="H391"/>
          <cell r="I391"/>
          <cell r="J391"/>
          <cell r="K391"/>
          <cell r="L391"/>
          <cell r="M391"/>
          <cell r="N391"/>
          <cell r="O391"/>
          <cell r="P391"/>
          <cell r="Q391"/>
          <cell r="R391"/>
          <cell r="S391"/>
          <cell r="T391"/>
          <cell r="U391"/>
        </row>
        <row r="392">
          <cell r="A392"/>
          <cell r="B392"/>
          <cell r="C392"/>
          <cell r="D392"/>
          <cell r="E392"/>
          <cell r="F392"/>
          <cell r="G392"/>
          <cell r="H392"/>
          <cell r="I392"/>
          <cell r="J392"/>
          <cell r="K392"/>
          <cell r="L392"/>
          <cell r="M392"/>
          <cell r="N392"/>
          <cell r="O392"/>
          <cell r="P392"/>
          <cell r="Q392"/>
          <cell r="R392"/>
          <cell r="S392"/>
          <cell r="T392"/>
          <cell r="U392"/>
        </row>
        <row r="393">
          <cell r="A393"/>
          <cell r="B393"/>
          <cell r="C393"/>
          <cell r="D393"/>
          <cell r="E393"/>
          <cell r="F393"/>
          <cell r="G393"/>
          <cell r="H393"/>
          <cell r="I393"/>
          <cell r="J393"/>
          <cell r="K393"/>
          <cell r="L393"/>
          <cell r="M393"/>
          <cell r="N393"/>
          <cell r="O393"/>
          <cell r="P393"/>
          <cell r="Q393"/>
          <cell r="R393"/>
          <cell r="S393"/>
          <cell r="T393"/>
          <cell r="U393"/>
        </row>
        <row r="394">
          <cell r="A394"/>
          <cell r="B394"/>
          <cell r="C394"/>
          <cell r="D394"/>
          <cell r="E394"/>
          <cell r="F394"/>
          <cell r="G394"/>
          <cell r="H394"/>
          <cell r="I394"/>
          <cell r="J394"/>
          <cell r="K394"/>
          <cell r="L394"/>
          <cell r="M394"/>
          <cell r="N394"/>
          <cell r="O394"/>
          <cell r="P394"/>
          <cell r="Q394"/>
          <cell r="R394"/>
          <cell r="S394"/>
          <cell r="T394"/>
          <cell r="U394"/>
        </row>
        <row r="395">
          <cell r="A395"/>
          <cell r="B395"/>
          <cell r="C395"/>
          <cell r="D395"/>
          <cell r="E395"/>
          <cell r="F395"/>
          <cell r="G395"/>
          <cell r="H395"/>
          <cell r="I395"/>
          <cell r="J395"/>
          <cell r="K395"/>
          <cell r="L395"/>
          <cell r="M395"/>
          <cell r="N395"/>
          <cell r="O395"/>
          <cell r="P395"/>
          <cell r="Q395"/>
          <cell r="R395"/>
          <cell r="S395"/>
          <cell r="T395"/>
          <cell r="U395"/>
        </row>
        <row r="396">
          <cell r="A396"/>
          <cell r="B396"/>
          <cell r="C396"/>
          <cell r="D396"/>
          <cell r="E396"/>
          <cell r="F396"/>
          <cell r="G396"/>
          <cell r="H396"/>
          <cell r="I396"/>
          <cell r="J396"/>
          <cell r="K396"/>
          <cell r="L396"/>
          <cell r="M396"/>
          <cell r="N396"/>
          <cell r="O396"/>
          <cell r="P396"/>
          <cell r="Q396"/>
          <cell r="R396"/>
          <cell r="S396"/>
          <cell r="T396"/>
          <cell r="U396"/>
        </row>
        <row r="397">
          <cell r="A397"/>
          <cell r="B397"/>
          <cell r="C397"/>
          <cell r="D397"/>
          <cell r="E397"/>
          <cell r="F397"/>
          <cell r="G397"/>
          <cell r="H397"/>
          <cell r="I397"/>
          <cell r="J397"/>
          <cell r="K397"/>
          <cell r="L397"/>
          <cell r="M397"/>
          <cell r="N397"/>
          <cell r="O397"/>
          <cell r="P397"/>
          <cell r="Q397"/>
          <cell r="R397"/>
          <cell r="S397"/>
          <cell r="T397"/>
          <cell r="U397"/>
        </row>
        <row r="398">
          <cell r="A398"/>
          <cell r="B398"/>
          <cell r="C398"/>
          <cell r="D398"/>
          <cell r="E398"/>
          <cell r="F398"/>
          <cell r="G398"/>
          <cell r="H398"/>
          <cell r="I398"/>
          <cell r="J398"/>
          <cell r="K398"/>
          <cell r="L398"/>
          <cell r="M398"/>
          <cell r="N398"/>
          <cell r="O398"/>
          <cell r="P398"/>
          <cell r="Q398"/>
          <cell r="R398"/>
          <cell r="S398"/>
          <cell r="T398"/>
          <cell r="U398"/>
        </row>
        <row r="399">
          <cell r="A399"/>
          <cell r="B399"/>
          <cell r="C399"/>
          <cell r="D399"/>
          <cell r="E399"/>
          <cell r="F399"/>
          <cell r="G399"/>
          <cell r="H399"/>
          <cell r="I399"/>
          <cell r="J399"/>
          <cell r="K399"/>
          <cell r="L399"/>
          <cell r="M399"/>
          <cell r="N399"/>
          <cell r="O399"/>
          <cell r="P399"/>
          <cell r="Q399"/>
          <cell r="R399"/>
          <cell r="S399"/>
          <cell r="T399"/>
          <cell r="U399"/>
        </row>
        <row r="400">
          <cell r="A400"/>
          <cell r="B400"/>
          <cell r="C400"/>
          <cell r="D400"/>
          <cell r="E400"/>
          <cell r="F400"/>
          <cell r="G400"/>
          <cell r="H400"/>
          <cell r="I400"/>
          <cell r="J400"/>
          <cell r="K400"/>
          <cell r="L400"/>
          <cell r="M400"/>
          <cell r="N400"/>
          <cell r="O400"/>
          <cell r="P400"/>
          <cell r="Q400"/>
          <cell r="R400"/>
          <cell r="S400"/>
          <cell r="T400"/>
          <cell r="U400"/>
        </row>
        <row r="401">
          <cell r="A401"/>
          <cell r="B401"/>
          <cell r="C401"/>
          <cell r="D401"/>
          <cell r="E401"/>
          <cell r="F401"/>
          <cell r="G401"/>
          <cell r="H401"/>
          <cell r="I401"/>
          <cell r="J401"/>
          <cell r="K401"/>
          <cell r="L401"/>
          <cell r="M401"/>
          <cell r="N401"/>
          <cell r="O401"/>
          <cell r="P401"/>
          <cell r="Q401"/>
          <cell r="R401"/>
          <cell r="S401"/>
          <cell r="T401"/>
          <cell r="U401"/>
        </row>
        <row r="402">
          <cell r="A402"/>
          <cell r="B402"/>
          <cell r="C402"/>
          <cell r="D402"/>
          <cell r="E402"/>
          <cell r="F402"/>
          <cell r="G402"/>
          <cell r="H402"/>
          <cell r="I402"/>
          <cell r="J402"/>
          <cell r="K402"/>
          <cell r="L402"/>
          <cell r="M402"/>
          <cell r="N402"/>
          <cell r="O402"/>
          <cell r="P402"/>
          <cell r="Q402"/>
          <cell r="R402"/>
          <cell r="S402"/>
          <cell r="T402"/>
          <cell r="U402"/>
        </row>
        <row r="403">
          <cell r="A403"/>
          <cell r="B403"/>
          <cell r="C403"/>
          <cell r="D403"/>
          <cell r="E403"/>
          <cell r="F403"/>
          <cell r="G403"/>
          <cell r="H403"/>
          <cell r="I403"/>
          <cell r="J403"/>
          <cell r="K403"/>
          <cell r="L403"/>
          <cell r="M403"/>
          <cell r="N403"/>
          <cell r="O403"/>
          <cell r="P403"/>
          <cell r="Q403"/>
          <cell r="R403"/>
          <cell r="S403"/>
          <cell r="T403"/>
          <cell r="U403"/>
        </row>
        <row r="404">
          <cell r="A404"/>
          <cell r="B404"/>
          <cell r="C404"/>
          <cell r="D404"/>
          <cell r="E404"/>
          <cell r="F404"/>
          <cell r="G404"/>
          <cell r="H404"/>
          <cell r="I404"/>
          <cell r="J404"/>
          <cell r="K404"/>
          <cell r="L404"/>
          <cell r="M404"/>
          <cell r="N404"/>
          <cell r="O404"/>
          <cell r="P404"/>
          <cell r="Q404"/>
          <cell r="R404"/>
          <cell r="S404"/>
          <cell r="T404"/>
          <cell r="U404"/>
        </row>
        <row r="405">
          <cell r="A405"/>
          <cell r="B405"/>
          <cell r="C405"/>
          <cell r="D405"/>
          <cell r="E405"/>
          <cell r="F405"/>
          <cell r="G405"/>
          <cell r="H405"/>
          <cell r="I405"/>
          <cell r="J405"/>
          <cell r="K405"/>
          <cell r="L405"/>
          <cell r="M405"/>
          <cell r="N405"/>
          <cell r="O405"/>
          <cell r="P405"/>
          <cell r="Q405"/>
          <cell r="R405"/>
          <cell r="S405"/>
          <cell r="T405"/>
          <cell r="U405"/>
        </row>
        <row r="406">
          <cell r="A406"/>
          <cell r="B406"/>
          <cell r="C406"/>
          <cell r="D406"/>
          <cell r="E406"/>
          <cell r="F406"/>
          <cell r="G406"/>
          <cell r="H406"/>
          <cell r="I406"/>
          <cell r="J406"/>
          <cell r="K406"/>
          <cell r="L406"/>
          <cell r="M406"/>
          <cell r="N406"/>
          <cell r="O406"/>
          <cell r="P406"/>
          <cell r="Q406"/>
          <cell r="R406"/>
          <cell r="S406"/>
          <cell r="T406"/>
          <cell r="U406"/>
        </row>
        <row r="407">
          <cell r="A407"/>
          <cell r="B407"/>
          <cell r="C407"/>
          <cell r="D407"/>
          <cell r="E407"/>
          <cell r="F407"/>
          <cell r="G407"/>
          <cell r="H407"/>
          <cell r="I407"/>
          <cell r="J407"/>
          <cell r="K407"/>
          <cell r="L407"/>
          <cell r="M407"/>
          <cell r="N407"/>
          <cell r="O407"/>
          <cell r="P407"/>
          <cell r="Q407"/>
          <cell r="R407"/>
          <cell r="S407"/>
          <cell r="T407"/>
          <cell r="U407"/>
        </row>
        <row r="408">
          <cell r="A408"/>
          <cell r="B408"/>
          <cell r="C408"/>
          <cell r="D408"/>
          <cell r="E408"/>
          <cell r="F408"/>
          <cell r="G408"/>
          <cell r="H408"/>
          <cell r="I408"/>
          <cell r="J408"/>
          <cell r="K408"/>
          <cell r="L408"/>
          <cell r="M408"/>
          <cell r="N408"/>
          <cell r="O408"/>
          <cell r="P408"/>
          <cell r="Q408"/>
          <cell r="R408"/>
          <cell r="S408"/>
          <cell r="T408"/>
          <cell r="U408"/>
        </row>
        <row r="409">
          <cell r="A409"/>
          <cell r="B409"/>
          <cell r="C409"/>
          <cell r="D409"/>
          <cell r="E409"/>
          <cell r="F409"/>
          <cell r="G409"/>
          <cell r="H409"/>
          <cell r="I409"/>
          <cell r="J409"/>
          <cell r="K409"/>
          <cell r="L409"/>
          <cell r="M409"/>
          <cell r="N409"/>
          <cell r="O409"/>
          <cell r="P409"/>
          <cell r="Q409"/>
          <cell r="R409"/>
          <cell r="S409"/>
          <cell r="T409"/>
          <cell r="U409"/>
        </row>
        <row r="410">
          <cell r="A410"/>
          <cell r="B410"/>
          <cell r="C410"/>
          <cell r="D410"/>
          <cell r="E410"/>
          <cell r="F410"/>
          <cell r="G410"/>
          <cell r="H410"/>
          <cell r="I410"/>
          <cell r="J410"/>
          <cell r="K410"/>
          <cell r="L410"/>
          <cell r="M410"/>
          <cell r="N410"/>
          <cell r="O410"/>
          <cell r="P410"/>
          <cell r="Q410"/>
          <cell r="R410"/>
          <cell r="S410"/>
          <cell r="T410"/>
          <cell r="U410"/>
        </row>
        <row r="411">
          <cell r="A411"/>
          <cell r="B411"/>
          <cell r="C411"/>
          <cell r="D411"/>
          <cell r="E411"/>
          <cell r="F411"/>
          <cell r="G411"/>
          <cell r="H411"/>
          <cell r="I411"/>
          <cell r="J411"/>
          <cell r="K411"/>
          <cell r="L411"/>
          <cell r="M411"/>
          <cell r="N411"/>
          <cell r="O411"/>
          <cell r="P411"/>
          <cell r="Q411"/>
          <cell r="R411"/>
          <cell r="S411"/>
          <cell r="T411"/>
          <cell r="U411"/>
        </row>
        <row r="412">
          <cell r="A412"/>
          <cell r="B412"/>
          <cell r="C412"/>
          <cell r="D412"/>
          <cell r="E412"/>
          <cell r="F412"/>
          <cell r="G412"/>
          <cell r="H412"/>
          <cell r="I412"/>
          <cell r="J412"/>
          <cell r="K412"/>
          <cell r="L412"/>
          <cell r="M412"/>
          <cell r="N412"/>
          <cell r="O412"/>
          <cell r="P412"/>
          <cell r="Q412"/>
          <cell r="R412"/>
          <cell r="S412"/>
          <cell r="T412"/>
          <cell r="U412"/>
        </row>
        <row r="413">
          <cell r="A413"/>
          <cell r="B413"/>
          <cell r="C413"/>
          <cell r="D413"/>
          <cell r="E413"/>
          <cell r="F413"/>
          <cell r="G413"/>
          <cell r="H413"/>
          <cell r="I413"/>
          <cell r="J413"/>
          <cell r="K413"/>
          <cell r="L413"/>
          <cell r="M413"/>
          <cell r="N413"/>
          <cell r="O413"/>
          <cell r="P413"/>
          <cell r="Q413"/>
          <cell r="R413"/>
          <cell r="S413"/>
          <cell r="T413"/>
          <cell r="U413"/>
        </row>
        <row r="414">
          <cell r="A414"/>
          <cell r="B414"/>
          <cell r="C414"/>
          <cell r="D414"/>
          <cell r="E414"/>
          <cell r="F414"/>
          <cell r="G414"/>
          <cell r="H414"/>
          <cell r="I414"/>
          <cell r="J414"/>
          <cell r="K414"/>
          <cell r="L414"/>
          <cell r="M414"/>
          <cell r="N414"/>
          <cell r="O414"/>
          <cell r="P414"/>
          <cell r="Q414"/>
          <cell r="R414"/>
          <cell r="S414"/>
          <cell r="T414"/>
          <cell r="U414"/>
        </row>
        <row r="415">
          <cell r="A415"/>
          <cell r="B415"/>
          <cell r="C415"/>
          <cell r="D415"/>
          <cell r="E415"/>
          <cell r="F415"/>
          <cell r="G415"/>
          <cell r="H415"/>
          <cell r="I415"/>
          <cell r="J415"/>
          <cell r="K415"/>
          <cell r="L415"/>
          <cell r="M415"/>
          <cell r="N415"/>
          <cell r="O415"/>
          <cell r="P415"/>
          <cell r="Q415"/>
          <cell r="R415"/>
          <cell r="S415"/>
          <cell r="T415"/>
          <cell r="U415"/>
        </row>
        <row r="416">
          <cell r="A416"/>
          <cell r="B416"/>
          <cell r="C416"/>
          <cell r="D416"/>
          <cell r="E416"/>
          <cell r="F416"/>
          <cell r="G416"/>
          <cell r="H416"/>
          <cell r="I416"/>
          <cell r="J416"/>
          <cell r="K416"/>
          <cell r="L416"/>
          <cell r="M416"/>
          <cell r="N416"/>
          <cell r="O416"/>
          <cell r="P416"/>
          <cell r="Q416"/>
          <cell r="R416"/>
          <cell r="S416"/>
          <cell r="T416"/>
          <cell r="U416"/>
        </row>
        <row r="417">
          <cell r="A417"/>
          <cell r="B417"/>
          <cell r="C417"/>
          <cell r="D417"/>
          <cell r="E417"/>
          <cell r="F417"/>
          <cell r="G417"/>
          <cell r="H417"/>
          <cell r="I417"/>
          <cell r="J417"/>
          <cell r="K417"/>
          <cell r="L417"/>
          <cell r="M417"/>
          <cell r="N417"/>
          <cell r="O417"/>
          <cell r="P417"/>
          <cell r="Q417"/>
          <cell r="R417"/>
          <cell r="S417"/>
          <cell r="T417"/>
          <cell r="U417"/>
        </row>
        <row r="418">
          <cell r="A418"/>
          <cell r="B418"/>
          <cell r="C418"/>
          <cell r="D418"/>
          <cell r="E418"/>
          <cell r="F418"/>
          <cell r="G418"/>
          <cell r="H418"/>
          <cell r="I418"/>
          <cell r="J418"/>
          <cell r="K418"/>
          <cell r="L418"/>
          <cell r="M418"/>
          <cell r="N418"/>
          <cell r="O418"/>
          <cell r="P418"/>
          <cell r="Q418"/>
          <cell r="R418"/>
          <cell r="S418"/>
          <cell r="T418"/>
          <cell r="U418"/>
        </row>
        <row r="419">
          <cell r="A419"/>
          <cell r="B419"/>
          <cell r="C419"/>
          <cell r="D419"/>
          <cell r="E419"/>
          <cell r="F419"/>
          <cell r="G419"/>
          <cell r="H419"/>
          <cell r="I419"/>
          <cell r="J419"/>
          <cell r="K419"/>
          <cell r="L419"/>
          <cell r="M419"/>
          <cell r="N419"/>
          <cell r="O419"/>
          <cell r="P419"/>
          <cell r="Q419"/>
          <cell r="R419"/>
          <cell r="S419"/>
          <cell r="T419"/>
          <cell r="U419"/>
        </row>
        <row r="420">
          <cell r="A420"/>
          <cell r="B420"/>
          <cell r="C420"/>
          <cell r="D420"/>
          <cell r="E420"/>
          <cell r="F420"/>
          <cell r="G420"/>
          <cell r="H420"/>
          <cell r="I420"/>
          <cell r="J420"/>
          <cell r="K420"/>
          <cell r="L420"/>
          <cell r="M420"/>
          <cell r="N420"/>
          <cell r="O420"/>
          <cell r="P420"/>
          <cell r="Q420"/>
          <cell r="R420"/>
          <cell r="S420"/>
          <cell r="T420"/>
          <cell r="U420"/>
        </row>
        <row r="421">
          <cell r="A421"/>
          <cell r="B421"/>
          <cell r="C421"/>
          <cell r="D421"/>
          <cell r="E421"/>
          <cell r="F421"/>
          <cell r="G421"/>
          <cell r="H421"/>
          <cell r="I421"/>
          <cell r="J421"/>
          <cell r="K421"/>
          <cell r="L421"/>
          <cell r="M421"/>
          <cell r="N421"/>
          <cell r="O421"/>
          <cell r="P421"/>
          <cell r="Q421"/>
          <cell r="R421"/>
          <cell r="S421"/>
          <cell r="T421"/>
          <cell r="U421"/>
        </row>
        <row r="422">
          <cell r="A422"/>
          <cell r="B422"/>
          <cell r="C422"/>
          <cell r="D422"/>
          <cell r="E422"/>
          <cell r="F422"/>
          <cell r="G422"/>
          <cell r="H422"/>
          <cell r="I422"/>
          <cell r="J422"/>
          <cell r="K422"/>
          <cell r="L422"/>
          <cell r="M422"/>
          <cell r="N422"/>
          <cell r="O422"/>
          <cell r="P422"/>
          <cell r="Q422"/>
          <cell r="R422"/>
          <cell r="S422"/>
          <cell r="T422"/>
          <cell r="U422"/>
        </row>
        <row r="423">
          <cell r="A423"/>
          <cell r="B423"/>
          <cell r="C423"/>
          <cell r="D423"/>
          <cell r="E423"/>
          <cell r="F423"/>
          <cell r="G423"/>
          <cell r="H423"/>
          <cell r="I423"/>
          <cell r="J423"/>
          <cell r="K423"/>
          <cell r="L423"/>
          <cell r="M423"/>
          <cell r="N423"/>
          <cell r="O423"/>
          <cell r="P423"/>
          <cell r="Q423"/>
          <cell r="R423"/>
          <cell r="S423"/>
          <cell r="T423"/>
          <cell r="U423"/>
        </row>
        <row r="424">
          <cell r="A424"/>
          <cell r="B424"/>
          <cell r="C424"/>
          <cell r="D424"/>
          <cell r="E424"/>
          <cell r="F424"/>
          <cell r="G424"/>
          <cell r="H424"/>
          <cell r="I424"/>
          <cell r="J424"/>
          <cell r="K424"/>
          <cell r="L424"/>
          <cell r="M424"/>
          <cell r="N424"/>
          <cell r="O424"/>
          <cell r="P424"/>
          <cell r="Q424"/>
          <cell r="R424"/>
          <cell r="S424"/>
          <cell r="T424"/>
          <cell r="U424"/>
        </row>
        <row r="425">
          <cell r="A425"/>
          <cell r="B425"/>
          <cell r="C425"/>
          <cell r="D425"/>
          <cell r="E425"/>
          <cell r="F425"/>
          <cell r="G425"/>
          <cell r="H425"/>
          <cell r="I425"/>
          <cell r="J425"/>
          <cell r="K425"/>
          <cell r="L425"/>
          <cell r="M425"/>
          <cell r="N425"/>
          <cell r="O425"/>
          <cell r="P425"/>
          <cell r="Q425"/>
          <cell r="R425"/>
          <cell r="S425"/>
          <cell r="T425"/>
          <cell r="U425"/>
        </row>
        <row r="426">
          <cell r="A426"/>
          <cell r="B426"/>
          <cell r="C426"/>
          <cell r="D426"/>
          <cell r="E426"/>
          <cell r="F426"/>
          <cell r="G426"/>
          <cell r="H426"/>
          <cell r="I426"/>
          <cell r="J426"/>
          <cell r="K426"/>
          <cell r="L426"/>
          <cell r="M426"/>
          <cell r="N426"/>
          <cell r="O426"/>
          <cell r="P426"/>
          <cell r="Q426"/>
          <cell r="R426"/>
          <cell r="S426"/>
          <cell r="T426"/>
          <cell r="U426"/>
        </row>
        <row r="427">
          <cell r="A427"/>
          <cell r="B427"/>
          <cell r="C427"/>
          <cell r="D427"/>
          <cell r="E427"/>
          <cell r="F427"/>
          <cell r="G427"/>
          <cell r="H427"/>
          <cell r="I427"/>
          <cell r="J427"/>
          <cell r="K427"/>
          <cell r="L427"/>
          <cell r="M427"/>
          <cell r="N427"/>
          <cell r="O427"/>
          <cell r="P427"/>
          <cell r="Q427"/>
          <cell r="R427"/>
          <cell r="S427"/>
          <cell r="T427"/>
          <cell r="U427"/>
        </row>
        <row r="428">
          <cell r="A428"/>
          <cell r="B428"/>
          <cell r="C428"/>
          <cell r="D428"/>
          <cell r="E428"/>
          <cell r="F428"/>
          <cell r="G428"/>
          <cell r="H428"/>
          <cell r="I428"/>
          <cell r="J428"/>
          <cell r="K428"/>
          <cell r="L428"/>
          <cell r="M428"/>
          <cell r="N428"/>
          <cell r="O428"/>
          <cell r="P428"/>
          <cell r="Q428"/>
          <cell r="R428"/>
          <cell r="S428"/>
          <cell r="T428"/>
          <cell r="U428"/>
        </row>
        <row r="429">
          <cell r="A429"/>
          <cell r="B429"/>
          <cell r="C429"/>
          <cell r="D429"/>
          <cell r="E429"/>
          <cell r="F429"/>
          <cell r="G429"/>
          <cell r="H429"/>
          <cell r="I429"/>
          <cell r="J429"/>
          <cell r="K429"/>
          <cell r="L429"/>
          <cell r="M429"/>
          <cell r="N429"/>
          <cell r="O429"/>
          <cell r="P429"/>
          <cell r="Q429"/>
          <cell r="R429"/>
          <cell r="S429"/>
          <cell r="T429"/>
          <cell r="U429"/>
        </row>
        <row r="430">
          <cell r="A430"/>
          <cell r="B430"/>
          <cell r="C430"/>
          <cell r="D430"/>
          <cell r="E430"/>
          <cell r="F430"/>
          <cell r="G430"/>
          <cell r="H430"/>
          <cell r="I430"/>
          <cell r="J430"/>
          <cell r="K430"/>
          <cell r="L430"/>
          <cell r="M430"/>
          <cell r="N430"/>
          <cell r="O430"/>
          <cell r="P430"/>
          <cell r="Q430"/>
          <cell r="R430"/>
          <cell r="S430"/>
          <cell r="T430"/>
          <cell r="U430"/>
        </row>
        <row r="431">
          <cell r="A431"/>
          <cell r="B431"/>
          <cell r="C431"/>
          <cell r="D431"/>
          <cell r="E431"/>
          <cell r="F431"/>
          <cell r="G431"/>
          <cell r="H431"/>
          <cell r="I431"/>
          <cell r="J431"/>
          <cell r="K431"/>
          <cell r="L431"/>
          <cell r="M431"/>
          <cell r="N431"/>
          <cell r="O431"/>
          <cell r="P431"/>
          <cell r="Q431"/>
          <cell r="R431"/>
          <cell r="S431"/>
          <cell r="T431"/>
          <cell r="U431"/>
        </row>
        <row r="432">
          <cell r="A432"/>
          <cell r="B432"/>
          <cell r="C432"/>
          <cell r="D432"/>
          <cell r="E432"/>
          <cell r="F432"/>
          <cell r="G432"/>
          <cell r="H432"/>
          <cell r="I432"/>
          <cell r="J432"/>
          <cell r="K432"/>
          <cell r="L432"/>
          <cell r="M432"/>
          <cell r="N432"/>
          <cell r="O432"/>
          <cell r="P432"/>
          <cell r="Q432"/>
          <cell r="R432"/>
          <cell r="S432"/>
          <cell r="T432"/>
          <cell r="U432"/>
        </row>
        <row r="433">
          <cell r="A433"/>
          <cell r="B433"/>
          <cell r="C433"/>
          <cell r="D433"/>
          <cell r="E433"/>
          <cell r="F433"/>
          <cell r="G433"/>
          <cell r="H433"/>
          <cell r="I433"/>
          <cell r="J433"/>
          <cell r="K433"/>
          <cell r="L433"/>
          <cell r="M433"/>
          <cell r="N433"/>
          <cell r="O433"/>
          <cell r="P433"/>
          <cell r="Q433"/>
          <cell r="R433"/>
          <cell r="S433"/>
          <cell r="T433"/>
          <cell r="U433"/>
        </row>
        <row r="434">
          <cell r="A434"/>
          <cell r="B434"/>
          <cell r="C434"/>
          <cell r="D434"/>
          <cell r="E434"/>
          <cell r="F434"/>
          <cell r="G434"/>
          <cell r="H434"/>
          <cell r="I434"/>
          <cell r="J434"/>
          <cell r="K434"/>
          <cell r="L434"/>
          <cell r="M434"/>
          <cell r="N434"/>
          <cell r="O434"/>
          <cell r="P434"/>
          <cell r="Q434"/>
          <cell r="R434"/>
          <cell r="S434"/>
          <cell r="T434"/>
          <cell r="U434"/>
        </row>
        <row r="435">
          <cell r="A435"/>
          <cell r="B435"/>
          <cell r="C435"/>
          <cell r="D435"/>
          <cell r="E435"/>
          <cell r="F435"/>
          <cell r="G435"/>
          <cell r="H435"/>
          <cell r="I435"/>
          <cell r="J435"/>
          <cell r="K435"/>
          <cell r="L435"/>
          <cell r="M435"/>
          <cell r="N435"/>
          <cell r="O435"/>
          <cell r="P435"/>
          <cell r="Q435"/>
          <cell r="R435"/>
          <cell r="S435"/>
          <cell r="T435"/>
          <cell r="U435"/>
        </row>
        <row r="436">
          <cell r="A436"/>
          <cell r="B436"/>
          <cell r="C436"/>
          <cell r="D436"/>
          <cell r="E436"/>
          <cell r="F436"/>
          <cell r="G436"/>
          <cell r="H436"/>
          <cell r="I436"/>
          <cell r="J436"/>
          <cell r="K436"/>
          <cell r="L436"/>
          <cell r="M436"/>
          <cell r="N436"/>
          <cell r="O436"/>
          <cell r="P436"/>
          <cell r="Q436"/>
          <cell r="R436"/>
          <cell r="S436"/>
          <cell r="T436"/>
          <cell r="U436"/>
        </row>
        <row r="437">
          <cell r="A437"/>
          <cell r="B437"/>
          <cell r="C437"/>
          <cell r="D437"/>
          <cell r="E437"/>
          <cell r="F437"/>
          <cell r="G437"/>
          <cell r="H437"/>
          <cell r="I437"/>
          <cell r="J437"/>
          <cell r="K437"/>
          <cell r="L437"/>
          <cell r="M437"/>
          <cell r="N437"/>
          <cell r="O437"/>
          <cell r="P437"/>
          <cell r="Q437"/>
          <cell r="R437"/>
          <cell r="S437"/>
          <cell r="T437"/>
          <cell r="U437"/>
        </row>
        <row r="438">
          <cell r="A438"/>
          <cell r="B438"/>
          <cell r="C438"/>
          <cell r="D438"/>
          <cell r="E438"/>
          <cell r="F438"/>
          <cell r="G438"/>
          <cell r="H438"/>
          <cell r="I438"/>
          <cell r="J438"/>
          <cell r="K438"/>
          <cell r="L438"/>
          <cell r="M438"/>
          <cell r="N438"/>
          <cell r="O438"/>
          <cell r="P438"/>
          <cell r="Q438"/>
          <cell r="R438"/>
          <cell r="S438"/>
          <cell r="T438"/>
          <cell r="U438"/>
        </row>
        <row r="439">
          <cell r="A439"/>
          <cell r="B439"/>
          <cell r="C439"/>
          <cell r="D439"/>
          <cell r="E439"/>
          <cell r="F439"/>
          <cell r="G439"/>
          <cell r="H439"/>
          <cell r="I439"/>
          <cell r="J439"/>
          <cell r="K439"/>
          <cell r="L439"/>
          <cell r="M439"/>
          <cell r="N439"/>
          <cell r="O439"/>
          <cell r="P439"/>
          <cell r="Q439"/>
          <cell r="R439"/>
          <cell r="S439"/>
          <cell r="T439"/>
          <cell r="U439"/>
        </row>
        <row r="440">
          <cell r="A440"/>
          <cell r="B440"/>
          <cell r="C440"/>
          <cell r="D440"/>
          <cell r="E440"/>
          <cell r="F440"/>
          <cell r="G440"/>
          <cell r="H440"/>
          <cell r="I440"/>
          <cell r="J440"/>
          <cell r="K440"/>
          <cell r="L440"/>
          <cell r="M440"/>
          <cell r="N440"/>
          <cell r="O440"/>
          <cell r="P440"/>
          <cell r="Q440"/>
          <cell r="R440"/>
          <cell r="S440"/>
          <cell r="T440"/>
          <cell r="U440"/>
        </row>
        <row r="441">
          <cell r="A441"/>
          <cell r="B441"/>
          <cell r="C441"/>
          <cell r="D441"/>
          <cell r="E441"/>
          <cell r="F441"/>
          <cell r="G441"/>
          <cell r="H441"/>
          <cell r="I441"/>
          <cell r="J441"/>
          <cell r="K441"/>
          <cell r="L441"/>
          <cell r="M441"/>
          <cell r="N441"/>
          <cell r="O441"/>
          <cell r="P441"/>
          <cell r="Q441"/>
          <cell r="R441"/>
          <cell r="S441"/>
          <cell r="T441"/>
          <cell r="U441"/>
        </row>
        <row r="442">
          <cell r="A442"/>
          <cell r="B442"/>
          <cell r="C442"/>
          <cell r="D442"/>
          <cell r="E442"/>
          <cell r="F442"/>
          <cell r="G442"/>
          <cell r="H442"/>
          <cell r="I442"/>
          <cell r="J442"/>
          <cell r="K442"/>
          <cell r="L442"/>
          <cell r="M442"/>
          <cell r="N442"/>
          <cell r="O442"/>
          <cell r="P442"/>
          <cell r="Q442"/>
          <cell r="R442"/>
          <cell r="S442"/>
          <cell r="T442"/>
          <cell r="U442"/>
        </row>
        <row r="443">
          <cell r="A443"/>
          <cell r="B443"/>
          <cell r="C443"/>
          <cell r="D443"/>
          <cell r="E443"/>
          <cell r="F443"/>
          <cell r="G443"/>
          <cell r="H443"/>
          <cell r="I443"/>
          <cell r="J443"/>
          <cell r="K443"/>
          <cell r="L443"/>
          <cell r="M443"/>
          <cell r="N443"/>
          <cell r="O443"/>
          <cell r="P443"/>
          <cell r="Q443"/>
          <cell r="R443"/>
          <cell r="S443"/>
          <cell r="T443"/>
          <cell r="U443"/>
        </row>
        <row r="444">
          <cell r="A444"/>
          <cell r="B444"/>
          <cell r="C444"/>
          <cell r="D444"/>
          <cell r="E444"/>
          <cell r="F444"/>
          <cell r="G444"/>
          <cell r="H444"/>
          <cell r="I444"/>
          <cell r="J444"/>
          <cell r="K444"/>
          <cell r="L444"/>
          <cell r="M444"/>
          <cell r="N444"/>
          <cell r="O444"/>
          <cell r="P444"/>
          <cell r="Q444"/>
          <cell r="R444"/>
          <cell r="S444"/>
          <cell r="T444"/>
          <cell r="U444"/>
        </row>
        <row r="445">
          <cell r="A445"/>
          <cell r="B445"/>
          <cell r="C445"/>
          <cell r="D445"/>
          <cell r="E445"/>
          <cell r="F445"/>
          <cell r="G445"/>
          <cell r="H445"/>
          <cell r="I445"/>
          <cell r="J445"/>
          <cell r="K445"/>
          <cell r="L445"/>
          <cell r="M445"/>
          <cell r="N445"/>
          <cell r="O445"/>
          <cell r="P445"/>
          <cell r="Q445"/>
          <cell r="R445"/>
          <cell r="S445"/>
          <cell r="T445"/>
          <cell r="U445"/>
        </row>
        <row r="446">
          <cell r="A446"/>
          <cell r="B446"/>
          <cell r="C446"/>
          <cell r="D446"/>
          <cell r="E446"/>
          <cell r="F446"/>
          <cell r="G446"/>
          <cell r="H446"/>
          <cell r="I446"/>
          <cell r="J446"/>
          <cell r="K446"/>
          <cell r="L446"/>
          <cell r="M446"/>
          <cell r="N446"/>
          <cell r="O446"/>
          <cell r="P446"/>
          <cell r="Q446"/>
          <cell r="R446"/>
          <cell r="S446"/>
          <cell r="T446"/>
          <cell r="U446"/>
        </row>
        <row r="447">
          <cell r="A447"/>
          <cell r="B447"/>
          <cell r="C447"/>
          <cell r="D447"/>
          <cell r="E447"/>
          <cell r="F447"/>
          <cell r="G447"/>
          <cell r="H447"/>
          <cell r="I447"/>
          <cell r="J447"/>
          <cell r="K447"/>
          <cell r="L447"/>
          <cell r="M447"/>
          <cell r="N447"/>
          <cell r="O447"/>
          <cell r="P447"/>
          <cell r="Q447"/>
          <cell r="R447"/>
          <cell r="S447"/>
          <cell r="T447"/>
          <cell r="U447"/>
        </row>
        <row r="448">
          <cell r="A448"/>
          <cell r="B448"/>
          <cell r="C448"/>
          <cell r="D448"/>
          <cell r="E448"/>
          <cell r="F448"/>
          <cell r="G448"/>
          <cell r="H448"/>
          <cell r="I448"/>
          <cell r="J448"/>
          <cell r="K448"/>
          <cell r="L448"/>
          <cell r="M448"/>
          <cell r="N448"/>
          <cell r="O448"/>
          <cell r="P448"/>
          <cell r="Q448"/>
          <cell r="R448"/>
          <cell r="S448"/>
          <cell r="T448"/>
          <cell r="U448"/>
        </row>
        <row r="449">
          <cell r="A449"/>
          <cell r="B449"/>
          <cell r="C449"/>
          <cell r="D449"/>
          <cell r="E449"/>
          <cell r="F449"/>
          <cell r="G449"/>
          <cell r="H449"/>
          <cell r="I449"/>
          <cell r="J449"/>
          <cell r="K449"/>
          <cell r="L449"/>
          <cell r="M449"/>
          <cell r="N449"/>
          <cell r="O449"/>
          <cell r="P449"/>
          <cell r="Q449"/>
          <cell r="R449"/>
          <cell r="S449"/>
          <cell r="T449"/>
          <cell r="U449"/>
        </row>
        <row r="450">
          <cell r="A450"/>
          <cell r="B450"/>
          <cell r="C450"/>
          <cell r="D450"/>
          <cell r="E450"/>
          <cell r="F450"/>
          <cell r="G450"/>
          <cell r="H450"/>
          <cell r="I450"/>
          <cell r="J450"/>
          <cell r="K450"/>
          <cell r="L450"/>
          <cell r="M450"/>
          <cell r="N450"/>
          <cell r="O450"/>
          <cell r="P450"/>
          <cell r="Q450"/>
          <cell r="R450"/>
          <cell r="S450"/>
          <cell r="T450"/>
          <cell r="U450"/>
        </row>
        <row r="451">
          <cell r="A451"/>
          <cell r="B451"/>
          <cell r="C451"/>
          <cell r="D451"/>
          <cell r="E451"/>
          <cell r="F451"/>
          <cell r="G451"/>
          <cell r="H451"/>
          <cell r="I451"/>
          <cell r="J451"/>
          <cell r="K451"/>
          <cell r="L451"/>
          <cell r="M451"/>
          <cell r="N451"/>
          <cell r="O451"/>
          <cell r="P451"/>
          <cell r="Q451"/>
          <cell r="R451"/>
          <cell r="S451"/>
          <cell r="T451"/>
          <cell r="U451"/>
        </row>
        <row r="452">
          <cell r="A452"/>
          <cell r="B452"/>
          <cell r="C452"/>
          <cell r="D452"/>
          <cell r="E452"/>
          <cell r="F452"/>
          <cell r="G452"/>
          <cell r="H452"/>
          <cell r="I452"/>
          <cell r="J452"/>
          <cell r="K452"/>
          <cell r="L452"/>
          <cell r="M452"/>
          <cell r="N452"/>
          <cell r="O452"/>
          <cell r="P452"/>
          <cell r="Q452"/>
          <cell r="R452"/>
          <cell r="S452"/>
          <cell r="T452"/>
          <cell r="U452"/>
        </row>
        <row r="453">
          <cell r="A453"/>
          <cell r="B453"/>
          <cell r="C453"/>
          <cell r="D453"/>
          <cell r="E453"/>
          <cell r="F453"/>
          <cell r="G453"/>
          <cell r="H453"/>
          <cell r="I453"/>
          <cell r="J453"/>
          <cell r="K453"/>
          <cell r="L453"/>
          <cell r="M453"/>
          <cell r="N453"/>
          <cell r="O453"/>
          <cell r="P453"/>
          <cell r="Q453"/>
          <cell r="R453"/>
          <cell r="S453"/>
          <cell r="T453"/>
          <cell r="U453"/>
        </row>
        <row r="454">
          <cell r="A454"/>
          <cell r="B454"/>
          <cell r="C454"/>
          <cell r="D454"/>
          <cell r="E454"/>
          <cell r="F454"/>
          <cell r="G454"/>
          <cell r="H454"/>
          <cell r="I454"/>
          <cell r="J454"/>
          <cell r="K454"/>
          <cell r="L454"/>
          <cell r="M454"/>
          <cell r="N454"/>
          <cell r="O454"/>
          <cell r="P454"/>
          <cell r="Q454"/>
          <cell r="R454"/>
          <cell r="S454"/>
          <cell r="T454"/>
          <cell r="U454"/>
        </row>
        <row r="455">
          <cell r="A455"/>
          <cell r="B455"/>
          <cell r="C455"/>
          <cell r="D455"/>
          <cell r="E455"/>
          <cell r="F455"/>
          <cell r="G455"/>
          <cell r="H455"/>
          <cell r="I455"/>
          <cell r="J455"/>
          <cell r="K455"/>
          <cell r="L455"/>
          <cell r="M455"/>
          <cell r="N455"/>
          <cell r="O455"/>
          <cell r="P455"/>
          <cell r="Q455"/>
          <cell r="R455"/>
          <cell r="S455"/>
          <cell r="T455"/>
          <cell r="U455"/>
        </row>
        <row r="456">
          <cell r="A456"/>
          <cell r="B456"/>
          <cell r="C456"/>
          <cell r="D456"/>
          <cell r="E456"/>
          <cell r="F456"/>
          <cell r="G456"/>
          <cell r="H456"/>
          <cell r="I456"/>
          <cell r="J456"/>
          <cell r="K456"/>
          <cell r="L456"/>
          <cell r="M456"/>
          <cell r="N456"/>
          <cell r="O456"/>
          <cell r="P456"/>
          <cell r="Q456"/>
          <cell r="R456"/>
          <cell r="S456"/>
          <cell r="T456"/>
          <cell r="U456"/>
        </row>
        <row r="457">
          <cell r="A457"/>
          <cell r="B457"/>
          <cell r="C457"/>
          <cell r="D457"/>
          <cell r="E457"/>
          <cell r="F457"/>
          <cell r="G457"/>
          <cell r="H457"/>
          <cell r="I457"/>
          <cell r="J457"/>
          <cell r="K457"/>
          <cell r="L457"/>
          <cell r="M457"/>
          <cell r="N457"/>
          <cell r="O457"/>
          <cell r="P457"/>
          <cell r="Q457"/>
          <cell r="R457"/>
          <cell r="S457"/>
          <cell r="T457"/>
          <cell r="U457"/>
        </row>
        <row r="458">
          <cell r="A458"/>
          <cell r="B458"/>
          <cell r="C458"/>
          <cell r="D458"/>
          <cell r="E458"/>
          <cell r="F458"/>
          <cell r="G458"/>
          <cell r="H458"/>
          <cell r="I458"/>
          <cell r="J458"/>
          <cell r="K458"/>
          <cell r="L458"/>
          <cell r="M458"/>
          <cell r="N458"/>
          <cell r="O458"/>
          <cell r="P458"/>
          <cell r="Q458"/>
          <cell r="R458"/>
          <cell r="S458"/>
          <cell r="T458"/>
          <cell r="U458"/>
        </row>
        <row r="459">
          <cell r="A459"/>
          <cell r="B459"/>
          <cell r="C459"/>
          <cell r="D459"/>
          <cell r="E459"/>
          <cell r="F459"/>
          <cell r="G459"/>
          <cell r="H459"/>
          <cell r="I459"/>
          <cell r="J459"/>
          <cell r="K459"/>
          <cell r="L459"/>
          <cell r="M459"/>
          <cell r="N459"/>
          <cell r="O459"/>
          <cell r="P459"/>
          <cell r="Q459"/>
          <cell r="R459"/>
          <cell r="S459"/>
          <cell r="T459"/>
          <cell r="U459"/>
        </row>
        <row r="460">
          <cell r="A460"/>
          <cell r="B460"/>
          <cell r="C460"/>
          <cell r="D460"/>
          <cell r="E460"/>
          <cell r="F460"/>
          <cell r="G460"/>
          <cell r="H460"/>
          <cell r="I460"/>
          <cell r="J460"/>
          <cell r="K460"/>
          <cell r="L460"/>
          <cell r="M460"/>
          <cell r="N460"/>
          <cell r="O460"/>
          <cell r="P460"/>
          <cell r="Q460"/>
          <cell r="R460"/>
          <cell r="S460"/>
          <cell r="T460"/>
          <cell r="U460"/>
        </row>
        <row r="461">
          <cell r="A461"/>
          <cell r="B461"/>
          <cell r="C461"/>
          <cell r="D461"/>
          <cell r="E461"/>
          <cell r="F461"/>
          <cell r="G461"/>
          <cell r="H461"/>
          <cell r="I461"/>
          <cell r="J461"/>
          <cell r="K461"/>
          <cell r="L461"/>
          <cell r="M461"/>
          <cell r="N461"/>
          <cell r="O461"/>
          <cell r="P461"/>
          <cell r="Q461"/>
          <cell r="R461"/>
          <cell r="S461"/>
          <cell r="T461"/>
          <cell r="U461"/>
        </row>
        <row r="462">
          <cell r="A462"/>
          <cell r="B462"/>
          <cell r="C462"/>
          <cell r="D462"/>
          <cell r="E462"/>
          <cell r="F462"/>
          <cell r="G462"/>
          <cell r="H462"/>
          <cell r="I462"/>
          <cell r="J462"/>
          <cell r="K462"/>
          <cell r="L462"/>
          <cell r="M462"/>
          <cell r="N462"/>
          <cell r="O462"/>
          <cell r="P462"/>
          <cell r="Q462"/>
          <cell r="R462"/>
          <cell r="S462"/>
          <cell r="T462"/>
          <cell r="U462"/>
        </row>
        <row r="463">
          <cell r="A463"/>
          <cell r="B463"/>
          <cell r="C463"/>
          <cell r="D463"/>
          <cell r="E463"/>
          <cell r="F463"/>
          <cell r="G463"/>
          <cell r="H463"/>
          <cell r="I463"/>
          <cell r="J463"/>
          <cell r="K463"/>
          <cell r="L463"/>
          <cell r="M463"/>
          <cell r="N463"/>
          <cell r="O463"/>
          <cell r="P463"/>
          <cell r="Q463"/>
          <cell r="R463"/>
          <cell r="S463"/>
          <cell r="T463"/>
          <cell r="U463"/>
        </row>
        <row r="464">
          <cell r="A464"/>
          <cell r="B464"/>
          <cell r="C464"/>
          <cell r="D464"/>
          <cell r="E464"/>
          <cell r="F464"/>
          <cell r="G464"/>
          <cell r="H464"/>
          <cell r="I464"/>
          <cell r="J464"/>
          <cell r="K464"/>
          <cell r="L464"/>
          <cell r="M464"/>
          <cell r="N464"/>
          <cell r="O464"/>
          <cell r="P464"/>
          <cell r="Q464"/>
          <cell r="R464"/>
          <cell r="S464"/>
          <cell r="T464"/>
          <cell r="U464"/>
        </row>
        <row r="465">
          <cell r="A465"/>
          <cell r="B465"/>
          <cell r="C465"/>
          <cell r="D465"/>
          <cell r="E465"/>
          <cell r="F465"/>
          <cell r="G465"/>
          <cell r="H465"/>
          <cell r="I465"/>
          <cell r="J465"/>
          <cell r="K465"/>
          <cell r="L465"/>
          <cell r="M465"/>
          <cell r="N465"/>
          <cell r="O465"/>
          <cell r="P465"/>
          <cell r="Q465"/>
          <cell r="R465"/>
          <cell r="S465"/>
          <cell r="T465"/>
          <cell r="U465"/>
        </row>
        <row r="466">
          <cell r="A466"/>
          <cell r="B466"/>
          <cell r="C466"/>
          <cell r="D466"/>
          <cell r="E466"/>
          <cell r="F466"/>
          <cell r="G466"/>
          <cell r="H466"/>
          <cell r="I466"/>
          <cell r="J466"/>
          <cell r="K466"/>
          <cell r="L466"/>
          <cell r="M466"/>
          <cell r="N466"/>
          <cell r="O466"/>
          <cell r="P466"/>
          <cell r="Q466"/>
          <cell r="R466"/>
          <cell r="S466"/>
          <cell r="T466"/>
          <cell r="U466"/>
        </row>
        <row r="467">
          <cell r="A467"/>
          <cell r="B467"/>
          <cell r="C467"/>
          <cell r="D467"/>
          <cell r="E467"/>
          <cell r="F467"/>
          <cell r="G467"/>
          <cell r="H467"/>
          <cell r="I467"/>
          <cell r="J467"/>
          <cell r="K467"/>
          <cell r="L467"/>
          <cell r="M467"/>
          <cell r="N467"/>
          <cell r="O467"/>
          <cell r="P467"/>
          <cell r="Q467"/>
          <cell r="R467"/>
          <cell r="S467"/>
          <cell r="T467"/>
          <cell r="U467"/>
        </row>
        <row r="468">
          <cell r="A468"/>
          <cell r="B468"/>
          <cell r="C468"/>
          <cell r="D468"/>
          <cell r="E468"/>
          <cell r="F468"/>
          <cell r="G468"/>
          <cell r="H468"/>
          <cell r="I468"/>
          <cell r="J468"/>
          <cell r="K468"/>
          <cell r="L468"/>
          <cell r="M468"/>
          <cell r="N468"/>
          <cell r="O468"/>
          <cell r="P468"/>
          <cell r="Q468"/>
          <cell r="R468"/>
          <cell r="S468"/>
          <cell r="T468"/>
          <cell r="U468"/>
        </row>
        <row r="469">
          <cell r="A469"/>
          <cell r="B469"/>
          <cell r="C469"/>
          <cell r="D469"/>
          <cell r="E469"/>
          <cell r="F469"/>
          <cell r="G469"/>
          <cell r="H469"/>
          <cell r="I469"/>
          <cell r="J469"/>
          <cell r="K469"/>
          <cell r="L469"/>
          <cell r="M469"/>
          <cell r="N469"/>
          <cell r="O469"/>
          <cell r="P469"/>
          <cell r="Q469"/>
          <cell r="R469"/>
          <cell r="S469"/>
          <cell r="T469"/>
          <cell r="U469"/>
        </row>
        <row r="470">
          <cell r="A470"/>
          <cell r="B470"/>
          <cell r="C470"/>
          <cell r="D470"/>
          <cell r="E470"/>
          <cell r="F470"/>
          <cell r="G470"/>
          <cell r="H470"/>
          <cell r="I470"/>
          <cell r="J470"/>
          <cell r="K470"/>
          <cell r="L470"/>
          <cell r="M470"/>
          <cell r="N470"/>
          <cell r="O470"/>
          <cell r="P470"/>
          <cell r="Q470"/>
          <cell r="R470"/>
          <cell r="S470"/>
          <cell r="T470"/>
          <cell r="U470"/>
        </row>
        <row r="471">
          <cell r="A471"/>
          <cell r="B471"/>
          <cell r="C471"/>
          <cell r="D471"/>
          <cell r="E471"/>
          <cell r="F471"/>
          <cell r="G471"/>
          <cell r="H471"/>
          <cell r="I471"/>
          <cell r="J471"/>
          <cell r="K471"/>
          <cell r="L471"/>
          <cell r="M471"/>
          <cell r="N471"/>
          <cell r="O471"/>
          <cell r="P471"/>
          <cell r="Q471"/>
          <cell r="R471"/>
          <cell r="S471"/>
          <cell r="T471"/>
          <cell r="U471"/>
        </row>
        <row r="472">
          <cell r="A472"/>
          <cell r="B472"/>
          <cell r="C472"/>
          <cell r="D472"/>
          <cell r="E472"/>
          <cell r="F472"/>
          <cell r="G472"/>
          <cell r="H472"/>
          <cell r="I472"/>
          <cell r="J472"/>
          <cell r="K472"/>
          <cell r="L472"/>
          <cell r="M472"/>
          <cell r="N472"/>
          <cell r="O472"/>
          <cell r="P472"/>
          <cell r="Q472"/>
          <cell r="R472"/>
          <cell r="S472"/>
          <cell r="T472"/>
          <cell r="U472"/>
        </row>
        <row r="473">
          <cell r="A473"/>
          <cell r="B473"/>
          <cell r="C473"/>
          <cell r="D473"/>
          <cell r="E473"/>
          <cell r="F473"/>
          <cell r="G473"/>
          <cell r="H473"/>
          <cell r="I473"/>
          <cell r="J473"/>
          <cell r="K473"/>
          <cell r="L473"/>
          <cell r="M473"/>
          <cell r="N473"/>
          <cell r="O473"/>
          <cell r="P473"/>
          <cell r="Q473"/>
          <cell r="R473"/>
          <cell r="S473"/>
          <cell r="T473"/>
          <cell r="U473"/>
        </row>
        <row r="474">
          <cell r="A474"/>
          <cell r="B474"/>
          <cell r="C474"/>
          <cell r="D474"/>
          <cell r="E474"/>
          <cell r="F474"/>
          <cell r="G474"/>
          <cell r="H474"/>
          <cell r="I474"/>
          <cell r="J474"/>
          <cell r="K474"/>
          <cell r="L474"/>
          <cell r="M474"/>
          <cell r="N474"/>
          <cell r="O474"/>
          <cell r="P474"/>
          <cell r="Q474"/>
          <cell r="R474"/>
          <cell r="S474"/>
          <cell r="T474"/>
          <cell r="U474"/>
        </row>
        <row r="475">
          <cell r="A475"/>
          <cell r="B475"/>
          <cell r="C475"/>
          <cell r="D475"/>
          <cell r="E475"/>
          <cell r="F475"/>
          <cell r="G475"/>
          <cell r="H475"/>
          <cell r="I475"/>
          <cell r="J475"/>
          <cell r="K475"/>
          <cell r="L475"/>
          <cell r="M475"/>
          <cell r="N475"/>
          <cell r="O475"/>
          <cell r="P475"/>
          <cell r="Q475"/>
          <cell r="R475"/>
          <cell r="S475"/>
          <cell r="T475"/>
          <cell r="U475"/>
        </row>
        <row r="476">
          <cell r="A476"/>
          <cell r="B476"/>
          <cell r="C476"/>
          <cell r="D476"/>
          <cell r="E476"/>
          <cell r="F476"/>
          <cell r="G476"/>
          <cell r="H476"/>
          <cell r="I476"/>
          <cell r="J476"/>
          <cell r="K476"/>
          <cell r="L476"/>
          <cell r="M476"/>
          <cell r="N476"/>
          <cell r="O476"/>
          <cell r="P476"/>
          <cell r="Q476"/>
          <cell r="R476"/>
          <cell r="S476"/>
          <cell r="T476"/>
          <cell r="U476"/>
        </row>
        <row r="477">
          <cell r="A477"/>
          <cell r="B477"/>
          <cell r="C477"/>
          <cell r="D477"/>
          <cell r="E477"/>
          <cell r="F477"/>
          <cell r="G477"/>
          <cell r="H477"/>
          <cell r="I477"/>
          <cell r="J477"/>
          <cell r="K477"/>
          <cell r="L477"/>
          <cell r="M477"/>
          <cell r="N477"/>
          <cell r="O477"/>
          <cell r="P477"/>
          <cell r="Q477"/>
          <cell r="R477"/>
          <cell r="S477"/>
          <cell r="T477"/>
          <cell r="U477"/>
        </row>
        <row r="478">
          <cell r="A478"/>
          <cell r="B478"/>
          <cell r="C478"/>
          <cell r="D478"/>
          <cell r="E478"/>
          <cell r="F478"/>
          <cell r="G478"/>
          <cell r="H478"/>
          <cell r="I478"/>
          <cell r="J478"/>
          <cell r="K478"/>
          <cell r="L478"/>
          <cell r="M478"/>
          <cell r="N478"/>
          <cell r="O478"/>
          <cell r="P478"/>
          <cell r="Q478"/>
          <cell r="R478"/>
          <cell r="S478"/>
          <cell r="T478"/>
          <cell r="U478"/>
        </row>
        <row r="479">
          <cell r="A479"/>
          <cell r="B479"/>
          <cell r="C479"/>
          <cell r="D479"/>
          <cell r="E479"/>
          <cell r="F479"/>
          <cell r="G479"/>
          <cell r="H479"/>
          <cell r="I479"/>
          <cell r="J479"/>
          <cell r="K479"/>
          <cell r="L479"/>
          <cell r="M479"/>
          <cell r="N479"/>
          <cell r="O479"/>
          <cell r="P479"/>
          <cell r="Q479"/>
          <cell r="R479"/>
          <cell r="S479"/>
          <cell r="T479"/>
          <cell r="U479"/>
        </row>
        <row r="480">
          <cell r="A480"/>
          <cell r="B480"/>
          <cell r="C480"/>
          <cell r="D480"/>
          <cell r="E480"/>
          <cell r="F480"/>
          <cell r="G480"/>
          <cell r="H480"/>
          <cell r="I480"/>
          <cell r="J480"/>
          <cell r="K480"/>
          <cell r="L480"/>
          <cell r="M480"/>
          <cell r="N480"/>
          <cell r="O480"/>
          <cell r="P480"/>
          <cell r="Q480"/>
          <cell r="R480"/>
          <cell r="S480"/>
          <cell r="T480"/>
          <cell r="U480"/>
        </row>
        <row r="481">
          <cell r="A481"/>
          <cell r="B481"/>
          <cell r="C481"/>
          <cell r="D481"/>
          <cell r="E481"/>
          <cell r="F481"/>
          <cell r="G481"/>
          <cell r="H481"/>
          <cell r="I481"/>
          <cell r="J481"/>
          <cell r="K481"/>
          <cell r="L481"/>
          <cell r="M481"/>
          <cell r="N481"/>
          <cell r="O481"/>
          <cell r="P481"/>
          <cell r="Q481"/>
          <cell r="R481"/>
          <cell r="S481"/>
          <cell r="T481"/>
          <cell r="U481"/>
        </row>
        <row r="482">
          <cell r="A482"/>
          <cell r="B482"/>
          <cell r="C482"/>
          <cell r="D482"/>
          <cell r="E482"/>
          <cell r="F482"/>
          <cell r="G482"/>
          <cell r="H482"/>
          <cell r="I482"/>
          <cell r="J482"/>
          <cell r="K482"/>
          <cell r="L482"/>
          <cell r="M482"/>
          <cell r="N482"/>
          <cell r="O482"/>
          <cell r="P482"/>
          <cell r="Q482"/>
          <cell r="R482"/>
          <cell r="S482"/>
          <cell r="T482"/>
          <cell r="U482"/>
        </row>
        <row r="483">
          <cell r="A483"/>
          <cell r="B483"/>
          <cell r="C483"/>
          <cell r="D483"/>
          <cell r="E483"/>
          <cell r="F483"/>
          <cell r="G483"/>
          <cell r="H483"/>
          <cell r="I483"/>
          <cell r="J483"/>
          <cell r="K483"/>
          <cell r="L483"/>
          <cell r="M483"/>
          <cell r="N483"/>
          <cell r="O483"/>
          <cell r="P483"/>
          <cell r="Q483"/>
          <cell r="R483"/>
          <cell r="S483"/>
          <cell r="T483"/>
          <cell r="U483"/>
        </row>
        <row r="484">
          <cell r="A484"/>
          <cell r="B484"/>
          <cell r="C484"/>
          <cell r="D484"/>
          <cell r="E484"/>
          <cell r="F484"/>
          <cell r="G484"/>
          <cell r="H484"/>
          <cell r="I484"/>
          <cell r="J484"/>
          <cell r="K484"/>
          <cell r="L484"/>
          <cell r="M484"/>
          <cell r="N484"/>
          <cell r="O484"/>
          <cell r="P484"/>
          <cell r="Q484"/>
          <cell r="R484"/>
          <cell r="S484"/>
          <cell r="T484"/>
          <cell r="U484"/>
        </row>
        <row r="485">
          <cell r="A485"/>
          <cell r="B485"/>
          <cell r="C485"/>
          <cell r="D485"/>
          <cell r="E485"/>
          <cell r="F485"/>
          <cell r="G485"/>
          <cell r="H485"/>
          <cell r="I485"/>
          <cell r="J485"/>
          <cell r="K485"/>
          <cell r="L485"/>
          <cell r="M485"/>
          <cell r="N485"/>
          <cell r="O485"/>
          <cell r="P485"/>
          <cell r="Q485"/>
          <cell r="R485"/>
          <cell r="S485"/>
          <cell r="T485"/>
          <cell r="U485"/>
        </row>
        <row r="486">
          <cell r="A486"/>
          <cell r="B486"/>
          <cell r="C486"/>
          <cell r="D486"/>
          <cell r="E486"/>
          <cell r="F486"/>
          <cell r="G486"/>
          <cell r="H486"/>
          <cell r="I486"/>
          <cell r="J486"/>
          <cell r="K486"/>
          <cell r="L486"/>
          <cell r="M486"/>
          <cell r="N486"/>
          <cell r="O486"/>
          <cell r="P486"/>
          <cell r="Q486"/>
          <cell r="R486"/>
          <cell r="S486"/>
          <cell r="T486"/>
          <cell r="U486"/>
        </row>
        <row r="487">
          <cell r="A487"/>
          <cell r="B487"/>
          <cell r="C487"/>
          <cell r="D487"/>
          <cell r="E487"/>
          <cell r="F487"/>
          <cell r="G487"/>
          <cell r="H487"/>
          <cell r="I487"/>
          <cell r="J487"/>
          <cell r="K487"/>
          <cell r="L487"/>
          <cell r="M487"/>
          <cell r="N487"/>
          <cell r="O487"/>
          <cell r="P487"/>
          <cell r="Q487"/>
          <cell r="R487"/>
          <cell r="S487"/>
          <cell r="T487"/>
          <cell r="U487"/>
        </row>
        <row r="488">
          <cell r="A488"/>
          <cell r="B488"/>
          <cell r="C488"/>
          <cell r="D488"/>
          <cell r="E488"/>
          <cell r="F488"/>
          <cell r="G488"/>
          <cell r="H488"/>
          <cell r="I488"/>
          <cell r="J488"/>
          <cell r="K488"/>
          <cell r="L488"/>
          <cell r="M488"/>
          <cell r="N488"/>
          <cell r="O488"/>
          <cell r="P488"/>
          <cell r="Q488"/>
          <cell r="R488"/>
          <cell r="S488"/>
          <cell r="T488"/>
          <cell r="U488"/>
        </row>
        <row r="489">
          <cell r="A489"/>
          <cell r="B489"/>
          <cell r="C489"/>
          <cell r="D489"/>
          <cell r="E489"/>
          <cell r="F489"/>
          <cell r="G489"/>
          <cell r="H489"/>
          <cell r="I489"/>
          <cell r="J489"/>
          <cell r="K489"/>
          <cell r="L489"/>
          <cell r="M489"/>
          <cell r="N489"/>
          <cell r="O489"/>
          <cell r="P489"/>
          <cell r="Q489"/>
          <cell r="R489"/>
          <cell r="S489"/>
          <cell r="T489"/>
          <cell r="U489"/>
        </row>
        <row r="490">
          <cell r="A490"/>
          <cell r="B490"/>
          <cell r="C490"/>
          <cell r="D490"/>
          <cell r="E490"/>
          <cell r="F490"/>
          <cell r="G490"/>
          <cell r="H490"/>
          <cell r="I490"/>
          <cell r="J490"/>
          <cell r="K490"/>
          <cell r="L490"/>
          <cell r="M490"/>
          <cell r="N490"/>
          <cell r="O490"/>
          <cell r="P490"/>
          <cell r="Q490"/>
          <cell r="R490"/>
          <cell r="S490"/>
          <cell r="T490"/>
          <cell r="U490"/>
        </row>
        <row r="491">
          <cell r="A491"/>
          <cell r="B491"/>
          <cell r="C491"/>
          <cell r="D491"/>
          <cell r="E491"/>
          <cell r="F491"/>
          <cell r="G491"/>
          <cell r="H491"/>
          <cell r="I491"/>
          <cell r="J491"/>
          <cell r="K491"/>
          <cell r="L491"/>
          <cell r="M491"/>
          <cell r="N491"/>
          <cell r="O491"/>
          <cell r="P491"/>
          <cell r="Q491"/>
          <cell r="R491"/>
          <cell r="S491"/>
          <cell r="T491"/>
          <cell r="U491"/>
        </row>
        <row r="492">
          <cell r="A492"/>
          <cell r="B492"/>
          <cell r="C492"/>
          <cell r="D492"/>
          <cell r="E492"/>
          <cell r="F492"/>
          <cell r="G492"/>
          <cell r="H492"/>
          <cell r="I492"/>
          <cell r="J492"/>
          <cell r="K492"/>
          <cell r="L492"/>
          <cell r="M492"/>
          <cell r="N492"/>
          <cell r="O492"/>
          <cell r="P492"/>
          <cell r="Q492"/>
          <cell r="R492"/>
          <cell r="S492"/>
          <cell r="T492"/>
          <cell r="U492"/>
        </row>
        <row r="493">
          <cell r="A493"/>
          <cell r="B493"/>
          <cell r="C493"/>
          <cell r="D493"/>
          <cell r="E493"/>
          <cell r="F493"/>
          <cell r="G493"/>
          <cell r="H493"/>
          <cell r="I493"/>
          <cell r="J493"/>
          <cell r="K493"/>
          <cell r="L493"/>
          <cell r="M493"/>
          <cell r="N493"/>
          <cell r="O493"/>
          <cell r="P493"/>
          <cell r="Q493"/>
          <cell r="R493"/>
          <cell r="S493"/>
          <cell r="T493"/>
          <cell r="U493"/>
        </row>
        <row r="494">
          <cell r="A494"/>
          <cell r="B494"/>
          <cell r="C494"/>
          <cell r="D494"/>
          <cell r="E494"/>
          <cell r="F494"/>
          <cell r="G494"/>
          <cell r="H494"/>
          <cell r="I494"/>
          <cell r="J494"/>
          <cell r="K494"/>
          <cell r="L494"/>
          <cell r="M494"/>
          <cell r="N494"/>
          <cell r="O494"/>
          <cell r="P494"/>
          <cell r="Q494"/>
          <cell r="R494"/>
          <cell r="S494"/>
          <cell r="T494"/>
          <cell r="U494"/>
        </row>
        <row r="495">
          <cell r="A495"/>
          <cell r="B495"/>
          <cell r="C495"/>
          <cell r="D495"/>
          <cell r="E495"/>
          <cell r="F495"/>
          <cell r="G495"/>
          <cell r="H495"/>
          <cell r="I495"/>
          <cell r="J495"/>
          <cell r="K495"/>
          <cell r="L495"/>
          <cell r="M495"/>
          <cell r="N495"/>
          <cell r="O495"/>
          <cell r="P495"/>
          <cell r="Q495"/>
          <cell r="R495"/>
          <cell r="S495"/>
          <cell r="T495"/>
          <cell r="U495"/>
        </row>
        <row r="496">
          <cell r="A496"/>
          <cell r="B496"/>
          <cell r="C496"/>
          <cell r="D496"/>
          <cell r="E496"/>
          <cell r="F496"/>
          <cell r="G496"/>
          <cell r="H496"/>
          <cell r="I496"/>
          <cell r="J496"/>
          <cell r="K496"/>
          <cell r="L496"/>
          <cell r="M496"/>
          <cell r="N496"/>
          <cell r="O496"/>
          <cell r="P496"/>
          <cell r="Q496"/>
          <cell r="R496"/>
          <cell r="S496"/>
          <cell r="T496"/>
          <cell r="U496"/>
        </row>
        <row r="497">
          <cell r="A497"/>
          <cell r="B497"/>
          <cell r="C497"/>
          <cell r="D497"/>
          <cell r="E497"/>
          <cell r="F497"/>
          <cell r="G497"/>
          <cell r="H497"/>
          <cell r="I497"/>
          <cell r="J497"/>
          <cell r="K497"/>
          <cell r="L497"/>
          <cell r="M497"/>
          <cell r="N497"/>
          <cell r="O497"/>
          <cell r="P497"/>
          <cell r="Q497"/>
          <cell r="R497"/>
          <cell r="S497"/>
          <cell r="T497"/>
          <cell r="U497"/>
        </row>
        <row r="498">
          <cell r="A498"/>
          <cell r="B498"/>
          <cell r="C498"/>
          <cell r="D498"/>
          <cell r="E498"/>
          <cell r="F498"/>
          <cell r="G498"/>
          <cell r="H498"/>
          <cell r="I498"/>
          <cell r="J498"/>
          <cell r="K498"/>
          <cell r="L498"/>
          <cell r="M498"/>
          <cell r="N498"/>
          <cell r="O498"/>
          <cell r="P498"/>
          <cell r="Q498"/>
          <cell r="R498"/>
          <cell r="S498"/>
          <cell r="T498"/>
          <cell r="U498"/>
        </row>
        <row r="499">
          <cell r="A499"/>
          <cell r="B499"/>
          <cell r="C499"/>
          <cell r="D499"/>
          <cell r="E499"/>
          <cell r="F499"/>
          <cell r="G499"/>
          <cell r="H499"/>
          <cell r="I499"/>
          <cell r="J499"/>
          <cell r="K499"/>
          <cell r="L499"/>
          <cell r="M499"/>
          <cell r="N499"/>
          <cell r="O499"/>
          <cell r="P499"/>
          <cell r="Q499"/>
          <cell r="R499"/>
          <cell r="S499"/>
          <cell r="T499"/>
          <cell r="U499"/>
        </row>
        <row r="500">
          <cell r="A500"/>
          <cell r="B500"/>
          <cell r="C500"/>
          <cell r="D500"/>
          <cell r="E500"/>
          <cell r="F500"/>
          <cell r="G500"/>
          <cell r="H500"/>
          <cell r="I500"/>
          <cell r="J500"/>
          <cell r="K500"/>
          <cell r="L500"/>
          <cell r="M500"/>
          <cell r="N500"/>
          <cell r="O500"/>
          <cell r="P500"/>
          <cell r="Q500"/>
          <cell r="R500"/>
          <cell r="S500"/>
          <cell r="T500"/>
          <cell r="U500"/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AQ500"/>
  <sheetViews>
    <sheetView tabSelected="1" zoomScale="85" workbookViewId="0">
      <pane xSplit="2" ySplit="5" topLeftCell="C6" activePane="bottomRight" state="frozen"/>
      <selection pane="topRight"/>
      <selection pane="bottomLeft"/>
      <selection pane="bottomRight" activeCell="A128" sqref="A128:XFD128"/>
    </sheetView>
  </sheetViews>
  <sheetFormatPr defaultRowHeight="15" x14ac:dyDescent="0.25"/>
  <cols>
    <col min="1" max="1" width="44.5703125" customWidth="1"/>
    <col min="2" max="2" width="3" customWidth="1"/>
    <col min="3" max="4" width="6" customWidth="1"/>
    <col min="5" max="6" width="7" customWidth="1"/>
    <col min="7" max="7" width="5" style="6" customWidth="1"/>
    <col min="8" max="8" width="5" customWidth="1"/>
    <col min="9" max="9" width="8.5703125" customWidth="1"/>
    <col min="10" max="10" width="1" customWidth="1"/>
    <col min="11" max="15" width="7" customWidth="1"/>
    <col min="16" max="16" width="6" customWidth="1"/>
    <col min="17" max="17" width="7" customWidth="1"/>
    <col min="18" max="18" width="5.85546875" style="18" customWidth="1"/>
    <col min="19" max="19" width="7" style="28" customWidth="1"/>
    <col min="20" max="20" width="7" customWidth="1"/>
    <col min="21" max="21" width="7" style="31" customWidth="1"/>
    <col min="22" max="22" width="7" style="32" customWidth="1"/>
    <col min="23" max="27" width="7" customWidth="1"/>
    <col min="28" max="28" width="4.42578125" style="18" customWidth="1"/>
    <col min="29" max="30" width="5" customWidth="1"/>
    <col min="31" max="38" width="6.7109375" customWidth="1"/>
    <col min="39" max="39" width="5.42578125" customWidth="1"/>
    <col min="40" max="41" width="7" customWidth="1"/>
    <col min="42" max="42" width="7.28515625" customWidth="1"/>
    <col min="43" max="43" width="5.140625" customWidth="1"/>
  </cols>
  <sheetData>
    <row r="1" spans="1:43" x14ac:dyDescent="0.25">
      <c r="A1" s="1"/>
      <c r="B1" s="1"/>
      <c r="C1" s="1"/>
      <c r="D1" s="1"/>
      <c r="E1" s="1"/>
      <c r="F1" s="1"/>
      <c r="G1" s="7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24"/>
      <c r="T1" s="1"/>
      <c r="U1" s="1"/>
      <c r="V1" s="24"/>
      <c r="W1" s="1"/>
      <c r="X1" s="1"/>
      <c r="Y1" s="20">
        <v>0.98</v>
      </c>
      <c r="Z1" s="20"/>
      <c r="AA1" s="20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</row>
    <row r="2" spans="1:43" x14ac:dyDescent="0.25">
      <c r="A2" s="1"/>
      <c r="B2" s="1"/>
      <c r="C2" s="1"/>
      <c r="D2" s="1"/>
      <c r="E2" s="1"/>
      <c r="F2" s="1"/>
      <c r="G2" s="7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24"/>
      <c r="T2" s="1"/>
      <c r="U2" s="1"/>
      <c r="V2" s="24"/>
      <c r="W2" s="1"/>
      <c r="X2" s="1"/>
      <c r="Y2" s="1" t="s">
        <v>0</v>
      </c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>
        <v>17000</v>
      </c>
      <c r="AO2" s="1"/>
    </row>
    <row r="3" spans="1:43" x14ac:dyDescent="0.25">
      <c r="A3" s="2" t="s">
        <v>1</v>
      </c>
      <c r="B3" s="2" t="s">
        <v>2</v>
      </c>
      <c r="C3" s="2" t="s">
        <v>3</v>
      </c>
      <c r="D3" s="2" t="s">
        <v>4</v>
      </c>
      <c r="E3" s="2" t="s">
        <v>5</v>
      </c>
      <c r="F3" s="2" t="s">
        <v>6</v>
      </c>
      <c r="G3" s="8" t="s">
        <v>7</v>
      </c>
      <c r="H3" s="2" t="s">
        <v>8</v>
      </c>
      <c r="I3" s="2" t="s">
        <v>9</v>
      </c>
      <c r="J3" s="2" t="s">
        <v>10</v>
      </c>
      <c r="K3" s="2" t="s">
        <v>11</v>
      </c>
      <c r="L3" s="2" t="s">
        <v>12</v>
      </c>
      <c r="M3" s="2" t="s">
        <v>13</v>
      </c>
      <c r="N3" s="2" t="s">
        <v>14</v>
      </c>
      <c r="O3" s="2" t="s">
        <v>15</v>
      </c>
      <c r="P3" s="2" t="s">
        <v>15</v>
      </c>
      <c r="Q3" s="2" t="s">
        <v>15</v>
      </c>
      <c r="R3" s="2" t="s">
        <v>15</v>
      </c>
      <c r="S3" s="25" t="s">
        <v>15</v>
      </c>
      <c r="T3" s="2" t="s">
        <v>15</v>
      </c>
      <c r="U3" s="2" t="s">
        <v>15</v>
      </c>
      <c r="V3" s="25" t="s">
        <v>15</v>
      </c>
      <c r="W3" s="2" t="s">
        <v>16</v>
      </c>
      <c r="X3" s="3" t="s">
        <v>17</v>
      </c>
      <c r="Y3" s="3" t="s">
        <v>18</v>
      </c>
      <c r="Z3" s="21" t="s">
        <v>19</v>
      </c>
      <c r="AA3" s="21" t="s">
        <v>19</v>
      </c>
      <c r="AB3" s="3" t="s">
        <v>20</v>
      </c>
      <c r="AC3" s="2" t="s">
        <v>21</v>
      </c>
      <c r="AD3" s="2" t="s">
        <v>22</v>
      </c>
      <c r="AE3" s="2" t="s">
        <v>23</v>
      </c>
      <c r="AF3" s="2" t="s">
        <v>23</v>
      </c>
      <c r="AG3" s="2" t="s">
        <v>23</v>
      </c>
      <c r="AH3" s="2" t="s">
        <v>23</v>
      </c>
      <c r="AI3" s="2" t="s">
        <v>23</v>
      </c>
      <c r="AJ3" s="2" t="s">
        <v>23</v>
      </c>
      <c r="AK3" s="2" t="s">
        <v>23</v>
      </c>
      <c r="AL3" s="2" t="s">
        <v>23</v>
      </c>
      <c r="AM3" s="2" t="s">
        <v>24</v>
      </c>
      <c r="AN3" s="2" t="s">
        <v>25</v>
      </c>
      <c r="AO3" s="2" t="s">
        <v>25</v>
      </c>
    </row>
    <row r="4" spans="1:43" x14ac:dyDescent="0.25">
      <c r="A4" s="1"/>
      <c r="B4" s="1"/>
      <c r="C4" s="1"/>
      <c r="D4" s="1"/>
      <c r="E4" s="1"/>
      <c r="F4" s="1"/>
      <c r="G4" s="7"/>
      <c r="H4" s="1"/>
      <c r="I4" s="1"/>
      <c r="J4" s="1"/>
      <c r="K4" s="1"/>
      <c r="L4" s="1"/>
      <c r="M4" s="1"/>
      <c r="N4" s="1"/>
      <c r="O4" s="1" t="s">
        <v>26</v>
      </c>
      <c r="P4" s="1" t="s">
        <v>27</v>
      </c>
      <c r="Q4" s="1" t="s">
        <v>28</v>
      </c>
      <c r="R4" s="1" t="s">
        <v>326</v>
      </c>
      <c r="S4" s="24" t="s">
        <v>327</v>
      </c>
      <c r="T4" s="1" t="s">
        <v>29</v>
      </c>
      <c r="U4" s="1" t="s">
        <v>340</v>
      </c>
      <c r="V4" s="24" t="s">
        <v>341</v>
      </c>
      <c r="W4" s="1" t="s">
        <v>30</v>
      </c>
      <c r="X4" s="1"/>
      <c r="Y4" s="1"/>
      <c r="Z4" s="22" t="s">
        <v>31</v>
      </c>
      <c r="AA4" s="22" t="s">
        <v>32</v>
      </c>
      <c r="AB4" s="1" t="s">
        <v>33</v>
      </c>
      <c r="AC4" s="1"/>
      <c r="AD4" s="1"/>
      <c r="AE4" s="1" t="s">
        <v>26</v>
      </c>
      <c r="AF4" s="1" t="s">
        <v>34</v>
      </c>
      <c r="AG4" s="1" t="s">
        <v>35</v>
      </c>
      <c r="AH4" s="1" t="s">
        <v>36</v>
      </c>
      <c r="AI4" s="1" t="s">
        <v>37</v>
      </c>
      <c r="AJ4" s="1" t="s">
        <v>38</v>
      </c>
      <c r="AK4" s="1" t="s">
        <v>39</v>
      </c>
      <c r="AL4" s="1" t="s">
        <v>40</v>
      </c>
      <c r="AM4" s="1"/>
      <c r="AN4" s="22" t="s">
        <v>31</v>
      </c>
      <c r="AO4" s="22" t="s">
        <v>32</v>
      </c>
      <c r="AQ4">
        <v>1</v>
      </c>
    </row>
    <row r="5" spans="1:43" x14ac:dyDescent="0.25">
      <c r="A5" s="1"/>
      <c r="B5" s="1"/>
      <c r="C5" s="1"/>
      <c r="D5" s="1"/>
      <c r="E5" s="4">
        <f>SUM(E6:E500)</f>
        <v>73581.433000000019</v>
      </c>
      <c r="F5" s="4">
        <f>SUM(F6:F500)</f>
        <v>46657.596999999994</v>
      </c>
      <c r="G5" s="7"/>
      <c r="H5" s="1"/>
      <c r="I5" s="1"/>
      <c r="J5" s="1"/>
      <c r="K5" s="4">
        <f t="shared" ref="K5:AA5" si="0">SUM(K6:K500)</f>
        <v>92199.357999999949</v>
      </c>
      <c r="L5" s="4">
        <f t="shared" si="0"/>
        <v>-18617.925000000003</v>
      </c>
      <c r="M5" s="4">
        <f t="shared" si="0"/>
        <v>58637.696000000018</v>
      </c>
      <c r="N5" s="4">
        <f t="shared" si="0"/>
        <v>14943.736999999999</v>
      </c>
      <c r="O5" s="4">
        <f t="shared" si="0"/>
        <v>19603.011368952004</v>
      </c>
      <c r="P5" s="4">
        <f t="shared" si="0"/>
        <v>-1273.5</v>
      </c>
      <c r="Q5" s="4">
        <f t="shared" si="0"/>
        <v>22586.476596293371</v>
      </c>
      <c r="R5" s="4">
        <f t="shared" ref="R5:S5" si="1">SUM(R6:R500)</f>
        <v>-2032.9</v>
      </c>
      <c r="S5" s="26">
        <f t="shared" si="1"/>
        <v>1855.5555555555557</v>
      </c>
      <c r="T5" s="4">
        <f t="shared" si="0"/>
        <v>20743.400047946052</v>
      </c>
      <c r="U5" s="4">
        <f t="shared" ref="U5:V5" si="2">SUM(U6:U500)</f>
        <v>-1208</v>
      </c>
      <c r="V5" s="26">
        <f t="shared" si="2"/>
        <v>1200</v>
      </c>
      <c r="W5" s="4">
        <f t="shared" si="0"/>
        <v>11727.539200000003</v>
      </c>
      <c r="X5" s="4">
        <f t="shared" si="0"/>
        <v>30243.415234286313</v>
      </c>
      <c r="Y5" s="4">
        <f t="shared" si="0"/>
        <v>37578.120353377686</v>
      </c>
      <c r="Z5" s="4">
        <f t="shared" si="0"/>
        <v>29236.898753377685</v>
      </c>
      <c r="AA5" s="4">
        <f t="shared" si="0"/>
        <v>13146.432301714285</v>
      </c>
      <c r="AB5" s="4"/>
      <c r="AC5" s="1"/>
      <c r="AD5" s="1"/>
      <c r="AE5" s="4">
        <f t="shared" ref="AE5:AL5" si="3">SUM(AE6:AE500)</f>
        <v>13329.492600000001</v>
      </c>
      <c r="AF5" s="4">
        <f t="shared" si="3"/>
        <v>12669.461800000005</v>
      </c>
      <c r="AG5" s="4">
        <f t="shared" si="3"/>
        <v>10646.113600000001</v>
      </c>
      <c r="AH5" s="4">
        <f t="shared" si="3"/>
        <v>10433.826400000007</v>
      </c>
      <c r="AI5" s="4">
        <f t="shared" si="3"/>
        <v>11173.737200000001</v>
      </c>
      <c r="AJ5" s="4">
        <f t="shared" si="3"/>
        <v>12763.749600000005</v>
      </c>
      <c r="AK5" s="4">
        <f t="shared" si="3"/>
        <v>14118.473</v>
      </c>
      <c r="AL5" s="4">
        <f t="shared" si="3"/>
        <v>10392.847799999996</v>
      </c>
      <c r="AM5" s="1"/>
      <c r="AN5" s="4">
        <f>SUM(AN6:AN500)</f>
        <v>16997</v>
      </c>
      <c r="AO5" s="4">
        <f>SUM(AO6:AO500)</f>
        <v>7985</v>
      </c>
      <c r="AQ5">
        <v>1</v>
      </c>
    </row>
    <row r="6" spans="1:43" hidden="1" x14ac:dyDescent="0.25">
      <c r="A6" s="1" t="s">
        <v>41</v>
      </c>
      <c r="B6" s="1" t="s">
        <v>42</v>
      </c>
      <c r="C6" s="1">
        <v>2019.1469999999999</v>
      </c>
      <c r="D6" s="1">
        <v>3887.194</v>
      </c>
      <c r="E6" s="1">
        <v>2033.1679999999999</v>
      </c>
      <c r="F6" s="1">
        <v>2734.6849999999999</v>
      </c>
      <c r="G6" s="7">
        <v>1</v>
      </c>
      <c r="H6" s="1">
        <v>50</v>
      </c>
      <c r="I6" s="1" t="s">
        <v>43</v>
      </c>
      <c r="J6" s="1"/>
      <c r="K6" s="1">
        <v>2268.741</v>
      </c>
      <c r="L6" s="1">
        <f t="shared" ref="L6:L37" si="4">E6-K6</f>
        <v>-235.57300000000009</v>
      </c>
      <c r="M6" s="1">
        <f t="shared" ref="M6:M37" si="5">E6-N6</f>
        <v>1628.1079999999999</v>
      </c>
      <c r="N6" s="1">
        <v>405.06</v>
      </c>
      <c r="O6" s="1">
        <v>571.67824957775997</v>
      </c>
      <c r="P6" s="1"/>
      <c r="Q6" s="1">
        <v>215.47622976</v>
      </c>
      <c r="R6" s="1"/>
      <c r="S6" s="24"/>
      <c r="T6" s="1">
        <v>267.65433023999998</v>
      </c>
      <c r="U6" s="1"/>
      <c r="V6" s="24"/>
      <c r="W6" s="1">
        <f t="shared" ref="W6:W37" si="6">M6/5</f>
        <v>325.6216</v>
      </c>
      <c r="X6" s="5">
        <f>12*W6-T6-Q6-P6-O6-F6</f>
        <v>117.96539042224003</v>
      </c>
      <c r="Y6" s="5">
        <v>0</v>
      </c>
      <c r="Z6" s="5">
        <f t="shared" ref="Z6:Z30" si="7">Y6-AA6</f>
        <v>0</v>
      </c>
      <c r="AA6" s="5"/>
      <c r="AB6" s="1"/>
      <c r="AC6" s="1">
        <f>(F6+O6+P6+Q6+T6+Z6+AA6+R6+S6+U6+V6)/W6</f>
        <v>11.637722465517522</v>
      </c>
      <c r="AD6" s="1">
        <f t="shared" ref="AD6:AD37" si="8">(F6+O6+P6+Q6+T6)/W6</f>
        <v>11.637722465517522</v>
      </c>
      <c r="AE6" s="1">
        <v>402.60879999999997</v>
      </c>
      <c r="AF6" s="1">
        <v>419.20679999999999</v>
      </c>
      <c r="AG6" s="1">
        <v>402.01659999999998</v>
      </c>
      <c r="AH6" s="1">
        <v>337.73419999999999</v>
      </c>
      <c r="AI6" s="1">
        <v>348.79259999999999</v>
      </c>
      <c r="AJ6" s="1">
        <v>383.91660000000002</v>
      </c>
      <c r="AK6" s="1">
        <v>414.53539999999992</v>
      </c>
      <c r="AL6" s="1">
        <v>309.1234</v>
      </c>
      <c r="AM6" s="1"/>
      <c r="AN6" s="1">
        <f t="shared" ref="AN6:AN37" si="9">ROUND(G6*Z6,0)</f>
        <v>0</v>
      </c>
      <c r="AO6" s="1">
        <f t="shared" ref="AO6:AO37" si="10">ROUND(G6*AA6,0)</f>
        <v>0</v>
      </c>
      <c r="AP6" t="s">
        <v>44</v>
      </c>
    </row>
    <row r="7" spans="1:43" hidden="1" x14ac:dyDescent="0.25">
      <c r="A7" s="1" t="s">
        <v>45</v>
      </c>
      <c r="B7" s="1" t="s">
        <v>42</v>
      </c>
      <c r="C7" s="1">
        <v>473.78399999999999</v>
      </c>
      <c r="D7" s="1">
        <v>2893.569</v>
      </c>
      <c r="E7" s="1">
        <v>1688.492</v>
      </c>
      <c r="F7" s="1">
        <v>1204.04</v>
      </c>
      <c r="G7" s="7">
        <v>1</v>
      </c>
      <c r="H7" s="1">
        <v>45</v>
      </c>
      <c r="I7" s="1" t="s">
        <v>43</v>
      </c>
      <c r="J7" s="1"/>
      <c r="K7" s="1">
        <v>1499.1020000000001</v>
      </c>
      <c r="L7" s="1">
        <f t="shared" si="4"/>
        <v>189.38999999999987</v>
      </c>
      <c r="M7" s="1">
        <f t="shared" si="5"/>
        <v>1081.529</v>
      </c>
      <c r="N7" s="1">
        <v>606.96299999999997</v>
      </c>
      <c r="O7" s="1">
        <v>753.70391199999995</v>
      </c>
      <c r="P7" s="1"/>
      <c r="Q7" s="1">
        <v>200.7</v>
      </c>
      <c r="R7" s="1"/>
      <c r="S7" s="24"/>
      <c r="T7" s="1">
        <v>249.3</v>
      </c>
      <c r="U7" s="1"/>
      <c r="V7" s="24"/>
      <c r="W7" s="1">
        <f t="shared" si="6"/>
        <v>216.3058</v>
      </c>
      <c r="X7" s="5">
        <f>12*W7-T7-Q7-P7-O7-F7</f>
        <v>187.92568800000026</v>
      </c>
      <c r="Y7" s="5">
        <f>X7+$Y$1*W7</f>
        <v>399.90537200000028</v>
      </c>
      <c r="Z7" s="5">
        <f t="shared" si="7"/>
        <v>399.90537200000028</v>
      </c>
      <c r="AA7" s="5"/>
      <c r="AB7" s="1"/>
      <c r="AC7" s="1">
        <f t="shared" ref="AC7:AC70" si="11">(F7+O7+P7+Q7+T7+Z7+AA7+R7+S7+U7+V7)/W7</f>
        <v>12.98</v>
      </c>
      <c r="AD7" s="1">
        <f t="shared" si="8"/>
        <v>11.131203657044795</v>
      </c>
      <c r="AE7" s="1">
        <v>223.072</v>
      </c>
      <c r="AF7" s="1">
        <v>285.97500000000002</v>
      </c>
      <c r="AG7" s="1">
        <v>246.8064</v>
      </c>
      <c r="AH7" s="1">
        <v>136.39259999999999</v>
      </c>
      <c r="AI7" s="1">
        <v>175.6748</v>
      </c>
      <c r="AJ7" s="1">
        <v>232.39340000000001</v>
      </c>
      <c r="AK7" s="1">
        <v>194.2758</v>
      </c>
      <c r="AL7" s="1">
        <v>139.5838</v>
      </c>
      <c r="AM7" s="1"/>
      <c r="AN7" s="1">
        <f t="shared" si="9"/>
        <v>400</v>
      </c>
      <c r="AO7" s="1">
        <f t="shared" si="10"/>
        <v>0</v>
      </c>
      <c r="AP7" t="s">
        <v>46</v>
      </c>
    </row>
    <row r="8" spans="1:43" hidden="1" x14ac:dyDescent="0.25">
      <c r="A8" s="1" t="s">
        <v>47</v>
      </c>
      <c r="B8" s="1" t="s">
        <v>42</v>
      </c>
      <c r="C8" s="1">
        <v>2754.893</v>
      </c>
      <c r="D8" s="1">
        <v>6282.7259999999997</v>
      </c>
      <c r="E8" s="1">
        <v>4646.4849999999997</v>
      </c>
      <c r="F8" s="13">
        <f>2266.304+F86</f>
        <v>2260.8630000000003</v>
      </c>
      <c r="G8" s="7">
        <v>1</v>
      </c>
      <c r="H8" s="1">
        <v>45</v>
      </c>
      <c r="I8" s="1" t="s">
        <v>43</v>
      </c>
      <c r="J8" s="1"/>
      <c r="K8" s="1">
        <v>4805.0240000000003</v>
      </c>
      <c r="L8" s="1">
        <f t="shared" si="4"/>
        <v>-158.53900000000067</v>
      </c>
      <c r="M8" s="1">
        <f t="shared" si="5"/>
        <v>2732.1219999999994</v>
      </c>
      <c r="N8" s="1">
        <v>1914.3630000000001</v>
      </c>
      <c r="O8" s="1">
        <v>976.73630996240047</v>
      </c>
      <c r="P8" s="1"/>
      <c r="Q8" s="1">
        <v>1024.615398301479</v>
      </c>
      <c r="R8" s="1"/>
      <c r="S8" s="24"/>
      <c r="T8" s="1">
        <v>1272.728544078519</v>
      </c>
      <c r="U8" s="1"/>
      <c r="V8" s="24"/>
      <c r="W8" s="1">
        <f t="shared" si="6"/>
        <v>546.42439999999988</v>
      </c>
      <c r="X8" s="5">
        <f>12*W8-T8-Q8-P8-O8-F8</f>
        <v>1022.1495476575997</v>
      </c>
      <c r="Y8" s="5">
        <f>X8+$Y$1*W8</f>
        <v>1557.6454596575995</v>
      </c>
      <c r="Z8" s="5">
        <f t="shared" si="7"/>
        <v>857.64545965759953</v>
      </c>
      <c r="AA8" s="5">
        <v>700</v>
      </c>
      <c r="AB8" s="1"/>
      <c r="AC8" s="1">
        <f t="shared" si="11"/>
        <v>12.979999999999999</v>
      </c>
      <c r="AD8" s="1">
        <f t="shared" si="8"/>
        <v>10.12938524037799</v>
      </c>
      <c r="AE8" s="1">
        <v>608.08999999999992</v>
      </c>
      <c r="AF8" s="1">
        <v>673.42660000000001</v>
      </c>
      <c r="AG8" s="1">
        <v>716.37299999999993</v>
      </c>
      <c r="AH8" s="1">
        <v>543.649</v>
      </c>
      <c r="AI8" s="1">
        <v>613.56360000000006</v>
      </c>
      <c r="AJ8" s="1">
        <v>603.60799999999995</v>
      </c>
      <c r="AK8" s="1">
        <v>601.60220000000004</v>
      </c>
      <c r="AL8" s="1">
        <v>449.45300000000009</v>
      </c>
      <c r="AM8" s="1"/>
      <c r="AN8" s="1">
        <f t="shared" si="9"/>
        <v>858</v>
      </c>
      <c r="AO8" s="1">
        <f t="shared" si="10"/>
        <v>700</v>
      </c>
      <c r="AP8" t="s">
        <v>48</v>
      </c>
    </row>
    <row r="9" spans="1:43" hidden="1" x14ac:dyDescent="0.25">
      <c r="A9" s="1" t="s">
        <v>49</v>
      </c>
      <c r="B9" s="1" t="s">
        <v>50</v>
      </c>
      <c r="C9" s="1">
        <v>23</v>
      </c>
      <c r="D9" s="1">
        <v>10</v>
      </c>
      <c r="E9" s="1">
        <v>7</v>
      </c>
      <c r="F9" s="1">
        <v>18</v>
      </c>
      <c r="G9" s="7">
        <v>0.4</v>
      </c>
      <c r="H9" s="1">
        <v>50</v>
      </c>
      <c r="I9" s="1" t="s">
        <v>43</v>
      </c>
      <c r="J9" s="1"/>
      <c r="K9" s="1">
        <v>14</v>
      </c>
      <c r="L9" s="1">
        <f t="shared" si="4"/>
        <v>-7</v>
      </c>
      <c r="M9" s="1">
        <f t="shared" si="5"/>
        <v>7</v>
      </c>
      <c r="N9" s="1"/>
      <c r="O9" s="1"/>
      <c r="P9" s="1"/>
      <c r="Q9" s="1">
        <v>0</v>
      </c>
      <c r="R9" s="1"/>
      <c r="S9" s="24"/>
      <c r="T9" s="1"/>
      <c r="U9" s="1"/>
      <c r="V9" s="24"/>
      <c r="W9" s="1">
        <f t="shared" si="6"/>
        <v>1.4</v>
      </c>
      <c r="X9" s="5"/>
      <c r="Y9" s="5">
        <f t="shared" ref="Y9:Y15" si="12">X9</f>
        <v>0</v>
      </c>
      <c r="Z9" s="5">
        <f t="shared" si="7"/>
        <v>0</v>
      </c>
      <c r="AA9" s="5"/>
      <c r="AB9" s="1"/>
      <c r="AC9" s="1">
        <f t="shared" si="11"/>
        <v>12.857142857142858</v>
      </c>
      <c r="AD9" s="1">
        <f t="shared" si="8"/>
        <v>12.857142857142858</v>
      </c>
      <c r="AE9" s="1">
        <v>1.4</v>
      </c>
      <c r="AF9" s="1">
        <v>1.8</v>
      </c>
      <c r="AG9" s="1">
        <v>2.4</v>
      </c>
      <c r="AH9" s="1">
        <v>1</v>
      </c>
      <c r="AI9" s="1">
        <v>1.2</v>
      </c>
      <c r="AJ9" s="1">
        <v>2.6</v>
      </c>
      <c r="AK9" s="1">
        <v>2.2000000000000002</v>
      </c>
      <c r="AL9" s="1">
        <v>0</v>
      </c>
      <c r="AM9" s="1" t="s">
        <v>51</v>
      </c>
      <c r="AN9" s="1">
        <f t="shared" si="9"/>
        <v>0</v>
      </c>
      <c r="AO9" s="1">
        <f t="shared" si="10"/>
        <v>0</v>
      </c>
      <c r="AP9" t="s">
        <v>52</v>
      </c>
    </row>
    <row r="10" spans="1:43" hidden="1" x14ac:dyDescent="0.25">
      <c r="A10" s="23" t="s">
        <v>53</v>
      </c>
      <c r="B10" s="1" t="s">
        <v>50</v>
      </c>
      <c r="C10" s="1">
        <v>1956.55</v>
      </c>
      <c r="D10" s="1">
        <v>2792</v>
      </c>
      <c r="E10" s="1">
        <v>2608.174</v>
      </c>
      <c r="F10" s="1">
        <v>615.37599999999998</v>
      </c>
      <c r="G10" s="7">
        <v>0.45</v>
      </c>
      <c r="H10" s="1">
        <v>45</v>
      </c>
      <c r="I10" s="14" t="s">
        <v>54</v>
      </c>
      <c r="J10" s="1"/>
      <c r="K10" s="1">
        <v>3201</v>
      </c>
      <c r="L10" s="1">
        <f t="shared" si="4"/>
        <v>-592.82600000000002</v>
      </c>
      <c r="M10" s="1">
        <f t="shared" si="5"/>
        <v>2464.174</v>
      </c>
      <c r="N10" s="1">
        <v>144</v>
      </c>
      <c r="O10" s="1">
        <v>907.60799999999995</v>
      </c>
      <c r="P10" s="1"/>
      <c r="Q10" s="1">
        <v>535.19999999999993</v>
      </c>
      <c r="R10" s="1"/>
      <c r="S10" s="24">
        <v>1000</v>
      </c>
      <c r="T10" s="1">
        <v>664.80000000000007</v>
      </c>
      <c r="U10" s="1"/>
      <c r="V10" s="24"/>
      <c r="W10" s="1">
        <f t="shared" si="6"/>
        <v>492.83479999999997</v>
      </c>
      <c r="X10" s="5">
        <v>2000</v>
      </c>
      <c r="Y10" s="5">
        <f t="shared" si="12"/>
        <v>2000</v>
      </c>
      <c r="Z10" s="5">
        <f t="shared" si="7"/>
        <v>700</v>
      </c>
      <c r="AA10" s="5">
        <v>1300</v>
      </c>
      <c r="AB10" s="1"/>
      <c r="AC10" s="1">
        <f t="shared" si="11"/>
        <v>11.612378022006565</v>
      </c>
      <c r="AD10" s="1">
        <f t="shared" si="8"/>
        <v>5.5251455457285079</v>
      </c>
      <c r="AE10" s="1">
        <v>540.4348</v>
      </c>
      <c r="AF10" s="1">
        <v>426.41899999999998</v>
      </c>
      <c r="AG10" s="1">
        <v>373.01900000000001</v>
      </c>
      <c r="AH10" s="1">
        <v>298</v>
      </c>
      <c r="AI10" s="1">
        <v>339</v>
      </c>
      <c r="AJ10" s="1">
        <v>705.87099999999998</v>
      </c>
      <c r="AK10" s="1">
        <v>624.67100000000005</v>
      </c>
      <c r="AL10" s="1">
        <v>265.39999999999998</v>
      </c>
      <c r="AM10" s="1" t="s">
        <v>55</v>
      </c>
      <c r="AN10" s="1">
        <f t="shared" si="9"/>
        <v>315</v>
      </c>
      <c r="AO10" s="1">
        <f t="shared" si="10"/>
        <v>585</v>
      </c>
      <c r="AP10" t="s">
        <v>56</v>
      </c>
      <c r="AQ10" t="str">
        <f>VLOOKUP(AP10,[1]Лист1!$A:$A,1,0)</f>
        <v>SU001718</v>
      </c>
    </row>
    <row r="11" spans="1:43" hidden="1" x14ac:dyDescent="0.25">
      <c r="A11" s="1" t="s">
        <v>57</v>
      </c>
      <c r="B11" s="1" t="s">
        <v>50</v>
      </c>
      <c r="C11" s="1">
        <v>5853.0209999999997</v>
      </c>
      <c r="D11" s="1">
        <v>2392</v>
      </c>
      <c r="E11" s="1">
        <v>4360.366</v>
      </c>
      <c r="F11" s="1">
        <v>1646.655</v>
      </c>
      <c r="G11" s="7">
        <v>0.45</v>
      </c>
      <c r="H11" s="1">
        <v>45</v>
      </c>
      <c r="I11" s="14" t="s">
        <v>54</v>
      </c>
      <c r="J11" s="1"/>
      <c r="K11" s="1">
        <v>4886</v>
      </c>
      <c r="L11" s="1">
        <f t="shared" si="4"/>
        <v>-525.63400000000001</v>
      </c>
      <c r="M11" s="1">
        <f t="shared" si="5"/>
        <v>3424.366</v>
      </c>
      <c r="N11" s="1">
        <v>936</v>
      </c>
      <c r="O11" s="1">
        <v>260</v>
      </c>
      <c r="P11" s="1"/>
      <c r="Q11" s="1">
        <v>356.8</v>
      </c>
      <c r="R11" s="1"/>
      <c r="S11" s="24"/>
      <c r="T11" s="1">
        <v>443.2</v>
      </c>
      <c r="U11" s="1"/>
      <c r="V11" s="24"/>
      <c r="W11" s="1">
        <f t="shared" si="6"/>
        <v>684.8732</v>
      </c>
      <c r="X11" s="5">
        <f>11*W11-T11-Q11-P11-O11-F11</f>
        <v>4826.9502000000002</v>
      </c>
      <c r="Y11" s="5">
        <f t="shared" si="12"/>
        <v>4826.9502000000002</v>
      </c>
      <c r="Z11" s="5">
        <f t="shared" si="7"/>
        <v>1826.9502000000002</v>
      </c>
      <c r="AA11" s="5">
        <v>3000</v>
      </c>
      <c r="AB11" s="1"/>
      <c r="AC11" s="1">
        <f t="shared" si="11"/>
        <v>11</v>
      </c>
      <c r="AD11" s="1">
        <f t="shared" si="8"/>
        <v>3.9520527303448283</v>
      </c>
      <c r="AE11" s="1">
        <v>689.67319999999995</v>
      </c>
      <c r="AF11" s="1">
        <v>718.03</v>
      </c>
      <c r="AG11" s="1">
        <v>763.07439999999997</v>
      </c>
      <c r="AH11" s="1">
        <v>683.4</v>
      </c>
      <c r="AI11" s="1">
        <v>536.79999999999995</v>
      </c>
      <c r="AJ11" s="1">
        <v>707.36580000000004</v>
      </c>
      <c r="AK11" s="1">
        <v>771.7657999999999</v>
      </c>
      <c r="AL11" s="1">
        <v>431.2</v>
      </c>
      <c r="AM11" s="1" t="s">
        <v>58</v>
      </c>
      <c r="AN11" s="1">
        <f t="shared" si="9"/>
        <v>822</v>
      </c>
      <c r="AO11" s="1">
        <f t="shared" si="10"/>
        <v>1350</v>
      </c>
      <c r="AP11" t="s">
        <v>59</v>
      </c>
    </row>
    <row r="12" spans="1:43" hidden="1" x14ac:dyDescent="0.25">
      <c r="A12" s="1" t="s">
        <v>60</v>
      </c>
      <c r="B12" s="1" t="s">
        <v>50</v>
      </c>
      <c r="C12" s="1">
        <v>282</v>
      </c>
      <c r="D12" s="1">
        <v>37</v>
      </c>
      <c r="E12" s="1">
        <v>119</v>
      </c>
      <c r="F12" s="1">
        <v>126</v>
      </c>
      <c r="G12" s="7">
        <v>0.17</v>
      </c>
      <c r="H12" s="1">
        <v>180</v>
      </c>
      <c r="I12" s="1" t="s">
        <v>43</v>
      </c>
      <c r="J12" s="1"/>
      <c r="K12" s="1">
        <v>149</v>
      </c>
      <c r="L12" s="1">
        <f t="shared" si="4"/>
        <v>-30</v>
      </c>
      <c r="M12" s="1">
        <f t="shared" si="5"/>
        <v>89</v>
      </c>
      <c r="N12" s="1">
        <v>30</v>
      </c>
      <c r="O12" s="1"/>
      <c r="P12" s="1"/>
      <c r="Q12" s="1">
        <v>0</v>
      </c>
      <c r="R12" s="1"/>
      <c r="S12" s="24"/>
      <c r="T12" s="1"/>
      <c r="U12" s="1"/>
      <c r="V12" s="24"/>
      <c r="W12" s="1">
        <f t="shared" si="6"/>
        <v>17.8</v>
      </c>
      <c r="X12" s="5">
        <f>12*W12-T12-Q12-P12-O12-F12</f>
        <v>87.600000000000023</v>
      </c>
      <c r="Y12" s="5">
        <f t="shared" si="12"/>
        <v>87.600000000000023</v>
      </c>
      <c r="Z12" s="5">
        <f t="shared" si="7"/>
        <v>87.600000000000023</v>
      </c>
      <c r="AA12" s="5"/>
      <c r="AB12" s="1"/>
      <c r="AC12" s="1">
        <f t="shared" si="11"/>
        <v>12</v>
      </c>
      <c r="AD12" s="1">
        <f t="shared" si="8"/>
        <v>7.0786516853932584</v>
      </c>
      <c r="AE12" s="1">
        <v>17.8</v>
      </c>
      <c r="AF12" s="1">
        <v>13.2</v>
      </c>
      <c r="AG12" s="1">
        <v>20</v>
      </c>
      <c r="AH12" s="1">
        <v>19.234000000000002</v>
      </c>
      <c r="AI12" s="1">
        <v>23.6</v>
      </c>
      <c r="AJ12" s="1">
        <v>35</v>
      </c>
      <c r="AK12" s="1">
        <v>24.6</v>
      </c>
      <c r="AL12" s="1">
        <v>9</v>
      </c>
      <c r="AM12" s="1"/>
      <c r="AN12" s="1">
        <f t="shared" si="9"/>
        <v>15</v>
      </c>
      <c r="AO12" s="1">
        <f t="shared" si="10"/>
        <v>0</v>
      </c>
      <c r="AP12" t="s">
        <v>61</v>
      </c>
    </row>
    <row r="13" spans="1:43" hidden="1" x14ac:dyDescent="0.25">
      <c r="A13" s="1" t="s">
        <v>62</v>
      </c>
      <c r="B13" s="1" t="s">
        <v>50</v>
      </c>
      <c r="C13" s="1">
        <v>96</v>
      </c>
      <c r="D13" s="1">
        <v>9</v>
      </c>
      <c r="E13" s="1">
        <v>60</v>
      </c>
      <c r="F13" s="1">
        <v>19</v>
      </c>
      <c r="G13" s="7">
        <v>0.3</v>
      </c>
      <c r="H13" s="1">
        <v>40</v>
      </c>
      <c r="I13" s="1" t="s">
        <v>43</v>
      </c>
      <c r="J13" s="1"/>
      <c r="K13" s="1">
        <v>80</v>
      </c>
      <c r="L13" s="1">
        <f t="shared" si="4"/>
        <v>-20</v>
      </c>
      <c r="M13" s="1">
        <f t="shared" si="5"/>
        <v>60</v>
      </c>
      <c r="N13" s="1"/>
      <c r="O13" s="1"/>
      <c r="P13" s="1"/>
      <c r="Q13" s="1">
        <v>75</v>
      </c>
      <c r="R13" s="1">
        <v>-78</v>
      </c>
      <c r="S13" s="24"/>
      <c r="T13" s="1"/>
      <c r="U13" s="1"/>
      <c r="V13" s="24"/>
      <c r="W13" s="1">
        <f t="shared" si="6"/>
        <v>12</v>
      </c>
      <c r="X13" s="5">
        <f>12*W13-T13-Q13-P13-O13-F13</f>
        <v>50</v>
      </c>
      <c r="Y13" s="5">
        <f t="shared" si="12"/>
        <v>50</v>
      </c>
      <c r="Z13" s="5">
        <f t="shared" si="7"/>
        <v>50</v>
      </c>
      <c r="AA13" s="5"/>
      <c r="AB13" s="1"/>
      <c r="AC13" s="1">
        <f t="shared" si="11"/>
        <v>5.5</v>
      </c>
      <c r="AD13" s="1">
        <f t="shared" si="8"/>
        <v>7.833333333333333</v>
      </c>
      <c r="AE13" s="1">
        <v>12.6</v>
      </c>
      <c r="AF13" s="1">
        <v>7.2</v>
      </c>
      <c r="AG13" s="1">
        <v>4.2</v>
      </c>
      <c r="AH13" s="1">
        <v>8.1999999999999993</v>
      </c>
      <c r="AI13" s="1">
        <v>11.8</v>
      </c>
      <c r="AJ13" s="1">
        <v>8.4</v>
      </c>
      <c r="AK13" s="1">
        <v>3.2</v>
      </c>
      <c r="AL13" s="1">
        <v>1</v>
      </c>
      <c r="AM13" s="1"/>
      <c r="AN13" s="1">
        <f t="shared" si="9"/>
        <v>15</v>
      </c>
      <c r="AO13" s="1">
        <f t="shared" si="10"/>
        <v>0</v>
      </c>
      <c r="AP13" t="s">
        <v>63</v>
      </c>
    </row>
    <row r="14" spans="1:43" hidden="1" x14ac:dyDescent="0.25">
      <c r="A14" s="1" t="s">
        <v>64</v>
      </c>
      <c r="B14" s="1" t="s">
        <v>50</v>
      </c>
      <c r="C14" s="1">
        <v>383</v>
      </c>
      <c r="D14" s="1">
        <v>103</v>
      </c>
      <c r="E14" s="1">
        <v>297</v>
      </c>
      <c r="F14" s="1">
        <v>6</v>
      </c>
      <c r="G14" s="7">
        <v>0.17</v>
      </c>
      <c r="H14" s="1">
        <v>180</v>
      </c>
      <c r="I14" s="1" t="s">
        <v>43</v>
      </c>
      <c r="J14" s="1"/>
      <c r="K14" s="1">
        <v>397</v>
      </c>
      <c r="L14" s="1">
        <f t="shared" si="4"/>
        <v>-100</v>
      </c>
      <c r="M14" s="1">
        <f t="shared" si="5"/>
        <v>87</v>
      </c>
      <c r="N14" s="1">
        <v>210</v>
      </c>
      <c r="O14" s="1"/>
      <c r="P14" s="1"/>
      <c r="Q14" s="1">
        <v>151.99999999999989</v>
      </c>
      <c r="R14" s="1"/>
      <c r="S14" s="24"/>
      <c r="T14" s="1"/>
      <c r="U14" s="1"/>
      <c r="V14" s="24"/>
      <c r="W14" s="1">
        <f t="shared" si="6"/>
        <v>17.399999999999999</v>
      </c>
      <c r="X14" s="5">
        <f>12*W14-T14-Q14-P14-O14-F14</f>
        <v>50.800000000000097</v>
      </c>
      <c r="Y14" s="5">
        <f t="shared" si="12"/>
        <v>50.800000000000097</v>
      </c>
      <c r="Z14" s="5">
        <f t="shared" si="7"/>
        <v>50.800000000000097</v>
      </c>
      <c r="AA14" s="5"/>
      <c r="AB14" s="1"/>
      <c r="AC14" s="1">
        <f t="shared" si="11"/>
        <v>12</v>
      </c>
      <c r="AD14" s="1">
        <f t="shared" si="8"/>
        <v>9.0804597701149365</v>
      </c>
      <c r="AE14" s="1">
        <v>35.4</v>
      </c>
      <c r="AF14" s="1">
        <v>34.200000000000003</v>
      </c>
      <c r="AG14" s="1">
        <v>26</v>
      </c>
      <c r="AH14" s="1">
        <v>27.634</v>
      </c>
      <c r="AI14" s="1">
        <v>36.799999999999997</v>
      </c>
      <c r="AJ14" s="1">
        <v>60.2</v>
      </c>
      <c r="AK14" s="1">
        <v>65.2</v>
      </c>
      <c r="AL14" s="1">
        <v>36.6</v>
      </c>
      <c r="AM14" s="1"/>
      <c r="AN14" s="1">
        <f t="shared" si="9"/>
        <v>9</v>
      </c>
      <c r="AO14" s="1">
        <f t="shared" si="10"/>
        <v>0</v>
      </c>
      <c r="AP14" t="s">
        <v>65</v>
      </c>
    </row>
    <row r="15" spans="1:43" hidden="1" x14ac:dyDescent="0.25">
      <c r="A15" s="9" t="s">
        <v>66</v>
      </c>
      <c r="B15" s="9" t="s">
        <v>50</v>
      </c>
      <c r="C15" s="9">
        <v>336</v>
      </c>
      <c r="D15" s="9">
        <v>2</v>
      </c>
      <c r="E15" s="9">
        <v>5</v>
      </c>
      <c r="F15" s="9">
        <v>272</v>
      </c>
      <c r="G15" s="10">
        <v>0</v>
      </c>
      <c r="H15" s="9"/>
      <c r="I15" s="9" t="s">
        <v>67</v>
      </c>
      <c r="J15" s="9"/>
      <c r="K15" s="9">
        <v>53</v>
      </c>
      <c r="L15" s="9">
        <f t="shared" si="4"/>
        <v>-48</v>
      </c>
      <c r="M15" s="9">
        <f t="shared" si="5"/>
        <v>5</v>
      </c>
      <c r="N15" s="9"/>
      <c r="O15" s="9"/>
      <c r="P15" s="9"/>
      <c r="Q15" s="9">
        <v>0</v>
      </c>
      <c r="R15" s="9"/>
      <c r="S15" s="27"/>
      <c r="T15" s="9"/>
      <c r="U15" s="9"/>
      <c r="V15" s="27"/>
      <c r="W15" s="9">
        <f t="shared" si="6"/>
        <v>1</v>
      </c>
      <c r="X15" s="11"/>
      <c r="Y15" s="5">
        <f t="shared" si="12"/>
        <v>0</v>
      </c>
      <c r="Z15" s="5">
        <f t="shared" si="7"/>
        <v>0</v>
      </c>
      <c r="AA15" s="5"/>
      <c r="AB15" s="1"/>
      <c r="AC15" s="1">
        <f t="shared" si="11"/>
        <v>272</v>
      </c>
      <c r="AD15" s="9">
        <f t="shared" si="8"/>
        <v>272</v>
      </c>
      <c r="AE15" s="9">
        <v>1</v>
      </c>
      <c r="AF15" s="9">
        <v>5.2</v>
      </c>
      <c r="AG15" s="9">
        <v>4.4000000000000004</v>
      </c>
      <c r="AH15" s="9">
        <v>0.2</v>
      </c>
      <c r="AI15" s="9">
        <v>4.4000000000000004</v>
      </c>
      <c r="AJ15" s="9">
        <v>4.2</v>
      </c>
      <c r="AK15" s="9">
        <v>0</v>
      </c>
      <c r="AL15" s="9">
        <v>0</v>
      </c>
      <c r="AM15" s="12" t="s">
        <v>68</v>
      </c>
      <c r="AN15" s="1">
        <f t="shared" si="9"/>
        <v>0</v>
      </c>
      <c r="AO15" s="1">
        <f t="shared" si="10"/>
        <v>0</v>
      </c>
      <c r="AP15" t="s">
        <v>69</v>
      </c>
    </row>
    <row r="16" spans="1:43" hidden="1" x14ac:dyDescent="0.25">
      <c r="A16" s="23" t="s">
        <v>70</v>
      </c>
      <c r="B16" s="1" t="s">
        <v>42</v>
      </c>
      <c r="C16" s="1">
        <v>3949.2420000000002</v>
      </c>
      <c r="D16" s="1">
        <v>5740.3339999999998</v>
      </c>
      <c r="E16" s="1">
        <v>4270.7960000000003</v>
      </c>
      <c r="F16" s="1">
        <v>3018.5230000000001</v>
      </c>
      <c r="G16" s="7">
        <v>1</v>
      </c>
      <c r="H16" s="1">
        <v>70</v>
      </c>
      <c r="I16" s="1" t="s">
        <v>43</v>
      </c>
      <c r="J16" s="1"/>
      <c r="K16" s="1">
        <v>4821.759</v>
      </c>
      <c r="L16" s="1">
        <f t="shared" si="4"/>
        <v>-550.96299999999974</v>
      </c>
      <c r="M16" s="1">
        <f t="shared" si="5"/>
        <v>2883.3020000000006</v>
      </c>
      <c r="N16" s="1">
        <v>1387.4939999999999</v>
      </c>
      <c r="O16" s="1">
        <v>1598.80850351872</v>
      </c>
      <c r="P16" s="1"/>
      <c r="Q16" s="1">
        <v>267.60000000000002</v>
      </c>
      <c r="R16" s="1"/>
      <c r="S16" s="24"/>
      <c r="T16" s="1">
        <v>332.4</v>
      </c>
      <c r="U16" s="1"/>
      <c r="V16" s="24"/>
      <c r="W16" s="1">
        <f t="shared" si="6"/>
        <v>576.6604000000001</v>
      </c>
      <c r="X16" s="5">
        <f>12*W16-T16-Q16-P16-O16-F16</f>
        <v>1702.593296481281</v>
      </c>
      <c r="Y16" s="5">
        <f>X16+$Y$1*W16</f>
        <v>2267.7204884812809</v>
      </c>
      <c r="Z16" s="5">
        <f t="shared" si="7"/>
        <v>1402.7204884812809</v>
      </c>
      <c r="AA16" s="5">
        <v>865</v>
      </c>
      <c r="AB16" s="1"/>
      <c r="AC16" s="1">
        <f t="shared" si="11"/>
        <v>12.98</v>
      </c>
      <c r="AD16" s="1">
        <f t="shared" si="8"/>
        <v>9.047493990429583</v>
      </c>
      <c r="AE16" s="1">
        <v>628.17099999999994</v>
      </c>
      <c r="AF16" s="1">
        <v>726.94060000000002</v>
      </c>
      <c r="AG16" s="1">
        <v>643.96600000000001</v>
      </c>
      <c r="AH16" s="1">
        <v>609.90919999999994</v>
      </c>
      <c r="AI16" s="1">
        <v>693.11580000000004</v>
      </c>
      <c r="AJ16" s="1">
        <v>746.79539999999997</v>
      </c>
      <c r="AK16" s="1">
        <v>794.77139999999997</v>
      </c>
      <c r="AL16" s="1">
        <v>554.79759999999999</v>
      </c>
      <c r="AM16" s="1"/>
      <c r="AN16" s="1">
        <f t="shared" si="9"/>
        <v>1403</v>
      </c>
      <c r="AO16" s="1">
        <f t="shared" si="10"/>
        <v>865</v>
      </c>
      <c r="AP16" t="s">
        <v>71</v>
      </c>
      <c r="AQ16" t="str">
        <f>VLOOKUP(AP16,[1]Лист1!$A:$A,1,0)</f>
        <v>SU002035</v>
      </c>
    </row>
    <row r="17" spans="1:43" x14ac:dyDescent="0.25">
      <c r="A17" s="23" t="s">
        <v>72</v>
      </c>
      <c r="B17" s="1" t="s">
        <v>42</v>
      </c>
      <c r="C17" s="1">
        <v>3045.259</v>
      </c>
      <c r="D17" s="1">
        <v>3464.7330000000002</v>
      </c>
      <c r="E17" s="1">
        <v>3118.3069999999998</v>
      </c>
      <c r="F17" s="1">
        <v>1311.933</v>
      </c>
      <c r="G17" s="7">
        <v>1</v>
      </c>
      <c r="H17" s="1">
        <v>50</v>
      </c>
      <c r="I17" s="1" t="s">
        <v>43</v>
      </c>
      <c r="J17" s="1"/>
      <c r="K17" s="1">
        <v>4089.0889999999999</v>
      </c>
      <c r="L17" s="1">
        <f t="shared" si="4"/>
        <v>-970.78200000000015</v>
      </c>
      <c r="M17" s="1">
        <f t="shared" si="5"/>
        <v>1418.0369999999998</v>
      </c>
      <c r="N17" s="1">
        <v>1700.27</v>
      </c>
      <c r="O17" s="1">
        <v>270.40264458688011</v>
      </c>
      <c r="P17" s="1"/>
      <c r="Q17" s="1">
        <v>888.46132639817574</v>
      </c>
      <c r="R17" s="1"/>
      <c r="S17" s="24"/>
      <c r="T17" s="1">
        <v>1103.604427857824</v>
      </c>
      <c r="U17" s="1"/>
      <c r="V17" s="24">
        <v>300</v>
      </c>
      <c r="W17" s="1">
        <f t="shared" si="6"/>
        <v>283.60739999999998</v>
      </c>
      <c r="X17" s="5"/>
      <c r="Y17" s="5">
        <f>X17</f>
        <v>0</v>
      </c>
      <c r="Z17" s="5">
        <f t="shared" si="7"/>
        <v>0</v>
      </c>
      <c r="AA17" s="5"/>
      <c r="AB17" s="1"/>
      <c r="AC17" s="1">
        <f t="shared" si="11"/>
        <v>13.661143534487746</v>
      </c>
      <c r="AD17" s="1">
        <f t="shared" si="8"/>
        <v>12.603343209108365</v>
      </c>
      <c r="AE17" s="1">
        <v>445.85719999999998</v>
      </c>
      <c r="AF17" s="1">
        <v>436.47500000000002</v>
      </c>
      <c r="AG17" s="1">
        <v>435.79059999999993</v>
      </c>
      <c r="AH17" s="1">
        <v>509.04079999999999</v>
      </c>
      <c r="AI17" s="1">
        <v>530.1232</v>
      </c>
      <c r="AJ17" s="1">
        <v>537.54300000000001</v>
      </c>
      <c r="AK17" s="1">
        <v>623.73239999999998</v>
      </c>
      <c r="AL17" s="1">
        <v>623.553</v>
      </c>
      <c r="AM17" s="1"/>
      <c r="AN17" s="1">
        <f t="shared" si="9"/>
        <v>0</v>
      </c>
      <c r="AO17" s="1">
        <f t="shared" si="10"/>
        <v>0</v>
      </c>
      <c r="AP17" t="s">
        <v>73</v>
      </c>
      <c r="AQ17" t="str">
        <f>VLOOKUP(AP17,[1]Лист1!$A:$A,1,0)</f>
        <v>SU000126</v>
      </c>
    </row>
    <row r="18" spans="1:43" hidden="1" x14ac:dyDescent="0.25">
      <c r="A18" s="1" t="s">
        <v>74</v>
      </c>
      <c r="B18" s="1" t="s">
        <v>42</v>
      </c>
      <c r="C18" s="1">
        <v>328.6</v>
      </c>
      <c r="D18" s="1">
        <v>310.21800000000002</v>
      </c>
      <c r="E18" s="1">
        <v>448.40499999999997</v>
      </c>
      <c r="F18" s="1">
        <v>-10.763999999999999</v>
      </c>
      <c r="G18" s="7">
        <v>1</v>
      </c>
      <c r="H18" s="1">
        <v>60</v>
      </c>
      <c r="I18" s="1" t="s">
        <v>43</v>
      </c>
      <c r="J18" s="1"/>
      <c r="K18" s="1">
        <v>523.84400000000005</v>
      </c>
      <c r="L18" s="1">
        <f t="shared" si="4"/>
        <v>-75.439000000000078</v>
      </c>
      <c r="M18" s="1">
        <f t="shared" si="5"/>
        <v>146.16099999999994</v>
      </c>
      <c r="N18" s="1">
        <v>302.24400000000003</v>
      </c>
      <c r="O18" s="1"/>
      <c r="P18" s="1"/>
      <c r="Q18" s="1">
        <v>211.8583999999999</v>
      </c>
      <c r="R18" s="1"/>
      <c r="S18" s="24"/>
      <c r="T18" s="1"/>
      <c r="U18" s="1"/>
      <c r="V18" s="24"/>
      <c r="W18" s="1">
        <f t="shared" si="6"/>
        <v>29.232199999999988</v>
      </c>
      <c r="X18" s="5">
        <f>12*W18-T18-Q18-P18-O18-F18</f>
        <v>149.69199999999995</v>
      </c>
      <c r="Y18" s="5">
        <f>X18</f>
        <v>149.69199999999995</v>
      </c>
      <c r="Z18" s="5">
        <f t="shared" si="7"/>
        <v>149.69199999999995</v>
      </c>
      <c r="AA18" s="5"/>
      <c r="AB18" s="1"/>
      <c r="AC18" s="1">
        <f t="shared" si="11"/>
        <v>12</v>
      </c>
      <c r="AD18" s="1">
        <f t="shared" si="8"/>
        <v>6.8792085440028456</v>
      </c>
      <c r="AE18" s="1">
        <v>29.232199999999992</v>
      </c>
      <c r="AF18" s="1">
        <v>22.357199999999999</v>
      </c>
      <c r="AG18" s="1">
        <v>-0.251</v>
      </c>
      <c r="AH18" s="1">
        <v>23.059200000000001</v>
      </c>
      <c r="AI18" s="1">
        <v>27.917000000000002</v>
      </c>
      <c r="AJ18" s="1">
        <v>18.902000000000001</v>
      </c>
      <c r="AK18" s="1">
        <v>36.507800000000003</v>
      </c>
      <c r="AL18" s="1">
        <v>45.231999999999992</v>
      </c>
      <c r="AM18" s="1"/>
      <c r="AN18" s="1">
        <f t="shared" si="9"/>
        <v>150</v>
      </c>
      <c r="AO18" s="1">
        <f t="shared" si="10"/>
        <v>0</v>
      </c>
      <c r="AP18" t="s">
        <v>75</v>
      </c>
    </row>
    <row r="19" spans="1:43" hidden="1" x14ac:dyDescent="0.25">
      <c r="A19" s="9" t="s">
        <v>76</v>
      </c>
      <c r="B19" s="9" t="s">
        <v>42</v>
      </c>
      <c r="C19" s="9">
        <v>-4.9740000000000002</v>
      </c>
      <c r="D19" s="9"/>
      <c r="E19" s="13">
        <v>1.7549999999999999</v>
      </c>
      <c r="F19" s="13">
        <v>-27.492999999999999</v>
      </c>
      <c r="G19" s="10">
        <v>0</v>
      </c>
      <c r="H19" s="9"/>
      <c r="I19" s="9" t="s">
        <v>67</v>
      </c>
      <c r="J19" s="9" t="s">
        <v>77</v>
      </c>
      <c r="K19" s="9">
        <v>22.5</v>
      </c>
      <c r="L19" s="9">
        <f t="shared" si="4"/>
        <v>-20.745000000000001</v>
      </c>
      <c r="M19" s="9">
        <f t="shared" si="5"/>
        <v>1.7549999999999999</v>
      </c>
      <c r="N19" s="9"/>
      <c r="O19" s="9"/>
      <c r="P19" s="9"/>
      <c r="Q19" s="9">
        <v>0</v>
      </c>
      <c r="R19" s="9"/>
      <c r="S19" s="27"/>
      <c r="T19" s="9"/>
      <c r="U19" s="9"/>
      <c r="V19" s="27"/>
      <c r="W19" s="9">
        <f t="shared" si="6"/>
        <v>0.35099999999999998</v>
      </c>
      <c r="X19" s="11"/>
      <c r="Y19" s="5">
        <f>X19</f>
        <v>0</v>
      </c>
      <c r="Z19" s="5">
        <f t="shared" si="7"/>
        <v>0</v>
      </c>
      <c r="AA19" s="5"/>
      <c r="AB19" s="1"/>
      <c r="AC19" s="1">
        <f t="shared" si="11"/>
        <v>-78.327635327635335</v>
      </c>
      <c r="AD19" s="9">
        <f t="shared" si="8"/>
        <v>-78.327635327635335</v>
      </c>
      <c r="AE19" s="9">
        <v>0.35099999999999998</v>
      </c>
      <c r="AF19" s="9">
        <v>-0.36499999999999999</v>
      </c>
      <c r="AG19" s="9">
        <v>-0.51300000000000001</v>
      </c>
      <c r="AH19" s="9">
        <v>-0.14799999999999999</v>
      </c>
      <c r="AI19" s="9">
        <v>0</v>
      </c>
      <c r="AJ19" s="9">
        <v>0.49480000000000002</v>
      </c>
      <c r="AK19" s="9">
        <v>0.49480000000000002</v>
      </c>
      <c r="AL19" s="9">
        <v>0</v>
      </c>
      <c r="AM19" s="9"/>
      <c r="AN19" s="1">
        <f t="shared" si="9"/>
        <v>0</v>
      </c>
      <c r="AO19" s="1">
        <f t="shared" si="10"/>
        <v>0</v>
      </c>
      <c r="AP19" t="s">
        <v>78</v>
      </c>
      <c r="AQ19" t="str">
        <f>VLOOKUP(AP19,[1]Лист1!$A:$A,1,0)</f>
        <v>SU004238</v>
      </c>
    </row>
    <row r="20" spans="1:43" hidden="1" x14ac:dyDescent="0.25">
      <c r="A20" s="9" t="s">
        <v>79</v>
      </c>
      <c r="B20" s="9" t="s">
        <v>42</v>
      </c>
      <c r="C20" s="9"/>
      <c r="D20" s="9"/>
      <c r="E20" s="9"/>
      <c r="F20" s="9"/>
      <c r="G20" s="10">
        <v>0</v>
      </c>
      <c r="H20" s="9"/>
      <c r="I20" s="9" t="s">
        <v>43</v>
      </c>
      <c r="J20" s="9"/>
      <c r="K20" s="9"/>
      <c r="L20" s="9">
        <f t="shared" si="4"/>
        <v>0</v>
      </c>
      <c r="M20" s="9">
        <f t="shared" si="5"/>
        <v>0</v>
      </c>
      <c r="N20" s="9"/>
      <c r="O20" s="9"/>
      <c r="P20" s="9"/>
      <c r="Q20" s="9">
        <v>0</v>
      </c>
      <c r="R20" s="9"/>
      <c r="S20" s="27"/>
      <c r="T20" s="9"/>
      <c r="U20" s="9"/>
      <c r="V20" s="27"/>
      <c r="W20" s="9">
        <f t="shared" si="6"/>
        <v>0</v>
      </c>
      <c r="X20" s="11"/>
      <c r="Y20" s="5">
        <f>X20</f>
        <v>0</v>
      </c>
      <c r="Z20" s="5">
        <f t="shared" si="7"/>
        <v>0</v>
      </c>
      <c r="AA20" s="5"/>
      <c r="AB20" s="1"/>
      <c r="AC20" s="1" t="e">
        <f t="shared" si="11"/>
        <v>#DIV/0!</v>
      </c>
      <c r="AD20" s="9" t="e">
        <f t="shared" si="8"/>
        <v>#DIV/0!</v>
      </c>
      <c r="AE20" s="9">
        <v>0</v>
      </c>
      <c r="AF20" s="9">
        <v>0</v>
      </c>
      <c r="AG20" s="9">
        <v>0</v>
      </c>
      <c r="AH20" s="9">
        <v>0</v>
      </c>
      <c r="AI20" s="9">
        <v>0</v>
      </c>
      <c r="AJ20" s="9">
        <v>0</v>
      </c>
      <c r="AK20" s="9">
        <v>0</v>
      </c>
      <c r="AL20" s="9">
        <v>0</v>
      </c>
      <c r="AM20" s="9" t="s">
        <v>80</v>
      </c>
      <c r="AN20" s="1">
        <f t="shared" si="9"/>
        <v>0</v>
      </c>
      <c r="AO20" s="1">
        <f t="shared" si="10"/>
        <v>0</v>
      </c>
      <c r="AP20" t="s">
        <v>81</v>
      </c>
    </row>
    <row r="21" spans="1:43" hidden="1" x14ac:dyDescent="0.25">
      <c r="A21" s="1" t="s">
        <v>82</v>
      </c>
      <c r="B21" s="1" t="s">
        <v>42</v>
      </c>
      <c r="C21" s="1">
        <v>4.0739999999999998</v>
      </c>
      <c r="D21" s="1">
        <v>20.452000000000002</v>
      </c>
      <c r="E21" s="1">
        <v>4.4169999999999998</v>
      </c>
      <c r="F21" s="1">
        <v>21.475999999999999</v>
      </c>
      <c r="G21" s="7">
        <v>1</v>
      </c>
      <c r="H21" s="1">
        <v>180</v>
      </c>
      <c r="I21" s="1" t="s">
        <v>43</v>
      </c>
      <c r="J21" s="1"/>
      <c r="K21" s="1">
        <v>3.2</v>
      </c>
      <c r="L21" s="1">
        <f t="shared" si="4"/>
        <v>1.2169999999999996</v>
      </c>
      <c r="M21" s="1">
        <f t="shared" si="5"/>
        <v>4.4169999999999998</v>
      </c>
      <c r="N21" s="1"/>
      <c r="O21" s="1"/>
      <c r="P21" s="1"/>
      <c r="Q21" s="1">
        <v>0</v>
      </c>
      <c r="R21" s="1"/>
      <c r="S21" s="24"/>
      <c r="T21" s="1"/>
      <c r="U21" s="1"/>
      <c r="V21" s="24"/>
      <c r="W21" s="1">
        <f t="shared" si="6"/>
        <v>0.88339999999999996</v>
      </c>
      <c r="X21" s="5"/>
      <c r="Y21" s="5">
        <f>X21</f>
        <v>0</v>
      </c>
      <c r="Z21" s="5">
        <f t="shared" si="7"/>
        <v>0</v>
      </c>
      <c r="AA21" s="5"/>
      <c r="AB21" s="1"/>
      <c r="AC21" s="1">
        <f t="shared" si="11"/>
        <v>24.310618066561013</v>
      </c>
      <c r="AD21" s="1">
        <f t="shared" si="8"/>
        <v>24.310618066561013</v>
      </c>
      <c r="AE21" s="1">
        <v>0.88339999999999996</v>
      </c>
      <c r="AF21" s="1">
        <v>1.4618</v>
      </c>
      <c r="AG21" s="1">
        <v>1.1292</v>
      </c>
      <c r="AH21" s="1">
        <v>0.64200000000000002</v>
      </c>
      <c r="AI21" s="1">
        <v>0.42899999999999999</v>
      </c>
      <c r="AJ21" s="1">
        <v>1.0448</v>
      </c>
      <c r="AK21" s="1">
        <v>1.1863999999999999</v>
      </c>
      <c r="AL21" s="1">
        <v>0.42980000000000002</v>
      </c>
      <c r="AM21" s="16" t="s">
        <v>83</v>
      </c>
      <c r="AN21" s="1">
        <f t="shared" si="9"/>
        <v>0</v>
      </c>
      <c r="AO21" s="1">
        <f t="shared" si="10"/>
        <v>0</v>
      </c>
      <c r="AP21" t="s">
        <v>84</v>
      </c>
    </row>
    <row r="22" spans="1:43" hidden="1" x14ac:dyDescent="0.25">
      <c r="A22" s="1" t="s">
        <v>85</v>
      </c>
      <c r="B22" s="1" t="s">
        <v>42</v>
      </c>
      <c r="C22" s="1">
        <v>4132.4440000000004</v>
      </c>
      <c r="D22" s="1">
        <v>9744.6650000000009</v>
      </c>
      <c r="E22" s="1">
        <v>5972.8879999999999</v>
      </c>
      <c r="F22" s="1">
        <v>5774.89</v>
      </c>
      <c r="G22" s="7">
        <v>1</v>
      </c>
      <c r="H22" s="1">
        <v>60</v>
      </c>
      <c r="I22" s="1" t="s">
        <v>43</v>
      </c>
      <c r="J22" s="1"/>
      <c r="K22" s="1">
        <v>5380.9189999999999</v>
      </c>
      <c r="L22" s="1">
        <f t="shared" si="4"/>
        <v>591.96900000000005</v>
      </c>
      <c r="M22" s="1">
        <f t="shared" si="5"/>
        <v>5972.8879999999999</v>
      </c>
      <c r="N22" s="1"/>
      <c r="O22" s="1">
        <v>3489.2332883200011</v>
      </c>
      <c r="P22" s="1"/>
      <c r="Q22" s="1">
        <v>1826.1224807039989</v>
      </c>
      <c r="R22" s="1"/>
      <c r="S22" s="24"/>
      <c r="T22" s="1">
        <v>2268.3225432959989</v>
      </c>
      <c r="U22" s="1"/>
      <c r="V22" s="24"/>
      <c r="W22" s="1">
        <f t="shared" si="6"/>
        <v>1194.5776000000001</v>
      </c>
      <c r="X22" s="5">
        <f>12*W22-T22-Q22-P22-O22-F22</f>
        <v>976.36288768000031</v>
      </c>
      <c r="Y22" s="5">
        <v>0</v>
      </c>
      <c r="Z22" s="5">
        <f t="shared" si="7"/>
        <v>0</v>
      </c>
      <c r="AA22" s="5"/>
      <c r="AB22" s="1"/>
      <c r="AC22" s="1">
        <f t="shared" si="11"/>
        <v>11.182671023062879</v>
      </c>
      <c r="AD22" s="1">
        <f t="shared" si="8"/>
        <v>11.182671023062879</v>
      </c>
      <c r="AE22" s="1">
        <v>1235.5082</v>
      </c>
      <c r="AF22" s="1">
        <v>1204.5540000000001</v>
      </c>
      <c r="AG22" s="1">
        <v>901.40879999999993</v>
      </c>
      <c r="AH22" s="1">
        <v>763.35619999999994</v>
      </c>
      <c r="AI22" s="1">
        <v>859.37340000000006</v>
      </c>
      <c r="AJ22" s="1">
        <v>796.55060000000003</v>
      </c>
      <c r="AK22" s="1">
        <v>870.48359999999991</v>
      </c>
      <c r="AL22" s="1">
        <v>625.42460000000005</v>
      </c>
      <c r="AM22" s="1"/>
      <c r="AN22" s="1">
        <f t="shared" si="9"/>
        <v>0</v>
      </c>
      <c r="AO22" s="1">
        <f t="shared" si="10"/>
        <v>0</v>
      </c>
      <c r="AP22" t="s">
        <v>86</v>
      </c>
    </row>
    <row r="23" spans="1:43" hidden="1" x14ac:dyDescent="0.25">
      <c r="A23" s="9" t="s">
        <v>87</v>
      </c>
      <c r="B23" s="9" t="s">
        <v>42</v>
      </c>
      <c r="C23" s="9">
        <v>-7.4930000000000003</v>
      </c>
      <c r="D23" s="9"/>
      <c r="E23" s="13">
        <v>4.97</v>
      </c>
      <c r="F23" s="13">
        <v>-12.462999999999999</v>
      </c>
      <c r="G23" s="10">
        <v>0</v>
      </c>
      <c r="H23" s="9"/>
      <c r="I23" s="9" t="s">
        <v>67</v>
      </c>
      <c r="J23" s="9" t="s">
        <v>88</v>
      </c>
      <c r="K23" s="9">
        <v>5</v>
      </c>
      <c r="L23" s="9">
        <f t="shared" si="4"/>
        <v>-3.0000000000000249E-2</v>
      </c>
      <c r="M23" s="9">
        <f t="shared" si="5"/>
        <v>4.97</v>
      </c>
      <c r="N23" s="9"/>
      <c r="O23" s="9"/>
      <c r="P23" s="9"/>
      <c r="Q23" s="9">
        <v>0</v>
      </c>
      <c r="R23" s="9"/>
      <c r="S23" s="27"/>
      <c r="T23" s="9"/>
      <c r="U23" s="9"/>
      <c r="V23" s="27"/>
      <c r="W23" s="9">
        <f t="shared" si="6"/>
        <v>0.99399999999999999</v>
      </c>
      <c r="X23" s="11"/>
      <c r="Y23" s="5">
        <f>X23</f>
        <v>0</v>
      </c>
      <c r="Z23" s="5">
        <f t="shared" si="7"/>
        <v>0</v>
      </c>
      <c r="AA23" s="5"/>
      <c r="AB23" s="1"/>
      <c r="AC23" s="1">
        <f t="shared" si="11"/>
        <v>-12.538229376257545</v>
      </c>
      <c r="AD23" s="9">
        <f t="shared" si="8"/>
        <v>-12.538229376257545</v>
      </c>
      <c r="AE23" s="9">
        <v>0.99399999999999999</v>
      </c>
      <c r="AF23" s="9">
        <v>0</v>
      </c>
      <c r="AG23" s="9">
        <v>0</v>
      </c>
      <c r="AH23" s="9">
        <v>0</v>
      </c>
      <c r="AI23" s="9">
        <v>0</v>
      </c>
      <c r="AJ23" s="9">
        <v>1.4985999999999999</v>
      </c>
      <c r="AK23" s="9">
        <v>1.4985999999999999</v>
      </c>
      <c r="AL23" s="9">
        <v>0</v>
      </c>
      <c r="AM23" s="9"/>
      <c r="AN23" s="1">
        <f t="shared" si="9"/>
        <v>0</v>
      </c>
      <c r="AO23" s="1">
        <f t="shared" si="10"/>
        <v>0</v>
      </c>
      <c r="AP23" t="s">
        <v>89</v>
      </c>
      <c r="AQ23" t="str">
        <f>VLOOKUP(AP23,[1]Лист1!$A:$A,1,0)</f>
        <v>SU003422</v>
      </c>
    </row>
    <row r="24" spans="1:43" hidden="1" x14ac:dyDescent="0.25">
      <c r="A24" s="1" t="s">
        <v>90</v>
      </c>
      <c r="B24" s="1" t="s">
        <v>42</v>
      </c>
      <c r="C24" s="1">
        <v>335.72899999999998</v>
      </c>
      <c r="D24" s="1">
        <v>1254.8689999999999</v>
      </c>
      <c r="E24" s="1">
        <v>209.511</v>
      </c>
      <c r="F24" s="1">
        <v>583.08699999999999</v>
      </c>
      <c r="G24" s="7">
        <v>1</v>
      </c>
      <c r="H24" s="1">
        <v>70</v>
      </c>
      <c r="I24" s="1" t="s">
        <v>43</v>
      </c>
      <c r="J24" s="1"/>
      <c r="K24" s="1">
        <v>1037.5450000000001</v>
      </c>
      <c r="L24" s="1">
        <f t="shared" si="4"/>
        <v>-828.03400000000011</v>
      </c>
      <c r="M24" s="1">
        <f t="shared" si="5"/>
        <v>108.401</v>
      </c>
      <c r="N24" s="1">
        <v>101.11</v>
      </c>
      <c r="O24" s="1"/>
      <c r="P24" s="1"/>
      <c r="Q24" s="1">
        <v>0</v>
      </c>
      <c r="R24" s="1"/>
      <c r="S24" s="24"/>
      <c r="T24" s="1"/>
      <c r="U24" s="1"/>
      <c r="V24" s="24"/>
      <c r="W24" s="1">
        <f t="shared" si="6"/>
        <v>21.680199999999999</v>
      </c>
      <c r="X24" s="5"/>
      <c r="Y24" s="5">
        <f>X24</f>
        <v>0</v>
      </c>
      <c r="Z24" s="5">
        <f t="shared" si="7"/>
        <v>0</v>
      </c>
      <c r="AA24" s="5"/>
      <c r="AB24" s="1"/>
      <c r="AC24" s="1">
        <f t="shared" si="11"/>
        <v>26.894908718554259</v>
      </c>
      <c r="AD24" s="1">
        <f t="shared" si="8"/>
        <v>26.894908718554259</v>
      </c>
      <c r="AE24" s="1">
        <v>72.813199999999995</v>
      </c>
      <c r="AF24" s="1">
        <v>77.070599999999999</v>
      </c>
      <c r="AG24" s="1">
        <v>121.82040000000001</v>
      </c>
      <c r="AH24" s="1">
        <v>64.7166</v>
      </c>
      <c r="AI24" s="1">
        <v>29.255199999999999</v>
      </c>
      <c r="AJ24" s="1">
        <v>86.518400000000014</v>
      </c>
      <c r="AK24" s="1">
        <v>112.26900000000001</v>
      </c>
      <c r="AL24" s="1">
        <v>80.832799999999992</v>
      </c>
      <c r="AM24" s="16" t="s">
        <v>83</v>
      </c>
      <c r="AN24" s="1">
        <f t="shared" si="9"/>
        <v>0</v>
      </c>
      <c r="AO24" s="1">
        <f t="shared" si="10"/>
        <v>0</v>
      </c>
      <c r="AP24" t="s">
        <v>91</v>
      </c>
    </row>
    <row r="25" spans="1:43" hidden="1" x14ac:dyDescent="0.25">
      <c r="A25" s="1" t="s">
        <v>92</v>
      </c>
      <c r="B25" s="1" t="s">
        <v>42</v>
      </c>
      <c r="C25" s="1">
        <v>1316.174</v>
      </c>
      <c r="D25" s="1">
        <v>1676.538</v>
      </c>
      <c r="E25" s="1">
        <v>1398.375</v>
      </c>
      <c r="F25" s="1">
        <v>990.20899999999995</v>
      </c>
      <c r="G25" s="7">
        <v>1</v>
      </c>
      <c r="H25" s="1">
        <v>70</v>
      </c>
      <c r="I25" s="1" t="s">
        <v>43</v>
      </c>
      <c r="J25" s="1"/>
      <c r="K25" s="1">
        <v>1519.923</v>
      </c>
      <c r="L25" s="1">
        <f t="shared" si="4"/>
        <v>-121.548</v>
      </c>
      <c r="M25" s="1">
        <f t="shared" si="5"/>
        <v>1063.414</v>
      </c>
      <c r="N25" s="1">
        <v>334.96100000000001</v>
      </c>
      <c r="O25" s="1">
        <v>457.30278177584012</v>
      </c>
      <c r="P25" s="1"/>
      <c r="Q25" s="1">
        <v>322.91478138456802</v>
      </c>
      <c r="R25" s="1"/>
      <c r="S25" s="24"/>
      <c r="T25" s="1">
        <v>401.10939212343197</v>
      </c>
      <c r="U25" s="1"/>
      <c r="V25" s="24"/>
      <c r="W25" s="1">
        <f t="shared" si="6"/>
        <v>212.68279999999999</v>
      </c>
      <c r="X25" s="5">
        <f>12*W25-T25-Q25-P25-O25-F25</f>
        <v>380.65764471615955</v>
      </c>
      <c r="Y25" s="5">
        <f>X25+$Y$1*W25</f>
        <v>589.0867887161595</v>
      </c>
      <c r="Z25" s="5">
        <f t="shared" si="7"/>
        <v>589.0867887161595</v>
      </c>
      <c r="AA25" s="5"/>
      <c r="AB25" s="1"/>
      <c r="AC25" s="1">
        <f t="shared" si="11"/>
        <v>12.979999999999997</v>
      </c>
      <c r="AD25" s="1">
        <f t="shared" si="8"/>
        <v>10.210209548133841</v>
      </c>
      <c r="AE25" s="1">
        <v>230.36799999999999</v>
      </c>
      <c r="AF25" s="1">
        <v>244.7884</v>
      </c>
      <c r="AG25" s="1">
        <v>233.47839999999999</v>
      </c>
      <c r="AH25" s="1">
        <v>197.40940000000001</v>
      </c>
      <c r="AI25" s="1">
        <v>248.37119999999999</v>
      </c>
      <c r="AJ25" s="1">
        <v>254.24639999999999</v>
      </c>
      <c r="AK25" s="1">
        <v>255.9778</v>
      </c>
      <c r="AL25" s="1">
        <v>183.00020000000001</v>
      </c>
      <c r="AM25" s="1"/>
      <c r="AN25" s="1">
        <f t="shared" si="9"/>
        <v>589</v>
      </c>
      <c r="AO25" s="1">
        <f t="shared" si="10"/>
        <v>0</v>
      </c>
      <c r="AP25" t="s">
        <v>93</v>
      </c>
    </row>
    <row r="26" spans="1:43" hidden="1" x14ac:dyDescent="0.25">
      <c r="A26" s="9" t="s">
        <v>94</v>
      </c>
      <c r="B26" s="9" t="s">
        <v>42</v>
      </c>
      <c r="C26" s="9"/>
      <c r="D26" s="9"/>
      <c r="E26" s="9"/>
      <c r="F26" s="9"/>
      <c r="G26" s="10">
        <v>0</v>
      </c>
      <c r="H26" s="9"/>
      <c r="I26" s="9" t="s">
        <v>43</v>
      </c>
      <c r="J26" s="9"/>
      <c r="K26" s="9"/>
      <c r="L26" s="9">
        <f t="shared" si="4"/>
        <v>0</v>
      </c>
      <c r="M26" s="9">
        <f t="shared" si="5"/>
        <v>0</v>
      </c>
      <c r="N26" s="9"/>
      <c r="O26" s="9"/>
      <c r="P26" s="9"/>
      <c r="Q26" s="9">
        <v>0</v>
      </c>
      <c r="R26" s="9"/>
      <c r="S26" s="27"/>
      <c r="T26" s="9"/>
      <c r="U26" s="9"/>
      <c r="V26" s="27"/>
      <c r="W26" s="9">
        <f t="shared" si="6"/>
        <v>0</v>
      </c>
      <c r="X26" s="11"/>
      <c r="Y26" s="5">
        <f>X26</f>
        <v>0</v>
      </c>
      <c r="Z26" s="5">
        <f t="shared" si="7"/>
        <v>0</v>
      </c>
      <c r="AA26" s="5"/>
      <c r="AB26" s="1"/>
      <c r="AC26" s="1" t="e">
        <f t="shared" si="11"/>
        <v>#DIV/0!</v>
      </c>
      <c r="AD26" s="9" t="e">
        <f t="shared" si="8"/>
        <v>#DIV/0!</v>
      </c>
      <c r="AE26" s="9">
        <v>0</v>
      </c>
      <c r="AF26" s="9">
        <v>0</v>
      </c>
      <c r="AG26" s="9">
        <v>0</v>
      </c>
      <c r="AH26" s="9">
        <v>0</v>
      </c>
      <c r="AI26" s="9">
        <v>0</v>
      </c>
      <c r="AJ26" s="9">
        <v>0</v>
      </c>
      <c r="AK26" s="9">
        <v>0</v>
      </c>
      <c r="AL26" s="9">
        <v>0</v>
      </c>
      <c r="AM26" s="9" t="s">
        <v>80</v>
      </c>
      <c r="AN26" s="1">
        <f t="shared" si="9"/>
        <v>0</v>
      </c>
      <c r="AO26" s="1">
        <f t="shared" si="10"/>
        <v>0</v>
      </c>
      <c r="AP26" t="s">
        <v>95</v>
      </c>
    </row>
    <row r="27" spans="1:43" hidden="1" x14ac:dyDescent="0.25">
      <c r="A27" s="1" t="s">
        <v>96</v>
      </c>
      <c r="B27" s="1" t="s">
        <v>42</v>
      </c>
      <c r="C27" s="1">
        <v>2323.6109999999999</v>
      </c>
      <c r="D27" s="1">
        <v>2015.317</v>
      </c>
      <c r="E27" s="1">
        <v>2505.23</v>
      </c>
      <c r="F27" s="1">
        <v>633.43299999999999</v>
      </c>
      <c r="G27" s="7">
        <v>1</v>
      </c>
      <c r="H27" s="1">
        <v>70</v>
      </c>
      <c r="I27" s="1" t="s">
        <v>43</v>
      </c>
      <c r="J27" s="1"/>
      <c r="K27" s="1">
        <v>2693.62</v>
      </c>
      <c r="L27" s="1">
        <f t="shared" si="4"/>
        <v>-188.38999999999987</v>
      </c>
      <c r="M27" s="1">
        <f t="shared" si="5"/>
        <v>1782.2339999999999</v>
      </c>
      <c r="N27" s="1">
        <v>722.99599999999998</v>
      </c>
      <c r="O27" s="1">
        <v>416</v>
      </c>
      <c r="P27" s="1"/>
      <c r="Q27" s="1">
        <v>1084.23770304</v>
      </c>
      <c r="R27" s="1"/>
      <c r="S27" s="24"/>
      <c r="T27" s="1">
        <v>1346.7885369600001</v>
      </c>
      <c r="U27" s="1"/>
      <c r="V27" s="24"/>
      <c r="W27" s="1">
        <f t="shared" si="6"/>
        <v>356.4468</v>
      </c>
      <c r="X27" s="5">
        <f>12*W27-T27-Q27-P27-O27-F27</f>
        <v>796.90236000000027</v>
      </c>
      <c r="Y27" s="5">
        <f>X27+$Y$1*W27</f>
        <v>1146.2202240000001</v>
      </c>
      <c r="Z27" s="5">
        <f t="shared" si="7"/>
        <v>1146.2202240000001</v>
      </c>
      <c r="AA27" s="5"/>
      <c r="AB27" s="1"/>
      <c r="AC27" s="1">
        <f t="shared" si="11"/>
        <v>12.980000000000002</v>
      </c>
      <c r="AD27" s="1">
        <f t="shared" si="8"/>
        <v>9.7643161335716862</v>
      </c>
      <c r="AE27" s="1">
        <v>377.3442</v>
      </c>
      <c r="AF27" s="1">
        <v>436.64600000000002</v>
      </c>
      <c r="AG27" s="1">
        <v>375.16520000000003</v>
      </c>
      <c r="AH27" s="1">
        <v>497.58879999999999</v>
      </c>
      <c r="AI27" s="1">
        <v>453.67960000000011</v>
      </c>
      <c r="AJ27" s="1">
        <v>417.40320000000003</v>
      </c>
      <c r="AK27" s="1">
        <v>457.06279999999998</v>
      </c>
      <c r="AL27" s="1">
        <v>304.71480000000003</v>
      </c>
      <c r="AM27" s="1"/>
      <c r="AN27" s="1">
        <f t="shared" si="9"/>
        <v>1146</v>
      </c>
      <c r="AO27" s="1">
        <f t="shared" si="10"/>
        <v>0</v>
      </c>
      <c r="AP27" t="s">
        <v>97</v>
      </c>
    </row>
    <row r="28" spans="1:43" hidden="1" x14ac:dyDescent="0.25">
      <c r="A28" s="1" t="s">
        <v>98</v>
      </c>
      <c r="B28" s="1" t="s">
        <v>42</v>
      </c>
      <c r="C28" s="1">
        <v>81.498000000000005</v>
      </c>
      <c r="D28" s="1"/>
      <c r="E28" s="1">
        <v>6.5110000000000001</v>
      </c>
      <c r="F28" s="1">
        <v>69.201999999999998</v>
      </c>
      <c r="G28" s="7">
        <v>1</v>
      </c>
      <c r="H28" s="1">
        <v>40</v>
      </c>
      <c r="I28" s="1" t="s">
        <v>43</v>
      </c>
      <c r="J28" s="1"/>
      <c r="K28" s="1">
        <v>7.2</v>
      </c>
      <c r="L28" s="1">
        <f t="shared" si="4"/>
        <v>-0.68900000000000006</v>
      </c>
      <c r="M28" s="1">
        <f t="shared" si="5"/>
        <v>6.5110000000000001</v>
      </c>
      <c r="N28" s="1"/>
      <c r="O28" s="1"/>
      <c r="P28" s="1"/>
      <c r="Q28" s="1">
        <v>0</v>
      </c>
      <c r="R28" s="1"/>
      <c r="S28" s="24"/>
      <c r="T28" s="1"/>
      <c r="U28" s="1"/>
      <c r="V28" s="24"/>
      <c r="W28" s="1">
        <f t="shared" si="6"/>
        <v>1.3022</v>
      </c>
      <c r="X28" s="5"/>
      <c r="Y28" s="5">
        <f t="shared" ref="Y28:Y38" si="13">X28</f>
        <v>0</v>
      </c>
      <c r="Z28" s="5">
        <f t="shared" si="7"/>
        <v>0</v>
      </c>
      <c r="AA28" s="5"/>
      <c r="AB28" s="1"/>
      <c r="AC28" s="1">
        <f t="shared" si="11"/>
        <v>53.142374443249885</v>
      </c>
      <c r="AD28" s="1">
        <f t="shared" si="8"/>
        <v>53.142374443249885</v>
      </c>
      <c r="AE28" s="1">
        <v>1.3022</v>
      </c>
      <c r="AF28" s="1">
        <v>1.9805999999999999</v>
      </c>
      <c r="AG28" s="1">
        <v>1.2582</v>
      </c>
      <c r="AH28" s="1">
        <v>0.73199999999999998</v>
      </c>
      <c r="AI28" s="1">
        <v>1.3146</v>
      </c>
      <c r="AJ28" s="1">
        <v>7.8512000000000004</v>
      </c>
      <c r="AK28" s="1">
        <v>8.7356000000000016</v>
      </c>
      <c r="AL28" s="1">
        <v>3.5047999999999999</v>
      </c>
      <c r="AM28" s="12" t="s">
        <v>99</v>
      </c>
      <c r="AN28" s="1">
        <f t="shared" si="9"/>
        <v>0</v>
      </c>
      <c r="AO28" s="1">
        <f t="shared" si="10"/>
        <v>0</v>
      </c>
      <c r="AP28" t="s">
        <v>100</v>
      </c>
    </row>
    <row r="29" spans="1:43" hidden="1" x14ac:dyDescent="0.25">
      <c r="A29" s="9" t="s">
        <v>101</v>
      </c>
      <c r="B29" s="9" t="s">
        <v>42</v>
      </c>
      <c r="C29" s="9"/>
      <c r="D29" s="9"/>
      <c r="E29" s="9"/>
      <c r="F29" s="9"/>
      <c r="G29" s="10">
        <v>0</v>
      </c>
      <c r="H29" s="9"/>
      <c r="I29" s="9" t="s">
        <v>43</v>
      </c>
      <c r="J29" s="9"/>
      <c r="K29" s="9"/>
      <c r="L29" s="9">
        <f t="shared" si="4"/>
        <v>0</v>
      </c>
      <c r="M29" s="9">
        <f t="shared" si="5"/>
        <v>0</v>
      </c>
      <c r="N29" s="9"/>
      <c r="O29" s="9"/>
      <c r="P29" s="9"/>
      <c r="Q29" s="9">
        <v>0</v>
      </c>
      <c r="R29" s="9"/>
      <c r="S29" s="27"/>
      <c r="T29" s="9"/>
      <c r="U29" s="9"/>
      <c r="V29" s="27"/>
      <c r="W29" s="9">
        <f t="shared" si="6"/>
        <v>0</v>
      </c>
      <c r="X29" s="11"/>
      <c r="Y29" s="5">
        <f t="shared" si="13"/>
        <v>0</v>
      </c>
      <c r="Z29" s="5">
        <f t="shared" si="7"/>
        <v>0</v>
      </c>
      <c r="AA29" s="5"/>
      <c r="AB29" s="1"/>
      <c r="AC29" s="1" t="e">
        <f t="shared" si="11"/>
        <v>#DIV/0!</v>
      </c>
      <c r="AD29" s="9" t="e">
        <f t="shared" si="8"/>
        <v>#DIV/0!</v>
      </c>
      <c r="AE29" s="9">
        <v>0</v>
      </c>
      <c r="AF29" s="9">
        <v>0</v>
      </c>
      <c r="AG29" s="9">
        <v>0</v>
      </c>
      <c r="AH29" s="9">
        <v>0</v>
      </c>
      <c r="AI29" s="9">
        <v>0</v>
      </c>
      <c r="AJ29" s="9">
        <v>0</v>
      </c>
      <c r="AK29" s="9">
        <v>0</v>
      </c>
      <c r="AL29" s="9">
        <v>0</v>
      </c>
      <c r="AM29" s="9" t="s">
        <v>80</v>
      </c>
      <c r="AN29" s="1">
        <f t="shared" si="9"/>
        <v>0</v>
      </c>
      <c r="AO29" s="1">
        <f t="shared" si="10"/>
        <v>0</v>
      </c>
      <c r="AP29" t="s">
        <v>102</v>
      </c>
    </row>
    <row r="30" spans="1:43" hidden="1" x14ac:dyDescent="0.25">
      <c r="A30" s="9" t="s">
        <v>103</v>
      </c>
      <c r="B30" s="9" t="s">
        <v>42</v>
      </c>
      <c r="C30" s="9"/>
      <c r="D30" s="9"/>
      <c r="E30" s="9"/>
      <c r="F30" s="9"/>
      <c r="G30" s="10">
        <v>0</v>
      </c>
      <c r="H30" s="9"/>
      <c r="I30" s="9" t="s">
        <v>43</v>
      </c>
      <c r="J30" s="9"/>
      <c r="K30" s="9"/>
      <c r="L30" s="9">
        <f t="shared" si="4"/>
        <v>0</v>
      </c>
      <c r="M30" s="9">
        <f t="shared" si="5"/>
        <v>0</v>
      </c>
      <c r="N30" s="9"/>
      <c r="O30" s="9"/>
      <c r="P30" s="9"/>
      <c r="Q30" s="9">
        <v>0</v>
      </c>
      <c r="R30" s="9"/>
      <c r="S30" s="27"/>
      <c r="T30" s="9"/>
      <c r="U30" s="9"/>
      <c r="V30" s="27"/>
      <c r="W30" s="9">
        <f t="shared" si="6"/>
        <v>0</v>
      </c>
      <c r="X30" s="11"/>
      <c r="Y30" s="5">
        <f t="shared" si="13"/>
        <v>0</v>
      </c>
      <c r="Z30" s="5">
        <f t="shared" si="7"/>
        <v>0</v>
      </c>
      <c r="AA30" s="5"/>
      <c r="AB30" s="1"/>
      <c r="AC30" s="1" t="e">
        <f t="shared" si="11"/>
        <v>#DIV/0!</v>
      </c>
      <c r="AD30" s="9" t="e">
        <f t="shared" si="8"/>
        <v>#DIV/0!</v>
      </c>
      <c r="AE30" s="9">
        <v>0</v>
      </c>
      <c r="AF30" s="9">
        <v>0</v>
      </c>
      <c r="AG30" s="9">
        <v>0</v>
      </c>
      <c r="AH30" s="9">
        <v>0</v>
      </c>
      <c r="AI30" s="9">
        <v>0</v>
      </c>
      <c r="AJ30" s="9">
        <v>0</v>
      </c>
      <c r="AK30" s="9">
        <v>0</v>
      </c>
      <c r="AL30" s="9">
        <v>0</v>
      </c>
      <c r="AM30" s="9" t="s">
        <v>80</v>
      </c>
      <c r="AN30" s="1">
        <f t="shared" si="9"/>
        <v>0</v>
      </c>
      <c r="AO30" s="1">
        <f t="shared" si="10"/>
        <v>0</v>
      </c>
      <c r="AP30" t="s">
        <v>104</v>
      </c>
    </row>
    <row r="31" spans="1:43" hidden="1" x14ac:dyDescent="0.25">
      <c r="A31" s="1" t="s">
        <v>105</v>
      </c>
      <c r="B31" s="1" t="s">
        <v>42</v>
      </c>
      <c r="C31" s="1">
        <v>1400.299</v>
      </c>
      <c r="D31" s="1">
        <v>2826.5219999999999</v>
      </c>
      <c r="E31" s="1">
        <v>3172.8249999999998</v>
      </c>
      <c r="F31" s="1">
        <v>187.90199999999999</v>
      </c>
      <c r="G31" s="7">
        <v>1</v>
      </c>
      <c r="H31" s="1">
        <v>30</v>
      </c>
      <c r="I31" s="15" t="s">
        <v>106</v>
      </c>
      <c r="J31" s="1"/>
      <c r="K31" s="1">
        <v>2490.0369999999998</v>
      </c>
      <c r="L31" s="1">
        <f t="shared" si="4"/>
        <v>682.78800000000001</v>
      </c>
      <c r="M31" s="1">
        <f t="shared" si="5"/>
        <v>2203.2379999999998</v>
      </c>
      <c r="N31" s="1">
        <v>969.58699999999999</v>
      </c>
      <c r="O31" s="1">
        <v>416</v>
      </c>
      <c r="P31" s="1"/>
      <c r="Q31" s="1">
        <v>668.99999999999989</v>
      </c>
      <c r="R31" s="1"/>
      <c r="S31" s="24"/>
      <c r="T31" s="1">
        <v>831.00000000000011</v>
      </c>
      <c r="U31" s="1"/>
      <c r="V31" s="24"/>
      <c r="W31" s="1">
        <f t="shared" si="6"/>
        <v>440.64759999999995</v>
      </c>
      <c r="X31" s="5">
        <f>11*W31-T31-Q31-P31-O31-F31</f>
        <v>2743.2215999999999</v>
      </c>
      <c r="Y31" s="5">
        <f t="shared" si="13"/>
        <v>2743.2215999999999</v>
      </c>
      <c r="Z31" s="5">
        <v>2610</v>
      </c>
      <c r="AA31" s="5">
        <f>Y31*0.5</f>
        <v>1371.6107999999999</v>
      </c>
      <c r="AB31" s="1"/>
      <c r="AC31" s="1">
        <f t="shared" si="11"/>
        <v>13.810384534035817</v>
      </c>
      <c r="AD31" s="1">
        <f t="shared" si="8"/>
        <v>4.7745681583197097</v>
      </c>
      <c r="AE31" s="1">
        <v>365.18979999999999</v>
      </c>
      <c r="AF31" s="1">
        <v>310.87279999999998</v>
      </c>
      <c r="AG31" s="1">
        <v>178.89779999999999</v>
      </c>
      <c r="AH31" s="1">
        <v>437.43319999999989</v>
      </c>
      <c r="AI31" s="1">
        <v>568.72439999999995</v>
      </c>
      <c r="AJ31" s="1">
        <v>251.48259999999999</v>
      </c>
      <c r="AK31" s="1">
        <v>368.85539999999997</v>
      </c>
      <c r="AL31" s="1">
        <v>396.49419999999998</v>
      </c>
      <c r="AM31" s="1"/>
      <c r="AN31" s="1">
        <f t="shared" si="9"/>
        <v>2610</v>
      </c>
      <c r="AO31" s="1">
        <f t="shared" si="10"/>
        <v>1372</v>
      </c>
      <c r="AP31" t="s">
        <v>107</v>
      </c>
    </row>
    <row r="32" spans="1:43" hidden="1" x14ac:dyDescent="0.25">
      <c r="A32" s="9" t="s">
        <v>108</v>
      </c>
      <c r="B32" s="9" t="s">
        <v>42</v>
      </c>
      <c r="C32" s="9">
        <v>-0.23</v>
      </c>
      <c r="D32" s="9"/>
      <c r="E32" s="9"/>
      <c r="F32" s="9">
        <v>-0.23</v>
      </c>
      <c r="G32" s="10">
        <v>0</v>
      </c>
      <c r="H32" s="9">
        <v>40</v>
      </c>
      <c r="I32" s="9" t="s">
        <v>67</v>
      </c>
      <c r="J32" s="9"/>
      <c r="K32" s="9"/>
      <c r="L32" s="9">
        <f t="shared" si="4"/>
        <v>0</v>
      </c>
      <c r="M32" s="9">
        <f t="shared" si="5"/>
        <v>0</v>
      </c>
      <c r="N32" s="9"/>
      <c r="O32" s="9"/>
      <c r="P32" s="9"/>
      <c r="Q32" s="9">
        <v>0</v>
      </c>
      <c r="R32" s="9"/>
      <c r="S32" s="27"/>
      <c r="T32" s="9"/>
      <c r="U32" s="9"/>
      <c r="V32" s="27"/>
      <c r="W32" s="9">
        <f t="shared" si="6"/>
        <v>0</v>
      </c>
      <c r="X32" s="11"/>
      <c r="Y32" s="5">
        <f t="shared" si="13"/>
        <v>0</v>
      </c>
      <c r="Z32" s="5">
        <f>Y32-AA32</f>
        <v>0</v>
      </c>
      <c r="AA32" s="5"/>
      <c r="AB32" s="1"/>
      <c r="AC32" s="1" t="e">
        <f t="shared" si="11"/>
        <v>#DIV/0!</v>
      </c>
      <c r="AD32" s="9" t="e">
        <f t="shared" si="8"/>
        <v>#DIV/0!</v>
      </c>
      <c r="AE32" s="9">
        <v>0</v>
      </c>
      <c r="AF32" s="9">
        <v>0</v>
      </c>
      <c r="AG32" s="9">
        <v>0</v>
      </c>
      <c r="AH32" s="9">
        <v>0</v>
      </c>
      <c r="AI32" s="9">
        <v>-9.8000000000000004E-2</v>
      </c>
      <c r="AJ32" s="9">
        <v>12.5518</v>
      </c>
      <c r="AK32" s="9">
        <v>13.9894</v>
      </c>
      <c r="AL32" s="9">
        <v>4.5703999999999994</v>
      </c>
      <c r="AM32" s="9"/>
      <c r="AN32" s="1">
        <f t="shared" si="9"/>
        <v>0</v>
      </c>
      <c r="AO32" s="1">
        <f t="shared" si="10"/>
        <v>0</v>
      </c>
      <c r="AP32" t="s">
        <v>109</v>
      </c>
    </row>
    <row r="33" spans="1:42" hidden="1" x14ac:dyDescent="0.25">
      <c r="A33" s="1" t="s">
        <v>110</v>
      </c>
      <c r="B33" s="1" t="s">
        <v>42</v>
      </c>
      <c r="C33" s="1">
        <v>1148.73</v>
      </c>
      <c r="D33" s="1">
        <v>431.798</v>
      </c>
      <c r="E33" s="1">
        <v>3281.402</v>
      </c>
      <c r="F33" s="1">
        <v>-114.405</v>
      </c>
      <c r="G33" s="7">
        <v>1</v>
      </c>
      <c r="H33" s="1">
        <v>40</v>
      </c>
      <c r="I33" s="15" t="s">
        <v>106</v>
      </c>
      <c r="J33" s="1"/>
      <c r="K33" s="1">
        <v>3984.6759999999999</v>
      </c>
      <c r="L33" s="1">
        <f t="shared" si="4"/>
        <v>-703.27399999999989</v>
      </c>
      <c r="M33" s="1">
        <f t="shared" si="5"/>
        <v>3281.402</v>
      </c>
      <c r="N33" s="1"/>
      <c r="O33" s="1">
        <v>520</v>
      </c>
      <c r="P33" s="1">
        <v>-522</v>
      </c>
      <c r="Q33" s="1">
        <v>892</v>
      </c>
      <c r="R33" s="1"/>
      <c r="S33" s="24"/>
      <c r="T33" s="1">
        <v>1208</v>
      </c>
      <c r="U33" s="1">
        <v>-1208</v>
      </c>
      <c r="V33" s="24"/>
      <c r="W33" s="1">
        <f t="shared" si="6"/>
        <v>656.28039999999999</v>
      </c>
      <c r="X33" s="5">
        <v>2200</v>
      </c>
      <c r="Y33" s="5">
        <f t="shared" si="13"/>
        <v>2200</v>
      </c>
      <c r="Z33" s="5">
        <f>Y33</f>
        <v>2200</v>
      </c>
      <c r="AA33" s="5">
        <f>Y33*0.5</f>
        <v>1100</v>
      </c>
      <c r="AB33" s="1"/>
      <c r="AC33" s="1">
        <f t="shared" si="11"/>
        <v>6.2101427987183531</v>
      </c>
      <c r="AD33" s="1">
        <f t="shared" si="8"/>
        <v>3.0224809395496193</v>
      </c>
      <c r="AE33" s="1">
        <v>656.84399999999994</v>
      </c>
      <c r="AF33" s="1">
        <v>328.15300000000002</v>
      </c>
      <c r="AG33" s="1">
        <v>-0.84619999999999995</v>
      </c>
      <c r="AH33" s="1">
        <v>8.5924000000000014</v>
      </c>
      <c r="AI33" s="1">
        <v>9.855599999999999</v>
      </c>
      <c r="AJ33" s="1">
        <v>688.04320000000007</v>
      </c>
      <c r="AK33" s="1">
        <v>1184.2532000000001</v>
      </c>
      <c r="AL33" s="1">
        <v>1031.4698000000001</v>
      </c>
      <c r="AM33" s="1"/>
      <c r="AN33" s="1">
        <f t="shared" si="9"/>
        <v>2200</v>
      </c>
      <c r="AO33" s="1">
        <f t="shared" si="10"/>
        <v>1100</v>
      </c>
      <c r="AP33" t="s">
        <v>111</v>
      </c>
    </row>
    <row r="34" spans="1:42" hidden="1" x14ac:dyDescent="0.25">
      <c r="A34" s="9" t="s">
        <v>112</v>
      </c>
      <c r="B34" s="9" t="s">
        <v>42</v>
      </c>
      <c r="C34" s="9"/>
      <c r="D34" s="9"/>
      <c r="E34" s="9"/>
      <c r="F34" s="9"/>
      <c r="G34" s="10">
        <v>0</v>
      </c>
      <c r="H34" s="9"/>
      <c r="I34" s="9" t="s">
        <v>43</v>
      </c>
      <c r="J34" s="9"/>
      <c r="K34" s="9"/>
      <c r="L34" s="9">
        <f t="shared" si="4"/>
        <v>0</v>
      </c>
      <c r="M34" s="9">
        <f t="shared" si="5"/>
        <v>0</v>
      </c>
      <c r="N34" s="9"/>
      <c r="O34" s="9"/>
      <c r="P34" s="9"/>
      <c r="Q34" s="9">
        <v>0</v>
      </c>
      <c r="R34" s="9"/>
      <c r="S34" s="27"/>
      <c r="T34" s="9"/>
      <c r="U34" s="9"/>
      <c r="V34" s="27"/>
      <c r="W34" s="9">
        <f t="shared" si="6"/>
        <v>0</v>
      </c>
      <c r="X34" s="11"/>
      <c r="Y34" s="5">
        <f t="shared" si="13"/>
        <v>0</v>
      </c>
      <c r="Z34" s="5">
        <f>Y34-AA34</f>
        <v>0</v>
      </c>
      <c r="AA34" s="5"/>
      <c r="AB34" s="1"/>
      <c r="AC34" s="1" t="e">
        <f t="shared" si="11"/>
        <v>#DIV/0!</v>
      </c>
      <c r="AD34" s="9" t="e">
        <f t="shared" si="8"/>
        <v>#DIV/0!</v>
      </c>
      <c r="AE34" s="9">
        <v>0</v>
      </c>
      <c r="AF34" s="9">
        <v>0</v>
      </c>
      <c r="AG34" s="9">
        <v>0</v>
      </c>
      <c r="AH34" s="9">
        <v>0</v>
      </c>
      <c r="AI34" s="9">
        <v>0</v>
      </c>
      <c r="AJ34" s="9">
        <v>0</v>
      </c>
      <c r="AK34" s="9">
        <v>0</v>
      </c>
      <c r="AL34" s="9">
        <v>0</v>
      </c>
      <c r="AM34" s="9" t="s">
        <v>80</v>
      </c>
      <c r="AN34" s="1">
        <f t="shared" si="9"/>
        <v>0</v>
      </c>
      <c r="AO34" s="1">
        <f t="shared" si="10"/>
        <v>0</v>
      </c>
      <c r="AP34" t="s">
        <v>113</v>
      </c>
    </row>
    <row r="35" spans="1:42" hidden="1" x14ac:dyDescent="0.25">
      <c r="A35" s="9" t="s">
        <v>114</v>
      </c>
      <c r="B35" s="9" t="s">
        <v>42</v>
      </c>
      <c r="C35" s="9"/>
      <c r="D35" s="9"/>
      <c r="E35" s="9"/>
      <c r="F35" s="9"/>
      <c r="G35" s="10">
        <v>0</v>
      </c>
      <c r="H35" s="9"/>
      <c r="I35" s="9" t="s">
        <v>43</v>
      </c>
      <c r="J35" s="9"/>
      <c r="K35" s="9"/>
      <c r="L35" s="9">
        <f t="shared" si="4"/>
        <v>0</v>
      </c>
      <c r="M35" s="9">
        <f t="shared" si="5"/>
        <v>0</v>
      </c>
      <c r="N35" s="9"/>
      <c r="O35" s="9"/>
      <c r="P35" s="9"/>
      <c r="Q35" s="9">
        <v>0</v>
      </c>
      <c r="R35" s="9"/>
      <c r="S35" s="27"/>
      <c r="T35" s="9"/>
      <c r="U35" s="9"/>
      <c r="V35" s="27"/>
      <c r="W35" s="9">
        <f t="shared" si="6"/>
        <v>0</v>
      </c>
      <c r="X35" s="11"/>
      <c r="Y35" s="5">
        <f t="shared" si="13"/>
        <v>0</v>
      </c>
      <c r="Z35" s="5">
        <f>Y35-AA35</f>
        <v>0</v>
      </c>
      <c r="AA35" s="5"/>
      <c r="AB35" s="1"/>
      <c r="AC35" s="1" t="e">
        <f t="shared" si="11"/>
        <v>#DIV/0!</v>
      </c>
      <c r="AD35" s="9" t="e">
        <f t="shared" si="8"/>
        <v>#DIV/0!</v>
      </c>
      <c r="AE35" s="9">
        <v>0</v>
      </c>
      <c r="AF35" s="9">
        <v>0</v>
      </c>
      <c r="AG35" s="9">
        <v>0</v>
      </c>
      <c r="AH35" s="9">
        <v>0</v>
      </c>
      <c r="AI35" s="9">
        <v>0</v>
      </c>
      <c r="AJ35" s="9">
        <v>0</v>
      </c>
      <c r="AK35" s="9">
        <v>0</v>
      </c>
      <c r="AL35" s="9">
        <v>0</v>
      </c>
      <c r="AM35" s="9" t="s">
        <v>80</v>
      </c>
      <c r="AN35" s="1">
        <f t="shared" si="9"/>
        <v>0</v>
      </c>
      <c r="AO35" s="1">
        <f t="shared" si="10"/>
        <v>0</v>
      </c>
      <c r="AP35" t="s">
        <v>115</v>
      </c>
    </row>
    <row r="36" spans="1:42" hidden="1" x14ac:dyDescent="0.25">
      <c r="A36" s="9" t="s">
        <v>116</v>
      </c>
      <c r="B36" s="9" t="s">
        <v>42</v>
      </c>
      <c r="C36" s="9"/>
      <c r="D36" s="9"/>
      <c r="E36" s="9"/>
      <c r="F36" s="9"/>
      <c r="G36" s="10">
        <v>0</v>
      </c>
      <c r="H36" s="9"/>
      <c r="I36" s="9" t="s">
        <v>43</v>
      </c>
      <c r="J36" s="9"/>
      <c r="K36" s="9"/>
      <c r="L36" s="9">
        <f t="shared" si="4"/>
        <v>0</v>
      </c>
      <c r="M36" s="9">
        <f t="shared" si="5"/>
        <v>0</v>
      </c>
      <c r="N36" s="9"/>
      <c r="O36" s="9"/>
      <c r="P36" s="9"/>
      <c r="Q36" s="9">
        <v>0</v>
      </c>
      <c r="R36" s="9"/>
      <c r="S36" s="27"/>
      <c r="T36" s="9"/>
      <c r="U36" s="9"/>
      <c r="V36" s="27"/>
      <c r="W36" s="9">
        <f t="shared" si="6"/>
        <v>0</v>
      </c>
      <c r="X36" s="11"/>
      <c r="Y36" s="5">
        <f t="shared" si="13"/>
        <v>0</v>
      </c>
      <c r="Z36" s="5">
        <f>Y36-AA36</f>
        <v>0</v>
      </c>
      <c r="AA36" s="5"/>
      <c r="AB36" s="1"/>
      <c r="AC36" s="1" t="e">
        <f t="shared" si="11"/>
        <v>#DIV/0!</v>
      </c>
      <c r="AD36" s="9" t="e">
        <f t="shared" si="8"/>
        <v>#DIV/0!</v>
      </c>
      <c r="AE36" s="9">
        <v>0</v>
      </c>
      <c r="AF36" s="9">
        <v>0</v>
      </c>
      <c r="AG36" s="9">
        <v>0</v>
      </c>
      <c r="AH36" s="9">
        <v>0</v>
      </c>
      <c r="AI36" s="9">
        <v>0</v>
      </c>
      <c r="AJ36" s="9">
        <v>0</v>
      </c>
      <c r="AK36" s="9">
        <v>0</v>
      </c>
      <c r="AL36" s="9">
        <v>0</v>
      </c>
      <c r="AM36" s="9" t="s">
        <v>80</v>
      </c>
      <c r="AN36" s="1">
        <f t="shared" si="9"/>
        <v>0</v>
      </c>
      <c r="AO36" s="1">
        <f t="shared" si="10"/>
        <v>0</v>
      </c>
      <c r="AP36" t="s">
        <v>117</v>
      </c>
    </row>
    <row r="37" spans="1:42" hidden="1" x14ac:dyDescent="0.25">
      <c r="A37" s="9" t="s">
        <v>118</v>
      </c>
      <c r="B37" s="9" t="s">
        <v>42</v>
      </c>
      <c r="C37" s="9"/>
      <c r="D37" s="9"/>
      <c r="E37" s="9"/>
      <c r="F37" s="9"/>
      <c r="G37" s="10">
        <v>0</v>
      </c>
      <c r="H37" s="9"/>
      <c r="I37" s="9" t="s">
        <v>43</v>
      </c>
      <c r="J37" s="9"/>
      <c r="K37" s="9"/>
      <c r="L37" s="9">
        <f t="shared" si="4"/>
        <v>0</v>
      </c>
      <c r="M37" s="9">
        <f t="shared" si="5"/>
        <v>0</v>
      </c>
      <c r="N37" s="9"/>
      <c r="O37" s="9"/>
      <c r="P37" s="9"/>
      <c r="Q37" s="9">
        <v>0</v>
      </c>
      <c r="R37" s="9"/>
      <c r="S37" s="27"/>
      <c r="T37" s="9"/>
      <c r="U37" s="9"/>
      <c r="V37" s="27"/>
      <c r="W37" s="9">
        <f t="shared" si="6"/>
        <v>0</v>
      </c>
      <c r="X37" s="11"/>
      <c r="Y37" s="5">
        <f t="shared" si="13"/>
        <v>0</v>
      </c>
      <c r="Z37" s="5">
        <f>Y37-AA37</f>
        <v>0</v>
      </c>
      <c r="AA37" s="5"/>
      <c r="AB37" s="1"/>
      <c r="AC37" s="1" t="e">
        <f t="shared" si="11"/>
        <v>#DIV/0!</v>
      </c>
      <c r="AD37" s="9" t="e">
        <f t="shared" si="8"/>
        <v>#DIV/0!</v>
      </c>
      <c r="AE37" s="9">
        <v>0</v>
      </c>
      <c r="AF37" s="9">
        <v>0</v>
      </c>
      <c r="AG37" s="9">
        <v>0</v>
      </c>
      <c r="AH37" s="9">
        <v>0</v>
      </c>
      <c r="AI37" s="9">
        <v>0</v>
      </c>
      <c r="AJ37" s="9">
        <v>0</v>
      </c>
      <c r="AK37" s="9">
        <v>0</v>
      </c>
      <c r="AL37" s="9">
        <v>0</v>
      </c>
      <c r="AM37" s="9" t="s">
        <v>80</v>
      </c>
      <c r="AN37" s="1">
        <f t="shared" si="9"/>
        <v>0</v>
      </c>
      <c r="AO37" s="1">
        <f t="shared" si="10"/>
        <v>0</v>
      </c>
      <c r="AP37" t="s">
        <v>119</v>
      </c>
    </row>
    <row r="38" spans="1:42" hidden="1" x14ac:dyDescent="0.25">
      <c r="A38" s="1" t="s">
        <v>120</v>
      </c>
      <c r="B38" s="1" t="s">
        <v>50</v>
      </c>
      <c r="C38" s="1">
        <v>1008</v>
      </c>
      <c r="D38" s="1">
        <v>4256</v>
      </c>
      <c r="E38" s="1">
        <v>5155</v>
      </c>
      <c r="F38" s="1">
        <v>-322</v>
      </c>
      <c r="G38" s="7">
        <v>0.4</v>
      </c>
      <c r="H38" s="1">
        <v>45</v>
      </c>
      <c r="I38" s="15" t="s">
        <v>106</v>
      </c>
      <c r="J38" s="1"/>
      <c r="K38" s="1">
        <v>4558</v>
      </c>
      <c r="L38" s="1">
        <f t="shared" ref="L38:L69" si="14">E38-K38</f>
        <v>597</v>
      </c>
      <c r="M38" s="1">
        <f t="shared" ref="M38:M69" si="15">E38-N38</f>
        <v>4075</v>
      </c>
      <c r="N38" s="1">
        <v>1080</v>
      </c>
      <c r="O38" s="1">
        <v>780</v>
      </c>
      <c r="P38" s="1"/>
      <c r="Q38" s="1">
        <v>1767.944</v>
      </c>
      <c r="R38" s="1"/>
      <c r="S38" s="24"/>
      <c r="T38" s="1">
        <v>2196.056</v>
      </c>
      <c r="U38" s="1"/>
      <c r="V38" s="24"/>
      <c r="W38" s="1">
        <f t="shared" ref="W38:W69" si="16">M38/5</f>
        <v>815</v>
      </c>
      <c r="X38" s="5">
        <f>11*W38-T38-Q38-P38-O38-F38</f>
        <v>4543</v>
      </c>
      <c r="Y38" s="5">
        <f t="shared" si="13"/>
        <v>4543</v>
      </c>
      <c r="Z38" s="5">
        <v>3000</v>
      </c>
      <c r="AA38" s="5">
        <v>2220</v>
      </c>
      <c r="AB38" s="1" t="str">
        <f>VLOOKUP(A38,[2]Sheet!$A:$U,21,0)</f>
        <v>ОЧЕНЬ НУЖНА ЭТА ПОЗИЦИЯ !!!</v>
      </c>
      <c r="AC38" s="1">
        <f t="shared" si="11"/>
        <v>11.830674846625767</v>
      </c>
      <c r="AD38" s="1">
        <f t="shared" ref="AD38:AD69" si="17">(F38+O38+P38+Q38+T38)/W38</f>
        <v>5.4257668711656439</v>
      </c>
      <c r="AE38" s="1">
        <v>779</v>
      </c>
      <c r="AF38" s="1">
        <v>633.6</v>
      </c>
      <c r="AG38" s="1">
        <v>113.2</v>
      </c>
      <c r="AH38" s="1">
        <v>461.2</v>
      </c>
      <c r="AI38" s="1">
        <v>811.2</v>
      </c>
      <c r="AJ38" s="1">
        <v>861.6</v>
      </c>
      <c r="AK38" s="1">
        <v>877.4</v>
      </c>
      <c r="AL38" s="1">
        <v>623.4</v>
      </c>
      <c r="AM38" s="1"/>
      <c r="AN38" s="1">
        <f t="shared" ref="AN38:AN69" si="18">ROUND(G38*Z38,0)</f>
        <v>1200</v>
      </c>
      <c r="AO38" s="1">
        <f t="shared" ref="AO38:AO69" si="19">ROUND(G38*AA38,0)</f>
        <v>888</v>
      </c>
      <c r="AP38" t="s">
        <v>121</v>
      </c>
    </row>
    <row r="39" spans="1:42" hidden="1" x14ac:dyDescent="0.25">
      <c r="A39" s="1" t="s">
        <v>122</v>
      </c>
      <c r="B39" s="1" t="s">
        <v>50</v>
      </c>
      <c r="C39" s="1">
        <v>839.75</v>
      </c>
      <c r="D39" s="1">
        <v>263</v>
      </c>
      <c r="E39" s="1">
        <v>735</v>
      </c>
      <c r="F39" s="1">
        <v>253.75</v>
      </c>
      <c r="G39" s="7">
        <v>0.45</v>
      </c>
      <c r="H39" s="1">
        <v>50</v>
      </c>
      <c r="I39" s="14" t="s">
        <v>54</v>
      </c>
      <c r="J39" s="1"/>
      <c r="K39" s="1">
        <v>1175</v>
      </c>
      <c r="L39" s="1">
        <f t="shared" si="14"/>
        <v>-440</v>
      </c>
      <c r="M39" s="1">
        <f t="shared" si="15"/>
        <v>735</v>
      </c>
      <c r="N39" s="1"/>
      <c r="O39" s="1"/>
      <c r="P39" s="1"/>
      <c r="Q39" s="1">
        <v>200</v>
      </c>
      <c r="R39" s="1"/>
      <c r="S39" s="24"/>
      <c r="T39" s="1"/>
      <c r="U39" s="1"/>
      <c r="V39" s="24"/>
      <c r="W39" s="1">
        <f t="shared" si="16"/>
        <v>147</v>
      </c>
      <c r="X39" s="19">
        <f>10*W39-T39-Q39-P39-O39-F39</f>
        <v>1016.25</v>
      </c>
      <c r="Y39" s="5">
        <f>X39+500</f>
        <v>1516.25</v>
      </c>
      <c r="Z39" s="5">
        <f>Y39-AA39</f>
        <v>716.25</v>
      </c>
      <c r="AA39" s="5">
        <v>800</v>
      </c>
      <c r="AB39" s="1" t="str">
        <f>VLOOKUP(A39,[2]Sheet!$A:$U,21,0)</f>
        <v xml:space="preserve">еще плюс 500 сеть ютл </v>
      </c>
      <c r="AC39" s="1">
        <f t="shared" si="11"/>
        <v>13.401360544217686</v>
      </c>
      <c r="AD39" s="1">
        <f t="shared" si="17"/>
        <v>3.0867346938775508</v>
      </c>
      <c r="AE39" s="1">
        <v>147.6</v>
      </c>
      <c r="AF39" s="1">
        <v>112.6</v>
      </c>
      <c r="AG39" s="1">
        <v>71</v>
      </c>
      <c r="AH39" s="1">
        <v>70.400000000000006</v>
      </c>
      <c r="AI39" s="1">
        <v>98.4</v>
      </c>
      <c r="AJ39" s="1">
        <v>126.8</v>
      </c>
      <c r="AK39" s="1">
        <v>127.8</v>
      </c>
      <c r="AL39" s="1">
        <v>67.2</v>
      </c>
      <c r="AM39" s="1" t="s">
        <v>123</v>
      </c>
      <c r="AN39" s="1">
        <f t="shared" si="18"/>
        <v>322</v>
      </c>
      <c r="AO39" s="1">
        <f t="shared" si="19"/>
        <v>360</v>
      </c>
      <c r="AP39" t="s">
        <v>124</v>
      </c>
    </row>
    <row r="40" spans="1:42" hidden="1" x14ac:dyDescent="0.25">
      <c r="A40" s="1" t="s">
        <v>125</v>
      </c>
      <c r="B40" s="1" t="s">
        <v>50</v>
      </c>
      <c r="C40" s="1">
        <v>-5</v>
      </c>
      <c r="D40" s="1">
        <v>832</v>
      </c>
      <c r="E40" s="1">
        <v>742</v>
      </c>
      <c r="F40" s="1">
        <v>43</v>
      </c>
      <c r="G40" s="7">
        <v>0.4</v>
      </c>
      <c r="H40" s="1">
        <v>45</v>
      </c>
      <c r="I40" s="15" t="s">
        <v>106</v>
      </c>
      <c r="J40" s="1"/>
      <c r="K40" s="1">
        <v>2165</v>
      </c>
      <c r="L40" s="1">
        <f t="shared" si="14"/>
        <v>-1423</v>
      </c>
      <c r="M40" s="1">
        <f t="shared" si="15"/>
        <v>742</v>
      </c>
      <c r="N40" s="1"/>
      <c r="O40" s="1">
        <v>208</v>
      </c>
      <c r="P40" s="1"/>
      <c r="Q40" s="1">
        <v>400</v>
      </c>
      <c r="R40" s="1">
        <v>-402</v>
      </c>
      <c r="S40" s="24"/>
      <c r="T40" s="1"/>
      <c r="U40" s="1"/>
      <c r="V40" s="24"/>
      <c r="W40" s="1">
        <f t="shared" si="16"/>
        <v>148.4</v>
      </c>
      <c r="X40" s="5">
        <v>500</v>
      </c>
      <c r="Y40" s="5">
        <f t="shared" ref="Y40:Z42" si="20">X40</f>
        <v>500</v>
      </c>
      <c r="Z40" s="5">
        <f t="shared" si="20"/>
        <v>500</v>
      </c>
      <c r="AA40" s="5">
        <f>Y40*0.5</f>
        <v>250</v>
      </c>
      <c r="AB40" s="1"/>
      <c r="AC40" s="1">
        <f t="shared" si="11"/>
        <v>6.7318059299191368</v>
      </c>
      <c r="AD40" s="1">
        <f t="shared" si="17"/>
        <v>4.3867924528301883</v>
      </c>
      <c r="AE40" s="1">
        <v>148.4</v>
      </c>
      <c r="AF40" s="1">
        <v>122.2</v>
      </c>
      <c r="AG40" s="1">
        <v>91.8</v>
      </c>
      <c r="AH40" s="1">
        <v>163.6</v>
      </c>
      <c r="AI40" s="1">
        <v>166.8</v>
      </c>
      <c r="AJ40" s="1">
        <v>188.8</v>
      </c>
      <c r="AK40" s="1">
        <v>301.60000000000002</v>
      </c>
      <c r="AL40" s="1">
        <v>192.2</v>
      </c>
      <c r="AM40" s="1"/>
      <c r="AN40" s="1">
        <f t="shared" si="18"/>
        <v>200</v>
      </c>
      <c r="AO40" s="1">
        <f t="shared" si="19"/>
        <v>100</v>
      </c>
      <c r="AP40" t="s">
        <v>126</v>
      </c>
    </row>
    <row r="41" spans="1:42" hidden="1" x14ac:dyDescent="0.25">
      <c r="A41" s="1" t="s">
        <v>127</v>
      </c>
      <c r="B41" s="1" t="s">
        <v>50</v>
      </c>
      <c r="C41" s="1">
        <v>-33</v>
      </c>
      <c r="D41" s="1">
        <v>30</v>
      </c>
      <c r="E41" s="1">
        <v>13</v>
      </c>
      <c r="F41" s="1">
        <v>-13</v>
      </c>
      <c r="G41" s="7">
        <v>0.4</v>
      </c>
      <c r="H41" s="1">
        <v>40</v>
      </c>
      <c r="I41" s="15" t="s">
        <v>106</v>
      </c>
      <c r="J41" s="1"/>
      <c r="K41" s="1">
        <v>569</v>
      </c>
      <c r="L41" s="1">
        <f t="shared" si="14"/>
        <v>-556</v>
      </c>
      <c r="M41" s="1">
        <f t="shared" si="15"/>
        <v>13</v>
      </c>
      <c r="N41" s="1"/>
      <c r="O41" s="1">
        <v>100</v>
      </c>
      <c r="P41" s="1">
        <v>-102</v>
      </c>
      <c r="Q41" s="1">
        <v>200</v>
      </c>
      <c r="R41" s="1">
        <v>-203.99999999999997</v>
      </c>
      <c r="S41" s="24"/>
      <c r="T41" s="1"/>
      <c r="U41" s="1"/>
      <c r="V41" s="24"/>
      <c r="W41" s="1">
        <f t="shared" si="16"/>
        <v>2.6</v>
      </c>
      <c r="X41" s="5">
        <v>200</v>
      </c>
      <c r="Y41" s="5">
        <f t="shared" si="20"/>
        <v>200</v>
      </c>
      <c r="Z41" s="5">
        <f t="shared" si="20"/>
        <v>200</v>
      </c>
      <c r="AA41" s="5">
        <f>Y41*0.5</f>
        <v>100</v>
      </c>
      <c r="AB41" s="1"/>
      <c r="AC41" s="1">
        <f t="shared" si="11"/>
        <v>108.07692307692308</v>
      </c>
      <c r="AD41" s="1">
        <f t="shared" si="17"/>
        <v>71.153846153846146</v>
      </c>
      <c r="AE41" s="1">
        <v>2.6</v>
      </c>
      <c r="AF41" s="1">
        <v>46</v>
      </c>
      <c r="AG41" s="1">
        <v>64.400000000000006</v>
      </c>
      <c r="AH41" s="1">
        <v>125</v>
      </c>
      <c r="AI41" s="1">
        <v>116.2</v>
      </c>
      <c r="AJ41" s="1">
        <v>86.8</v>
      </c>
      <c r="AK41" s="1">
        <v>126.8</v>
      </c>
      <c r="AL41" s="1">
        <v>86</v>
      </c>
      <c r="AM41" s="1"/>
      <c r="AN41" s="1">
        <f t="shared" si="18"/>
        <v>80</v>
      </c>
      <c r="AO41" s="1">
        <f t="shared" si="19"/>
        <v>40</v>
      </c>
      <c r="AP41" t="s">
        <v>128</v>
      </c>
    </row>
    <row r="42" spans="1:42" hidden="1" x14ac:dyDescent="0.25">
      <c r="A42" s="1" t="s">
        <v>129</v>
      </c>
      <c r="B42" s="1" t="s">
        <v>42</v>
      </c>
      <c r="C42" s="1"/>
      <c r="D42" s="1">
        <v>52.552</v>
      </c>
      <c r="E42" s="1"/>
      <c r="F42" s="1">
        <v>48.122999999999998</v>
      </c>
      <c r="G42" s="7">
        <v>1</v>
      </c>
      <c r="H42" s="1"/>
      <c r="I42" s="15" t="s">
        <v>106</v>
      </c>
      <c r="J42" s="1"/>
      <c r="K42" s="1">
        <v>82.6</v>
      </c>
      <c r="L42" s="1">
        <f t="shared" si="14"/>
        <v>-82.6</v>
      </c>
      <c r="M42" s="1">
        <f t="shared" si="15"/>
        <v>0</v>
      </c>
      <c r="N42" s="1"/>
      <c r="O42" s="1">
        <v>20</v>
      </c>
      <c r="P42" s="1"/>
      <c r="Q42" s="1">
        <v>0</v>
      </c>
      <c r="R42" s="1"/>
      <c r="S42" s="24"/>
      <c r="T42" s="1"/>
      <c r="U42" s="1"/>
      <c r="V42" s="24"/>
      <c r="W42" s="1">
        <f t="shared" si="16"/>
        <v>0</v>
      </c>
      <c r="X42" s="5"/>
      <c r="Y42" s="5">
        <f t="shared" si="20"/>
        <v>0</v>
      </c>
      <c r="Z42" s="5">
        <f t="shared" si="20"/>
        <v>0</v>
      </c>
      <c r="AA42" s="5">
        <f>Y42*0.5</f>
        <v>0</v>
      </c>
      <c r="AB42" s="1"/>
      <c r="AC42" s="1" t="e">
        <f t="shared" si="11"/>
        <v>#DIV/0!</v>
      </c>
      <c r="AD42" s="1" t="e">
        <f t="shared" si="17"/>
        <v>#DIV/0!</v>
      </c>
      <c r="AE42" s="1">
        <v>0</v>
      </c>
      <c r="AF42" s="1">
        <v>0</v>
      </c>
      <c r="AG42" s="1">
        <v>0</v>
      </c>
      <c r="AH42" s="1">
        <v>0</v>
      </c>
      <c r="AI42" s="1">
        <v>0</v>
      </c>
      <c r="AJ42" s="1">
        <v>0</v>
      </c>
      <c r="AK42" s="1">
        <v>0</v>
      </c>
      <c r="AL42" s="1">
        <v>0</v>
      </c>
      <c r="AM42" s="1" t="s">
        <v>130</v>
      </c>
      <c r="AN42" s="1">
        <f t="shared" si="18"/>
        <v>0</v>
      </c>
      <c r="AO42" s="1">
        <f t="shared" si="19"/>
        <v>0</v>
      </c>
      <c r="AP42" t="s">
        <v>131</v>
      </c>
    </row>
    <row r="43" spans="1:42" hidden="1" x14ac:dyDescent="0.25">
      <c r="A43" s="1" t="s">
        <v>132</v>
      </c>
      <c r="B43" s="1" t="s">
        <v>50</v>
      </c>
      <c r="C43" s="1">
        <v>327</v>
      </c>
      <c r="D43" s="1">
        <v>220</v>
      </c>
      <c r="E43" s="1">
        <v>212</v>
      </c>
      <c r="F43" s="1">
        <v>276</v>
      </c>
      <c r="G43" s="7">
        <v>0.1</v>
      </c>
      <c r="H43" s="1">
        <v>731</v>
      </c>
      <c r="I43" s="1" t="s">
        <v>43</v>
      </c>
      <c r="J43" s="1"/>
      <c r="K43" s="1">
        <v>270</v>
      </c>
      <c r="L43" s="1">
        <f t="shared" si="14"/>
        <v>-58</v>
      </c>
      <c r="M43" s="1">
        <f t="shared" si="15"/>
        <v>212</v>
      </c>
      <c r="N43" s="1"/>
      <c r="O43" s="1"/>
      <c r="P43" s="1"/>
      <c r="Q43" s="1">
        <v>102.6</v>
      </c>
      <c r="R43" s="1"/>
      <c r="S43" s="24"/>
      <c r="T43" s="1"/>
      <c r="U43" s="1"/>
      <c r="V43" s="24"/>
      <c r="W43" s="1">
        <f t="shared" si="16"/>
        <v>42.4</v>
      </c>
      <c r="X43" s="5">
        <f>12*W43-T43-Q43-P43-O43-F43</f>
        <v>130.19999999999993</v>
      </c>
      <c r="Y43" s="5">
        <f t="shared" ref="Y43:Y48" si="21">X43</f>
        <v>130.19999999999993</v>
      </c>
      <c r="Z43" s="5">
        <f>Y43-AA43</f>
        <v>130.19999999999993</v>
      </c>
      <c r="AA43" s="5"/>
      <c r="AB43" s="1"/>
      <c r="AC43" s="1">
        <f t="shared" si="11"/>
        <v>12</v>
      </c>
      <c r="AD43" s="1">
        <f t="shared" si="17"/>
        <v>8.9292452830188687</v>
      </c>
      <c r="AE43" s="1">
        <v>42.4</v>
      </c>
      <c r="AF43" s="1">
        <v>41.4</v>
      </c>
      <c r="AG43" s="1">
        <v>35</v>
      </c>
      <c r="AH43" s="1">
        <v>35.4</v>
      </c>
      <c r="AI43" s="1">
        <v>37.4</v>
      </c>
      <c r="AJ43" s="1">
        <v>57.4</v>
      </c>
      <c r="AK43" s="1">
        <v>55.2</v>
      </c>
      <c r="AL43" s="1">
        <v>30.6</v>
      </c>
      <c r="AM43" s="1"/>
      <c r="AN43" s="1">
        <f t="shared" si="18"/>
        <v>13</v>
      </c>
      <c r="AO43" s="1">
        <f t="shared" si="19"/>
        <v>0</v>
      </c>
      <c r="AP43" t="s">
        <v>133</v>
      </c>
    </row>
    <row r="44" spans="1:42" hidden="1" x14ac:dyDescent="0.25">
      <c r="A44" s="1" t="s">
        <v>134</v>
      </c>
      <c r="B44" s="1" t="s">
        <v>50</v>
      </c>
      <c r="C44" s="1"/>
      <c r="D44" s="1">
        <v>2</v>
      </c>
      <c r="E44" s="1">
        <v>21</v>
      </c>
      <c r="F44" s="1">
        <v>-2</v>
      </c>
      <c r="G44" s="7">
        <v>0.35</v>
      </c>
      <c r="H44" s="1">
        <v>40</v>
      </c>
      <c r="I44" s="15" t="s">
        <v>106</v>
      </c>
      <c r="J44" s="1"/>
      <c r="K44" s="1">
        <v>125</v>
      </c>
      <c r="L44" s="1">
        <f t="shared" si="14"/>
        <v>-104</v>
      </c>
      <c r="M44" s="1">
        <f t="shared" si="15"/>
        <v>21</v>
      </c>
      <c r="N44" s="1"/>
      <c r="O44" s="1">
        <v>50</v>
      </c>
      <c r="P44" s="1">
        <v>-54</v>
      </c>
      <c r="Q44" s="1">
        <v>50</v>
      </c>
      <c r="R44" s="1">
        <v>-54</v>
      </c>
      <c r="S44" s="24"/>
      <c r="T44" s="1"/>
      <c r="U44" s="1"/>
      <c r="V44" s="24"/>
      <c r="W44" s="1">
        <f t="shared" si="16"/>
        <v>4.2</v>
      </c>
      <c r="X44" s="5">
        <v>50</v>
      </c>
      <c r="Y44" s="5">
        <f t="shared" si="21"/>
        <v>50</v>
      </c>
      <c r="Z44" s="5">
        <f>Y44</f>
        <v>50</v>
      </c>
      <c r="AA44" s="5">
        <f>Y44*0.5</f>
        <v>25</v>
      </c>
      <c r="AB44" s="1"/>
      <c r="AC44" s="1">
        <f t="shared" si="11"/>
        <v>15.476190476190476</v>
      </c>
      <c r="AD44" s="1">
        <f t="shared" si="17"/>
        <v>10.476190476190476</v>
      </c>
      <c r="AE44" s="1">
        <v>4.2</v>
      </c>
      <c r="AF44" s="1">
        <v>15.8</v>
      </c>
      <c r="AG44" s="1">
        <v>18.2</v>
      </c>
      <c r="AH44" s="1">
        <v>15.8</v>
      </c>
      <c r="AI44" s="1">
        <v>18.8</v>
      </c>
      <c r="AJ44" s="1">
        <v>28.4</v>
      </c>
      <c r="AK44" s="1">
        <v>24.4</v>
      </c>
      <c r="AL44" s="1">
        <v>10.199999999999999</v>
      </c>
      <c r="AM44" s="1"/>
      <c r="AN44" s="1">
        <f t="shared" si="18"/>
        <v>18</v>
      </c>
      <c r="AO44" s="1">
        <f t="shared" si="19"/>
        <v>9</v>
      </c>
      <c r="AP44" t="s">
        <v>135</v>
      </c>
    </row>
    <row r="45" spans="1:42" hidden="1" x14ac:dyDescent="0.25">
      <c r="A45" s="1" t="s">
        <v>136</v>
      </c>
      <c r="B45" s="1" t="s">
        <v>42</v>
      </c>
      <c r="C45" s="1">
        <v>18.667999999999999</v>
      </c>
      <c r="D45" s="1">
        <v>27.004999999999999</v>
      </c>
      <c r="E45" s="1">
        <v>14.656000000000001</v>
      </c>
      <c r="F45" s="1">
        <v>23.622</v>
      </c>
      <c r="G45" s="7">
        <v>1</v>
      </c>
      <c r="H45" s="1">
        <v>40</v>
      </c>
      <c r="I45" s="1" t="s">
        <v>43</v>
      </c>
      <c r="J45" s="1"/>
      <c r="K45" s="1">
        <v>21.2</v>
      </c>
      <c r="L45" s="1">
        <f t="shared" si="14"/>
        <v>-6.5439999999999987</v>
      </c>
      <c r="M45" s="1">
        <f t="shared" si="15"/>
        <v>14.656000000000001</v>
      </c>
      <c r="N45" s="1"/>
      <c r="O45" s="1"/>
      <c r="P45" s="1"/>
      <c r="Q45" s="1">
        <v>4</v>
      </c>
      <c r="R45" s="1"/>
      <c r="S45" s="24"/>
      <c r="T45" s="1"/>
      <c r="U45" s="1"/>
      <c r="V45" s="24"/>
      <c r="W45" s="1">
        <f t="shared" si="16"/>
        <v>2.9312</v>
      </c>
      <c r="X45" s="5">
        <f>12*W45-T45-Q45-P45-O45-F45</f>
        <v>7.5523999999999987</v>
      </c>
      <c r="Y45" s="5">
        <f t="shared" si="21"/>
        <v>7.5523999999999987</v>
      </c>
      <c r="Z45" s="5">
        <f>Y45-AA45</f>
        <v>7.5523999999999987</v>
      </c>
      <c r="AA45" s="5"/>
      <c r="AB45" s="1"/>
      <c r="AC45" s="1">
        <f t="shared" si="11"/>
        <v>12</v>
      </c>
      <c r="AD45" s="1">
        <f t="shared" si="17"/>
        <v>9.4234443231441052</v>
      </c>
      <c r="AE45" s="1">
        <v>3.1116000000000001</v>
      </c>
      <c r="AF45" s="1">
        <v>2.6240000000000001</v>
      </c>
      <c r="AG45" s="1">
        <v>3.7808000000000002</v>
      </c>
      <c r="AH45" s="1">
        <v>4.3208000000000002</v>
      </c>
      <c r="AI45" s="1">
        <v>3.3064</v>
      </c>
      <c r="AJ45" s="1">
        <v>1.6506000000000001</v>
      </c>
      <c r="AK45" s="1">
        <v>2.6989999999999998</v>
      </c>
      <c r="AL45" s="1">
        <v>4.2096</v>
      </c>
      <c r="AM45" s="1"/>
      <c r="AN45" s="1">
        <f t="shared" si="18"/>
        <v>8</v>
      </c>
      <c r="AO45" s="1">
        <f t="shared" si="19"/>
        <v>0</v>
      </c>
      <c r="AP45" t="s">
        <v>137</v>
      </c>
    </row>
    <row r="46" spans="1:42" hidden="1" x14ac:dyDescent="0.25">
      <c r="A46" s="1" t="s">
        <v>138</v>
      </c>
      <c r="B46" s="1" t="s">
        <v>50</v>
      </c>
      <c r="C46" s="1">
        <v>-32</v>
      </c>
      <c r="D46" s="1">
        <v>268</v>
      </c>
      <c r="E46" s="1">
        <v>154</v>
      </c>
      <c r="F46" s="1">
        <v>-31</v>
      </c>
      <c r="G46" s="7">
        <v>0.4</v>
      </c>
      <c r="H46" s="1">
        <v>40</v>
      </c>
      <c r="I46" s="15" t="s">
        <v>106</v>
      </c>
      <c r="J46" s="1"/>
      <c r="K46" s="1">
        <v>348</v>
      </c>
      <c r="L46" s="1">
        <f t="shared" si="14"/>
        <v>-194</v>
      </c>
      <c r="M46" s="1">
        <f t="shared" si="15"/>
        <v>154</v>
      </c>
      <c r="N46" s="1"/>
      <c r="O46" s="1"/>
      <c r="P46" s="1"/>
      <c r="Q46" s="1">
        <v>100</v>
      </c>
      <c r="R46" s="1"/>
      <c r="S46" s="24"/>
      <c r="T46" s="1"/>
      <c r="U46" s="1"/>
      <c r="V46" s="24"/>
      <c r="W46" s="1">
        <f t="shared" si="16"/>
        <v>30.8</v>
      </c>
      <c r="X46" s="5">
        <v>100</v>
      </c>
      <c r="Y46" s="5">
        <f t="shared" si="21"/>
        <v>100</v>
      </c>
      <c r="Z46" s="5">
        <f>Y46</f>
        <v>100</v>
      </c>
      <c r="AA46" s="5">
        <f>Y46*0.5</f>
        <v>50</v>
      </c>
      <c r="AB46" s="1"/>
      <c r="AC46" s="1">
        <f t="shared" si="11"/>
        <v>7.1103896103896105</v>
      </c>
      <c r="AD46" s="1">
        <f t="shared" si="17"/>
        <v>2.2402597402597402</v>
      </c>
      <c r="AE46" s="1">
        <v>31.8</v>
      </c>
      <c r="AF46" s="1">
        <v>4.8</v>
      </c>
      <c r="AG46" s="1">
        <v>0.4</v>
      </c>
      <c r="AH46" s="1">
        <v>-0.2</v>
      </c>
      <c r="AI46" s="1">
        <v>-0.8</v>
      </c>
      <c r="AJ46" s="1">
        <v>0.6</v>
      </c>
      <c r="AK46" s="1">
        <v>1.4</v>
      </c>
      <c r="AL46" s="1">
        <v>0.2</v>
      </c>
      <c r="AM46" s="1"/>
      <c r="AN46" s="1">
        <f t="shared" si="18"/>
        <v>40</v>
      </c>
      <c r="AO46" s="1">
        <f t="shared" si="19"/>
        <v>20</v>
      </c>
      <c r="AP46" t="s">
        <v>139</v>
      </c>
    </row>
    <row r="47" spans="1:42" hidden="1" x14ac:dyDescent="0.25">
      <c r="A47" s="1" t="s">
        <v>140</v>
      </c>
      <c r="B47" s="1" t="s">
        <v>50</v>
      </c>
      <c r="C47" s="1">
        <v>9</v>
      </c>
      <c r="D47" s="1">
        <v>326</v>
      </c>
      <c r="E47" s="1">
        <v>146</v>
      </c>
      <c r="F47" s="1">
        <v>87</v>
      </c>
      <c r="G47" s="7">
        <v>0.4</v>
      </c>
      <c r="H47" s="1">
        <v>45</v>
      </c>
      <c r="I47" s="15" t="s">
        <v>106</v>
      </c>
      <c r="J47" s="1"/>
      <c r="K47" s="1">
        <v>525</v>
      </c>
      <c r="L47" s="1">
        <f t="shared" si="14"/>
        <v>-379</v>
      </c>
      <c r="M47" s="1">
        <f t="shared" si="15"/>
        <v>146</v>
      </c>
      <c r="N47" s="1"/>
      <c r="O47" s="1">
        <v>50</v>
      </c>
      <c r="P47" s="1"/>
      <c r="Q47" s="1">
        <v>60.199999999999989</v>
      </c>
      <c r="R47" s="1"/>
      <c r="S47" s="24"/>
      <c r="T47" s="1"/>
      <c r="U47" s="1"/>
      <c r="V47" s="24"/>
      <c r="W47" s="1">
        <f t="shared" si="16"/>
        <v>29.2</v>
      </c>
      <c r="X47" s="5">
        <v>100</v>
      </c>
      <c r="Y47" s="5">
        <f t="shared" si="21"/>
        <v>100</v>
      </c>
      <c r="Z47" s="5">
        <f>Y47</f>
        <v>100</v>
      </c>
      <c r="AA47" s="5">
        <f>Y47*0.5</f>
        <v>50</v>
      </c>
      <c r="AB47" s="1"/>
      <c r="AC47" s="1">
        <f t="shared" si="11"/>
        <v>11.890410958904109</v>
      </c>
      <c r="AD47" s="1">
        <f t="shared" si="17"/>
        <v>6.7534246575342465</v>
      </c>
      <c r="AE47" s="1">
        <v>29.2</v>
      </c>
      <c r="AF47" s="1">
        <v>8.8000000000000007</v>
      </c>
      <c r="AG47" s="1">
        <v>0</v>
      </c>
      <c r="AH47" s="1">
        <v>0.4</v>
      </c>
      <c r="AI47" s="1">
        <v>26</v>
      </c>
      <c r="AJ47" s="1">
        <v>58.6</v>
      </c>
      <c r="AK47" s="1">
        <v>50</v>
      </c>
      <c r="AL47" s="1">
        <v>30.6</v>
      </c>
      <c r="AM47" s="1"/>
      <c r="AN47" s="1">
        <f t="shared" si="18"/>
        <v>40</v>
      </c>
      <c r="AO47" s="1">
        <f t="shared" si="19"/>
        <v>20</v>
      </c>
      <c r="AP47" t="s">
        <v>141</v>
      </c>
    </row>
    <row r="48" spans="1:42" hidden="1" x14ac:dyDescent="0.25">
      <c r="A48" s="1" t="s">
        <v>142</v>
      </c>
      <c r="B48" s="1" t="s">
        <v>42</v>
      </c>
      <c r="C48" s="1">
        <v>35.881</v>
      </c>
      <c r="D48" s="1">
        <v>18.788</v>
      </c>
      <c r="E48" s="1">
        <v>29.079000000000001</v>
      </c>
      <c r="F48" s="1">
        <v>24.257000000000001</v>
      </c>
      <c r="G48" s="7">
        <v>1</v>
      </c>
      <c r="H48" s="1">
        <v>40</v>
      </c>
      <c r="I48" s="15" t="s">
        <v>106</v>
      </c>
      <c r="J48" s="1"/>
      <c r="K48" s="1">
        <v>33.121000000000002</v>
      </c>
      <c r="L48" s="1">
        <f t="shared" si="14"/>
        <v>-4.0420000000000016</v>
      </c>
      <c r="M48" s="1">
        <f t="shared" si="15"/>
        <v>29.079000000000001</v>
      </c>
      <c r="N48" s="1"/>
      <c r="O48" s="1"/>
      <c r="P48" s="1"/>
      <c r="Q48" s="1">
        <v>34.781200000000013</v>
      </c>
      <c r="R48" s="1"/>
      <c r="S48" s="24"/>
      <c r="T48" s="1"/>
      <c r="U48" s="1"/>
      <c r="V48" s="24"/>
      <c r="W48" s="1">
        <f t="shared" si="16"/>
        <v>5.8158000000000003</v>
      </c>
      <c r="X48" s="5">
        <f>12*W48-T48-Q48-P48-O48-F48</f>
        <v>10.751399999999993</v>
      </c>
      <c r="Y48" s="5">
        <f t="shared" si="21"/>
        <v>10.751399999999993</v>
      </c>
      <c r="Z48" s="5">
        <f>Y48</f>
        <v>10.751399999999993</v>
      </c>
      <c r="AA48" s="5"/>
      <c r="AB48" s="1"/>
      <c r="AC48" s="1">
        <f t="shared" si="11"/>
        <v>12</v>
      </c>
      <c r="AD48" s="1">
        <f t="shared" si="17"/>
        <v>10.151346332404831</v>
      </c>
      <c r="AE48" s="1">
        <v>5.8158000000000003</v>
      </c>
      <c r="AF48" s="1">
        <v>7.0093999999999994</v>
      </c>
      <c r="AG48" s="1">
        <v>6.5449999999999999</v>
      </c>
      <c r="AH48" s="1">
        <v>3.3479999999999999</v>
      </c>
      <c r="AI48" s="1">
        <v>1.8211999999999999</v>
      </c>
      <c r="AJ48" s="1">
        <v>7.1238000000000001</v>
      </c>
      <c r="AK48" s="1">
        <v>8.9621999999999993</v>
      </c>
      <c r="AL48" s="1">
        <v>4.3483999999999998</v>
      </c>
      <c r="AM48" s="1"/>
      <c r="AN48" s="1">
        <f t="shared" si="18"/>
        <v>11</v>
      </c>
      <c r="AO48" s="1">
        <f t="shared" si="19"/>
        <v>0</v>
      </c>
      <c r="AP48" t="s">
        <v>143</v>
      </c>
    </row>
    <row r="49" spans="1:43" hidden="1" x14ac:dyDescent="0.25">
      <c r="A49" s="1" t="s">
        <v>144</v>
      </c>
      <c r="B49" s="1" t="s">
        <v>50</v>
      </c>
      <c r="C49" s="1">
        <v>508</v>
      </c>
      <c r="D49" s="1">
        <v>351</v>
      </c>
      <c r="E49" s="1">
        <v>644</v>
      </c>
      <c r="F49" s="1">
        <v>-55</v>
      </c>
      <c r="G49" s="7">
        <v>0.35</v>
      </c>
      <c r="H49" s="1">
        <v>40</v>
      </c>
      <c r="I49" s="15" t="s">
        <v>106</v>
      </c>
      <c r="J49" s="1"/>
      <c r="K49" s="1">
        <v>886</v>
      </c>
      <c r="L49" s="1">
        <f t="shared" si="14"/>
        <v>-242</v>
      </c>
      <c r="M49" s="1">
        <f t="shared" si="15"/>
        <v>494</v>
      </c>
      <c r="N49" s="1">
        <v>150</v>
      </c>
      <c r="O49" s="1">
        <v>158.80799999999991</v>
      </c>
      <c r="P49" s="1">
        <v>-162</v>
      </c>
      <c r="Q49" s="1">
        <v>200</v>
      </c>
      <c r="R49" s="1">
        <v>-204.00000000000003</v>
      </c>
      <c r="S49" s="24"/>
      <c r="T49" s="1"/>
      <c r="U49" s="1"/>
      <c r="V49" s="24"/>
      <c r="W49" s="1">
        <f t="shared" si="16"/>
        <v>98.8</v>
      </c>
      <c r="X49" s="5">
        <f>200</f>
        <v>200</v>
      </c>
      <c r="Y49" s="5">
        <f>X49+700</f>
        <v>900</v>
      </c>
      <c r="Z49" s="5">
        <f>Y49</f>
        <v>900</v>
      </c>
      <c r="AA49" s="5">
        <f>Y49*0.5</f>
        <v>450</v>
      </c>
      <c r="AB49" s="1" t="str">
        <f>VLOOKUP(A49,[2]Sheet!$A:$U,21,0)</f>
        <v xml:space="preserve">1500 нужно в сеть ютл </v>
      </c>
      <c r="AC49" s="1">
        <f t="shared" si="11"/>
        <v>13.034493927125506</v>
      </c>
      <c r="AD49" s="1">
        <f t="shared" si="17"/>
        <v>1.4353036437246955</v>
      </c>
      <c r="AE49" s="1">
        <v>122.8</v>
      </c>
      <c r="AF49" s="1">
        <v>88.6</v>
      </c>
      <c r="AG49" s="1">
        <v>86.8</v>
      </c>
      <c r="AH49" s="1">
        <v>80.2</v>
      </c>
      <c r="AI49" s="1">
        <v>92.8</v>
      </c>
      <c r="AJ49" s="1">
        <v>120.2</v>
      </c>
      <c r="AK49" s="1">
        <v>117.4</v>
      </c>
      <c r="AL49" s="1">
        <v>88</v>
      </c>
      <c r="AM49" s="1"/>
      <c r="AN49" s="1">
        <f t="shared" si="18"/>
        <v>315</v>
      </c>
      <c r="AO49" s="1">
        <f t="shared" si="19"/>
        <v>158</v>
      </c>
      <c r="AP49" t="s">
        <v>145</v>
      </c>
    </row>
    <row r="50" spans="1:43" hidden="1" x14ac:dyDescent="0.25">
      <c r="A50" s="1" t="s">
        <v>146</v>
      </c>
      <c r="B50" s="1" t="s">
        <v>50</v>
      </c>
      <c r="C50" s="1">
        <v>61</v>
      </c>
      <c r="D50" s="1">
        <v>511</v>
      </c>
      <c r="E50" s="1">
        <v>154</v>
      </c>
      <c r="F50" s="1">
        <v>222</v>
      </c>
      <c r="G50" s="7">
        <v>0.4</v>
      </c>
      <c r="H50" s="1">
        <v>40</v>
      </c>
      <c r="I50" s="15" t="s">
        <v>106</v>
      </c>
      <c r="J50" s="1"/>
      <c r="K50" s="1">
        <v>640</v>
      </c>
      <c r="L50" s="1">
        <f t="shared" si="14"/>
        <v>-486</v>
      </c>
      <c r="M50" s="1">
        <f t="shared" si="15"/>
        <v>154</v>
      </c>
      <c r="N50" s="1"/>
      <c r="O50" s="1">
        <v>100</v>
      </c>
      <c r="P50" s="1"/>
      <c r="Q50" s="1">
        <v>150</v>
      </c>
      <c r="R50" s="1"/>
      <c r="S50" s="24"/>
      <c r="T50" s="1"/>
      <c r="U50" s="1"/>
      <c r="V50" s="24"/>
      <c r="W50" s="1">
        <f t="shared" si="16"/>
        <v>30.8</v>
      </c>
      <c r="X50" s="5">
        <v>50</v>
      </c>
      <c r="Y50" s="5">
        <f>X50</f>
        <v>50</v>
      </c>
      <c r="Z50" s="5">
        <f>Y50</f>
        <v>50</v>
      </c>
      <c r="AA50" s="5">
        <f>Y50*0.5</f>
        <v>25</v>
      </c>
      <c r="AB50" s="1"/>
      <c r="AC50" s="1">
        <f t="shared" si="11"/>
        <v>17.759740259740258</v>
      </c>
      <c r="AD50" s="1">
        <f t="shared" si="17"/>
        <v>15.324675324675324</v>
      </c>
      <c r="AE50" s="1">
        <v>31.2</v>
      </c>
      <c r="AF50" s="1">
        <v>27.8</v>
      </c>
      <c r="AG50" s="1">
        <v>53.4</v>
      </c>
      <c r="AH50" s="1">
        <v>47</v>
      </c>
      <c r="AI50" s="1">
        <v>48.6</v>
      </c>
      <c r="AJ50" s="1">
        <v>78.8</v>
      </c>
      <c r="AK50" s="1">
        <v>51</v>
      </c>
      <c r="AL50" s="1">
        <v>35.799999999999997</v>
      </c>
      <c r="AM50" s="1"/>
      <c r="AN50" s="1">
        <f t="shared" si="18"/>
        <v>20</v>
      </c>
      <c r="AO50" s="1">
        <f t="shared" si="19"/>
        <v>10</v>
      </c>
      <c r="AP50" t="s">
        <v>147</v>
      </c>
    </row>
    <row r="51" spans="1:43" hidden="1" x14ac:dyDescent="0.25">
      <c r="A51" s="1" t="s">
        <v>148</v>
      </c>
      <c r="B51" s="1" t="s">
        <v>42</v>
      </c>
      <c r="C51" s="1">
        <v>71.088999999999999</v>
      </c>
      <c r="D51" s="1">
        <v>229.054</v>
      </c>
      <c r="E51" s="1">
        <v>87.635999999999996</v>
      </c>
      <c r="F51" s="1">
        <v>19.741</v>
      </c>
      <c r="G51" s="7">
        <v>1</v>
      </c>
      <c r="H51" s="1">
        <v>50</v>
      </c>
      <c r="I51" s="1" t="s">
        <v>43</v>
      </c>
      <c r="J51" s="1"/>
      <c r="K51" s="1">
        <v>260.08999999999997</v>
      </c>
      <c r="L51" s="1">
        <f t="shared" si="14"/>
        <v>-172.45399999999998</v>
      </c>
      <c r="M51" s="1">
        <f t="shared" si="15"/>
        <v>-53.712999999999994</v>
      </c>
      <c r="N51" s="1">
        <v>141.34899999999999</v>
      </c>
      <c r="O51" s="1"/>
      <c r="P51" s="1"/>
      <c r="Q51" s="1">
        <v>54.571199999999983</v>
      </c>
      <c r="R51" s="1"/>
      <c r="S51" s="24"/>
      <c r="T51" s="1"/>
      <c r="U51" s="1"/>
      <c r="V51" s="24"/>
      <c r="W51" s="1">
        <f t="shared" si="16"/>
        <v>-10.742599999999999</v>
      </c>
      <c r="X51" s="5">
        <v>60</v>
      </c>
      <c r="Y51" s="5">
        <f>X51</f>
        <v>60</v>
      </c>
      <c r="Z51" s="5">
        <f t="shared" ref="Z51:Z56" si="22">Y51-AA51</f>
        <v>60</v>
      </c>
      <c r="AA51" s="5"/>
      <c r="AB51" s="1"/>
      <c r="AC51" s="1">
        <f t="shared" si="11"/>
        <v>-12.502764693835756</v>
      </c>
      <c r="AD51" s="1">
        <f t="shared" si="17"/>
        <v>-6.9175246215999842</v>
      </c>
      <c r="AE51" s="1">
        <v>17.911200000000001</v>
      </c>
      <c r="AF51" s="1">
        <v>18.7516</v>
      </c>
      <c r="AG51" s="1">
        <v>17.372199999999999</v>
      </c>
      <c r="AH51" s="1">
        <v>14.885999999999999</v>
      </c>
      <c r="AI51" s="1">
        <v>16.802199999999999</v>
      </c>
      <c r="AJ51" s="1">
        <v>14.042400000000001</v>
      </c>
      <c r="AK51" s="1">
        <v>19.11</v>
      </c>
      <c r="AL51" s="1">
        <v>17.2288</v>
      </c>
      <c r="AM51" s="1"/>
      <c r="AN51" s="1">
        <f t="shared" si="18"/>
        <v>60</v>
      </c>
      <c r="AO51" s="1">
        <f t="shared" si="19"/>
        <v>0</v>
      </c>
      <c r="AP51" t="s">
        <v>149</v>
      </c>
    </row>
    <row r="52" spans="1:43" hidden="1" x14ac:dyDescent="0.25">
      <c r="A52" s="1" t="s">
        <v>150</v>
      </c>
      <c r="B52" s="1" t="s">
        <v>42</v>
      </c>
      <c r="C52" s="1">
        <v>909.63800000000003</v>
      </c>
      <c r="D52" s="1">
        <v>1210.748</v>
      </c>
      <c r="E52" s="1">
        <v>841.53599999999994</v>
      </c>
      <c r="F52" s="1">
        <v>386.55599999999998</v>
      </c>
      <c r="G52" s="7">
        <v>1</v>
      </c>
      <c r="H52" s="1">
        <v>50</v>
      </c>
      <c r="I52" s="1" t="s">
        <v>43</v>
      </c>
      <c r="J52" s="1"/>
      <c r="K52" s="1">
        <v>1224.2149999999999</v>
      </c>
      <c r="L52" s="1">
        <f t="shared" si="14"/>
        <v>-382.67899999999997</v>
      </c>
      <c r="M52" s="1">
        <f t="shared" si="15"/>
        <v>517.01900000000001</v>
      </c>
      <c r="N52" s="1">
        <v>324.517</v>
      </c>
      <c r="O52" s="1"/>
      <c r="P52" s="1"/>
      <c r="Q52" s="1">
        <v>414.87601488000001</v>
      </c>
      <c r="R52" s="1"/>
      <c r="S52" s="24"/>
      <c r="T52" s="1">
        <v>515.33926512000005</v>
      </c>
      <c r="U52" s="1"/>
      <c r="V52" s="24"/>
      <c r="W52" s="1">
        <f t="shared" si="16"/>
        <v>103.4038</v>
      </c>
      <c r="X52" s="5"/>
      <c r="Y52" s="5">
        <f>X52</f>
        <v>0</v>
      </c>
      <c r="Z52" s="5">
        <f t="shared" si="22"/>
        <v>0</v>
      </c>
      <c r="AA52" s="5"/>
      <c r="AB52" s="1"/>
      <c r="AC52" s="1">
        <f t="shared" si="11"/>
        <v>12.734263924536622</v>
      </c>
      <c r="AD52" s="1">
        <f t="shared" si="17"/>
        <v>12.734263924536622</v>
      </c>
      <c r="AE52" s="1">
        <v>157.8124</v>
      </c>
      <c r="AF52" s="1">
        <v>128.76320000000001</v>
      </c>
      <c r="AG52" s="1">
        <v>111.2424</v>
      </c>
      <c r="AH52" s="1">
        <v>138.00559999999999</v>
      </c>
      <c r="AI52" s="1">
        <v>108.6206</v>
      </c>
      <c r="AJ52" s="1">
        <v>78.2346</v>
      </c>
      <c r="AK52" s="1">
        <v>79.395399999999995</v>
      </c>
      <c r="AL52" s="1">
        <v>52.078800000000022</v>
      </c>
      <c r="AM52" s="1"/>
      <c r="AN52" s="1">
        <f t="shared" si="18"/>
        <v>0</v>
      </c>
      <c r="AO52" s="1">
        <f t="shared" si="19"/>
        <v>0</v>
      </c>
      <c r="AP52" t="s">
        <v>151</v>
      </c>
    </row>
    <row r="53" spans="1:43" hidden="1" x14ac:dyDescent="0.25">
      <c r="A53" s="9" t="s">
        <v>152</v>
      </c>
      <c r="B53" s="9" t="s">
        <v>42</v>
      </c>
      <c r="C53" s="9"/>
      <c r="D53" s="9"/>
      <c r="E53" s="9"/>
      <c r="F53" s="9"/>
      <c r="G53" s="10">
        <v>0</v>
      </c>
      <c r="H53" s="9"/>
      <c r="I53" s="9" t="s">
        <v>43</v>
      </c>
      <c r="J53" s="9"/>
      <c r="K53" s="9"/>
      <c r="L53" s="9">
        <f t="shared" si="14"/>
        <v>0</v>
      </c>
      <c r="M53" s="9">
        <f t="shared" si="15"/>
        <v>0</v>
      </c>
      <c r="N53" s="9"/>
      <c r="O53" s="9"/>
      <c r="P53" s="9"/>
      <c r="Q53" s="9">
        <v>0</v>
      </c>
      <c r="R53" s="9"/>
      <c r="S53" s="27"/>
      <c r="T53" s="9"/>
      <c r="U53" s="9"/>
      <c r="V53" s="27"/>
      <c r="W53" s="9">
        <f t="shared" si="16"/>
        <v>0</v>
      </c>
      <c r="X53" s="11"/>
      <c r="Y53" s="5">
        <f>X53</f>
        <v>0</v>
      </c>
      <c r="Z53" s="5">
        <f t="shared" si="22"/>
        <v>0</v>
      </c>
      <c r="AA53" s="5"/>
      <c r="AB53" s="1"/>
      <c r="AC53" s="1" t="e">
        <f t="shared" si="11"/>
        <v>#DIV/0!</v>
      </c>
      <c r="AD53" s="9" t="e">
        <f t="shared" si="17"/>
        <v>#DIV/0!</v>
      </c>
      <c r="AE53" s="9">
        <v>0</v>
      </c>
      <c r="AF53" s="9">
        <v>0</v>
      </c>
      <c r="AG53" s="9">
        <v>0</v>
      </c>
      <c r="AH53" s="9">
        <v>0</v>
      </c>
      <c r="AI53" s="9">
        <v>0</v>
      </c>
      <c r="AJ53" s="9">
        <v>0</v>
      </c>
      <c r="AK53" s="9">
        <v>0</v>
      </c>
      <c r="AL53" s="9">
        <v>0</v>
      </c>
      <c r="AM53" s="9" t="s">
        <v>80</v>
      </c>
      <c r="AN53" s="1">
        <f t="shared" si="18"/>
        <v>0</v>
      </c>
      <c r="AO53" s="1">
        <f t="shared" si="19"/>
        <v>0</v>
      </c>
      <c r="AP53" t="s">
        <v>153</v>
      </c>
    </row>
    <row r="54" spans="1:43" hidden="1" x14ac:dyDescent="0.25">
      <c r="A54" s="23" t="s">
        <v>154</v>
      </c>
      <c r="B54" s="1" t="s">
        <v>50</v>
      </c>
      <c r="C54" s="1">
        <v>366</v>
      </c>
      <c r="D54" s="1">
        <v>644</v>
      </c>
      <c r="E54" s="1">
        <v>496</v>
      </c>
      <c r="F54" s="1">
        <v>335</v>
      </c>
      <c r="G54" s="7">
        <v>0.45</v>
      </c>
      <c r="H54" s="1">
        <v>50</v>
      </c>
      <c r="I54" s="1" t="s">
        <v>43</v>
      </c>
      <c r="J54" s="1"/>
      <c r="K54" s="1">
        <v>627</v>
      </c>
      <c r="L54" s="1">
        <f t="shared" si="14"/>
        <v>-131</v>
      </c>
      <c r="M54" s="1">
        <f t="shared" si="15"/>
        <v>346</v>
      </c>
      <c r="N54" s="1">
        <v>150</v>
      </c>
      <c r="O54" s="1">
        <v>124.983456</v>
      </c>
      <c r="P54" s="1"/>
      <c r="Q54" s="1">
        <v>180.29425119999991</v>
      </c>
      <c r="R54" s="1"/>
      <c r="S54" s="24">
        <f>250/G54</f>
        <v>555.55555555555554</v>
      </c>
      <c r="T54" s="1">
        <v>223.9529488</v>
      </c>
      <c r="U54" s="1"/>
      <c r="V54" s="24"/>
      <c r="W54" s="1">
        <f t="shared" si="16"/>
        <v>69.2</v>
      </c>
      <c r="X54" s="5"/>
      <c r="Y54" s="5">
        <f>X54</f>
        <v>0</v>
      </c>
      <c r="Z54" s="5">
        <f t="shared" si="22"/>
        <v>0</v>
      </c>
      <c r="AA54" s="5"/>
      <c r="AB54" s="1"/>
      <c r="AC54" s="1">
        <f t="shared" si="11"/>
        <v>20.517141785484903</v>
      </c>
      <c r="AD54" s="1">
        <f t="shared" si="17"/>
        <v>12.488882312138728</v>
      </c>
      <c r="AE54" s="1">
        <v>93.6</v>
      </c>
      <c r="AF54" s="1">
        <v>82</v>
      </c>
      <c r="AG54" s="1">
        <v>69.599999999999994</v>
      </c>
      <c r="AH54" s="1">
        <v>75.2</v>
      </c>
      <c r="AI54" s="1">
        <v>79.400000000000006</v>
      </c>
      <c r="AJ54" s="1">
        <v>86.2</v>
      </c>
      <c r="AK54" s="1">
        <v>84</v>
      </c>
      <c r="AL54" s="1">
        <v>66.400000000000006</v>
      </c>
      <c r="AM54" s="1"/>
      <c r="AN54" s="1">
        <f t="shared" si="18"/>
        <v>0</v>
      </c>
      <c r="AO54" s="1">
        <f t="shared" si="19"/>
        <v>0</v>
      </c>
      <c r="AP54" t="s">
        <v>155</v>
      </c>
      <c r="AQ54" t="str">
        <f>VLOOKUP(AP54,[1]Лист1!$A:$A,1,0)</f>
        <v>SU002815</v>
      </c>
    </row>
    <row r="55" spans="1:43" hidden="1" x14ac:dyDescent="0.25">
      <c r="A55" s="1" t="s">
        <v>156</v>
      </c>
      <c r="B55" s="1" t="s">
        <v>50</v>
      </c>
      <c r="C55" s="1">
        <v>677</v>
      </c>
      <c r="D55" s="1">
        <v>675</v>
      </c>
      <c r="E55" s="1">
        <v>694</v>
      </c>
      <c r="F55" s="1">
        <v>691</v>
      </c>
      <c r="G55" s="7">
        <v>0.45</v>
      </c>
      <c r="H55" s="1">
        <v>50</v>
      </c>
      <c r="I55" s="1" t="s">
        <v>43</v>
      </c>
      <c r="J55" s="1"/>
      <c r="K55" s="1">
        <v>641</v>
      </c>
      <c r="L55" s="1">
        <f t="shared" si="14"/>
        <v>53</v>
      </c>
      <c r="M55" s="1">
        <f t="shared" si="15"/>
        <v>694</v>
      </c>
      <c r="N55" s="1"/>
      <c r="O55" s="1">
        <v>166.32128239999989</v>
      </c>
      <c r="P55" s="1"/>
      <c r="Q55" s="1">
        <v>295.51575548</v>
      </c>
      <c r="R55" s="1"/>
      <c r="S55" s="24"/>
      <c r="T55" s="1">
        <v>367.07562452000008</v>
      </c>
      <c r="U55" s="1"/>
      <c r="V55" s="24"/>
      <c r="W55" s="1">
        <f t="shared" si="16"/>
        <v>138.80000000000001</v>
      </c>
      <c r="X55" s="5">
        <f>12*W55-T55-Q55-P55-O55-F55</f>
        <v>145.68733760000021</v>
      </c>
      <c r="Y55" s="5">
        <f>X55+$Y$1*W55</f>
        <v>281.71133760000021</v>
      </c>
      <c r="Z55" s="5">
        <f t="shared" si="22"/>
        <v>281.71133760000021</v>
      </c>
      <c r="AA55" s="5"/>
      <c r="AB55" s="1"/>
      <c r="AC55" s="1">
        <f t="shared" si="11"/>
        <v>12.979999999999999</v>
      </c>
      <c r="AD55" s="1">
        <f t="shared" si="17"/>
        <v>10.950379412103745</v>
      </c>
      <c r="AE55" s="1">
        <v>140.19999999999999</v>
      </c>
      <c r="AF55" s="1">
        <v>121.6</v>
      </c>
      <c r="AG55" s="1">
        <v>115</v>
      </c>
      <c r="AH55" s="1">
        <v>109</v>
      </c>
      <c r="AI55" s="1">
        <v>86</v>
      </c>
      <c r="AJ55" s="1">
        <v>112.8</v>
      </c>
      <c r="AK55" s="1">
        <v>148.19999999999999</v>
      </c>
      <c r="AL55" s="1">
        <v>93.6</v>
      </c>
      <c r="AM55" s="1"/>
      <c r="AN55" s="1">
        <f t="shared" si="18"/>
        <v>127</v>
      </c>
      <c r="AO55" s="1">
        <f t="shared" si="19"/>
        <v>0</v>
      </c>
      <c r="AP55" t="s">
        <v>157</v>
      </c>
    </row>
    <row r="56" spans="1:43" hidden="1" x14ac:dyDescent="0.25">
      <c r="A56" s="9" t="s">
        <v>158</v>
      </c>
      <c r="B56" s="9" t="s">
        <v>50</v>
      </c>
      <c r="C56" s="9"/>
      <c r="D56" s="9"/>
      <c r="E56" s="9"/>
      <c r="F56" s="9"/>
      <c r="G56" s="10">
        <v>0</v>
      </c>
      <c r="H56" s="9"/>
      <c r="I56" s="9" t="s">
        <v>43</v>
      </c>
      <c r="J56" s="9"/>
      <c r="K56" s="9"/>
      <c r="L56" s="9">
        <f t="shared" si="14"/>
        <v>0</v>
      </c>
      <c r="M56" s="9">
        <f t="shared" si="15"/>
        <v>0</v>
      </c>
      <c r="N56" s="9"/>
      <c r="O56" s="9"/>
      <c r="P56" s="9"/>
      <c r="Q56" s="9">
        <v>0</v>
      </c>
      <c r="R56" s="9"/>
      <c r="S56" s="27"/>
      <c r="T56" s="9"/>
      <c r="U56" s="9"/>
      <c r="V56" s="27"/>
      <c r="W56" s="9">
        <f t="shared" si="16"/>
        <v>0</v>
      </c>
      <c r="X56" s="11"/>
      <c r="Y56" s="5">
        <f t="shared" ref="Y56:Y65" si="23">X56</f>
        <v>0</v>
      </c>
      <c r="Z56" s="5">
        <f t="shared" si="22"/>
        <v>0</v>
      </c>
      <c r="AA56" s="5"/>
      <c r="AB56" s="1"/>
      <c r="AC56" s="1" t="e">
        <f t="shared" si="11"/>
        <v>#DIV/0!</v>
      </c>
      <c r="AD56" s="9" t="e">
        <f t="shared" si="17"/>
        <v>#DIV/0!</v>
      </c>
      <c r="AE56" s="9">
        <v>0</v>
      </c>
      <c r="AF56" s="9">
        <v>0</v>
      </c>
      <c r="AG56" s="9">
        <v>0</v>
      </c>
      <c r="AH56" s="9">
        <v>0</v>
      </c>
      <c r="AI56" s="9">
        <v>0</v>
      </c>
      <c r="AJ56" s="9">
        <v>0</v>
      </c>
      <c r="AK56" s="9">
        <v>0</v>
      </c>
      <c r="AL56" s="9">
        <v>0</v>
      </c>
      <c r="AM56" s="9" t="s">
        <v>80</v>
      </c>
      <c r="AN56" s="1">
        <f t="shared" si="18"/>
        <v>0</v>
      </c>
      <c r="AO56" s="1">
        <f t="shared" si="19"/>
        <v>0</v>
      </c>
      <c r="AP56" t="s">
        <v>159</v>
      </c>
    </row>
    <row r="57" spans="1:43" hidden="1" x14ac:dyDescent="0.25">
      <c r="A57" s="1" t="s">
        <v>160</v>
      </c>
      <c r="B57" s="1" t="s">
        <v>50</v>
      </c>
      <c r="C57" s="1"/>
      <c r="D57" s="1">
        <v>50</v>
      </c>
      <c r="E57" s="1">
        <v>12</v>
      </c>
      <c r="F57" s="1">
        <v>19</v>
      </c>
      <c r="G57" s="7">
        <v>0.4</v>
      </c>
      <c r="H57" s="1">
        <v>40</v>
      </c>
      <c r="I57" s="15" t="s">
        <v>106</v>
      </c>
      <c r="J57" s="1"/>
      <c r="K57" s="1">
        <v>30</v>
      </c>
      <c r="L57" s="1">
        <f t="shared" si="14"/>
        <v>-18</v>
      </c>
      <c r="M57" s="1">
        <f t="shared" si="15"/>
        <v>12</v>
      </c>
      <c r="N57" s="1"/>
      <c r="O57" s="1"/>
      <c r="P57" s="1"/>
      <c r="Q57" s="1">
        <v>10</v>
      </c>
      <c r="R57" s="1"/>
      <c r="S57" s="24"/>
      <c r="T57" s="1"/>
      <c r="U57" s="1"/>
      <c r="V57" s="24"/>
      <c r="W57" s="1">
        <f t="shared" si="16"/>
        <v>2.4</v>
      </c>
      <c r="X57" s="5">
        <v>10</v>
      </c>
      <c r="Y57" s="5">
        <f t="shared" si="23"/>
        <v>10</v>
      </c>
      <c r="Z57" s="5">
        <f>Y57</f>
        <v>10</v>
      </c>
      <c r="AA57" s="5"/>
      <c r="AB57" s="1"/>
      <c r="AC57" s="1">
        <f t="shared" si="11"/>
        <v>16.25</v>
      </c>
      <c r="AD57" s="1">
        <f t="shared" si="17"/>
        <v>12.083333333333334</v>
      </c>
      <c r="AE57" s="1">
        <v>2.4</v>
      </c>
      <c r="AF57" s="1">
        <v>-0.4</v>
      </c>
      <c r="AG57" s="1">
        <v>0.2</v>
      </c>
      <c r="AH57" s="1">
        <v>2.4</v>
      </c>
      <c r="AI57" s="1">
        <v>2.8</v>
      </c>
      <c r="AJ57" s="1">
        <v>4.8</v>
      </c>
      <c r="AK57" s="1">
        <v>5.6</v>
      </c>
      <c r="AL57" s="1">
        <v>3</v>
      </c>
      <c r="AM57" s="1"/>
      <c r="AN57" s="1">
        <f t="shared" si="18"/>
        <v>4</v>
      </c>
      <c r="AO57" s="1">
        <f t="shared" si="19"/>
        <v>0</v>
      </c>
      <c r="AP57" t="s">
        <v>161</v>
      </c>
    </row>
    <row r="58" spans="1:43" hidden="1" x14ac:dyDescent="0.25">
      <c r="A58" s="23" t="s">
        <v>162</v>
      </c>
      <c r="B58" s="1" t="s">
        <v>42</v>
      </c>
      <c r="C58" s="1">
        <v>237.38200000000001</v>
      </c>
      <c r="D58" s="1">
        <v>761.19600000000003</v>
      </c>
      <c r="E58" s="1">
        <v>397.166</v>
      </c>
      <c r="F58" s="1">
        <v>313.839</v>
      </c>
      <c r="G58" s="7">
        <v>1</v>
      </c>
      <c r="H58" s="1">
        <v>50</v>
      </c>
      <c r="I58" s="1" t="s">
        <v>43</v>
      </c>
      <c r="J58" s="1"/>
      <c r="K58" s="1">
        <v>623.72699999999998</v>
      </c>
      <c r="L58" s="1">
        <f t="shared" si="14"/>
        <v>-226.56099999999998</v>
      </c>
      <c r="M58" s="1">
        <f t="shared" si="15"/>
        <v>290.13900000000001</v>
      </c>
      <c r="N58" s="1">
        <v>107.027</v>
      </c>
      <c r="O58" s="1">
        <v>231.74273485791991</v>
      </c>
      <c r="P58" s="1"/>
      <c r="Q58" s="1">
        <v>0</v>
      </c>
      <c r="R58" s="1"/>
      <c r="S58" s="24">
        <v>100</v>
      </c>
      <c r="T58" s="1"/>
      <c r="U58" s="1"/>
      <c r="V58" s="24"/>
      <c r="W58" s="1">
        <f t="shared" si="16"/>
        <v>58.027799999999999</v>
      </c>
      <c r="X58" s="5">
        <f>12*W58-T58-Q58-P58-O58-F58</f>
        <v>150.75186514208002</v>
      </c>
      <c r="Y58" s="5">
        <f t="shared" si="23"/>
        <v>150.75186514208002</v>
      </c>
      <c r="Z58" s="5">
        <f t="shared" ref="Z58:Z63" si="24">Y58-AA58</f>
        <v>150.75186514208002</v>
      </c>
      <c r="AA58" s="5"/>
      <c r="AB58" s="1"/>
      <c r="AC58" s="1">
        <f t="shared" si="11"/>
        <v>13.723311929799165</v>
      </c>
      <c r="AD58" s="1">
        <f t="shared" si="17"/>
        <v>9.4020751236117839</v>
      </c>
      <c r="AE58" s="1">
        <v>74.771800000000013</v>
      </c>
      <c r="AF58" s="1">
        <v>94.477599999999981</v>
      </c>
      <c r="AG58" s="1">
        <v>78.927799999999991</v>
      </c>
      <c r="AH58" s="1">
        <v>65.617199999999997</v>
      </c>
      <c r="AI58" s="1">
        <v>68.840999999999994</v>
      </c>
      <c r="AJ58" s="1">
        <v>74.638599999999997</v>
      </c>
      <c r="AK58" s="1">
        <v>99.823999999999998</v>
      </c>
      <c r="AL58" s="1">
        <v>124.6264</v>
      </c>
      <c r="AM58" s="1"/>
      <c r="AN58" s="1">
        <f t="shared" si="18"/>
        <v>151</v>
      </c>
      <c r="AO58" s="1">
        <f t="shared" si="19"/>
        <v>0</v>
      </c>
      <c r="AP58" t="s">
        <v>163</v>
      </c>
      <c r="AQ58" t="str">
        <f>VLOOKUP(AP58,[1]Лист1!$A:$A,1,0)</f>
        <v>SU002829</v>
      </c>
    </row>
    <row r="59" spans="1:43" hidden="1" x14ac:dyDescent="0.25">
      <c r="A59" s="1" t="s">
        <v>164</v>
      </c>
      <c r="B59" s="1" t="s">
        <v>50</v>
      </c>
      <c r="C59" s="1">
        <v>104</v>
      </c>
      <c r="D59" s="1">
        <v>232</v>
      </c>
      <c r="E59" s="1">
        <v>136</v>
      </c>
      <c r="F59" s="1">
        <v>160</v>
      </c>
      <c r="G59" s="7">
        <v>0.1</v>
      </c>
      <c r="H59" s="1">
        <v>731</v>
      </c>
      <c r="I59" s="1" t="s">
        <v>43</v>
      </c>
      <c r="J59" s="1"/>
      <c r="K59" s="1">
        <v>175</v>
      </c>
      <c r="L59" s="1">
        <f t="shared" si="14"/>
        <v>-39</v>
      </c>
      <c r="M59" s="1">
        <f t="shared" si="15"/>
        <v>136</v>
      </c>
      <c r="N59" s="1"/>
      <c r="O59" s="1"/>
      <c r="P59" s="1"/>
      <c r="Q59" s="1">
        <v>77.600000000000023</v>
      </c>
      <c r="R59" s="1"/>
      <c r="S59" s="24"/>
      <c r="T59" s="1"/>
      <c r="U59" s="1"/>
      <c r="V59" s="24"/>
      <c r="W59" s="1">
        <f t="shared" si="16"/>
        <v>27.2</v>
      </c>
      <c r="X59" s="5">
        <f>12*W59-T59-Q59-P59-O59-F59</f>
        <v>88.799999999999955</v>
      </c>
      <c r="Y59" s="5">
        <f t="shared" si="23"/>
        <v>88.799999999999955</v>
      </c>
      <c r="Z59" s="5">
        <f t="shared" si="24"/>
        <v>88.799999999999955</v>
      </c>
      <c r="AA59" s="5"/>
      <c r="AB59" s="1"/>
      <c r="AC59" s="1">
        <f t="shared" si="11"/>
        <v>12</v>
      </c>
      <c r="AD59" s="1">
        <f t="shared" si="17"/>
        <v>8.7352941176470598</v>
      </c>
      <c r="AE59" s="1">
        <v>27.2</v>
      </c>
      <c r="AF59" s="1">
        <v>26.2</v>
      </c>
      <c r="AG59" s="1">
        <v>26.8</v>
      </c>
      <c r="AH59" s="1">
        <v>27.6</v>
      </c>
      <c r="AI59" s="1">
        <v>24.4</v>
      </c>
      <c r="AJ59" s="1">
        <v>26.4</v>
      </c>
      <c r="AK59" s="1">
        <v>26.6</v>
      </c>
      <c r="AL59" s="1">
        <v>17.600000000000001</v>
      </c>
      <c r="AM59" s="1"/>
      <c r="AN59" s="1">
        <f t="shared" si="18"/>
        <v>9</v>
      </c>
      <c r="AO59" s="1">
        <f t="shared" si="19"/>
        <v>0</v>
      </c>
      <c r="AP59" t="s">
        <v>165</v>
      </c>
    </row>
    <row r="60" spans="1:43" hidden="1" x14ac:dyDescent="0.25">
      <c r="A60" s="1" t="s">
        <v>166</v>
      </c>
      <c r="B60" s="1" t="s">
        <v>42</v>
      </c>
      <c r="C60" s="1">
        <v>491.87299999999999</v>
      </c>
      <c r="D60" s="1">
        <v>782.45100000000002</v>
      </c>
      <c r="E60" s="1">
        <v>492.62299999999999</v>
      </c>
      <c r="F60" s="1">
        <v>426.03100000000001</v>
      </c>
      <c r="G60" s="7">
        <v>1</v>
      </c>
      <c r="H60" s="1">
        <v>50</v>
      </c>
      <c r="I60" s="1" t="s">
        <v>43</v>
      </c>
      <c r="J60" s="1"/>
      <c r="K60" s="1">
        <v>654.69799999999998</v>
      </c>
      <c r="L60" s="1">
        <f t="shared" si="14"/>
        <v>-162.07499999999999</v>
      </c>
      <c r="M60" s="1">
        <f t="shared" si="15"/>
        <v>364.81599999999997</v>
      </c>
      <c r="N60" s="1">
        <v>127.807</v>
      </c>
      <c r="O60" s="1"/>
      <c r="P60" s="1"/>
      <c r="Q60" s="1">
        <v>133.80848404799971</v>
      </c>
      <c r="R60" s="1"/>
      <c r="S60" s="24"/>
      <c r="T60" s="1"/>
      <c r="U60" s="1"/>
      <c r="V60" s="24"/>
      <c r="W60" s="1">
        <f t="shared" si="16"/>
        <v>72.963200000000001</v>
      </c>
      <c r="X60" s="5">
        <f>12*W60-T60-Q60-P60-O60-F60</f>
        <v>315.71891595200026</v>
      </c>
      <c r="Y60" s="5">
        <f t="shared" si="23"/>
        <v>315.71891595200026</v>
      </c>
      <c r="Z60" s="5">
        <f t="shared" si="24"/>
        <v>315.71891595200026</v>
      </c>
      <c r="AA60" s="5"/>
      <c r="AB60" s="1"/>
      <c r="AC60" s="1">
        <f t="shared" si="11"/>
        <v>11.999999999999998</v>
      </c>
      <c r="AD60" s="1">
        <f t="shared" si="17"/>
        <v>7.6729020115345774</v>
      </c>
      <c r="AE60" s="1">
        <v>88.772199999999998</v>
      </c>
      <c r="AF60" s="1">
        <v>93.292600000000007</v>
      </c>
      <c r="AG60" s="1">
        <v>105.92659999999999</v>
      </c>
      <c r="AH60" s="1">
        <v>80.308399999999992</v>
      </c>
      <c r="AI60" s="1">
        <v>57.7956</v>
      </c>
      <c r="AJ60" s="1">
        <v>86.590799999999987</v>
      </c>
      <c r="AK60" s="1">
        <v>102.032</v>
      </c>
      <c r="AL60" s="1">
        <v>70.132199999999997</v>
      </c>
      <c r="AM60" s="1"/>
      <c r="AN60" s="1">
        <f t="shared" si="18"/>
        <v>316</v>
      </c>
      <c r="AO60" s="1">
        <f t="shared" si="19"/>
        <v>0</v>
      </c>
      <c r="AP60" t="s">
        <v>167</v>
      </c>
    </row>
    <row r="61" spans="1:43" hidden="1" x14ac:dyDescent="0.25">
      <c r="A61" s="1" t="s">
        <v>168</v>
      </c>
      <c r="B61" s="1" t="s">
        <v>42</v>
      </c>
      <c r="C61" s="1">
        <v>48.067999999999998</v>
      </c>
      <c r="D61" s="1">
        <v>53.972999999999999</v>
      </c>
      <c r="E61" s="1">
        <v>24.356999999999999</v>
      </c>
      <c r="F61" s="1">
        <v>77.317999999999998</v>
      </c>
      <c r="G61" s="7">
        <v>1</v>
      </c>
      <c r="H61" s="1">
        <v>55</v>
      </c>
      <c r="I61" s="1" t="s">
        <v>43</v>
      </c>
      <c r="J61" s="1"/>
      <c r="K61" s="1">
        <v>22.2</v>
      </c>
      <c r="L61" s="1">
        <f t="shared" si="14"/>
        <v>2.157</v>
      </c>
      <c r="M61" s="1">
        <f t="shared" si="15"/>
        <v>24.356999999999999</v>
      </c>
      <c r="N61" s="1"/>
      <c r="O61" s="1"/>
      <c r="P61" s="1"/>
      <c r="Q61" s="1">
        <v>0</v>
      </c>
      <c r="R61" s="1"/>
      <c r="S61" s="24"/>
      <c r="T61" s="1"/>
      <c r="U61" s="1"/>
      <c r="V61" s="24"/>
      <c r="W61" s="1">
        <f t="shared" si="16"/>
        <v>4.8713999999999995</v>
      </c>
      <c r="X61" s="5"/>
      <c r="Y61" s="5">
        <f t="shared" si="23"/>
        <v>0</v>
      </c>
      <c r="Z61" s="5">
        <f t="shared" si="24"/>
        <v>0</v>
      </c>
      <c r="AA61" s="5"/>
      <c r="AB61" s="1"/>
      <c r="AC61" s="1">
        <f t="shared" si="11"/>
        <v>15.871823295151293</v>
      </c>
      <c r="AD61" s="1">
        <f t="shared" si="17"/>
        <v>15.871823295151293</v>
      </c>
      <c r="AE61" s="1">
        <v>4.8714000000000004</v>
      </c>
      <c r="AF61" s="1">
        <v>8.2176000000000009</v>
      </c>
      <c r="AG61" s="1">
        <v>6.5724</v>
      </c>
      <c r="AH61" s="1">
        <v>2.7147999999999999</v>
      </c>
      <c r="AI61" s="1">
        <v>3.7801999999999998</v>
      </c>
      <c r="AJ61" s="1">
        <v>7.5739999999999998</v>
      </c>
      <c r="AK61" s="1">
        <v>8.3827999999999996</v>
      </c>
      <c r="AL61" s="1">
        <v>3.4996</v>
      </c>
      <c r="AM61" s="1"/>
      <c r="AN61" s="1">
        <f t="shared" si="18"/>
        <v>0</v>
      </c>
      <c r="AO61" s="1">
        <f t="shared" si="19"/>
        <v>0</v>
      </c>
      <c r="AP61" t="s">
        <v>169</v>
      </c>
    </row>
    <row r="62" spans="1:43" hidden="1" x14ac:dyDescent="0.25">
      <c r="A62" s="1" t="s">
        <v>170</v>
      </c>
      <c r="B62" s="1" t="s">
        <v>50</v>
      </c>
      <c r="C62" s="1">
        <v>105</v>
      </c>
      <c r="D62" s="1">
        <v>147</v>
      </c>
      <c r="E62" s="1">
        <v>118</v>
      </c>
      <c r="F62" s="1">
        <v>119</v>
      </c>
      <c r="G62" s="7">
        <v>0.1</v>
      </c>
      <c r="H62" s="1">
        <v>731</v>
      </c>
      <c r="I62" s="1" t="s">
        <v>43</v>
      </c>
      <c r="J62" s="1"/>
      <c r="K62" s="1">
        <v>132</v>
      </c>
      <c r="L62" s="1">
        <f t="shared" si="14"/>
        <v>-14</v>
      </c>
      <c r="M62" s="1">
        <f t="shared" si="15"/>
        <v>118</v>
      </c>
      <c r="N62" s="1"/>
      <c r="O62" s="1"/>
      <c r="P62" s="1"/>
      <c r="Q62" s="1">
        <v>100.2</v>
      </c>
      <c r="R62" s="1"/>
      <c r="S62" s="24"/>
      <c r="T62" s="1"/>
      <c r="U62" s="1"/>
      <c r="V62" s="24"/>
      <c r="W62" s="1">
        <f t="shared" si="16"/>
        <v>23.6</v>
      </c>
      <c r="X62" s="5">
        <f>12*W62-T62-Q62-P62-O62-F62</f>
        <v>64.000000000000057</v>
      </c>
      <c r="Y62" s="5">
        <f t="shared" si="23"/>
        <v>64.000000000000057</v>
      </c>
      <c r="Z62" s="5">
        <f t="shared" si="24"/>
        <v>64.000000000000057</v>
      </c>
      <c r="AA62" s="5"/>
      <c r="AB62" s="1"/>
      <c r="AC62" s="1">
        <f t="shared" si="11"/>
        <v>12.000000000000002</v>
      </c>
      <c r="AD62" s="1">
        <f t="shared" si="17"/>
        <v>9.2881355932203373</v>
      </c>
      <c r="AE62" s="1">
        <v>23.6</v>
      </c>
      <c r="AF62" s="1">
        <v>20.2</v>
      </c>
      <c r="AG62" s="1">
        <v>24</v>
      </c>
      <c r="AH62" s="1">
        <v>23</v>
      </c>
      <c r="AI62" s="1">
        <v>23.6</v>
      </c>
      <c r="AJ62" s="1">
        <v>23</v>
      </c>
      <c r="AK62" s="1">
        <v>24.2</v>
      </c>
      <c r="AL62" s="1">
        <v>17.600000000000001</v>
      </c>
      <c r="AM62" s="1"/>
      <c r="AN62" s="1">
        <f t="shared" si="18"/>
        <v>6</v>
      </c>
      <c r="AO62" s="1">
        <f t="shared" si="19"/>
        <v>0</v>
      </c>
      <c r="AP62" t="s">
        <v>171</v>
      </c>
    </row>
    <row r="63" spans="1:43" hidden="1" x14ac:dyDescent="0.25">
      <c r="A63" s="1" t="s">
        <v>172</v>
      </c>
      <c r="B63" s="1" t="s">
        <v>50</v>
      </c>
      <c r="C63" s="1">
        <v>18</v>
      </c>
      <c r="D63" s="1">
        <v>10</v>
      </c>
      <c r="E63" s="1">
        <v>1</v>
      </c>
      <c r="F63" s="1">
        <v>27</v>
      </c>
      <c r="G63" s="7">
        <v>0.4</v>
      </c>
      <c r="H63" s="1">
        <v>50</v>
      </c>
      <c r="I63" s="1" t="s">
        <v>43</v>
      </c>
      <c r="J63" s="1"/>
      <c r="K63" s="1">
        <v>3</v>
      </c>
      <c r="L63" s="1">
        <f t="shared" si="14"/>
        <v>-2</v>
      </c>
      <c r="M63" s="1">
        <f t="shared" si="15"/>
        <v>1</v>
      </c>
      <c r="N63" s="1"/>
      <c r="O63" s="1"/>
      <c r="P63" s="1"/>
      <c r="Q63" s="1">
        <v>0</v>
      </c>
      <c r="R63" s="1"/>
      <c r="S63" s="24"/>
      <c r="T63" s="1"/>
      <c r="U63" s="1"/>
      <c r="V63" s="24"/>
      <c r="W63" s="1">
        <f t="shared" si="16"/>
        <v>0.2</v>
      </c>
      <c r="X63" s="5"/>
      <c r="Y63" s="5">
        <f t="shared" si="23"/>
        <v>0</v>
      </c>
      <c r="Z63" s="5">
        <f t="shared" si="24"/>
        <v>0</v>
      </c>
      <c r="AA63" s="5"/>
      <c r="AB63" s="1"/>
      <c r="AC63" s="1">
        <f t="shared" si="11"/>
        <v>135</v>
      </c>
      <c r="AD63" s="1">
        <f t="shared" si="17"/>
        <v>135</v>
      </c>
      <c r="AE63" s="1">
        <v>0.2</v>
      </c>
      <c r="AF63" s="1">
        <v>0.8</v>
      </c>
      <c r="AG63" s="1">
        <v>1.4</v>
      </c>
      <c r="AH63" s="1">
        <v>2.2000000000000002</v>
      </c>
      <c r="AI63" s="1">
        <v>2.2000000000000002</v>
      </c>
      <c r="AJ63" s="1">
        <v>1</v>
      </c>
      <c r="AK63" s="1">
        <v>1.6</v>
      </c>
      <c r="AL63" s="1">
        <v>2.8</v>
      </c>
      <c r="AM63" s="12" t="s">
        <v>99</v>
      </c>
      <c r="AN63" s="1">
        <f t="shared" si="18"/>
        <v>0</v>
      </c>
      <c r="AO63" s="1">
        <f t="shared" si="19"/>
        <v>0</v>
      </c>
      <c r="AP63" t="s">
        <v>173</v>
      </c>
    </row>
    <row r="64" spans="1:43" hidden="1" x14ac:dyDescent="0.25">
      <c r="A64" s="1" t="s">
        <v>174</v>
      </c>
      <c r="B64" s="1" t="s">
        <v>42</v>
      </c>
      <c r="C64" s="1">
        <v>-26.584</v>
      </c>
      <c r="D64" s="1">
        <v>296.51600000000002</v>
      </c>
      <c r="E64" s="1">
        <v>9.8889999999999993</v>
      </c>
      <c r="F64" s="1">
        <v>71.605000000000004</v>
      </c>
      <c r="G64" s="7">
        <v>1</v>
      </c>
      <c r="H64" s="1">
        <v>40</v>
      </c>
      <c r="I64" s="15" t="s">
        <v>106</v>
      </c>
      <c r="J64" s="1"/>
      <c r="K64" s="1">
        <v>168.8</v>
      </c>
      <c r="L64" s="1">
        <f t="shared" si="14"/>
        <v>-158.911</v>
      </c>
      <c r="M64" s="1">
        <f t="shared" si="15"/>
        <v>9.8889999999999993</v>
      </c>
      <c r="N64" s="1"/>
      <c r="O64" s="1"/>
      <c r="P64" s="1"/>
      <c r="Q64" s="1">
        <v>0</v>
      </c>
      <c r="R64" s="1"/>
      <c r="S64" s="24"/>
      <c r="T64" s="1"/>
      <c r="U64" s="1"/>
      <c r="V64" s="24"/>
      <c r="W64" s="1">
        <f t="shared" si="16"/>
        <v>1.9777999999999998</v>
      </c>
      <c r="X64" s="5">
        <v>50</v>
      </c>
      <c r="Y64" s="5">
        <f t="shared" si="23"/>
        <v>50</v>
      </c>
      <c r="Z64" s="5">
        <f>Y64</f>
        <v>50</v>
      </c>
      <c r="AA64" s="5">
        <f>Y64*0.5</f>
        <v>25</v>
      </c>
      <c r="AB64" s="1"/>
      <c r="AC64" s="1">
        <f t="shared" si="11"/>
        <v>74.125290727070507</v>
      </c>
      <c r="AD64" s="1">
        <f t="shared" si="17"/>
        <v>36.204368490241691</v>
      </c>
      <c r="AE64" s="1">
        <v>1.9778</v>
      </c>
      <c r="AF64" s="1">
        <v>35.930399999999999</v>
      </c>
      <c r="AG64" s="1">
        <v>33.767200000000003</v>
      </c>
      <c r="AH64" s="1">
        <v>5.1779999999999999</v>
      </c>
      <c r="AI64" s="1">
        <v>12.8698</v>
      </c>
      <c r="AJ64" s="1">
        <v>11.319000000000001</v>
      </c>
      <c r="AK64" s="1">
        <v>7.4388000000000014</v>
      </c>
      <c r="AL64" s="1">
        <v>8.8168000000000006</v>
      </c>
      <c r="AM64" s="1" t="s">
        <v>175</v>
      </c>
      <c r="AN64" s="1">
        <f t="shared" si="18"/>
        <v>50</v>
      </c>
      <c r="AO64" s="1">
        <f t="shared" si="19"/>
        <v>25</v>
      </c>
      <c r="AP64" t="s">
        <v>176</v>
      </c>
    </row>
    <row r="65" spans="1:42" hidden="1" x14ac:dyDescent="0.25">
      <c r="A65" s="1" t="s">
        <v>177</v>
      </c>
      <c r="B65" s="1" t="s">
        <v>42</v>
      </c>
      <c r="C65" s="1">
        <v>-40.819000000000003</v>
      </c>
      <c r="D65" s="1">
        <v>261.31700000000001</v>
      </c>
      <c r="E65" s="1">
        <v>98.992000000000004</v>
      </c>
      <c r="F65" s="1">
        <v>-53.939</v>
      </c>
      <c r="G65" s="7">
        <v>1</v>
      </c>
      <c r="H65" s="1">
        <v>40</v>
      </c>
      <c r="I65" s="15" t="s">
        <v>106</v>
      </c>
      <c r="J65" s="1"/>
      <c r="K65" s="1">
        <v>233.49700000000001</v>
      </c>
      <c r="L65" s="1">
        <f t="shared" si="14"/>
        <v>-134.505</v>
      </c>
      <c r="M65" s="1">
        <f t="shared" si="15"/>
        <v>98.992000000000004</v>
      </c>
      <c r="N65" s="1"/>
      <c r="O65" s="1"/>
      <c r="P65" s="1"/>
      <c r="Q65" s="1">
        <v>50</v>
      </c>
      <c r="R65" s="1"/>
      <c r="S65" s="24"/>
      <c r="T65" s="1"/>
      <c r="U65" s="1"/>
      <c r="V65" s="24"/>
      <c r="W65" s="1">
        <f t="shared" si="16"/>
        <v>19.798400000000001</v>
      </c>
      <c r="X65" s="5">
        <v>60</v>
      </c>
      <c r="Y65" s="5">
        <f t="shared" si="23"/>
        <v>60</v>
      </c>
      <c r="Z65" s="5">
        <f>Y65</f>
        <v>60</v>
      </c>
      <c r="AA65" s="5">
        <f>Y65*0.5</f>
        <v>30</v>
      </c>
      <c r="AB65" s="1"/>
      <c r="AC65" s="1">
        <f t="shared" si="11"/>
        <v>4.3468664134475512</v>
      </c>
      <c r="AD65" s="1">
        <f t="shared" si="17"/>
        <v>-0.19895547114918377</v>
      </c>
      <c r="AE65" s="1">
        <v>10.039999999999999</v>
      </c>
      <c r="AF65" s="1">
        <v>35.883800000000001</v>
      </c>
      <c r="AG65" s="1">
        <v>36.3566</v>
      </c>
      <c r="AH65" s="1">
        <v>15.0884</v>
      </c>
      <c r="AI65" s="1">
        <v>0.26879999999999998</v>
      </c>
      <c r="AJ65" s="1">
        <v>0.55599999999999994</v>
      </c>
      <c r="AK65" s="1">
        <v>8.0599999999999987</v>
      </c>
      <c r="AL65" s="1">
        <v>8.0434000000000001</v>
      </c>
      <c r="AM65" s="1" t="s">
        <v>175</v>
      </c>
      <c r="AN65" s="1">
        <f t="shared" si="18"/>
        <v>60</v>
      </c>
      <c r="AO65" s="1">
        <f t="shared" si="19"/>
        <v>30</v>
      </c>
      <c r="AP65" t="s">
        <v>178</v>
      </c>
    </row>
    <row r="66" spans="1:42" hidden="1" x14ac:dyDescent="0.25">
      <c r="A66" s="1" t="s">
        <v>179</v>
      </c>
      <c r="B66" s="1" t="s">
        <v>50</v>
      </c>
      <c r="C66" s="1">
        <v>878</v>
      </c>
      <c r="D66" s="1">
        <v>1011</v>
      </c>
      <c r="E66" s="1">
        <v>940</v>
      </c>
      <c r="F66" s="1">
        <v>124</v>
      </c>
      <c r="G66" s="7">
        <v>0.4</v>
      </c>
      <c r="H66" s="1">
        <v>40</v>
      </c>
      <c r="I66" s="1" t="s">
        <v>43</v>
      </c>
      <c r="J66" s="1"/>
      <c r="K66" s="1">
        <v>1435</v>
      </c>
      <c r="L66" s="1">
        <f t="shared" si="14"/>
        <v>-495</v>
      </c>
      <c r="M66" s="1">
        <f t="shared" si="15"/>
        <v>820</v>
      </c>
      <c r="N66" s="1">
        <v>120</v>
      </c>
      <c r="O66" s="1"/>
      <c r="P66" s="1"/>
      <c r="Q66" s="1">
        <v>551.05975999999987</v>
      </c>
      <c r="R66" s="1"/>
      <c r="S66" s="24"/>
      <c r="T66" s="1">
        <v>684.50024000000008</v>
      </c>
      <c r="U66" s="1"/>
      <c r="V66" s="24"/>
      <c r="W66" s="1">
        <f t="shared" si="16"/>
        <v>164</v>
      </c>
      <c r="X66" s="5">
        <f>12*W66-T66-Q66-P66-O66-F66</f>
        <v>608.44000000000005</v>
      </c>
      <c r="Y66" s="5">
        <f>X66+$Y$1*W66</f>
        <v>769.16000000000008</v>
      </c>
      <c r="Z66" s="5">
        <f>Y66-AA66</f>
        <v>769.16000000000008</v>
      </c>
      <c r="AA66" s="5"/>
      <c r="AB66" s="1"/>
      <c r="AC66" s="1">
        <f t="shared" si="11"/>
        <v>12.980000000000002</v>
      </c>
      <c r="AD66" s="1">
        <f t="shared" si="17"/>
        <v>8.2899999999999991</v>
      </c>
      <c r="AE66" s="1">
        <v>188.8</v>
      </c>
      <c r="AF66" s="1">
        <v>96.2</v>
      </c>
      <c r="AG66" s="1">
        <v>124.2</v>
      </c>
      <c r="AH66" s="1">
        <v>168</v>
      </c>
      <c r="AI66" s="1">
        <v>89.6</v>
      </c>
      <c r="AJ66" s="1">
        <v>26.4</v>
      </c>
      <c r="AK66" s="1">
        <v>94.8</v>
      </c>
      <c r="AL66" s="1">
        <v>113.2</v>
      </c>
      <c r="AM66" s="1"/>
      <c r="AN66" s="1">
        <f t="shared" si="18"/>
        <v>308</v>
      </c>
      <c r="AO66" s="1">
        <f t="shared" si="19"/>
        <v>0</v>
      </c>
      <c r="AP66" t="s">
        <v>180</v>
      </c>
    </row>
    <row r="67" spans="1:42" hidden="1" x14ac:dyDescent="0.25">
      <c r="A67" s="1" t="s">
        <v>181</v>
      </c>
      <c r="B67" s="1" t="s">
        <v>50</v>
      </c>
      <c r="C67" s="1">
        <v>79</v>
      </c>
      <c r="D67" s="1">
        <v>315</v>
      </c>
      <c r="E67" s="1">
        <v>193</v>
      </c>
      <c r="F67" s="1"/>
      <c r="G67" s="7">
        <v>0.4</v>
      </c>
      <c r="H67" s="1">
        <v>40</v>
      </c>
      <c r="I67" s="15" t="s">
        <v>106</v>
      </c>
      <c r="J67" s="1"/>
      <c r="K67" s="1">
        <v>667</v>
      </c>
      <c r="L67" s="1">
        <f t="shared" si="14"/>
        <v>-474</v>
      </c>
      <c r="M67" s="1">
        <f t="shared" si="15"/>
        <v>133</v>
      </c>
      <c r="N67" s="1">
        <v>60</v>
      </c>
      <c r="O67" s="1">
        <v>50</v>
      </c>
      <c r="P67" s="1"/>
      <c r="Q67" s="1">
        <v>187.4</v>
      </c>
      <c r="R67" s="1">
        <v>-191.99999999999997</v>
      </c>
      <c r="S67" s="24"/>
      <c r="T67" s="1"/>
      <c r="U67" s="1"/>
      <c r="V67" s="24"/>
      <c r="W67" s="1">
        <f t="shared" si="16"/>
        <v>26.6</v>
      </c>
      <c r="X67" s="5">
        <v>200</v>
      </c>
      <c r="Y67" s="5">
        <f>X67</f>
        <v>200</v>
      </c>
      <c r="Z67" s="5">
        <f>Y67</f>
        <v>200</v>
      </c>
      <c r="AA67" s="5">
        <f>Y67*0.5</f>
        <v>100</v>
      </c>
      <c r="AB67" s="1"/>
      <c r="AC67" s="1">
        <f t="shared" si="11"/>
        <v>12.984962406015036</v>
      </c>
      <c r="AD67" s="1">
        <f t="shared" si="17"/>
        <v>8.9248120300751879</v>
      </c>
      <c r="AE67" s="1">
        <v>38.4</v>
      </c>
      <c r="AF67" s="1">
        <v>0.6</v>
      </c>
      <c r="AG67" s="1">
        <v>0</v>
      </c>
      <c r="AH67" s="1">
        <v>0.4</v>
      </c>
      <c r="AI67" s="1">
        <v>0.8</v>
      </c>
      <c r="AJ67" s="1">
        <v>45.6</v>
      </c>
      <c r="AK67" s="1">
        <v>95.8</v>
      </c>
      <c r="AL67" s="1">
        <v>80.400000000000006</v>
      </c>
      <c r="AM67" s="1"/>
      <c r="AN67" s="1">
        <f t="shared" si="18"/>
        <v>80</v>
      </c>
      <c r="AO67" s="1">
        <f t="shared" si="19"/>
        <v>40</v>
      </c>
      <c r="AP67" t="s">
        <v>182</v>
      </c>
    </row>
    <row r="68" spans="1:42" hidden="1" x14ac:dyDescent="0.25">
      <c r="A68" s="1" t="s">
        <v>183</v>
      </c>
      <c r="B68" s="1" t="s">
        <v>42</v>
      </c>
      <c r="C68" s="1">
        <v>131.67500000000001</v>
      </c>
      <c r="D68" s="1">
        <v>182.43899999999999</v>
      </c>
      <c r="E68" s="1">
        <v>131.47399999999999</v>
      </c>
      <c r="F68" s="1">
        <v>90.784000000000006</v>
      </c>
      <c r="G68" s="7">
        <v>1</v>
      </c>
      <c r="H68" s="1">
        <v>40</v>
      </c>
      <c r="I68" s="1" t="s">
        <v>43</v>
      </c>
      <c r="J68" s="1"/>
      <c r="K68" s="1">
        <v>130.68799999999999</v>
      </c>
      <c r="L68" s="1">
        <f t="shared" si="14"/>
        <v>0.78600000000000136</v>
      </c>
      <c r="M68" s="1">
        <f t="shared" si="15"/>
        <v>55.727999999999994</v>
      </c>
      <c r="N68" s="1">
        <v>75.745999999999995</v>
      </c>
      <c r="O68" s="1"/>
      <c r="P68" s="1"/>
      <c r="Q68" s="1">
        <v>0</v>
      </c>
      <c r="R68" s="1"/>
      <c r="S68" s="24"/>
      <c r="T68" s="1"/>
      <c r="U68" s="1"/>
      <c r="V68" s="24"/>
      <c r="W68" s="1">
        <f t="shared" si="16"/>
        <v>11.145599999999998</v>
      </c>
      <c r="X68" s="5">
        <f>12*W68-T68-Q68-P68-O68-F68</f>
        <v>42.963199999999958</v>
      </c>
      <c r="Y68" s="5">
        <f t="shared" ref="Y68:Y74" si="25">X68</f>
        <v>42.963199999999958</v>
      </c>
      <c r="Z68" s="5">
        <f t="shared" ref="Z68:Z83" si="26">Y68-AA68</f>
        <v>42.963199999999958</v>
      </c>
      <c r="AA68" s="5"/>
      <c r="AB68" s="1"/>
      <c r="AC68" s="1">
        <f t="shared" si="11"/>
        <v>11.999999999999998</v>
      </c>
      <c r="AD68" s="1">
        <f t="shared" si="17"/>
        <v>8.1452770600057445</v>
      </c>
      <c r="AE68" s="1">
        <v>9.0595999999999979</v>
      </c>
      <c r="AF68" s="1">
        <v>17.7364</v>
      </c>
      <c r="AG68" s="1">
        <v>6.0776000000000003</v>
      </c>
      <c r="AH68" s="1">
        <v>4.7904</v>
      </c>
      <c r="AI68" s="1">
        <v>12.265599999999999</v>
      </c>
      <c r="AJ68" s="1">
        <v>17.055599999999998</v>
      </c>
      <c r="AK68" s="1">
        <v>11.9252</v>
      </c>
      <c r="AL68" s="1">
        <v>7.8718000000000004</v>
      </c>
      <c r="AM68" s="1"/>
      <c r="AN68" s="1">
        <f t="shared" si="18"/>
        <v>43</v>
      </c>
      <c r="AO68" s="1">
        <f t="shared" si="19"/>
        <v>0</v>
      </c>
      <c r="AP68" t="s">
        <v>184</v>
      </c>
    </row>
    <row r="69" spans="1:42" hidden="1" x14ac:dyDescent="0.25">
      <c r="A69" s="1" t="s">
        <v>185</v>
      </c>
      <c r="B69" s="1" t="s">
        <v>42</v>
      </c>
      <c r="C69" s="1">
        <v>59.363</v>
      </c>
      <c r="D69" s="1">
        <v>389.28</v>
      </c>
      <c r="E69" s="1">
        <v>48.875999999999998</v>
      </c>
      <c r="F69" s="1">
        <v>191.06299999999999</v>
      </c>
      <c r="G69" s="7">
        <v>1</v>
      </c>
      <c r="H69" s="1">
        <v>40</v>
      </c>
      <c r="I69" s="1" t="s">
        <v>43</v>
      </c>
      <c r="J69" s="1"/>
      <c r="K69" s="1">
        <v>237.13200000000001</v>
      </c>
      <c r="L69" s="1">
        <f t="shared" si="14"/>
        <v>-188.256</v>
      </c>
      <c r="M69" s="1">
        <f t="shared" si="15"/>
        <v>16.555999999999997</v>
      </c>
      <c r="N69" s="1">
        <v>32.32</v>
      </c>
      <c r="O69" s="1"/>
      <c r="P69" s="1"/>
      <c r="Q69" s="1">
        <v>0</v>
      </c>
      <c r="R69" s="1"/>
      <c r="S69" s="24"/>
      <c r="T69" s="1"/>
      <c r="U69" s="1"/>
      <c r="V69" s="24"/>
      <c r="W69" s="1">
        <f t="shared" si="16"/>
        <v>3.3111999999999995</v>
      </c>
      <c r="X69" s="5"/>
      <c r="Y69" s="5">
        <f t="shared" si="25"/>
        <v>0</v>
      </c>
      <c r="Z69" s="5">
        <f t="shared" si="26"/>
        <v>0</v>
      </c>
      <c r="AA69" s="5"/>
      <c r="AB69" s="1"/>
      <c r="AC69" s="1">
        <f t="shared" si="11"/>
        <v>57.702041555931388</v>
      </c>
      <c r="AD69" s="1">
        <f t="shared" si="17"/>
        <v>57.702041555931388</v>
      </c>
      <c r="AE69" s="1">
        <v>20.581600000000002</v>
      </c>
      <c r="AF69" s="1">
        <v>30.961200000000002</v>
      </c>
      <c r="AG69" s="1">
        <v>27.160799999999998</v>
      </c>
      <c r="AH69" s="1">
        <v>17.945</v>
      </c>
      <c r="AI69" s="1">
        <v>16.682200000000002</v>
      </c>
      <c r="AJ69" s="1">
        <v>20.416399999999999</v>
      </c>
      <c r="AK69" s="1">
        <v>21.869800000000001</v>
      </c>
      <c r="AL69" s="1">
        <v>14.438000000000001</v>
      </c>
      <c r="AM69" s="1"/>
      <c r="AN69" s="1">
        <f t="shared" si="18"/>
        <v>0</v>
      </c>
      <c r="AO69" s="1">
        <f t="shared" si="19"/>
        <v>0</v>
      </c>
      <c r="AP69" t="s">
        <v>186</v>
      </c>
    </row>
    <row r="70" spans="1:42" hidden="1" x14ac:dyDescent="0.25">
      <c r="A70" s="1" t="s">
        <v>187</v>
      </c>
      <c r="B70" s="1" t="s">
        <v>42</v>
      </c>
      <c r="C70" s="1">
        <v>764.34199999999998</v>
      </c>
      <c r="D70" s="1">
        <v>374.04199999999997</v>
      </c>
      <c r="E70" s="1">
        <v>525.47400000000005</v>
      </c>
      <c r="F70" s="1">
        <v>354.42099999999999</v>
      </c>
      <c r="G70" s="7">
        <v>1</v>
      </c>
      <c r="H70" s="1">
        <v>40</v>
      </c>
      <c r="I70" s="1" t="s">
        <v>43</v>
      </c>
      <c r="J70" s="1"/>
      <c r="K70" s="1">
        <v>631.66800000000001</v>
      </c>
      <c r="L70" s="1">
        <f t="shared" ref="L70:L101" si="27">E70-K70</f>
        <v>-106.19399999999996</v>
      </c>
      <c r="M70" s="1">
        <f t="shared" ref="M70:M101" si="28">E70-N70</f>
        <v>417.27700000000004</v>
      </c>
      <c r="N70" s="1">
        <v>108.197</v>
      </c>
      <c r="O70" s="1"/>
      <c r="P70" s="1"/>
      <c r="Q70" s="1">
        <v>378.85399999999993</v>
      </c>
      <c r="R70" s="1">
        <v>-383.4</v>
      </c>
      <c r="S70" s="24"/>
      <c r="T70" s="1"/>
      <c r="U70" s="1"/>
      <c r="V70" s="24"/>
      <c r="W70" s="1">
        <f t="shared" ref="W70:W101" si="29">M70/5</f>
        <v>83.455400000000012</v>
      </c>
      <c r="X70" s="5">
        <f>12*W70-T70-Q70-P70-O70-F70</f>
        <v>268.18980000000028</v>
      </c>
      <c r="Y70" s="5">
        <f t="shared" si="25"/>
        <v>268.18980000000028</v>
      </c>
      <c r="Z70" s="5">
        <f t="shared" si="26"/>
        <v>268.18980000000028</v>
      </c>
      <c r="AA70" s="5"/>
      <c r="AB70" s="1"/>
      <c r="AC70" s="1">
        <f t="shared" si="11"/>
        <v>7.405929394622758</v>
      </c>
      <c r="AD70" s="1">
        <f t="shared" ref="AD70:AD101" si="30">(F70+O70+P70+Q70+T70)/W70</f>
        <v>8.7864296378664495</v>
      </c>
      <c r="AE70" s="1">
        <v>94.111999999999995</v>
      </c>
      <c r="AF70" s="1">
        <v>81.416399999999996</v>
      </c>
      <c r="AG70" s="1">
        <v>61.898000000000003</v>
      </c>
      <c r="AH70" s="1">
        <v>89.253599999999992</v>
      </c>
      <c r="AI70" s="1">
        <v>110.14279999999999</v>
      </c>
      <c r="AJ70" s="1">
        <v>106.628</v>
      </c>
      <c r="AK70" s="1">
        <v>119.44499999999999</v>
      </c>
      <c r="AL70" s="1">
        <v>150.35599999999999</v>
      </c>
      <c r="AM70" s="1"/>
      <c r="AN70" s="1">
        <f t="shared" ref="AN70:AN101" si="31">ROUND(G70*Z70,0)</f>
        <v>268</v>
      </c>
      <c r="AO70" s="1">
        <f t="shared" ref="AO70:AO101" si="32">ROUND(G70*AA70,0)</f>
        <v>0</v>
      </c>
      <c r="AP70" t="s">
        <v>188</v>
      </c>
    </row>
    <row r="71" spans="1:42" hidden="1" x14ac:dyDescent="0.25">
      <c r="A71" s="1" t="s">
        <v>189</v>
      </c>
      <c r="B71" s="1" t="s">
        <v>42</v>
      </c>
      <c r="C71" s="1">
        <v>115.339</v>
      </c>
      <c r="D71" s="1">
        <v>182.22200000000001</v>
      </c>
      <c r="E71" s="1">
        <v>117.982</v>
      </c>
      <c r="F71" s="1">
        <v>-28.298999999999999</v>
      </c>
      <c r="G71" s="7">
        <v>1</v>
      </c>
      <c r="H71" s="1">
        <v>40</v>
      </c>
      <c r="I71" s="1" t="s">
        <v>43</v>
      </c>
      <c r="J71" s="1"/>
      <c r="K71" s="1">
        <v>235.834</v>
      </c>
      <c r="L71" s="1">
        <f t="shared" si="27"/>
        <v>-117.852</v>
      </c>
      <c r="M71" s="1">
        <f t="shared" si="28"/>
        <v>85.561999999999998</v>
      </c>
      <c r="N71" s="1">
        <v>32.42</v>
      </c>
      <c r="O71" s="1"/>
      <c r="P71" s="1"/>
      <c r="Q71" s="1">
        <v>186.3614</v>
      </c>
      <c r="R71" s="1"/>
      <c r="S71" s="24"/>
      <c r="T71" s="1"/>
      <c r="U71" s="1"/>
      <c r="V71" s="24"/>
      <c r="W71" s="1">
        <f t="shared" si="29"/>
        <v>17.112400000000001</v>
      </c>
      <c r="X71" s="5">
        <f>12*W71-T71-Q71-P71-O71-F71</f>
        <v>47.286400000000008</v>
      </c>
      <c r="Y71" s="5">
        <f t="shared" si="25"/>
        <v>47.286400000000008</v>
      </c>
      <c r="Z71" s="5">
        <f t="shared" si="26"/>
        <v>47.286400000000008</v>
      </c>
      <c r="AA71" s="5"/>
      <c r="AB71" s="1"/>
      <c r="AC71" s="1">
        <f t="shared" ref="AC71:AC134" si="33">(F71+O71+P71+Q71+T71+Z71+AA71+R71+S71+U71+V71)/W71</f>
        <v>12</v>
      </c>
      <c r="AD71" s="1">
        <f t="shared" si="30"/>
        <v>9.2367172342862478</v>
      </c>
      <c r="AE71" s="1">
        <v>30.803799999999999</v>
      </c>
      <c r="AF71" s="1">
        <v>13.1944</v>
      </c>
      <c r="AG71" s="1">
        <v>3.5874000000000001</v>
      </c>
      <c r="AH71" s="1">
        <v>14.342000000000001</v>
      </c>
      <c r="AI71" s="1">
        <v>18.890999999999998</v>
      </c>
      <c r="AJ71" s="1">
        <v>10.531000000000001</v>
      </c>
      <c r="AK71" s="1">
        <v>10.1662</v>
      </c>
      <c r="AL71" s="1">
        <v>7.0498000000000003</v>
      </c>
      <c r="AM71" s="1"/>
      <c r="AN71" s="1">
        <f t="shared" si="31"/>
        <v>47</v>
      </c>
      <c r="AO71" s="1">
        <f t="shared" si="32"/>
        <v>0</v>
      </c>
      <c r="AP71" t="s">
        <v>190</v>
      </c>
    </row>
    <row r="72" spans="1:42" hidden="1" x14ac:dyDescent="0.25">
      <c r="A72" s="9" t="s">
        <v>191</v>
      </c>
      <c r="B72" s="9" t="s">
        <v>50</v>
      </c>
      <c r="C72" s="9"/>
      <c r="D72" s="9"/>
      <c r="E72" s="9"/>
      <c r="F72" s="9"/>
      <c r="G72" s="10">
        <v>0</v>
      </c>
      <c r="H72" s="9"/>
      <c r="I72" s="9" t="s">
        <v>43</v>
      </c>
      <c r="J72" s="9"/>
      <c r="K72" s="9"/>
      <c r="L72" s="9">
        <f t="shared" si="27"/>
        <v>0</v>
      </c>
      <c r="M72" s="9">
        <f t="shared" si="28"/>
        <v>0</v>
      </c>
      <c r="N72" s="9"/>
      <c r="O72" s="9"/>
      <c r="P72" s="9"/>
      <c r="Q72" s="9">
        <v>0</v>
      </c>
      <c r="R72" s="9"/>
      <c r="S72" s="27"/>
      <c r="T72" s="9"/>
      <c r="U72" s="9"/>
      <c r="V72" s="27"/>
      <c r="W72" s="9">
        <f t="shared" si="29"/>
        <v>0</v>
      </c>
      <c r="X72" s="11"/>
      <c r="Y72" s="5">
        <f t="shared" si="25"/>
        <v>0</v>
      </c>
      <c r="Z72" s="5">
        <f t="shared" si="26"/>
        <v>0</v>
      </c>
      <c r="AA72" s="5"/>
      <c r="AB72" s="1"/>
      <c r="AC72" s="1" t="e">
        <f t="shared" si="33"/>
        <v>#DIV/0!</v>
      </c>
      <c r="AD72" s="9" t="e">
        <f t="shared" si="30"/>
        <v>#DIV/0!</v>
      </c>
      <c r="AE72" s="9">
        <v>0</v>
      </c>
      <c r="AF72" s="9">
        <v>0</v>
      </c>
      <c r="AG72" s="9">
        <v>0</v>
      </c>
      <c r="AH72" s="9">
        <v>0</v>
      </c>
      <c r="AI72" s="9">
        <v>0</v>
      </c>
      <c r="AJ72" s="9">
        <v>0</v>
      </c>
      <c r="AK72" s="9">
        <v>0</v>
      </c>
      <c r="AL72" s="9">
        <v>0</v>
      </c>
      <c r="AM72" s="9" t="s">
        <v>80</v>
      </c>
      <c r="AN72" s="1">
        <f t="shared" si="31"/>
        <v>0</v>
      </c>
      <c r="AO72" s="1">
        <f t="shared" si="32"/>
        <v>0</v>
      </c>
      <c r="AP72" t="s">
        <v>192</v>
      </c>
    </row>
    <row r="73" spans="1:42" hidden="1" x14ac:dyDescent="0.25">
      <c r="A73" s="1" t="s">
        <v>193</v>
      </c>
      <c r="B73" s="1" t="s">
        <v>42</v>
      </c>
      <c r="C73" s="1">
        <v>709.1</v>
      </c>
      <c r="D73" s="1">
        <v>204.63800000000001</v>
      </c>
      <c r="E73" s="1">
        <v>230.79599999999999</v>
      </c>
      <c r="F73" s="1">
        <v>484.81400000000002</v>
      </c>
      <c r="G73" s="7">
        <v>1</v>
      </c>
      <c r="H73" s="1">
        <v>30</v>
      </c>
      <c r="I73" s="1" t="s">
        <v>43</v>
      </c>
      <c r="J73" s="1"/>
      <c r="K73" s="1">
        <v>378.4</v>
      </c>
      <c r="L73" s="1">
        <f t="shared" si="27"/>
        <v>-147.60399999999998</v>
      </c>
      <c r="M73" s="1">
        <f t="shared" si="28"/>
        <v>230.79599999999999</v>
      </c>
      <c r="N73" s="1"/>
      <c r="O73" s="1"/>
      <c r="P73" s="1"/>
      <c r="Q73" s="1">
        <v>0</v>
      </c>
      <c r="R73" s="1"/>
      <c r="S73" s="24"/>
      <c r="T73" s="1"/>
      <c r="U73" s="1"/>
      <c r="V73" s="24"/>
      <c r="W73" s="1">
        <f t="shared" si="29"/>
        <v>46.159199999999998</v>
      </c>
      <c r="X73" s="5">
        <f>12*W73-T73-Q73-P73-O73-F73</f>
        <v>69.09639999999996</v>
      </c>
      <c r="Y73" s="5">
        <f t="shared" si="25"/>
        <v>69.09639999999996</v>
      </c>
      <c r="Z73" s="5">
        <f t="shared" si="26"/>
        <v>69.09639999999996</v>
      </c>
      <c r="AA73" s="5"/>
      <c r="AB73" s="1"/>
      <c r="AC73" s="1">
        <f t="shared" si="33"/>
        <v>12</v>
      </c>
      <c r="AD73" s="1">
        <f t="shared" si="30"/>
        <v>10.503084975476179</v>
      </c>
      <c r="AE73" s="1">
        <v>46.7592</v>
      </c>
      <c r="AF73" s="1">
        <v>74.270200000000003</v>
      </c>
      <c r="AG73" s="1">
        <v>73.813599999999994</v>
      </c>
      <c r="AH73" s="1">
        <v>59.351199999999992</v>
      </c>
      <c r="AI73" s="1">
        <v>99.834000000000003</v>
      </c>
      <c r="AJ73" s="1">
        <v>113.3442</v>
      </c>
      <c r="AK73" s="1">
        <v>77.829800000000006</v>
      </c>
      <c r="AL73" s="1">
        <v>48.958399999999997</v>
      </c>
      <c r="AM73" s="1"/>
      <c r="AN73" s="1">
        <f t="shared" si="31"/>
        <v>69</v>
      </c>
      <c r="AO73" s="1">
        <f t="shared" si="32"/>
        <v>0</v>
      </c>
      <c r="AP73" t="s">
        <v>194</v>
      </c>
    </row>
    <row r="74" spans="1:42" hidden="1" x14ac:dyDescent="0.25">
      <c r="A74" s="9" t="s">
        <v>195</v>
      </c>
      <c r="B74" s="9" t="s">
        <v>50</v>
      </c>
      <c r="C74" s="9"/>
      <c r="D74" s="9"/>
      <c r="E74" s="9">
        <v>1</v>
      </c>
      <c r="F74" s="9">
        <v>-1</v>
      </c>
      <c r="G74" s="10">
        <v>0</v>
      </c>
      <c r="H74" s="9"/>
      <c r="I74" s="9" t="s">
        <v>67</v>
      </c>
      <c r="J74" s="9"/>
      <c r="K74" s="9">
        <v>1</v>
      </c>
      <c r="L74" s="9">
        <f t="shared" si="27"/>
        <v>0</v>
      </c>
      <c r="M74" s="9">
        <f t="shared" si="28"/>
        <v>1</v>
      </c>
      <c r="N74" s="9"/>
      <c r="O74" s="9"/>
      <c r="P74" s="9"/>
      <c r="Q74" s="9">
        <v>0</v>
      </c>
      <c r="R74" s="9"/>
      <c r="S74" s="27"/>
      <c r="T74" s="9"/>
      <c r="U74" s="9"/>
      <c r="V74" s="27"/>
      <c r="W74" s="9">
        <f t="shared" si="29"/>
        <v>0.2</v>
      </c>
      <c r="X74" s="11"/>
      <c r="Y74" s="5">
        <f t="shared" si="25"/>
        <v>0</v>
      </c>
      <c r="Z74" s="5">
        <f t="shared" si="26"/>
        <v>0</v>
      </c>
      <c r="AA74" s="5"/>
      <c r="AB74" s="1"/>
      <c r="AC74" s="1">
        <f t="shared" si="33"/>
        <v>-5</v>
      </c>
      <c r="AD74" s="9">
        <f t="shared" si="30"/>
        <v>-5</v>
      </c>
      <c r="AE74" s="9">
        <v>0.2</v>
      </c>
      <c r="AF74" s="9">
        <v>0</v>
      </c>
      <c r="AG74" s="9">
        <v>0</v>
      </c>
      <c r="AH74" s="9">
        <v>0</v>
      </c>
      <c r="AI74" s="9">
        <v>0</v>
      </c>
      <c r="AJ74" s="9">
        <v>0</v>
      </c>
      <c r="AK74" s="9">
        <v>0</v>
      </c>
      <c r="AL74" s="9">
        <v>0</v>
      </c>
      <c r="AM74" s="9"/>
      <c r="AN74" s="1">
        <f t="shared" si="31"/>
        <v>0</v>
      </c>
      <c r="AO74" s="1">
        <f t="shared" si="32"/>
        <v>0</v>
      </c>
    </row>
    <row r="75" spans="1:42" hidden="1" x14ac:dyDescent="0.25">
      <c r="A75" s="1" t="s">
        <v>196</v>
      </c>
      <c r="B75" s="1" t="s">
        <v>50</v>
      </c>
      <c r="C75" s="1">
        <v>1155</v>
      </c>
      <c r="D75" s="1">
        <v>212</v>
      </c>
      <c r="E75" s="1">
        <v>639</v>
      </c>
      <c r="F75" s="1">
        <v>482</v>
      </c>
      <c r="G75" s="7">
        <v>0.6</v>
      </c>
      <c r="H75" s="1">
        <v>60</v>
      </c>
      <c r="I75" s="1" t="s">
        <v>43</v>
      </c>
      <c r="J75" s="1"/>
      <c r="K75" s="1">
        <v>739</v>
      </c>
      <c r="L75" s="1">
        <f t="shared" si="27"/>
        <v>-100</v>
      </c>
      <c r="M75" s="1">
        <f t="shared" si="28"/>
        <v>639</v>
      </c>
      <c r="N75" s="1"/>
      <c r="O75" s="1"/>
      <c r="P75" s="1"/>
      <c r="Q75" s="1">
        <v>317.08816000000002</v>
      </c>
      <c r="R75" s="1"/>
      <c r="S75" s="24"/>
      <c r="T75" s="1">
        <v>393.87184000000008</v>
      </c>
      <c r="U75" s="1"/>
      <c r="V75" s="24"/>
      <c r="W75" s="1">
        <f t="shared" si="29"/>
        <v>127.8</v>
      </c>
      <c r="X75" s="5">
        <f>12*W75-T75-Q75-P75-O75-F75</f>
        <v>340.63999999999987</v>
      </c>
      <c r="Y75" s="5">
        <f>X75+$Y$1*W75</f>
        <v>465.8839999999999</v>
      </c>
      <c r="Z75" s="5">
        <f t="shared" si="26"/>
        <v>465.8839999999999</v>
      </c>
      <c r="AA75" s="5"/>
      <c r="AB75" s="1"/>
      <c r="AC75" s="1">
        <f t="shared" si="33"/>
        <v>12.98</v>
      </c>
      <c r="AD75" s="1">
        <f t="shared" si="30"/>
        <v>9.3345852895148678</v>
      </c>
      <c r="AE75" s="1">
        <v>127.8</v>
      </c>
      <c r="AF75" s="1">
        <v>101.6</v>
      </c>
      <c r="AG75" s="1">
        <v>91.8</v>
      </c>
      <c r="AH75" s="1">
        <v>71.400000000000006</v>
      </c>
      <c r="AI75" s="1">
        <v>79.400000000000006</v>
      </c>
      <c r="AJ75" s="1">
        <v>144.80000000000001</v>
      </c>
      <c r="AK75" s="1">
        <v>132.19999999999999</v>
      </c>
      <c r="AL75" s="1">
        <v>65.599999999999994</v>
      </c>
      <c r="AM75" s="1"/>
      <c r="AN75" s="1">
        <f t="shared" si="31"/>
        <v>280</v>
      </c>
      <c r="AO75" s="1">
        <f t="shared" si="32"/>
        <v>0</v>
      </c>
      <c r="AP75" t="s">
        <v>197</v>
      </c>
    </row>
    <row r="76" spans="1:42" hidden="1" x14ac:dyDescent="0.25">
      <c r="A76" s="1" t="s">
        <v>198</v>
      </c>
      <c r="B76" s="1" t="s">
        <v>50</v>
      </c>
      <c r="C76" s="1">
        <v>831</v>
      </c>
      <c r="D76" s="1">
        <v>520</v>
      </c>
      <c r="E76" s="1">
        <v>646</v>
      </c>
      <c r="F76" s="1">
        <v>503</v>
      </c>
      <c r="G76" s="7">
        <v>0.6</v>
      </c>
      <c r="H76" s="1">
        <v>60</v>
      </c>
      <c r="I76" s="1" t="s">
        <v>43</v>
      </c>
      <c r="J76" s="1"/>
      <c r="K76" s="1">
        <v>720</v>
      </c>
      <c r="L76" s="1">
        <f t="shared" si="27"/>
        <v>-74</v>
      </c>
      <c r="M76" s="1">
        <f t="shared" si="28"/>
        <v>646</v>
      </c>
      <c r="N76" s="1"/>
      <c r="O76" s="1">
        <v>347.88</v>
      </c>
      <c r="P76" s="1"/>
      <c r="Q76" s="1">
        <v>354.23999999999972</v>
      </c>
      <c r="R76" s="1"/>
      <c r="S76" s="24"/>
      <c r="T76" s="1"/>
      <c r="U76" s="1"/>
      <c r="V76" s="24"/>
      <c r="W76" s="1">
        <f t="shared" si="29"/>
        <v>129.19999999999999</v>
      </c>
      <c r="X76" s="5">
        <f>12*W76-T76-Q76-P76-O76-F76</f>
        <v>345.28000000000009</v>
      </c>
      <c r="Y76" s="5">
        <f>X76+$Y$1*W76</f>
        <v>471.89600000000007</v>
      </c>
      <c r="Z76" s="5">
        <f t="shared" si="26"/>
        <v>471.89600000000007</v>
      </c>
      <c r="AA76" s="5"/>
      <c r="AB76" s="1"/>
      <c r="AC76" s="1">
        <f t="shared" si="33"/>
        <v>12.979999999999999</v>
      </c>
      <c r="AD76" s="1">
        <f t="shared" si="30"/>
        <v>9.3275541795665617</v>
      </c>
      <c r="AE76" s="1">
        <v>129.19999999999999</v>
      </c>
      <c r="AF76" s="1">
        <v>126</v>
      </c>
      <c r="AG76" s="1">
        <v>88.6</v>
      </c>
      <c r="AH76" s="1">
        <v>74.400000000000006</v>
      </c>
      <c r="AI76" s="1">
        <v>96.8</v>
      </c>
      <c r="AJ76" s="1">
        <v>125.2</v>
      </c>
      <c r="AK76" s="1">
        <v>118.6</v>
      </c>
      <c r="AL76" s="1">
        <v>74.400000000000006</v>
      </c>
      <c r="AM76" s="1"/>
      <c r="AN76" s="1">
        <f t="shared" si="31"/>
        <v>283</v>
      </c>
      <c r="AO76" s="1">
        <f t="shared" si="32"/>
        <v>0</v>
      </c>
      <c r="AP76" t="s">
        <v>199</v>
      </c>
    </row>
    <row r="77" spans="1:42" hidden="1" x14ac:dyDescent="0.25">
      <c r="A77" s="1" t="s">
        <v>200</v>
      </c>
      <c r="B77" s="1" t="s">
        <v>50</v>
      </c>
      <c r="C77" s="1"/>
      <c r="D77" s="1">
        <v>40</v>
      </c>
      <c r="E77" s="1"/>
      <c r="F77" s="1">
        <v>40</v>
      </c>
      <c r="G77" s="7">
        <v>0.4</v>
      </c>
      <c r="H77" s="1"/>
      <c r="I77" s="1" t="s">
        <v>43</v>
      </c>
      <c r="J77" s="1"/>
      <c r="K77" s="1"/>
      <c r="L77" s="1">
        <f t="shared" si="27"/>
        <v>0</v>
      </c>
      <c r="M77" s="1">
        <f t="shared" si="28"/>
        <v>0</v>
      </c>
      <c r="N77" s="1"/>
      <c r="O77" s="1"/>
      <c r="P77" s="1"/>
      <c r="Q77" s="1">
        <v>10</v>
      </c>
      <c r="R77" s="1"/>
      <c r="S77" s="24"/>
      <c r="T77" s="1"/>
      <c r="U77" s="1"/>
      <c r="V77" s="24"/>
      <c r="W77" s="1">
        <f t="shared" si="29"/>
        <v>0</v>
      </c>
      <c r="X77" s="5"/>
      <c r="Y77" s="5">
        <f t="shared" ref="Y77:Y89" si="34">X77</f>
        <v>0</v>
      </c>
      <c r="Z77" s="5">
        <f t="shared" si="26"/>
        <v>0</v>
      </c>
      <c r="AA77" s="5"/>
      <c r="AB77" s="1"/>
      <c r="AC77" s="1" t="e">
        <f t="shared" si="33"/>
        <v>#DIV/0!</v>
      </c>
      <c r="AD77" s="1" t="e">
        <f t="shared" si="30"/>
        <v>#DIV/0!</v>
      </c>
      <c r="AE77" s="1">
        <v>0</v>
      </c>
      <c r="AF77" s="1">
        <v>0</v>
      </c>
      <c r="AG77" s="1">
        <v>0</v>
      </c>
      <c r="AH77" s="1">
        <v>0</v>
      </c>
      <c r="AI77" s="1">
        <v>0</v>
      </c>
      <c r="AJ77" s="1">
        <v>0</v>
      </c>
      <c r="AK77" s="1">
        <v>0</v>
      </c>
      <c r="AL77" s="1">
        <v>0</v>
      </c>
      <c r="AM77" s="1" t="s">
        <v>201</v>
      </c>
      <c r="AN77" s="1">
        <f t="shared" si="31"/>
        <v>0</v>
      </c>
      <c r="AO77" s="1">
        <f t="shared" si="32"/>
        <v>0</v>
      </c>
      <c r="AP77" t="s">
        <v>202</v>
      </c>
    </row>
    <row r="78" spans="1:42" hidden="1" x14ac:dyDescent="0.25">
      <c r="A78" s="9" t="s">
        <v>203</v>
      </c>
      <c r="B78" s="9" t="s">
        <v>50</v>
      </c>
      <c r="C78" s="9">
        <v>1</v>
      </c>
      <c r="D78" s="9"/>
      <c r="E78" s="9"/>
      <c r="F78" s="9">
        <v>1</v>
      </c>
      <c r="G78" s="10">
        <v>0</v>
      </c>
      <c r="H78" s="9"/>
      <c r="I78" s="9" t="s">
        <v>43</v>
      </c>
      <c r="J78" s="9"/>
      <c r="K78" s="9"/>
      <c r="L78" s="9">
        <f t="shared" si="27"/>
        <v>0</v>
      </c>
      <c r="M78" s="9">
        <f t="shared" si="28"/>
        <v>0</v>
      </c>
      <c r="N78" s="9"/>
      <c r="O78" s="9"/>
      <c r="P78" s="9"/>
      <c r="Q78" s="9">
        <v>0</v>
      </c>
      <c r="R78" s="9"/>
      <c r="S78" s="27"/>
      <c r="T78" s="9"/>
      <c r="U78" s="9"/>
      <c r="V78" s="27"/>
      <c r="W78" s="9">
        <f t="shared" si="29"/>
        <v>0</v>
      </c>
      <c r="X78" s="11"/>
      <c r="Y78" s="5">
        <f t="shared" si="34"/>
        <v>0</v>
      </c>
      <c r="Z78" s="5">
        <f t="shared" si="26"/>
        <v>0</v>
      </c>
      <c r="AA78" s="5"/>
      <c r="AB78" s="1"/>
      <c r="AC78" s="1" t="e">
        <f t="shared" si="33"/>
        <v>#DIV/0!</v>
      </c>
      <c r="AD78" s="9" t="e">
        <f t="shared" si="30"/>
        <v>#DIV/0!</v>
      </c>
      <c r="AE78" s="9">
        <v>0</v>
      </c>
      <c r="AF78" s="9">
        <v>0.2</v>
      </c>
      <c r="AG78" s="9">
        <v>0.2</v>
      </c>
      <c r="AH78" s="9">
        <v>0</v>
      </c>
      <c r="AI78" s="9">
        <v>0</v>
      </c>
      <c r="AJ78" s="9">
        <v>0</v>
      </c>
      <c r="AK78" s="9">
        <v>0</v>
      </c>
      <c r="AL78" s="9">
        <v>0</v>
      </c>
      <c r="AM78" s="9" t="s">
        <v>80</v>
      </c>
      <c r="AN78" s="1">
        <f t="shared" si="31"/>
        <v>0</v>
      </c>
      <c r="AO78" s="1">
        <f t="shared" si="32"/>
        <v>0</v>
      </c>
      <c r="AP78" t="s">
        <v>204</v>
      </c>
    </row>
    <row r="79" spans="1:42" hidden="1" x14ac:dyDescent="0.25">
      <c r="A79" s="1" t="s">
        <v>205</v>
      </c>
      <c r="B79" s="1" t="s">
        <v>50</v>
      </c>
      <c r="C79" s="1">
        <v>14</v>
      </c>
      <c r="D79" s="1">
        <v>66</v>
      </c>
      <c r="E79" s="1">
        <v>20</v>
      </c>
      <c r="F79" s="1">
        <v>64</v>
      </c>
      <c r="G79" s="7">
        <v>0.35</v>
      </c>
      <c r="H79" s="1">
        <v>90</v>
      </c>
      <c r="I79" s="1" t="s">
        <v>43</v>
      </c>
      <c r="J79" s="1"/>
      <c r="K79" s="1">
        <v>57</v>
      </c>
      <c r="L79" s="1">
        <f t="shared" si="27"/>
        <v>-37</v>
      </c>
      <c r="M79" s="1">
        <f t="shared" si="28"/>
        <v>20</v>
      </c>
      <c r="N79" s="1"/>
      <c r="O79" s="1"/>
      <c r="P79" s="1"/>
      <c r="Q79" s="1">
        <v>0</v>
      </c>
      <c r="R79" s="1"/>
      <c r="S79" s="24"/>
      <c r="T79" s="1"/>
      <c r="U79" s="1"/>
      <c r="V79" s="24"/>
      <c r="W79" s="1">
        <f t="shared" si="29"/>
        <v>4</v>
      </c>
      <c r="X79" s="5"/>
      <c r="Y79" s="5">
        <f t="shared" si="34"/>
        <v>0</v>
      </c>
      <c r="Z79" s="5">
        <f t="shared" si="26"/>
        <v>0</v>
      </c>
      <c r="AA79" s="5"/>
      <c r="AB79" s="1"/>
      <c r="AC79" s="1">
        <f t="shared" si="33"/>
        <v>16</v>
      </c>
      <c r="AD79" s="1">
        <f t="shared" si="30"/>
        <v>16</v>
      </c>
      <c r="AE79" s="1">
        <v>4</v>
      </c>
      <c r="AF79" s="1">
        <v>8.8000000000000007</v>
      </c>
      <c r="AG79" s="1">
        <v>7.2</v>
      </c>
      <c r="AH79" s="1">
        <v>9.4</v>
      </c>
      <c r="AI79" s="1">
        <v>10.4</v>
      </c>
      <c r="AJ79" s="1">
        <v>6.2</v>
      </c>
      <c r="AK79" s="1">
        <v>9.4</v>
      </c>
      <c r="AL79" s="1">
        <v>9.4</v>
      </c>
      <c r="AM79" s="1"/>
      <c r="AN79" s="1">
        <f t="shared" si="31"/>
        <v>0</v>
      </c>
      <c r="AO79" s="1">
        <f t="shared" si="32"/>
        <v>0</v>
      </c>
      <c r="AP79" t="s">
        <v>206</v>
      </c>
    </row>
    <row r="80" spans="1:42" hidden="1" x14ac:dyDescent="0.25">
      <c r="A80" s="1" t="s">
        <v>207</v>
      </c>
      <c r="B80" s="1" t="s">
        <v>50</v>
      </c>
      <c r="C80" s="1">
        <v>88</v>
      </c>
      <c r="D80" s="1">
        <v>275</v>
      </c>
      <c r="E80" s="1">
        <v>153</v>
      </c>
      <c r="F80" s="1">
        <v>195</v>
      </c>
      <c r="G80" s="7">
        <v>0.37</v>
      </c>
      <c r="H80" s="1">
        <v>50</v>
      </c>
      <c r="I80" s="1" t="s">
        <v>43</v>
      </c>
      <c r="J80" s="1"/>
      <c r="K80" s="1">
        <v>175</v>
      </c>
      <c r="L80" s="1">
        <f t="shared" si="27"/>
        <v>-22</v>
      </c>
      <c r="M80" s="1">
        <f t="shared" si="28"/>
        <v>153</v>
      </c>
      <c r="N80" s="1"/>
      <c r="O80" s="1"/>
      <c r="P80" s="1"/>
      <c r="Q80" s="1">
        <v>85.600000000000023</v>
      </c>
      <c r="R80" s="1"/>
      <c r="S80" s="24"/>
      <c r="T80" s="1"/>
      <c r="U80" s="1"/>
      <c r="V80" s="24"/>
      <c r="W80" s="1">
        <f t="shared" si="29"/>
        <v>30.6</v>
      </c>
      <c r="X80" s="5">
        <f>12*W80-T80-Q80-P80-O80-F80</f>
        <v>86.600000000000023</v>
      </c>
      <c r="Y80" s="5">
        <f t="shared" si="34"/>
        <v>86.600000000000023</v>
      </c>
      <c r="Z80" s="5">
        <f t="shared" si="26"/>
        <v>86.600000000000023</v>
      </c>
      <c r="AA80" s="5"/>
      <c r="AB80" s="1"/>
      <c r="AC80" s="1">
        <f t="shared" si="33"/>
        <v>12.000000000000002</v>
      </c>
      <c r="AD80" s="1">
        <f t="shared" si="30"/>
        <v>9.169934640522877</v>
      </c>
      <c r="AE80" s="1">
        <v>30.6</v>
      </c>
      <c r="AF80" s="1">
        <v>27.4</v>
      </c>
      <c r="AG80" s="1">
        <v>35.4</v>
      </c>
      <c r="AH80" s="1">
        <v>29.4</v>
      </c>
      <c r="AI80" s="1">
        <v>16.2</v>
      </c>
      <c r="AJ80" s="1">
        <v>28.8</v>
      </c>
      <c r="AK80" s="1">
        <v>28.8</v>
      </c>
      <c r="AL80" s="1">
        <v>18.2</v>
      </c>
      <c r="AM80" s="1"/>
      <c r="AN80" s="1">
        <f t="shared" si="31"/>
        <v>32</v>
      </c>
      <c r="AO80" s="1">
        <f t="shared" si="32"/>
        <v>0</v>
      </c>
      <c r="AP80" t="s">
        <v>208</v>
      </c>
    </row>
    <row r="81" spans="1:43" hidden="1" x14ac:dyDescent="0.25">
      <c r="A81" s="1" t="s">
        <v>209</v>
      </c>
      <c r="B81" s="1" t="s">
        <v>50</v>
      </c>
      <c r="C81" s="1">
        <v>722</v>
      </c>
      <c r="D81" s="1">
        <v>13</v>
      </c>
      <c r="E81" s="1">
        <v>309</v>
      </c>
      <c r="F81" s="1">
        <v>389</v>
      </c>
      <c r="G81" s="7">
        <v>0.6</v>
      </c>
      <c r="H81" s="1">
        <v>70</v>
      </c>
      <c r="I81" s="14" t="s">
        <v>54</v>
      </c>
      <c r="J81" s="1"/>
      <c r="K81" s="1">
        <v>331</v>
      </c>
      <c r="L81" s="1">
        <f t="shared" si="27"/>
        <v>-22</v>
      </c>
      <c r="M81" s="1">
        <f t="shared" si="28"/>
        <v>309</v>
      </c>
      <c r="N81" s="1"/>
      <c r="O81" s="1"/>
      <c r="P81" s="1"/>
      <c r="Q81" s="1">
        <v>127</v>
      </c>
      <c r="R81" s="1"/>
      <c r="S81" s="24"/>
      <c r="T81" s="1"/>
      <c r="U81" s="1"/>
      <c r="V81" s="24"/>
      <c r="W81" s="1">
        <f t="shared" si="29"/>
        <v>61.8</v>
      </c>
      <c r="X81" s="5">
        <f>11*W81-T81-Q81-P81-O81-F81</f>
        <v>163.79999999999995</v>
      </c>
      <c r="Y81" s="5">
        <f t="shared" si="34"/>
        <v>163.79999999999995</v>
      </c>
      <c r="Z81" s="5">
        <f t="shared" si="26"/>
        <v>163.79999999999995</v>
      </c>
      <c r="AA81" s="5"/>
      <c r="AB81" s="1"/>
      <c r="AC81" s="1">
        <f t="shared" si="33"/>
        <v>11</v>
      </c>
      <c r="AD81" s="1">
        <f t="shared" si="30"/>
        <v>8.349514563106796</v>
      </c>
      <c r="AE81" s="1">
        <v>61.8</v>
      </c>
      <c r="AF81" s="1">
        <v>34.200000000000003</v>
      </c>
      <c r="AG81" s="1">
        <v>32.6</v>
      </c>
      <c r="AH81" s="1">
        <v>19.600000000000001</v>
      </c>
      <c r="AI81" s="1">
        <v>83.6</v>
      </c>
      <c r="AJ81" s="1">
        <v>196.6</v>
      </c>
      <c r="AK81" s="1">
        <v>134</v>
      </c>
      <c r="AL81" s="1">
        <v>33.200000000000003</v>
      </c>
      <c r="AM81" s="1" t="s">
        <v>210</v>
      </c>
      <c r="AN81" s="1">
        <f t="shared" si="31"/>
        <v>98</v>
      </c>
      <c r="AO81" s="1">
        <f t="shared" si="32"/>
        <v>0</v>
      </c>
      <c r="AP81" t="s">
        <v>211</v>
      </c>
    </row>
    <row r="82" spans="1:43" hidden="1" x14ac:dyDescent="0.25">
      <c r="A82" s="1" t="s">
        <v>212</v>
      </c>
      <c r="B82" s="1" t="s">
        <v>50</v>
      </c>
      <c r="C82" s="1">
        <v>84</v>
      </c>
      <c r="D82" s="1">
        <v>372</v>
      </c>
      <c r="E82" s="1">
        <v>206</v>
      </c>
      <c r="F82" s="1">
        <v>55</v>
      </c>
      <c r="G82" s="7">
        <v>0.33</v>
      </c>
      <c r="H82" s="1">
        <v>40</v>
      </c>
      <c r="I82" s="1" t="s">
        <v>43</v>
      </c>
      <c r="J82" s="1"/>
      <c r="K82" s="1">
        <v>342</v>
      </c>
      <c r="L82" s="1">
        <f t="shared" si="27"/>
        <v>-136</v>
      </c>
      <c r="M82" s="1">
        <f t="shared" si="28"/>
        <v>206</v>
      </c>
      <c r="N82" s="1"/>
      <c r="O82" s="1">
        <v>144.0712</v>
      </c>
      <c r="P82" s="1"/>
      <c r="Q82" s="1">
        <v>156.54000000000011</v>
      </c>
      <c r="R82" s="1"/>
      <c r="S82" s="24"/>
      <c r="T82" s="1"/>
      <c r="U82" s="1"/>
      <c r="V82" s="24"/>
      <c r="W82" s="1">
        <f t="shared" si="29"/>
        <v>41.2</v>
      </c>
      <c r="X82" s="5">
        <f>12*W82-T82-Q82-P82-O82-F82</f>
        <v>138.7887999999999</v>
      </c>
      <c r="Y82" s="5">
        <f t="shared" si="34"/>
        <v>138.7887999999999</v>
      </c>
      <c r="Z82" s="5">
        <f t="shared" si="26"/>
        <v>138.7887999999999</v>
      </c>
      <c r="AA82" s="5"/>
      <c r="AB82" s="1"/>
      <c r="AC82" s="1">
        <f t="shared" si="33"/>
        <v>11.999999999999998</v>
      </c>
      <c r="AD82" s="1">
        <f t="shared" si="30"/>
        <v>8.6313398058252453</v>
      </c>
      <c r="AE82" s="1">
        <v>49.6</v>
      </c>
      <c r="AF82" s="1">
        <v>42</v>
      </c>
      <c r="AG82" s="1">
        <v>24.8</v>
      </c>
      <c r="AH82" s="1">
        <v>34.4</v>
      </c>
      <c r="AI82" s="1">
        <v>51</v>
      </c>
      <c r="AJ82" s="1">
        <v>66.400000000000006</v>
      </c>
      <c r="AK82" s="1">
        <v>43.8</v>
      </c>
      <c r="AL82" s="1">
        <v>14</v>
      </c>
      <c r="AM82" s="1"/>
      <c r="AN82" s="1">
        <f t="shared" si="31"/>
        <v>46</v>
      </c>
      <c r="AO82" s="1">
        <f t="shared" si="32"/>
        <v>0</v>
      </c>
      <c r="AP82" t="s">
        <v>213</v>
      </c>
    </row>
    <row r="83" spans="1:43" hidden="1" x14ac:dyDescent="0.25">
      <c r="A83" s="1" t="s">
        <v>214</v>
      </c>
      <c r="B83" s="1" t="s">
        <v>50</v>
      </c>
      <c r="C83" s="1">
        <v>50</v>
      </c>
      <c r="D83" s="1">
        <v>114</v>
      </c>
      <c r="E83" s="1">
        <v>66</v>
      </c>
      <c r="F83" s="1">
        <v>113</v>
      </c>
      <c r="G83" s="7">
        <v>0.4</v>
      </c>
      <c r="H83" s="1">
        <v>55</v>
      </c>
      <c r="I83" s="1" t="s">
        <v>43</v>
      </c>
      <c r="J83" s="1"/>
      <c r="K83" s="1">
        <v>58</v>
      </c>
      <c r="L83" s="1">
        <f t="shared" si="27"/>
        <v>8</v>
      </c>
      <c r="M83" s="1">
        <f t="shared" si="28"/>
        <v>66</v>
      </c>
      <c r="N83" s="1"/>
      <c r="O83" s="1"/>
      <c r="P83" s="1"/>
      <c r="Q83" s="1">
        <v>19.19999999999996</v>
      </c>
      <c r="R83" s="1"/>
      <c r="S83" s="24"/>
      <c r="T83" s="1"/>
      <c r="U83" s="1"/>
      <c r="V83" s="24"/>
      <c r="W83" s="1">
        <f t="shared" si="29"/>
        <v>13.2</v>
      </c>
      <c r="X83" s="5">
        <f>12*W83-T83-Q83-P83-O83-F83</f>
        <v>26.200000000000017</v>
      </c>
      <c r="Y83" s="5">
        <f t="shared" si="34"/>
        <v>26.200000000000017</v>
      </c>
      <c r="Z83" s="5">
        <f t="shared" si="26"/>
        <v>26.200000000000017</v>
      </c>
      <c r="AA83" s="5"/>
      <c r="AB83" s="1"/>
      <c r="AC83" s="1">
        <f t="shared" si="33"/>
        <v>11.999999999999998</v>
      </c>
      <c r="AD83" s="1">
        <f t="shared" si="30"/>
        <v>10.015151515151512</v>
      </c>
      <c r="AE83" s="1">
        <v>13.2</v>
      </c>
      <c r="AF83" s="1">
        <v>12.8</v>
      </c>
      <c r="AG83" s="1">
        <v>9.6</v>
      </c>
      <c r="AH83" s="1">
        <v>8.6</v>
      </c>
      <c r="AI83" s="1">
        <v>10.8</v>
      </c>
      <c r="AJ83" s="1">
        <v>12.2</v>
      </c>
      <c r="AK83" s="1">
        <v>8.4</v>
      </c>
      <c r="AL83" s="1">
        <v>8.4</v>
      </c>
      <c r="AM83" s="1"/>
      <c r="AN83" s="1">
        <f t="shared" si="31"/>
        <v>10</v>
      </c>
      <c r="AO83" s="1">
        <f t="shared" si="32"/>
        <v>0</v>
      </c>
      <c r="AP83" t="s">
        <v>215</v>
      </c>
    </row>
    <row r="84" spans="1:43" hidden="1" x14ac:dyDescent="0.25">
      <c r="A84" s="1" t="s">
        <v>216</v>
      </c>
      <c r="B84" s="1" t="s">
        <v>50</v>
      </c>
      <c r="C84" s="1">
        <v>-8</v>
      </c>
      <c r="D84" s="1">
        <v>375</v>
      </c>
      <c r="E84" s="1">
        <v>98</v>
      </c>
      <c r="F84" s="1">
        <v>262</v>
      </c>
      <c r="G84" s="7">
        <v>0.35</v>
      </c>
      <c r="H84" s="1">
        <v>40</v>
      </c>
      <c r="I84" s="15" t="s">
        <v>106</v>
      </c>
      <c r="J84" s="1"/>
      <c r="K84" s="1">
        <v>70</v>
      </c>
      <c r="L84" s="1">
        <f t="shared" si="27"/>
        <v>28</v>
      </c>
      <c r="M84" s="1">
        <f t="shared" si="28"/>
        <v>98</v>
      </c>
      <c r="N84" s="1"/>
      <c r="O84" s="1">
        <v>50</v>
      </c>
      <c r="P84" s="1"/>
      <c r="Q84" s="1">
        <v>0</v>
      </c>
      <c r="R84" s="1"/>
      <c r="S84" s="24"/>
      <c r="T84" s="1"/>
      <c r="U84" s="1"/>
      <c r="V84" s="24"/>
      <c r="W84" s="1">
        <f t="shared" si="29"/>
        <v>19.600000000000001</v>
      </c>
      <c r="X84" s="5">
        <v>50</v>
      </c>
      <c r="Y84" s="5">
        <f t="shared" si="34"/>
        <v>50</v>
      </c>
      <c r="Z84" s="5">
        <f>Y84</f>
        <v>50</v>
      </c>
      <c r="AA84" s="5">
        <f>Y84*0.5</f>
        <v>25</v>
      </c>
      <c r="AB84" s="1"/>
      <c r="AC84" s="1">
        <f t="shared" si="33"/>
        <v>19.744897959183671</v>
      </c>
      <c r="AD84" s="1">
        <f t="shared" si="30"/>
        <v>15.918367346938775</v>
      </c>
      <c r="AE84" s="1">
        <v>19.600000000000001</v>
      </c>
      <c r="AF84" s="1">
        <v>50</v>
      </c>
      <c r="AG84" s="1">
        <v>40</v>
      </c>
      <c r="AH84" s="1">
        <v>12.4</v>
      </c>
      <c r="AI84" s="1">
        <v>-1</v>
      </c>
      <c r="AJ84" s="1">
        <v>8.8000000000000007</v>
      </c>
      <c r="AK84" s="1">
        <v>26.2</v>
      </c>
      <c r="AL84" s="1">
        <v>35.799999999999997</v>
      </c>
      <c r="AM84" s="1"/>
      <c r="AN84" s="1">
        <f t="shared" si="31"/>
        <v>18</v>
      </c>
      <c r="AO84" s="1">
        <f t="shared" si="32"/>
        <v>9</v>
      </c>
      <c r="AP84" t="s">
        <v>217</v>
      </c>
    </row>
    <row r="85" spans="1:43" hidden="1" x14ac:dyDescent="0.25">
      <c r="A85" s="1" t="s">
        <v>218</v>
      </c>
      <c r="B85" s="1" t="s">
        <v>50</v>
      </c>
      <c r="C85" s="1">
        <v>-1</v>
      </c>
      <c r="D85" s="1">
        <v>315</v>
      </c>
      <c r="E85" s="1">
        <v>-3</v>
      </c>
      <c r="F85" s="1">
        <v>10</v>
      </c>
      <c r="G85" s="7">
        <v>0.35</v>
      </c>
      <c r="H85" s="1">
        <v>45</v>
      </c>
      <c r="I85" s="15" t="s">
        <v>106</v>
      </c>
      <c r="J85" s="1"/>
      <c r="K85" s="1">
        <v>269</v>
      </c>
      <c r="L85" s="1">
        <f t="shared" si="27"/>
        <v>-272</v>
      </c>
      <c r="M85" s="1">
        <f t="shared" si="28"/>
        <v>-153</v>
      </c>
      <c r="N85" s="1">
        <v>150</v>
      </c>
      <c r="O85" s="1">
        <v>50</v>
      </c>
      <c r="P85" s="1"/>
      <c r="Q85" s="1">
        <v>100</v>
      </c>
      <c r="R85" s="1"/>
      <c r="S85" s="24"/>
      <c r="T85" s="1"/>
      <c r="U85" s="1"/>
      <c r="V85" s="24"/>
      <c r="W85" s="1">
        <f t="shared" si="29"/>
        <v>-30.6</v>
      </c>
      <c r="X85" s="5">
        <v>100</v>
      </c>
      <c r="Y85" s="5">
        <f t="shared" si="34"/>
        <v>100</v>
      </c>
      <c r="Z85" s="5">
        <f>Y85</f>
        <v>100</v>
      </c>
      <c r="AA85" s="5">
        <f>Y85*0.5</f>
        <v>50</v>
      </c>
      <c r="AB85" s="1"/>
      <c r="AC85" s="1">
        <f t="shared" si="33"/>
        <v>-10.130718954248366</v>
      </c>
      <c r="AD85" s="1">
        <f t="shared" si="30"/>
        <v>-5.2287581699346406</v>
      </c>
      <c r="AE85" s="1">
        <v>-0.6</v>
      </c>
      <c r="AF85" s="1">
        <v>0</v>
      </c>
      <c r="AG85" s="1">
        <v>2.8</v>
      </c>
      <c r="AH85" s="1">
        <v>74.400000000000006</v>
      </c>
      <c r="AI85" s="1">
        <v>77.2</v>
      </c>
      <c r="AJ85" s="1">
        <v>16.600000000000001</v>
      </c>
      <c r="AK85" s="1">
        <v>66.599999999999994</v>
      </c>
      <c r="AL85" s="1">
        <v>83</v>
      </c>
      <c r="AM85" s="1"/>
      <c r="AN85" s="1">
        <f t="shared" si="31"/>
        <v>35</v>
      </c>
      <c r="AO85" s="1">
        <f t="shared" si="32"/>
        <v>18</v>
      </c>
      <c r="AP85" t="s">
        <v>219</v>
      </c>
    </row>
    <row r="86" spans="1:43" hidden="1" x14ac:dyDescent="0.25">
      <c r="A86" s="9" t="s">
        <v>220</v>
      </c>
      <c r="B86" s="9" t="s">
        <v>42</v>
      </c>
      <c r="C86" s="9">
        <v>-5.4409999999999998</v>
      </c>
      <c r="D86" s="9"/>
      <c r="E86" s="9"/>
      <c r="F86" s="13">
        <v>-5.4409999999999998</v>
      </c>
      <c r="G86" s="10">
        <v>0</v>
      </c>
      <c r="H86" s="9"/>
      <c r="I86" s="9" t="s">
        <v>67</v>
      </c>
      <c r="J86" s="9" t="s">
        <v>47</v>
      </c>
      <c r="K86" s="9"/>
      <c r="L86" s="9">
        <f t="shared" si="27"/>
        <v>0</v>
      </c>
      <c r="M86" s="9">
        <f t="shared" si="28"/>
        <v>0</v>
      </c>
      <c r="N86" s="9"/>
      <c r="O86" s="9"/>
      <c r="P86" s="9"/>
      <c r="Q86" s="9">
        <v>0</v>
      </c>
      <c r="R86" s="9"/>
      <c r="S86" s="27"/>
      <c r="T86" s="9"/>
      <c r="U86" s="9"/>
      <c r="V86" s="27"/>
      <c r="W86" s="9">
        <f t="shared" si="29"/>
        <v>0</v>
      </c>
      <c r="X86" s="11"/>
      <c r="Y86" s="5">
        <f t="shared" si="34"/>
        <v>0</v>
      </c>
      <c r="Z86" s="5">
        <f t="shared" ref="Z86:Z97" si="35">Y86-AA86</f>
        <v>0</v>
      </c>
      <c r="AA86" s="5"/>
      <c r="AB86" s="1"/>
      <c r="AC86" s="1" t="e">
        <f t="shared" si="33"/>
        <v>#DIV/0!</v>
      </c>
      <c r="AD86" s="9" t="e">
        <f t="shared" si="30"/>
        <v>#DIV/0!</v>
      </c>
      <c r="AE86" s="9">
        <v>0</v>
      </c>
      <c r="AF86" s="9">
        <v>0</v>
      </c>
      <c r="AG86" s="9">
        <v>1.0882000000000001</v>
      </c>
      <c r="AH86" s="9">
        <v>1.0882000000000001</v>
      </c>
      <c r="AI86" s="9">
        <v>0</v>
      </c>
      <c r="AJ86" s="9">
        <v>0</v>
      </c>
      <c r="AK86" s="9">
        <v>0</v>
      </c>
      <c r="AL86" s="9">
        <v>0</v>
      </c>
      <c r="AM86" s="9"/>
      <c r="AN86" s="1">
        <f t="shared" si="31"/>
        <v>0</v>
      </c>
      <c r="AO86" s="1">
        <f t="shared" si="32"/>
        <v>0</v>
      </c>
    </row>
    <row r="87" spans="1:43" hidden="1" x14ac:dyDescent="0.25">
      <c r="A87" s="1" t="s">
        <v>221</v>
      </c>
      <c r="B87" s="1" t="s">
        <v>50</v>
      </c>
      <c r="C87" s="1">
        <v>53</v>
      </c>
      <c r="D87" s="1">
        <v>50</v>
      </c>
      <c r="E87" s="1">
        <v>2</v>
      </c>
      <c r="F87" s="1">
        <v>103</v>
      </c>
      <c r="G87" s="7">
        <v>0.4</v>
      </c>
      <c r="H87" s="1">
        <v>55</v>
      </c>
      <c r="I87" s="1" t="s">
        <v>43</v>
      </c>
      <c r="J87" s="1"/>
      <c r="K87" s="1"/>
      <c r="L87" s="1">
        <f t="shared" si="27"/>
        <v>2</v>
      </c>
      <c r="M87" s="1">
        <f t="shared" si="28"/>
        <v>2</v>
      </c>
      <c r="N87" s="1"/>
      <c r="O87" s="1"/>
      <c r="P87" s="1"/>
      <c r="Q87" s="1">
        <v>0</v>
      </c>
      <c r="R87" s="1"/>
      <c r="S87" s="24"/>
      <c r="T87" s="1"/>
      <c r="U87" s="1"/>
      <c r="V87" s="24"/>
      <c r="W87" s="1">
        <f t="shared" si="29"/>
        <v>0.4</v>
      </c>
      <c r="X87" s="5"/>
      <c r="Y87" s="5">
        <f t="shared" si="34"/>
        <v>0</v>
      </c>
      <c r="Z87" s="5">
        <f t="shared" si="35"/>
        <v>0</v>
      </c>
      <c r="AA87" s="5"/>
      <c r="AB87" s="1"/>
      <c r="AC87" s="1">
        <f t="shared" si="33"/>
        <v>257.5</v>
      </c>
      <c r="AD87" s="1">
        <f t="shared" si="30"/>
        <v>257.5</v>
      </c>
      <c r="AE87" s="1">
        <v>0.4</v>
      </c>
      <c r="AF87" s="1">
        <v>8.6</v>
      </c>
      <c r="AG87" s="1">
        <v>8.6</v>
      </c>
      <c r="AH87" s="1">
        <v>4.4000000000000004</v>
      </c>
      <c r="AI87" s="1">
        <v>7.6</v>
      </c>
      <c r="AJ87" s="1">
        <v>4</v>
      </c>
      <c r="AK87" s="1">
        <v>4</v>
      </c>
      <c r="AL87" s="1">
        <v>0</v>
      </c>
      <c r="AM87" s="12" t="s">
        <v>99</v>
      </c>
      <c r="AN87" s="1">
        <f t="shared" si="31"/>
        <v>0</v>
      </c>
      <c r="AO87" s="1">
        <f t="shared" si="32"/>
        <v>0</v>
      </c>
      <c r="AP87" t="s">
        <v>222</v>
      </c>
    </row>
    <row r="88" spans="1:43" hidden="1" x14ac:dyDescent="0.25">
      <c r="A88" s="1" t="s">
        <v>223</v>
      </c>
      <c r="B88" s="1" t="s">
        <v>42</v>
      </c>
      <c r="C88" s="1">
        <v>33.728999999999999</v>
      </c>
      <c r="D88" s="1"/>
      <c r="E88" s="1">
        <v>4.0910000000000002</v>
      </c>
      <c r="F88" s="1">
        <v>16.384</v>
      </c>
      <c r="G88" s="7">
        <v>1</v>
      </c>
      <c r="H88" s="1">
        <v>55</v>
      </c>
      <c r="I88" s="1" t="s">
        <v>43</v>
      </c>
      <c r="J88" s="1"/>
      <c r="K88" s="1">
        <v>15.3</v>
      </c>
      <c r="L88" s="1">
        <f t="shared" si="27"/>
        <v>-11.209</v>
      </c>
      <c r="M88" s="1">
        <f t="shared" si="28"/>
        <v>4.0910000000000002</v>
      </c>
      <c r="N88" s="1"/>
      <c r="O88" s="1"/>
      <c r="P88" s="1"/>
      <c r="Q88" s="1">
        <v>0</v>
      </c>
      <c r="R88" s="1"/>
      <c r="S88" s="24"/>
      <c r="T88" s="1"/>
      <c r="U88" s="1"/>
      <c r="V88" s="24"/>
      <c r="W88" s="1">
        <f t="shared" si="29"/>
        <v>0.81820000000000004</v>
      </c>
      <c r="X88" s="5"/>
      <c r="Y88" s="5">
        <f t="shared" si="34"/>
        <v>0</v>
      </c>
      <c r="Z88" s="5">
        <f t="shared" si="35"/>
        <v>0</v>
      </c>
      <c r="AA88" s="5"/>
      <c r="AB88" s="1"/>
      <c r="AC88" s="1">
        <f t="shared" si="33"/>
        <v>20.024443901246638</v>
      </c>
      <c r="AD88" s="1">
        <f t="shared" si="30"/>
        <v>20.024443901246638</v>
      </c>
      <c r="AE88" s="1">
        <v>0.81820000000000004</v>
      </c>
      <c r="AF88" s="1">
        <v>1.704</v>
      </c>
      <c r="AG88" s="1">
        <v>2.0099999999999998</v>
      </c>
      <c r="AH88" s="1">
        <v>1.7163999999999999</v>
      </c>
      <c r="AI88" s="1">
        <v>1.7183999999999999</v>
      </c>
      <c r="AJ88" s="1">
        <v>0.57800000000000007</v>
      </c>
      <c r="AK88" s="1">
        <v>1.7447999999999999</v>
      </c>
      <c r="AL88" s="1">
        <v>1.7296</v>
      </c>
      <c r="AM88" s="12" t="s">
        <v>99</v>
      </c>
      <c r="AN88" s="1">
        <f t="shared" si="31"/>
        <v>0</v>
      </c>
      <c r="AO88" s="1">
        <f t="shared" si="32"/>
        <v>0</v>
      </c>
      <c r="AP88" t="s">
        <v>224</v>
      </c>
    </row>
    <row r="89" spans="1:43" hidden="1" x14ac:dyDescent="0.25">
      <c r="A89" s="9" t="s">
        <v>225</v>
      </c>
      <c r="B89" s="9" t="s">
        <v>42</v>
      </c>
      <c r="C89" s="9"/>
      <c r="D89" s="9"/>
      <c r="E89" s="9"/>
      <c r="F89" s="9"/>
      <c r="G89" s="10">
        <v>0</v>
      </c>
      <c r="H89" s="9"/>
      <c r="I89" s="9" t="s">
        <v>43</v>
      </c>
      <c r="J89" s="9"/>
      <c r="K89" s="9"/>
      <c r="L89" s="9">
        <f t="shared" si="27"/>
        <v>0</v>
      </c>
      <c r="M89" s="9">
        <f t="shared" si="28"/>
        <v>0</v>
      </c>
      <c r="N89" s="9"/>
      <c r="O89" s="9"/>
      <c r="P89" s="9"/>
      <c r="Q89" s="9">
        <v>0</v>
      </c>
      <c r="R89" s="9"/>
      <c r="S89" s="27"/>
      <c r="T89" s="9"/>
      <c r="U89" s="9"/>
      <c r="V89" s="27"/>
      <c r="W89" s="9">
        <f t="shared" si="29"/>
        <v>0</v>
      </c>
      <c r="X89" s="11"/>
      <c r="Y89" s="5">
        <f t="shared" si="34"/>
        <v>0</v>
      </c>
      <c r="Z89" s="5">
        <f t="shared" si="35"/>
        <v>0</v>
      </c>
      <c r="AA89" s="5"/>
      <c r="AB89" s="1"/>
      <c r="AC89" s="1" t="e">
        <f t="shared" si="33"/>
        <v>#DIV/0!</v>
      </c>
      <c r="AD89" s="9" t="e">
        <f t="shared" si="30"/>
        <v>#DIV/0!</v>
      </c>
      <c r="AE89" s="9">
        <v>0</v>
      </c>
      <c r="AF89" s="9">
        <v>0</v>
      </c>
      <c r="AG89" s="9">
        <v>0</v>
      </c>
      <c r="AH89" s="9">
        <v>0</v>
      </c>
      <c r="AI89" s="9">
        <v>0</v>
      </c>
      <c r="AJ89" s="9">
        <v>0</v>
      </c>
      <c r="AK89" s="9">
        <v>0</v>
      </c>
      <c r="AL89" s="9">
        <v>0</v>
      </c>
      <c r="AM89" s="9" t="s">
        <v>80</v>
      </c>
      <c r="AN89" s="1">
        <f t="shared" si="31"/>
        <v>0</v>
      </c>
      <c r="AO89" s="1">
        <f t="shared" si="32"/>
        <v>0</v>
      </c>
      <c r="AP89" t="s">
        <v>226</v>
      </c>
    </row>
    <row r="90" spans="1:43" hidden="1" x14ac:dyDescent="0.25">
      <c r="A90" s="23" t="s">
        <v>227</v>
      </c>
      <c r="B90" s="1" t="s">
        <v>42</v>
      </c>
      <c r="C90" s="1">
        <v>3866.12</v>
      </c>
      <c r="D90" s="1">
        <v>5962.2690000000002</v>
      </c>
      <c r="E90" s="1">
        <v>4315.1090000000004</v>
      </c>
      <c r="F90" s="1">
        <v>3348.8519999999999</v>
      </c>
      <c r="G90" s="7">
        <v>1</v>
      </c>
      <c r="H90" s="1">
        <v>60</v>
      </c>
      <c r="I90" s="1" t="s">
        <v>43</v>
      </c>
      <c r="J90" s="1"/>
      <c r="K90" s="1">
        <v>4583.6000000000004</v>
      </c>
      <c r="L90" s="1">
        <f t="shared" si="27"/>
        <v>-268.49099999999999</v>
      </c>
      <c r="M90" s="1">
        <f t="shared" si="28"/>
        <v>4213.1590000000006</v>
      </c>
      <c r="N90" s="1">
        <v>101.95</v>
      </c>
      <c r="O90" s="1">
        <v>1377.1870138935999</v>
      </c>
      <c r="P90" s="1"/>
      <c r="Q90" s="1">
        <v>2305.7990356897199</v>
      </c>
      <c r="R90" s="1"/>
      <c r="S90" s="24"/>
      <c r="T90" s="1">
        <v>2864.1539591302808</v>
      </c>
      <c r="U90" s="1"/>
      <c r="V90" s="24"/>
      <c r="W90" s="1">
        <f t="shared" si="29"/>
        <v>842.63180000000011</v>
      </c>
      <c r="X90" s="5">
        <f>12*W90-T90-Q90-P90-O90-F90</f>
        <v>215.58959128640072</v>
      </c>
      <c r="Y90" s="5">
        <v>0</v>
      </c>
      <c r="Z90" s="5">
        <f t="shared" si="35"/>
        <v>0</v>
      </c>
      <c r="AA90" s="5"/>
      <c r="AB90" s="1"/>
      <c r="AC90" s="1">
        <f t="shared" si="33"/>
        <v>11.744147335424085</v>
      </c>
      <c r="AD90" s="1">
        <f t="shared" si="30"/>
        <v>11.744147335424085</v>
      </c>
      <c r="AE90" s="1">
        <v>930.80480000000011</v>
      </c>
      <c r="AF90" s="1">
        <v>746.08699999999999</v>
      </c>
      <c r="AG90" s="1">
        <v>678.24040000000002</v>
      </c>
      <c r="AH90" s="1">
        <v>611.37299999999993</v>
      </c>
      <c r="AI90" s="1">
        <v>524.66000000000008</v>
      </c>
      <c r="AJ90" s="1">
        <v>546.37159999999994</v>
      </c>
      <c r="AK90" s="1">
        <v>631.18540000000007</v>
      </c>
      <c r="AL90" s="1">
        <v>487.42919999999992</v>
      </c>
      <c r="AM90" s="1"/>
      <c r="AN90" s="1">
        <f t="shared" si="31"/>
        <v>0</v>
      </c>
      <c r="AO90" s="1">
        <f t="shared" si="32"/>
        <v>0</v>
      </c>
      <c r="AP90" t="s">
        <v>228</v>
      </c>
      <c r="AQ90" t="str">
        <f>VLOOKUP(AP90,[1]Лист1!$A:$A,1,0)</f>
        <v>SU002634</v>
      </c>
    </row>
    <row r="91" spans="1:43" hidden="1" x14ac:dyDescent="0.25">
      <c r="A91" s="1" t="s">
        <v>229</v>
      </c>
      <c r="B91" s="1" t="s">
        <v>50</v>
      </c>
      <c r="C91" s="1">
        <v>146</v>
      </c>
      <c r="D91" s="1">
        <v>322</v>
      </c>
      <c r="E91" s="1">
        <v>245</v>
      </c>
      <c r="F91" s="1">
        <v>197</v>
      </c>
      <c r="G91" s="7">
        <v>0.3</v>
      </c>
      <c r="H91" s="1">
        <v>40</v>
      </c>
      <c r="I91" s="1" t="s">
        <v>43</v>
      </c>
      <c r="J91" s="1"/>
      <c r="K91" s="1">
        <v>271</v>
      </c>
      <c r="L91" s="1">
        <f t="shared" si="27"/>
        <v>-26</v>
      </c>
      <c r="M91" s="1">
        <f t="shared" si="28"/>
        <v>245</v>
      </c>
      <c r="N91" s="1"/>
      <c r="O91" s="1">
        <v>208.21943999999999</v>
      </c>
      <c r="P91" s="1"/>
      <c r="Q91" s="1">
        <v>0</v>
      </c>
      <c r="R91" s="1"/>
      <c r="S91" s="24"/>
      <c r="T91" s="1"/>
      <c r="U91" s="1"/>
      <c r="V91" s="24"/>
      <c r="W91" s="1">
        <f t="shared" si="29"/>
        <v>49</v>
      </c>
      <c r="X91" s="5">
        <f>12*W91-T91-Q91-P91-O91-F91</f>
        <v>182.78056000000004</v>
      </c>
      <c r="Y91" s="5">
        <f t="shared" ref="Y91:Y99" si="36">X91</f>
        <v>182.78056000000004</v>
      </c>
      <c r="Z91" s="5">
        <f t="shared" si="35"/>
        <v>182.78056000000004</v>
      </c>
      <c r="AA91" s="5"/>
      <c r="AB91" s="1"/>
      <c r="AC91" s="1">
        <f t="shared" si="33"/>
        <v>12</v>
      </c>
      <c r="AD91" s="1">
        <f t="shared" si="30"/>
        <v>8.2697844897959172</v>
      </c>
      <c r="AE91" s="1">
        <v>49</v>
      </c>
      <c r="AF91" s="1">
        <v>54.8</v>
      </c>
      <c r="AG91" s="1">
        <v>31.2</v>
      </c>
      <c r="AH91" s="1">
        <v>37.799999999999997</v>
      </c>
      <c r="AI91" s="1">
        <v>35.799999999999997</v>
      </c>
      <c r="AJ91" s="1">
        <v>44</v>
      </c>
      <c r="AK91" s="1">
        <v>54.4</v>
      </c>
      <c r="AL91" s="1">
        <v>32.200000000000003</v>
      </c>
      <c r="AM91" s="1"/>
      <c r="AN91" s="1">
        <f t="shared" si="31"/>
        <v>55</v>
      </c>
      <c r="AO91" s="1">
        <f t="shared" si="32"/>
        <v>0</v>
      </c>
      <c r="AP91" t="s">
        <v>230</v>
      </c>
    </row>
    <row r="92" spans="1:43" hidden="1" x14ac:dyDescent="0.25">
      <c r="A92" s="23" t="s">
        <v>231</v>
      </c>
      <c r="B92" s="1" t="s">
        <v>42</v>
      </c>
      <c r="C92" s="1">
        <v>1501.596</v>
      </c>
      <c r="D92" s="1">
        <v>4179.04</v>
      </c>
      <c r="E92" s="1">
        <v>1786.174</v>
      </c>
      <c r="F92" s="1">
        <v>383.12700000000001</v>
      </c>
      <c r="G92" s="7">
        <v>1</v>
      </c>
      <c r="H92" s="1">
        <v>60</v>
      </c>
      <c r="I92" s="1" t="s">
        <v>43</v>
      </c>
      <c r="J92" s="1"/>
      <c r="K92" s="1">
        <v>3731.7339999999999</v>
      </c>
      <c r="L92" s="1">
        <f t="shared" si="27"/>
        <v>-1945.56</v>
      </c>
      <c r="M92" s="1">
        <f t="shared" si="28"/>
        <v>1786.174</v>
      </c>
      <c r="N92" s="1"/>
      <c r="O92" s="1">
        <v>794.34634021391992</v>
      </c>
      <c r="P92" s="1"/>
      <c r="Q92" s="1">
        <v>1619.6354969949839</v>
      </c>
      <c r="R92" s="1"/>
      <c r="S92" s="24"/>
      <c r="T92" s="1">
        <v>2011.834227209016</v>
      </c>
      <c r="U92" s="1"/>
      <c r="V92" s="24"/>
      <c r="W92" s="1">
        <f t="shared" si="29"/>
        <v>357.23480000000001</v>
      </c>
      <c r="X92" s="5"/>
      <c r="Y92" s="5">
        <f t="shared" si="36"/>
        <v>0</v>
      </c>
      <c r="Z92" s="5">
        <f t="shared" si="35"/>
        <v>0</v>
      </c>
      <c r="AA92" s="5"/>
      <c r="AB92" s="1"/>
      <c r="AC92" s="1">
        <f t="shared" si="33"/>
        <v>13.46157503249381</v>
      </c>
      <c r="AD92" s="1">
        <f t="shared" si="30"/>
        <v>13.46157503249381</v>
      </c>
      <c r="AE92" s="1">
        <v>505.72719999999998</v>
      </c>
      <c r="AF92" s="1">
        <v>276.84160000000003</v>
      </c>
      <c r="AG92" s="1">
        <v>190.1532</v>
      </c>
      <c r="AH92" s="1">
        <v>224.54220000000001</v>
      </c>
      <c r="AI92" s="1">
        <v>235.44120000000001</v>
      </c>
      <c r="AJ92" s="1">
        <v>237.84280000000001</v>
      </c>
      <c r="AK92" s="1">
        <v>261.7706</v>
      </c>
      <c r="AL92" s="1">
        <v>210.9222</v>
      </c>
      <c r="AM92" s="1"/>
      <c r="AN92" s="1">
        <f t="shared" si="31"/>
        <v>0</v>
      </c>
      <c r="AO92" s="1">
        <f t="shared" si="32"/>
        <v>0</v>
      </c>
      <c r="AP92" t="s">
        <v>232</v>
      </c>
      <c r="AQ92" t="str">
        <f>VLOOKUP(AP92,[1]Лист1!$A:$A,1,0)</f>
        <v>SU003423</v>
      </c>
    </row>
    <row r="93" spans="1:43" x14ac:dyDescent="0.25">
      <c r="A93" s="23" t="s">
        <v>233</v>
      </c>
      <c r="B93" s="1" t="s">
        <v>42</v>
      </c>
      <c r="C93" s="1">
        <v>5155.0910000000003</v>
      </c>
      <c r="D93" s="1">
        <v>3786.1170000000002</v>
      </c>
      <c r="E93" s="1">
        <v>3167.6869999999999</v>
      </c>
      <c r="F93" s="1">
        <v>3242.4430000000002</v>
      </c>
      <c r="G93" s="7">
        <v>1</v>
      </c>
      <c r="H93" s="1">
        <v>60</v>
      </c>
      <c r="I93" s="1" t="s">
        <v>43</v>
      </c>
      <c r="J93" s="1"/>
      <c r="K93" s="1">
        <v>4175.7219999999998</v>
      </c>
      <c r="L93" s="1">
        <f t="shared" si="27"/>
        <v>-1008.0349999999999</v>
      </c>
      <c r="M93" s="1">
        <f t="shared" si="28"/>
        <v>1522.6769999999999</v>
      </c>
      <c r="N93" s="1">
        <v>1645.01</v>
      </c>
      <c r="O93" s="1">
        <v>1039.1909161649589</v>
      </c>
      <c r="P93" s="1"/>
      <c r="Q93" s="1">
        <v>398.05942898159287</v>
      </c>
      <c r="R93" s="1"/>
      <c r="S93" s="24"/>
      <c r="T93" s="1">
        <v>494.45050147040922</v>
      </c>
      <c r="U93" s="1"/>
      <c r="V93" s="24">
        <v>300</v>
      </c>
      <c r="W93" s="1">
        <f t="shared" si="29"/>
        <v>304.53539999999998</v>
      </c>
      <c r="X93" s="5"/>
      <c r="Y93" s="5">
        <f t="shared" si="36"/>
        <v>0</v>
      </c>
      <c r="Z93" s="5">
        <f t="shared" si="35"/>
        <v>0</v>
      </c>
      <c r="AA93" s="5"/>
      <c r="AB93" s="1"/>
      <c r="AC93" s="1">
        <f t="shared" si="33"/>
        <v>17.975394146680358</v>
      </c>
      <c r="AD93" s="1">
        <f t="shared" si="30"/>
        <v>16.990286996575641</v>
      </c>
      <c r="AE93" s="1">
        <v>631.58000000000004</v>
      </c>
      <c r="AF93" s="1">
        <v>682.72479999999996</v>
      </c>
      <c r="AG93" s="1">
        <v>684.17160000000001</v>
      </c>
      <c r="AH93" s="1">
        <v>529.6386</v>
      </c>
      <c r="AI93" s="1">
        <v>447.9076</v>
      </c>
      <c r="AJ93" s="1">
        <v>485.68380000000008</v>
      </c>
      <c r="AK93" s="1">
        <v>514.53820000000007</v>
      </c>
      <c r="AL93" s="1">
        <v>401.62819999999999</v>
      </c>
      <c r="AM93" s="16" t="s">
        <v>83</v>
      </c>
      <c r="AN93" s="1">
        <f t="shared" si="31"/>
        <v>0</v>
      </c>
      <c r="AO93" s="1">
        <f t="shared" si="32"/>
        <v>0</v>
      </c>
      <c r="AP93" t="s">
        <v>234</v>
      </c>
      <c r="AQ93" t="str">
        <f>VLOOKUP(AP93,[1]Лист1!$A:$A,1,0)</f>
        <v>SU003420</v>
      </c>
    </row>
    <row r="94" spans="1:43" x14ac:dyDescent="0.25">
      <c r="A94" s="23" t="s">
        <v>88</v>
      </c>
      <c r="B94" s="1" t="s">
        <v>42</v>
      </c>
      <c r="C94" s="1">
        <v>5918.6170000000002</v>
      </c>
      <c r="D94" s="1">
        <v>6028.2030000000004</v>
      </c>
      <c r="E94" s="13">
        <f>2735.521+E23</f>
        <v>2740.491</v>
      </c>
      <c r="F94" s="13">
        <f>5525.034+F23</f>
        <v>5512.5709999999999</v>
      </c>
      <c r="G94" s="7">
        <v>1</v>
      </c>
      <c r="H94" s="1">
        <v>60</v>
      </c>
      <c r="I94" s="1" t="s">
        <v>43</v>
      </c>
      <c r="J94" s="1"/>
      <c r="K94" s="1">
        <v>6008.5770000000002</v>
      </c>
      <c r="L94" s="1">
        <f t="shared" si="27"/>
        <v>-3268.0860000000002</v>
      </c>
      <c r="M94" s="1">
        <f t="shared" si="28"/>
        <v>1989.252</v>
      </c>
      <c r="N94" s="1">
        <v>751.23900000000003</v>
      </c>
      <c r="O94" s="1">
        <v>1317.9080096</v>
      </c>
      <c r="P94" s="1"/>
      <c r="Q94" s="1">
        <v>0</v>
      </c>
      <c r="R94" s="1"/>
      <c r="S94" s="24"/>
      <c r="T94" s="1"/>
      <c r="U94" s="1"/>
      <c r="V94" s="24">
        <v>400</v>
      </c>
      <c r="W94" s="1">
        <f t="shared" si="29"/>
        <v>397.85039999999998</v>
      </c>
      <c r="X94" s="5"/>
      <c r="Y94" s="5">
        <f t="shared" si="36"/>
        <v>0</v>
      </c>
      <c r="Z94" s="5">
        <f t="shared" si="35"/>
        <v>0</v>
      </c>
      <c r="AA94" s="5"/>
      <c r="AB94" s="1"/>
      <c r="AC94" s="1">
        <f t="shared" si="33"/>
        <v>18.173863868428938</v>
      </c>
      <c r="AD94" s="1">
        <f t="shared" si="30"/>
        <v>17.168460832513929</v>
      </c>
      <c r="AE94" s="1">
        <v>698.25620000000004</v>
      </c>
      <c r="AF94" s="1">
        <v>848.86939999999993</v>
      </c>
      <c r="AG94" s="1">
        <v>803.57920000000001</v>
      </c>
      <c r="AH94" s="1">
        <v>649.25559999999996</v>
      </c>
      <c r="AI94" s="1">
        <v>717.88199999999995</v>
      </c>
      <c r="AJ94" s="1">
        <v>624.51419999999996</v>
      </c>
      <c r="AK94" s="1">
        <v>657.89699999999982</v>
      </c>
      <c r="AL94" s="1">
        <v>520.9251999999999</v>
      </c>
      <c r="AM94" s="16" t="s">
        <v>83</v>
      </c>
      <c r="AN94" s="1">
        <f t="shared" si="31"/>
        <v>0</v>
      </c>
      <c r="AO94" s="1">
        <f t="shared" si="32"/>
        <v>0</v>
      </c>
      <c r="AP94" t="s">
        <v>89</v>
      </c>
      <c r="AQ94" t="str">
        <f>VLOOKUP(AP94,[1]Лист1!$A:$A,1,0)</f>
        <v>SU003422</v>
      </c>
    </row>
    <row r="95" spans="1:43" hidden="1" x14ac:dyDescent="0.25">
      <c r="A95" s="1" t="s">
        <v>235</v>
      </c>
      <c r="B95" s="1" t="s">
        <v>42</v>
      </c>
      <c r="C95" s="1">
        <v>76.864000000000004</v>
      </c>
      <c r="D95" s="1">
        <v>2.67</v>
      </c>
      <c r="E95" s="1">
        <v>26.853999999999999</v>
      </c>
      <c r="F95" s="1">
        <v>48.497999999999998</v>
      </c>
      <c r="G95" s="7">
        <v>1</v>
      </c>
      <c r="H95" s="1">
        <v>55</v>
      </c>
      <c r="I95" s="1" t="s">
        <v>43</v>
      </c>
      <c r="J95" s="1"/>
      <c r="K95" s="1">
        <v>27.2</v>
      </c>
      <c r="L95" s="1">
        <f t="shared" si="27"/>
        <v>-0.34600000000000009</v>
      </c>
      <c r="M95" s="1">
        <f t="shared" si="28"/>
        <v>26.853999999999999</v>
      </c>
      <c r="N95" s="1"/>
      <c r="O95" s="1"/>
      <c r="P95" s="1"/>
      <c r="Q95" s="1">
        <v>0</v>
      </c>
      <c r="R95" s="1"/>
      <c r="S95" s="24"/>
      <c r="T95" s="1"/>
      <c r="U95" s="1"/>
      <c r="V95" s="24"/>
      <c r="W95" s="1">
        <f t="shared" si="29"/>
        <v>5.3708</v>
      </c>
      <c r="X95" s="5">
        <f>12*W95-T95-Q95-P95-O95-F95</f>
        <v>15.951600000000006</v>
      </c>
      <c r="Y95" s="5">
        <f t="shared" si="36"/>
        <v>15.951600000000006</v>
      </c>
      <c r="Z95" s="5">
        <f t="shared" si="35"/>
        <v>15.951600000000006</v>
      </c>
      <c r="AA95" s="5"/>
      <c r="AB95" s="1"/>
      <c r="AC95" s="1">
        <f t="shared" si="33"/>
        <v>12</v>
      </c>
      <c r="AD95" s="1">
        <f t="shared" si="30"/>
        <v>9.0299396737916133</v>
      </c>
      <c r="AE95" s="1">
        <v>5.3708</v>
      </c>
      <c r="AF95" s="1">
        <v>3.2181999999999999</v>
      </c>
      <c r="AG95" s="1">
        <v>2.9496000000000002</v>
      </c>
      <c r="AH95" s="1">
        <v>2.4131999999999998</v>
      </c>
      <c r="AI95" s="1">
        <v>4.8087999999999997</v>
      </c>
      <c r="AJ95" s="1">
        <v>2.9365999999999999</v>
      </c>
      <c r="AK95" s="1">
        <v>2.9626000000000001</v>
      </c>
      <c r="AL95" s="1">
        <v>9.1290000000000013</v>
      </c>
      <c r="AM95" s="1"/>
      <c r="AN95" s="1">
        <f t="shared" si="31"/>
        <v>16</v>
      </c>
      <c r="AO95" s="1">
        <f t="shared" si="32"/>
        <v>0</v>
      </c>
      <c r="AP95" t="s">
        <v>236</v>
      </c>
    </row>
    <row r="96" spans="1:43" hidden="1" x14ac:dyDescent="0.25">
      <c r="A96" s="9" t="s">
        <v>237</v>
      </c>
      <c r="B96" s="9" t="s">
        <v>42</v>
      </c>
      <c r="C96" s="9">
        <v>-1.36</v>
      </c>
      <c r="D96" s="9"/>
      <c r="E96" s="9"/>
      <c r="F96" s="9">
        <v>-1.36</v>
      </c>
      <c r="G96" s="10">
        <v>0</v>
      </c>
      <c r="H96" s="9"/>
      <c r="I96" s="9" t="s">
        <v>67</v>
      </c>
      <c r="J96" s="9"/>
      <c r="K96" s="9"/>
      <c r="L96" s="9">
        <f t="shared" si="27"/>
        <v>0</v>
      </c>
      <c r="M96" s="9">
        <f t="shared" si="28"/>
        <v>0</v>
      </c>
      <c r="N96" s="9"/>
      <c r="O96" s="9"/>
      <c r="P96" s="9"/>
      <c r="Q96" s="9">
        <v>0</v>
      </c>
      <c r="R96" s="9"/>
      <c r="S96" s="27"/>
      <c r="T96" s="9"/>
      <c r="U96" s="9"/>
      <c r="V96" s="27"/>
      <c r="W96" s="9">
        <f t="shared" si="29"/>
        <v>0</v>
      </c>
      <c r="X96" s="11"/>
      <c r="Y96" s="5">
        <f t="shared" si="36"/>
        <v>0</v>
      </c>
      <c r="Z96" s="5">
        <f t="shared" si="35"/>
        <v>0</v>
      </c>
      <c r="AA96" s="5"/>
      <c r="AB96" s="1"/>
      <c r="AC96" s="1" t="e">
        <f t="shared" si="33"/>
        <v>#DIV/0!</v>
      </c>
      <c r="AD96" s="9" t="e">
        <f t="shared" si="30"/>
        <v>#DIV/0!</v>
      </c>
      <c r="AE96" s="9">
        <v>0</v>
      </c>
      <c r="AF96" s="9">
        <v>0</v>
      </c>
      <c r="AG96" s="9">
        <v>0</v>
      </c>
      <c r="AH96" s="9">
        <v>0</v>
      </c>
      <c r="AI96" s="9">
        <v>0</v>
      </c>
      <c r="AJ96" s="9">
        <v>0</v>
      </c>
      <c r="AK96" s="9">
        <v>0</v>
      </c>
      <c r="AL96" s="9">
        <v>0.27200000000000002</v>
      </c>
      <c r="AM96" s="9"/>
      <c r="AN96" s="1">
        <f t="shared" si="31"/>
        <v>0</v>
      </c>
      <c r="AO96" s="1">
        <f t="shared" si="32"/>
        <v>0</v>
      </c>
      <c r="AP96" t="s">
        <v>238</v>
      </c>
    </row>
    <row r="97" spans="1:42" hidden="1" x14ac:dyDescent="0.25">
      <c r="A97" s="9" t="s">
        <v>239</v>
      </c>
      <c r="B97" s="9" t="s">
        <v>42</v>
      </c>
      <c r="C97" s="9">
        <v>-2.5960000000000001</v>
      </c>
      <c r="D97" s="9"/>
      <c r="E97" s="9"/>
      <c r="F97" s="9">
        <v>-2.5960000000000001</v>
      </c>
      <c r="G97" s="10">
        <v>0</v>
      </c>
      <c r="H97" s="9"/>
      <c r="I97" s="9" t="s">
        <v>67</v>
      </c>
      <c r="J97" s="9"/>
      <c r="K97" s="9"/>
      <c r="L97" s="9">
        <f t="shared" si="27"/>
        <v>0</v>
      </c>
      <c r="M97" s="9">
        <f t="shared" si="28"/>
        <v>0</v>
      </c>
      <c r="N97" s="9"/>
      <c r="O97" s="9"/>
      <c r="P97" s="9"/>
      <c r="Q97" s="9">
        <v>0</v>
      </c>
      <c r="R97" s="9"/>
      <c r="S97" s="27"/>
      <c r="T97" s="9"/>
      <c r="U97" s="9"/>
      <c r="V97" s="27"/>
      <c r="W97" s="9">
        <f t="shared" si="29"/>
        <v>0</v>
      </c>
      <c r="X97" s="11"/>
      <c r="Y97" s="5">
        <f t="shared" si="36"/>
        <v>0</v>
      </c>
      <c r="Z97" s="5">
        <f t="shared" si="35"/>
        <v>0</v>
      </c>
      <c r="AA97" s="5"/>
      <c r="AB97" s="1"/>
      <c r="AC97" s="1" t="e">
        <f t="shared" si="33"/>
        <v>#DIV/0!</v>
      </c>
      <c r="AD97" s="9" t="e">
        <f t="shared" si="30"/>
        <v>#DIV/0!</v>
      </c>
      <c r="AE97" s="9">
        <v>0</v>
      </c>
      <c r="AF97" s="9">
        <v>0.5484</v>
      </c>
      <c r="AG97" s="9">
        <v>3.7995999999999999</v>
      </c>
      <c r="AH97" s="9">
        <v>5.4039999999999999</v>
      </c>
      <c r="AI97" s="9">
        <v>5.3784000000000001</v>
      </c>
      <c r="AJ97" s="9">
        <v>6.8639999999999999</v>
      </c>
      <c r="AK97" s="9">
        <v>3.9003999999999999</v>
      </c>
      <c r="AL97" s="9">
        <v>2.42</v>
      </c>
      <c r="AM97" s="9"/>
      <c r="AN97" s="1">
        <f t="shared" si="31"/>
        <v>0</v>
      </c>
      <c r="AO97" s="1">
        <f t="shared" si="32"/>
        <v>0</v>
      </c>
    </row>
    <row r="98" spans="1:42" hidden="1" x14ac:dyDescent="0.25">
      <c r="A98" s="1" t="s">
        <v>240</v>
      </c>
      <c r="B98" s="1" t="s">
        <v>50</v>
      </c>
      <c r="C98" s="1">
        <v>-3</v>
      </c>
      <c r="D98" s="1">
        <v>2</v>
      </c>
      <c r="E98" s="1"/>
      <c r="F98" s="1">
        <v>-3</v>
      </c>
      <c r="G98" s="7">
        <v>0.3</v>
      </c>
      <c r="H98" s="1">
        <v>40</v>
      </c>
      <c r="I98" s="15" t="s">
        <v>106</v>
      </c>
      <c r="J98" s="1"/>
      <c r="K98" s="1">
        <v>182</v>
      </c>
      <c r="L98" s="1">
        <f t="shared" si="27"/>
        <v>-182</v>
      </c>
      <c r="M98" s="1">
        <f t="shared" si="28"/>
        <v>0</v>
      </c>
      <c r="N98" s="1"/>
      <c r="O98" s="1"/>
      <c r="P98" s="1"/>
      <c r="Q98" s="1">
        <v>50</v>
      </c>
      <c r="R98" s="1">
        <v>-54</v>
      </c>
      <c r="S98" s="24"/>
      <c r="T98" s="1"/>
      <c r="U98" s="1"/>
      <c r="V98" s="24"/>
      <c r="W98" s="1">
        <f t="shared" si="29"/>
        <v>0</v>
      </c>
      <c r="X98" s="5">
        <v>50</v>
      </c>
      <c r="Y98" s="5">
        <f t="shared" si="36"/>
        <v>50</v>
      </c>
      <c r="Z98" s="5">
        <f>Y98</f>
        <v>50</v>
      </c>
      <c r="AA98" s="5">
        <f>Y98*0.5</f>
        <v>25</v>
      </c>
      <c r="AB98" s="1"/>
      <c r="AC98" s="1" t="e">
        <f t="shared" si="33"/>
        <v>#DIV/0!</v>
      </c>
      <c r="AD98" s="1" t="e">
        <f t="shared" si="30"/>
        <v>#DIV/0!</v>
      </c>
      <c r="AE98" s="1">
        <v>0</v>
      </c>
      <c r="AF98" s="1">
        <v>8.4</v>
      </c>
      <c r="AG98" s="1">
        <v>9.6</v>
      </c>
      <c r="AH98" s="1">
        <v>9.1999999999999993</v>
      </c>
      <c r="AI98" s="1">
        <v>15.2</v>
      </c>
      <c r="AJ98" s="1">
        <v>23.8</v>
      </c>
      <c r="AK98" s="1">
        <v>25.4</v>
      </c>
      <c r="AL98" s="1">
        <v>17.2</v>
      </c>
      <c r="AM98" s="1"/>
      <c r="AN98" s="1">
        <f t="shared" si="31"/>
        <v>15</v>
      </c>
      <c r="AO98" s="1">
        <f t="shared" si="32"/>
        <v>8</v>
      </c>
      <c r="AP98" t="s">
        <v>241</v>
      </c>
    </row>
    <row r="99" spans="1:42" hidden="1" x14ac:dyDescent="0.25">
      <c r="A99" s="1" t="s">
        <v>242</v>
      </c>
      <c r="B99" s="1" t="s">
        <v>50</v>
      </c>
      <c r="C99" s="1">
        <v>56</v>
      </c>
      <c r="D99" s="1">
        <v>156</v>
      </c>
      <c r="E99" s="1">
        <v>39</v>
      </c>
      <c r="F99" s="1">
        <v>169</v>
      </c>
      <c r="G99" s="7">
        <v>0.3</v>
      </c>
      <c r="H99" s="1">
        <v>40</v>
      </c>
      <c r="I99" s="1" t="s">
        <v>43</v>
      </c>
      <c r="J99" s="1"/>
      <c r="K99" s="1">
        <v>41</v>
      </c>
      <c r="L99" s="1">
        <f t="shared" si="27"/>
        <v>-2</v>
      </c>
      <c r="M99" s="1">
        <f t="shared" si="28"/>
        <v>39</v>
      </c>
      <c r="N99" s="1"/>
      <c r="O99" s="1"/>
      <c r="P99" s="1"/>
      <c r="Q99" s="1">
        <v>0</v>
      </c>
      <c r="R99" s="1"/>
      <c r="S99" s="24"/>
      <c r="T99" s="1"/>
      <c r="U99" s="1"/>
      <c r="V99" s="24"/>
      <c r="W99" s="1">
        <f t="shared" si="29"/>
        <v>7.8</v>
      </c>
      <c r="X99" s="5"/>
      <c r="Y99" s="5">
        <f t="shared" si="36"/>
        <v>0</v>
      </c>
      <c r="Z99" s="5">
        <f t="shared" ref="Z99:Z110" si="37">Y99-AA99</f>
        <v>0</v>
      </c>
      <c r="AA99" s="5"/>
      <c r="AB99" s="1"/>
      <c r="AC99" s="1">
        <f t="shared" si="33"/>
        <v>21.666666666666668</v>
      </c>
      <c r="AD99" s="1">
        <f t="shared" si="30"/>
        <v>21.666666666666668</v>
      </c>
      <c r="AE99" s="1">
        <v>7.8</v>
      </c>
      <c r="AF99" s="1">
        <v>17.2</v>
      </c>
      <c r="AG99" s="1">
        <v>16.2</v>
      </c>
      <c r="AH99" s="1">
        <v>4</v>
      </c>
      <c r="AI99" s="1">
        <v>9.6</v>
      </c>
      <c r="AJ99" s="1">
        <v>11</v>
      </c>
      <c r="AK99" s="1">
        <v>12.4</v>
      </c>
      <c r="AL99" s="1">
        <v>6.8</v>
      </c>
      <c r="AM99" s="17" t="s">
        <v>83</v>
      </c>
      <c r="AN99" s="1">
        <f t="shared" si="31"/>
        <v>0</v>
      </c>
      <c r="AO99" s="1">
        <f t="shared" si="32"/>
        <v>0</v>
      </c>
      <c r="AP99" t="s">
        <v>243</v>
      </c>
    </row>
    <row r="100" spans="1:42" hidden="1" x14ac:dyDescent="0.25">
      <c r="A100" s="1" t="s">
        <v>244</v>
      </c>
      <c r="B100" s="1" t="s">
        <v>50</v>
      </c>
      <c r="C100" s="1">
        <v>505</v>
      </c>
      <c r="D100" s="1">
        <v>23</v>
      </c>
      <c r="E100" s="1">
        <v>127</v>
      </c>
      <c r="F100" s="1">
        <v>327</v>
      </c>
      <c r="G100" s="7">
        <v>7.0000000000000007E-2</v>
      </c>
      <c r="H100" s="1">
        <v>90</v>
      </c>
      <c r="I100" s="14" t="s">
        <v>54</v>
      </c>
      <c r="J100" s="1"/>
      <c r="K100" s="1">
        <v>189</v>
      </c>
      <c r="L100" s="1">
        <f t="shared" si="27"/>
        <v>-62</v>
      </c>
      <c r="M100" s="1">
        <f t="shared" si="28"/>
        <v>127</v>
      </c>
      <c r="N100" s="1"/>
      <c r="O100" s="1"/>
      <c r="P100" s="1"/>
      <c r="Q100" s="1">
        <v>0</v>
      </c>
      <c r="R100" s="1"/>
      <c r="S100" s="24"/>
      <c r="T100" s="1"/>
      <c r="U100" s="1"/>
      <c r="V100" s="24"/>
      <c r="W100" s="1">
        <f t="shared" si="29"/>
        <v>25.4</v>
      </c>
      <c r="X100" s="5"/>
      <c r="Y100" s="5">
        <f>X100+400</f>
        <v>400</v>
      </c>
      <c r="Z100" s="5">
        <f t="shared" si="37"/>
        <v>400</v>
      </c>
      <c r="AA100" s="5"/>
      <c r="AB100" s="1" t="str">
        <f>VLOOKUP(A100,[2]Sheet!$A:$U,21,0)</f>
        <v xml:space="preserve">400 сеть молоко </v>
      </c>
      <c r="AC100" s="1">
        <f t="shared" si="33"/>
        <v>28.622047244094489</v>
      </c>
      <c r="AD100" s="1">
        <f t="shared" si="30"/>
        <v>12.874015748031496</v>
      </c>
      <c r="AE100" s="1">
        <v>25.4</v>
      </c>
      <c r="AF100" s="1">
        <v>27.8</v>
      </c>
      <c r="AG100" s="1">
        <v>21.6</v>
      </c>
      <c r="AH100" s="1">
        <v>29</v>
      </c>
      <c r="AI100" s="1">
        <v>32.4</v>
      </c>
      <c r="AJ100" s="1">
        <v>33.4</v>
      </c>
      <c r="AK100" s="1">
        <v>34.799999999999997</v>
      </c>
      <c r="AL100" s="1">
        <v>22.2</v>
      </c>
      <c r="AM100" s="1" t="s">
        <v>245</v>
      </c>
      <c r="AN100" s="1">
        <f t="shared" si="31"/>
        <v>28</v>
      </c>
      <c r="AO100" s="1">
        <f t="shared" si="32"/>
        <v>0</v>
      </c>
      <c r="AP100" t="s">
        <v>246</v>
      </c>
    </row>
    <row r="101" spans="1:42" hidden="1" x14ac:dyDescent="0.25">
      <c r="A101" s="1" t="s">
        <v>247</v>
      </c>
      <c r="B101" s="1" t="s">
        <v>50</v>
      </c>
      <c r="C101" s="1">
        <v>428</v>
      </c>
      <c r="D101" s="1">
        <v>22</v>
      </c>
      <c r="E101" s="1">
        <v>138</v>
      </c>
      <c r="F101" s="1">
        <v>248</v>
      </c>
      <c r="G101" s="7">
        <v>7.0000000000000007E-2</v>
      </c>
      <c r="H101" s="1">
        <v>90</v>
      </c>
      <c r="I101" s="14" t="s">
        <v>54</v>
      </c>
      <c r="J101" s="1"/>
      <c r="K101" s="1">
        <v>192</v>
      </c>
      <c r="L101" s="1">
        <f t="shared" si="27"/>
        <v>-54</v>
      </c>
      <c r="M101" s="1">
        <f t="shared" si="28"/>
        <v>138</v>
      </c>
      <c r="N101" s="1"/>
      <c r="O101" s="1"/>
      <c r="P101" s="1"/>
      <c r="Q101" s="1">
        <v>0</v>
      </c>
      <c r="R101" s="1"/>
      <c r="S101" s="24"/>
      <c r="T101" s="1"/>
      <c r="U101" s="1"/>
      <c r="V101" s="24"/>
      <c r="W101" s="1">
        <f t="shared" si="29"/>
        <v>27.6</v>
      </c>
      <c r="X101" s="5">
        <f>12*W101-T101-Q101-P101-O101-F101</f>
        <v>83.200000000000045</v>
      </c>
      <c r="Y101" s="5">
        <f>X101+500</f>
        <v>583.20000000000005</v>
      </c>
      <c r="Z101" s="5">
        <f t="shared" si="37"/>
        <v>583.20000000000005</v>
      </c>
      <c r="AA101" s="5"/>
      <c r="AB101" s="1" t="str">
        <f>VLOOKUP(A101,[2]Sheet!$A:$U,21,0)</f>
        <v xml:space="preserve">500 сеть молоко </v>
      </c>
      <c r="AC101" s="1">
        <f t="shared" si="33"/>
        <v>30.115942028985508</v>
      </c>
      <c r="AD101" s="1">
        <f t="shared" si="30"/>
        <v>8.9855072463768106</v>
      </c>
      <c r="AE101" s="1">
        <v>27.6</v>
      </c>
      <c r="AF101" s="1">
        <v>32.200000000000003</v>
      </c>
      <c r="AG101" s="1">
        <v>28.8</v>
      </c>
      <c r="AH101" s="1">
        <v>31.6</v>
      </c>
      <c r="AI101" s="1">
        <v>28.2</v>
      </c>
      <c r="AJ101" s="1">
        <v>29.6</v>
      </c>
      <c r="AK101" s="1">
        <v>31.2</v>
      </c>
      <c r="AL101" s="1">
        <v>22.8</v>
      </c>
      <c r="AM101" s="1" t="s">
        <v>248</v>
      </c>
      <c r="AN101" s="1">
        <f t="shared" si="31"/>
        <v>41</v>
      </c>
      <c r="AO101" s="1">
        <f t="shared" si="32"/>
        <v>0</v>
      </c>
      <c r="AP101" t="s">
        <v>249</v>
      </c>
    </row>
    <row r="102" spans="1:42" hidden="1" x14ac:dyDescent="0.25">
      <c r="A102" s="1" t="s">
        <v>250</v>
      </c>
      <c r="B102" s="1" t="s">
        <v>50</v>
      </c>
      <c r="C102" s="1">
        <v>438</v>
      </c>
      <c r="D102" s="1">
        <v>10</v>
      </c>
      <c r="E102" s="1">
        <v>93</v>
      </c>
      <c r="F102" s="1">
        <v>304</v>
      </c>
      <c r="G102" s="7">
        <v>7.0000000000000007E-2</v>
      </c>
      <c r="H102" s="1">
        <v>90</v>
      </c>
      <c r="I102" s="14" t="s">
        <v>54</v>
      </c>
      <c r="J102" s="1"/>
      <c r="K102" s="1">
        <v>137</v>
      </c>
      <c r="L102" s="1">
        <f t="shared" ref="L102:L133" si="38">E102-K102</f>
        <v>-44</v>
      </c>
      <c r="M102" s="1">
        <f t="shared" ref="M102:M133" si="39">E102-N102</f>
        <v>93</v>
      </c>
      <c r="N102" s="1"/>
      <c r="O102" s="1"/>
      <c r="P102" s="1"/>
      <c r="Q102" s="1">
        <v>0</v>
      </c>
      <c r="R102" s="1"/>
      <c r="S102" s="24"/>
      <c r="T102" s="1"/>
      <c r="U102" s="1"/>
      <c r="V102" s="24"/>
      <c r="W102" s="1">
        <f t="shared" ref="W102:W137" si="40">M102/5</f>
        <v>18.600000000000001</v>
      </c>
      <c r="X102" s="5"/>
      <c r="Y102" s="5">
        <f>X102+400</f>
        <v>400</v>
      </c>
      <c r="Z102" s="5">
        <f t="shared" si="37"/>
        <v>400</v>
      </c>
      <c r="AA102" s="5"/>
      <c r="AB102" s="1" t="str">
        <f>VLOOKUP(A102,[2]Sheet!$A:$U,21,0)</f>
        <v xml:space="preserve">400 сеть молоко </v>
      </c>
      <c r="AC102" s="1">
        <f t="shared" si="33"/>
        <v>37.849462365591393</v>
      </c>
      <c r="AD102" s="1">
        <f t="shared" ref="AD102:AD137" si="41">(F102+O102+P102+Q102+T102)/W102</f>
        <v>16.344086021505376</v>
      </c>
      <c r="AE102" s="1">
        <v>18.600000000000001</v>
      </c>
      <c r="AF102" s="1">
        <v>23.4</v>
      </c>
      <c r="AG102" s="1">
        <v>18.399999999999999</v>
      </c>
      <c r="AH102" s="1">
        <v>22.2</v>
      </c>
      <c r="AI102" s="1">
        <v>23.2</v>
      </c>
      <c r="AJ102" s="1">
        <v>24.6</v>
      </c>
      <c r="AK102" s="1">
        <v>27.4</v>
      </c>
      <c r="AL102" s="1">
        <v>18.8</v>
      </c>
      <c r="AM102" s="1" t="s">
        <v>245</v>
      </c>
      <c r="AN102" s="1">
        <f t="shared" ref="AN102:AN137" si="42">ROUND(G102*Z102,0)</f>
        <v>28</v>
      </c>
      <c r="AO102" s="1">
        <f t="shared" ref="AO102:AO137" si="43">ROUND(G102*AA102,0)</f>
        <v>0</v>
      </c>
      <c r="AP102" t="s">
        <v>251</v>
      </c>
    </row>
    <row r="103" spans="1:42" hidden="1" x14ac:dyDescent="0.25">
      <c r="A103" s="9" t="s">
        <v>252</v>
      </c>
      <c r="B103" s="9" t="s">
        <v>50</v>
      </c>
      <c r="C103" s="9">
        <v>4</v>
      </c>
      <c r="D103" s="9"/>
      <c r="E103" s="9">
        <v>-3</v>
      </c>
      <c r="F103" s="9">
        <v>-11</v>
      </c>
      <c r="G103" s="10">
        <v>0</v>
      </c>
      <c r="H103" s="9">
        <v>90</v>
      </c>
      <c r="I103" s="9" t="s">
        <v>67</v>
      </c>
      <c r="J103" s="9"/>
      <c r="K103" s="9">
        <v>107</v>
      </c>
      <c r="L103" s="9">
        <f t="shared" si="38"/>
        <v>-110</v>
      </c>
      <c r="M103" s="9">
        <f t="shared" si="39"/>
        <v>-3</v>
      </c>
      <c r="N103" s="9"/>
      <c r="O103" s="9"/>
      <c r="P103" s="9"/>
      <c r="Q103" s="9">
        <v>0</v>
      </c>
      <c r="R103" s="9"/>
      <c r="S103" s="27"/>
      <c r="T103" s="9"/>
      <c r="U103" s="9"/>
      <c r="V103" s="27"/>
      <c r="W103" s="9">
        <f t="shared" si="40"/>
        <v>-0.6</v>
      </c>
      <c r="X103" s="11"/>
      <c r="Y103" s="5">
        <f>X103</f>
        <v>0</v>
      </c>
      <c r="Z103" s="5">
        <f t="shared" si="37"/>
        <v>0</v>
      </c>
      <c r="AA103" s="5"/>
      <c r="AB103" s="1"/>
      <c r="AC103" s="1">
        <f t="shared" si="33"/>
        <v>18.333333333333336</v>
      </c>
      <c r="AD103" s="9">
        <f t="shared" si="41"/>
        <v>18.333333333333336</v>
      </c>
      <c r="AE103" s="9">
        <v>-0.6</v>
      </c>
      <c r="AF103" s="9">
        <v>-0.2</v>
      </c>
      <c r="AG103" s="9">
        <v>-0.4</v>
      </c>
      <c r="AH103" s="9">
        <v>9.1999999999999993</v>
      </c>
      <c r="AI103" s="9">
        <v>15.4</v>
      </c>
      <c r="AJ103" s="9">
        <v>13.6</v>
      </c>
      <c r="AK103" s="9">
        <v>20.2</v>
      </c>
      <c r="AL103" s="9">
        <v>19</v>
      </c>
      <c r="AM103" s="9"/>
      <c r="AN103" s="1">
        <f t="shared" si="42"/>
        <v>0</v>
      </c>
      <c r="AO103" s="1">
        <f t="shared" si="43"/>
        <v>0</v>
      </c>
      <c r="AP103" t="s">
        <v>253</v>
      </c>
    </row>
    <row r="104" spans="1:42" hidden="1" x14ac:dyDescent="0.25">
      <c r="A104" s="1" t="s">
        <v>254</v>
      </c>
      <c r="B104" s="1" t="s">
        <v>50</v>
      </c>
      <c r="C104" s="1">
        <v>31</v>
      </c>
      <c r="D104" s="1">
        <v>3</v>
      </c>
      <c r="E104" s="1">
        <v>19</v>
      </c>
      <c r="F104" s="1">
        <v>14</v>
      </c>
      <c r="G104" s="7">
        <v>0.3</v>
      </c>
      <c r="H104" s="1">
        <v>40</v>
      </c>
      <c r="I104" s="1" t="s">
        <v>43</v>
      </c>
      <c r="J104" s="1"/>
      <c r="K104" s="1">
        <v>44</v>
      </c>
      <c r="L104" s="1">
        <f t="shared" si="38"/>
        <v>-25</v>
      </c>
      <c r="M104" s="1">
        <f t="shared" si="39"/>
        <v>19</v>
      </c>
      <c r="N104" s="1"/>
      <c r="O104" s="1"/>
      <c r="P104" s="1"/>
      <c r="Q104" s="1">
        <v>20</v>
      </c>
      <c r="R104" s="1"/>
      <c r="S104" s="24"/>
      <c r="T104" s="1"/>
      <c r="U104" s="1"/>
      <c r="V104" s="24"/>
      <c r="W104" s="1">
        <f t="shared" si="40"/>
        <v>3.8</v>
      </c>
      <c r="X104" s="5">
        <f>12*W104-T104-Q104-P104-O104-F104</f>
        <v>11.599999999999994</v>
      </c>
      <c r="Y104" s="5">
        <f>X104</f>
        <v>11.599999999999994</v>
      </c>
      <c r="Z104" s="5">
        <f t="shared" si="37"/>
        <v>11.599999999999994</v>
      </c>
      <c r="AA104" s="5"/>
      <c r="AB104" s="1"/>
      <c r="AC104" s="1">
        <f t="shared" si="33"/>
        <v>11.999999999999998</v>
      </c>
      <c r="AD104" s="1">
        <f t="shared" si="41"/>
        <v>8.9473684210526319</v>
      </c>
      <c r="AE104" s="1">
        <v>3.8</v>
      </c>
      <c r="AF104" s="1">
        <v>0.6</v>
      </c>
      <c r="AG104" s="1">
        <v>-0.4</v>
      </c>
      <c r="AH104" s="1">
        <v>0.6</v>
      </c>
      <c r="AI104" s="1">
        <v>4.4000000000000004</v>
      </c>
      <c r="AJ104" s="1">
        <v>4.8</v>
      </c>
      <c r="AK104" s="1">
        <v>1.6</v>
      </c>
      <c r="AL104" s="1">
        <v>2.8</v>
      </c>
      <c r="AM104" s="1"/>
      <c r="AN104" s="1">
        <f t="shared" si="42"/>
        <v>3</v>
      </c>
      <c r="AO104" s="1">
        <f t="shared" si="43"/>
        <v>0</v>
      </c>
      <c r="AP104" t="s">
        <v>255</v>
      </c>
    </row>
    <row r="105" spans="1:42" hidden="1" x14ac:dyDescent="0.25">
      <c r="A105" s="1" t="s">
        <v>256</v>
      </c>
      <c r="B105" s="1" t="s">
        <v>42</v>
      </c>
      <c r="C105" s="1">
        <v>30.44</v>
      </c>
      <c r="D105" s="1">
        <v>1.59</v>
      </c>
      <c r="E105" s="1">
        <v>12.779</v>
      </c>
      <c r="F105" s="1">
        <v>18.382000000000001</v>
      </c>
      <c r="G105" s="7">
        <v>1</v>
      </c>
      <c r="H105" s="1">
        <v>55</v>
      </c>
      <c r="I105" s="1" t="s">
        <v>43</v>
      </c>
      <c r="J105" s="1"/>
      <c r="K105" s="1">
        <v>9.1999999999999993</v>
      </c>
      <c r="L105" s="1">
        <f t="shared" si="38"/>
        <v>3.5790000000000006</v>
      </c>
      <c r="M105" s="1">
        <f t="shared" si="39"/>
        <v>12.779</v>
      </c>
      <c r="N105" s="1"/>
      <c r="O105" s="1"/>
      <c r="P105" s="1"/>
      <c r="Q105" s="1">
        <v>0</v>
      </c>
      <c r="R105" s="1"/>
      <c r="S105" s="24"/>
      <c r="T105" s="1"/>
      <c r="U105" s="1"/>
      <c r="V105" s="24"/>
      <c r="W105" s="1">
        <f t="shared" si="40"/>
        <v>2.5558000000000001</v>
      </c>
      <c r="X105" s="5">
        <f>12*W105-T105-Q105-P105-O105-F105</f>
        <v>12.287600000000001</v>
      </c>
      <c r="Y105" s="5">
        <f>X105</f>
        <v>12.287600000000001</v>
      </c>
      <c r="Z105" s="5">
        <f t="shared" si="37"/>
        <v>12.287600000000001</v>
      </c>
      <c r="AA105" s="5"/>
      <c r="AB105" s="1"/>
      <c r="AC105" s="1">
        <f t="shared" si="33"/>
        <v>12</v>
      </c>
      <c r="AD105" s="1">
        <f t="shared" si="41"/>
        <v>7.1922685656154632</v>
      </c>
      <c r="AE105" s="1">
        <v>2.5558000000000001</v>
      </c>
      <c r="AF105" s="1">
        <v>1.869</v>
      </c>
      <c r="AG105" s="1">
        <v>0.8869999999999999</v>
      </c>
      <c r="AH105" s="1">
        <v>2.1185999999999998</v>
      </c>
      <c r="AI105" s="1">
        <v>2.1888000000000001</v>
      </c>
      <c r="AJ105" s="1">
        <v>1.9019999999999999</v>
      </c>
      <c r="AK105" s="1">
        <v>2.5404</v>
      </c>
      <c r="AL105" s="1">
        <v>2.8206000000000002</v>
      </c>
      <c r="AM105" s="1"/>
      <c r="AN105" s="1">
        <f t="shared" si="42"/>
        <v>12</v>
      </c>
      <c r="AO105" s="1">
        <f t="shared" si="43"/>
        <v>0</v>
      </c>
      <c r="AP105" t="s">
        <v>257</v>
      </c>
    </row>
    <row r="106" spans="1:42" hidden="1" x14ac:dyDescent="0.25">
      <c r="A106" s="1" t="s">
        <v>258</v>
      </c>
      <c r="B106" s="1" t="s">
        <v>50</v>
      </c>
      <c r="C106" s="1">
        <v>245</v>
      </c>
      <c r="D106" s="1">
        <v>21</v>
      </c>
      <c r="E106" s="1">
        <v>93</v>
      </c>
      <c r="F106" s="1">
        <v>123</v>
      </c>
      <c r="G106" s="7">
        <v>0.11</v>
      </c>
      <c r="H106" s="1">
        <v>30</v>
      </c>
      <c r="I106" s="14" t="s">
        <v>54</v>
      </c>
      <c r="J106" s="1"/>
      <c r="K106" s="1">
        <v>142</v>
      </c>
      <c r="L106" s="1">
        <f t="shared" si="38"/>
        <v>-49</v>
      </c>
      <c r="M106" s="1">
        <f t="shared" si="39"/>
        <v>93</v>
      </c>
      <c r="N106" s="1"/>
      <c r="O106" s="1"/>
      <c r="P106" s="1"/>
      <c r="Q106" s="1">
        <v>22.600000000000019</v>
      </c>
      <c r="R106" s="1"/>
      <c r="S106" s="24"/>
      <c r="T106" s="1"/>
      <c r="U106" s="1"/>
      <c r="V106" s="24"/>
      <c r="W106" s="1">
        <f t="shared" si="40"/>
        <v>18.600000000000001</v>
      </c>
      <c r="X106" s="5">
        <f>12*W106-T106-Q106-P106-O106-F106</f>
        <v>77.599999999999994</v>
      </c>
      <c r="Y106" s="5">
        <f>X106+500</f>
        <v>577.6</v>
      </c>
      <c r="Z106" s="5">
        <f t="shared" si="37"/>
        <v>577.6</v>
      </c>
      <c r="AA106" s="5"/>
      <c r="AB106" s="1" t="str">
        <f>VLOOKUP(A106,[2]Sheet!$A:$U,21,0)</f>
        <v xml:space="preserve">500 сеть молоко </v>
      </c>
      <c r="AC106" s="1">
        <f t="shared" si="33"/>
        <v>38.881720430107528</v>
      </c>
      <c r="AD106" s="1">
        <f t="shared" si="41"/>
        <v>7.8279569892473129</v>
      </c>
      <c r="AE106" s="1">
        <v>20.6</v>
      </c>
      <c r="AF106" s="1">
        <v>12</v>
      </c>
      <c r="AG106" s="1">
        <v>0</v>
      </c>
      <c r="AH106" s="1">
        <v>0</v>
      </c>
      <c r="AI106" s="1">
        <v>0</v>
      </c>
      <c r="AJ106" s="1">
        <v>0</v>
      </c>
      <c r="AK106" s="1">
        <v>0</v>
      </c>
      <c r="AL106" s="1">
        <v>0</v>
      </c>
      <c r="AM106" s="1" t="s">
        <v>248</v>
      </c>
      <c r="AN106" s="1">
        <f t="shared" si="42"/>
        <v>64</v>
      </c>
      <c r="AO106" s="1">
        <f t="shared" si="43"/>
        <v>0</v>
      </c>
      <c r="AP106" t="s">
        <v>259</v>
      </c>
    </row>
    <row r="107" spans="1:42" hidden="1" x14ac:dyDescent="0.25">
      <c r="A107" s="9" t="s">
        <v>260</v>
      </c>
      <c r="B107" s="9" t="s">
        <v>50</v>
      </c>
      <c r="C107" s="9"/>
      <c r="D107" s="9"/>
      <c r="E107" s="9"/>
      <c r="F107" s="9"/>
      <c r="G107" s="10">
        <v>0</v>
      </c>
      <c r="H107" s="9"/>
      <c r="I107" s="9" t="s">
        <v>43</v>
      </c>
      <c r="J107" s="9"/>
      <c r="K107" s="9"/>
      <c r="L107" s="9">
        <f t="shared" si="38"/>
        <v>0</v>
      </c>
      <c r="M107" s="9">
        <f t="shared" si="39"/>
        <v>0</v>
      </c>
      <c r="N107" s="9"/>
      <c r="O107" s="9"/>
      <c r="P107" s="9"/>
      <c r="Q107" s="9">
        <v>0</v>
      </c>
      <c r="R107" s="9"/>
      <c r="S107" s="27"/>
      <c r="T107" s="9"/>
      <c r="U107" s="9"/>
      <c r="V107" s="27"/>
      <c r="W107" s="9">
        <f t="shared" si="40"/>
        <v>0</v>
      </c>
      <c r="X107" s="11"/>
      <c r="Y107" s="5">
        <f>X107</f>
        <v>0</v>
      </c>
      <c r="Z107" s="5">
        <f t="shared" si="37"/>
        <v>0</v>
      </c>
      <c r="AA107" s="5"/>
      <c r="AB107" s="1"/>
      <c r="AC107" s="1" t="e">
        <f t="shared" si="33"/>
        <v>#DIV/0!</v>
      </c>
      <c r="AD107" s="9" t="e">
        <f t="shared" si="41"/>
        <v>#DIV/0!</v>
      </c>
      <c r="AE107" s="9">
        <v>0</v>
      </c>
      <c r="AF107" s="9">
        <v>0</v>
      </c>
      <c r="AG107" s="9">
        <v>0</v>
      </c>
      <c r="AH107" s="9">
        <v>0</v>
      </c>
      <c r="AI107" s="9">
        <v>0</v>
      </c>
      <c r="AJ107" s="9">
        <v>0</v>
      </c>
      <c r="AK107" s="9">
        <v>0</v>
      </c>
      <c r="AL107" s="9">
        <v>0</v>
      </c>
      <c r="AM107" s="9" t="s">
        <v>80</v>
      </c>
      <c r="AN107" s="1">
        <f t="shared" si="42"/>
        <v>0</v>
      </c>
      <c r="AO107" s="1">
        <f t="shared" si="43"/>
        <v>0</v>
      </c>
      <c r="AP107" t="s">
        <v>261</v>
      </c>
    </row>
    <row r="108" spans="1:42" hidden="1" x14ac:dyDescent="0.25">
      <c r="A108" s="1" t="s">
        <v>262</v>
      </c>
      <c r="B108" s="1" t="s">
        <v>50</v>
      </c>
      <c r="C108" s="1">
        <v>575</v>
      </c>
      <c r="D108" s="1">
        <v>270</v>
      </c>
      <c r="E108" s="1">
        <v>205</v>
      </c>
      <c r="F108" s="1">
        <v>576</v>
      </c>
      <c r="G108" s="7">
        <v>0.08</v>
      </c>
      <c r="H108" s="1">
        <v>45</v>
      </c>
      <c r="I108" s="14" t="s">
        <v>54</v>
      </c>
      <c r="J108" s="1"/>
      <c r="K108" s="1">
        <v>257</v>
      </c>
      <c r="L108" s="1">
        <f t="shared" si="38"/>
        <v>-52</v>
      </c>
      <c r="M108" s="1">
        <f t="shared" si="39"/>
        <v>205</v>
      </c>
      <c r="N108" s="1"/>
      <c r="O108" s="1"/>
      <c r="P108" s="1"/>
      <c r="Q108" s="1">
        <v>0</v>
      </c>
      <c r="R108" s="1"/>
      <c r="S108" s="24"/>
      <c r="T108" s="1"/>
      <c r="U108" s="1"/>
      <c r="V108" s="24"/>
      <c r="W108" s="1">
        <f t="shared" si="40"/>
        <v>41</v>
      </c>
      <c r="X108" s="5"/>
      <c r="Y108" s="5">
        <f>X108+300</f>
        <v>300</v>
      </c>
      <c r="Z108" s="5">
        <f t="shared" si="37"/>
        <v>300</v>
      </c>
      <c r="AA108" s="5"/>
      <c r="AB108" s="1" t="str">
        <f>VLOOKUP(A108,[2]Sheet!$A:$U,21,0)</f>
        <v xml:space="preserve">300 сеть молоко </v>
      </c>
      <c r="AC108" s="1">
        <f t="shared" si="33"/>
        <v>21.365853658536587</v>
      </c>
      <c r="AD108" s="1">
        <f t="shared" si="41"/>
        <v>14.048780487804878</v>
      </c>
      <c r="AE108" s="1">
        <v>41</v>
      </c>
      <c r="AF108" s="1">
        <v>42.2</v>
      </c>
      <c r="AG108" s="1">
        <v>49.2</v>
      </c>
      <c r="AH108" s="1">
        <v>54.2</v>
      </c>
      <c r="AI108" s="1">
        <v>46.4</v>
      </c>
      <c r="AJ108" s="1">
        <v>59</v>
      </c>
      <c r="AK108" s="1">
        <v>58.6</v>
      </c>
      <c r="AL108" s="1">
        <v>35.6</v>
      </c>
      <c r="AM108" s="1" t="s">
        <v>263</v>
      </c>
      <c r="AN108" s="1">
        <f t="shared" si="42"/>
        <v>24</v>
      </c>
      <c r="AO108" s="1">
        <f t="shared" si="43"/>
        <v>0</v>
      </c>
      <c r="AP108" t="s">
        <v>264</v>
      </c>
    </row>
    <row r="109" spans="1:42" hidden="1" x14ac:dyDescent="0.25">
      <c r="A109" s="1" t="s">
        <v>265</v>
      </c>
      <c r="B109" s="1" t="s">
        <v>50</v>
      </c>
      <c r="C109" s="1">
        <v>456</v>
      </c>
      <c r="D109" s="1">
        <v>57</v>
      </c>
      <c r="E109" s="1">
        <v>208</v>
      </c>
      <c r="F109" s="1">
        <v>199</v>
      </c>
      <c r="G109" s="7">
        <v>0.08</v>
      </c>
      <c r="H109" s="1">
        <v>45</v>
      </c>
      <c r="I109" s="14" t="s">
        <v>54</v>
      </c>
      <c r="J109" s="1"/>
      <c r="K109" s="1">
        <v>316</v>
      </c>
      <c r="L109" s="1">
        <f t="shared" si="38"/>
        <v>-108</v>
      </c>
      <c r="M109" s="1">
        <f t="shared" si="39"/>
        <v>208</v>
      </c>
      <c r="N109" s="1"/>
      <c r="O109" s="1"/>
      <c r="P109" s="1"/>
      <c r="Q109" s="1">
        <v>97.600000000000023</v>
      </c>
      <c r="R109" s="1"/>
      <c r="S109" s="24"/>
      <c r="T109" s="1"/>
      <c r="U109" s="1"/>
      <c r="V109" s="24"/>
      <c r="W109" s="1">
        <f t="shared" si="40"/>
        <v>41.6</v>
      </c>
      <c r="X109" s="5">
        <f>12*W109-T109-Q109-P109-O109-F109</f>
        <v>202.60000000000002</v>
      </c>
      <c r="Y109" s="5">
        <f>X109+600</f>
        <v>802.6</v>
      </c>
      <c r="Z109" s="5">
        <f t="shared" si="37"/>
        <v>802.6</v>
      </c>
      <c r="AA109" s="5"/>
      <c r="AB109" s="1" t="str">
        <f>VLOOKUP(A109,[2]Sheet!$A:$U,21,0)</f>
        <v xml:space="preserve">600 сеть молоко </v>
      </c>
      <c r="AC109" s="1">
        <f t="shared" si="33"/>
        <v>26.423076923076923</v>
      </c>
      <c r="AD109" s="1">
        <f t="shared" si="41"/>
        <v>7.1298076923076925</v>
      </c>
      <c r="AE109" s="1">
        <v>41.6</v>
      </c>
      <c r="AF109" s="1">
        <v>22.6</v>
      </c>
      <c r="AG109" s="1">
        <v>9.6</v>
      </c>
      <c r="AH109" s="1">
        <v>4.4000000000000004</v>
      </c>
      <c r="AI109" s="1">
        <v>25.8</v>
      </c>
      <c r="AJ109" s="1">
        <v>24.4</v>
      </c>
      <c r="AK109" s="1">
        <v>2.2000000000000002</v>
      </c>
      <c r="AL109" s="1">
        <v>12.4</v>
      </c>
      <c r="AM109" s="1" t="s">
        <v>266</v>
      </c>
      <c r="AN109" s="1">
        <f t="shared" si="42"/>
        <v>64</v>
      </c>
      <c r="AO109" s="1">
        <f t="shared" si="43"/>
        <v>0</v>
      </c>
      <c r="AP109" t="s">
        <v>267</v>
      </c>
    </row>
    <row r="110" spans="1:42" hidden="1" x14ac:dyDescent="0.25">
      <c r="A110" s="1" t="s">
        <v>268</v>
      </c>
      <c r="B110" s="1" t="s">
        <v>50</v>
      </c>
      <c r="C110" s="1">
        <v>135</v>
      </c>
      <c r="D110" s="1">
        <v>124</v>
      </c>
      <c r="E110" s="1">
        <v>81</v>
      </c>
      <c r="F110" s="1">
        <v>165</v>
      </c>
      <c r="G110" s="7">
        <v>0.17</v>
      </c>
      <c r="H110" s="1">
        <v>30</v>
      </c>
      <c r="I110" s="14" t="s">
        <v>54</v>
      </c>
      <c r="J110" s="1"/>
      <c r="K110" s="1">
        <v>93</v>
      </c>
      <c r="L110" s="1">
        <f t="shared" si="38"/>
        <v>-12</v>
      </c>
      <c r="M110" s="1">
        <f t="shared" si="39"/>
        <v>81</v>
      </c>
      <c r="N110" s="1"/>
      <c r="O110" s="1"/>
      <c r="P110" s="1"/>
      <c r="Q110" s="1">
        <v>0</v>
      </c>
      <c r="R110" s="1"/>
      <c r="S110" s="24"/>
      <c r="T110" s="1"/>
      <c r="U110" s="1"/>
      <c r="V110" s="24"/>
      <c r="W110" s="1">
        <f t="shared" si="40"/>
        <v>16.2</v>
      </c>
      <c r="X110" s="5">
        <f>12*W110-T110-Q110-P110-O110-F110</f>
        <v>29.399999999999977</v>
      </c>
      <c r="Y110" s="5">
        <f>X110+500</f>
        <v>529.4</v>
      </c>
      <c r="Z110" s="5">
        <f t="shared" si="37"/>
        <v>529.4</v>
      </c>
      <c r="AA110" s="5"/>
      <c r="AB110" s="1" t="str">
        <f>VLOOKUP(A110,[2]Sheet!$A:$U,21,0)</f>
        <v xml:space="preserve">500 сеть молоко </v>
      </c>
      <c r="AC110" s="1">
        <f t="shared" si="33"/>
        <v>42.864197530864196</v>
      </c>
      <c r="AD110" s="1">
        <f t="shared" si="41"/>
        <v>10.185185185185185</v>
      </c>
      <c r="AE110" s="1">
        <v>16.2</v>
      </c>
      <c r="AF110" s="1">
        <v>20.6</v>
      </c>
      <c r="AG110" s="1">
        <v>16</v>
      </c>
      <c r="AH110" s="1">
        <v>14.6</v>
      </c>
      <c r="AI110" s="1">
        <v>10.8</v>
      </c>
      <c r="AJ110" s="1">
        <v>15.6</v>
      </c>
      <c r="AK110" s="1">
        <v>14</v>
      </c>
      <c r="AL110" s="1">
        <v>2.4</v>
      </c>
      <c r="AM110" s="1" t="s">
        <v>248</v>
      </c>
      <c r="AN110" s="1">
        <f t="shared" si="42"/>
        <v>90</v>
      </c>
      <c r="AO110" s="1">
        <f t="shared" si="43"/>
        <v>0</v>
      </c>
      <c r="AP110" t="s">
        <v>269</v>
      </c>
    </row>
    <row r="111" spans="1:42" hidden="1" x14ac:dyDescent="0.25">
      <c r="A111" s="1" t="s">
        <v>270</v>
      </c>
      <c r="B111" s="1" t="s">
        <v>42</v>
      </c>
      <c r="C111" s="1">
        <v>168.83500000000001</v>
      </c>
      <c r="D111" s="1">
        <v>62.28</v>
      </c>
      <c r="E111" s="1">
        <v>213.87100000000001</v>
      </c>
      <c r="F111" s="1">
        <v>-14.114000000000001</v>
      </c>
      <c r="G111" s="7">
        <v>1</v>
      </c>
      <c r="H111" s="1">
        <v>40</v>
      </c>
      <c r="I111" s="15" t="s">
        <v>106</v>
      </c>
      <c r="J111" s="1"/>
      <c r="K111" s="1">
        <v>263.73399999999998</v>
      </c>
      <c r="L111" s="1">
        <f t="shared" si="38"/>
        <v>-49.862999999999971</v>
      </c>
      <c r="M111" s="1">
        <f t="shared" si="39"/>
        <v>213.87100000000001</v>
      </c>
      <c r="N111" s="1"/>
      <c r="O111" s="1">
        <v>110.25716</v>
      </c>
      <c r="P111" s="1"/>
      <c r="Q111" s="1">
        <v>236.92699999999999</v>
      </c>
      <c r="R111" s="1"/>
      <c r="S111" s="24"/>
      <c r="T111" s="1"/>
      <c r="U111" s="1"/>
      <c r="V111" s="24"/>
      <c r="W111" s="1">
        <f t="shared" si="40"/>
        <v>42.7742</v>
      </c>
      <c r="X111" s="5">
        <f>12*W111-T111-Q111-P111-O111-F111</f>
        <v>180.22023999999996</v>
      </c>
      <c r="Y111" s="5">
        <f t="shared" ref="Y111:Z113" si="44">X111</f>
        <v>180.22023999999996</v>
      </c>
      <c r="Z111" s="5">
        <f t="shared" si="44"/>
        <v>180.22023999999996</v>
      </c>
      <c r="AA111" s="5">
        <f>Y111*0.5</f>
        <v>90.110119999999981</v>
      </c>
      <c r="AB111" s="1"/>
      <c r="AC111" s="1">
        <f t="shared" si="33"/>
        <v>14.106646529917565</v>
      </c>
      <c r="AD111" s="1">
        <f t="shared" si="41"/>
        <v>7.7867069401648656</v>
      </c>
      <c r="AE111" s="1">
        <v>42.7742</v>
      </c>
      <c r="AF111" s="1">
        <v>44.640799999999999</v>
      </c>
      <c r="AG111" s="1">
        <v>37.654600000000002</v>
      </c>
      <c r="AH111" s="1">
        <v>36.516399999999997</v>
      </c>
      <c r="AI111" s="1">
        <v>39.003799999999998</v>
      </c>
      <c r="AJ111" s="1">
        <v>47.948999999999998</v>
      </c>
      <c r="AK111" s="1">
        <v>50.321599999999997</v>
      </c>
      <c r="AL111" s="1">
        <v>34.956800000000001</v>
      </c>
      <c r="AM111" s="1"/>
      <c r="AN111" s="1">
        <f t="shared" si="42"/>
        <v>180</v>
      </c>
      <c r="AO111" s="1">
        <f t="shared" si="43"/>
        <v>90</v>
      </c>
      <c r="AP111" t="s">
        <v>271</v>
      </c>
    </row>
    <row r="112" spans="1:42" hidden="1" x14ac:dyDescent="0.25">
      <c r="A112" s="1" t="s">
        <v>272</v>
      </c>
      <c r="B112" s="1" t="s">
        <v>42</v>
      </c>
      <c r="C112" s="1">
        <v>149.86500000000001</v>
      </c>
      <c r="D112" s="1">
        <v>2.8340000000000001</v>
      </c>
      <c r="E112" s="1">
        <v>85.805000000000007</v>
      </c>
      <c r="F112" s="1">
        <v>50.616999999999997</v>
      </c>
      <c r="G112" s="7">
        <v>1</v>
      </c>
      <c r="H112" s="1">
        <v>40</v>
      </c>
      <c r="I112" s="15" t="s">
        <v>106</v>
      </c>
      <c r="J112" s="1"/>
      <c r="K112" s="1">
        <v>85.915000000000006</v>
      </c>
      <c r="L112" s="1">
        <f t="shared" si="38"/>
        <v>-0.10999999999999943</v>
      </c>
      <c r="M112" s="1">
        <f t="shared" si="39"/>
        <v>85.805000000000007</v>
      </c>
      <c r="N112" s="1"/>
      <c r="O112" s="1"/>
      <c r="P112" s="1"/>
      <c r="Q112" s="1">
        <v>104.5</v>
      </c>
      <c r="R112" s="1"/>
      <c r="S112" s="24"/>
      <c r="T112" s="1"/>
      <c r="U112" s="1"/>
      <c r="V112" s="24"/>
      <c r="W112" s="1">
        <f t="shared" si="40"/>
        <v>17.161000000000001</v>
      </c>
      <c r="X112" s="5">
        <f>12*W112-T112-Q112-P112-O112-F112</f>
        <v>50.815000000000019</v>
      </c>
      <c r="Y112" s="5">
        <f t="shared" si="44"/>
        <v>50.815000000000019</v>
      </c>
      <c r="Z112" s="5">
        <f t="shared" si="44"/>
        <v>50.815000000000019</v>
      </c>
      <c r="AA112" s="5">
        <f>Y112*0.5</f>
        <v>25.40750000000001</v>
      </c>
      <c r="AB112" s="1"/>
      <c r="AC112" s="1">
        <f t="shared" si="33"/>
        <v>13.480537264728163</v>
      </c>
      <c r="AD112" s="1">
        <f t="shared" si="41"/>
        <v>9.0389254705436741</v>
      </c>
      <c r="AE112" s="1">
        <v>17.161000000000001</v>
      </c>
      <c r="AF112" s="1">
        <v>14.714</v>
      </c>
      <c r="AG112" s="1">
        <v>10.642200000000001</v>
      </c>
      <c r="AH112" s="1">
        <v>4.7026000000000003</v>
      </c>
      <c r="AI112" s="1">
        <v>14.215400000000001</v>
      </c>
      <c r="AJ112" s="1">
        <v>21.378</v>
      </c>
      <c r="AK112" s="1">
        <v>13.5524</v>
      </c>
      <c r="AL112" s="1">
        <v>5.1452</v>
      </c>
      <c r="AM112" s="1"/>
      <c r="AN112" s="1">
        <f t="shared" si="42"/>
        <v>51</v>
      </c>
      <c r="AO112" s="1">
        <f t="shared" si="43"/>
        <v>25</v>
      </c>
      <c r="AP112" t="s">
        <v>273</v>
      </c>
    </row>
    <row r="113" spans="1:43" hidden="1" x14ac:dyDescent="0.25">
      <c r="A113" s="1" t="s">
        <v>274</v>
      </c>
      <c r="B113" s="1" t="s">
        <v>42</v>
      </c>
      <c r="C113" s="1">
        <v>159.31</v>
      </c>
      <c r="D113" s="1">
        <v>158.161</v>
      </c>
      <c r="E113" s="1">
        <v>237.26599999999999</v>
      </c>
      <c r="F113" s="1">
        <v>2.621</v>
      </c>
      <c r="G113" s="7">
        <v>1</v>
      </c>
      <c r="H113" s="1">
        <v>40</v>
      </c>
      <c r="I113" s="15" t="s">
        <v>106</v>
      </c>
      <c r="J113" s="1"/>
      <c r="K113" s="1">
        <v>290.21800000000002</v>
      </c>
      <c r="L113" s="1">
        <f t="shared" si="38"/>
        <v>-52.952000000000027</v>
      </c>
      <c r="M113" s="1">
        <f t="shared" si="39"/>
        <v>216.15899999999999</v>
      </c>
      <c r="N113" s="1">
        <v>21.106999999999999</v>
      </c>
      <c r="O113" s="1">
        <v>114.212592</v>
      </c>
      <c r="P113" s="1">
        <v>-115.5</v>
      </c>
      <c r="Q113" s="1">
        <v>100</v>
      </c>
      <c r="R113" s="1">
        <v>-101.5</v>
      </c>
      <c r="S113" s="24"/>
      <c r="T113" s="1"/>
      <c r="U113" s="1"/>
      <c r="V113" s="24"/>
      <c r="W113" s="1">
        <f t="shared" si="40"/>
        <v>43.2318</v>
      </c>
      <c r="X113" s="5">
        <v>80</v>
      </c>
      <c r="Y113" s="5">
        <f t="shared" si="44"/>
        <v>80</v>
      </c>
      <c r="Z113" s="5">
        <f t="shared" si="44"/>
        <v>80</v>
      </c>
      <c r="AA113" s="5">
        <f>Y113*0.5</f>
        <v>40</v>
      </c>
      <c r="AB113" s="1"/>
      <c r="AC113" s="1">
        <f t="shared" si="33"/>
        <v>2.7718853251541691</v>
      </c>
      <c r="AD113" s="1">
        <f t="shared" si="41"/>
        <v>2.3439595853052615</v>
      </c>
      <c r="AE113" s="1">
        <v>47.453200000000002</v>
      </c>
      <c r="AF113" s="1">
        <v>41.672199999999997</v>
      </c>
      <c r="AG113" s="1">
        <v>33.958799999999997</v>
      </c>
      <c r="AH113" s="1">
        <v>31.296800000000001</v>
      </c>
      <c r="AI113" s="1">
        <v>35.985399999999998</v>
      </c>
      <c r="AJ113" s="1">
        <v>43.4876</v>
      </c>
      <c r="AK113" s="1">
        <v>38.700800000000001</v>
      </c>
      <c r="AL113" s="1">
        <v>22.611000000000001</v>
      </c>
      <c r="AM113" s="1"/>
      <c r="AN113" s="1">
        <f t="shared" si="42"/>
        <v>80</v>
      </c>
      <c r="AO113" s="1">
        <f t="shared" si="43"/>
        <v>40</v>
      </c>
      <c r="AP113" t="s">
        <v>275</v>
      </c>
    </row>
    <row r="114" spans="1:43" hidden="1" x14ac:dyDescent="0.25">
      <c r="A114" s="1" t="s">
        <v>276</v>
      </c>
      <c r="B114" s="1" t="s">
        <v>50</v>
      </c>
      <c r="C114" s="1">
        <v>53</v>
      </c>
      <c r="D114" s="1">
        <v>6</v>
      </c>
      <c r="E114" s="1">
        <v>10</v>
      </c>
      <c r="F114" s="1">
        <v>11</v>
      </c>
      <c r="G114" s="7">
        <v>0.3</v>
      </c>
      <c r="H114" s="1">
        <v>45</v>
      </c>
      <c r="I114" s="1" t="s">
        <v>43</v>
      </c>
      <c r="J114" s="1"/>
      <c r="K114" s="1">
        <v>142</v>
      </c>
      <c r="L114" s="1">
        <f t="shared" si="38"/>
        <v>-132</v>
      </c>
      <c r="M114" s="1">
        <f t="shared" si="39"/>
        <v>10</v>
      </c>
      <c r="N114" s="1"/>
      <c r="O114" s="1"/>
      <c r="P114" s="1"/>
      <c r="Q114" s="1">
        <v>0</v>
      </c>
      <c r="R114" s="1"/>
      <c r="S114" s="24"/>
      <c r="T114" s="1"/>
      <c r="U114" s="1"/>
      <c r="V114" s="24"/>
      <c r="W114" s="1">
        <f t="shared" si="40"/>
        <v>2</v>
      </c>
      <c r="X114" s="5">
        <f>12*W114-T114-Q114-P114-O114-F114</f>
        <v>13</v>
      </c>
      <c r="Y114" s="5">
        <f>X114</f>
        <v>13</v>
      </c>
      <c r="Z114" s="5">
        <f>Y114-AA114</f>
        <v>13</v>
      </c>
      <c r="AA114" s="5"/>
      <c r="AB114" s="1"/>
      <c r="AC114" s="1">
        <f t="shared" si="33"/>
        <v>12</v>
      </c>
      <c r="AD114" s="1">
        <f t="shared" si="41"/>
        <v>5.5</v>
      </c>
      <c r="AE114" s="1">
        <v>2</v>
      </c>
      <c r="AF114" s="1">
        <v>3.2</v>
      </c>
      <c r="AG114" s="1">
        <v>4</v>
      </c>
      <c r="AH114" s="1">
        <v>3.8</v>
      </c>
      <c r="AI114" s="1">
        <v>7.4</v>
      </c>
      <c r="AJ114" s="1">
        <v>15.4</v>
      </c>
      <c r="AK114" s="1">
        <v>15.2</v>
      </c>
      <c r="AL114" s="1">
        <v>5.8</v>
      </c>
      <c r="AM114" s="1"/>
      <c r="AN114" s="1">
        <f t="shared" si="42"/>
        <v>4</v>
      </c>
      <c r="AO114" s="1">
        <f t="shared" si="43"/>
        <v>0</v>
      </c>
      <c r="AP114" t="s">
        <v>277</v>
      </c>
    </row>
    <row r="115" spans="1:43" hidden="1" x14ac:dyDescent="0.25">
      <c r="A115" s="1" t="s">
        <v>278</v>
      </c>
      <c r="B115" s="1" t="s">
        <v>42</v>
      </c>
      <c r="C115" s="1">
        <v>22.251000000000001</v>
      </c>
      <c r="D115" s="1">
        <v>14.807</v>
      </c>
      <c r="E115" s="1">
        <v>2.76</v>
      </c>
      <c r="F115" s="1">
        <v>16.754999999999999</v>
      </c>
      <c r="G115" s="7">
        <v>1</v>
      </c>
      <c r="H115" s="1">
        <v>55</v>
      </c>
      <c r="I115" s="1" t="s">
        <v>43</v>
      </c>
      <c r="J115" s="1"/>
      <c r="K115" s="1">
        <v>18.899999999999999</v>
      </c>
      <c r="L115" s="1">
        <f t="shared" si="38"/>
        <v>-16.14</v>
      </c>
      <c r="M115" s="1">
        <f t="shared" si="39"/>
        <v>2.76</v>
      </c>
      <c r="N115" s="1"/>
      <c r="O115" s="1"/>
      <c r="P115" s="1"/>
      <c r="Q115" s="1">
        <v>0</v>
      </c>
      <c r="R115" s="1"/>
      <c r="S115" s="24"/>
      <c r="T115" s="1"/>
      <c r="U115" s="1"/>
      <c r="V115" s="24"/>
      <c r="W115" s="1">
        <f t="shared" si="40"/>
        <v>0.55199999999999994</v>
      </c>
      <c r="X115" s="5"/>
      <c r="Y115" s="5">
        <f>X115</f>
        <v>0</v>
      </c>
      <c r="Z115" s="5">
        <f>Y115-AA115</f>
        <v>0</v>
      </c>
      <c r="AA115" s="5"/>
      <c r="AB115" s="1"/>
      <c r="AC115" s="1">
        <f t="shared" si="33"/>
        <v>30.353260869565219</v>
      </c>
      <c r="AD115" s="1">
        <f t="shared" si="41"/>
        <v>30.353260869565219</v>
      </c>
      <c r="AE115" s="1">
        <v>0.55199999999999994</v>
      </c>
      <c r="AF115" s="1">
        <v>0</v>
      </c>
      <c r="AG115" s="1">
        <v>0</v>
      </c>
      <c r="AH115" s="1">
        <v>0</v>
      </c>
      <c r="AI115" s="1">
        <v>0.82919999999999994</v>
      </c>
      <c r="AJ115" s="1">
        <v>1.1052</v>
      </c>
      <c r="AK115" s="1">
        <v>0.27600000000000002</v>
      </c>
      <c r="AL115" s="1">
        <v>0</v>
      </c>
      <c r="AM115" s="12" t="s">
        <v>99</v>
      </c>
      <c r="AN115" s="1">
        <f t="shared" si="42"/>
        <v>0</v>
      </c>
      <c r="AO115" s="1">
        <f t="shared" si="43"/>
        <v>0</v>
      </c>
      <c r="AP115" t="s">
        <v>279</v>
      </c>
    </row>
    <row r="116" spans="1:43" hidden="1" x14ac:dyDescent="0.25">
      <c r="A116" s="1" t="s">
        <v>280</v>
      </c>
      <c r="B116" s="1" t="s">
        <v>50</v>
      </c>
      <c r="C116" s="1">
        <v>309</v>
      </c>
      <c r="D116" s="1">
        <v>408</v>
      </c>
      <c r="E116" s="1">
        <v>383</v>
      </c>
      <c r="F116" s="1">
        <v>176</v>
      </c>
      <c r="G116" s="7">
        <v>0.28000000000000003</v>
      </c>
      <c r="H116" s="1">
        <v>40</v>
      </c>
      <c r="I116" s="15" t="s">
        <v>106</v>
      </c>
      <c r="J116" s="1"/>
      <c r="K116" s="1">
        <v>497</v>
      </c>
      <c r="L116" s="1">
        <f t="shared" si="38"/>
        <v>-114</v>
      </c>
      <c r="M116" s="1">
        <f t="shared" si="39"/>
        <v>383</v>
      </c>
      <c r="N116" s="1"/>
      <c r="O116" s="1"/>
      <c r="P116" s="1"/>
      <c r="Q116" s="1">
        <v>193.82813751085709</v>
      </c>
      <c r="R116" s="1"/>
      <c r="S116" s="24"/>
      <c r="T116" s="1">
        <v>240.76409906057151</v>
      </c>
      <c r="U116" s="1"/>
      <c r="V116" s="24"/>
      <c r="W116" s="1">
        <f t="shared" si="40"/>
        <v>76.599999999999994</v>
      </c>
      <c r="X116" s="5">
        <f>12*W116-T116-Q116-P116-O116-F116</f>
        <v>308.60776342857127</v>
      </c>
      <c r="Y116" s="5">
        <f>X116</f>
        <v>308.60776342857127</v>
      </c>
      <c r="Z116" s="5">
        <f>Y116</f>
        <v>308.60776342857127</v>
      </c>
      <c r="AA116" s="5">
        <f>Y116*0.5</f>
        <v>154.30388171428564</v>
      </c>
      <c r="AB116" s="1"/>
      <c r="AC116" s="1">
        <f t="shared" si="33"/>
        <v>14.014410988437151</v>
      </c>
      <c r="AD116" s="1">
        <f t="shared" si="41"/>
        <v>7.9711780231257015</v>
      </c>
      <c r="AE116" s="1">
        <v>78.2</v>
      </c>
      <c r="AF116" s="1">
        <v>70.2</v>
      </c>
      <c r="AG116" s="1">
        <v>72</v>
      </c>
      <c r="AH116" s="1">
        <v>68.400000000000006</v>
      </c>
      <c r="AI116" s="1">
        <v>58.2</v>
      </c>
      <c r="AJ116" s="1">
        <v>83.8</v>
      </c>
      <c r="AK116" s="1">
        <v>89</v>
      </c>
      <c r="AL116" s="1">
        <v>60.4</v>
      </c>
      <c r="AM116" s="1"/>
      <c r="AN116" s="1">
        <f t="shared" si="42"/>
        <v>86</v>
      </c>
      <c r="AO116" s="1">
        <f t="shared" si="43"/>
        <v>43</v>
      </c>
      <c r="AP116" t="s">
        <v>281</v>
      </c>
    </row>
    <row r="117" spans="1:43" hidden="1" x14ac:dyDescent="0.25">
      <c r="A117" s="1" t="s">
        <v>282</v>
      </c>
      <c r="B117" s="1" t="s">
        <v>50</v>
      </c>
      <c r="C117" s="1">
        <v>-15.273999999999999</v>
      </c>
      <c r="D117" s="1">
        <v>44</v>
      </c>
      <c r="E117" s="1">
        <v>114</v>
      </c>
      <c r="F117" s="1">
        <v>-3.274</v>
      </c>
      <c r="G117" s="7">
        <v>0.28000000000000003</v>
      </c>
      <c r="H117" s="1">
        <v>40</v>
      </c>
      <c r="I117" s="15" t="s">
        <v>106</v>
      </c>
      <c r="J117" s="1"/>
      <c r="K117" s="1">
        <v>213</v>
      </c>
      <c r="L117" s="1">
        <f t="shared" si="38"/>
        <v>-99</v>
      </c>
      <c r="M117" s="1">
        <f t="shared" si="39"/>
        <v>114</v>
      </c>
      <c r="N117" s="1"/>
      <c r="O117" s="1">
        <v>185.01599999999999</v>
      </c>
      <c r="P117" s="1">
        <v>-186</v>
      </c>
      <c r="Q117" s="1">
        <v>200</v>
      </c>
      <c r="R117" s="1">
        <v>-203.99999999999997</v>
      </c>
      <c r="S117" s="24"/>
      <c r="T117" s="1"/>
      <c r="U117" s="1"/>
      <c r="V117" s="24"/>
      <c r="W117" s="1">
        <f t="shared" si="40"/>
        <v>22.8</v>
      </c>
      <c r="X117" s="5">
        <v>150</v>
      </c>
      <c r="Y117" s="5">
        <f>X117</f>
        <v>150</v>
      </c>
      <c r="Z117" s="5">
        <f>Y117</f>
        <v>150</v>
      </c>
      <c r="AA117" s="5">
        <f>Y117*0.5</f>
        <v>75</v>
      </c>
      <c r="AB117" s="1"/>
      <c r="AC117" s="1">
        <f t="shared" si="33"/>
        <v>9.5062280701754371</v>
      </c>
      <c r="AD117" s="1">
        <f t="shared" si="41"/>
        <v>8.5851754385964902</v>
      </c>
      <c r="AE117" s="1">
        <v>22.8</v>
      </c>
      <c r="AF117" s="1">
        <v>68.2</v>
      </c>
      <c r="AG117" s="1">
        <v>81.8</v>
      </c>
      <c r="AH117" s="1">
        <v>56.2</v>
      </c>
      <c r="AI117" s="1">
        <v>63.6</v>
      </c>
      <c r="AJ117" s="1">
        <v>109</v>
      </c>
      <c r="AK117" s="1">
        <v>91.4</v>
      </c>
      <c r="AL117" s="1">
        <v>49.0548</v>
      </c>
      <c r="AM117" s="1"/>
      <c r="AN117" s="1">
        <f t="shared" si="42"/>
        <v>42</v>
      </c>
      <c r="AO117" s="1">
        <f t="shared" si="43"/>
        <v>21</v>
      </c>
      <c r="AP117" t="s">
        <v>283</v>
      </c>
    </row>
    <row r="118" spans="1:43" hidden="1" x14ac:dyDescent="0.25">
      <c r="A118" s="1" t="s">
        <v>284</v>
      </c>
      <c r="B118" s="1" t="s">
        <v>50</v>
      </c>
      <c r="C118" s="1">
        <v>534.5</v>
      </c>
      <c r="D118" s="1">
        <v>355</v>
      </c>
      <c r="E118" s="1">
        <v>546</v>
      </c>
      <c r="F118" s="1">
        <v>25.5</v>
      </c>
      <c r="G118" s="7">
        <v>0.28000000000000003</v>
      </c>
      <c r="H118" s="1">
        <v>40</v>
      </c>
      <c r="I118" s="15" t="s">
        <v>106</v>
      </c>
      <c r="J118" s="1"/>
      <c r="K118" s="1">
        <v>780</v>
      </c>
      <c r="L118" s="1">
        <f t="shared" si="38"/>
        <v>-234</v>
      </c>
      <c r="M118" s="1">
        <f t="shared" si="39"/>
        <v>546</v>
      </c>
      <c r="N118" s="1"/>
      <c r="O118" s="1">
        <v>130</v>
      </c>
      <c r="P118" s="1">
        <v>-132</v>
      </c>
      <c r="Q118" s="1">
        <v>250</v>
      </c>
      <c r="R118" s="1"/>
      <c r="S118" s="24"/>
      <c r="T118" s="1"/>
      <c r="U118" s="1"/>
      <c r="V118" s="24"/>
      <c r="W118" s="1">
        <f t="shared" si="40"/>
        <v>109.2</v>
      </c>
      <c r="X118" s="5">
        <v>250</v>
      </c>
      <c r="Y118" s="5">
        <f>X118</f>
        <v>250</v>
      </c>
      <c r="Z118" s="5">
        <f>Y118</f>
        <v>250</v>
      </c>
      <c r="AA118" s="5">
        <f>Y118*0.5</f>
        <v>125</v>
      </c>
      <c r="AB118" s="1"/>
      <c r="AC118" s="1">
        <f t="shared" si="33"/>
        <v>5.9386446886446889</v>
      </c>
      <c r="AD118" s="1">
        <f t="shared" si="41"/>
        <v>2.5045787545787546</v>
      </c>
      <c r="AE118" s="1">
        <v>110.4</v>
      </c>
      <c r="AF118" s="1">
        <v>107.2</v>
      </c>
      <c r="AG118" s="1">
        <v>111.6</v>
      </c>
      <c r="AH118" s="1">
        <v>111.6</v>
      </c>
      <c r="AI118" s="1">
        <v>95.6</v>
      </c>
      <c r="AJ118" s="1">
        <v>123.2</v>
      </c>
      <c r="AK118" s="1">
        <v>137</v>
      </c>
      <c r="AL118" s="1">
        <v>87.1</v>
      </c>
      <c r="AM118" s="1"/>
      <c r="AN118" s="1">
        <f t="shared" si="42"/>
        <v>70</v>
      </c>
      <c r="AO118" s="1">
        <f t="shared" si="43"/>
        <v>35</v>
      </c>
      <c r="AP118" t="s">
        <v>285</v>
      </c>
    </row>
    <row r="119" spans="1:43" hidden="1" x14ac:dyDescent="0.25">
      <c r="A119" s="1" t="s">
        <v>286</v>
      </c>
      <c r="B119" s="1" t="s">
        <v>50</v>
      </c>
      <c r="C119" s="1">
        <v>67</v>
      </c>
      <c r="D119" s="1">
        <v>182</v>
      </c>
      <c r="E119" s="1">
        <v>101</v>
      </c>
      <c r="F119" s="1">
        <v>22</v>
      </c>
      <c r="G119" s="7">
        <v>0.09</v>
      </c>
      <c r="H119" s="1">
        <v>45</v>
      </c>
      <c r="I119" s="14" t="s">
        <v>54</v>
      </c>
      <c r="J119" s="1"/>
      <c r="K119" s="1">
        <v>218</v>
      </c>
      <c r="L119" s="1">
        <f t="shared" si="38"/>
        <v>-117</v>
      </c>
      <c r="M119" s="1">
        <f t="shared" si="39"/>
        <v>101</v>
      </c>
      <c r="N119" s="1"/>
      <c r="O119" s="1"/>
      <c r="P119" s="1"/>
      <c r="Q119" s="1">
        <v>126.18</v>
      </c>
      <c r="R119" s="1"/>
      <c r="S119" s="24"/>
      <c r="T119" s="1"/>
      <c r="U119" s="1"/>
      <c r="V119" s="24"/>
      <c r="W119" s="1">
        <f t="shared" si="40"/>
        <v>20.2</v>
      </c>
      <c r="X119" s="5">
        <f>12*W119-T119-Q119-P119-O119-F119</f>
        <v>94.21999999999997</v>
      </c>
      <c r="Y119" s="5">
        <f>X119+700</f>
        <v>794.22</v>
      </c>
      <c r="Z119" s="5">
        <f t="shared" ref="Z119:Z128" si="45">Y119-AA119</f>
        <v>794.22</v>
      </c>
      <c r="AA119" s="5"/>
      <c r="AB119" s="1" t="str">
        <f>VLOOKUP(A119,[2]Sheet!$A:$U,21,0)</f>
        <v xml:space="preserve">700 сеть молоко </v>
      </c>
      <c r="AC119" s="1">
        <f t="shared" si="33"/>
        <v>46.653465346534659</v>
      </c>
      <c r="AD119" s="1">
        <f t="shared" si="41"/>
        <v>7.3356435643564364</v>
      </c>
      <c r="AE119" s="1">
        <v>22.8</v>
      </c>
      <c r="AF119" s="1">
        <v>17.399999999999999</v>
      </c>
      <c r="AG119" s="1">
        <v>12.2</v>
      </c>
      <c r="AH119" s="1">
        <v>15.6</v>
      </c>
      <c r="AI119" s="1">
        <v>14.2</v>
      </c>
      <c r="AJ119" s="1">
        <v>12.2</v>
      </c>
      <c r="AK119" s="1">
        <v>13.2</v>
      </c>
      <c r="AL119" s="1">
        <v>5.4</v>
      </c>
      <c r="AM119" s="1" t="s">
        <v>287</v>
      </c>
      <c r="AN119" s="1">
        <f t="shared" si="42"/>
        <v>71</v>
      </c>
      <c r="AO119" s="1">
        <f t="shared" si="43"/>
        <v>0</v>
      </c>
      <c r="AP119" t="s">
        <v>288</v>
      </c>
    </row>
    <row r="120" spans="1:43" hidden="1" x14ac:dyDescent="0.25">
      <c r="A120" s="9" t="s">
        <v>289</v>
      </c>
      <c r="B120" s="9" t="s">
        <v>42</v>
      </c>
      <c r="C120" s="9">
        <v>-0.09</v>
      </c>
      <c r="D120" s="9"/>
      <c r="E120" s="9"/>
      <c r="F120" s="9">
        <v>-0.09</v>
      </c>
      <c r="G120" s="10">
        <v>0</v>
      </c>
      <c r="H120" s="9">
        <v>55</v>
      </c>
      <c r="I120" s="9" t="s">
        <v>67</v>
      </c>
      <c r="J120" s="9"/>
      <c r="K120" s="9"/>
      <c r="L120" s="9">
        <f t="shared" si="38"/>
        <v>0</v>
      </c>
      <c r="M120" s="9">
        <f t="shared" si="39"/>
        <v>0</v>
      </c>
      <c r="N120" s="9"/>
      <c r="O120" s="9"/>
      <c r="P120" s="9"/>
      <c r="Q120" s="9">
        <v>0</v>
      </c>
      <c r="R120" s="9"/>
      <c r="S120" s="27"/>
      <c r="T120" s="9"/>
      <c r="U120" s="9"/>
      <c r="V120" s="27"/>
      <c r="W120" s="9">
        <f t="shared" si="40"/>
        <v>0</v>
      </c>
      <c r="X120" s="11"/>
      <c r="Y120" s="5">
        <f>X120</f>
        <v>0</v>
      </c>
      <c r="Z120" s="5">
        <f t="shared" si="45"/>
        <v>0</v>
      </c>
      <c r="AA120" s="5"/>
      <c r="AB120" s="1"/>
      <c r="AC120" s="1" t="e">
        <f t="shared" si="33"/>
        <v>#DIV/0!</v>
      </c>
      <c r="AD120" s="9" t="e">
        <f t="shared" si="41"/>
        <v>#DIV/0!</v>
      </c>
      <c r="AE120" s="9">
        <v>0</v>
      </c>
      <c r="AF120" s="9">
        <v>0</v>
      </c>
      <c r="AG120" s="9">
        <v>2.1854</v>
      </c>
      <c r="AH120" s="9">
        <v>2.1854</v>
      </c>
      <c r="AI120" s="9">
        <v>1.3512</v>
      </c>
      <c r="AJ120" s="9">
        <v>2.4342000000000001</v>
      </c>
      <c r="AK120" s="9">
        <v>1.6259999999999999</v>
      </c>
      <c r="AL120" s="9">
        <v>1.085</v>
      </c>
      <c r="AM120" s="9"/>
      <c r="AN120" s="1">
        <f t="shared" si="42"/>
        <v>0</v>
      </c>
      <c r="AO120" s="1">
        <f t="shared" si="43"/>
        <v>0</v>
      </c>
    </row>
    <row r="121" spans="1:43" hidden="1" x14ac:dyDescent="0.25">
      <c r="A121" s="1" t="s">
        <v>290</v>
      </c>
      <c r="B121" s="1" t="s">
        <v>42</v>
      </c>
      <c r="C121" s="1">
        <v>125.17700000000001</v>
      </c>
      <c r="D121" s="1"/>
      <c r="E121" s="1">
        <v>27.283999999999999</v>
      </c>
      <c r="F121" s="1">
        <v>75.736000000000004</v>
      </c>
      <c r="G121" s="7">
        <v>1</v>
      </c>
      <c r="H121" s="1">
        <v>60</v>
      </c>
      <c r="I121" s="1" t="s">
        <v>43</v>
      </c>
      <c r="J121" s="1"/>
      <c r="K121" s="1">
        <v>42.5</v>
      </c>
      <c r="L121" s="1">
        <f t="shared" si="38"/>
        <v>-15.216000000000001</v>
      </c>
      <c r="M121" s="1">
        <f t="shared" si="39"/>
        <v>27.283999999999999</v>
      </c>
      <c r="N121" s="1"/>
      <c r="O121" s="1"/>
      <c r="P121" s="1"/>
      <c r="Q121" s="1">
        <v>0</v>
      </c>
      <c r="R121" s="1"/>
      <c r="S121" s="24"/>
      <c r="T121" s="1"/>
      <c r="U121" s="1"/>
      <c r="V121" s="24"/>
      <c r="W121" s="1">
        <f t="shared" si="40"/>
        <v>5.4567999999999994</v>
      </c>
      <c r="X121" s="5"/>
      <c r="Y121" s="5">
        <f>X121</f>
        <v>0</v>
      </c>
      <c r="Z121" s="5">
        <f t="shared" si="45"/>
        <v>0</v>
      </c>
      <c r="AA121" s="5"/>
      <c r="AB121" s="1"/>
      <c r="AC121" s="1">
        <f t="shared" si="33"/>
        <v>13.87919659873919</v>
      </c>
      <c r="AD121" s="1">
        <f t="shared" si="41"/>
        <v>13.87919659873919</v>
      </c>
      <c r="AE121" s="1">
        <v>5.4567999999999994</v>
      </c>
      <c r="AF121" s="1">
        <v>8.9201999999999995</v>
      </c>
      <c r="AG121" s="1">
        <v>6.9382000000000001</v>
      </c>
      <c r="AH121" s="1">
        <v>6.2747999999999999</v>
      </c>
      <c r="AI121" s="1">
        <v>10.271599999999999</v>
      </c>
      <c r="AJ121" s="1">
        <v>16.718</v>
      </c>
      <c r="AK121" s="1">
        <v>14.504</v>
      </c>
      <c r="AL121" s="1">
        <v>5.6520000000000001</v>
      </c>
      <c r="AM121" s="12" t="s">
        <v>99</v>
      </c>
      <c r="AN121" s="1">
        <f t="shared" si="42"/>
        <v>0</v>
      </c>
      <c r="AO121" s="1">
        <f t="shared" si="43"/>
        <v>0</v>
      </c>
      <c r="AP121" t="s">
        <v>291</v>
      </c>
    </row>
    <row r="122" spans="1:43" hidden="1" x14ac:dyDescent="0.25">
      <c r="A122" s="1" t="s">
        <v>292</v>
      </c>
      <c r="B122" s="1" t="s">
        <v>42</v>
      </c>
      <c r="C122" s="1">
        <v>41.155999999999999</v>
      </c>
      <c r="D122" s="1"/>
      <c r="E122" s="1">
        <v>12.425000000000001</v>
      </c>
      <c r="F122" s="1">
        <v>33.710999999999999</v>
      </c>
      <c r="G122" s="7">
        <v>1</v>
      </c>
      <c r="H122" s="1">
        <v>50</v>
      </c>
      <c r="I122" s="1" t="s">
        <v>43</v>
      </c>
      <c r="J122" s="1"/>
      <c r="K122" s="1">
        <v>2.5</v>
      </c>
      <c r="L122" s="1">
        <f t="shared" si="38"/>
        <v>9.9250000000000007</v>
      </c>
      <c r="M122" s="1">
        <f t="shared" si="39"/>
        <v>12.425000000000001</v>
      </c>
      <c r="N122" s="1"/>
      <c r="O122" s="1"/>
      <c r="P122" s="1"/>
      <c r="Q122" s="1">
        <v>0</v>
      </c>
      <c r="R122" s="1"/>
      <c r="S122" s="24"/>
      <c r="T122" s="1"/>
      <c r="U122" s="1"/>
      <c r="V122" s="24"/>
      <c r="W122" s="1">
        <f t="shared" si="40"/>
        <v>2.4850000000000003</v>
      </c>
      <c r="X122" s="5"/>
      <c r="Y122" s="5">
        <f>X122</f>
        <v>0</v>
      </c>
      <c r="Z122" s="5">
        <f t="shared" si="45"/>
        <v>0</v>
      </c>
      <c r="AA122" s="5"/>
      <c r="AB122" s="1"/>
      <c r="AC122" s="1">
        <f t="shared" si="33"/>
        <v>13.565794768611667</v>
      </c>
      <c r="AD122" s="1">
        <f t="shared" si="41"/>
        <v>13.565794768611667</v>
      </c>
      <c r="AE122" s="1">
        <v>2.4849999999999999</v>
      </c>
      <c r="AF122" s="1">
        <v>3.984</v>
      </c>
      <c r="AG122" s="1">
        <v>3.3889999999999998</v>
      </c>
      <c r="AH122" s="1">
        <v>4.8133999999999997</v>
      </c>
      <c r="AI122" s="1">
        <v>2.9209999999999998</v>
      </c>
      <c r="AJ122" s="1">
        <v>5.9039999999999999</v>
      </c>
      <c r="AK122" s="1">
        <v>10.317399999999999</v>
      </c>
      <c r="AL122" s="1">
        <v>4.4803999999999977</v>
      </c>
      <c r="AM122" s="1"/>
      <c r="AN122" s="1">
        <f t="shared" si="42"/>
        <v>0</v>
      </c>
      <c r="AO122" s="1">
        <f t="shared" si="43"/>
        <v>0</v>
      </c>
      <c r="AP122" t="s">
        <v>293</v>
      </c>
    </row>
    <row r="123" spans="1:43" hidden="1" x14ac:dyDescent="0.25">
      <c r="A123" s="1" t="s">
        <v>294</v>
      </c>
      <c r="B123" s="1" t="s">
        <v>50</v>
      </c>
      <c r="C123" s="1">
        <v>352</v>
      </c>
      <c r="D123" s="1">
        <v>15</v>
      </c>
      <c r="E123" s="1">
        <v>55</v>
      </c>
      <c r="F123" s="1">
        <v>250</v>
      </c>
      <c r="G123" s="7">
        <v>0.09</v>
      </c>
      <c r="H123" s="1">
        <v>45</v>
      </c>
      <c r="I123" s="14" t="s">
        <v>54</v>
      </c>
      <c r="J123" s="1"/>
      <c r="K123" s="1">
        <v>120</v>
      </c>
      <c r="L123" s="1">
        <f t="shared" si="38"/>
        <v>-65</v>
      </c>
      <c r="M123" s="1">
        <f t="shared" si="39"/>
        <v>55</v>
      </c>
      <c r="N123" s="1"/>
      <c r="O123" s="1"/>
      <c r="P123" s="1"/>
      <c r="Q123" s="1">
        <v>0</v>
      </c>
      <c r="R123" s="1"/>
      <c r="S123" s="24"/>
      <c r="T123" s="1"/>
      <c r="U123" s="1"/>
      <c r="V123" s="24"/>
      <c r="W123" s="1">
        <f t="shared" si="40"/>
        <v>11</v>
      </c>
      <c r="X123" s="5"/>
      <c r="Y123" s="5">
        <f>X123+400</f>
        <v>400</v>
      </c>
      <c r="Z123" s="5">
        <f t="shared" si="45"/>
        <v>400</v>
      </c>
      <c r="AA123" s="5"/>
      <c r="AB123" s="1" t="str">
        <f>VLOOKUP(A123,[2]Sheet!$A:$U,21,0)</f>
        <v xml:space="preserve">500 сеть молоко </v>
      </c>
      <c r="AC123" s="1">
        <f t="shared" si="33"/>
        <v>59.090909090909093</v>
      </c>
      <c r="AD123" s="1">
        <f t="shared" si="41"/>
        <v>22.727272727272727</v>
      </c>
      <c r="AE123" s="1">
        <v>11</v>
      </c>
      <c r="AF123" s="1">
        <v>11.2</v>
      </c>
      <c r="AG123" s="1">
        <v>16.2</v>
      </c>
      <c r="AH123" s="1">
        <v>19.399999999999999</v>
      </c>
      <c r="AI123" s="1">
        <v>14.4</v>
      </c>
      <c r="AJ123" s="1">
        <v>11.6</v>
      </c>
      <c r="AK123" s="1">
        <v>13.8</v>
      </c>
      <c r="AL123" s="1">
        <v>8.8000000000000007</v>
      </c>
      <c r="AM123" s="17" t="s">
        <v>295</v>
      </c>
      <c r="AN123" s="1">
        <f t="shared" si="42"/>
        <v>36</v>
      </c>
      <c r="AO123" s="1">
        <f t="shared" si="43"/>
        <v>0</v>
      </c>
      <c r="AP123" t="s">
        <v>296</v>
      </c>
    </row>
    <row r="124" spans="1:43" hidden="1" x14ac:dyDescent="0.25">
      <c r="A124" s="1" t="s">
        <v>297</v>
      </c>
      <c r="B124" s="1" t="s">
        <v>50</v>
      </c>
      <c r="C124" s="1">
        <v>298</v>
      </c>
      <c r="D124" s="1">
        <v>59</v>
      </c>
      <c r="E124" s="1">
        <v>82</v>
      </c>
      <c r="F124" s="1">
        <v>239</v>
      </c>
      <c r="G124" s="7">
        <v>0.09</v>
      </c>
      <c r="H124" s="1">
        <v>45</v>
      </c>
      <c r="I124" s="14" t="s">
        <v>54</v>
      </c>
      <c r="J124" s="1"/>
      <c r="K124" s="1">
        <v>110</v>
      </c>
      <c r="L124" s="1">
        <f t="shared" si="38"/>
        <v>-28</v>
      </c>
      <c r="M124" s="1">
        <f t="shared" si="39"/>
        <v>82</v>
      </c>
      <c r="N124" s="1"/>
      <c r="O124" s="1"/>
      <c r="P124" s="1"/>
      <c r="Q124" s="1">
        <v>0</v>
      </c>
      <c r="R124" s="1"/>
      <c r="S124" s="24"/>
      <c r="T124" s="1"/>
      <c r="U124" s="1"/>
      <c r="V124" s="24"/>
      <c r="W124" s="1">
        <f t="shared" si="40"/>
        <v>16.399999999999999</v>
      </c>
      <c r="X124" s="5"/>
      <c r="Y124" s="5">
        <f>X124+500</f>
        <v>500</v>
      </c>
      <c r="Z124" s="5">
        <f t="shared" si="45"/>
        <v>500</v>
      </c>
      <c r="AA124" s="5"/>
      <c r="AB124" s="1" t="str">
        <f>VLOOKUP(A124,[2]Sheet!$A:$U,21,0)</f>
        <v xml:space="preserve">500 сеть молоко </v>
      </c>
      <c r="AC124" s="1">
        <f t="shared" si="33"/>
        <v>45.060975609756099</v>
      </c>
      <c r="AD124" s="1">
        <f t="shared" si="41"/>
        <v>14.573170731707318</v>
      </c>
      <c r="AE124" s="1">
        <v>16.399999999999999</v>
      </c>
      <c r="AF124" s="1">
        <v>18.8</v>
      </c>
      <c r="AG124" s="1">
        <v>15.4</v>
      </c>
      <c r="AH124" s="1">
        <v>16.2</v>
      </c>
      <c r="AI124" s="1">
        <v>9</v>
      </c>
      <c r="AJ124" s="1">
        <v>10.199999999999999</v>
      </c>
      <c r="AK124" s="1">
        <v>17.399999999999999</v>
      </c>
      <c r="AL124" s="1">
        <v>9.8000000000000007</v>
      </c>
      <c r="AM124" s="1" t="s">
        <v>248</v>
      </c>
      <c r="AN124" s="1">
        <f t="shared" si="42"/>
        <v>45</v>
      </c>
      <c r="AO124" s="1">
        <f t="shared" si="43"/>
        <v>0</v>
      </c>
      <c r="AP124" t="s">
        <v>298</v>
      </c>
    </row>
    <row r="125" spans="1:43" hidden="1" x14ac:dyDescent="0.25">
      <c r="A125" s="1" t="s">
        <v>299</v>
      </c>
      <c r="B125" s="1" t="s">
        <v>42</v>
      </c>
      <c r="C125" s="1">
        <v>32.576000000000001</v>
      </c>
      <c r="D125" s="1">
        <v>244.29300000000001</v>
      </c>
      <c r="E125" s="1">
        <v>77.186999999999998</v>
      </c>
      <c r="F125" s="1">
        <v>169.49</v>
      </c>
      <c r="G125" s="7">
        <v>1</v>
      </c>
      <c r="H125" s="1">
        <v>60</v>
      </c>
      <c r="I125" s="1" t="s">
        <v>43</v>
      </c>
      <c r="J125" s="1"/>
      <c r="K125" s="1">
        <v>98.882000000000005</v>
      </c>
      <c r="L125" s="1">
        <f t="shared" si="38"/>
        <v>-21.695000000000007</v>
      </c>
      <c r="M125" s="1">
        <f t="shared" si="39"/>
        <v>77.186999999999998</v>
      </c>
      <c r="N125" s="1"/>
      <c r="O125" s="1"/>
      <c r="P125" s="1"/>
      <c r="Q125" s="1">
        <v>150</v>
      </c>
      <c r="R125" s="1"/>
      <c r="S125" s="24"/>
      <c r="T125" s="1"/>
      <c r="U125" s="1"/>
      <c r="V125" s="24"/>
      <c r="W125" s="1">
        <f t="shared" si="40"/>
        <v>15.4374</v>
      </c>
      <c r="X125" s="5"/>
      <c r="Y125" s="5">
        <f>X125</f>
        <v>0</v>
      </c>
      <c r="Z125" s="5">
        <f t="shared" si="45"/>
        <v>0</v>
      </c>
      <c r="AA125" s="5"/>
      <c r="AB125" s="1"/>
      <c r="AC125" s="1">
        <f t="shared" si="33"/>
        <v>20.695842564162358</v>
      </c>
      <c r="AD125" s="1">
        <f t="shared" si="41"/>
        <v>20.695842564162358</v>
      </c>
      <c r="AE125" s="1">
        <v>15.4374</v>
      </c>
      <c r="AF125" s="1">
        <v>20.627600000000001</v>
      </c>
      <c r="AG125" s="1">
        <v>16.761399999999998</v>
      </c>
      <c r="AH125" s="1">
        <v>9.4372000000000007</v>
      </c>
      <c r="AI125" s="1">
        <v>6.8977999999999993</v>
      </c>
      <c r="AJ125" s="1">
        <v>9.4394000000000009</v>
      </c>
      <c r="AK125" s="1">
        <v>15.491400000000001</v>
      </c>
      <c r="AL125" s="1">
        <v>11.78399999999999</v>
      </c>
      <c r="AM125" s="17" t="s">
        <v>300</v>
      </c>
      <c r="AN125" s="1">
        <f t="shared" si="42"/>
        <v>0</v>
      </c>
      <c r="AO125" s="1">
        <f t="shared" si="43"/>
        <v>0</v>
      </c>
      <c r="AP125" t="s">
        <v>301</v>
      </c>
    </row>
    <row r="126" spans="1:43" hidden="1" x14ac:dyDescent="0.25">
      <c r="A126" s="1" t="s">
        <v>302</v>
      </c>
      <c r="B126" s="1" t="s">
        <v>42</v>
      </c>
      <c r="C126" s="1">
        <v>434.37</v>
      </c>
      <c r="D126" s="1">
        <v>1002.655</v>
      </c>
      <c r="E126" s="1">
        <v>648.61900000000003</v>
      </c>
      <c r="F126" s="1">
        <v>766.62599999999998</v>
      </c>
      <c r="G126" s="7">
        <v>1</v>
      </c>
      <c r="H126" s="1">
        <v>60</v>
      </c>
      <c r="I126" s="1" t="s">
        <v>43</v>
      </c>
      <c r="J126" s="1"/>
      <c r="K126" s="1">
        <v>701.15800000000002</v>
      </c>
      <c r="L126" s="1">
        <f t="shared" si="38"/>
        <v>-52.538999999999987</v>
      </c>
      <c r="M126" s="1">
        <f t="shared" si="39"/>
        <v>648.61900000000003</v>
      </c>
      <c r="N126" s="1"/>
      <c r="O126" s="1">
        <v>359.30493247999999</v>
      </c>
      <c r="P126" s="1"/>
      <c r="Q126" s="1">
        <v>400</v>
      </c>
      <c r="R126" s="1"/>
      <c r="S126" s="24"/>
      <c r="T126" s="1"/>
      <c r="U126" s="1"/>
      <c r="V126" s="24"/>
      <c r="W126" s="1">
        <f t="shared" si="40"/>
        <v>129.72380000000001</v>
      </c>
      <c r="X126" s="5">
        <f>12*W126-T126-Q126-P126-O126-F126</f>
        <v>30.754667520000339</v>
      </c>
      <c r="Y126" s="5">
        <v>0</v>
      </c>
      <c r="Z126" s="5">
        <f t="shared" si="45"/>
        <v>0</v>
      </c>
      <c r="AA126" s="5"/>
      <c r="AB126" s="1"/>
      <c r="AC126" s="1">
        <f t="shared" si="33"/>
        <v>11.762921934756767</v>
      </c>
      <c r="AD126" s="1">
        <f t="shared" si="41"/>
        <v>11.762921934756767</v>
      </c>
      <c r="AE126" s="1">
        <v>131.09280000000001</v>
      </c>
      <c r="AF126" s="1">
        <v>145.64699999999999</v>
      </c>
      <c r="AG126" s="1">
        <v>115.8732</v>
      </c>
      <c r="AH126" s="1">
        <v>76.514800000000008</v>
      </c>
      <c r="AI126" s="1">
        <v>92.683799999999991</v>
      </c>
      <c r="AJ126" s="1">
        <v>121.5682</v>
      </c>
      <c r="AK126" s="1">
        <v>123.7212</v>
      </c>
      <c r="AL126" s="1">
        <v>82.874800000000008</v>
      </c>
      <c r="AM126" s="1"/>
      <c r="AN126" s="1">
        <f t="shared" si="42"/>
        <v>0</v>
      </c>
      <c r="AO126" s="1">
        <f t="shared" si="43"/>
        <v>0</v>
      </c>
      <c r="AP126" t="s">
        <v>303</v>
      </c>
    </row>
    <row r="127" spans="1:43" hidden="1" x14ac:dyDescent="0.25">
      <c r="A127" s="1" t="s">
        <v>304</v>
      </c>
      <c r="B127" s="1" t="s">
        <v>42</v>
      </c>
      <c r="C127" s="1">
        <v>193.464</v>
      </c>
      <c r="D127" s="1">
        <v>2.73</v>
      </c>
      <c r="E127" s="1">
        <v>46.12</v>
      </c>
      <c r="F127" s="1">
        <v>132.01900000000001</v>
      </c>
      <c r="G127" s="7">
        <v>1</v>
      </c>
      <c r="H127" s="1">
        <v>60</v>
      </c>
      <c r="I127" s="1" t="s">
        <v>43</v>
      </c>
      <c r="J127" s="1"/>
      <c r="K127" s="1">
        <v>54.67</v>
      </c>
      <c r="L127" s="1">
        <f t="shared" si="38"/>
        <v>-8.5500000000000043</v>
      </c>
      <c r="M127" s="1">
        <f t="shared" si="39"/>
        <v>46.12</v>
      </c>
      <c r="N127" s="1"/>
      <c r="O127" s="1"/>
      <c r="P127" s="1"/>
      <c r="Q127" s="1">
        <v>0</v>
      </c>
      <c r="R127" s="1"/>
      <c r="S127" s="24"/>
      <c r="T127" s="1"/>
      <c r="U127" s="1"/>
      <c r="V127" s="24"/>
      <c r="W127" s="1">
        <f t="shared" si="40"/>
        <v>9.2240000000000002</v>
      </c>
      <c r="X127" s="5"/>
      <c r="Y127" s="5">
        <f>X127</f>
        <v>0</v>
      </c>
      <c r="Z127" s="5">
        <f t="shared" si="45"/>
        <v>0</v>
      </c>
      <c r="AA127" s="5"/>
      <c r="AB127" s="1"/>
      <c r="AC127" s="1">
        <f t="shared" si="33"/>
        <v>14.31255420641804</v>
      </c>
      <c r="AD127" s="1">
        <f t="shared" si="41"/>
        <v>14.31255420641804</v>
      </c>
      <c r="AE127" s="1">
        <v>9.2240000000000002</v>
      </c>
      <c r="AF127" s="1">
        <v>16.507400000000001</v>
      </c>
      <c r="AG127" s="1">
        <v>16.0214</v>
      </c>
      <c r="AH127" s="1">
        <v>12.3848</v>
      </c>
      <c r="AI127" s="1">
        <v>9.4190000000000005</v>
      </c>
      <c r="AJ127" s="1">
        <v>12.1662</v>
      </c>
      <c r="AK127" s="1">
        <v>14.089600000000001</v>
      </c>
      <c r="AL127" s="1">
        <v>13.230600000000001</v>
      </c>
      <c r="AM127" s="1" t="s">
        <v>305</v>
      </c>
      <c r="AN127" s="1">
        <f t="shared" si="42"/>
        <v>0</v>
      </c>
      <c r="AO127" s="1">
        <f t="shared" si="43"/>
        <v>0</v>
      </c>
      <c r="AP127" t="s">
        <v>306</v>
      </c>
    </row>
    <row r="128" spans="1:43" x14ac:dyDescent="0.25">
      <c r="A128" s="23" t="s">
        <v>77</v>
      </c>
      <c r="B128" s="1" t="s">
        <v>42</v>
      </c>
      <c r="C128" s="1">
        <v>1845.1659999999999</v>
      </c>
      <c r="D128" s="1">
        <v>996.54700000000003</v>
      </c>
      <c r="E128" s="13">
        <f>1306.53+E19</f>
        <v>1308.2850000000001</v>
      </c>
      <c r="F128" s="13">
        <f>1441.45+F19</f>
        <v>1413.9570000000001</v>
      </c>
      <c r="G128" s="7">
        <v>1</v>
      </c>
      <c r="H128" s="1">
        <v>60</v>
      </c>
      <c r="I128" s="1" t="s">
        <v>43</v>
      </c>
      <c r="J128" s="1"/>
      <c r="K128" s="1">
        <v>1006.999</v>
      </c>
      <c r="L128" s="1">
        <f t="shared" si="38"/>
        <v>301.28600000000006</v>
      </c>
      <c r="M128" s="1">
        <f t="shared" si="39"/>
        <v>1308.2850000000001</v>
      </c>
      <c r="N128" s="1"/>
      <c r="O128" s="1">
        <v>698.08860160000006</v>
      </c>
      <c r="P128" s="1"/>
      <c r="Q128" s="1">
        <v>291.82695192000011</v>
      </c>
      <c r="R128" s="1"/>
      <c r="S128" s="24">
        <v>200</v>
      </c>
      <c r="T128" s="1">
        <v>362.49356808000022</v>
      </c>
      <c r="U128" s="1"/>
      <c r="V128" s="24">
        <v>200</v>
      </c>
      <c r="W128" s="1">
        <f t="shared" si="40"/>
        <v>261.65700000000004</v>
      </c>
      <c r="X128" s="5">
        <f>12*W128-T128-Q128-P128-O128-F128</f>
        <v>373.51787839999974</v>
      </c>
      <c r="Y128" s="5">
        <f>X128+$Y$1*W128</f>
        <v>629.94173839999985</v>
      </c>
      <c r="Z128" s="5">
        <f t="shared" si="45"/>
        <v>629.94173839999985</v>
      </c>
      <c r="AA128" s="5"/>
      <c r="AB128" s="1"/>
      <c r="AC128" s="1">
        <f t="shared" si="33"/>
        <v>14.508718895347727</v>
      </c>
      <c r="AD128" s="1">
        <f t="shared" si="41"/>
        <v>10.572490403849317</v>
      </c>
      <c r="AE128" s="1">
        <v>263.20299999999997</v>
      </c>
      <c r="AF128" s="1">
        <v>260.8614</v>
      </c>
      <c r="AG128" s="1">
        <v>157.86420000000001</v>
      </c>
      <c r="AH128" s="1">
        <v>170.6746</v>
      </c>
      <c r="AI128" s="1">
        <v>196.4392</v>
      </c>
      <c r="AJ128" s="1">
        <v>182.04040000000001</v>
      </c>
      <c r="AK128" s="1">
        <v>202.87360000000001</v>
      </c>
      <c r="AL128" s="1">
        <v>154.0368</v>
      </c>
      <c r="AM128" s="1"/>
      <c r="AN128" s="1">
        <f t="shared" si="42"/>
        <v>630</v>
      </c>
      <c r="AO128" s="1">
        <f t="shared" si="43"/>
        <v>0</v>
      </c>
      <c r="AP128" t="s">
        <v>78</v>
      </c>
      <c r="AQ128" t="str">
        <f>VLOOKUP(AP128,[1]Лист1!$A:$A,1,0)</f>
        <v>SU004238</v>
      </c>
    </row>
    <row r="129" spans="1:42" hidden="1" x14ac:dyDescent="0.25">
      <c r="A129" s="1" t="s">
        <v>307</v>
      </c>
      <c r="B129" s="1" t="s">
        <v>50</v>
      </c>
      <c r="C129" s="1">
        <v>59</v>
      </c>
      <c r="D129" s="1">
        <v>2</v>
      </c>
      <c r="E129" s="1">
        <v>31</v>
      </c>
      <c r="F129" s="1">
        <v>39</v>
      </c>
      <c r="G129" s="7">
        <v>0.25</v>
      </c>
      <c r="H129" s="1"/>
      <c r="I129" s="15" t="s">
        <v>106</v>
      </c>
      <c r="J129" s="1"/>
      <c r="K129" s="1">
        <v>19</v>
      </c>
      <c r="L129" s="1">
        <f t="shared" si="38"/>
        <v>12</v>
      </c>
      <c r="M129" s="1">
        <f t="shared" si="39"/>
        <v>31</v>
      </c>
      <c r="N129" s="1"/>
      <c r="O129" s="1"/>
      <c r="P129" s="1"/>
      <c r="Q129" s="1">
        <v>28.2</v>
      </c>
      <c r="R129" s="1"/>
      <c r="S129" s="24"/>
      <c r="T129" s="1"/>
      <c r="U129" s="1"/>
      <c r="V129" s="24"/>
      <c r="W129" s="1">
        <f t="shared" si="40"/>
        <v>6.2</v>
      </c>
      <c r="X129" s="5">
        <v>20</v>
      </c>
      <c r="Y129" s="5">
        <f>X129</f>
        <v>20</v>
      </c>
      <c r="Z129" s="5">
        <f>Y129</f>
        <v>20</v>
      </c>
      <c r="AA129" s="5">
        <f>Y129*0.5</f>
        <v>10</v>
      </c>
      <c r="AB129" s="1"/>
      <c r="AC129" s="1">
        <f t="shared" si="33"/>
        <v>15.67741935483871</v>
      </c>
      <c r="AD129" s="1">
        <f t="shared" si="41"/>
        <v>10.838709677419356</v>
      </c>
      <c r="AE129" s="1">
        <v>6.2</v>
      </c>
      <c r="AF129" s="1">
        <v>10.4</v>
      </c>
      <c r="AG129" s="1">
        <v>8.8000000000000007</v>
      </c>
      <c r="AH129" s="1">
        <v>18.600000000000001</v>
      </c>
      <c r="AI129" s="1">
        <v>16.2</v>
      </c>
      <c r="AJ129" s="1">
        <v>0</v>
      </c>
      <c r="AK129" s="1">
        <v>0</v>
      </c>
      <c r="AL129" s="1">
        <v>0</v>
      </c>
      <c r="AM129" s="1" t="s">
        <v>308</v>
      </c>
      <c r="AN129" s="1">
        <f t="shared" si="42"/>
        <v>5</v>
      </c>
      <c r="AO129" s="1">
        <f t="shared" si="43"/>
        <v>3</v>
      </c>
      <c r="AP129" t="s">
        <v>309</v>
      </c>
    </row>
    <row r="130" spans="1:42" hidden="1" x14ac:dyDescent="0.25">
      <c r="A130" s="1" t="s">
        <v>310</v>
      </c>
      <c r="B130" s="1" t="s">
        <v>50</v>
      </c>
      <c r="C130" s="1">
        <v>52</v>
      </c>
      <c r="D130" s="1">
        <v>12</v>
      </c>
      <c r="E130" s="13">
        <f>20+E137</f>
        <v>38</v>
      </c>
      <c r="F130" s="13">
        <f>55+F137</f>
        <v>95</v>
      </c>
      <c r="G130" s="7">
        <v>0.32500000000000001</v>
      </c>
      <c r="H130" s="1"/>
      <c r="I130" s="1" t="s">
        <v>43</v>
      </c>
      <c r="J130" s="1"/>
      <c r="K130" s="1">
        <v>9</v>
      </c>
      <c r="L130" s="1">
        <f t="shared" si="38"/>
        <v>29</v>
      </c>
      <c r="M130" s="1">
        <f t="shared" si="39"/>
        <v>38</v>
      </c>
      <c r="N130" s="1"/>
      <c r="O130" s="1"/>
      <c r="P130" s="1"/>
      <c r="Q130" s="1">
        <v>0</v>
      </c>
      <c r="R130" s="1"/>
      <c r="S130" s="24"/>
      <c r="T130" s="1"/>
      <c r="U130" s="1"/>
      <c r="V130" s="24"/>
      <c r="W130" s="1">
        <f t="shared" si="40"/>
        <v>7.6</v>
      </c>
      <c r="X130" s="5"/>
      <c r="Y130" s="5">
        <f t="shared" ref="Y130:Y137" si="46">X130</f>
        <v>0</v>
      </c>
      <c r="Z130" s="5">
        <f>Y130-AA130</f>
        <v>0</v>
      </c>
      <c r="AA130" s="5"/>
      <c r="AB130" s="1"/>
      <c r="AC130" s="1">
        <f t="shared" si="33"/>
        <v>12.5</v>
      </c>
      <c r="AD130" s="1">
        <f t="shared" si="41"/>
        <v>12.5</v>
      </c>
      <c r="AE130" s="1">
        <v>7.6</v>
      </c>
      <c r="AF130" s="1">
        <v>5.2</v>
      </c>
      <c r="AG130" s="1">
        <v>5.2</v>
      </c>
      <c r="AH130" s="1">
        <v>10.199999999999999</v>
      </c>
      <c r="AI130" s="1">
        <v>9.8000000000000007</v>
      </c>
      <c r="AJ130" s="1">
        <v>0</v>
      </c>
      <c r="AK130" s="1">
        <v>0</v>
      </c>
      <c r="AL130" s="1">
        <v>0</v>
      </c>
      <c r="AM130" s="1" t="s">
        <v>308</v>
      </c>
      <c r="AN130" s="1">
        <f t="shared" si="42"/>
        <v>0</v>
      </c>
      <c r="AO130" s="1">
        <f t="shared" si="43"/>
        <v>0</v>
      </c>
      <c r="AP130" t="s">
        <v>311</v>
      </c>
    </row>
    <row r="131" spans="1:42" hidden="1" x14ac:dyDescent="0.25">
      <c r="A131" s="1" t="s">
        <v>312</v>
      </c>
      <c r="B131" s="1" t="s">
        <v>50</v>
      </c>
      <c r="C131" s="1">
        <v>95</v>
      </c>
      <c r="D131" s="1">
        <v>36</v>
      </c>
      <c r="E131" s="1">
        <v>31</v>
      </c>
      <c r="F131" s="1">
        <v>103</v>
      </c>
      <c r="G131" s="7">
        <v>0.25</v>
      </c>
      <c r="H131" s="1"/>
      <c r="I131" s="1" t="s">
        <v>43</v>
      </c>
      <c r="J131" s="1"/>
      <c r="K131" s="1">
        <v>20</v>
      </c>
      <c r="L131" s="1">
        <f t="shared" si="38"/>
        <v>11</v>
      </c>
      <c r="M131" s="1">
        <f t="shared" si="39"/>
        <v>31</v>
      </c>
      <c r="N131" s="1"/>
      <c r="O131" s="1"/>
      <c r="P131" s="1"/>
      <c r="Q131" s="1">
        <v>0</v>
      </c>
      <c r="R131" s="1"/>
      <c r="S131" s="24"/>
      <c r="T131" s="1"/>
      <c r="U131" s="1"/>
      <c r="V131" s="24"/>
      <c r="W131" s="1">
        <f t="shared" si="40"/>
        <v>6.2</v>
      </c>
      <c r="X131" s="5"/>
      <c r="Y131" s="5">
        <f t="shared" si="46"/>
        <v>0</v>
      </c>
      <c r="Z131" s="5">
        <f>Y131-AA131</f>
        <v>0</v>
      </c>
      <c r="AA131" s="5"/>
      <c r="AB131" s="1"/>
      <c r="AC131" s="1">
        <f t="shared" si="33"/>
        <v>16.612903225806452</v>
      </c>
      <c r="AD131" s="1">
        <f t="shared" si="41"/>
        <v>16.612903225806452</v>
      </c>
      <c r="AE131" s="1">
        <v>6.2</v>
      </c>
      <c r="AF131" s="1">
        <v>9.8000000000000007</v>
      </c>
      <c r="AG131" s="1">
        <v>6.6</v>
      </c>
      <c r="AH131" s="1">
        <v>14.4</v>
      </c>
      <c r="AI131" s="1">
        <v>13.2</v>
      </c>
      <c r="AJ131" s="1">
        <v>0</v>
      </c>
      <c r="AK131" s="1">
        <v>0</v>
      </c>
      <c r="AL131" s="1">
        <v>0</v>
      </c>
      <c r="AM131" s="1" t="s">
        <v>308</v>
      </c>
      <c r="AN131" s="1">
        <f t="shared" si="42"/>
        <v>0</v>
      </c>
      <c r="AO131" s="1">
        <f t="shared" si="43"/>
        <v>0</v>
      </c>
      <c r="AP131" t="s">
        <v>313</v>
      </c>
    </row>
    <row r="132" spans="1:42" hidden="1" x14ac:dyDescent="0.25">
      <c r="A132" s="1" t="s">
        <v>314</v>
      </c>
      <c r="B132" s="1" t="s">
        <v>50</v>
      </c>
      <c r="C132" s="1">
        <v>42</v>
      </c>
      <c r="D132" s="1">
        <v>14</v>
      </c>
      <c r="E132" s="1">
        <v>66</v>
      </c>
      <c r="F132" s="1">
        <v>35</v>
      </c>
      <c r="G132" s="7">
        <v>0.3</v>
      </c>
      <c r="H132" s="1">
        <v>40</v>
      </c>
      <c r="I132" s="15" t="s">
        <v>106</v>
      </c>
      <c r="J132" s="1"/>
      <c r="K132" s="1">
        <v>201</v>
      </c>
      <c r="L132" s="1">
        <f t="shared" si="38"/>
        <v>-135</v>
      </c>
      <c r="M132" s="1">
        <f t="shared" si="39"/>
        <v>66</v>
      </c>
      <c r="N132" s="1"/>
      <c r="O132" s="1"/>
      <c r="P132" s="1"/>
      <c r="Q132" s="1">
        <v>100</v>
      </c>
      <c r="R132" s="1">
        <v>-102.00000000000001</v>
      </c>
      <c r="S132" s="24"/>
      <c r="T132" s="1"/>
      <c r="U132" s="1"/>
      <c r="V132" s="24"/>
      <c r="W132" s="1">
        <f t="shared" si="40"/>
        <v>13.2</v>
      </c>
      <c r="X132" s="5">
        <v>50</v>
      </c>
      <c r="Y132" s="5">
        <f t="shared" si="46"/>
        <v>50</v>
      </c>
      <c r="Z132" s="5">
        <f>Y132</f>
        <v>50</v>
      </c>
      <c r="AA132" s="5">
        <f>Y132*0.5</f>
        <v>25</v>
      </c>
      <c r="AB132" s="1"/>
      <c r="AC132" s="1">
        <f t="shared" si="33"/>
        <v>8.1818181818181817</v>
      </c>
      <c r="AD132" s="1">
        <f t="shared" si="41"/>
        <v>10.227272727272728</v>
      </c>
      <c r="AE132" s="1">
        <v>13.6</v>
      </c>
      <c r="AF132" s="1">
        <v>34</v>
      </c>
      <c r="AG132" s="1">
        <v>30.8</v>
      </c>
      <c r="AH132" s="1">
        <v>19.2</v>
      </c>
      <c r="AI132" s="1">
        <v>19</v>
      </c>
      <c r="AJ132" s="1">
        <v>33.6</v>
      </c>
      <c r="AK132" s="1">
        <v>39.4</v>
      </c>
      <c r="AL132" s="1">
        <v>30.6</v>
      </c>
      <c r="AM132" s="1"/>
      <c r="AN132" s="1">
        <f t="shared" si="42"/>
        <v>15</v>
      </c>
      <c r="AO132" s="1">
        <f t="shared" si="43"/>
        <v>8</v>
      </c>
      <c r="AP132" t="s">
        <v>315</v>
      </c>
    </row>
    <row r="133" spans="1:42" hidden="1" x14ac:dyDescent="0.25">
      <c r="A133" s="1" t="s">
        <v>316</v>
      </c>
      <c r="B133" s="1" t="s">
        <v>50</v>
      </c>
      <c r="C133" s="1">
        <v>-10</v>
      </c>
      <c r="D133" s="1">
        <v>1</v>
      </c>
      <c r="E133" s="1">
        <v>2</v>
      </c>
      <c r="F133" s="1">
        <v>-12</v>
      </c>
      <c r="G133" s="7">
        <v>0.3</v>
      </c>
      <c r="H133" s="1">
        <v>40</v>
      </c>
      <c r="I133" s="15" t="s">
        <v>106</v>
      </c>
      <c r="J133" s="1"/>
      <c r="K133" s="1">
        <v>3</v>
      </c>
      <c r="L133" s="1">
        <f t="shared" si="38"/>
        <v>-1</v>
      </c>
      <c r="M133" s="1">
        <f t="shared" si="39"/>
        <v>2</v>
      </c>
      <c r="N133" s="1"/>
      <c r="O133" s="1"/>
      <c r="P133" s="1"/>
      <c r="Q133" s="1">
        <v>50</v>
      </c>
      <c r="R133" s="1">
        <v>-54</v>
      </c>
      <c r="S133" s="24"/>
      <c r="T133" s="1"/>
      <c r="U133" s="1"/>
      <c r="V133" s="24"/>
      <c r="W133" s="1">
        <f t="shared" si="40"/>
        <v>0.4</v>
      </c>
      <c r="X133" s="5">
        <v>50</v>
      </c>
      <c r="Y133" s="5">
        <f t="shared" si="46"/>
        <v>50</v>
      </c>
      <c r="Z133" s="5">
        <f>Y133</f>
        <v>50</v>
      </c>
      <c r="AA133" s="5">
        <f>Y133*0.5</f>
        <v>25</v>
      </c>
      <c r="AB133" s="1"/>
      <c r="AC133" s="1">
        <f t="shared" si="33"/>
        <v>147.5</v>
      </c>
      <c r="AD133" s="1">
        <f t="shared" si="41"/>
        <v>95</v>
      </c>
      <c r="AE133" s="1">
        <v>0.4</v>
      </c>
      <c r="AF133" s="1">
        <v>19.2</v>
      </c>
      <c r="AG133" s="1">
        <v>26.8</v>
      </c>
      <c r="AH133" s="1">
        <v>27.2</v>
      </c>
      <c r="AI133" s="1">
        <v>25.8</v>
      </c>
      <c r="AJ133" s="1">
        <v>20.8</v>
      </c>
      <c r="AK133" s="1">
        <v>23.6</v>
      </c>
      <c r="AL133" s="1">
        <v>23.6</v>
      </c>
      <c r="AM133" s="1"/>
      <c r="AN133" s="1">
        <f t="shared" si="42"/>
        <v>15</v>
      </c>
      <c r="AO133" s="1">
        <f t="shared" si="43"/>
        <v>8</v>
      </c>
      <c r="AP133" t="s">
        <v>317</v>
      </c>
    </row>
    <row r="134" spans="1:42" hidden="1" x14ac:dyDescent="0.25">
      <c r="A134" s="1" t="s">
        <v>318</v>
      </c>
      <c r="B134" s="1" t="s">
        <v>42</v>
      </c>
      <c r="C134" s="1">
        <v>107.208</v>
      </c>
      <c r="D134" s="1">
        <v>73.757999999999996</v>
      </c>
      <c r="E134" s="1">
        <v>55.012999999999998</v>
      </c>
      <c r="F134" s="1">
        <v>116.578</v>
      </c>
      <c r="G134" s="7">
        <v>1</v>
      </c>
      <c r="H134" s="1">
        <v>50</v>
      </c>
      <c r="I134" s="1" t="s">
        <v>43</v>
      </c>
      <c r="J134" s="1"/>
      <c r="K134" s="1">
        <v>56.5</v>
      </c>
      <c r="L134" s="1">
        <f t="shared" ref="L134:L137" si="47">E134-K134</f>
        <v>-1.4870000000000019</v>
      </c>
      <c r="M134" s="1">
        <f t="shared" ref="M134:M137" si="48">E134-N134</f>
        <v>55.012999999999998</v>
      </c>
      <c r="N134" s="1"/>
      <c r="O134" s="1"/>
      <c r="P134" s="1"/>
      <c r="Q134" s="1">
        <v>0</v>
      </c>
      <c r="R134" s="1"/>
      <c r="S134" s="24"/>
      <c r="T134" s="1"/>
      <c r="U134" s="1"/>
      <c r="V134" s="24"/>
      <c r="W134" s="1">
        <f t="shared" si="40"/>
        <v>11.002599999999999</v>
      </c>
      <c r="X134" s="5">
        <f>12*W134-T134-Q134-P134-O134-F134</f>
        <v>15.453199999999981</v>
      </c>
      <c r="Y134" s="5">
        <f t="shared" si="46"/>
        <v>15.453199999999981</v>
      </c>
      <c r="Z134" s="5">
        <f>Y134-AA134</f>
        <v>15.453199999999981</v>
      </c>
      <c r="AA134" s="5"/>
      <c r="AB134" s="1"/>
      <c r="AC134" s="1">
        <f t="shared" si="33"/>
        <v>12</v>
      </c>
      <c r="AD134" s="1">
        <f t="shared" si="41"/>
        <v>10.595495610128516</v>
      </c>
      <c r="AE134" s="1">
        <v>11.002599999999999</v>
      </c>
      <c r="AF134" s="1">
        <v>13.903600000000001</v>
      </c>
      <c r="AG134" s="1">
        <v>13.324199999999999</v>
      </c>
      <c r="AH134" s="1">
        <v>7.5507999999999997</v>
      </c>
      <c r="AI134" s="1">
        <v>9.7211999999999996</v>
      </c>
      <c r="AJ134" s="1">
        <v>14.6806</v>
      </c>
      <c r="AK134" s="1">
        <v>16.251000000000001</v>
      </c>
      <c r="AL134" s="1">
        <v>9.7181999999999995</v>
      </c>
      <c r="AM134" s="1"/>
      <c r="AN134" s="1">
        <f t="shared" si="42"/>
        <v>15</v>
      </c>
      <c r="AO134" s="1">
        <f t="shared" si="43"/>
        <v>0</v>
      </c>
      <c r="AP134" t="s">
        <v>319</v>
      </c>
    </row>
    <row r="135" spans="1:42" hidden="1" x14ac:dyDescent="0.25">
      <c r="A135" s="1" t="s">
        <v>320</v>
      </c>
      <c r="B135" s="1" t="s">
        <v>50</v>
      </c>
      <c r="C135" s="1">
        <v>7</v>
      </c>
      <c r="D135" s="1">
        <v>32</v>
      </c>
      <c r="E135" s="1">
        <v>49</v>
      </c>
      <c r="F135" s="1">
        <v>4</v>
      </c>
      <c r="G135" s="7">
        <v>0.3</v>
      </c>
      <c r="H135" s="1">
        <v>40</v>
      </c>
      <c r="I135" s="15" t="s">
        <v>106</v>
      </c>
      <c r="J135" s="1"/>
      <c r="K135" s="1">
        <v>59</v>
      </c>
      <c r="L135" s="1">
        <f t="shared" si="47"/>
        <v>-10</v>
      </c>
      <c r="M135" s="1">
        <f t="shared" si="48"/>
        <v>49</v>
      </c>
      <c r="N135" s="1"/>
      <c r="O135" s="1"/>
      <c r="P135" s="1"/>
      <c r="Q135" s="1">
        <v>20</v>
      </c>
      <c r="R135" s="1"/>
      <c r="S135" s="24"/>
      <c r="T135" s="1"/>
      <c r="U135" s="1"/>
      <c r="V135" s="24"/>
      <c r="W135" s="1">
        <f t="shared" si="40"/>
        <v>9.8000000000000007</v>
      </c>
      <c r="X135" s="5">
        <v>30</v>
      </c>
      <c r="Y135" s="5">
        <f t="shared" si="46"/>
        <v>30</v>
      </c>
      <c r="Z135" s="5">
        <f>Y135</f>
        <v>30</v>
      </c>
      <c r="AA135" s="5">
        <f>Y135*0.5</f>
        <v>15</v>
      </c>
      <c r="AB135" s="1"/>
      <c r="AC135" s="1">
        <f t="shared" ref="AC135:AC137" si="49">(F135+O135+P135+Q135+T135+Z135+AA135+R135+S135+U135+V135)/W135</f>
        <v>7.0408163265306118</v>
      </c>
      <c r="AD135" s="1">
        <f t="shared" si="41"/>
        <v>2.4489795918367343</v>
      </c>
      <c r="AE135" s="1">
        <v>9.8000000000000007</v>
      </c>
      <c r="AF135" s="1">
        <v>4.5999999999999996</v>
      </c>
      <c r="AG135" s="1">
        <v>2.8</v>
      </c>
      <c r="AH135" s="1">
        <v>9.1999999999999993</v>
      </c>
      <c r="AI135" s="1">
        <v>12</v>
      </c>
      <c r="AJ135" s="1">
        <v>10.6</v>
      </c>
      <c r="AK135" s="1">
        <v>11.8</v>
      </c>
      <c r="AL135" s="1">
        <v>9</v>
      </c>
      <c r="AM135" s="1"/>
      <c r="AN135" s="1">
        <f t="shared" si="42"/>
        <v>9</v>
      </c>
      <c r="AO135" s="1">
        <f t="shared" si="43"/>
        <v>5</v>
      </c>
      <c r="AP135" t="s">
        <v>321</v>
      </c>
    </row>
    <row r="136" spans="1:42" hidden="1" x14ac:dyDescent="0.25">
      <c r="A136" s="1" t="s">
        <v>322</v>
      </c>
      <c r="B136" s="1" t="s">
        <v>50</v>
      </c>
      <c r="C136" s="1">
        <v>34</v>
      </c>
      <c r="D136" s="1">
        <v>122</v>
      </c>
      <c r="E136" s="1">
        <v>69</v>
      </c>
      <c r="F136" s="1">
        <v>93</v>
      </c>
      <c r="G136" s="7">
        <v>0.12</v>
      </c>
      <c r="H136" s="1">
        <v>45</v>
      </c>
      <c r="I136" s="1" t="s">
        <v>43</v>
      </c>
      <c r="J136" s="1"/>
      <c r="K136" s="1">
        <v>53</v>
      </c>
      <c r="L136" s="1">
        <f t="shared" si="47"/>
        <v>16</v>
      </c>
      <c r="M136" s="1">
        <f t="shared" si="48"/>
        <v>69</v>
      </c>
      <c r="N136" s="1"/>
      <c r="O136" s="1"/>
      <c r="P136" s="1"/>
      <c r="Q136" s="1">
        <v>39.59999999999998</v>
      </c>
      <c r="R136" s="1"/>
      <c r="S136" s="24"/>
      <c r="T136" s="1"/>
      <c r="U136" s="1"/>
      <c r="V136" s="24"/>
      <c r="W136" s="1">
        <f t="shared" si="40"/>
        <v>13.8</v>
      </c>
      <c r="X136" s="5">
        <f>12*W136-T136-Q136-P136-O136-F136</f>
        <v>33.000000000000043</v>
      </c>
      <c r="Y136" s="5">
        <f t="shared" si="46"/>
        <v>33.000000000000043</v>
      </c>
      <c r="Z136" s="5">
        <f>Y136-AA136</f>
        <v>33.000000000000043</v>
      </c>
      <c r="AA136" s="5"/>
      <c r="AB136" s="1"/>
      <c r="AC136" s="1">
        <f t="shared" si="49"/>
        <v>12.000000000000002</v>
      </c>
      <c r="AD136" s="1">
        <f t="shared" si="41"/>
        <v>9.6086956521739104</v>
      </c>
      <c r="AE136" s="1">
        <v>13.8</v>
      </c>
      <c r="AF136" s="1">
        <v>11.8</v>
      </c>
      <c r="AG136" s="1">
        <v>8.6</v>
      </c>
      <c r="AH136" s="1">
        <v>9.1999999999999993</v>
      </c>
      <c r="AI136" s="1">
        <v>6.6</v>
      </c>
      <c r="AJ136" s="1">
        <v>6</v>
      </c>
      <c r="AK136" s="1">
        <v>11.4</v>
      </c>
      <c r="AL136" s="1">
        <v>10.4</v>
      </c>
      <c r="AM136" s="1"/>
      <c r="AN136" s="1">
        <f t="shared" si="42"/>
        <v>4</v>
      </c>
      <c r="AO136" s="1">
        <f t="shared" si="43"/>
        <v>0</v>
      </c>
      <c r="AP136" t="s">
        <v>323</v>
      </c>
    </row>
    <row r="137" spans="1:42" hidden="1" x14ac:dyDescent="0.25">
      <c r="A137" s="9" t="s">
        <v>324</v>
      </c>
      <c r="B137" s="9" t="s">
        <v>50</v>
      </c>
      <c r="C137" s="9">
        <v>51</v>
      </c>
      <c r="D137" s="9"/>
      <c r="E137" s="13">
        <v>18</v>
      </c>
      <c r="F137" s="13">
        <v>40</v>
      </c>
      <c r="G137" s="10">
        <v>0</v>
      </c>
      <c r="H137" s="9"/>
      <c r="I137" s="9" t="s">
        <v>325</v>
      </c>
      <c r="J137" s="9" t="s">
        <v>310</v>
      </c>
      <c r="K137" s="9">
        <v>8</v>
      </c>
      <c r="L137" s="9">
        <f t="shared" si="47"/>
        <v>10</v>
      </c>
      <c r="M137" s="9">
        <f t="shared" si="48"/>
        <v>18</v>
      </c>
      <c r="N137" s="9"/>
      <c r="O137" s="9"/>
      <c r="P137" s="9"/>
      <c r="Q137" s="9">
        <v>0</v>
      </c>
      <c r="R137" s="9"/>
      <c r="S137" s="27"/>
      <c r="T137" s="9"/>
      <c r="U137" s="9"/>
      <c r="V137" s="27"/>
      <c r="W137" s="9">
        <f t="shared" si="40"/>
        <v>3.6</v>
      </c>
      <c r="X137" s="11"/>
      <c r="Y137" s="5">
        <f t="shared" si="46"/>
        <v>0</v>
      </c>
      <c r="Z137" s="5">
        <f>Y137-AA137</f>
        <v>0</v>
      </c>
      <c r="AA137" s="5"/>
      <c r="AB137" s="1"/>
      <c r="AC137" s="1">
        <f t="shared" si="49"/>
        <v>11.111111111111111</v>
      </c>
      <c r="AD137" s="9">
        <f t="shared" si="41"/>
        <v>11.111111111111111</v>
      </c>
      <c r="AE137" s="9">
        <v>3.6</v>
      </c>
      <c r="AF137" s="9">
        <v>4.8</v>
      </c>
      <c r="AG137" s="9">
        <v>2.4</v>
      </c>
      <c r="AH137" s="9">
        <v>0</v>
      </c>
      <c r="AI137" s="9">
        <v>0</v>
      </c>
      <c r="AJ137" s="9">
        <v>0</v>
      </c>
      <c r="AK137" s="9">
        <v>0</v>
      </c>
      <c r="AL137" s="9">
        <v>0</v>
      </c>
      <c r="AM137" s="9"/>
      <c r="AN137" s="1">
        <f t="shared" si="42"/>
        <v>0</v>
      </c>
      <c r="AO137" s="1">
        <f t="shared" si="43"/>
        <v>0</v>
      </c>
    </row>
    <row r="138" spans="1:42" x14ac:dyDescent="0.25">
      <c r="A138" s="1"/>
      <c r="B138" s="1"/>
      <c r="C138" s="1"/>
      <c r="D138" s="1"/>
      <c r="E138" s="1"/>
      <c r="F138" s="1"/>
      <c r="G138" s="7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24"/>
      <c r="T138" s="1"/>
      <c r="U138" s="1"/>
      <c r="V138" s="24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</row>
    <row r="139" spans="1:42" x14ac:dyDescent="0.25">
      <c r="A139" s="1"/>
      <c r="B139" s="1"/>
      <c r="C139" s="1"/>
      <c r="D139" s="1"/>
      <c r="E139" s="1"/>
      <c r="F139" s="1"/>
      <c r="G139" s="7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24"/>
      <c r="T139" s="1"/>
      <c r="U139" s="1"/>
      <c r="V139" s="24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</row>
    <row r="140" spans="1:42" x14ac:dyDescent="0.25">
      <c r="A140" s="1"/>
      <c r="B140" s="1"/>
      <c r="C140" s="1"/>
      <c r="D140" s="1"/>
      <c r="E140" s="1"/>
      <c r="F140" s="1"/>
      <c r="G140" s="7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24"/>
      <c r="T140" s="1"/>
      <c r="U140" s="1"/>
      <c r="V140" s="24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</row>
    <row r="141" spans="1:42" x14ac:dyDescent="0.25">
      <c r="A141" s="1"/>
      <c r="B141" s="1"/>
      <c r="C141" s="1"/>
      <c r="D141" s="1"/>
      <c r="E141" s="1"/>
      <c r="F141" s="1"/>
      <c r="G141" s="7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24"/>
      <c r="T141" s="1"/>
      <c r="U141" s="1"/>
      <c r="V141" s="24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</row>
    <row r="142" spans="1:42" x14ac:dyDescent="0.25">
      <c r="A142" s="1"/>
      <c r="B142" s="1"/>
      <c r="C142" s="1"/>
      <c r="D142" s="1"/>
      <c r="E142" s="1"/>
      <c r="F142" s="1"/>
      <c r="G142" s="7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24"/>
      <c r="T142" s="1"/>
      <c r="U142" s="1"/>
      <c r="V142" s="24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</row>
    <row r="143" spans="1:42" x14ac:dyDescent="0.25">
      <c r="A143" s="1"/>
      <c r="B143" s="1"/>
      <c r="C143" s="1"/>
      <c r="D143" s="1"/>
      <c r="E143" s="1"/>
      <c r="F143" s="1"/>
      <c r="G143" s="7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24"/>
      <c r="T143" s="1"/>
      <c r="U143" s="1"/>
      <c r="V143" s="24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</row>
    <row r="144" spans="1:42" x14ac:dyDescent="0.25">
      <c r="A144" s="1"/>
      <c r="B144" s="1"/>
      <c r="C144" s="1"/>
      <c r="D144" s="1"/>
      <c r="E144" s="1"/>
      <c r="F144" s="1"/>
      <c r="G144" s="7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24"/>
      <c r="T144" s="1"/>
      <c r="U144" s="1"/>
      <c r="V144" s="24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</row>
    <row r="145" spans="1:41" x14ac:dyDescent="0.25">
      <c r="A145" s="1"/>
      <c r="B145" s="1"/>
      <c r="C145" s="1"/>
      <c r="D145" s="1"/>
      <c r="E145" s="1"/>
      <c r="F145" s="1"/>
      <c r="G145" s="7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24"/>
      <c r="T145" s="1"/>
      <c r="U145" s="1"/>
      <c r="V145" s="24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</row>
    <row r="146" spans="1:41" x14ac:dyDescent="0.25">
      <c r="A146" s="1"/>
      <c r="B146" s="1"/>
      <c r="C146" s="1"/>
      <c r="D146" s="1"/>
      <c r="E146" s="1"/>
      <c r="F146" s="1"/>
      <c r="G146" s="7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24"/>
      <c r="T146" s="1"/>
      <c r="U146" s="1"/>
      <c r="V146" s="24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</row>
    <row r="147" spans="1:41" x14ac:dyDescent="0.25">
      <c r="A147" s="1"/>
      <c r="B147" s="1"/>
      <c r="C147" s="1"/>
      <c r="D147" s="1"/>
      <c r="E147" s="1"/>
      <c r="F147" s="1"/>
      <c r="G147" s="7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24"/>
      <c r="T147" s="1"/>
      <c r="U147" s="1"/>
      <c r="V147" s="24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</row>
    <row r="148" spans="1:41" x14ac:dyDescent="0.25">
      <c r="A148" s="1"/>
      <c r="B148" s="1"/>
      <c r="C148" s="1"/>
      <c r="D148" s="1"/>
      <c r="E148" s="1"/>
      <c r="F148" s="1"/>
      <c r="G148" s="7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24"/>
      <c r="T148" s="1"/>
      <c r="U148" s="1"/>
      <c r="V148" s="24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</row>
    <row r="149" spans="1:41" x14ac:dyDescent="0.25">
      <c r="A149" s="1"/>
      <c r="B149" s="1"/>
      <c r="C149" s="1"/>
      <c r="D149" s="1"/>
      <c r="E149" s="1"/>
      <c r="F149" s="1"/>
      <c r="G149" s="7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24"/>
      <c r="T149" s="1"/>
      <c r="U149" s="1"/>
      <c r="V149" s="24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</row>
    <row r="150" spans="1:41" x14ac:dyDescent="0.25">
      <c r="A150" s="1"/>
      <c r="B150" s="1"/>
      <c r="C150" s="1"/>
      <c r="D150" s="1"/>
      <c r="E150" s="1"/>
      <c r="F150" s="1"/>
      <c r="G150" s="7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24"/>
      <c r="T150" s="1"/>
      <c r="U150" s="1"/>
      <c r="V150" s="24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</row>
    <row r="151" spans="1:41" x14ac:dyDescent="0.25">
      <c r="A151" s="1"/>
      <c r="B151" s="1"/>
      <c r="C151" s="1"/>
      <c r="D151" s="1"/>
      <c r="E151" s="1"/>
      <c r="F151" s="1"/>
      <c r="G151" s="7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24"/>
      <c r="T151" s="1"/>
      <c r="U151" s="1"/>
      <c r="V151" s="24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</row>
    <row r="152" spans="1:41" x14ac:dyDescent="0.25">
      <c r="A152" s="1"/>
      <c r="B152" s="1"/>
      <c r="C152" s="1"/>
      <c r="D152" s="1"/>
      <c r="E152" s="1"/>
      <c r="F152" s="1"/>
      <c r="G152" s="7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24"/>
      <c r="T152" s="1"/>
      <c r="U152" s="1"/>
      <c r="V152" s="24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</row>
    <row r="153" spans="1:41" x14ac:dyDescent="0.25">
      <c r="A153" s="1"/>
      <c r="B153" s="1"/>
      <c r="C153" s="1"/>
      <c r="D153" s="1"/>
      <c r="E153" s="1"/>
      <c r="F153" s="1"/>
      <c r="G153" s="7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24"/>
      <c r="T153" s="1"/>
      <c r="U153" s="1"/>
      <c r="V153" s="24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</row>
    <row r="154" spans="1:41" x14ac:dyDescent="0.25">
      <c r="A154" s="1"/>
      <c r="B154" s="1"/>
      <c r="C154" s="1"/>
      <c r="D154" s="1"/>
      <c r="E154" s="1"/>
      <c r="F154" s="1"/>
      <c r="G154" s="7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24"/>
      <c r="T154" s="1"/>
      <c r="U154" s="1"/>
      <c r="V154" s="24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</row>
    <row r="155" spans="1:41" x14ac:dyDescent="0.25">
      <c r="A155" s="1"/>
      <c r="B155" s="1"/>
      <c r="C155" s="1"/>
      <c r="D155" s="1"/>
      <c r="E155" s="1"/>
      <c r="F155" s="1"/>
      <c r="G155" s="7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24"/>
      <c r="T155" s="1"/>
      <c r="U155" s="1"/>
      <c r="V155" s="24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</row>
    <row r="156" spans="1:41" x14ac:dyDescent="0.25">
      <c r="A156" s="1"/>
      <c r="B156" s="1"/>
      <c r="C156" s="1"/>
      <c r="D156" s="1"/>
      <c r="E156" s="1"/>
      <c r="F156" s="1"/>
      <c r="G156" s="7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24"/>
      <c r="T156" s="1"/>
      <c r="U156" s="1"/>
      <c r="V156" s="24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</row>
    <row r="157" spans="1:41" x14ac:dyDescent="0.25">
      <c r="A157" s="1"/>
      <c r="B157" s="1"/>
      <c r="C157" s="1"/>
      <c r="D157" s="1"/>
      <c r="E157" s="1"/>
      <c r="F157" s="1"/>
      <c r="G157" s="7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24"/>
      <c r="T157" s="1"/>
      <c r="U157" s="1"/>
      <c r="V157" s="24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</row>
    <row r="158" spans="1:41" x14ac:dyDescent="0.25">
      <c r="A158" s="1"/>
      <c r="B158" s="1"/>
      <c r="C158" s="1"/>
      <c r="D158" s="1"/>
      <c r="E158" s="1"/>
      <c r="F158" s="1"/>
      <c r="G158" s="7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24"/>
      <c r="T158" s="1"/>
      <c r="U158" s="1"/>
      <c r="V158" s="24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</row>
    <row r="159" spans="1:41" x14ac:dyDescent="0.25">
      <c r="A159" s="1"/>
      <c r="B159" s="1"/>
      <c r="C159" s="1"/>
      <c r="D159" s="1"/>
      <c r="E159" s="1"/>
      <c r="F159" s="1"/>
      <c r="G159" s="7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24"/>
      <c r="T159" s="1"/>
      <c r="U159" s="1"/>
      <c r="V159" s="24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</row>
    <row r="160" spans="1:41" x14ac:dyDescent="0.25">
      <c r="A160" s="1"/>
      <c r="B160" s="1"/>
      <c r="C160" s="1"/>
      <c r="D160" s="1"/>
      <c r="E160" s="1"/>
      <c r="F160" s="1"/>
      <c r="G160" s="7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24"/>
      <c r="T160" s="1"/>
      <c r="U160" s="1"/>
      <c r="V160" s="24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</row>
    <row r="161" spans="1:41" x14ac:dyDescent="0.25">
      <c r="A161" s="1"/>
      <c r="B161" s="1"/>
      <c r="C161" s="1"/>
      <c r="D161" s="1"/>
      <c r="E161" s="1"/>
      <c r="F161" s="1"/>
      <c r="G161" s="7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24"/>
      <c r="T161" s="1"/>
      <c r="U161" s="1"/>
      <c r="V161" s="24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</row>
    <row r="162" spans="1:41" x14ac:dyDescent="0.25">
      <c r="A162" s="1"/>
      <c r="B162" s="1"/>
      <c r="C162" s="1"/>
      <c r="D162" s="1"/>
      <c r="E162" s="1"/>
      <c r="F162" s="1"/>
      <c r="G162" s="7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24"/>
      <c r="T162" s="1"/>
      <c r="U162" s="1"/>
      <c r="V162" s="24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</row>
    <row r="163" spans="1:41" x14ac:dyDescent="0.25">
      <c r="A163" s="1"/>
      <c r="B163" s="1"/>
      <c r="C163" s="1"/>
      <c r="D163" s="1"/>
      <c r="E163" s="1"/>
      <c r="F163" s="1"/>
      <c r="G163" s="7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24"/>
      <c r="T163" s="1"/>
      <c r="U163" s="1"/>
      <c r="V163" s="24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</row>
    <row r="164" spans="1:41" x14ac:dyDescent="0.25">
      <c r="A164" s="1"/>
      <c r="B164" s="1"/>
      <c r="C164" s="1"/>
      <c r="D164" s="1"/>
      <c r="E164" s="1"/>
      <c r="F164" s="1"/>
      <c r="G164" s="7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24"/>
      <c r="T164" s="1"/>
      <c r="U164" s="1"/>
      <c r="V164" s="24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</row>
    <row r="165" spans="1:41" x14ac:dyDescent="0.25">
      <c r="A165" s="1"/>
      <c r="B165" s="1"/>
      <c r="C165" s="1"/>
      <c r="D165" s="1"/>
      <c r="E165" s="1"/>
      <c r="F165" s="1"/>
      <c r="G165" s="7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24"/>
      <c r="T165" s="1"/>
      <c r="U165" s="1"/>
      <c r="V165" s="24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</row>
    <row r="166" spans="1:41" x14ac:dyDescent="0.25">
      <c r="A166" s="1"/>
      <c r="B166" s="1"/>
      <c r="C166" s="1"/>
      <c r="D166" s="1"/>
      <c r="E166" s="1"/>
      <c r="F166" s="1"/>
      <c r="G166" s="7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24"/>
      <c r="T166" s="1"/>
      <c r="U166" s="1"/>
      <c r="V166" s="24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</row>
    <row r="167" spans="1:41" x14ac:dyDescent="0.25">
      <c r="A167" s="1"/>
      <c r="B167" s="1"/>
      <c r="C167" s="1"/>
      <c r="D167" s="1"/>
      <c r="E167" s="1"/>
      <c r="F167" s="1"/>
      <c r="G167" s="7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24"/>
      <c r="T167" s="1"/>
      <c r="U167" s="1"/>
      <c r="V167" s="24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</row>
    <row r="168" spans="1:41" x14ac:dyDescent="0.25">
      <c r="A168" s="1"/>
      <c r="B168" s="1"/>
      <c r="C168" s="1"/>
      <c r="D168" s="1"/>
      <c r="E168" s="1"/>
      <c r="F168" s="1"/>
      <c r="G168" s="7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24"/>
      <c r="T168" s="1"/>
      <c r="U168" s="1"/>
      <c r="V168" s="24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</row>
    <row r="169" spans="1:41" x14ac:dyDescent="0.25">
      <c r="A169" s="1"/>
      <c r="B169" s="1"/>
      <c r="C169" s="1"/>
      <c r="D169" s="1"/>
      <c r="E169" s="1"/>
      <c r="F169" s="1"/>
      <c r="G169" s="7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24"/>
      <c r="T169" s="1"/>
      <c r="U169" s="1"/>
      <c r="V169" s="24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</row>
    <row r="170" spans="1:41" x14ac:dyDescent="0.25">
      <c r="A170" s="1"/>
      <c r="B170" s="1"/>
      <c r="C170" s="1"/>
      <c r="D170" s="1"/>
      <c r="E170" s="1"/>
      <c r="F170" s="1"/>
      <c r="G170" s="7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24"/>
      <c r="T170" s="1"/>
      <c r="U170" s="1"/>
      <c r="V170" s="24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</row>
    <row r="171" spans="1:41" x14ac:dyDescent="0.25">
      <c r="A171" s="1"/>
      <c r="B171" s="1"/>
      <c r="C171" s="1"/>
      <c r="D171" s="1"/>
      <c r="E171" s="1"/>
      <c r="F171" s="1"/>
      <c r="G171" s="7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24"/>
      <c r="T171" s="1"/>
      <c r="U171" s="1"/>
      <c r="V171" s="24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</row>
    <row r="172" spans="1:41" x14ac:dyDescent="0.25">
      <c r="A172" s="1"/>
      <c r="B172" s="1"/>
      <c r="C172" s="1"/>
      <c r="D172" s="1"/>
      <c r="E172" s="1"/>
      <c r="F172" s="1"/>
      <c r="G172" s="7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24"/>
      <c r="T172" s="1"/>
      <c r="U172" s="1"/>
      <c r="V172" s="24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</row>
    <row r="173" spans="1:41" x14ac:dyDescent="0.25">
      <c r="A173" s="1"/>
      <c r="B173" s="1"/>
      <c r="C173" s="1"/>
      <c r="D173" s="1"/>
      <c r="E173" s="1"/>
      <c r="F173" s="1"/>
      <c r="G173" s="7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24"/>
      <c r="T173" s="1"/>
      <c r="U173" s="1"/>
      <c r="V173" s="24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</row>
    <row r="174" spans="1:41" x14ac:dyDescent="0.25">
      <c r="A174" s="1"/>
      <c r="B174" s="1"/>
      <c r="C174" s="1"/>
      <c r="D174" s="1"/>
      <c r="E174" s="1"/>
      <c r="F174" s="1"/>
      <c r="G174" s="7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24"/>
      <c r="T174" s="1"/>
      <c r="U174" s="1"/>
      <c r="V174" s="24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</row>
    <row r="175" spans="1:41" x14ac:dyDescent="0.25">
      <c r="A175" s="1"/>
      <c r="B175" s="1"/>
      <c r="C175" s="1"/>
      <c r="D175" s="1"/>
      <c r="E175" s="1"/>
      <c r="F175" s="1"/>
      <c r="G175" s="7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24"/>
      <c r="T175" s="1"/>
      <c r="U175" s="1"/>
      <c r="V175" s="24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</row>
    <row r="176" spans="1:41" x14ac:dyDescent="0.25">
      <c r="A176" s="1"/>
      <c r="B176" s="1"/>
      <c r="C176" s="1"/>
      <c r="D176" s="1"/>
      <c r="E176" s="1"/>
      <c r="F176" s="1"/>
      <c r="G176" s="7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24"/>
      <c r="T176" s="1"/>
      <c r="U176" s="1"/>
      <c r="V176" s="24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</row>
    <row r="177" spans="1:41" x14ac:dyDescent="0.25">
      <c r="A177" s="1"/>
      <c r="B177" s="1"/>
      <c r="C177" s="1"/>
      <c r="D177" s="1"/>
      <c r="E177" s="1"/>
      <c r="F177" s="1"/>
      <c r="G177" s="7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24"/>
      <c r="T177" s="1"/>
      <c r="U177" s="1"/>
      <c r="V177" s="24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</row>
    <row r="178" spans="1:41" x14ac:dyDescent="0.25">
      <c r="A178" s="1"/>
      <c r="B178" s="1"/>
      <c r="C178" s="1"/>
      <c r="D178" s="1"/>
      <c r="E178" s="1"/>
      <c r="F178" s="1"/>
      <c r="G178" s="7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24"/>
      <c r="T178" s="1"/>
      <c r="U178" s="1"/>
      <c r="V178" s="24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</row>
    <row r="179" spans="1:41" x14ac:dyDescent="0.25">
      <c r="A179" s="1"/>
      <c r="B179" s="1"/>
      <c r="C179" s="1"/>
      <c r="D179" s="1"/>
      <c r="E179" s="1"/>
      <c r="F179" s="1"/>
      <c r="G179" s="7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24"/>
      <c r="T179" s="1"/>
      <c r="U179" s="1"/>
      <c r="V179" s="24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</row>
    <row r="180" spans="1:41" x14ac:dyDescent="0.25">
      <c r="A180" s="1"/>
      <c r="B180" s="1"/>
      <c r="C180" s="1"/>
      <c r="D180" s="1"/>
      <c r="E180" s="1"/>
      <c r="F180" s="1"/>
      <c r="G180" s="7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24"/>
      <c r="T180" s="1"/>
      <c r="U180" s="1"/>
      <c r="V180" s="24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</row>
    <row r="181" spans="1:41" x14ac:dyDescent="0.25">
      <c r="A181" s="1"/>
      <c r="B181" s="1"/>
      <c r="C181" s="1"/>
      <c r="D181" s="1"/>
      <c r="E181" s="1"/>
      <c r="F181" s="1"/>
      <c r="G181" s="7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24"/>
      <c r="T181" s="1"/>
      <c r="U181" s="1"/>
      <c r="V181" s="24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</row>
    <row r="182" spans="1:41" x14ac:dyDescent="0.25">
      <c r="A182" s="1"/>
      <c r="B182" s="1"/>
      <c r="C182" s="1"/>
      <c r="D182" s="1"/>
      <c r="E182" s="1"/>
      <c r="F182" s="1"/>
      <c r="G182" s="7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24"/>
      <c r="T182" s="1"/>
      <c r="U182" s="1"/>
      <c r="V182" s="24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</row>
    <row r="183" spans="1:41" x14ac:dyDescent="0.25">
      <c r="A183" s="1"/>
      <c r="B183" s="1"/>
      <c r="C183" s="1"/>
      <c r="D183" s="1"/>
      <c r="E183" s="1"/>
      <c r="F183" s="1"/>
      <c r="G183" s="7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24"/>
      <c r="T183" s="1"/>
      <c r="U183" s="1"/>
      <c r="V183" s="24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</row>
    <row r="184" spans="1:41" x14ac:dyDescent="0.25">
      <c r="A184" s="1"/>
      <c r="B184" s="1"/>
      <c r="C184" s="1"/>
      <c r="D184" s="1"/>
      <c r="E184" s="1"/>
      <c r="F184" s="1"/>
      <c r="G184" s="7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24"/>
      <c r="T184" s="1"/>
      <c r="U184" s="1"/>
      <c r="V184" s="24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</row>
    <row r="185" spans="1:41" x14ac:dyDescent="0.25">
      <c r="A185" s="1"/>
      <c r="B185" s="1"/>
      <c r="C185" s="1"/>
      <c r="D185" s="1"/>
      <c r="E185" s="1"/>
      <c r="F185" s="1"/>
      <c r="G185" s="7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24"/>
      <c r="T185" s="1"/>
      <c r="U185" s="1"/>
      <c r="V185" s="24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</row>
    <row r="186" spans="1:41" x14ac:dyDescent="0.25">
      <c r="A186" s="1"/>
      <c r="B186" s="1"/>
      <c r="C186" s="1"/>
      <c r="D186" s="1"/>
      <c r="E186" s="1"/>
      <c r="F186" s="1"/>
      <c r="G186" s="7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24"/>
      <c r="T186" s="1"/>
      <c r="U186" s="1"/>
      <c r="V186" s="24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</row>
    <row r="187" spans="1:41" x14ac:dyDescent="0.25">
      <c r="A187" s="1"/>
      <c r="B187" s="1"/>
      <c r="C187" s="1"/>
      <c r="D187" s="1"/>
      <c r="E187" s="1"/>
      <c r="F187" s="1"/>
      <c r="G187" s="7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24"/>
      <c r="T187" s="1"/>
      <c r="U187" s="1"/>
      <c r="V187" s="24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</row>
    <row r="188" spans="1:41" x14ac:dyDescent="0.25">
      <c r="A188" s="1"/>
      <c r="B188" s="1"/>
      <c r="C188" s="1"/>
      <c r="D188" s="1"/>
      <c r="E188" s="1"/>
      <c r="F188" s="1"/>
      <c r="G188" s="7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24"/>
      <c r="T188" s="1"/>
      <c r="U188" s="1"/>
      <c r="V188" s="24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</row>
    <row r="189" spans="1:41" x14ac:dyDescent="0.25">
      <c r="A189" s="1"/>
      <c r="B189" s="1"/>
      <c r="C189" s="1"/>
      <c r="D189" s="1"/>
      <c r="E189" s="1"/>
      <c r="F189" s="1"/>
      <c r="G189" s="7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24"/>
      <c r="T189" s="1"/>
      <c r="U189" s="1"/>
      <c r="V189" s="24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</row>
    <row r="190" spans="1:41" x14ac:dyDescent="0.25">
      <c r="A190" s="1"/>
      <c r="B190" s="1"/>
      <c r="C190" s="1"/>
      <c r="D190" s="1"/>
      <c r="E190" s="1"/>
      <c r="F190" s="1"/>
      <c r="G190" s="7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24"/>
      <c r="T190" s="1"/>
      <c r="U190" s="1"/>
      <c r="V190" s="24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</row>
    <row r="191" spans="1:41" x14ac:dyDescent="0.25">
      <c r="A191" s="1"/>
      <c r="B191" s="1"/>
      <c r="C191" s="1"/>
      <c r="D191" s="1"/>
      <c r="E191" s="1"/>
      <c r="F191" s="1"/>
      <c r="G191" s="7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24"/>
      <c r="T191" s="1"/>
      <c r="U191" s="1"/>
      <c r="V191" s="24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</row>
    <row r="192" spans="1:41" x14ac:dyDescent="0.25">
      <c r="A192" s="1"/>
      <c r="B192" s="1"/>
      <c r="C192" s="1"/>
      <c r="D192" s="1"/>
      <c r="E192" s="1"/>
      <c r="F192" s="1"/>
      <c r="G192" s="7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24"/>
      <c r="T192" s="1"/>
      <c r="U192" s="1"/>
      <c r="V192" s="24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</row>
    <row r="193" spans="1:41" x14ac:dyDescent="0.25">
      <c r="A193" s="1"/>
      <c r="B193" s="1"/>
      <c r="C193" s="1"/>
      <c r="D193" s="1"/>
      <c r="E193" s="1"/>
      <c r="F193" s="1"/>
      <c r="G193" s="7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24"/>
      <c r="T193" s="1"/>
      <c r="U193" s="1"/>
      <c r="V193" s="24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</row>
    <row r="194" spans="1:41" x14ac:dyDescent="0.25">
      <c r="A194" s="1"/>
      <c r="B194" s="1"/>
      <c r="C194" s="1"/>
      <c r="D194" s="1"/>
      <c r="E194" s="1"/>
      <c r="F194" s="1"/>
      <c r="G194" s="7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24"/>
      <c r="T194" s="1"/>
      <c r="U194" s="1"/>
      <c r="V194" s="24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</row>
    <row r="195" spans="1:41" x14ac:dyDescent="0.25">
      <c r="A195" s="1"/>
      <c r="B195" s="1"/>
      <c r="C195" s="1"/>
      <c r="D195" s="1"/>
      <c r="E195" s="1"/>
      <c r="F195" s="1"/>
      <c r="G195" s="7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24"/>
      <c r="T195" s="1"/>
      <c r="U195" s="1"/>
      <c r="V195" s="24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</row>
    <row r="196" spans="1:41" x14ac:dyDescent="0.25">
      <c r="A196" s="1"/>
      <c r="B196" s="1"/>
      <c r="C196" s="1"/>
      <c r="D196" s="1"/>
      <c r="E196" s="1"/>
      <c r="F196" s="1"/>
      <c r="G196" s="7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24"/>
      <c r="T196" s="1"/>
      <c r="U196" s="1"/>
      <c r="V196" s="24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</row>
    <row r="197" spans="1:41" x14ac:dyDescent="0.25">
      <c r="A197" s="1"/>
      <c r="B197" s="1"/>
      <c r="C197" s="1"/>
      <c r="D197" s="1"/>
      <c r="E197" s="1"/>
      <c r="F197" s="1"/>
      <c r="G197" s="7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24"/>
      <c r="T197" s="1"/>
      <c r="U197" s="1"/>
      <c r="V197" s="24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</row>
    <row r="198" spans="1:41" x14ac:dyDescent="0.25">
      <c r="A198" s="1"/>
      <c r="B198" s="1"/>
      <c r="C198" s="1"/>
      <c r="D198" s="1"/>
      <c r="E198" s="1"/>
      <c r="F198" s="1"/>
      <c r="G198" s="7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24"/>
      <c r="T198" s="1"/>
      <c r="U198" s="1"/>
      <c r="V198" s="24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</row>
    <row r="199" spans="1:41" x14ac:dyDescent="0.25">
      <c r="A199" s="1"/>
      <c r="B199" s="1"/>
      <c r="C199" s="1"/>
      <c r="D199" s="1"/>
      <c r="E199" s="1"/>
      <c r="F199" s="1"/>
      <c r="G199" s="7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24"/>
      <c r="T199" s="1"/>
      <c r="U199" s="1"/>
      <c r="V199" s="24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</row>
    <row r="200" spans="1:41" x14ac:dyDescent="0.25">
      <c r="A200" s="1"/>
      <c r="B200" s="1"/>
      <c r="C200" s="1"/>
      <c r="D200" s="1"/>
      <c r="E200" s="1"/>
      <c r="F200" s="1"/>
      <c r="G200" s="7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24"/>
      <c r="T200" s="1"/>
      <c r="U200" s="1"/>
      <c r="V200" s="24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</row>
    <row r="201" spans="1:41" x14ac:dyDescent="0.25">
      <c r="A201" s="1"/>
      <c r="B201" s="1"/>
      <c r="C201" s="1"/>
      <c r="D201" s="1"/>
      <c r="E201" s="1"/>
      <c r="F201" s="1"/>
      <c r="G201" s="7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24"/>
      <c r="T201" s="1"/>
      <c r="U201" s="1"/>
      <c r="V201" s="24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</row>
    <row r="202" spans="1:41" x14ac:dyDescent="0.25">
      <c r="A202" s="1"/>
      <c r="B202" s="1"/>
      <c r="C202" s="1"/>
      <c r="D202" s="1"/>
      <c r="E202" s="1"/>
      <c r="F202" s="1"/>
      <c r="G202" s="7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24"/>
      <c r="T202" s="1"/>
      <c r="U202" s="1"/>
      <c r="V202" s="24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</row>
    <row r="203" spans="1:41" x14ac:dyDescent="0.25">
      <c r="A203" s="1"/>
      <c r="B203" s="1"/>
      <c r="C203" s="1"/>
      <c r="D203" s="1"/>
      <c r="E203" s="1"/>
      <c r="F203" s="1"/>
      <c r="G203" s="7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24"/>
      <c r="T203" s="1"/>
      <c r="U203" s="1"/>
      <c r="V203" s="24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</row>
    <row r="204" spans="1:41" x14ac:dyDescent="0.25">
      <c r="A204" s="1"/>
      <c r="B204" s="1"/>
      <c r="C204" s="1"/>
      <c r="D204" s="1"/>
      <c r="E204" s="1"/>
      <c r="F204" s="1"/>
      <c r="G204" s="7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24"/>
      <c r="T204" s="1"/>
      <c r="U204" s="1"/>
      <c r="V204" s="24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</row>
    <row r="205" spans="1:41" x14ac:dyDescent="0.25">
      <c r="A205" s="1"/>
      <c r="B205" s="1"/>
      <c r="C205" s="1"/>
      <c r="D205" s="1"/>
      <c r="E205" s="1"/>
      <c r="F205" s="1"/>
      <c r="G205" s="7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24"/>
      <c r="T205" s="1"/>
      <c r="U205" s="1"/>
      <c r="V205" s="24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</row>
    <row r="206" spans="1:41" x14ac:dyDescent="0.25">
      <c r="A206" s="1"/>
      <c r="B206" s="1"/>
      <c r="C206" s="1"/>
      <c r="D206" s="1"/>
      <c r="E206" s="1"/>
      <c r="F206" s="1"/>
      <c r="G206" s="7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24"/>
      <c r="T206" s="1"/>
      <c r="U206" s="1"/>
      <c r="V206" s="24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</row>
    <row r="207" spans="1:41" x14ac:dyDescent="0.25">
      <c r="A207" s="1"/>
      <c r="B207" s="1"/>
      <c r="C207" s="1"/>
      <c r="D207" s="1"/>
      <c r="E207" s="1"/>
      <c r="F207" s="1"/>
      <c r="G207" s="7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24"/>
      <c r="T207" s="1"/>
      <c r="U207" s="1"/>
      <c r="V207" s="24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</row>
    <row r="208" spans="1:41" x14ac:dyDescent="0.25">
      <c r="A208" s="1"/>
      <c r="B208" s="1"/>
      <c r="C208" s="1"/>
      <c r="D208" s="1"/>
      <c r="E208" s="1"/>
      <c r="F208" s="1"/>
      <c r="G208" s="7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24"/>
      <c r="T208" s="1"/>
      <c r="U208" s="1"/>
      <c r="V208" s="24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</row>
    <row r="209" spans="1:41" x14ac:dyDescent="0.25">
      <c r="A209" s="1"/>
      <c r="B209" s="1"/>
      <c r="C209" s="1"/>
      <c r="D209" s="1"/>
      <c r="E209" s="1"/>
      <c r="F209" s="1"/>
      <c r="G209" s="7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24"/>
      <c r="T209" s="1"/>
      <c r="U209" s="1"/>
      <c r="V209" s="24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</row>
    <row r="210" spans="1:41" x14ac:dyDescent="0.25">
      <c r="A210" s="1"/>
      <c r="B210" s="1"/>
      <c r="C210" s="1"/>
      <c r="D210" s="1"/>
      <c r="E210" s="1"/>
      <c r="F210" s="1"/>
      <c r="G210" s="7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24"/>
      <c r="T210" s="1"/>
      <c r="U210" s="1"/>
      <c r="V210" s="24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</row>
    <row r="211" spans="1:41" x14ac:dyDescent="0.25">
      <c r="A211" s="1"/>
      <c r="B211" s="1"/>
      <c r="C211" s="1"/>
      <c r="D211" s="1"/>
      <c r="E211" s="1"/>
      <c r="F211" s="1"/>
      <c r="G211" s="7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24"/>
      <c r="T211" s="1"/>
      <c r="U211" s="1"/>
      <c r="V211" s="24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</row>
    <row r="212" spans="1:41" x14ac:dyDescent="0.25">
      <c r="A212" s="1"/>
      <c r="B212" s="1"/>
      <c r="C212" s="1"/>
      <c r="D212" s="1"/>
      <c r="E212" s="1"/>
      <c r="F212" s="1"/>
      <c r="G212" s="7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24"/>
      <c r="T212" s="1"/>
      <c r="U212" s="1"/>
      <c r="V212" s="24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</row>
    <row r="213" spans="1:41" x14ac:dyDescent="0.25">
      <c r="A213" s="1"/>
      <c r="B213" s="1"/>
      <c r="C213" s="1"/>
      <c r="D213" s="1"/>
      <c r="E213" s="1"/>
      <c r="F213" s="1"/>
      <c r="G213" s="7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24"/>
      <c r="T213" s="1"/>
      <c r="U213" s="1"/>
      <c r="V213" s="24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</row>
    <row r="214" spans="1:41" x14ac:dyDescent="0.25">
      <c r="A214" s="1"/>
      <c r="B214" s="1"/>
      <c r="C214" s="1"/>
      <c r="D214" s="1"/>
      <c r="E214" s="1"/>
      <c r="F214" s="1"/>
      <c r="G214" s="7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24"/>
      <c r="T214" s="1"/>
      <c r="U214" s="1"/>
      <c r="V214" s="24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</row>
    <row r="215" spans="1:41" x14ac:dyDescent="0.25">
      <c r="A215" s="1"/>
      <c r="B215" s="1"/>
      <c r="C215" s="1"/>
      <c r="D215" s="1"/>
      <c r="E215" s="1"/>
      <c r="F215" s="1"/>
      <c r="G215" s="7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24"/>
      <c r="T215" s="1"/>
      <c r="U215" s="1"/>
      <c r="V215" s="24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</row>
    <row r="216" spans="1:41" x14ac:dyDescent="0.25">
      <c r="A216" s="1"/>
      <c r="B216" s="1"/>
      <c r="C216" s="1"/>
      <c r="D216" s="1"/>
      <c r="E216" s="1"/>
      <c r="F216" s="1"/>
      <c r="G216" s="7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24"/>
      <c r="T216" s="1"/>
      <c r="U216" s="1"/>
      <c r="V216" s="24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</row>
    <row r="217" spans="1:41" x14ac:dyDescent="0.25">
      <c r="A217" s="1"/>
      <c r="B217" s="1"/>
      <c r="C217" s="1"/>
      <c r="D217" s="1"/>
      <c r="E217" s="1"/>
      <c r="F217" s="1"/>
      <c r="G217" s="7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24"/>
      <c r="T217" s="1"/>
      <c r="U217" s="1"/>
      <c r="V217" s="24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</row>
    <row r="218" spans="1:41" x14ac:dyDescent="0.25">
      <c r="A218" s="1"/>
      <c r="B218" s="1"/>
      <c r="C218" s="1"/>
      <c r="D218" s="1"/>
      <c r="E218" s="1"/>
      <c r="F218" s="1"/>
      <c r="G218" s="7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24"/>
      <c r="T218" s="1"/>
      <c r="U218" s="1"/>
      <c r="V218" s="24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</row>
    <row r="219" spans="1:41" x14ac:dyDescent="0.25">
      <c r="A219" s="1"/>
      <c r="B219" s="1"/>
      <c r="C219" s="1"/>
      <c r="D219" s="1"/>
      <c r="E219" s="1"/>
      <c r="F219" s="1"/>
      <c r="G219" s="7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24"/>
      <c r="T219" s="1"/>
      <c r="U219" s="1"/>
      <c r="V219" s="24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</row>
    <row r="220" spans="1:41" x14ac:dyDescent="0.25">
      <c r="A220" s="1"/>
      <c r="B220" s="1"/>
      <c r="C220" s="1"/>
      <c r="D220" s="1"/>
      <c r="E220" s="1"/>
      <c r="F220" s="1"/>
      <c r="G220" s="7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24"/>
      <c r="T220" s="1"/>
      <c r="U220" s="1"/>
      <c r="V220" s="24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</row>
    <row r="221" spans="1:41" x14ac:dyDescent="0.25">
      <c r="A221" s="1"/>
      <c r="B221" s="1"/>
      <c r="C221" s="1"/>
      <c r="D221" s="1"/>
      <c r="E221" s="1"/>
      <c r="F221" s="1"/>
      <c r="G221" s="7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24"/>
      <c r="T221" s="1"/>
      <c r="U221" s="1"/>
      <c r="V221" s="24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</row>
    <row r="222" spans="1:41" x14ac:dyDescent="0.25">
      <c r="A222" s="1"/>
      <c r="B222" s="1"/>
      <c r="C222" s="1"/>
      <c r="D222" s="1"/>
      <c r="E222" s="1"/>
      <c r="F222" s="1"/>
      <c r="G222" s="7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24"/>
      <c r="T222" s="1"/>
      <c r="U222" s="1"/>
      <c r="V222" s="24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</row>
    <row r="223" spans="1:41" x14ac:dyDescent="0.25">
      <c r="A223" s="1"/>
      <c r="B223" s="1"/>
      <c r="C223" s="1"/>
      <c r="D223" s="1"/>
      <c r="E223" s="1"/>
      <c r="F223" s="1"/>
      <c r="G223" s="7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24"/>
      <c r="T223" s="1"/>
      <c r="U223" s="1"/>
      <c r="V223" s="24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</row>
    <row r="224" spans="1:41" x14ac:dyDescent="0.25">
      <c r="A224" s="1"/>
      <c r="B224" s="1"/>
      <c r="C224" s="1"/>
      <c r="D224" s="1"/>
      <c r="E224" s="1"/>
      <c r="F224" s="1"/>
      <c r="G224" s="7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24"/>
      <c r="T224" s="1"/>
      <c r="U224" s="1"/>
      <c r="V224" s="24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</row>
    <row r="225" spans="1:41" x14ac:dyDescent="0.25">
      <c r="A225" s="1"/>
      <c r="B225" s="1"/>
      <c r="C225" s="1"/>
      <c r="D225" s="1"/>
      <c r="E225" s="1"/>
      <c r="F225" s="1"/>
      <c r="G225" s="7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24"/>
      <c r="T225" s="1"/>
      <c r="U225" s="1"/>
      <c r="V225" s="24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</row>
    <row r="226" spans="1:41" x14ac:dyDescent="0.25">
      <c r="A226" s="1"/>
      <c r="B226" s="1"/>
      <c r="C226" s="1"/>
      <c r="D226" s="1"/>
      <c r="E226" s="1"/>
      <c r="F226" s="1"/>
      <c r="G226" s="7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24"/>
      <c r="T226" s="1"/>
      <c r="U226" s="1"/>
      <c r="V226" s="24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</row>
    <row r="227" spans="1:41" x14ac:dyDescent="0.25">
      <c r="A227" s="1"/>
      <c r="B227" s="1"/>
      <c r="C227" s="1"/>
      <c r="D227" s="1"/>
      <c r="E227" s="1"/>
      <c r="F227" s="1"/>
      <c r="G227" s="7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24"/>
      <c r="T227" s="1"/>
      <c r="U227" s="1"/>
      <c r="V227" s="24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</row>
    <row r="228" spans="1:41" x14ac:dyDescent="0.25">
      <c r="A228" s="1"/>
      <c r="B228" s="1"/>
      <c r="C228" s="1"/>
      <c r="D228" s="1"/>
      <c r="E228" s="1"/>
      <c r="F228" s="1"/>
      <c r="G228" s="7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24"/>
      <c r="T228" s="1"/>
      <c r="U228" s="1"/>
      <c r="V228" s="24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</row>
    <row r="229" spans="1:41" x14ac:dyDescent="0.25">
      <c r="A229" s="1"/>
      <c r="B229" s="1"/>
      <c r="C229" s="1"/>
      <c r="D229" s="1"/>
      <c r="E229" s="1"/>
      <c r="F229" s="1"/>
      <c r="G229" s="7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24"/>
      <c r="T229" s="1"/>
      <c r="U229" s="1"/>
      <c r="V229" s="24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</row>
    <row r="230" spans="1:41" x14ac:dyDescent="0.25">
      <c r="A230" s="1"/>
      <c r="B230" s="1"/>
      <c r="C230" s="1"/>
      <c r="D230" s="1"/>
      <c r="E230" s="1"/>
      <c r="F230" s="1"/>
      <c r="G230" s="7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24"/>
      <c r="T230" s="1"/>
      <c r="U230" s="1"/>
      <c r="V230" s="24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</row>
    <row r="231" spans="1:41" x14ac:dyDescent="0.25">
      <c r="A231" s="1"/>
      <c r="B231" s="1"/>
      <c r="C231" s="1"/>
      <c r="D231" s="1"/>
      <c r="E231" s="1"/>
      <c r="F231" s="1"/>
      <c r="G231" s="7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24"/>
      <c r="T231" s="1"/>
      <c r="U231" s="1"/>
      <c r="V231" s="24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</row>
    <row r="232" spans="1:41" x14ac:dyDescent="0.25">
      <c r="A232" s="1"/>
      <c r="B232" s="1"/>
      <c r="C232" s="1"/>
      <c r="D232" s="1"/>
      <c r="E232" s="1"/>
      <c r="F232" s="1"/>
      <c r="G232" s="7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24"/>
      <c r="T232" s="1"/>
      <c r="U232" s="1"/>
      <c r="V232" s="24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</row>
    <row r="233" spans="1:41" x14ac:dyDescent="0.25">
      <c r="A233" s="1"/>
      <c r="B233" s="1"/>
      <c r="C233" s="1"/>
      <c r="D233" s="1"/>
      <c r="E233" s="1"/>
      <c r="F233" s="1"/>
      <c r="G233" s="7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24"/>
      <c r="T233" s="1"/>
      <c r="U233" s="1"/>
      <c r="V233" s="24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</row>
    <row r="234" spans="1:41" x14ac:dyDescent="0.25">
      <c r="A234" s="1"/>
      <c r="B234" s="1"/>
      <c r="C234" s="1"/>
      <c r="D234" s="1"/>
      <c r="E234" s="1"/>
      <c r="F234" s="1"/>
      <c r="G234" s="7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24"/>
      <c r="T234" s="1"/>
      <c r="U234" s="1"/>
      <c r="V234" s="24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</row>
    <row r="235" spans="1:41" x14ac:dyDescent="0.25">
      <c r="A235" s="1"/>
      <c r="B235" s="1"/>
      <c r="C235" s="1"/>
      <c r="D235" s="1"/>
      <c r="E235" s="1"/>
      <c r="F235" s="1"/>
      <c r="G235" s="7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24"/>
      <c r="T235" s="1"/>
      <c r="U235" s="1"/>
      <c r="V235" s="24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</row>
    <row r="236" spans="1:41" x14ac:dyDescent="0.25">
      <c r="A236" s="1"/>
      <c r="B236" s="1"/>
      <c r="C236" s="1"/>
      <c r="D236" s="1"/>
      <c r="E236" s="1"/>
      <c r="F236" s="1"/>
      <c r="G236" s="7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24"/>
      <c r="T236" s="1"/>
      <c r="U236" s="1"/>
      <c r="V236" s="24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</row>
    <row r="237" spans="1:41" x14ac:dyDescent="0.25">
      <c r="A237" s="1"/>
      <c r="B237" s="1"/>
      <c r="C237" s="1"/>
      <c r="D237" s="1"/>
      <c r="E237" s="1"/>
      <c r="F237" s="1"/>
      <c r="G237" s="7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24"/>
      <c r="T237" s="1"/>
      <c r="U237" s="1"/>
      <c r="V237" s="24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</row>
    <row r="238" spans="1:41" x14ac:dyDescent="0.25">
      <c r="A238" s="1"/>
      <c r="B238" s="1"/>
      <c r="C238" s="1"/>
      <c r="D238" s="1"/>
      <c r="E238" s="1"/>
      <c r="F238" s="1"/>
      <c r="G238" s="7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24"/>
      <c r="T238" s="1"/>
      <c r="U238" s="1"/>
      <c r="V238" s="24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</row>
    <row r="239" spans="1:41" x14ac:dyDescent="0.25">
      <c r="A239" s="1"/>
      <c r="B239" s="1"/>
      <c r="C239" s="1"/>
      <c r="D239" s="1"/>
      <c r="E239" s="1"/>
      <c r="F239" s="1"/>
      <c r="G239" s="7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24"/>
      <c r="T239" s="1"/>
      <c r="U239" s="1"/>
      <c r="V239" s="24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</row>
    <row r="240" spans="1:41" x14ac:dyDescent="0.25">
      <c r="A240" s="1"/>
      <c r="B240" s="1"/>
      <c r="C240" s="1"/>
      <c r="D240" s="1"/>
      <c r="E240" s="1"/>
      <c r="F240" s="1"/>
      <c r="G240" s="7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24"/>
      <c r="T240" s="1"/>
      <c r="U240" s="1"/>
      <c r="V240" s="24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</row>
    <row r="241" spans="1:41" x14ac:dyDescent="0.25">
      <c r="A241" s="1"/>
      <c r="B241" s="1"/>
      <c r="C241" s="1"/>
      <c r="D241" s="1"/>
      <c r="E241" s="1"/>
      <c r="F241" s="1"/>
      <c r="G241" s="7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24"/>
      <c r="T241" s="1"/>
      <c r="U241" s="1"/>
      <c r="V241" s="24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</row>
    <row r="242" spans="1:41" x14ac:dyDescent="0.25">
      <c r="A242" s="1"/>
      <c r="B242" s="1"/>
      <c r="C242" s="1"/>
      <c r="D242" s="1"/>
      <c r="E242" s="1"/>
      <c r="F242" s="1"/>
      <c r="G242" s="7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24"/>
      <c r="T242" s="1"/>
      <c r="U242" s="1"/>
      <c r="V242" s="24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</row>
    <row r="243" spans="1:41" x14ac:dyDescent="0.25">
      <c r="A243" s="1"/>
      <c r="B243" s="1"/>
      <c r="C243" s="1"/>
      <c r="D243" s="1"/>
      <c r="E243" s="1"/>
      <c r="F243" s="1"/>
      <c r="G243" s="7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24"/>
      <c r="T243" s="1"/>
      <c r="U243" s="1"/>
      <c r="V243" s="24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</row>
    <row r="244" spans="1:41" x14ac:dyDescent="0.25">
      <c r="A244" s="1"/>
      <c r="B244" s="1"/>
      <c r="C244" s="1"/>
      <c r="D244" s="1"/>
      <c r="E244" s="1"/>
      <c r="F244" s="1"/>
      <c r="G244" s="7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24"/>
      <c r="T244" s="1"/>
      <c r="U244" s="1"/>
      <c r="V244" s="24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</row>
    <row r="245" spans="1:41" x14ac:dyDescent="0.25">
      <c r="A245" s="1"/>
      <c r="B245" s="1"/>
      <c r="C245" s="1"/>
      <c r="D245" s="1"/>
      <c r="E245" s="1"/>
      <c r="F245" s="1"/>
      <c r="G245" s="7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24"/>
      <c r="T245" s="1"/>
      <c r="U245" s="1"/>
      <c r="V245" s="24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</row>
    <row r="246" spans="1:41" x14ac:dyDescent="0.25">
      <c r="A246" s="1"/>
      <c r="B246" s="1"/>
      <c r="C246" s="1"/>
      <c r="D246" s="1"/>
      <c r="E246" s="1"/>
      <c r="F246" s="1"/>
      <c r="G246" s="7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24"/>
      <c r="T246" s="1"/>
      <c r="U246" s="1"/>
      <c r="V246" s="24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</row>
    <row r="247" spans="1:41" x14ac:dyDescent="0.25">
      <c r="A247" s="1"/>
      <c r="B247" s="1"/>
      <c r="C247" s="1"/>
      <c r="D247" s="1"/>
      <c r="E247" s="1"/>
      <c r="F247" s="1"/>
      <c r="G247" s="7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24"/>
      <c r="T247" s="1"/>
      <c r="U247" s="1"/>
      <c r="V247" s="24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</row>
    <row r="248" spans="1:41" x14ac:dyDescent="0.25">
      <c r="A248" s="1"/>
      <c r="B248" s="1"/>
      <c r="C248" s="1"/>
      <c r="D248" s="1"/>
      <c r="E248" s="1"/>
      <c r="F248" s="1"/>
      <c r="G248" s="7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24"/>
      <c r="T248" s="1"/>
      <c r="U248" s="1"/>
      <c r="V248" s="24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</row>
    <row r="249" spans="1:41" x14ac:dyDescent="0.25">
      <c r="A249" s="1"/>
      <c r="B249" s="1"/>
      <c r="C249" s="1"/>
      <c r="D249" s="1"/>
      <c r="E249" s="1"/>
      <c r="F249" s="1"/>
      <c r="G249" s="7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24"/>
      <c r="T249" s="1"/>
      <c r="U249" s="1"/>
      <c r="V249" s="24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</row>
    <row r="250" spans="1:41" x14ac:dyDescent="0.25">
      <c r="A250" s="1"/>
      <c r="B250" s="1"/>
      <c r="C250" s="1"/>
      <c r="D250" s="1"/>
      <c r="E250" s="1"/>
      <c r="F250" s="1"/>
      <c r="G250" s="7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24"/>
      <c r="T250" s="1"/>
      <c r="U250" s="1"/>
      <c r="V250" s="24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</row>
    <row r="251" spans="1:41" x14ac:dyDescent="0.25">
      <c r="A251" s="1"/>
      <c r="B251" s="1"/>
      <c r="C251" s="1"/>
      <c r="D251" s="1"/>
      <c r="E251" s="1"/>
      <c r="F251" s="1"/>
      <c r="G251" s="7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24"/>
      <c r="T251" s="1"/>
      <c r="U251" s="1"/>
      <c r="V251" s="24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</row>
    <row r="252" spans="1:41" x14ac:dyDescent="0.25">
      <c r="A252" s="1"/>
      <c r="B252" s="1"/>
      <c r="C252" s="1"/>
      <c r="D252" s="1"/>
      <c r="E252" s="1"/>
      <c r="F252" s="1"/>
      <c r="G252" s="7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24"/>
      <c r="T252" s="1"/>
      <c r="U252" s="1"/>
      <c r="V252" s="24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</row>
    <row r="253" spans="1:41" x14ac:dyDescent="0.25">
      <c r="A253" s="1"/>
      <c r="B253" s="1"/>
      <c r="C253" s="1"/>
      <c r="D253" s="1"/>
      <c r="E253" s="1"/>
      <c r="F253" s="1"/>
      <c r="G253" s="7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24"/>
      <c r="T253" s="1"/>
      <c r="U253" s="1"/>
      <c r="V253" s="24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</row>
    <row r="254" spans="1:41" x14ac:dyDescent="0.25">
      <c r="A254" s="1"/>
      <c r="B254" s="1"/>
      <c r="C254" s="1"/>
      <c r="D254" s="1"/>
      <c r="E254" s="1"/>
      <c r="F254" s="1"/>
      <c r="G254" s="7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24"/>
      <c r="T254" s="1"/>
      <c r="U254" s="1"/>
      <c r="V254" s="24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</row>
    <row r="255" spans="1:41" x14ac:dyDescent="0.25">
      <c r="A255" s="1"/>
      <c r="B255" s="1"/>
      <c r="C255" s="1"/>
      <c r="D255" s="1"/>
      <c r="E255" s="1"/>
      <c r="F255" s="1"/>
      <c r="G255" s="7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24"/>
      <c r="T255" s="1"/>
      <c r="U255" s="1"/>
      <c r="V255" s="24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</row>
    <row r="256" spans="1:41" x14ac:dyDescent="0.25">
      <c r="A256" s="1"/>
      <c r="B256" s="1"/>
      <c r="C256" s="1"/>
      <c r="D256" s="1"/>
      <c r="E256" s="1"/>
      <c r="F256" s="1"/>
      <c r="G256" s="7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24"/>
      <c r="T256" s="1"/>
      <c r="U256" s="1"/>
      <c r="V256" s="24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</row>
    <row r="257" spans="1:41" x14ac:dyDescent="0.25">
      <c r="A257" s="1"/>
      <c r="B257" s="1"/>
      <c r="C257" s="1"/>
      <c r="D257" s="1"/>
      <c r="E257" s="1"/>
      <c r="F257" s="1"/>
      <c r="G257" s="7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24"/>
      <c r="T257" s="1"/>
      <c r="U257" s="1"/>
      <c r="V257" s="24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</row>
    <row r="258" spans="1:41" x14ac:dyDescent="0.25">
      <c r="A258" s="1"/>
      <c r="B258" s="1"/>
      <c r="C258" s="1"/>
      <c r="D258" s="1"/>
      <c r="E258" s="1"/>
      <c r="F258" s="1"/>
      <c r="G258" s="7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24"/>
      <c r="T258" s="1"/>
      <c r="U258" s="1"/>
      <c r="V258" s="24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</row>
    <row r="259" spans="1:41" x14ac:dyDescent="0.25">
      <c r="A259" s="1"/>
      <c r="B259" s="1"/>
      <c r="C259" s="1"/>
      <c r="D259" s="1"/>
      <c r="E259" s="1"/>
      <c r="F259" s="1"/>
      <c r="G259" s="7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24"/>
      <c r="T259" s="1"/>
      <c r="U259" s="1"/>
      <c r="V259" s="24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</row>
    <row r="260" spans="1:41" x14ac:dyDescent="0.25">
      <c r="A260" s="1"/>
      <c r="B260" s="1"/>
      <c r="C260" s="1"/>
      <c r="D260" s="1"/>
      <c r="E260" s="1"/>
      <c r="F260" s="1"/>
      <c r="G260" s="7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24"/>
      <c r="T260" s="1"/>
      <c r="U260" s="1"/>
      <c r="V260" s="24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</row>
    <row r="261" spans="1:41" x14ac:dyDescent="0.25">
      <c r="A261" s="1"/>
      <c r="B261" s="1"/>
      <c r="C261" s="1"/>
      <c r="D261" s="1"/>
      <c r="E261" s="1"/>
      <c r="F261" s="1"/>
      <c r="G261" s="7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24"/>
      <c r="T261" s="1"/>
      <c r="U261" s="1"/>
      <c r="V261" s="24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</row>
    <row r="262" spans="1:41" x14ac:dyDescent="0.25">
      <c r="A262" s="1"/>
      <c r="B262" s="1"/>
      <c r="C262" s="1"/>
      <c r="D262" s="1"/>
      <c r="E262" s="1"/>
      <c r="F262" s="1"/>
      <c r="G262" s="7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24"/>
      <c r="T262" s="1"/>
      <c r="U262" s="1"/>
      <c r="V262" s="24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</row>
    <row r="263" spans="1:41" x14ac:dyDescent="0.25">
      <c r="A263" s="1"/>
      <c r="B263" s="1"/>
      <c r="C263" s="1"/>
      <c r="D263" s="1"/>
      <c r="E263" s="1"/>
      <c r="F263" s="1"/>
      <c r="G263" s="7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24"/>
      <c r="T263" s="1"/>
      <c r="U263" s="1"/>
      <c r="V263" s="24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</row>
    <row r="264" spans="1:41" x14ac:dyDescent="0.25">
      <c r="A264" s="1"/>
      <c r="B264" s="1"/>
      <c r="C264" s="1"/>
      <c r="D264" s="1"/>
      <c r="E264" s="1"/>
      <c r="F264" s="1"/>
      <c r="G264" s="7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24"/>
      <c r="T264" s="1"/>
      <c r="U264" s="1"/>
      <c r="V264" s="24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</row>
    <row r="265" spans="1:41" x14ac:dyDescent="0.25">
      <c r="A265" s="1"/>
      <c r="B265" s="1"/>
      <c r="C265" s="1"/>
      <c r="D265" s="1"/>
      <c r="E265" s="1"/>
      <c r="F265" s="1"/>
      <c r="G265" s="7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24"/>
      <c r="T265" s="1"/>
      <c r="U265" s="1"/>
      <c r="V265" s="24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</row>
    <row r="266" spans="1:41" x14ac:dyDescent="0.25">
      <c r="A266" s="1"/>
      <c r="B266" s="1"/>
      <c r="C266" s="1"/>
      <c r="D266" s="1"/>
      <c r="E266" s="1"/>
      <c r="F266" s="1"/>
      <c r="G266" s="7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24"/>
      <c r="T266" s="1"/>
      <c r="U266" s="1"/>
      <c r="V266" s="24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</row>
    <row r="267" spans="1:41" x14ac:dyDescent="0.25">
      <c r="A267" s="1"/>
      <c r="B267" s="1"/>
      <c r="C267" s="1"/>
      <c r="D267" s="1"/>
      <c r="E267" s="1"/>
      <c r="F267" s="1"/>
      <c r="G267" s="7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24"/>
      <c r="T267" s="1"/>
      <c r="U267" s="1"/>
      <c r="V267" s="24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</row>
    <row r="268" spans="1:41" x14ac:dyDescent="0.25">
      <c r="A268" s="1"/>
      <c r="B268" s="1"/>
      <c r="C268" s="1"/>
      <c r="D268" s="1"/>
      <c r="E268" s="1"/>
      <c r="F268" s="1"/>
      <c r="G268" s="7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24"/>
      <c r="T268" s="1"/>
      <c r="U268" s="1"/>
      <c r="V268" s="24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</row>
    <row r="269" spans="1:41" x14ac:dyDescent="0.25">
      <c r="A269" s="1"/>
      <c r="B269" s="1"/>
      <c r="C269" s="1"/>
      <c r="D269" s="1"/>
      <c r="E269" s="1"/>
      <c r="F269" s="1"/>
      <c r="G269" s="7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24"/>
      <c r="T269" s="1"/>
      <c r="U269" s="1"/>
      <c r="V269" s="24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</row>
    <row r="270" spans="1:41" x14ac:dyDescent="0.25">
      <c r="A270" s="1"/>
      <c r="B270" s="1"/>
      <c r="C270" s="1"/>
      <c r="D270" s="1"/>
      <c r="E270" s="1"/>
      <c r="F270" s="1"/>
      <c r="G270" s="7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24"/>
      <c r="T270" s="1"/>
      <c r="U270" s="1"/>
      <c r="V270" s="24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</row>
    <row r="271" spans="1:41" x14ac:dyDescent="0.25">
      <c r="A271" s="1"/>
      <c r="B271" s="1"/>
      <c r="C271" s="1"/>
      <c r="D271" s="1"/>
      <c r="E271" s="1"/>
      <c r="F271" s="1"/>
      <c r="G271" s="7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24"/>
      <c r="T271" s="1"/>
      <c r="U271" s="1"/>
      <c r="V271" s="24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</row>
    <row r="272" spans="1:41" x14ac:dyDescent="0.25">
      <c r="A272" s="1"/>
      <c r="B272" s="1"/>
      <c r="C272" s="1"/>
      <c r="D272" s="1"/>
      <c r="E272" s="1"/>
      <c r="F272" s="1"/>
      <c r="G272" s="7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24"/>
      <c r="T272" s="1"/>
      <c r="U272" s="1"/>
      <c r="V272" s="24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</row>
    <row r="273" spans="1:41" x14ac:dyDescent="0.25">
      <c r="A273" s="1"/>
      <c r="B273" s="1"/>
      <c r="C273" s="1"/>
      <c r="D273" s="1"/>
      <c r="E273" s="1"/>
      <c r="F273" s="1"/>
      <c r="G273" s="7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24"/>
      <c r="T273" s="1"/>
      <c r="U273" s="1"/>
      <c r="V273" s="24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</row>
    <row r="274" spans="1:41" x14ac:dyDescent="0.25">
      <c r="A274" s="1"/>
      <c r="B274" s="1"/>
      <c r="C274" s="1"/>
      <c r="D274" s="1"/>
      <c r="E274" s="1"/>
      <c r="F274" s="1"/>
      <c r="G274" s="7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24"/>
      <c r="T274" s="1"/>
      <c r="U274" s="1"/>
      <c r="V274" s="24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</row>
    <row r="275" spans="1:41" x14ac:dyDescent="0.25">
      <c r="A275" s="1"/>
      <c r="B275" s="1"/>
      <c r="C275" s="1"/>
      <c r="D275" s="1"/>
      <c r="E275" s="1"/>
      <c r="F275" s="1"/>
      <c r="G275" s="7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24"/>
      <c r="T275" s="1"/>
      <c r="U275" s="1"/>
      <c r="V275" s="24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</row>
    <row r="276" spans="1:41" x14ac:dyDescent="0.25">
      <c r="A276" s="1"/>
      <c r="B276" s="1"/>
      <c r="C276" s="1"/>
      <c r="D276" s="1"/>
      <c r="E276" s="1"/>
      <c r="F276" s="1"/>
      <c r="G276" s="7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24"/>
      <c r="T276" s="1"/>
      <c r="U276" s="1"/>
      <c r="V276" s="24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</row>
    <row r="277" spans="1:41" x14ac:dyDescent="0.25">
      <c r="A277" s="1"/>
      <c r="B277" s="1"/>
      <c r="C277" s="1"/>
      <c r="D277" s="1"/>
      <c r="E277" s="1"/>
      <c r="F277" s="1"/>
      <c r="G277" s="7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24"/>
      <c r="T277" s="1"/>
      <c r="U277" s="1"/>
      <c r="V277" s="24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</row>
    <row r="278" spans="1:41" x14ac:dyDescent="0.25">
      <c r="A278" s="1"/>
      <c r="B278" s="1"/>
      <c r="C278" s="1"/>
      <c r="D278" s="1"/>
      <c r="E278" s="1"/>
      <c r="F278" s="1"/>
      <c r="G278" s="7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24"/>
      <c r="T278" s="1"/>
      <c r="U278" s="1"/>
      <c r="V278" s="24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</row>
    <row r="279" spans="1:41" x14ac:dyDescent="0.25">
      <c r="A279" s="1"/>
      <c r="B279" s="1"/>
      <c r="C279" s="1"/>
      <c r="D279" s="1"/>
      <c r="E279" s="1"/>
      <c r="F279" s="1"/>
      <c r="G279" s="7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24"/>
      <c r="T279" s="1"/>
      <c r="U279" s="1"/>
      <c r="V279" s="24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</row>
    <row r="280" spans="1:41" x14ac:dyDescent="0.25">
      <c r="A280" s="1"/>
      <c r="B280" s="1"/>
      <c r="C280" s="1"/>
      <c r="D280" s="1"/>
      <c r="E280" s="1"/>
      <c r="F280" s="1"/>
      <c r="G280" s="7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24"/>
      <c r="T280" s="1"/>
      <c r="U280" s="1"/>
      <c r="V280" s="24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</row>
    <row r="281" spans="1:41" x14ac:dyDescent="0.25">
      <c r="A281" s="1"/>
      <c r="B281" s="1"/>
      <c r="C281" s="1"/>
      <c r="D281" s="1"/>
      <c r="E281" s="1"/>
      <c r="F281" s="1"/>
      <c r="G281" s="7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24"/>
      <c r="T281" s="1"/>
      <c r="U281" s="1"/>
      <c r="V281" s="24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</row>
    <row r="282" spans="1:41" x14ac:dyDescent="0.25">
      <c r="A282" s="1"/>
      <c r="B282" s="1"/>
      <c r="C282" s="1"/>
      <c r="D282" s="1"/>
      <c r="E282" s="1"/>
      <c r="F282" s="1"/>
      <c r="G282" s="7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24"/>
      <c r="T282" s="1"/>
      <c r="U282" s="1"/>
      <c r="V282" s="24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</row>
    <row r="283" spans="1:41" x14ac:dyDescent="0.25">
      <c r="A283" s="1"/>
      <c r="B283" s="1"/>
      <c r="C283" s="1"/>
      <c r="D283" s="1"/>
      <c r="E283" s="1"/>
      <c r="F283" s="1"/>
      <c r="G283" s="7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24"/>
      <c r="T283" s="1"/>
      <c r="U283" s="1"/>
      <c r="V283" s="24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</row>
    <row r="284" spans="1:41" x14ac:dyDescent="0.25">
      <c r="A284" s="1"/>
      <c r="B284" s="1"/>
      <c r="C284" s="1"/>
      <c r="D284" s="1"/>
      <c r="E284" s="1"/>
      <c r="F284" s="1"/>
      <c r="G284" s="7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24"/>
      <c r="T284" s="1"/>
      <c r="U284" s="1"/>
      <c r="V284" s="24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</row>
    <row r="285" spans="1:41" x14ac:dyDescent="0.25">
      <c r="A285" s="1"/>
      <c r="B285" s="1"/>
      <c r="C285" s="1"/>
      <c r="D285" s="1"/>
      <c r="E285" s="1"/>
      <c r="F285" s="1"/>
      <c r="G285" s="7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24"/>
      <c r="T285" s="1"/>
      <c r="U285" s="1"/>
      <c r="V285" s="24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</row>
    <row r="286" spans="1:41" x14ac:dyDescent="0.25">
      <c r="A286" s="1"/>
      <c r="B286" s="1"/>
      <c r="C286" s="1"/>
      <c r="D286" s="1"/>
      <c r="E286" s="1"/>
      <c r="F286" s="1"/>
      <c r="G286" s="7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24"/>
      <c r="T286" s="1"/>
      <c r="U286" s="1"/>
      <c r="V286" s="24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</row>
    <row r="287" spans="1:41" x14ac:dyDescent="0.25">
      <c r="A287" s="1"/>
      <c r="B287" s="1"/>
      <c r="C287" s="1"/>
      <c r="D287" s="1"/>
      <c r="E287" s="1"/>
      <c r="F287" s="1"/>
      <c r="G287" s="7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24"/>
      <c r="T287" s="1"/>
      <c r="U287" s="1"/>
      <c r="V287" s="24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</row>
    <row r="288" spans="1:41" x14ac:dyDescent="0.25">
      <c r="A288" s="1"/>
      <c r="B288" s="1"/>
      <c r="C288" s="1"/>
      <c r="D288" s="1"/>
      <c r="E288" s="1"/>
      <c r="F288" s="1"/>
      <c r="G288" s="7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24"/>
      <c r="T288" s="1"/>
      <c r="U288" s="1"/>
      <c r="V288" s="24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</row>
    <row r="289" spans="1:41" x14ac:dyDescent="0.25">
      <c r="A289" s="1"/>
      <c r="B289" s="1"/>
      <c r="C289" s="1"/>
      <c r="D289" s="1"/>
      <c r="E289" s="1"/>
      <c r="F289" s="1"/>
      <c r="G289" s="7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24"/>
      <c r="T289" s="1"/>
      <c r="U289" s="1"/>
      <c r="V289" s="24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</row>
    <row r="290" spans="1:41" x14ac:dyDescent="0.25">
      <c r="A290" s="1"/>
      <c r="B290" s="1"/>
      <c r="C290" s="1"/>
      <c r="D290" s="1"/>
      <c r="E290" s="1"/>
      <c r="F290" s="1"/>
      <c r="G290" s="7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24"/>
      <c r="T290" s="1"/>
      <c r="U290" s="1"/>
      <c r="V290" s="24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</row>
    <row r="291" spans="1:41" x14ac:dyDescent="0.25">
      <c r="A291" s="1"/>
      <c r="B291" s="1"/>
      <c r="C291" s="1"/>
      <c r="D291" s="1"/>
      <c r="E291" s="1"/>
      <c r="F291" s="1"/>
      <c r="G291" s="7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24"/>
      <c r="T291" s="1"/>
      <c r="U291" s="1"/>
      <c r="V291" s="24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</row>
    <row r="292" spans="1:41" x14ac:dyDescent="0.25">
      <c r="A292" s="1"/>
      <c r="B292" s="1"/>
      <c r="C292" s="1"/>
      <c r="D292" s="1"/>
      <c r="E292" s="1"/>
      <c r="F292" s="1"/>
      <c r="G292" s="7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24"/>
      <c r="T292" s="1"/>
      <c r="U292" s="1"/>
      <c r="V292" s="24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</row>
    <row r="293" spans="1:41" x14ac:dyDescent="0.25">
      <c r="A293" s="1"/>
      <c r="B293" s="1"/>
      <c r="C293" s="1"/>
      <c r="D293" s="1"/>
      <c r="E293" s="1"/>
      <c r="F293" s="1"/>
      <c r="G293" s="7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24"/>
      <c r="T293" s="1"/>
      <c r="U293" s="1"/>
      <c r="V293" s="24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</row>
    <row r="294" spans="1:41" x14ac:dyDescent="0.25">
      <c r="A294" s="1"/>
      <c r="B294" s="1"/>
      <c r="C294" s="1"/>
      <c r="D294" s="1"/>
      <c r="E294" s="1"/>
      <c r="F294" s="1"/>
      <c r="G294" s="7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24"/>
      <c r="T294" s="1"/>
      <c r="U294" s="1"/>
      <c r="V294" s="24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</row>
    <row r="295" spans="1:41" x14ac:dyDescent="0.25">
      <c r="A295" s="1"/>
      <c r="B295" s="1"/>
      <c r="C295" s="1"/>
      <c r="D295" s="1"/>
      <c r="E295" s="1"/>
      <c r="F295" s="1"/>
      <c r="G295" s="7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24"/>
      <c r="T295" s="1"/>
      <c r="U295" s="1"/>
      <c r="V295" s="24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</row>
    <row r="296" spans="1:41" x14ac:dyDescent="0.25">
      <c r="A296" s="1"/>
      <c r="B296" s="1"/>
      <c r="C296" s="1"/>
      <c r="D296" s="1"/>
      <c r="E296" s="1"/>
      <c r="F296" s="1"/>
      <c r="G296" s="7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24"/>
      <c r="T296" s="1"/>
      <c r="U296" s="1"/>
      <c r="V296" s="24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</row>
    <row r="297" spans="1:41" x14ac:dyDescent="0.25">
      <c r="A297" s="1"/>
      <c r="B297" s="1"/>
      <c r="C297" s="1"/>
      <c r="D297" s="1"/>
      <c r="E297" s="1"/>
      <c r="F297" s="1"/>
      <c r="G297" s="7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24"/>
      <c r="T297" s="1"/>
      <c r="U297" s="1"/>
      <c r="V297" s="24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</row>
    <row r="298" spans="1:41" x14ac:dyDescent="0.25">
      <c r="A298" s="1"/>
      <c r="B298" s="1"/>
      <c r="C298" s="1"/>
      <c r="D298" s="1"/>
      <c r="E298" s="1"/>
      <c r="F298" s="1"/>
      <c r="G298" s="7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24"/>
      <c r="T298" s="1"/>
      <c r="U298" s="1"/>
      <c r="V298" s="24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</row>
    <row r="299" spans="1:41" x14ac:dyDescent="0.25">
      <c r="A299" s="1"/>
      <c r="B299" s="1"/>
      <c r="C299" s="1"/>
      <c r="D299" s="1"/>
      <c r="E299" s="1"/>
      <c r="F299" s="1"/>
      <c r="G299" s="7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24"/>
      <c r="T299" s="1"/>
      <c r="U299" s="1"/>
      <c r="V299" s="24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</row>
    <row r="300" spans="1:41" x14ac:dyDescent="0.25">
      <c r="A300" s="1"/>
      <c r="B300" s="1"/>
      <c r="C300" s="1"/>
      <c r="D300" s="1"/>
      <c r="E300" s="1"/>
      <c r="F300" s="1"/>
      <c r="G300" s="7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24"/>
      <c r="T300" s="1"/>
      <c r="U300" s="1"/>
      <c r="V300" s="24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</row>
    <row r="301" spans="1:41" x14ac:dyDescent="0.25">
      <c r="A301" s="1"/>
      <c r="B301" s="1"/>
      <c r="C301" s="1"/>
      <c r="D301" s="1"/>
      <c r="E301" s="1"/>
      <c r="F301" s="1"/>
      <c r="G301" s="7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24"/>
      <c r="T301" s="1"/>
      <c r="U301" s="1"/>
      <c r="V301" s="24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</row>
    <row r="302" spans="1:41" x14ac:dyDescent="0.25">
      <c r="A302" s="1"/>
      <c r="B302" s="1"/>
      <c r="C302" s="1"/>
      <c r="D302" s="1"/>
      <c r="E302" s="1"/>
      <c r="F302" s="1"/>
      <c r="G302" s="7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24"/>
      <c r="T302" s="1"/>
      <c r="U302" s="1"/>
      <c r="V302" s="24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</row>
    <row r="303" spans="1:41" x14ac:dyDescent="0.25">
      <c r="A303" s="1"/>
      <c r="B303" s="1"/>
      <c r="C303" s="1"/>
      <c r="D303" s="1"/>
      <c r="E303" s="1"/>
      <c r="F303" s="1"/>
      <c r="G303" s="7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24"/>
      <c r="T303" s="1"/>
      <c r="U303" s="1"/>
      <c r="V303" s="24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</row>
    <row r="304" spans="1:41" x14ac:dyDescent="0.25">
      <c r="A304" s="1"/>
      <c r="B304" s="1"/>
      <c r="C304" s="1"/>
      <c r="D304" s="1"/>
      <c r="E304" s="1"/>
      <c r="F304" s="1"/>
      <c r="G304" s="7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24"/>
      <c r="T304" s="1"/>
      <c r="U304" s="1"/>
      <c r="V304" s="24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</row>
    <row r="305" spans="1:41" x14ac:dyDescent="0.25">
      <c r="A305" s="1"/>
      <c r="B305" s="1"/>
      <c r="C305" s="1"/>
      <c r="D305" s="1"/>
      <c r="E305" s="1"/>
      <c r="F305" s="1"/>
      <c r="G305" s="7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24"/>
      <c r="T305" s="1"/>
      <c r="U305" s="1"/>
      <c r="V305" s="24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</row>
    <row r="306" spans="1:41" x14ac:dyDescent="0.25">
      <c r="A306" s="1"/>
      <c r="B306" s="1"/>
      <c r="C306" s="1"/>
      <c r="D306" s="1"/>
      <c r="E306" s="1"/>
      <c r="F306" s="1"/>
      <c r="G306" s="7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24"/>
      <c r="T306" s="1"/>
      <c r="U306" s="1"/>
      <c r="V306" s="24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</row>
    <row r="307" spans="1:41" x14ac:dyDescent="0.25">
      <c r="A307" s="1"/>
      <c r="B307" s="1"/>
      <c r="C307" s="1"/>
      <c r="D307" s="1"/>
      <c r="E307" s="1"/>
      <c r="F307" s="1"/>
      <c r="G307" s="7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24"/>
      <c r="T307" s="1"/>
      <c r="U307" s="1"/>
      <c r="V307" s="24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</row>
    <row r="308" spans="1:41" x14ac:dyDescent="0.25">
      <c r="A308" s="1"/>
      <c r="B308" s="1"/>
      <c r="C308" s="1"/>
      <c r="D308" s="1"/>
      <c r="E308" s="1"/>
      <c r="F308" s="1"/>
      <c r="G308" s="7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24"/>
      <c r="T308" s="1"/>
      <c r="U308" s="1"/>
      <c r="V308" s="24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</row>
    <row r="309" spans="1:41" x14ac:dyDescent="0.25">
      <c r="A309" s="1"/>
      <c r="B309" s="1"/>
      <c r="C309" s="1"/>
      <c r="D309" s="1"/>
      <c r="E309" s="1"/>
      <c r="F309" s="1"/>
      <c r="G309" s="7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24"/>
      <c r="T309" s="1"/>
      <c r="U309" s="1"/>
      <c r="V309" s="24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</row>
    <row r="310" spans="1:41" x14ac:dyDescent="0.25">
      <c r="A310" s="1"/>
      <c r="B310" s="1"/>
      <c r="C310" s="1"/>
      <c r="D310" s="1"/>
      <c r="E310" s="1"/>
      <c r="F310" s="1"/>
      <c r="G310" s="7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24"/>
      <c r="T310" s="1"/>
      <c r="U310" s="1"/>
      <c r="V310" s="24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</row>
    <row r="311" spans="1:41" x14ac:dyDescent="0.25">
      <c r="A311" s="1"/>
      <c r="B311" s="1"/>
      <c r="C311" s="1"/>
      <c r="D311" s="1"/>
      <c r="E311" s="1"/>
      <c r="F311" s="1"/>
      <c r="G311" s="7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24"/>
      <c r="T311" s="1"/>
      <c r="U311" s="1"/>
      <c r="V311" s="24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</row>
    <row r="312" spans="1:41" x14ac:dyDescent="0.25">
      <c r="A312" s="1"/>
      <c r="B312" s="1"/>
      <c r="C312" s="1"/>
      <c r="D312" s="1"/>
      <c r="E312" s="1"/>
      <c r="F312" s="1"/>
      <c r="G312" s="7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24"/>
      <c r="T312" s="1"/>
      <c r="U312" s="1"/>
      <c r="V312" s="24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</row>
    <row r="313" spans="1:41" x14ac:dyDescent="0.25">
      <c r="A313" s="1"/>
      <c r="B313" s="1"/>
      <c r="C313" s="1"/>
      <c r="D313" s="1"/>
      <c r="E313" s="1"/>
      <c r="F313" s="1"/>
      <c r="G313" s="7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24"/>
      <c r="T313" s="1"/>
      <c r="U313" s="1"/>
      <c r="V313" s="24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</row>
    <row r="314" spans="1:41" x14ac:dyDescent="0.25">
      <c r="A314" s="1"/>
      <c r="B314" s="1"/>
      <c r="C314" s="1"/>
      <c r="D314" s="1"/>
      <c r="E314" s="1"/>
      <c r="F314" s="1"/>
      <c r="G314" s="7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24"/>
      <c r="T314" s="1"/>
      <c r="U314" s="1"/>
      <c r="V314" s="24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</row>
    <row r="315" spans="1:41" x14ac:dyDescent="0.25">
      <c r="A315" s="1"/>
      <c r="B315" s="1"/>
      <c r="C315" s="1"/>
      <c r="D315" s="1"/>
      <c r="E315" s="1"/>
      <c r="F315" s="1"/>
      <c r="G315" s="7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24"/>
      <c r="T315" s="1"/>
      <c r="U315" s="1"/>
      <c r="V315" s="24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</row>
    <row r="316" spans="1:41" x14ac:dyDescent="0.25">
      <c r="A316" s="1"/>
      <c r="B316" s="1"/>
      <c r="C316" s="1"/>
      <c r="D316" s="1"/>
      <c r="E316" s="1"/>
      <c r="F316" s="1"/>
      <c r="G316" s="7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24"/>
      <c r="T316" s="1"/>
      <c r="U316" s="1"/>
      <c r="V316" s="24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</row>
    <row r="317" spans="1:41" x14ac:dyDescent="0.25">
      <c r="A317" s="1"/>
      <c r="B317" s="1"/>
      <c r="C317" s="1"/>
      <c r="D317" s="1"/>
      <c r="E317" s="1"/>
      <c r="F317" s="1"/>
      <c r="G317" s="7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24"/>
      <c r="T317" s="1"/>
      <c r="U317" s="1"/>
      <c r="V317" s="24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</row>
    <row r="318" spans="1:41" x14ac:dyDescent="0.25">
      <c r="A318" s="1"/>
      <c r="B318" s="1"/>
      <c r="C318" s="1"/>
      <c r="D318" s="1"/>
      <c r="E318" s="1"/>
      <c r="F318" s="1"/>
      <c r="G318" s="7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24"/>
      <c r="T318" s="1"/>
      <c r="U318" s="1"/>
      <c r="V318" s="24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</row>
    <row r="319" spans="1:41" x14ac:dyDescent="0.25">
      <c r="A319" s="1"/>
      <c r="B319" s="1"/>
      <c r="C319" s="1"/>
      <c r="D319" s="1"/>
      <c r="E319" s="1"/>
      <c r="F319" s="1"/>
      <c r="G319" s="7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24"/>
      <c r="T319" s="1"/>
      <c r="U319" s="1"/>
      <c r="V319" s="24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</row>
    <row r="320" spans="1:41" x14ac:dyDescent="0.25">
      <c r="A320" s="1"/>
      <c r="B320" s="1"/>
      <c r="C320" s="1"/>
      <c r="D320" s="1"/>
      <c r="E320" s="1"/>
      <c r="F320" s="1"/>
      <c r="G320" s="7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24"/>
      <c r="T320" s="1"/>
      <c r="U320" s="1"/>
      <c r="V320" s="24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</row>
    <row r="321" spans="1:41" x14ac:dyDescent="0.25">
      <c r="A321" s="1"/>
      <c r="B321" s="1"/>
      <c r="C321" s="1"/>
      <c r="D321" s="1"/>
      <c r="E321" s="1"/>
      <c r="F321" s="1"/>
      <c r="G321" s="7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24"/>
      <c r="T321" s="1"/>
      <c r="U321" s="1"/>
      <c r="V321" s="24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</row>
    <row r="322" spans="1:41" x14ac:dyDescent="0.25">
      <c r="A322" s="1"/>
      <c r="B322" s="1"/>
      <c r="C322" s="1"/>
      <c r="D322" s="1"/>
      <c r="E322" s="1"/>
      <c r="F322" s="1"/>
      <c r="G322" s="7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24"/>
      <c r="T322" s="1"/>
      <c r="U322" s="1"/>
      <c r="V322" s="24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</row>
    <row r="323" spans="1:41" x14ac:dyDescent="0.25">
      <c r="A323" s="1"/>
      <c r="B323" s="1"/>
      <c r="C323" s="1"/>
      <c r="D323" s="1"/>
      <c r="E323" s="1"/>
      <c r="F323" s="1"/>
      <c r="G323" s="7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24"/>
      <c r="T323" s="1"/>
      <c r="U323" s="1"/>
      <c r="V323" s="24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</row>
    <row r="324" spans="1:41" x14ac:dyDescent="0.25">
      <c r="A324" s="1"/>
      <c r="B324" s="1"/>
      <c r="C324" s="1"/>
      <c r="D324" s="1"/>
      <c r="E324" s="1"/>
      <c r="F324" s="1"/>
      <c r="G324" s="7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24"/>
      <c r="T324" s="1"/>
      <c r="U324" s="1"/>
      <c r="V324" s="24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</row>
    <row r="325" spans="1:41" x14ac:dyDescent="0.25">
      <c r="A325" s="1"/>
      <c r="B325" s="1"/>
      <c r="C325" s="1"/>
      <c r="D325" s="1"/>
      <c r="E325" s="1"/>
      <c r="F325" s="1"/>
      <c r="G325" s="7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24"/>
      <c r="T325" s="1"/>
      <c r="U325" s="1"/>
      <c r="V325" s="24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</row>
    <row r="326" spans="1:41" x14ac:dyDescent="0.25">
      <c r="A326" s="1"/>
      <c r="B326" s="1"/>
      <c r="C326" s="1"/>
      <c r="D326" s="1"/>
      <c r="E326" s="1"/>
      <c r="F326" s="1"/>
      <c r="G326" s="7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24"/>
      <c r="T326" s="1"/>
      <c r="U326" s="1"/>
      <c r="V326" s="24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</row>
    <row r="327" spans="1:41" x14ac:dyDescent="0.25">
      <c r="A327" s="1"/>
      <c r="B327" s="1"/>
      <c r="C327" s="1"/>
      <c r="D327" s="1"/>
      <c r="E327" s="1"/>
      <c r="F327" s="1"/>
      <c r="G327" s="7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24"/>
      <c r="T327" s="1"/>
      <c r="U327" s="1"/>
      <c r="V327" s="24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</row>
    <row r="328" spans="1:41" x14ac:dyDescent="0.25">
      <c r="A328" s="1"/>
      <c r="B328" s="1"/>
      <c r="C328" s="1"/>
      <c r="D328" s="1"/>
      <c r="E328" s="1"/>
      <c r="F328" s="1"/>
      <c r="G328" s="7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24"/>
      <c r="T328" s="1"/>
      <c r="U328" s="1"/>
      <c r="V328" s="24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</row>
    <row r="329" spans="1:41" x14ac:dyDescent="0.25">
      <c r="A329" s="1"/>
      <c r="B329" s="1"/>
      <c r="C329" s="1"/>
      <c r="D329" s="1"/>
      <c r="E329" s="1"/>
      <c r="F329" s="1"/>
      <c r="G329" s="7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24"/>
      <c r="T329" s="1"/>
      <c r="U329" s="1"/>
      <c r="V329" s="24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</row>
    <row r="330" spans="1:41" x14ac:dyDescent="0.25">
      <c r="A330" s="1"/>
      <c r="B330" s="1"/>
      <c r="C330" s="1"/>
      <c r="D330" s="1"/>
      <c r="E330" s="1"/>
      <c r="F330" s="1"/>
      <c r="G330" s="7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24"/>
      <c r="T330" s="1"/>
      <c r="U330" s="1"/>
      <c r="V330" s="24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</row>
    <row r="331" spans="1:41" x14ac:dyDescent="0.25">
      <c r="A331" s="1"/>
      <c r="B331" s="1"/>
      <c r="C331" s="1"/>
      <c r="D331" s="1"/>
      <c r="E331" s="1"/>
      <c r="F331" s="1"/>
      <c r="G331" s="7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24"/>
      <c r="T331" s="1"/>
      <c r="U331" s="1"/>
      <c r="V331" s="24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</row>
    <row r="332" spans="1:41" x14ac:dyDescent="0.25">
      <c r="A332" s="1"/>
      <c r="B332" s="1"/>
      <c r="C332" s="1"/>
      <c r="D332" s="1"/>
      <c r="E332" s="1"/>
      <c r="F332" s="1"/>
      <c r="G332" s="7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24"/>
      <c r="T332" s="1"/>
      <c r="U332" s="1"/>
      <c r="V332" s="24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</row>
    <row r="333" spans="1:41" x14ac:dyDescent="0.25">
      <c r="A333" s="1"/>
      <c r="B333" s="1"/>
      <c r="C333" s="1"/>
      <c r="D333" s="1"/>
      <c r="E333" s="1"/>
      <c r="F333" s="1"/>
      <c r="G333" s="7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24"/>
      <c r="T333" s="1"/>
      <c r="U333" s="1"/>
      <c r="V333" s="24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</row>
    <row r="334" spans="1:41" x14ac:dyDescent="0.25">
      <c r="A334" s="1"/>
      <c r="B334" s="1"/>
      <c r="C334" s="1"/>
      <c r="D334" s="1"/>
      <c r="E334" s="1"/>
      <c r="F334" s="1"/>
      <c r="G334" s="7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24"/>
      <c r="T334" s="1"/>
      <c r="U334" s="1"/>
      <c r="V334" s="24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</row>
    <row r="335" spans="1:41" x14ac:dyDescent="0.25">
      <c r="A335" s="1"/>
      <c r="B335" s="1"/>
      <c r="C335" s="1"/>
      <c r="D335" s="1"/>
      <c r="E335" s="1"/>
      <c r="F335" s="1"/>
      <c r="G335" s="7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24"/>
      <c r="T335" s="1"/>
      <c r="U335" s="1"/>
      <c r="V335" s="24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</row>
    <row r="336" spans="1:41" x14ac:dyDescent="0.25">
      <c r="A336" s="1"/>
      <c r="B336" s="1"/>
      <c r="C336" s="1"/>
      <c r="D336" s="1"/>
      <c r="E336" s="1"/>
      <c r="F336" s="1"/>
      <c r="G336" s="7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24"/>
      <c r="T336" s="1"/>
      <c r="U336" s="1"/>
      <c r="V336" s="24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</row>
    <row r="337" spans="1:41" x14ac:dyDescent="0.25">
      <c r="A337" s="1"/>
      <c r="B337" s="1"/>
      <c r="C337" s="1"/>
      <c r="D337" s="1"/>
      <c r="E337" s="1"/>
      <c r="F337" s="1"/>
      <c r="G337" s="7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24"/>
      <c r="T337" s="1"/>
      <c r="U337" s="1"/>
      <c r="V337" s="24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</row>
    <row r="338" spans="1:41" x14ac:dyDescent="0.25">
      <c r="A338" s="1"/>
      <c r="B338" s="1"/>
      <c r="C338" s="1"/>
      <c r="D338" s="1"/>
      <c r="E338" s="1"/>
      <c r="F338" s="1"/>
      <c r="G338" s="7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24"/>
      <c r="T338" s="1"/>
      <c r="U338" s="1"/>
      <c r="V338" s="24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</row>
    <row r="339" spans="1:41" x14ac:dyDescent="0.25">
      <c r="A339" s="1"/>
      <c r="B339" s="1"/>
      <c r="C339" s="1"/>
      <c r="D339" s="1"/>
      <c r="E339" s="1"/>
      <c r="F339" s="1"/>
      <c r="G339" s="7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24"/>
      <c r="T339" s="1"/>
      <c r="U339" s="1"/>
      <c r="V339" s="24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</row>
    <row r="340" spans="1:41" x14ac:dyDescent="0.25">
      <c r="A340" s="1"/>
      <c r="B340" s="1"/>
      <c r="C340" s="1"/>
      <c r="D340" s="1"/>
      <c r="E340" s="1"/>
      <c r="F340" s="1"/>
      <c r="G340" s="7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24"/>
      <c r="T340" s="1"/>
      <c r="U340" s="1"/>
      <c r="V340" s="24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</row>
    <row r="341" spans="1:41" x14ac:dyDescent="0.25">
      <c r="A341" s="1"/>
      <c r="B341" s="1"/>
      <c r="C341" s="1"/>
      <c r="D341" s="1"/>
      <c r="E341" s="1"/>
      <c r="F341" s="1"/>
      <c r="G341" s="7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24"/>
      <c r="T341" s="1"/>
      <c r="U341" s="1"/>
      <c r="V341" s="24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</row>
    <row r="342" spans="1:41" x14ac:dyDescent="0.25">
      <c r="A342" s="1"/>
      <c r="B342" s="1"/>
      <c r="C342" s="1"/>
      <c r="D342" s="1"/>
      <c r="E342" s="1"/>
      <c r="F342" s="1"/>
      <c r="G342" s="7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24"/>
      <c r="T342" s="1"/>
      <c r="U342" s="1"/>
      <c r="V342" s="24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</row>
    <row r="343" spans="1:41" x14ac:dyDescent="0.25">
      <c r="A343" s="1"/>
      <c r="B343" s="1"/>
      <c r="C343" s="1"/>
      <c r="D343" s="1"/>
      <c r="E343" s="1"/>
      <c r="F343" s="1"/>
      <c r="G343" s="7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24"/>
      <c r="T343" s="1"/>
      <c r="U343" s="1"/>
      <c r="V343" s="24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</row>
    <row r="344" spans="1:41" x14ac:dyDescent="0.25">
      <c r="A344" s="1"/>
      <c r="B344" s="1"/>
      <c r="C344" s="1"/>
      <c r="D344" s="1"/>
      <c r="E344" s="1"/>
      <c r="F344" s="1"/>
      <c r="G344" s="7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24"/>
      <c r="T344" s="1"/>
      <c r="U344" s="1"/>
      <c r="V344" s="24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</row>
    <row r="345" spans="1:41" x14ac:dyDescent="0.25">
      <c r="A345" s="1"/>
      <c r="B345" s="1"/>
      <c r="C345" s="1"/>
      <c r="D345" s="1"/>
      <c r="E345" s="1"/>
      <c r="F345" s="1"/>
      <c r="G345" s="7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24"/>
      <c r="T345" s="1"/>
      <c r="U345" s="1"/>
      <c r="V345" s="24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</row>
    <row r="346" spans="1:41" x14ac:dyDescent="0.25">
      <c r="A346" s="1"/>
      <c r="B346" s="1"/>
      <c r="C346" s="1"/>
      <c r="D346" s="1"/>
      <c r="E346" s="1"/>
      <c r="F346" s="1"/>
      <c r="G346" s="7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24"/>
      <c r="T346" s="1"/>
      <c r="U346" s="1"/>
      <c r="V346" s="24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</row>
    <row r="347" spans="1:41" x14ac:dyDescent="0.25">
      <c r="A347" s="1"/>
      <c r="B347" s="1"/>
      <c r="C347" s="1"/>
      <c r="D347" s="1"/>
      <c r="E347" s="1"/>
      <c r="F347" s="1"/>
      <c r="G347" s="7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24"/>
      <c r="T347" s="1"/>
      <c r="U347" s="1"/>
      <c r="V347" s="24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</row>
    <row r="348" spans="1:41" x14ac:dyDescent="0.25">
      <c r="A348" s="1"/>
      <c r="B348" s="1"/>
      <c r="C348" s="1"/>
      <c r="D348" s="1"/>
      <c r="E348" s="1"/>
      <c r="F348" s="1"/>
      <c r="G348" s="7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24"/>
      <c r="T348" s="1"/>
      <c r="U348" s="1"/>
      <c r="V348" s="24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</row>
    <row r="349" spans="1:41" x14ac:dyDescent="0.25">
      <c r="A349" s="1"/>
      <c r="B349" s="1"/>
      <c r="C349" s="1"/>
      <c r="D349" s="1"/>
      <c r="E349" s="1"/>
      <c r="F349" s="1"/>
      <c r="G349" s="7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24"/>
      <c r="T349" s="1"/>
      <c r="U349" s="1"/>
      <c r="V349" s="24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</row>
    <row r="350" spans="1:41" x14ac:dyDescent="0.25">
      <c r="A350" s="1"/>
      <c r="B350" s="1"/>
      <c r="C350" s="1"/>
      <c r="D350" s="1"/>
      <c r="E350" s="1"/>
      <c r="F350" s="1"/>
      <c r="G350" s="7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24"/>
      <c r="T350" s="1"/>
      <c r="U350" s="1"/>
      <c r="V350" s="24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</row>
    <row r="351" spans="1:41" x14ac:dyDescent="0.25">
      <c r="A351" s="1"/>
      <c r="B351" s="1"/>
      <c r="C351" s="1"/>
      <c r="D351" s="1"/>
      <c r="E351" s="1"/>
      <c r="F351" s="1"/>
      <c r="G351" s="7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24"/>
      <c r="T351" s="1"/>
      <c r="U351" s="1"/>
      <c r="V351" s="24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</row>
    <row r="352" spans="1:41" x14ac:dyDescent="0.25">
      <c r="A352" s="1"/>
      <c r="B352" s="1"/>
      <c r="C352" s="1"/>
      <c r="D352" s="1"/>
      <c r="E352" s="1"/>
      <c r="F352" s="1"/>
      <c r="G352" s="7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24"/>
      <c r="T352" s="1"/>
      <c r="U352" s="1"/>
      <c r="V352" s="24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</row>
    <row r="353" spans="1:41" x14ac:dyDescent="0.25">
      <c r="A353" s="1"/>
      <c r="B353" s="1"/>
      <c r="C353" s="1"/>
      <c r="D353" s="1"/>
      <c r="E353" s="1"/>
      <c r="F353" s="1"/>
      <c r="G353" s="7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24"/>
      <c r="T353" s="1"/>
      <c r="U353" s="1"/>
      <c r="V353" s="24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</row>
    <row r="354" spans="1:41" x14ac:dyDescent="0.25">
      <c r="A354" s="1"/>
      <c r="B354" s="1"/>
      <c r="C354" s="1"/>
      <c r="D354" s="1"/>
      <c r="E354" s="1"/>
      <c r="F354" s="1"/>
      <c r="G354" s="7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24"/>
      <c r="T354" s="1"/>
      <c r="U354" s="1"/>
      <c r="V354" s="24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</row>
    <row r="355" spans="1:41" x14ac:dyDescent="0.25">
      <c r="A355" s="1"/>
      <c r="B355" s="1"/>
      <c r="C355" s="1"/>
      <c r="D355" s="1"/>
      <c r="E355" s="1"/>
      <c r="F355" s="1"/>
      <c r="G355" s="7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24"/>
      <c r="T355" s="1"/>
      <c r="U355" s="1"/>
      <c r="V355" s="24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</row>
    <row r="356" spans="1:41" x14ac:dyDescent="0.25">
      <c r="A356" s="1"/>
      <c r="B356" s="1"/>
      <c r="C356" s="1"/>
      <c r="D356" s="1"/>
      <c r="E356" s="1"/>
      <c r="F356" s="1"/>
      <c r="G356" s="7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24"/>
      <c r="T356" s="1"/>
      <c r="U356" s="1"/>
      <c r="V356" s="24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</row>
    <row r="357" spans="1:41" x14ac:dyDescent="0.25">
      <c r="A357" s="1"/>
      <c r="B357" s="1"/>
      <c r="C357" s="1"/>
      <c r="D357" s="1"/>
      <c r="E357" s="1"/>
      <c r="F357" s="1"/>
      <c r="G357" s="7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24"/>
      <c r="T357" s="1"/>
      <c r="U357" s="1"/>
      <c r="V357" s="24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</row>
    <row r="358" spans="1:41" x14ac:dyDescent="0.25">
      <c r="A358" s="1"/>
      <c r="B358" s="1"/>
      <c r="C358" s="1"/>
      <c r="D358" s="1"/>
      <c r="E358" s="1"/>
      <c r="F358" s="1"/>
      <c r="G358" s="7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24"/>
      <c r="T358" s="1"/>
      <c r="U358" s="1"/>
      <c r="V358" s="24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</row>
    <row r="359" spans="1:41" x14ac:dyDescent="0.25">
      <c r="A359" s="1"/>
      <c r="B359" s="1"/>
      <c r="C359" s="1"/>
      <c r="D359" s="1"/>
      <c r="E359" s="1"/>
      <c r="F359" s="1"/>
      <c r="G359" s="7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24"/>
      <c r="T359" s="1"/>
      <c r="U359" s="1"/>
      <c r="V359" s="24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</row>
    <row r="360" spans="1:41" x14ac:dyDescent="0.25">
      <c r="A360" s="1"/>
      <c r="B360" s="1"/>
      <c r="C360" s="1"/>
      <c r="D360" s="1"/>
      <c r="E360" s="1"/>
      <c r="F360" s="1"/>
      <c r="G360" s="7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24"/>
      <c r="T360" s="1"/>
      <c r="U360" s="1"/>
      <c r="V360" s="24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</row>
    <row r="361" spans="1:41" x14ac:dyDescent="0.25">
      <c r="A361" s="1"/>
      <c r="B361" s="1"/>
      <c r="C361" s="1"/>
      <c r="D361" s="1"/>
      <c r="E361" s="1"/>
      <c r="F361" s="1"/>
      <c r="G361" s="7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24"/>
      <c r="T361" s="1"/>
      <c r="U361" s="1"/>
      <c r="V361" s="24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</row>
    <row r="362" spans="1:41" x14ac:dyDescent="0.25">
      <c r="A362" s="1"/>
      <c r="B362" s="1"/>
      <c r="C362" s="1"/>
      <c r="D362" s="1"/>
      <c r="E362" s="1"/>
      <c r="F362" s="1"/>
      <c r="G362" s="7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24"/>
      <c r="T362" s="1"/>
      <c r="U362" s="1"/>
      <c r="V362" s="24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</row>
    <row r="363" spans="1:41" x14ac:dyDescent="0.25">
      <c r="A363" s="1"/>
      <c r="B363" s="1"/>
      <c r="C363" s="1"/>
      <c r="D363" s="1"/>
      <c r="E363" s="1"/>
      <c r="F363" s="1"/>
      <c r="G363" s="7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24"/>
      <c r="T363" s="1"/>
      <c r="U363" s="1"/>
      <c r="V363" s="24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</row>
    <row r="364" spans="1:41" x14ac:dyDescent="0.25">
      <c r="A364" s="1"/>
      <c r="B364" s="1"/>
      <c r="C364" s="1"/>
      <c r="D364" s="1"/>
      <c r="E364" s="1"/>
      <c r="F364" s="1"/>
      <c r="G364" s="7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24"/>
      <c r="T364" s="1"/>
      <c r="U364" s="1"/>
      <c r="V364" s="24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</row>
    <row r="365" spans="1:41" x14ac:dyDescent="0.25">
      <c r="A365" s="1"/>
      <c r="B365" s="1"/>
      <c r="C365" s="1"/>
      <c r="D365" s="1"/>
      <c r="E365" s="1"/>
      <c r="F365" s="1"/>
      <c r="G365" s="7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24"/>
      <c r="T365" s="1"/>
      <c r="U365" s="1"/>
      <c r="V365" s="24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</row>
    <row r="366" spans="1:41" x14ac:dyDescent="0.25">
      <c r="A366" s="1"/>
      <c r="B366" s="1"/>
      <c r="C366" s="1"/>
      <c r="D366" s="1"/>
      <c r="E366" s="1"/>
      <c r="F366" s="1"/>
      <c r="G366" s="7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24"/>
      <c r="T366" s="1"/>
      <c r="U366" s="1"/>
      <c r="V366" s="24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</row>
    <row r="367" spans="1:41" x14ac:dyDescent="0.25">
      <c r="A367" s="1"/>
      <c r="B367" s="1"/>
      <c r="C367" s="1"/>
      <c r="D367" s="1"/>
      <c r="E367" s="1"/>
      <c r="F367" s="1"/>
      <c r="G367" s="7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24"/>
      <c r="T367" s="1"/>
      <c r="U367" s="1"/>
      <c r="V367" s="24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</row>
    <row r="368" spans="1:41" x14ac:dyDescent="0.25">
      <c r="A368" s="1"/>
      <c r="B368" s="1"/>
      <c r="C368" s="1"/>
      <c r="D368" s="1"/>
      <c r="E368" s="1"/>
      <c r="F368" s="1"/>
      <c r="G368" s="7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24"/>
      <c r="T368" s="1"/>
      <c r="U368" s="1"/>
      <c r="V368" s="24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</row>
    <row r="369" spans="1:41" x14ac:dyDescent="0.25">
      <c r="A369" s="1"/>
      <c r="B369" s="1"/>
      <c r="C369" s="1"/>
      <c r="D369" s="1"/>
      <c r="E369" s="1"/>
      <c r="F369" s="1"/>
      <c r="G369" s="7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24"/>
      <c r="T369" s="1"/>
      <c r="U369" s="1"/>
      <c r="V369" s="24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</row>
    <row r="370" spans="1:41" x14ac:dyDescent="0.25">
      <c r="A370" s="1"/>
      <c r="B370" s="1"/>
      <c r="C370" s="1"/>
      <c r="D370" s="1"/>
      <c r="E370" s="1"/>
      <c r="F370" s="1"/>
      <c r="G370" s="7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24"/>
      <c r="T370" s="1"/>
      <c r="U370" s="1"/>
      <c r="V370" s="24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</row>
    <row r="371" spans="1:41" x14ac:dyDescent="0.25">
      <c r="A371" s="1"/>
      <c r="B371" s="1"/>
      <c r="C371" s="1"/>
      <c r="D371" s="1"/>
      <c r="E371" s="1"/>
      <c r="F371" s="1"/>
      <c r="G371" s="7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24"/>
      <c r="T371" s="1"/>
      <c r="U371" s="1"/>
      <c r="V371" s="24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</row>
    <row r="372" spans="1:41" x14ac:dyDescent="0.25">
      <c r="A372" s="1"/>
      <c r="B372" s="1"/>
      <c r="C372" s="1"/>
      <c r="D372" s="1"/>
      <c r="E372" s="1"/>
      <c r="F372" s="1"/>
      <c r="G372" s="7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24"/>
      <c r="T372" s="1"/>
      <c r="U372" s="1"/>
      <c r="V372" s="24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</row>
    <row r="373" spans="1:41" x14ac:dyDescent="0.25">
      <c r="A373" s="1"/>
      <c r="B373" s="1"/>
      <c r="C373" s="1"/>
      <c r="D373" s="1"/>
      <c r="E373" s="1"/>
      <c r="F373" s="1"/>
      <c r="G373" s="7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24"/>
      <c r="T373" s="1"/>
      <c r="U373" s="1"/>
      <c r="V373" s="24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</row>
    <row r="374" spans="1:41" x14ac:dyDescent="0.25">
      <c r="A374" s="1"/>
      <c r="B374" s="1"/>
      <c r="C374" s="1"/>
      <c r="D374" s="1"/>
      <c r="E374" s="1"/>
      <c r="F374" s="1"/>
      <c r="G374" s="7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24"/>
      <c r="T374" s="1"/>
      <c r="U374" s="1"/>
      <c r="V374" s="24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</row>
    <row r="375" spans="1:41" x14ac:dyDescent="0.25">
      <c r="A375" s="1"/>
      <c r="B375" s="1"/>
      <c r="C375" s="1"/>
      <c r="D375" s="1"/>
      <c r="E375" s="1"/>
      <c r="F375" s="1"/>
      <c r="G375" s="7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24"/>
      <c r="T375" s="1"/>
      <c r="U375" s="1"/>
      <c r="V375" s="24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</row>
    <row r="376" spans="1:41" x14ac:dyDescent="0.25">
      <c r="A376" s="1"/>
      <c r="B376" s="1"/>
      <c r="C376" s="1"/>
      <c r="D376" s="1"/>
      <c r="E376" s="1"/>
      <c r="F376" s="1"/>
      <c r="G376" s="7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24"/>
      <c r="T376" s="1"/>
      <c r="U376" s="1"/>
      <c r="V376" s="24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</row>
    <row r="377" spans="1:41" x14ac:dyDescent="0.25">
      <c r="A377" s="1"/>
      <c r="B377" s="1"/>
      <c r="C377" s="1"/>
      <c r="D377" s="1"/>
      <c r="E377" s="1"/>
      <c r="F377" s="1"/>
      <c r="G377" s="7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24"/>
      <c r="T377" s="1"/>
      <c r="U377" s="1"/>
      <c r="V377" s="24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</row>
    <row r="378" spans="1:41" x14ac:dyDescent="0.25">
      <c r="A378" s="1"/>
      <c r="B378" s="1"/>
      <c r="C378" s="1"/>
      <c r="D378" s="1"/>
      <c r="E378" s="1"/>
      <c r="F378" s="1"/>
      <c r="G378" s="7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24"/>
      <c r="T378" s="1"/>
      <c r="U378" s="1"/>
      <c r="V378" s="24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</row>
    <row r="379" spans="1:41" x14ac:dyDescent="0.25">
      <c r="A379" s="1"/>
      <c r="B379" s="1"/>
      <c r="C379" s="1"/>
      <c r="D379" s="1"/>
      <c r="E379" s="1"/>
      <c r="F379" s="1"/>
      <c r="G379" s="7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24"/>
      <c r="T379" s="1"/>
      <c r="U379" s="1"/>
      <c r="V379" s="24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</row>
    <row r="380" spans="1:41" x14ac:dyDescent="0.25">
      <c r="A380" s="1"/>
      <c r="B380" s="1"/>
      <c r="C380" s="1"/>
      <c r="D380" s="1"/>
      <c r="E380" s="1"/>
      <c r="F380" s="1"/>
      <c r="G380" s="7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24"/>
      <c r="T380" s="1"/>
      <c r="U380" s="1"/>
      <c r="V380" s="24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</row>
    <row r="381" spans="1:41" x14ac:dyDescent="0.25">
      <c r="A381" s="1"/>
      <c r="B381" s="1"/>
      <c r="C381" s="1"/>
      <c r="D381" s="1"/>
      <c r="E381" s="1"/>
      <c r="F381" s="1"/>
      <c r="G381" s="7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24"/>
      <c r="T381" s="1"/>
      <c r="U381" s="1"/>
      <c r="V381" s="24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</row>
    <row r="382" spans="1:41" x14ac:dyDescent="0.25">
      <c r="A382" s="1"/>
      <c r="B382" s="1"/>
      <c r="C382" s="1"/>
      <c r="D382" s="1"/>
      <c r="E382" s="1"/>
      <c r="F382" s="1"/>
      <c r="G382" s="7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24"/>
      <c r="T382" s="1"/>
      <c r="U382" s="1"/>
      <c r="V382" s="24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</row>
    <row r="383" spans="1:41" x14ac:dyDescent="0.25">
      <c r="A383" s="1"/>
      <c r="B383" s="1"/>
      <c r="C383" s="1"/>
      <c r="D383" s="1"/>
      <c r="E383" s="1"/>
      <c r="F383" s="1"/>
      <c r="G383" s="7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24"/>
      <c r="T383" s="1"/>
      <c r="U383" s="1"/>
      <c r="V383" s="24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</row>
    <row r="384" spans="1:41" x14ac:dyDescent="0.25">
      <c r="A384" s="1"/>
      <c r="B384" s="1"/>
      <c r="C384" s="1"/>
      <c r="D384" s="1"/>
      <c r="E384" s="1"/>
      <c r="F384" s="1"/>
      <c r="G384" s="7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24"/>
      <c r="T384" s="1"/>
      <c r="U384" s="1"/>
      <c r="V384" s="24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</row>
    <row r="385" spans="1:41" x14ac:dyDescent="0.25">
      <c r="A385" s="1"/>
      <c r="B385" s="1"/>
      <c r="C385" s="1"/>
      <c r="D385" s="1"/>
      <c r="E385" s="1"/>
      <c r="F385" s="1"/>
      <c r="G385" s="7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24"/>
      <c r="T385" s="1"/>
      <c r="U385" s="1"/>
      <c r="V385" s="24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</row>
    <row r="386" spans="1:41" x14ac:dyDescent="0.25">
      <c r="A386" s="1"/>
      <c r="B386" s="1"/>
      <c r="C386" s="1"/>
      <c r="D386" s="1"/>
      <c r="E386" s="1"/>
      <c r="F386" s="1"/>
      <c r="G386" s="7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24"/>
      <c r="T386" s="1"/>
      <c r="U386" s="1"/>
      <c r="V386" s="24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</row>
    <row r="387" spans="1:41" x14ac:dyDescent="0.25">
      <c r="A387" s="1"/>
      <c r="B387" s="1"/>
      <c r="C387" s="1"/>
      <c r="D387" s="1"/>
      <c r="E387" s="1"/>
      <c r="F387" s="1"/>
      <c r="G387" s="7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24"/>
      <c r="T387" s="1"/>
      <c r="U387" s="1"/>
      <c r="V387" s="24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</row>
    <row r="388" spans="1:41" x14ac:dyDescent="0.25">
      <c r="A388" s="1"/>
      <c r="B388" s="1"/>
      <c r="C388" s="1"/>
      <c r="D388" s="1"/>
      <c r="E388" s="1"/>
      <c r="F388" s="1"/>
      <c r="G388" s="7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24"/>
      <c r="T388" s="1"/>
      <c r="U388" s="1"/>
      <c r="V388" s="24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</row>
    <row r="389" spans="1:41" x14ac:dyDescent="0.25">
      <c r="A389" s="1"/>
      <c r="B389" s="1"/>
      <c r="C389" s="1"/>
      <c r="D389" s="1"/>
      <c r="E389" s="1"/>
      <c r="F389" s="1"/>
      <c r="G389" s="7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24"/>
      <c r="T389" s="1"/>
      <c r="U389" s="1"/>
      <c r="V389" s="24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</row>
    <row r="390" spans="1:41" x14ac:dyDescent="0.25">
      <c r="A390" s="1"/>
      <c r="B390" s="1"/>
      <c r="C390" s="1"/>
      <c r="D390" s="1"/>
      <c r="E390" s="1"/>
      <c r="F390" s="1"/>
      <c r="G390" s="7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24"/>
      <c r="T390" s="1"/>
      <c r="U390" s="1"/>
      <c r="V390" s="24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</row>
    <row r="391" spans="1:41" x14ac:dyDescent="0.25">
      <c r="A391" s="1"/>
      <c r="B391" s="1"/>
      <c r="C391" s="1"/>
      <c r="D391" s="1"/>
      <c r="E391" s="1"/>
      <c r="F391" s="1"/>
      <c r="G391" s="7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24"/>
      <c r="T391" s="1"/>
      <c r="U391" s="1"/>
      <c r="V391" s="24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</row>
    <row r="392" spans="1:41" x14ac:dyDescent="0.25">
      <c r="A392" s="1"/>
      <c r="B392" s="1"/>
      <c r="C392" s="1"/>
      <c r="D392" s="1"/>
      <c r="E392" s="1"/>
      <c r="F392" s="1"/>
      <c r="G392" s="7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24"/>
      <c r="T392" s="1"/>
      <c r="U392" s="1"/>
      <c r="V392" s="24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</row>
    <row r="393" spans="1:41" x14ac:dyDescent="0.25">
      <c r="A393" s="1"/>
      <c r="B393" s="1"/>
      <c r="C393" s="1"/>
      <c r="D393" s="1"/>
      <c r="E393" s="1"/>
      <c r="F393" s="1"/>
      <c r="G393" s="7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24"/>
      <c r="T393" s="1"/>
      <c r="U393" s="1"/>
      <c r="V393" s="24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</row>
    <row r="394" spans="1:41" x14ac:dyDescent="0.25">
      <c r="A394" s="1"/>
      <c r="B394" s="1"/>
      <c r="C394" s="1"/>
      <c r="D394" s="1"/>
      <c r="E394" s="1"/>
      <c r="F394" s="1"/>
      <c r="G394" s="7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24"/>
      <c r="T394" s="1"/>
      <c r="U394" s="1"/>
      <c r="V394" s="24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</row>
    <row r="395" spans="1:41" x14ac:dyDescent="0.25">
      <c r="A395" s="1"/>
      <c r="B395" s="1"/>
      <c r="C395" s="1"/>
      <c r="D395" s="1"/>
      <c r="E395" s="1"/>
      <c r="F395" s="1"/>
      <c r="G395" s="7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24"/>
      <c r="T395" s="1"/>
      <c r="U395" s="1"/>
      <c r="V395" s="24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</row>
    <row r="396" spans="1:41" x14ac:dyDescent="0.25">
      <c r="A396" s="1"/>
      <c r="B396" s="1"/>
      <c r="C396" s="1"/>
      <c r="D396" s="1"/>
      <c r="E396" s="1"/>
      <c r="F396" s="1"/>
      <c r="G396" s="7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24"/>
      <c r="T396" s="1"/>
      <c r="U396" s="1"/>
      <c r="V396" s="24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</row>
    <row r="397" spans="1:41" x14ac:dyDescent="0.25">
      <c r="A397" s="1"/>
      <c r="B397" s="1"/>
      <c r="C397" s="1"/>
      <c r="D397" s="1"/>
      <c r="E397" s="1"/>
      <c r="F397" s="1"/>
      <c r="G397" s="7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24"/>
      <c r="T397" s="1"/>
      <c r="U397" s="1"/>
      <c r="V397" s="24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</row>
    <row r="398" spans="1:41" x14ac:dyDescent="0.25">
      <c r="A398" s="1"/>
      <c r="B398" s="1"/>
      <c r="C398" s="1"/>
      <c r="D398" s="1"/>
      <c r="E398" s="1"/>
      <c r="F398" s="1"/>
      <c r="G398" s="7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24"/>
      <c r="T398" s="1"/>
      <c r="U398" s="1"/>
      <c r="V398" s="24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</row>
    <row r="399" spans="1:41" x14ac:dyDescent="0.25">
      <c r="A399" s="1"/>
      <c r="B399" s="1"/>
      <c r="C399" s="1"/>
      <c r="D399" s="1"/>
      <c r="E399" s="1"/>
      <c r="F399" s="1"/>
      <c r="G399" s="7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24"/>
      <c r="T399" s="1"/>
      <c r="U399" s="1"/>
      <c r="V399" s="24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</row>
    <row r="400" spans="1:41" x14ac:dyDescent="0.25">
      <c r="A400" s="1"/>
      <c r="B400" s="1"/>
      <c r="C400" s="1"/>
      <c r="D400" s="1"/>
      <c r="E400" s="1"/>
      <c r="F400" s="1"/>
      <c r="G400" s="7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24"/>
      <c r="T400" s="1"/>
      <c r="U400" s="1"/>
      <c r="V400" s="24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</row>
    <row r="401" spans="1:41" x14ac:dyDescent="0.25">
      <c r="A401" s="1"/>
      <c r="B401" s="1"/>
      <c r="C401" s="1"/>
      <c r="D401" s="1"/>
      <c r="E401" s="1"/>
      <c r="F401" s="1"/>
      <c r="G401" s="7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24"/>
      <c r="T401" s="1"/>
      <c r="U401" s="1"/>
      <c r="V401" s="24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</row>
    <row r="402" spans="1:41" x14ac:dyDescent="0.25">
      <c r="A402" s="1"/>
      <c r="B402" s="1"/>
      <c r="C402" s="1"/>
      <c r="D402" s="1"/>
      <c r="E402" s="1"/>
      <c r="F402" s="1"/>
      <c r="G402" s="7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24"/>
      <c r="T402" s="1"/>
      <c r="U402" s="1"/>
      <c r="V402" s="24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</row>
    <row r="403" spans="1:41" x14ac:dyDescent="0.25">
      <c r="A403" s="1"/>
      <c r="B403" s="1"/>
      <c r="C403" s="1"/>
      <c r="D403" s="1"/>
      <c r="E403" s="1"/>
      <c r="F403" s="1"/>
      <c r="G403" s="7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24"/>
      <c r="T403" s="1"/>
      <c r="U403" s="1"/>
      <c r="V403" s="24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</row>
    <row r="404" spans="1:41" x14ac:dyDescent="0.25">
      <c r="A404" s="1"/>
      <c r="B404" s="1"/>
      <c r="C404" s="1"/>
      <c r="D404" s="1"/>
      <c r="E404" s="1"/>
      <c r="F404" s="1"/>
      <c r="G404" s="7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24"/>
      <c r="T404" s="1"/>
      <c r="U404" s="1"/>
      <c r="V404" s="24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</row>
    <row r="405" spans="1:41" x14ac:dyDescent="0.25">
      <c r="A405" s="1"/>
      <c r="B405" s="1"/>
      <c r="C405" s="1"/>
      <c r="D405" s="1"/>
      <c r="E405" s="1"/>
      <c r="F405" s="1"/>
      <c r="G405" s="7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24"/>
      <c r="T405" s="1"/>
      <c r="U405" s="1"/>
      <c r="V405" s="24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</row>
    <row r="406" spans="1:41" x14ac:dyDescent="0.25">
      <c r="A406" s="1"/>
      <c r="B406" s="1"/>
      <c r="C406" s="1"/>
      <c r="D406" s="1"/>
      <c r="E406" s="1"/>
      <c r="F406" s="1"/>
      <c r="G406" s="7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24"/>
      <c r="T406" s="1"/>
      <c r="U406" s="1"/>
      <c r="V406" s="24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</row>
    <row r="407" spans="1:41" x14ac:dyDescent="0.25">
      <c r="A407" s="1"/>
      <c r="B407" s="1"/>
      <c r="C407" s="1"/>
      <c r="D407" s="1"/>
      <c r="E407" s="1"/>
      <c r="F407" s="1"/>
      <c r="G407" s="7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24"/>
      <c r="T407" s="1"/>
      <c r="U407" s="1"/>
      <c r="V407" s="24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</row>
    <row r="408" spans="1:41" x14ac:dyDescent="0.25">
      <c r="A408" s="1"/>
      <c r="B408" s="1"/>
      <c r="C408" s="1"/>
      <c r="D408" s="1"/>
      <c r="E408" s="1"/>
      <c r="F408" s="1"/>
      <c r="G408" s="7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24"/>
      <c r="T408" s="1"/>
      <c r="U408" s="1"/>
      <c r="V408" s="24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</row>
    <row r="409" spans="1:41" x14ac:dyDescent="0.25">
      <c r="A409" s="1"/>
      <c r="B409" s="1"/>
      <c r="C409" s="1"/>
      <c r="D409" s="1"/>
      <c r="E409" s="1"/>
      <c r="F409" s="1"/>
      <c r="G409" s="7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24"/>
      <c r="T409" s="1"/>
      <c r="U409" s="1"/>
      <c r="V409" s="24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</row>
    <row r="410" spans="1:41" x14ac:dyDescent="0.25">
      <c r="A410" s="1"/>
      <c r="B410" s="1"/>
      <c r="C410" s="1"/>
      <c r="D410" s="1"/>
      <c r="E410" s="1"/>
      <c r="F410" s="1"/>
      <c r="G410" s="7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24"/>
      <c r="T410" s="1"/>
      <c r="U410" s="1"/>
      <c r="V410" s="24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</row>
    <row r="411" spans="1:41" x14ac:dyDescent="0.25">
      <c r="A411" s="1"/>
      <c r="B411" s="1"/>
      <c r="C411" s="1"/>
      <c r="D411" s="1"/>
      <c r="E411" s="1"/>
      <c r="F411" s="1"/>
      <c r="G411" s="7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24"/>
      <c r="T411" s="1"/>
      <c r="U411" s="1"/>
      <c r="V411" s="24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</row>
    <row r="412" spans="1:41" x14ac:dyDescent="0.25">
      <c r="A412" s="1"/>
      <c r="B412" s="1"/>
      <c r="C412" s="1"/>
      <c r="D412" s="1"/>
      <c r="E412" s="1"/>
      <c r="F412" s="1"/>
      <c r="G412" s="7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24"/>
      <c r="T412" s="1"/>
      <c r="U412" s="1"/>
      <c r="V412" s="24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</row>
    <row r="413" spans="1:41" x14ac:dyDescent="0.25">
      <c r="A413" s="1"/>
      <c r="B413" s="1"/>
      <c r="C413" s="1"/>
      <c r="D413" s="1"/>
      <c r="E413" s="1"/>
      <c r="F413" s="1"/>
      <c r="G413" s="7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24"/>
      <c r="T413" s="1"/>
      <c r="U413" s="1"/>
      <c r="V413" s="24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</row>
    <row r="414" spans="1:41" x14ac:dyDescent="0.25">
      <c r="A414" s="1"/>
      <c r="B414" s="1"/>
      <c r="C414" s="1"/>
      <c r="D414" s="1"/>
      <c r="E414" s="1"/>
      <c r="F414" s="1"/>
      <c r="G414" s="7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24"/>
      <c r="T414" s="1"/>
      <c r="U414" s="1"/>
      <c r="V414" s="24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</row>
    <row r="415" spans="1:41" x14ac:dyDescent="0.25">
      <c r="A415" s="1"/>
      <c r="B415" s="1"/>
      <c r="C415" s="1"/>
      <c r="D415" s="1"/>
      <c r="E415" s="1"/>
      <c r="F415" s="1"/>
      <c r="G415" s="7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24"/>
      <c r="T415" s="1"/>
      <c r="U415" s="1"/>
      <c r="V415" s="24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</row>
    <row r="416" spans="1:41" x14ac:dyDescent="0.25">
      <c r="A416" s="1"/>
      <c r="B416" s="1"/>
      <c r="C416" s="1"/>
      <c r="D416" s="1"/>
      <c r="E416" s="1"/>
      <c r="F416" s="1"/>
      <c r="G416" s="7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24"/>
      <c r="T416" s="1"/>
      <c r="U416" s="1"/>
      <c r="V416" s="24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</row>
    <row r="417" spans="1:41" x14ac:dyDescent="0.25">
      <c r="A417" s="1"/>
      <c r="B417" s="1"/>
      <c r="C417" s="1"/>
      <c r="D417" s="1"/>
      <c r="E417" s="1"/>
      <c r="F417" s="1"/>
      <c r="G417" s="7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24"/>
      <c r="T417" s="1"/>
      <c r="U417" s="1"/>
      <c r="V417" s="24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</row>
    <row r="418" spans="1:41" x14ac:dyDescent="0.25">
      <c r="A418" s="1"/>
      <c r="B418" s="1"/>
      <c r="C418" s="1"/>
      <c r="D418" s="1"/>
      <c r="E418" s="1"/>
      <c r="F418" s="1"/>
      <c r="G418" s="7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24"/>
      <c r="T418" s="1"/>
      <c r="U418" s="1"/>
      <c r="V418" s="24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</row>
    <row r="419" spans="1:41" x14ac:dyDescent="0.25">
      <c r="A419" s="1"/>
      <c r="B419" s="1"/>
      <c r="C419" s="1"/>
      <c r="D419" s="1"/>
      <c r="E419" s="1"/>
      <c r="F419" s="1"/>
      <c r="G419" s="7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24"/>
      <c r="T419" s="1"/>
      <c r="U419" s="1"/>
      <c r="V419" s="24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</row>
    <row r="420" spans="1:41" x14ac:dyDescent="0.25">
      <c r="A420" s="1"/>
      <c r="B420" s="1"/>
      <c r="C420" s="1"/>
      <c r="D420" s="1"/>
      <c r="E420" s="1"/>
      <c r="F420" s="1"/>
      <c r="G420" s="7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24"/>
      <c r="T420" s="1"/>
      <c r="U420" s="1"/>
      <c r="V420" s="24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</row>
    <row r="421" spans="1:41" x14ac:dyDescent="0.25">
      <c r="A421" s="1"/>
      <c r="B421" s="1"/>
      <c r="C421" s="1"/>
      <c r="D421" s="1"/>
      <c r="E421" s="1"/>
      <c r="F421" s="1"/>
      <c r="G421" s="7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24"/>
      <c r="T421" s="1"/>
      <c r="U421" s="1"/>
      <c r="V421" s="24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</row>
    <row r="422" spans="1:41" x14ac:dyDescent="0.25">
      <c r="A422" s="1"/>
      <c r="B422" s="1"/>
      <c r="C422" s="1"/>
      <c r="D422" s="1"/>
      <c r="E422" s="1"/>
      <c r="F422" s="1"/>
      <c r="G422" s="7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24"/>
      <c r="T422" s="1"/>
      <c r="U422" s="1"/>
      <c r="V422" s="24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</row>
    <row r="423" spans="1:41" x14ac:dyDescent="0.25">
      <c r="A423" s="1"/>
      <c r="B423" s="1"/>
      <c r="C423" s="1"/>
      <c r="D423" s="1"/>
      <c r="E423" s="1"/>
      <c r="F423" s="1"/>
      <c r="G423" s="7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24"/>
      <c r="T423" s="1"/>
      <c r="U423" s="1"/>
      <c r="V423" s="24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</row>
    <row r="424" spans="1:41" x14ac:dyDescent="0.25">
      <c r="A424" s="1"/>
      <c r="B424" s="1"/>
      <c r="C424" s="1"/>
      <c r="D424" s="1"/>
      <c r="E424" s="1"/>
      <c r="F424" s="1"/>
      <c r="G424" s="7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24"/>
      <c r="T424" s="1"/>
      <c r="U424" s="1"/>
      <c r="V424" s="24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</row>
    <row r="425" spans="1:41" x14ac:dyDescent="0.25">
      <c r="A425" s="1"/>
      <c r="B425" s="1"/>
      <c r="C425" s="1"/>
      <c r="D425" s="1"/>
      <c r="E425" s="1"/>
      <c r="F425" s="1"/>
      <c r="G425" s="7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24"/>
      <c r="T425" s="1"/>
      <c r="U425" s="1"/>
      <c r="V425" s="24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</row>
    <row r="426" spans="1:41" x14ac:dyDescent="0.25">
      <c r="A426" s="1"/>
      <c r="B426" s="1"/>
      <c r="C426" s="1"/>
      <c r="D426" s="1"/>
      <c r="E426" s="1"/>
      <c r="F426" s="1"/>
      <c r="G426" s="7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24"/>
      <c r="T426" s="1"/>
      <c r="U426" s="1"/>
      <c r="V426" s="24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</row>
    <row r="427" spans="1:41" x14ac:dyDescent="0.25">
      <c r="A427" s="1"/>
      <c r="B427" s="1"/>
      <c r="C427" s="1"/>
      <c r="D427" s="1"/>
      <c r="E427" s="1"/>
      <c r="F427" s="1"/>
      <c r="G427" s="7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24"/>
      <c r="T427" s="1"/>
      <c r="U427" s="1"/>
      <c r="V427" s="24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</row>
    <row r="428" spans="1:41" x14ac:dyDescent="0.25">
      <c r="A428" s="1"/>
      <c r="B428" s="1"/>
      <c r="C428" s="1"/>
      <c r="D428" s="1"/>
      <c r="E428" s="1"/>
      <c r="F428" s="1"/>
      <c r="G428" s="7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24"/>
      <c r="T428" s="1"/>
      <c r="U428" s="1"/>
      <c r="V428" s="24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</row>
    <row r="429" spans="1:41" x14ac:dyDescent="0.25">
      <c r="A429" s="1"/>
      <c r="B429" s="1"/>
      <c r="C429" s="1"/>
      <c r="D429" s="1"/>
      <c r="E429" s="1"/>
      <c r="F429" s="1"/>
      <c r="G429" s="7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24"/>
      <c r="T429" s="1"/>
      <c r="U429" s="1"/>
      <c r="V429" s="24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</row>
    <row r="430" spans="1:41" x14ac:dyDescent="0.25">
      <c r="A430" s="1"/>
      <c r="B430" s="1"/>
      <c r="C430" s="1"/>
      <c r="D430" s="1"/>
      <c r="E430" s="1"/>
      <c r="F430" s="1"/>
      <c r="G430" s="7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24"/>
      <c r="T430" s="1"/>
      <c r="U430" s="1"/>
      <c r="V430" s="24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</row>
    <row r="431" spans="1:41" x14ac:dyDescent="0.25">
      <c r="A431" s="1"/>
      <c r="B431" s="1"/>
      <c r="C431" s="1"/>
      <c r="D431" s="1"/>
      <c r="E431" s="1"/>
      <c r="F431" s="1"/>
      <c r="G431" s="7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24"/>
      <c r="T431" s="1"/>
      <c r="U431" s="1"/>
      <c r="V431" s="24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</row>
    <row r="432" spans="1:41" x14ac:dyDescent="0.25">
      <c r="A432" s="1"/>
      <c r="B432" s="1"/>
      <c r="C432" s="1"/>
      <c r="D432" s="1"/>
      <c r="E432" s="1"/>
      <c r="F432" s="1"/>
      <c r="G432" s="7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24"/>
      <c r="T432" s="1"/>
      <c r="U432" s="1"/>
      <c r="V432" s="24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</row>
    <row r="433" spans="1:41" x14ac:dyDescent="0.25">
      <c r="A433" s="1"/>
      <c r="B433" s="1"/>
      <c r="C433" s="1"/>
      <c r="D433" s="1"/>
      <c r="E433" s="1"/>
      <c r="F433" s="1"/>
      <c r="G433" s="7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24"/>
      <c r="T433" s="1"/>
      <c r="U433" s="1"/>
      <c r="V433" s="24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</row>
    <row r="434" spans="1:41" x14ac:dyDescent="0.25">
      <c r="A434" s="1"/>
      <c r="B434" s="1"/>
      <c r="C434" s="1"/>
      <c r="D434" s="1"/>
      <c r="E434" s="1"/>
      <c r="F434" s="1"/>
      <c r="G434" s="7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24"/>
      <c r="T434" s="1"/>
      <c r="U434" s="1"/>
      <c r="V434" s="24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</row>
    <row r="435" spans="1:41" x14ac:dyDescent="0.25">
      <c r="A435" s="1"/>
      <c r="B435" s="1"/>
      <c r="C435" s="1"/>
      <c r="D435" s="1"/>
      <c r="E435" s="1"/>
      <c r="F435" s="1"/>
      <c r="G435" s="7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24"/>
      <c r="T435" s="1"/>
      <c r="U435" s="1"/>
      <c r="V435" s="24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</row>
    <row r="436" spans="1:41" x14ac:dyDescent="0.25">
      <c r="A436" s="1"/>
      <c r="B436" s="1"/>
      <c r="C436" s="1"/>
      <c r="D436" s="1"/>
      <c r="E436" s="1"/>
      <c r="F436" s="1"/>
      <c r="G436" s="7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24"/>
      <c r="T436" s="1"/>
      <c r="U436" s="1"/>
      <c r="V436" s="24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</row>
    <row r="437" spans="1:41" x14ac:dyDescent="0.25">
      <c r="A437" s="1"/>
      <c r="B437" s="1"/>
      <c r="C437" s="1"/>
      <c r="D437" s="1"/>
      <c r="E437" s="1"/>
      <c r="F437" s="1"/>
      <c r="G437" s="7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24"/>
      <c r="T437" s="1"/>
      <c r="U437" s="1"/>
      <c r="V437" s="24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</row>
    <row r="438" spans="1:41" x14ac:dyDescent="0.25">
      <c r="A438" s="1"/>
      <c r="B438" s="1"/>
      <c r="C438" s="1"/>
      <c r="D438" s="1"/>
      <c r="E438" s="1"/>
      <c r="F438" s="1"/>
      <c r="G438" s="7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24"/>
      <c r="T438" s="1"/>
      <c r="U438" s="1"/>
      <c r="V438" s="24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</row>
    <row r="439" spans="1:41" x14ac:dyDescent="0.25">
      <c r="A439" s="1"/>
      <c r="B439" s="1"/>
      <c r="C439" s="1"/>
      <c r="D439" s="1"/>
      <c r="E439" s="1"/>
      <c r="F439" s="1"/>
      <c r="G439" s="7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24"/>
      <c r="T439" s="1"/>
      <c r="U439" s="1"/>
      <c r="V439" s="24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</row>
    <row r="440" spans="1:41" x14ac:dyDescent="0.25">
      <c r="A440" s="1"/>
      <c r="B440" s="1"/>
      <c r="C440" s="1"/>
      <c r="D440" s="1"/>
      <c r="E440" s="1"/>
      <c r="F440" s="1"/>
      <c r="G440" s="7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24"/>
      <c r="T440" s="1"/>
      <c r="U440" s="1"/>
      <c r="V440" s="24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</row>
    <row r="441" spans="1:41" x14ac:dyDescent="0.25">
      <c r="A441" s="1"/>
      <c r="B441" s="1"/>
      <c r="C441" s="1"/>
      <c r="D441" s="1"/>
      <c r="E441" s="1"/>
      <c r="F441" s="1"/>
      <c r="G441" s="7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24"/>
      <c r="T441" s="1"/>
      <c r="U441" s="1"/>
      <c r="V441" s="24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</row>
    <row r="442" spans="1:41" x14ac:dyDescent="0.25">
      <c r="A442" s="1"/>
      <c r="B442" s="1"/>
      <c r="C442" s="1"/>
      <c r="D442" s="1"/>
      <c r="E442" s="1"/>
      <c r="F442" s="1"/>
      <c r="G442" s="7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24"/>
      <c r="T442" s="1"/>
      <c r="U442" s="1"/>
      <c r="V442" s="24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</row>
    <row r="443" spans="1:41" x14ac:dyDescent="0.25">
      <c r="A443" s="1"/>
      <c r="B443" s="1"/>
      <c r="C443" s="1"/>
      <c r="D443" s="1"/>
      <c r="E443" s="1"/>
      <c r="F443" s="1"/>
      <c r="G443" s="7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24"/>
      <c r="T443" s="1"/>
      <c r="U443" s="1"/>
      <c r="V443" s="24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</row>
    <row r="444" spans="1:41" x14ac:dyDescent="0.25">
      <c r="A444" s="1"/>
      <c r="B444" s="1"/>
      <c r="C444" s="1"/>
      <c r="D444" s="1"/>
      <c r="E444" s="1"/>
      <c r="F444" s="1"/>
      <c r="G444" s="7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24"/>
      <c r="T444" s="1"/>
      <c r="U444" s="1"/>
      <c r="V444" s="24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</row>
    <row r="445" spans="1:41" x14ac:dyDescent="0.25">
      <c r="A445" s="1"/>
      <c r="B445" s="1"/>
      <c r="C445" s="1"/>
      <c r="D445" s="1"/>
      <c r="E445" s="1"/>
      <c r="F445" s="1"/>
      <c r="G445" s="7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24"/>
      <c r="T445" s="1"/>
      <c r="U445" s="1"/>
      <c r="V445" s="24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</row>
    <row r="446" spans="1:41" x14ac:dyDescent="0.25">
      <c r="A446" s="1"/>
      <c r="B446" s="1"/>
      <c r="C446" s="1"/>
      <c r="D446" s="1"/>
      <c r="E446" s="1"/>
      <c r="F446" s="1"/>
      <c r="G446" s="7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24"/>
      <c r="T446" s="1"/>
      <c r="U446" s="1"/>
      <c r="V446" s="24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</row>
    <row r="447" spans="1:41" x14ac:dyDescent="0.25">
      <c r="A447" s="1"/>
      <c r="B447" s="1"/>
      <c r="C447" s="1"/>
      <c r="D447" s="1"/>
      <c r="E447" s="1"/>
      <c r="F447" s="1"/>
      <c r="G447" s="7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24"/>
      <c r="T447" s="1"/>
      <c r="U447" s="1"/>
      <c r="V447" s="24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</row>
    <row r="448" spans="1:41" x14ac:dyDescent="0.25">
      <c r="A448" s="1"/>
      <c r="B448" s="1"/>
      <c r="C448" s="1"/>
      <c r="D448" s="1"/>
      <c r="E448" s="1"/>
      <c r="F448" s="1"/>
      <c r="G448" s="7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24"/>
      <c r="T448" s="1"/>
      <c r="U448" s="1"/>
      <c r="V448" s="24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</row>
    <row r="449" spans="1:41" x14ac:dyDescent="0.25">
      <c r="A449" s="1"/>
      <c r="B449" s="1"/>
      <c r="C449" s="1"/>
      <c r="D449" s="1"/>
      <c r="E449" s="1"/>
      <c r="F449" s="1"/>
      <c r="G449" s="7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24"/>
      <c r="T449" s="1"/>
      <c r="U449" s="1"/>
      <c r="V449" s="24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</row>
    <row r="450" spans="1:41" x14ac:dyDescent="0.25">
      <c r="A450" s="1"/>
      <c r="B450" s="1"/>
      <c r="C450" s="1"/>
      <c r="D450" s="1"/>
      <c r="E450" s="1"/>
      <c r="F450" s="1"/>
      <c r="G450" s="7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24"/>
      <c r="T450" s="1"/>
      <c r="U450" s="1"/>
      <c r="V450" s="24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</row>
    <row r="451" spans="1:41" x14ac:dyDescent="0.25">
      <c r="A451" s="1"/>
      <c r="B451" s="1"/>
      <c r="C451" s="1"/>
      <c r="D451" s="1"/>
      <c r="E451" s="1"/>
      <c r="F451" s="1"/>
      <c r="G451" s="7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24"/>
      <c r="T451" s="1"/>
      <c r="U451" s="1"/>
      <c r="V451" s="24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</row>
    <row r="452" spans="1:41" x14ac:dyDescent="0.25">
      <c r="A452" s="1"/>
      <c r="B452" s="1"/>
      <c r="C452" s="1"/>
      <c r="D452" s="1"/>
      <c r="E452" s="1"/>
      <c r="F452" s="1"/>
      <c r="G452" s="7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24"/>
      <c r="T452" s="1"/>
      <c r="U452" s="1"/>
      <c r="V452" s="24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</row>
    <row r="453" spans="1:41" x14ac:dyDescent="0.25">
      <c r="A453" s="1"/>
      <c r="B453" s="1"/>
      <c r="C453" s="1"/>
      <c r="D453" s="1"/>
      <c r="E453" s="1"/>
      <c r="F453" s="1"/>
      <c r="G453" s="7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24"/>
      <c r="T453" s="1"/>
      <c r="U453" s="1"/>
      <c r="V453" s="24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</row>
    <row r="454" spans="1:41" x14ac:dyDescent="0.25">
      <c r="A454" s="1"/>
      <c r="B454" s="1"/>
      <c r="C454" s="1"/>
      <c r="D454" s="1"/>
      <c r="E454" s="1"/>
      <c r="F454" s="1"/>
      <c r="G454" s="7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24"/>
      <c r="T454" s="1"/>
      <c r="U454" s="1"/>
      <c r="V454" s="24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</row>
    <row r="455" spans="1:41" x14ac:dyDescent="0.25">
      <c r="A455" s="1"/>
      <c r="B455" s="1"/>
      <c r="C455" s="1"/>
      <c r="D455" s="1"/>
      <c r="E455" s="1"/>
      <c r="F455" s="1"/>
      <c r="G455" s="7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24"/>
      <c r="T455" s="1"/>
      <c r="U455" s="1"/>
      <c r="V455" s="24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</row>
    <row r="456" spans="1:41" x14ac:dyDescent="0.25">
      <c r="A456" s="1"/>
      <c r="B456" s="1"/>
      <c r="C456" s="1"/>
      <c r="D456" s="1"/>
      <c r="E456" s="1"/>
      <c r="F456" s="1"/>
      <c r="G456" s="7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24"/>
      <c r="T456" s="1"/>
      <c r="U456" s="1"/>
      <c r="V456" s="24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</row>
    <row r="457" spans="1:41" x14ac:dyDescent="0.25">
      <c r="A457" s="1"/>
      <c r="B457" s="1"/>
      <c r="C457" s="1"/>
      <c r="D457" s="1"/>
      <c r="E457" s="1"/>
      <c r="F457" s="1"/>
      <c r="G457" s="7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24"/>
      <c r="T457" s="1"/>
      <c r="U457" s="1"/>
      <c r="V457" s="24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</row>
    <row r="458" spans="1:41" x14ac:dyDescent="0.25">
      <c r="A458" s="1"/>
      <c r="B458" s="1"/>
      <c r="C458" s="1"/>
      <c r="D458" s="1"/>
      <c r="E458" s="1"/>
      <c r="F458" s="1"/>
      <c r="G458" s="7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24"/>
      <c r="T458" s="1"/>
      <c r="U458" s="1"/>
      <c r="V458" s="24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</row>
    <row r="459" spans="1:41" x14ac:dyDescent="0.25">
      <c r="A459" s="1"/>
      <c r="B459" s="1"/>
      <c r="C459" s="1"/>
      <c r="D459" s="1"/>
      <c r="E459" s="1"/>
      <c r="F459" s="1"/>
      <c r="G459" s="7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24"/>
      <c r="T459" s="1"/>
      <c r="U459" s="1"/>
      <c r="V459" s="24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</row>
    <row r="460" spans="1:41" x14ac:dyDescent="0.25">
      <c r="A460" s="1"/>
      <c r="B460" s="1"/>
      <c r="C460" s="1"/>
      <c r="D460" s="1"/>
      <c r="E460" s="1"/>
      <c r="F460" s="1"/>
      <c r="G460" s="7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24"/>
      <c r="T460" s="1"/>
      <c r="U460" s="1"/>
      <c r="V460" s="24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</row>
    <row r="461" spans="1:41" x14ac:dyDescent="0.25">
      <c r="A461" s="1"/>
      <c r="B461" s="1"/>
      <c r="C461" s="1"/>
      <c r="D461" s="1"/>
      <c r="E461" s="1"/>
      <c r="F461" s="1"/>
      <c r="G461" s="7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24"/>
      <c r="T461" s="1"/>
      <c r="U461" s="1"/>
      <c r="V461" s="24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</row>
    <row r="462" spans="1:41" x14ac:dyDescent="0.25">
      <c r="A462" s="1"/>
      <c r="B462" s="1"/>
      <c r="C462" s="1"/>
      <c r="D462" s="1"/>
      <c r="E462" s="1"/>
      <c r="F462" s="1"/>
      <c r="G462" s="7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24"/>
      <c r="T462" s="1"/>
      <c r="U462" s="1"/>
      <c r="V462" s="24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</row>
    <row r="463" spans="1:41" x14ac:dyDescent="0.25">
      <c r="A463" s="1"/>
      <c r="B463" s="1"/>
      <c r="C463" s="1"/>
      <c r="D463" s="1"/>
      <c r="E463" s="1"/>
      <c r="F463" s="1"/>
      <c r="G463" s="7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24"/>
      <c r="T463" s="1"/>
      <c r="U463" s="1"/>
      <c r="V463" s="24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</row>
    <row r="464" spans="1:41" x14ac:dyDescent="0.25">
      <c r="A464" s="1"/>
      <c r="B464" s="1"/>
      <c r="C464" s="1"/>
      <c r="D464" s="1"/>
      <c r="E464" s="1"/>
      <c r="F464" s="1"/>
      <c r="G464" s="7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24"/>
      <c r="T464" s="1"/>
      <c r="U464" s="1"/>
      <c r="V464" s="24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</row>
    <row r="465" spans="1:41" x14ac:dyDescent="0.25">
      <c r="A465" s="1"/>
      <c r="B465" s="1"/>
      <c r="C465" s="1"/>
      <c r="D465" s="1"/>
      <c r="E465" s="1"/>
      <c r="F465" s="1"/>
      <c r="G465" s="7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24"/>
      <c r="T465" s="1"/>
      <c r="U465" s="1"/>
      <c r="V465" s="24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</row>
    <row r="466" spans="1:41" x14ac:dyDescent="0.25">
      <c r="A466" s="1"/>
      <c r="B466" s="1"/>
      <c r="C466" s="1"/>
      <c r="D466" s="1"/>
      <c r="E466" s="1"/>
      <c r="F466" s="1"/>
      <c r="G466" s="7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24"/>
      <c r="T466" s="1"/>
      <c r="U466" s="1"/>
      <c r="V466" s="24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</row>
    <row r="467" spans="1:41" x14ac:dyDescent="0.25">
      <c r="A467" s="1"/>
      <c r="B467" s="1"/>
      <c r="C467" s="1"/>
      <c r="D467" s="1"/>
      <c r="E467" s="1"/>
      <c r="F467" s="1"/>
      <c r="G467" s="7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24"/>
      <c r="T467" s="1"/>
      <c r="U467" s="1"/>
      <c r="V467" s="24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</row>
    <row r="468" spans="1:41" x14ac:dyDescent="0.25">
      <c r="A468" s="1"/>
      <c r="B468" s="1"/>
      <c r="C468" s="1"/>
      <c r="D468" s="1"/>
      <c r="E468" s="1"/>
      <c r="F468" s="1"/>
      <c r="G468" s="7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24"/>
      <c r="T468" s="1"/>
      <c r="U468" s="1"/>
      <c r="V468" s="24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</row>
    <row r="469" spans="1:41" x14ac:dyDescent="0.25">
      <c r="A469" s="1"/>
      <c r="B469" s="1"/>
      <c r="C469" s="1"/>
      <c r="D469" s="1"/>
      <c r="E469" s="1"/>
      <c r="F469" s="1"/>
      <c r="G469" s="7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24"/>
      <c r="T469" s="1"/>
      <c r="U469" s="1"/>
      <c r="V469" s="24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</row>
    <row r="470" spans="1:41" x14ac:dyDescent="0.25">
      <c r="A470" s="1"/>
      <c r="B470" s="1"/>
      <c r="C470" s="1"/>
      <c r="D470" s="1"/>
      <c r="E470" s="1"/>
      <c r="F470" s="1"/>
      <c r="G470" s="7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24"/>
      <c r="T470" s="1"/>
      <c r="U470" s="1"/>
      <c r="V470" s="24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</row>
    <row r="471" spans="1:41" x14ac:dyDescent="0.25">
      <c r="A471" s="1"/>
      <c r="B471" s="1"/>
      <c r="C471" s="1"/>
      <c r="D471" s="1"/>
      <c r="E471" s="1"/>
      <c r="F471" s="1"/>
      <c r="G471" s="7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24"/>
      <c r="T471" s="1"/>
      <c r="U471" s="1"/>
      <c r="V471" s="24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</row>
    <row r="472" spans="1:41" x14ac:dyDescent="0.25">
      <c r="A472" s="1"/>
      <c r="B472" s="1"/>
      <c r="C472" s="1"/>
      <c r="D472" s="1"/>
      <c r="E472" s="1"/>
      <c r="F472" s="1"/>
      <c r="G472" s="7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24"/>
      <c r="T472" s="1"/>
      <c r="U472" s="1"/>
      <c r="V472" s="24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</row>
    <row r="473" spans="1:41" x14ac:dyDescent="0.25">
      <c r="A473" s="1"/>
      <c r="B473" s="1"/>
      <c r="C473" s="1"/>
      <c r="D473" s="1"/>
      <c r="E473" s="1"/>
      <c r="F473" s="1"/>
      <c r="G473" s="7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24"/>
      <c r="T473" s="1"/>
      <c r="U473" s="1"/>
      <c r="V473" s="24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</row>
    <row r="474" spans="1:41" x14ac:dyDescent="0.25">
      <c r="A474" s="1"/>
      <c r="B474" s="1"/>
      <c r="C474" s="1"/>
      <c r="D474" s="1"/>
      <c r="E474" s="1"/>
      <c r="F474" s="1"/>
      <c r="G474" s="7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24"/>
      <c r="T474" s="1"/>
      <c r="U474" s="1"/>
      <c r="V474" s="24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</row>
    <row r="475" spans="1:41" x14ac:dyDescent="0.25">
      <c r="A475" s="1"/>
      <c r="B475" s="1"/>
      <c r="C475" s="1"/>
      <c r="D475" s="1"/>
      <c r="E475" s="1"/>
      <c r="F475" s="1"/>
      <c r="G475" s="7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24"/>
      <c r="T475" s="1"/>
      <c r="U475" s="1"/>
      <c r="V475" s="24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</row>
    <row r="476" spans="1:41" x14ac:dyDescent="0.25">
      <c r="A476" s="1"/>
      <c r="B476" s="1"/>
      <c r="C476" s="1"/>
      <c r="D476" s="1"/>
      <c r="E476" s="1"/>
      <c r="F476" s="1"/>
      <c r="G476" s="7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24"/>
      <c r="T476" s="1"/>
      <c r="U476" s="1"/>
      <c r="V476" s="24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</row>
    <row r="477" spans="1:41" x14ac:dyDescent="0.25">
      <c r="A477" s="1"/>
      <c r="B477" s="1"/>
      <c r="C477" s="1"/>
      <c r="D477" s="1"/>
      <c r="E477" s="1"/>
      <c r="F477" s="1"/>
      <c r="G477" s="7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24"/>
      <c r="T477" s="1"/>
      <c r="U477" s="1"/>
      <c r="V477" s="24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</row>
    <row r="478" spans="1:41" x14ac:dyDescent="0.25">
      <c r="A478" s="1"/>
      <c r="B478" s="1"/>
      <c r="C478" s="1"/>
      <c r="D478" s="1"/>
      <c r="E478" s="1"/>
      <c r="F478" s="1"/>
      <c r="G478" s="7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24"/>
      <c r="T478" s="1"/>
      <c r="U478" s="1"/>
      <c r="V478" s="24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</row>
    <row r="479" spans="1:41" x14ac:dyDescent="0.25">
      <c r="A479" s="1"/>
      <c r="B479" s="1"/>
      <c r="C479" s="1"/>
      <c r="D479" s="1"/>
      <c r="E479" s="1"/>
      <c r="F479" s="1"/>
      <c r="G479" s="7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24"/>
      <c r="T479" s="1"/>
      <c r="U479" s="1"/>
      <c r="V479" s="24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</row>
    <row r="480" spans="1:41" x14ac:dyDescent="0.25">
      <c r="A480" s="1"/>
      <c r="B480" s="1"/>
      <c r="C480" s="1"/>
      <c r="D480" s="1"/>
      <c r="E480" s="1"/>
      <c r="F480" s="1"/>
      <c r="G480" s="7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24"/>
      <c r="T480" s="1"/>
      <c r="U480" s="1"/>
      <c r="V480" s="24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</row>
    <row r="481" spans="1:41" x14ac:dyDescent="0.25">
      <c r="A481" s="1"/>
      <c r="B481" s="1"/>
      <c r="C481" s="1"/>
      <c r="D481" s="1"/>
      <c r="E481" s="1"/>
      <c r="F481" s="1"/>
      <c r="G481" s="7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24"/>
      <c r="T481" s="1"/>
      <c r="U481" s="1"/>
      <c r="V481" s="24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</row>
    <row r="482" spans="1:41" x14ac:dyDescent="0.25">
      <c r="A482" s="1"/>
      <c r="B482" s="1"/>
      <c r="C482" s="1"/>
      <c r="D482" s="1"/>
      <c r="E482" s="1"/>
      <c r="F482" s="1"/>
      <c r="G482" s="7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24"/>
      <c r="T482" s="1"/>
      <c r="U482" s="1"/>
      <c r="V482" s="24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</row>
    <row r="483" spans="1:41" x14ac:dyDescent="0.25">
      <c r="A483" s="1"/>
      <c r="B483" s="1"/>
      <c r="C483" s="1"/>
      <c r="D483" s="1"/>
      <c r="E483" s="1"/>
      <c r="F483" s="1"/>
      <c r="G483" s="7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24"/>
      <c r="T483" s="1"/>
      <c r="U483" s="1"/>
      <c r="V483" s="24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</row>
    <row r="484" spans="1:41" x14ac:dyDescent="0.25">
      <c r="A484" s="1"/>
      <c r="B484" s="1"/>
      <c r="C484" s="1"/>
      <c r="D484" s="1"/>
      <c r="E484" s="1"/>
      <c r="F484" s="1"/>
      <c r="G484" s="7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24"/>
      <c r="T484" s="1"/>
      <c r="U484" s="1"/>
      <c r="V484" s="24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</row>
    <row r="485" spans="1:41" x14ac:dyDescent="0.25">
      <c r="A485" s="1"/>
      <c r="B485" s="1"/>
      <c r="C485" s="1"/>
      <c r="D485" s="1"/>
      <c r="E485" s="1"/>
      <c r="F485" s="1"/>
      <c r="G485" s="7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24"/>
      <c r="T485" s="1"/>
      <c r="U485" s="1"/>
      <c r="V485" s="24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</row>
    <row r="486" spans="1:41" x14ac:dyDescent="0.25">
      <c r="A486" s="1"/>
      <c r="B486" s="1"/>
      <c r="C486" s="1"/>
      <c r="D486" s="1"/>
      <c r="E486" s="1"/>
      <c r="F486" s="1"/>
      <c r="G486" s="7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24"/>
      <c r="T486" s="1"/>
      <c r="U486" s="1"/>
      <c r="V486" s="24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</row>
    <row r="487" spans="1:41" x14ac:dyDescent="0.25">
      <c r="A487" s="1"/>
      <c r="B487" s="1"/>
      <c r="C487" s="1"/>
      <c r="D487" s="1"/>
      <c r="E487" s="1"/>
      <c r="F487" s="1"/>
      <c r="G487" s="7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24"/>
      <c r="T487" s="1"/>
      <c r="U487" s="1"/>
      <c r="V487" s="24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</row>
    <row r="488" spans="1:41" x14ac:dyDescent="0.25">
      <c r="A488" s="1"/>
      <c r="B488" s="1"/>
      <c r="C488" s="1"/>
      <c r="D488" s="1"/>
      <c r="E488" s="1"/>
      <c r="F488" s="1"/>
      <c r="G488" s="7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24"/>
      <c r="T488" s="1"/>
      <c r="U488" s="1"/>
      <c r="V488" s="24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</row>
    <row r="489" spans="1:41" x14ac:dyDescent="0.25">
      <c r="A489" s="1"/>
      <c r="B489" s="1"/>
      <c r="C489" s="1"/>
      <c r="D489" s="1"/>
      <c r="E489" s="1"/>
      <c r="F489" s="1"/>
      <c r="G489" s="7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24"/>
      <c r="T489" s="1"/>
      <c r="U489" s="1"/>
      <c r="V489" s="24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</row>
    <row r="490" spans="1:41" x14ac:dyDescent="0.25">
      <c r="A490" s="1"/>
      <c r="B490" s="1"/>
      <c r="C490" s="1"/>
      <c r="D490" s="1"/>
      <c r="E490" s="1"/>
      <c r="F490" s="1"/>
      <c r="G490" s="7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24"/>
      <c r="T490" s="1"/>
      <c r="U490" s="1"/>
      <c r="V490" s="24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</row>
    <row r="491" spans="1:41" x14ac:dyDescent="0.25">
      <c r="A491" s="1"/>
      <c r="B491" s="1"/>
      <c r="C491" s="1"/>
      <c r="D491" s="1"/>
      <c r="E491" s="1"/>
      <c r="F491" s="1"/>
      <c r="G491" s="7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24"/>
      <c r="T491" s="1"/>
      <c r="U491" s="1"/>
      <c r="V491" s="24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</row>
    <row r="492" spans="1:41" x14ac:dyDescent="0.25">
      <c r="A492" s="1"/>
      <c r="B492" s="1"/>
      <c r="C492" s="1"/>
      <c r="D492" s="1"/>
      <c r="E492" s="1"/>
      <c r="F492" s="1"/>
      <c r="G492" s="7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24"/>
      <c r="T492" s="1"/>
      <c r="U492" s="1"/>
      <c r="V492" s="24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</row>
    <row r="493" spans="1:41" x14ac:dyDescent="0.25">
      <c r="A493" s="1"/>
      <c r="B493" s="1"/>
      <c r="C493" s="1"/>
      <c r="D493" s="1"/>
      <c r="E493" s="1"/>
      <c r="F493" s="1"/>
      <c r="G493" s="7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24"/>
      <c r="T493" s="1"/>
      <c r="U493" s="1"/>
      <c r="V493" s="24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</row>
    <row r="494" spans="1:41" x14ac:dyDescent="0.25">
      <c r="A494" s="1"/>
      <c r="B494" s="1"/>
      <c r="C494" s="1"/>
      <c r="D494" s="1"/>
      <c r="E494" s="1"/>
      <c r="F494" s="1"/>
      <c r="G494" s="7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24"/>
      <c r="T494" s="1"/>
      <c r="U494" s="1"/>
      <c r="V494" s="24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</row>
    <row r="495" spans="1:41" x14ac:dyDescent="0.25">
      <c r="A495" s="1"/>
      <c r="B495" s="1"/>
      <c r="C495" s="1"/>
      <c r="D495" s="1"/>
      <c r="E495" s="1"/>
      <c r="F495" s="1"/>
      <c r="G495" s="7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24"/>
      <c r="T495" s="1"/>
      <c r="U495" s="1"/>
      <c r="V495" s="24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</row>
    <row r="496" spans="1:41" x14ac:dyDescent="0.25">
      <c r="A496" s="1"/>
      <c r="B496" s="1"/>
      <c r="C496" s="1"/>
      <c r="D496" s="1"/>
      <c r="E496" s="1"/>
      <c r="F496" s="1"/>
      <c r="G496" s="7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24"/>
      <c r="T496" s="1"/>
      <c r="U496" s="1"/>
      <c r="V496" s="24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</row>
    <row r="497" spans="1:41" x14ac:dyDescent="0.25">
      <c r="A497" s="1"/>
      <c r="B497" s="1"/>
      <c r="C497" s="1"/>
      <c r="D497" s="1"/>
      <c r="E497" s="1"/>
      <c r="F497" s="1"/>
      <c r="G497" s="7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24"/>
      <c r="T497" s="1"/>
      <c r="U497" s="1"/>
      <c r="V497" s="24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</row>
    <row r="498" spans="1:41" x14ac:dyDescent="0.25">
      <c r="A498" s="1"/>
      <c r="B498" s="1"/>
      <c r="C498" s="1"/>
      <c r="D498" s="1"/>
      <c r="E498" s="1"/>
      <c r="F498" s="1"/>
      <c r="G498" s="7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24"/>
      <c r="T498" s="1"/>
      <c r="U498" s="1"/>
      <c r="V498" s="24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</row>
    <row r="499" spans="1:41" x14ac:dyDescent="0.25">
      <c r="A499" s="1"/>
      <c r="B499" s="1"/>
      <c r="C499" s="1"/>
      <c r="D499" s="1"/>
      <c r="E499" s="1"/>
      <c r="F499" s="1"/>
      <c r="G499" s="7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24"/>
      <c r="T499" s="1"/>
      <c r="U499" s="1"/>
      <c r="V499" s="24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</row>
    <row r="500" spans="1:41" x14ac:dyDescent="0.25">
      <c r="A500" s="1"/>
      <c r="B500" s="1"/>
      <c r="C500" s="1"/>
      <c r="D500" s="1"/>
      <c r="E500" s="1"/>
      <c r="F500" s="1"/>
      <c r="G500" s="7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24"/>
      <c r="T500" s="1"/>
      <c r="U500" s="1"/>
      <c r="V500" s="24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</row>
  </sheetData>
  <autoFilter ref="A3:AQ137" xr:uid="{00000000-0001-0000-0000-000000000000}">
    <filterColumn colId="21">
      <customFilters>
        <customFilter operator="notEqual" val=" "/>
      </customFilters>
    </filterColumn>
    <filterColumn colId="42">
      <customFilters>
        <customFilter operator="notEqual" val=" "/>
      </customFilters>
    </filterColumn>
  </autoFilter>
  <pageMargins left="0.75" right="0.75" top="1" bottom="1" header="0.5" footer="0.5"/>
  <pageSetup paperSize="9" orientation="portrait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E3969D-DD28-42C4-BF0E-5C127E08E107}">
  <dimension ref="A1:D12"/>
  <sheetViews>
    <sheetView workbookViewId="0">
      <selection activeCell="J19" sqref="J19"/>
    </sheetView>
  </sheetViews>
  <sheetFormatPr defaultRowHeight="15" x14ac:dyDescent="0.25"/>
  <sheetData>
    <row r="1" spans="1:4" x14ac:dyDescent="0.25">
      <c r="A1" s="30" t="s">
        <v>128</v>
      </c>
      <c r="B1" s="30" t="s">
        <v>328</v>
      </c>
      <c r="C1" s="30">
        <v>81.599999999999994</v>
      </c>
      <c r="D1" s="30">
        <v>-81.599999999999994</v>
      </c>
    </row>
    <row r="2" spans="1:4" x14ac:dyDescent="0.25">
      <c r="A2" s="29" t="s">
        <v>63</v>
      </c>
      <c r="B2" s="29" t="s">
        <v>329</v>
      </c>
      <c r="C2" s="29">
        <v>23.4</v>
      </c>
      <c r="D2" s="29">
        <v>-23.4</v>
      </c>
    </row>
    <row r="3" spans="1:4" x14ac:dyDescent="0.25">
      <c r="A3" s="29" t="s">
        <v>126</v>
      </c>
      <c r="B3" s="29" t="s">
        <v>330</v>
      </c>
      <c r="C3" s="29">
        <v>160.80000000000001</v>
      </c>
      <c r="D3" s="29">
        <v>-160.80000000000001</v>
      </c>
    </row>
    <row r="4" spans="1:4" x14ac:dyDescent="0.25">
      <c r="A4" s="29" t="s">
        <v>135</v>
      </c>
      <c r="B4" s="29" t="s">
        <v>331</v>
      </c>
      <c r="C4" s="29">
        <v>18.899999999999999</v>
      </c>
      <c r="D4" s="29">
        <v>-18.899999999999999</v>
      </c>
    </row>
    <row r="5" spans="1:4" x14ac:dyDescent="0.25">
      <c r="A5" s="29" t="s">
        <v>182</v>
      </c>
      <c r="B5" s="29" t="s">
        <v>332</v>
      </c>
      <c r="C5" s="29">
        <v>76.8</v>
      </c>
      <c r="D5" s="29">
        <v>-76.8</v>
      </c>
    </row>
    <row r="6" spans="1:4" x14ac:dyDescent="0.25">
      <c r="A6" s="29" t="s">
        <v>145</v>
      </c>
      <c r="B6" s="29" t="s">
        <v>333</v>
      </c>
      <c r="C6" s="29">
        <v>71.400000000000006</v>
      </c>
      <c r="D6" s="29">
        <v>-71.400000000000006</v>
      </c>
    </row>
    <row r="7" spans="1:4" x14ac:dyDescent="0.25">
      <c r="A7" s="29" t="s">
        <v>317</v>
      </c>
      <c r="B7" s="29" t="s">
        <v>334</v>
      </c>
      <c r="C7" s="29">
        <v>16.2</v>
      </c>
      <c r="D7" s="29">
        <v>-16.2</v>
      </c>
    </row>
    <row r="8" spans="1:4" x14ac:dyDescent="0.25">
      <c r="A8" s="29" t="s">
        <v>315</v>
      </c>
      <c r="B8" s="29" t="s">
        <v>335</v>
      </c>
      <c r="C8" s="29">
        <v>30.6</v>
      </c>
      <c r="D8" s="29">
        <v>-30.6</v>
      </c>
    </row>
    <row r="9" spans="1:4" x14ac:dyDescent="0.25">
      <c r="A9" s="29" t="s">
        <v>188</v>
      </c>
      <c r="B9" s="29" t="s">
        <v>336</v>
      </c>
      <c r="C9" s="29">
        <v>383.4</v>
      </c>
      <c r="D9" s="29">
        <v>-383.4</v>
      </c>
    </row>
    <row r="10" spans="1:4" x14ac:dyDescent="0.25">
      <c r="A10" s="29" t="s">
        <v>241</v>
      </c>
      <c r="B10" s="29" t="s">
        <v>337</v>
      </c>
      <c r="C10" s="29">
        <v>16.2</v>
      </c>
      <c r="D10" s="29">
        <v>-16.2</v>
      </c>
    </row>
    <row r="11" spans="1:4" x14ac:dyDescent="0.25">
      <c r="A11" s="29" t="s">
        <v>275</v>
      </c>
      <c r="B11" s="29" t="s">
        <v>338</v>
      </c>
      <c r="C11" s="29">
        <v>101.5</v>
      </c>
      <c r="D11" s="29">
        <v>-101.5</v>
      </c>
    </row>
    <row r="12" spans="1:4" x14ac:dyDescent="0.25">
      <c r="A12" s="29" t="s">
        <v>283</v>
      </c>
      <c r="B12" s="29" t="s">
        <v>339</v>
      </c>
      <c r="C12" s="29">
        <v>57.12</v>
      </c>
      <c r="D12" s="29">
        <v>-57.12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Sheet</vt:lpstr>
      <vt:lpstr>недогруз 22,08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2026-08-20T12:19:45Z</dcterms:created>
  <dcterms:modified xsi:type="dcterms:W3CDTF">2026-08-22T14:54:33Z</dcterms:modified>
</cp:coreProperties>
</file>