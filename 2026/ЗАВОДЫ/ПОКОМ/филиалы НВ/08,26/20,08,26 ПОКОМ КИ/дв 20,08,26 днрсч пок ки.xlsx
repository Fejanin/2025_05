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8,26\20,08,26 ПОКОМ КИ\"/>
    </mc:Choice>
  </mc:AlternateContent>
  <xr:revisionPtr revIDLastSave="0" documentId="13_ncr:1_{72413015-36E8-4C73-81C4-A1263C0E5DD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едогруз 22,08" sheetId="2" r:id="rId2"/>
  </sheets>
  <externalReferences>
    <externalReference r:id="rId3"/>
    <externalReference r:id="rId4"/>
  </externalReferences>
  <definedNames>
    <definedName name="_xlnm._FilterDatabase" localSheetId="0" hidden="1">Sheet!$A$3:$AO$137</definedName>
  </definedNames>
  <calcPr calcId="191029"/>
</workbook>
</file>

<file path=xl/calcChain.xml><?xml version="1.0" encoding="utf-8"?>
<calcChain xmlns="http://schemas.openxmlformats.org/spreadsheetml/2006/main">
  <c r="S54" i="1" l="1"/>
  <c r="S5" i="1" l="1"/>
  <c r="R5" i="1"/>
  <c r="AO10" i="1"/>
  <c r="AO16" i="1"/>
  <c r="AO17" i="1"/>
  <c r="AO19" i="1"/>
  <c r="AO23" i="1"/>
  <c r="AO54" i="1"/>
  <c r="AO58" i="1"/>
  <c r="AO90" i="1"/>
  <c r="AO92" i="1"/>
  <c r="AO93" i="1"/>
  <c r="AO94" i="1"/>
  <c r="AO128" i="1"/>
  <c r="AM137" i="1"/>
  <c r="W137" i="1"/>
  <c r="X137" i="1" s="1"/>
  <c r="M137" i="1"/>
  <c r="U137" i="1" s="1"/>
  <c r="AB137" i="1" s="1"/>
  <c r="L137" i="1"/>
  <c r="AM136" i="1"/>
  <c r="M136" i="1"/>
  <c r="U136" i="1" s="1"/>
  <c r="AB136" i="1" s="1"/>
  <c r="L136" i="1"/>
  <c r="W135" i="1"/>
  <c r="Y135" i="1" s="1"/>
  <c r="AM135" i="1" s="1"/>
  <c r="M135" i="1"/>
  <c r="U135" i="1" s="1"/>
  <c r="AB135" i="1" s="1"/>
  <c r="L135" i="1"/>
  <c r="AM134" i="1"/>
  <c r="M134" i="1"/>
  <c r="U134" i="1" s="1"/>
  <c r="AB134" i="1" s="1"/>
  <c r="L134" i="1"/>
  <c r="W133" i="1"/>
  <c r="Y133" i="1" s="1"/>
  <c r="AM133" i="1" s="1"/>
  <c r="M133" i="1"/>
  <c r="U133" i="1" s="1"/>
  <c r="AB133" i="1" s="1"/>
  <c r="L133" i="1"/>
  <c r="W132" i="1"/>
  <c r="Y132" i="1" s="1"/>
  <c r="AM132" i="1" s="1"/>
  <c r="M132" i="1"/>
  <c r="U132" i="1" s="1"/>
  <c r="AB132" i="1" s="1"/>
  <c r="L132" i="1"/>
  <c r="AM131" i="1"/>
  <c r="W131" i="1"/>
  <c r="X131" i="1" s="1"/>
  <c r="AL131" i="1" s="1"/>
  <c r="M131" i="1"/>
  <c r="U131" i="1" s="1"/>
  <c r="AB131" i="1" s="1"/>
  <c r="L131" i="1"/>
  <c r="AM130" i="1"/>
  <c r="W130" i="1"/>
  <c r="X130" i="1" s="1"/>
  <c r="AL130" i="1" s="1"/>
  <c r="F130" i="1"/>
  <c r="E130" i="1"/>
  <c r="M130" i="1" s="1"/>
  <c r="U130" i="1" s="1"/>
  <c r="W129" i="1"/>
  <c r="Y129" i="1" s="1"/>
  <c r="AM129" i="1" s="1"/>
  <c r="M129" i="1"/>
  <c r="U129" i="1" s="1"/>
  <c r="AB129" i="1" s="1"/>
  <c r="L129" i="1"/>
  <c r="AM128" i="1"/>
  <c r="F128" i="1"/>
  <c r="E128" i="1"/>
  <c r="M128" i="1" s="1"/>
  <c r="U128" i="1" s="1"/>
  <c r="AM127" i="1"/>
  <c r="W127" i="1"/>
  <c r="X127" i="1" s="1"/>
  <c r="M127" i="1"/>
  <c r="U127" i="1" s="1"/>
  <c r="AB127" i="1" s="1"/>
  <c r="L127" i="1"/>
  <c r="AM126" i="1"/>
  <c r="X126" i="1"/>
  <c r="AL126" i="1" s="1"/>
  <c r="M126" i="1"/>
  <c r="U126" i="1" s="1"/>
  <c r="AB126" i="1" s="1"/>
  <c r="L126" i="1"/>
  <c r="AM125" i="1"/>
  <c r="W125" i="1"/>
  <c r="X125" i="1" s="1"/>
  <c r="AL125" i="1" s="1"/>
  <c r="M125" i="1"/>
  <c r="U125" i="1" s="1"/>
  <c r="AB125" i="1" s="1"/>
  <c r="L125" i="1"/>
  <c r="AM124" i="1"/>
  <c r="Z124" i="1"/>
  <c r="W124" i="1"/>
  <c r="X124" i="1" s="1"/>
  <c r="M124" i="1"/>
  <c r="U124" i="1" s="1"/>
  <c r="AB124" i="1" s="1"/>
  <c r="L124" i="1"/>
  <c r="AM123" i="1"/>
  <c r="Z123" i="1"/>
  <c r="W123" i="1"/>
  <c r="X123" i="1" s="1"/>
  <c r="AL123" i="1" s="1"/>
  <c r="M123" i="1"/>
  <c r="U123" i="1" s="1"/>
  <c r="AB123" i="1" s="1"/>
  <c r="L123" i="1"/>
  <c r="AM122" i="1"/>
  <c r="W122" i="1"/>
  <c r="X122" i="1" s="1"/>
  <c r="AL122" i="1" s="1"/>
  <c r="M122" i="1"/>
  <c r="U122" i="1" s="1"/>
  <c r="AB122" i="1" s="1"/>
  <c r="L122" i="1"/>
  <c r="AM121" i="1"/>
  <c r="W121" i="1"/>
  <c r="X121" i="1" s="1"/>
  <c r="AA121" i="1" s="1"/>
  <c r="M121" i="1"/>
  <c r="U121" i="1" s="1"/>
  <c r="AB121" i="1" s="1"/>
  <c r="L121" i="1"/>
  <c r="AM120" i="1"/>
  <c r="W120" i="1"/>
  <c r="X120" i="1" s="1"/>
  <c r="M120" i="1"/>
  <c r="U120" i="1" s="1"/>
  <c r="AB120" i="1" s="1"/>
  <c r="L120" i="1"/>
  <c r="AM119" i="1"/>
  <c r="Z119" i="1"/>
  <c r="M119" i="1"/>
  <c r="U119" i="1" s="1"/>
  <c r="L119" i="1"/>
  <c r="W118" i="1"/>
  <c r="Y118" i="1" s="1"/>
  <c r="AM118" i="1" s="1"/>
  <c r="M118" i="1"/>
  <c r="U118" i="1" s="1"/>
  <c r="AB118" i="1" s="1"/>
  <c r="L118" i="1"/>
  <c r="W117" i="1"/>
  <c r="Y117" i="1" s="1"/>
  <c r="AM117" i="1" s="1"/>
  <c r="M117" i="1"/>
  <c r="U117" i="1" s="1"/>
  <c r="AB117" i="1" s="1"/>
  <c r="L117" i="1"/>
  <c r="M116" i="1"/>
  <c r="U116" i="1" s="1"/>
  <c r="L116" i="1"/>
  <c r="AM115" i="1"/>
  <c r="W115" i="1"/>
  <c r="X115" i="1" s="1"/>
  <c r="AA115" i="1" s="1"/>
  <c r="M115" i="1"/>
  <c r="U115" i="1" s="1"/>
  <c r="AB115" i="1" s="1"/>
  <c r="L115" i="1"/>
  <c r="AM114" i="1"/>
  <c r="M114" i="1"/>
  <c r="U114" i="1" s="1"/>
  <c r="L114" i="1"/>
  <c r="W113" i="1"/>
  <c r="Y113" i="1" s="1"/>
  <c r="AM113" i="1" s="1"/>
  <c r="M113" i="1"/>
  <c r="U113" i="1" s="1"/>
  <c r="AB113" i="1" s="1"/>
  <c r="L113" i="1"/>
  <c r="M112" i="1"/>
  <c r="U112" i="1" s="1"/>
  <c r="L112" i="1"/>
  <c r="M111" i="1"/>
  <c r="U111" i="1" s="1"/>
  <c r="L111" i="1"/>
  <c r="AM110" i="1"/>
  <c r="Z110" i="1"/>
  <c r="M110" i="1"/>
  <c r="U110" i="1" s="1"/>
  <c r="V110" i="1" s="1"/>
  <c r="W110" i="1" s="1"/>
  <c r="X110" i="1" s="1"/>
  <c r="AA110" i="1" s="1"/>
  <c r="L110" i="1"/>
  <c r="AM109" i="1"/>
  <c r="Z109" i="1"/>
  <c r="M109" i="1"/>
  <c r="U109" i="1" s="1"/>
  <c r="L109" i="1"/>
  <c r="AM108" i="1"/>
  <c r="Z108" i="1"/>
  <c r="W108" i="1"/>
  <c r="X108" i="1" s="1"/>
  <c r="M108" i="1"/>
  <c r="U108" i="1" s="1"/>
  <c r="AB108" i="1" s="1"/>
  <c r="L108" i="1"/>
  <c r="AM107" i="1"/>
  <c r="W107" i="1"/>
  <c r="X107" i="1" s="1"/>
  <c r="M107" i="1"/>
  <c r="U107" i="1" s="1"/>
  <c r="AB107" i="1" s="1"/>
  <c r="L107" i="1"/>
  <c r="AM106" i="1"/>
  <c r="Z106" i="1"/>
  <c r="M106" i="1"/>
  <c r="U106" i="1" s="1"/>
  <c r="L106" i="1"/>
  <c r="AM105" i="1"/>
  <c r="M105" i="1"/>
  <c r="U105" i="1" s="1"/>
  <c r="L105" i="1"/>
  <c r="AM104" i="1"/>
  <c r="M104" i="1"/>
  <c r="U104" i="1" s="1"/>
  <c r="L104" i="1"/>
  <c r="AM103" i="1"/>
  <c r="W103" i="1"/>
  <c r="X103" i="1" s="1"/>
  <c r="M103" i="1"/>
  <c r="U103" i="1" s="1"/>
  <c r="AB103" i="1" s="1"/>
  <c r="L103" i="1"/>
  <c r="AM102" i="1"/>
  <c r="Z102" i="1"/>
  <c r="W102" i="1"/>
  <c r="X102" i="1" s="1"/>
  <c r="AA102" i="1" s="1"/>
  <c r="M102" i="1"/>
  <c r="U102" i="1" s="1"/>
  <c r="AB102" i="1" s="1"/>
  <c r="L102" i="1"/>
  <c r="AM101" i="1"/>
  <c r="Z101" i="1"/>
  <c r="U101" i="1"/>
  <c r="AB101" i="1" s="1"/>
  <c r="M101" i="1"/>
  <c r="L101" i="1"/>
  <c r="AM100" i="1"/>
  <c r="Z100" i="1"/>
  <c r="W100" i="1"/>
  <c r="X100" i="1" s="1"/>
  <c r="M100" i="1"/>
  <c r="U100" i="1" s="1"/>
  <c r="AB100" i="1" s="1"/>
  <c r="L100" i="1"/>
  <c r="AM99" i="1"/>
  <c r="W99" i="1"/>
  <c r="X99" i="1" s="1"/>
  <c r="AA99" i="1" s="1"/>
  <c r="M99" i="1"/>
  <c r="U99" i="1" s="1"/>
  <c r="AB99" i="1" s="1"/>
  <c r="L99" i="1"/>
  <c r="W98" i="1"/>
  <c r="Y98" i="1" s="1"/>
  <c r="AM98" i="1" s="1"/>
  <c r="M98" i="1"/>
  <c r="U98" i="1" s="1"/>
  <c r="AB98" i="1" s="1"/>
  <c r="L98" i="1"/>
  <c r="AM97" i="1"/>
  <c r="W97" i="1"/>
  <c r="X97" i="1" s="1"/>
  <c r="AL97" i="1" s="1"/>
  <c r="M97" i="1"/>
  <c r="U97" i="1" s="1"/>
  <c r="L97" i="1"/>
  <c r="AM96" i="1"/>
  <c r="W96" i="1"/>
  <c r="X96" i="1" s="1"/>
  <c r="AA96" i="1" s="1"/>
  <c r="M96" i="1"/>
  <c r="U96" i="1" s="1"/>
  <c r="AB96" i="1" s="1"/>
  <c r="L96" i="1"/>
  <c r="AM95" i="1"/>
  <c r="M95" i="1"/>
  <c r="U95" i="1" s="1"/>
  <c r="L95" i="1"/>
  <c r="AM94" i="1"/>
  <c r="W94" i="1"/>
  <c r="X94" i="1" s="1"/>
  <c r="AL94" i="1" s="1"/>
  <c r="F94" i="1"/>
  <c r="E94" i="1"/>
  <c r="M94" i="1" s="1"/>
  <c r="U94" i="1" s="1"/>
  <c r="AM93" i="1"/>
  <c r="X93" i="1"/>
  <c r="AL93" i="1" s="1"/>
  <c r="W93" i="1"/>
  <c r="M93" i="1"/>
  <c r="U93" i="1" s="1"/>
  <c r="AB93" i="1" s="1"/>
  <c r="L93" i="1"/>
  <c r="AM92" i="1"/>
  <c r="W92" i="1"/>
  <c r="X92" i="1" s="1"/>
  <c r="M92" i="1"/>
  <c r="U92" i="1" s="1"/>
  <c r="AB92" i="1" s="1"/>
  <c r="L92" i="1"/>
  <c r="AM91" i="1"/>
  <c r="M91" i="1"/>
  <c r="U91" i="1" s="1"/>
  <c r="L91" i="1"/>
  <c r="AM90" i="1"/>
  <c r="X90" i="1"/>
  <c r="AL90" i="1" s="1"/>
  <c r="M90" i="1"/>
  <c r="U90" i="1" s="1"/>
  <c r="L90" i="1"/>
  <c r="AM89" i="1"/>
  <c r="W89" i="1"/>
  <c r="X89" i="1" s="1"/>
  <c r="AL89" i="1" s="1"/>
  <c r="M89" i="1"/>
  <c r="U89" i="1" s="1"/>
  <c r="AB89" i="1" s="1"/>
  <c r="L89" i="1"/>
  <c r="AM88" i="1"/>
  <c r="W88" i="1"/>
  <c r="X88" i="1" s="1"/>
  <c r="AA88" i="1" s="1"/>
  <c r="M88" i="1"/>
  <c r="U88" i="1" s="1"/>
  <c r="AB88" i="1" s="1"/>
  <c r="L88" i="1"/>
  <c r="AM87" i="1"/>
  <c r="W87" i="1"/>
  <c r="X87" i="1" s="1"/>
  <c r="AA87" i="1" s="1"/>
  <c r="M87" i="1"/>
  <c r="U87" i="1" s="1"/>
  <c r="AB87" i="1" s="1"/>
  <c r="L87" i="1"/>
  <c r="AM86" i="1"/>
  <c r="W86" i="1"/>
  <c r="X86" i="1" s="1"/>
  <c r="AL86" i="1" s="1"/>
  <c r="M86" i="1"/>
  <c r="U86" i="1" s="1"/>
  <c r="AB86" i="1" s="1"/>
  <c r="L86" i="1"/>
  <c r="W85" i="1"/>
  <c r="Y85" i="1" s="1"/>
  <c r="AM85" i="1" s="1"/>
  <c r="M85" i="1"/>
  <c r="U85" i="1" s="1"/>
  <c r="AB85" i="1" s="1"/>
  <c r="L85" i="1"/>
  <c r="W84" i="1"/>
  <c r="Y84" i="1" s="1"/>
  <c r="AM84" i="1" s="1"/>
  <c r="M84" i="1"/>
  <c r="U84" i="1" s="1"/>
  <c r="AB84" i="1" s="1"/>
  <c r="L84" i="1"/>
  <c r="AM83" i="1"/>
  <c r="M83" i="1"/>
  <c r="U83" i="1" s="1"/>
  <c r="L83" i="1"/>
  <c r="AM82" i="1"/>
  <c r="M82" i="1"/>
  <c r="U82" i="1" s="1"/>
  <c r="L82" i="1"/>
  <c r="AM81" i="1"/>
  <c r="M81" i="1"/>
  <c r="U81" i="1" s="1"/>
  <c r="L81" i="1"/>
  <c r="AM80" i="1"/>
  <c r="M80" i="1"/>
  <c r="U80" i="1" s="1"/>
  <c r="L80" i="1"/>
  <c r="AM79" i="1"/>
  <c r="W79" i="1"/>
  <c r="X79" i="1" s="1"/>
  <c r="M79" i="1"/>
  <c r="U79" i="1" s="1"/>
  <c r="AB79" i="1" s="1"/>
  <c r="L79" i="1"/>
  <c r="AM78" i="1"/>
  <c r="W78" i="1"/>
  <c r="X78" i="1" s="1"/>
  <c r="M78" i="1"/>
  <c r="U78" i="1" s="1"/>
  <c r="AB78" i="1" s="1"/>
  <c r="L78" i="1"/>
  <c r="AM77" i="1"/>
  <c r="W77" i="1"/>
  <c r="X77" i="1" s="1"/>
  <c r="AA77" i="1" s="1"/>
  <c r="M77" i="1"/>
  <c r="U77" i="1" s="1"/>
  <c r="AB77" i="1" s="1"/>
  <c r="L77" i="1"/>
  <c r="AM76" i="1"/>
  <c r="M76" i="1"/>
  <c r="U76" i="1" s="1"/>
  <c r="L76" i="1"/>
  <c r="AM75" i="1"/>
  <c r="M75" i="1"/>
  <c r="U75" i="1" s="1"/>
  <c r="L75" i="1"/>
  <c r="AM74" i="1"/>
  <c r="W74" i="1"/>
  <c r="X74" i="1" s="1"/>
  <c r="AL74" i="1" s="1"/>
  <c r="M74" i="1"/>
  <c r="U74" i="1" s="1"/>
  <c r="AB74" i="1" s="1"/>
  <c r="L74" i="1"/>
  <c r="AM73" i="1"/>
  <c r="M73" i="1"/>
  <c r="U73" i="1" s="1"/>
  <c r="L73" i="1"/>
  <c r="AM72" i="1"/>
  <c r="W72" i="1"/>
  <c r="X72" i="1" s="1"/>
  <c r="M72" i="1"/>
  <c r="U72" i="1" s="1"/>
  <c r="AB72" i="1" s="1"/>
  <c r="L72" i="1"/>
  <c r="AM71" i="1"/>
  <c r="M71" i="1"/>
  <c r="U71" i="1" s="1"/>
  <c r="L71" i="1"/>
  <c r="AM70" i="1"/>
  <c r="M70" i="1"/>
  <c r="U70" i="1" s="1"/>
  <c r="L70" i="1"/>
  <c r="AM69" i="1"/>
  <c r="W69" i="1"/>
  <c r="X69" i="1" s="1"/>
  <c r="M69" i="1"/>
  <c r="U69" i="1" s="1"/>
  <c r="AB69" i="1" s="1"/>
  <c r="L69" i="1"/>
  <c r="AM68" i="1"/>
  <c r="M68" i="1"/>
  <c r="U68" i="1" s="1"/>
  <c r="V68" i="1" s="1"/>
  <c r="W68" i="1" s="1"/>
  <c r="X68" i="1" s="1"/>
  <c r="AA68" i="1" s="1"/>
  <c r="L68" i="1"/>
  <c r="W67" i="1"/>
  <c r="X67" i="1" s="1"/>
  <c r="M67" i="1"/>
  <c r="U67" i="1" s="1"/>
  <c r="AB67" i="1" s="1"/>
  <c r="L67" i="1"/>
  <c r="AM66" i="1"/>
  <c r="M66" i="1"/>
  <c r="U66" i="1" s="1"/>
  <c r="V66" i="1" s="1"/>
  <c r="W66" i="1" s="1"/>
  <c r="X66" i="1" s="1"/>
  <c r="AA66" i="1" s="1"/>
  <c r="L66" i="1"/>
  <c r="W65" i="1"/>
  <c r="X65" i="1" s="1"/>
  <c r="M65" i="1"/>
  <c r="U65" i="1" s="1"/>
  <c r="AB65" i="1" s="1"/>
  <c r="L65" i="1"/>
  <c r="W64" i="1"/>
  <c r="Y64" i="1" s="1"/>
  <c r="AM64" i="1" s="1"/>
  <c r="M64" i="1"/>
  <c r="U64" i="1" s="1"/>
  <c r="AB64" i="1" s="1"/>
  <c r="L64" i="1"/>
  <c r="AM63" i="1"/>
  <c r="W63" i="1"/>
  <c r="X63" i="1" s="1"/>
  <c r="AL63" i="1" s="1"/>
  <c r="M63" i="1"/>
  <c r="U63" i="1" s="1"/>
  <c r="AB63" i="1" s="1"/>
  <c r="L63" i="1"/>
  <c r="AM62" i="1"/>
  <c r="M62" i="1"/>
  <c r="U62" i="1" s="1"/>
  <c r="L62" i="1"/>
  <c r="AM61" i="1"/>
  <c r="W61" i="1"/>
  <c r="X61" i="1" s="1"/>
  <c r="M61" i="1"/>
  <c r="U61" i="1" s="1"/>
  <c r="AB61" i="1" s="1"/>
  <c r="L61" i="1"/>
  <c r="AM60" i="1"/>
  <c r="M60" i="1"/>
  <c r="U60" i="1" s="1"/>
  <c r="L60" i="1"/>
  <c r="AM59" i="1"/>
  <c r="M59" i="1"/>
  <c r="U59" i="1" s="1"/>
  <c r="L59" i="1"/>
  <c r="AM58" i="1"/>
  <c r="M58" i="1"/>
  <c r="U58" i="1" s="1"/>
  <c r="L58" i="1"/>
  <c r="AM57" i="1"/>
  <c r="W57" i="1"/>
  <c r="X57" i="1" s="1"/>
  <c r="AA57" i="1" s="1"/>
  <c r="M57" i="1"/>
  <c r="U57" i="1" s="1"/>
  <c r="AB57" i="1" s="1"/>
  <c r="L57" i="1"/>
  <c r="AM56" i="1"/>
  <c r="W56" i="1"/>
  <c r="X56" i="1" s="1"/>
  <c r="AL56" i="1" s="1"/>
  <c r="M56" i="1"/>
  <c r="U56" i="1" s="1"/>
  <c r="AB56" i="1" s="1"/>
  <c r="L56" i="1"/>
  <c r="AM55" i="1"/>
  <c r="M55" i="1"/>
  <c r="U55" i="1" s="1"/>
  <c r="L55" i="1"/>
  <c r="AM54" i="1"/>
  <c r="W54" i="1"/>
  <c r="X54" i="1" s="1"/>
  <c r="M54" i="1"/>
  <c r="U54" i="1" s="1"/>
  <c r="AB54" i="1" s="1"/>
  <c r="L54" i="1"/>
  <c r="AM53" i="1"/>
  <c r="W53" i="1"/>
  <c r="X53" i="1" s="1"/>
  <c r="M53" i="1"/>
  <c r="U53" i="1" s="1"/>
  <c r="AB53" i="1" s="1"/>
  <c r="L53" i="1"/>
  <c r="AM52" i="1"/>
  <c r="W52" i="1"/>
  <c r="X52" i="1" s="1"/>
  <c r="M52" i="1"/>
  <c r="U52" i="1" s="1"/>
  <c r="AB52" i="1" s="1"/>
  <c r="L52" i="1"/>
  <c r="AM51" i="1"/>
  <c r="W51" i="1"/>
  <c r="X51" i="1" s="1"/>
  <c r="M51" i="1"/>
  <c r="U51" i="1" s="1"/>
  <c r="AB51" i="1" s="1"/>
  <c r="L51" i="1"/>
  <c r="W50" i="1"/>
  <c r="X50" i="1" s="1"/>
  <c r="M50" i="1"/>
  <c r="U50" i="1" s="1"/>
  <c r="AB50" i="1" s="1"/>
  <c r="L50" i="1"/>
  <c r="Z49" i="1"/>
  <c r="V49" i="1"/>
  <c r="W49" i="1" s="1"/>
  <c r="M49" i="1"/>
  <c r="U49" i="1" s="1"/>
  <c r="AB49" i="1" s="1"/>
  <c r="L49" i="1"/>
  <c r="AM48" i="1"/>
  <c r="M48" i="1"/>
  <c r="U48" i="1" s="1"/>
  <c r="V48" i="1" s="1"/>
  <c r="W48" i="1" s="1"/>
  <c r="X48" i="1" s="1"/>
  <c r="AA48" i="1" s="1"/>
  <c r="L48" i="1"/>
  <c r="W47" i="1"/>
  <c r="X47" i="1" s="1"/>
  <c r="M47" i="1"/>
  <c r="U47" i="1" s="1"/>
  <c r="AB47" i="1" s="1"/>
  <c r="L47" i="1"/>
  <c r="W46" i="1"/>
  <c r="X46" i="1" s="1"/>
  <c r="M46" i="1"/>
  <c r="U46" i="1" s="1"/>
  <c r="AB46" i="1" s="1"/>
  <c r="L46" i="1"/>
  <c r="AM45" i="1"/>
  <c r="M45" i="1"/>
  <c r="U45" i="1" s="1"/>
  <c r="AB45" i="1" s="1"/>
  <c r="L45" i="1"/>
  <c r="W44" i="1"/>
  <c r="Y44" i="1" s="1"/>
  <c r="AM44" i="1" s="1"/>
  <c r="M44" i="1"/>
  <c r="U44" i="1" s="1"/>
  <c r="AB44" i="1" s="1"/>
  <c r="L44" i="1"/>
  <c r="AM43" i="1"/>
  <c r="M43" i="1"/>
  <c r="U43" i="1" s="1"/>
  <c r="AB43" i="1" s="1"/>
  <c r="L43" i="1"/>
  <c r="W42" i="1"/>
  <c r="Y42" i="1" s="1"/>
  <c r="AM42" i="1" s="1"/>
  <c r="M42" i="1"/>
  <c r="U42" i="1" s="1"/>
  <c r="AB42" i="1" s="1"/>
  <c r="L42" i="1"/>
  <c r="W41" i="1"/>
  <c r="X41" i="1" s="1"/>
  <c r="M41" i="1"/>
  <c r="U41" i="1" s="1"/>
  <c r="AB41" i="1" s="1"/>
  <c r="L41" i="1"/>
  <c r="W40" i="1"/>
  <c r="Y40" i="1" s="1"/>
  <c r="AM40" i="1" s="1"/>
  <c r="M40" i="1"/>
  <c r="U40" i="1" s="1"/>
  <c r="AB40" i="1" s="1"/>
  <c r="L40" i="1"/>
  <c r="AM39" i="1"/>
  <c r="Z39" i="1"/>
  <c r="M39" i="1"/>
  <c r="U39" i="1" s="1"/>
  <c r="L39" i="1"/>
  <c r="AM38" i="1"/>
  <c r="AL38" i="1"/>
  <c r="Z38" i="1"/>
  <c r="M38" i="1"/>
  <c r="U38" i="1" s="1"/>
  <c r="AA38" i="1" s="1"/>
  <c r="L38" i="1"/>
  <c r="AM37" i="1"/>
  <c r="W37" i="1"/>
  <c r="X37" i="1" s="1"/>
  <c r="M37" i="1"/>
  <c r="U37" i="1" s="1"/>
  <c r="AB37" i="1" s="1"/>
  <c r="L37" i="1"/>
  <c r="AM36" i="1"/>
  <c r="W36" i="1"/>
  <c r="X36" i="1" s="1"/>
  <c r="AA36" i="1" s="1"/>
  <c r="M36" i="1"/>
  <c r="U36" i="1" s="1"/>
  <c r="AB36" i="1" s="1"/>
  <c r="L36" i="1"/>
  <c r="AM35" i="1"/>
  <c r="W35" i="1"/>
  <c r="X35" i="1" s="1"/>
  <c r="AL35" i="1" s="1"/>
  <c r="M35" i="1"/>
  <c r="U35" i="1" s="1"/>
  <c r="AB35" i="1" s="1"/>
  <c r="L35" i="1"/>
  <c r="AM34" i="1"/>
  <c r="W34" i="1"/>
  <c r="X34" i="1" s="1"/>
  <c r="AA34" i="1" s="1"/>
  <c r="M34" i="1"/>
  <c r="U34" i="1" s="1"/>
  <c r="AB34" i="1" s="1"/>
  <c r="L34" i="1"/>
  <c r="W33" i="1"/>
  <c r="Y33" i="1" s="1"/>
  <c r="AM33" i="1" s="1"/>
  <c r="M33" i="1"/>
  <c r="U33" i="1" s="1"/>
  <c r="AB33" i="1" s="1"/>
  <c r="L33" i="1"/>
  <c r="AM32" i="1"/>
  <c r="W32" i="1"/>
  <c r="X32" i="1" s="1"/>
  <c r="AA32" i="1" s="1"/>
  <c r="M32" i="1"/>
  <c r="U32" i="1" s="1"/>
  <c r="AB32" i="1" s="1"/>
  <c r="L32" i="1"/>
  <c r="AL31" i="1"/>
  <c r="M31" i="1"/>
  <c r="U31" i="1" s="1"/>
  <c r="V31" i="1" s="1"/>
  <c r="W31" i="1" s="1"/>
  <c r="Y31" i="1" s="1"/>
  <c r="AA31" i="1" s="1"/>
  <c r="L31" i="1"/>
  <c r="AM30" i="1"/>
  <c r="W30" i="1"/>
  <c r="X30" i="1" s="1"/>
  <c r="AL30" i="1" s="1"/>
  <c r="M30" i="1"/>
  <c r="U30" i="1" s="1"/>
  <c r="AB30" i="1" s="1"/>
  <c r="L30" i="1"/>
  <c r="AM29" i="1"/>
  <c r="W29" i="1"/>
  <c r="X29" i="1" s="1"/>
  <c r="AA29" i="1" s="1"/>
  <c r="M29" i="1"/>
  <c r="U29" i="1" s="1"/>
  <c r="AB29" i="1" s="1"/>
  <c r="L29" i="1"/>
  <c r="AM28" i="1"/>
  <c r="W28" i="1"/>
  <c r="X28" i="1" s="1"/>
  <c r="AL28" i="1" s="1"/>
  <c r="M28" i="1"/>
  <c r="U28" i="1" s="1"/>
  <c r="AB28" i="1" s="1"/>
  <c r="L28" i="1"/>
  <c r="AM27" i="1"/>
  <c r="M27" i="1"/>
  <c r="U27" i="1" s="1"/>
  <c r="AB27" i="1" s="1"/>
  <c r="L27" i="1"/>
  <c r="AM26" i="1"/>
  <c r="W26" i="1"/>
  <c r="X26" i="1" s="1"/>
  <c r="AL26" i="1" s="1"/>
  <c r="M26" i="1"/>
  <c r="U26" i="1" s="1"/>
  <c r="AB26" i="1" s="1"/>
  <c r="L26" i="1"/>
  <c r="AM25" i="1"/>
  <c r="M25" i="1"/>
  <c r="U25" i="1" s="1"/>
  <c r="L25" i="1"/>
  <c r="AM24" i="1"/>
  <c r="W24" i="1"/>
  <c r="X24" i="1" s="1"/>
  <c r="M24" i="1"/>
  <c r="U24" i="1" s="1"/>
  <c r="AB24" i="1" s="1"/>
  <c r="L24" i="1"/>
  <c r="AM23" i="1"/>
  <c r="W23" i="1"/>
  <c r="X23" i="1" s="1"/>
  <c r="AA23" i="1" s="1"/>
  <c r="M23" i="1"/>
  <c r="U23" i="1" s="1"/>
  <c r="AB23" i="1" s="1"/>
  <c r="L23" i="1"/>
  <c r="AM22" i="1"/>
  <c r="X22" i="1"/>
  <c r="AL22" i="1" s="1"/>
  <c r="M22" i="1"/>
  <c r="U22" i="1" s="1"/>
  <c r="L22" i="1"/>
  <c r="AM21" i="1"/>
  <c r="W21" i="1"/>
  <c r="X21" i="1" s="1"/>
  <c r="M21" i="1"/>
  <c r="U21" i="1" s="1"/>
  <c r="AB21" i="1" s="1"/>
  <c r="L21" i="1"/>
  <c r="AM20" i="1"/>
  <c r="W20" i="1"/>
  <c r="X20" i="1" s="1"/>
  <c r="AA20" i="1" s="1"/>
  <c r="M20" i="1"/>
  <c r="U20" i="1" s="1"/>
  <c r="AB20" i="1" s="1"/>
  <c r="L20" i="1"/>
  <c r="AM19" i="1"/>
  <c r="W19" i="1"/>
  <c r="X19" i="1" s="1"/>
  <c r="M19" i="1"/>
  <c r="U19" i="1" s="1"/>
  <c r="AB19" i="1" s="1"/>
  <c r="L19" i="1"/>
  <c r="AM18" i="1"/>
  <c r="M18" i="1"/>
  <c r="U18" i="1" s="1"/>
  <c r="V18" i="1" s="1"/>
  <c r="W18" i="1" s="1"/>
  <c r="X18" i="1" s="1"/>
  <c r="AA18" i="1" s="1"/>
  <c r="L18" i="1"/>
  <c r="AM17" i="1"/>
  <c r="W17" i="1"/>
  <c r="X17" i="1" s="1"/>
  <c r="AA17" i="1" s="1"/>
  <c r="M17" i="1"/>
  <c r="U17" i="1" s="1"/>
  <c r="AB17" i="1" s="1"/>
  <c r="L17" i="1"/>
  <c r="AM16" i="1"/>
  <c r="M16" i="1"/>
  <c r="U16" i="1" s="1"/>
  <c r="L16" i="1"/>
  <c r="AM15" i="1"/>
  <c r="W15" i="1"/>
  <c r="X15" i="1" s="1"/>
  <c r="M15" i="1"/>
  <c r="U15" i="1" s="1"/>
  <c r="AB15" i="1" s="1"/>
  <c r="L15" i="1"/>
  <c r="AM14" i="1"/>
  <c r="M14" i="1"/>
  <c r="U14" i="1" s="1"/>
  <c r="L14" i="1"/>
  <c r="AM13" i="1"/>
  <c r="M13" i="1"/>
  <c r="U13" i="1" s="1"/>
  <c r="L13" i="1"/>
  <c r="AM12" i="1"/>
  <c r="M12" i="1"/>
  <c r="U12" i="1" s="1"/>
  <c r="L12" i="1"/>
  <c r="AM11" i="1"/>
  <c r="M11" i="1"/>
  <c r="U11" i="1" s="1"/>
  <c r="L11" i="1"/>
  <c r="AM10" i="1"/>
  <c r="W10" i="1"/>
  <c r="X10" i="1" s="1"/>
  <c r="M10" i="1"/>
  <c r="U10" i="1" s="1"/>
  <c r="AB10" i="1" s="1"/>
  <c r="L10" i="1"/>
  <c r="AM9" i="1"/>
  <c r="W9" i="1"/>
  <c r="X9" i="1" s="1"/>
  <c r="AL9" i="1" s="1"/>
  <c r="M9" i="1"/>
  <c r="U9" i="1" s="1"/>
  <c r="AB9" i="1" s="1"/>
  <c r="L9" i="1"/>
  <c r="AM8" i="1"/>
  <c r="M8" i="1"/>
  <c r="U8" i="1" s="1"/>
  <c r="L8" i="1"/>
  <c r="F8" i="1"/>
  <c r="AM7" i="1"/>
  <c r="M7" i="1"/>
  <c r="U7" i="1" s="1"/>
  <c r="AB7" i="1" s="1"/>
  <c r="L7" i="1"/>
  <c r="AM6" i="1"/>
  <c r="X6" i="1"/>
  <c r="M6" i="1"/>
  <c r="L6" i="1"/>
  <c r="AJ5" i="1"/>
  <c r="AI5" i="1"/>
  <c r="AH5" i="1"/>
  <c r="AG5" i="1"/>
  <c r="AF5" i="1"/>
  <c r="AE5" i="1"/>
  <c r="AD5" i="1"/>
  <c r="AC5" i="1"/>
  <c r="T5" i="1"/>
  <c r="Q5" i="1"/>
  <c r="P5" i="1"/>
  <c r="O5" i="1"/>
  <c r="N5" i="1"/>
  <c r="K5" i="1"/>
  <c r="AA15" i="1" l="1"/>
  <c r="AA100" i="1"/>
  <c r="AA78" i="1"/>
  <c r="AA127" i="1"/>
  <c r="AA124" i="1"/>
  <c r="AA137" i="1"/>
  <c r="AA51" i="1"/>
  <c r="AA69" i="1"/>
  <c r="AA92" i="1"/>
  <c r="AA107" i="1"/>
  <c r="AA130" i="1"/>
  <c r="AA19" i="1"/>
  <c r="AA24" i="1"/>
  <c r="AA120" i="1"/>
  <c r="AA52" i="1"/>
  <c r="AA108" i="1"/>
  <c r="AA53" i="1"/>
  <c r="AA103" i="1"/>
  <c r="AA94" i="1"/>
  <c r="AA54" i="1"/>
  <c r="AA72" i="1"/>
  <c r="AA21" i="1"/>
  <c r="AA37" i="1"/>
  <c r="AA61" i="1"/>
  <c r="AA126" i="1"/>
  <c r="AA10" i="1"/>
  <c r="AA79" i="1"/>
  <c r="AA86" i="1"/>
  <c r="AA125" i="1"/>
  <c r="AA26" i="1"/>
  <c r="AA123" i="1"/>
  <c r="AA63" i="1"/>
  <c r="AA122" i="1"/>
  <c r="AA22" i="1"/>
  <c r="AA97" i="1"/>
  <c r="AA56" i="1"/>
  <c r="AA35" i="1"/>
  <c r="AA74" i="1"/>
  <c r="AA93" i="1"/>
  <c r="AA131" i="1"/>
  <c r="AA90" i="1"/>
  <c r="AA30" i="1"/>
  <c r="AA89" i="1"/>
  <c r="AA9" i="1"/>
  <c r="AA28" i="1"/>
  <c r="AB128" i="1"/>
  <c r="X64" i="1"/>
  <c r="AA64" i="1" s="1"/>
  <c r="AL57" i="1"/>
  <c r="AB91" i="1"/>
  <c r="V91" i="1"/>
  <c r="W91" i="1" s="1"/>
  <c r="X91" i="1" s="1"/>
  <c r="AB105" i="1"/>
  <c r="V105" i="1"/>
  <c r="W105" i="1" s="1"/>
  <c r="X105" i="1" s="1"/>
  <c r="AA105" i="1" s="1"/>
  <c r="AB58" i="1"/>
  <c r="V58" i="1"/>
  <c r="W58" i="1" s="1"/>
  <c r="X58" i="1" s="1"/>
  <c r="AB70" i="1"/>
  <c r="V70" i="1"/>
  <c r="W70" i="1" s="1"/>
  <c r="X70" i="1" s="1"/>
  <c r="AB119" i="1"/>
  <c r="V119" i="1"/>
  <c r="W119" i="1" s="1"/>
  <c r="X119" i="1" s="1"/>
  <c r="AA119" i="1" s="1"/>
  <c r="V60" i="1"/>
  <c r="W60" i="1" s="1"/>
  <c r="X60" i="1" s="1"/>
  <c r="AB60" i="1"/>
  <c r="AB39" i="1"/>
  <c r="V39" i="1"/>
  <c r="W39" i="1" s="1"/>
  <c r="X39" i="1" s="1"/>
  <c r="AB109" i="1"/>
  <c r="V109" i="1"/>
  <c r="W109" i="1" s="1"/>
  <c r="X109" i="1" s="1"/>
  <c r="AL51" i="1"/>
  <c r="E5" i="1"/>
  <c r="AL17" i="1"/>
  <c r="Y47" i="1"/>
  <c r="AM47" i="1" s="1"/>
  <c r="L130" i="1"/>
  <c r="X84" i="1"/>
  <c r="AA84" i="1" s="1"/>
  <c r="V101" i="1"/>
  <c r="W101" i="1" s="1"/>
  <c r="X101" i="1" s="1"/>
  <c r="Y65" i="1"/>
  <c r="AM65" i="1" s="1"/>
  <c r="X85" i="1"/>
  <c r="AA85" i="1" s="1"/>
  <c r="F5" i="1"/>
  <c r="L94" i="1"/>
  <c r="V128" i="1"/>
  <c r="W128" i="1" s="1"/>
  <c r="X128" i="1" s="1"/>
  <c r="AL128" i="1" s="1"/>
  <c r="M5" i="1"/>
  <c r="Y41" i="1"/>
  <c r="AM41" i="1" s="1"/>
  <c r="Y67" i="1"/>
  <c r="AM67" i="1" s="1"/>
  <c r="AL103" i="1"/>
  <c r="AL121" i="1"/>
  <c r="AB83" i="1"/>
  <c r="V83" i="1"/>
  <c r="W83" i="1" s="1"/>
  <c r="X83" i="1" s="1"/>
  <c r="AA83" i="1" s="1"/>
  <c r="AL87" i="1"/>
  <c r="AB112" i="1"/>
  <c r="V112" i="1"/>
  <c r="W112" i="1" s="1"/>
  <c r="AL47" i="1"/>
  <c r="AL100" i="1"/>
  <c r="V73" i="1"/>
  <c r="W73" i="1" s="1"/>
  <c r="X73" i="1" s="1"/>
  <c r="AA73" i="1" s="1"/>
  <c r="AB73" i="1"/>
  <c r="AL96" i="1"/>
  <c r="AL68" i="1"/>
  <c r="AL78" i="1"/>
  <c r="AL92" i="1"/>
  <c r="AB104" i="1"/>
  <c r="V104" i="1"/>
  <c r="W104" i="1" s="1"/>
  <c r="X104" i="1" s="1"/>
  <c r="AA104" i="1" s="1"/>
  <c r="AL108" i="1"/>
  <c r="AB130" i="1"/>
  <c r="AL18" i="1"/>
  <c r="AL88" i="1"/>
  <c r="AL52" i="1"/>
  <c r="AL69" i="1"/>
  <c r="AB97" i="1"/>
  <c r="V14" i="1"/>
  <c r="W14" i="1" s="1"/>
  <c r="X14" i="1" s="1"/>
  <c r="AA14" i="1" s="1"/>
  <c r="AB14" i="1"/>
  <c r="AL23" i="1"/>
  <c r="AB114" i="1"/>
  <c r="V114" i="1"/>
  <c r="W114" i="1" s="1"/>
  <c r="X114" i="1" s="1"/>
  <c r="AA114" i="1" s="1"/>
  <c r="AM31" i="1"/>
  <c r="AL19" i="1"/>
  <c r="AL10" i="1"/>
  <c r="AB59" i="1"/>
  <c r="V59" i="1"/>
  <c r="W59" i="1" s="1"/>
  <c r="X59" i="1" s="1"/>
  <c r="AA59" i="1" s="1"/>
  <c r="AL36" i="1"/>
  <c r="AL61" i="1"/>
  <c r="AL65" i="1"/>
  <c r="AL79" i="1"/>
  <c r="AL32" i="1"/>
  <c r="AL53" i="1"/>
  <c r="AB22" i="1"/>
  <c r="V22" i="1"/>
  <c r="AL15" i="1"/>
  <c r="Y49" i="1"/>
  <c r="AM49" i="1" s="1"/>
  <c r="X49" i="1"/>
  <c r="V75" i="1"/>
  <c r="W75" i="1" s="1"/>
  <c r="X75" i="1" s="1"/>
  <c r="AA75" i="1" s="1"/>
  <c r="AB75" i="1"/>
  <c r="AB80" i="1"/>
  <c r="V80" i="1"/>
  <c r="W80" i="1" s="1"/>
  <c r="X80" i="1" s="1"/>
  <c r="AA80" i="1" s="1"/>
  <c r="AL41" i="1"/>
  <c r="V62" i="1"/>
  <c r="W62" i="1" s="1"/>
  <c r="X62" i="1" s="1"/>
  <c r="AA62" i="1" s="1"/>
  <c r="AB62" i="1"/>
  <c r="AB90" i="1"/>
  <c r="V90" i="1"/>
  <c r="V106" i="1"/>
  <c r="W106" i="1" s="1"/>
  <c r="X106" i="1" s="1"/>
  <c r="AA106" i="1" s="1"/>
  <c r="AB106" i="1"/>
  <c r="AL115" i="1"/>
  <c r="AB13" i="1"/>
  <c r="V13" i="1"/>
  <c r="W13" i="1" s="1"/>
  <c r="X13" i="1" s="1"/>
  <c r="AA13" i="1" s="1"/>
  <c r="AL20" i="1"/>
  <c r="AL37" i="1"/>
  <c r="AL66" i="1"/>
  <c r="AB71" i="1"/>
  <c r="V71" i="1"/>
  <c r="W71" i="1" s="1"/>
  <c r="X71" i="1" s="1"/>
  <c r="AA71" i="1" s="1"/>
  <c r="AL102" i="1"/>
  <c r="AL127" i="1"/>
  <c r="V12" i="1"/>
  <c r="W12" i="1" s="1"/>
  <c r="X12" i="1" s="1"/>
  <c r="AA12" i="1" s="1"/>
  <c r="AB12" i="1"/>
  <c r="AB8" i="1"/>
  <c r="V8" i="1"/>
  <c r="W8" i="1" s="1"/>
  <c r="X8" i="1" s="1"/>
  <c r="AA8" i="1" s="1"/>
  <c r="AL48" i="1"/>
  <c r="AL24" i="1"/>
  <c r="V16" i="1"/>
  <c r="W16" i="1" s="1"/>
  <c r="X16" i="1" s="1"/>
  <c r="AA16" i="1" s="1"/>
  <c r="AB16" i="1"/>
  <c r="AB76" i="1"/>
  <c r="V76" i="1"/>
  <c r="W76" i="1" s="1"/>
  <c r="X76" i="1" s="1"/>
  <c r="AA76" i="1" s="1"/>
  <c r="AB81" i="1"/>
  <c r="V81" i="1"/>
  <c r="W81" i="1" s="1"/>
  <c r="X81" i="1" s="1"/>
  <c r="AA81" i="1" s="1"/>
  <c r="AL110" i="1"/>
  <c r="AL120" i="1"/>
  <c r="AL54" i="1"/>
  <c r="AB25" i="1"/>
  <c r="V25" i="1"/>
  <c r="W25" i="1" s="1"/>
  <c r="X25" i="1" s="1"/>
  <c r="AA25" i="1" s="1"/>
  <c r="AL29" i="1"/>
  <c r="AL50" i="1"/>
  <c r="AL99" i="1"/>
  <c r="AB116" i="1"/>
  <c r="V116" i="1"/>
  <c r="W116" i="1" s="1"/>
  <c r="AL124" i="1"/>
  <c r="V38" i="1"/>
  <c r="W38" i="1" s="1"/>
  <c r="AB38" i="1"/>
  <c r="AL46" i="1"/>
  <c r="AL67" i="1"/>
  <c r="AB82" i="1"/>
  <c r="V82" i="1"/>
  <c r="W82" i="1" s="1"/>
  <c r="X82" i="1" s="1"/>
  <c r="AA82" i="1" s="1"/>
  <c r="AL137" i="1"/>
  <c r="AB11" i="1"/>
  <c r="V11" i="1"/>
  <c r="W11" i="1" s="1"/>
  <c r="X11" i="1" s="1"/>
  <c r="AA11" i="1" s="1"/>
  <c r="AL21" i="1"/>
  <c r="AL34" i="1"/>
  <c r="AB55" i="1"/>
  <c r="V55" i="1"/>
  <c r="W55" i="1" s="1"/>
  <c r="X55" i="1" s="1"/>
  <c r="AA55" i="1" s="1"/>
  <c r="AL72" i="1"/>
  <c r="AL77" i="1"/>
  <c r="AB95" i="1"/>
  <c r="V95" i="1"/>
  <c r="W95" i="1" s="1"/>
  <c r="X95" i="1" s="1"/>
  <c r="AA95" i="1" s="1"/>
  <c r="AL107" i="1"/>
  <c r="V111" i="1"/>
  <c r="W111" i="1" s="1"/>
  <c r="AB111" i="1"/>
  <c r="U6" i="1"/>
  <c r="AA6" i="1" s="1"/>
  <c r="V27" i="1"/>
  <c r="W27" i="1" s="1"/>
  <c r="X27" i="1" s="1"/>
  <c r="AA27" i="1" s="1"/>
  <c r="L128" i="1"/>
  <c r="L5" i="1" s="1"/>
  <c r="AB18" i="1"/>
  <c r="AB31" i="1"/>
  <c r="AB66" i="1"/>
  <c r="AB68" i="1"/>
  <c r="V126" i="1"/>
  <c r="V134" i="1"/>
  <c r="W134" i="1" s="1"/>
  <c r="X134" i="1" s="1"/>
  <c r="AA134" i="1" s="1"/>
  <c r="V136" i="1"/>
  <c r="W136" i="1" s="1"/>
  <c r="X136" i="1" s="1"/>
  <c r="AA136" i="1" s="1"/>
  <c r="X132" i="1"/>
  <c r="AA132" i="1" s="1"/>
  <c r="X44" i="1"/>
  <c r="AA44" i="1" s="1"/>
  <c r="AL6" i="1"/>
  <c r="Y46" i="1"/>
  <c r="AM46" i="1" s="1"/>
  <c r="AB48" i="1"/>
  <c r="Y50" i="1"/>
  <c r="AM50" i="1" s="1"/>
  <c r="X118" i="1"/>
  <c r="AA118" i="1" s="1"/>
  <c r="AB110" i="1"/>
  <c r="X40" i="1"/>
  <c r="AA40" i="1" s="1"/>
  <c r="AL85" i="1"/>
  <c r="AB94" i="1"/>
  <c r="V7" i="1"/>
  <c r="W7" i="1" s="1"/>
  <c r="X42" i="1"/>
  <c r="AA42" i="1" s="1"/>
  <c r="X98" i="1"/>
  <c r="AA98" i="1" s="1"/>
  <c r="V43" i="1"/>
  <c r="W43" i="1" s="1"/>
  <c r="X43" i="1" s="1"/>
  <c r="AA43" i="1" s="1"/>
  <c r="V45" i="1"/>
  <c r="W45" i="1" s="1"/>
  <c r="X45" i="1" s="1"/>
  <c r="AA45" i="1" s="1"/>
  <c r="X129" i="1"/>
  <c r="AA129" i="1" s="1"/>
  <c r="X133" i="1"/>
  <c r="AA133" i="1" s="1"/>
  <c r="X135" i="1"/>
  <c r="AA135" i="1" s="1"/>
  <c r="X113" i="1"/>
  <c r="AA113" i="1" s="1"/>
  <c r="X117" i="1"/>
  <c r="AA117" i="1" s="1"/>
  <c r="X33" i="1"/>
  <c r="AA33" i="1" s="1"/>
  <c r="AL105" i="1" l="1"/>
  <c r="AA49" i="1"/>
  <c r="AA67" i="1"/>
  <c r="AL70" i="1"/>
  <c r="AA70" i="1"/>
  <c r="AL58" i="1"/>
  <c r="AA58" i="1"/>
  <c r="AL101" i="1"/>
  <c r="AA101" i="1"/>
  <c r="AL91" i="1"/>
  <c r="AA91" i="1"/>
  <c r="AA50" i="1"/>
  <c r="AA65" i="1"/>
  <c r="AL109" i="1"/>
  <c r="AA109" i="1"/>
  <c r="AA41" i="1"/>
  <c r="AA47" i="1"/>
  <c r="AL39" i="1"/>
  <c r="AA39" i="1"/>
  <c r="AA46" i="1"/>
  <c r="AL60" i="1"/>
  <c r="AA60" i="1"/>
  <c r="AA128" i="1"/>
  <c r="AL64" i="1"/>
  <c r="AL119" i="1"/>
  <c r="AL84" i="1"/>
  <c r="AL80" i="1"/>
  <c r="AL114" i="1"/>
  <c r="AL16" i="1"/>
  <c r="AL49" i="1"/>
  <c r="AL76" i="1"/>
  <c r="AL33" i="1"/>
  <c r="AL13" i="1"/>
  <c r="AL73" i="1"/>
  <c r="X111" i="1"/>
  <c r="Y111" i="1"/>
  <c r="Y112" i="1"/>
  <c r="AM112" i="1" s="1"/>
  <c r="X112" i="1"/>
  <c r="AA112" i="1" s="1"/>
  <c r="AL113" i="1"/>
  <c r="AL82" i="1"/>
  <c r="AL8" i="1"/>
  <c r="AL59" i="1"/>
  <c r="AL104" i="1"/>
  <c r="AL117" i="1"/>
  <c r="AL95" i="1"/>
  <c r="AL135" i="1"/>
  <c r="AL129" i="1"/>
  <c r="AL106" i="1"/>
  <c r="AL14" i="1"/>
  <c r="AL83" i="1"/>
  <c r="AL81" i="1"/>
  <c r="AL40" i="1"/>
  <c r="AL75" i="1"/>
  <c r="AL12" i="1"/>
  <c r="AL27" i="1"/>
  <c r="AL118" i="1"/>
  <c r="AL133" i="1"/>
  <c r="AL43" i="1"/>
  <c r="AL44" i="1"/>
  <c r="AL132" i="1"/>
  <c r="AL11" i="1"/>
  <c r="AL25" i="1"/>
  <c r="AL136" i="1"/>
  <c r="AB6" i="1"/>
  <c r="U5" i="1"/>
  <c r="V6" i="1"/>
  <c r="V5" i="1" s="1"/>
  <c r="AL98" i="1"/>
  <c r="AL42" i="1"/>
  <c r="AL134" i="1"/>
  <c r="AL55" i="1"/>
  <c r="AL62" i="1"/>
  <c r="Y116" i="1"/>
  <c r="AM116" i="1" s="1"/>
  <c r="X116" i="1"/>
  <c r="AL45" i="1"/>
  <c r="AL71" i="1"/>
  <c r="X7" i="1"/>
  <c r="AA7" i="1" s="1"/>
  <c r="W5" i="1"/>
  <c r="AA116" i="1" l="1"/>
  <c r="AA111" i="1"/>
  <c r="AM111" i="1"/>
  <c r="AM5" i="1" s="1"/>
  <c r="Y5" i="1"/>
  <c r="AL111" i="1"/>
  <c r="AL7" i="1"/>
  <c r="X5" i="1"/>
  <c r="AL116" i="1"/>
  <c r="AL112" i="1"/>
  <c r="AL5" i="1" l="1"/>
</calcChain>
</file>

<file path=xl/sharedStrings.xml><?xml version="1.0" encoding="utf-8"?>
<sst xmlns="http://schemas.openxmlformats.org/spreadsheetml/2006/main" count="661" uniqueCount="340">
  <si>
    <t>дн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</si>
  <si>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</si>
  <si>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</si>
  <si>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</si>
  <si>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</si>
  <si>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</si>
  <si>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</si>
  <si>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</si>
  <si>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</si>
  <si>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</si>
  <si>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</si>
  <si>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</si>
  <si>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</si>
  <si>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</si>
  <si>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</si>
  <si>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</si>
  <si>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</si>
  <si>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</si>
  <si>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итого</t>
  </si>
  <si>
    <t>заказ</t>
  </si>
  <si>
    <t>ТК</t>
  </si>
  <si>
    <t>кон ост</t>
  </si>
  <si>
    <t>факт</t>
  </si>
  <si>
    <t>ср</t>
  </si>
  <si>
    <t>комментарии</t>
  </si>
  <si>
    <t>вес</t>
  </si>
  <si>
    <t>18,08,</t>
  </si>
  <si>
    <t>18,08,недогр</t>
  </si>
  <si>
    <t>22,08,</t>
  </si>
  <si>
    <t>23,08,</t>
  </si>
  <si>
    <t>20,08,</t>
  </si>
  <si>
    <t>25,08,</t>
  </si>
  <si>
    <t>24,08,</t>
  </si>
  <si>
    <t>Хмель</t>
  </si>
  <si>
    <t>13,08,</t>
  </si>
  <si>
    <t>11,08,</t>
  </si>
  <si>
    <t>06,08,</t>
  </si>
  <si>
    <t>04,08,</t>
  </si>
  <si>
    <t>30,07,</t>
  </si>
  <si>
    <t>28,07,</t>
  </si>
  <si>
    <t>23,07,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</si>
  <si>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</si>
  <si>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</si>
  <si>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</si>
  <si>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</si>
  <si>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</si>
  <si>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</si>
  <si>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</si>
  <si>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</si>
  <si>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</si>
  <si>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</si>
  <si>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19 шт списано (12,07,26)</t>
  </si>
  <si>
    <t>SU001485</t>
  </si>
  <si>
    <t xml:space="preserve"> 030  Сосиски Вязанка Молочные, Вязанка вискофан МГС, 0.45кг, ПОКОМ</t>
  </si>
  <si>
    <t>ВНИМАНИЕ / матрица</t>
  </si>
  <si>
    <t>1000шт под ЮТЛ (Хмель 15,07,26)</t>
  </si>
  <si>
    <t>SU001718</t>
  </si>
  <si>
    <t xml:space="preserve"> 032  Сосиски Вязанка Сливочные, Вязанка амицел МГС, 0.45кг, ПОКОМ</t>
  </si>
  <si>
    <t>1000 сеть МКД (05,08,26)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</si>
  <si>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</si>
  <si>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</si>
  <si>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</si>
  <si>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</si>
  <si>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SU002252</t>
  </si>
  <si>
    <t xml:space="preserve"> 083  Колбаса Швейцарская 0,17 кг., ШТ., сырокопченая   ПОКОМ</t>
  </si>
  <si>
    <t>SU001869</t>
  </si>
  <si>
    <t xml:space="preserve"> 103  Сосиски Классические, 0.42кг,ядрена копотьПОКОМ</t>
  </si>
  <si>
    <t>не в матрице</t>
  </si>
  <si>
    <t>Продукция для ПРС!!!</t>
  </si>
  <si>
    <t>SU000341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</si>
  <si>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</si>
  <si>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</si>
  <si>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</si>
  <si>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</si>
  <si>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</si>
  <si>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</si>
  <si>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219  Колбаса Докторская Особая ТМ Особый рецепт, ВЕС  ПОКОМ</t>
  </si>
  <si>
    <t xml:space="preserve"> 597  Колбаса Классическая ТМ Особый рецепт в оболочке полиамид ВЕС. ПОКОМ</t>
  </si>
  <si>
    <t>SU004238</t>
  </si>
  <si>
    <t xml:space="preserve"> 225  Колбаса Дугушка со шпиком, ВЕС, ТМ Стародворье   ПОКОМ</t>
  </si>
  <si>
    <t>нет потребности</t>
  </si>
  <si>
    <t>SU002182</t>
  </si>
  <si>
    <t xml:space="preserve"> 226  Колбаса Княжеская, с/к белков.обол в термоусад. пакете, ВЕС, ТМ Стародворье ПОКОМ</t>
  </si>
  <si>
    <t>нужно увеличить продажи</t>
  </si>
  <si>
    <t>SU001920</t>
  </si>
  <si>
    <t xml:space="preserve"> 229  Колбаса Молочная Дугушка, в/у, ВЕС, ТМ Стародворье   ПОКОМ</t>
  </si>
  <si>
    <t>SU002010</t>
  </si>
  <si>
    <t xml:space="preserve"> 230  Колбаса Молочная Особая ТМ Особый рецепт, п/а, ВЕС. ПОКОМ</t>
  </si>
  <si>
    <t xml:space="preserve"> 457  Колбаса Молочная ТМ Особый рецепт ВЕС большой батон  ПОКОМ</t>
  </si>
  <si>
    <t>SU003422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</si>
  <si>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</si>
  <si>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</si>
  <si>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</si>
  <si>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</si>
  <si>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</si>
  <si>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</si>
  <si>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</si>
  <si>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</si>
  <si>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</si>
  <si>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нужно увеличить продажи!!!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</si>
  <si>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</si>
  <si>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</si>
  <si>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</si>
  <si>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</si>
  <si>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</si>
  <si>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</si>
  <si>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НЕДОГРУЗ / матрица</t>
  </si>
  <si>
    <t>SU000227</t>
  </si>
  <si>
    <t xml:space="preserve"> 253  Сосиски Ганноверские   ПОКОМ</t>
  </si>
  <si>
    <t>SU001340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</si>
  <si>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</si>
  <si>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</si>
  <si>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</si>
  <si>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</si>
  <si>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</si>
  <si>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</si>
  <si>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</si>
  <si>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</si>
  <si>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</si>
  <si>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</si>
  <si>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</si>
  <si>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</si>
  <si>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</si>
  <si>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500шт под ЮТЛ (Хмель 21,08,26)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</si>
  <si>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</si>
  <si>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</si>
  <si>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</si>
  <si>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</si>
  <si>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</si>
  <si>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</si>
  <si>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300кг под задачи ТК (05,08,26) / 31,07,26 начали заказывать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</si>
  <si>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</si>
  <si>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</si>
  <si>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</si>
  <si>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</si>
  <si>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</si>
  <si>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</si>
  <si>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</si>
  <si>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</si>
  <si>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</si>
  <si>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</si>
  <si>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</si>
  <si>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</si>
  <si>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</si>
  <si>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</si>
  <si>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</si>
  <si>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</si>
  <si>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</si>
  <si>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</si>
  <si>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</si>
  <si>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</si>
  <si>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</si>
  <si>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</si>
  <si>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</si>
  <si>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</si>
  <si>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</si>
  <si>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</si>
  <si>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</si>
  <si>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</si>
  <si>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</si>
  <si>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</si>
  <si>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</si>
  <si>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</si>
  <si>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</si>
  <si>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</si>
  <si>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</si>
  <si>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</si>
  <si>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</si>
  <si>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</si>
  <si>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</si>
  <si>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</si>
  <si>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</si>
  <si>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</si>
  <si>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</si>
  <si>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</si>
  <si>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300кг под задачи ТК (05,08,26) / 150кг под задачи ТК (31,07,26)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</si>
  <si>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</si>
  <si>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</si>
  <si>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</si>
  <si>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</si>
  <si>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</si>
  <si>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</si>
  <si>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</si>
  <si>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</si>
  <si>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</si>
  <si>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</si>
  <si>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</si>
  <si>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</si>
  <si>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</si>
  <si>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</si>
  <si>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</si>
  <si>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</si>
  <si>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SU002918</t>
  </si>
  <si>
    <t xml:space="preserve"> 364  Сардельки Филейские Вязанка ВЕС NDX ТМ Вязанка  ПОКОМ</t>
  </si>
  <si>
    <t>SU002835</t>
  </si>
  <si>
    <t xml:space="preserve"> 365  Колбаса Салями Филейбургская зернистая, 0,28 кг срез ТМ Баварушка ПОКОМ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</si>
  <si>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</si>
  <si>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</si>
  <si>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</si>
  <si>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</si>
  <si>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</si>
  <si>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с 14,08,26 начинаем заказывать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</si>
  <si>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</si>
  <si>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</si>
  <si>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</si>
  <si>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</si>
  <si>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</si>
  <si>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</si>
  <si>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</si>
  <si>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</si>
  <si>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500шт под ЮТЛ (Хмель 05,08,26) / 500шт под ЮТЛ (Хмель 15,07,26)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</si>
  <si>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</si>
  <si>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</si>
  <si>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</si>
  <si>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</si>
  <si>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</si>
  <si>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</si>
  <si>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</si>
  <si>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</si>
  <si>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</si>
  <si>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425 Сосиски Сливочные Вязанка Сливушки Весовые П/а мгс Вязанка  Поком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</si>
  <si>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</si>
  <si>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</si>
  <si>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</si>
  <si>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</si>
  <si>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</si>
  <si>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</si>
  <si>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</si>
  <si>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</si>
  <si>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</si>
  <si>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</si>
  <si>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</si>
  <si>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</si>
  <si>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</si>
  <si>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</si>
  <si>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</si>
  <si>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</si>
  <si>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463  Колбаса Молочная Традиционнаяв оболочке полиамид.ТМ Стародворье. ВЕС ПОКОМ</t>
  </si>
  <si>
    <t>SU003394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</si>
  <si>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</si>
  <si>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</si>
  <si>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</si>
  <si>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</si>
  <si>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</si>
  <si>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</si>
  <si>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плюсом 400шт сеть Молоко (21,08,26) / плюсом 300шт сеть Молоко (05,08,26)</t>
  </si>
  <si>
    <t>SU003893</t>
  </si>
  <si>
    <t xml:space="preserve"> 524  Колбаса Сервелат Ореховый нарезка 0,07кг ТМ Стародворье  ПОКОМ</t>
  </si>
  <si>
    <t>плюсом 500шт сеть Молоко (21,08,26) / плюсом 300шт сеть Молоко (05,08,26)</t>
  </si>
  <si>
    <t>SU003894</t>
  </si>
  <si>
    <t xml:space="preserve"> 525  Колбаса Фуэт нарезка 0,07кг ТМ Стародворье  ПОКОМ</t>
  </si>
  <si>
    <t>SU003896</t>
  </si>
  <si>
    <t xml:space="preserve"> 526  Корейка вяленая выдержанная нарезка 0,05кг ТМ Стародворье  ПОКОМ</t>
  </si>
  <si>
    <t>SU003925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</si>
  <si>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</si>
  <si>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</si>
  <si>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</si>
  <si>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</si>
  <si>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</si>
  <si>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</si>
  <si>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</si>
  <si>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SU002356</t>
  </si>
  <si>
    <t xml:space="preserve"> 553  Ассорти колбас Мясорубская коллекция: Сервелат Делюкс, С балыком 0,08 кг нарезка  ПОКОМ</t>
  </si>
  <si>
    <t>плюсом 300шт сеть Молоко (21,08,26) / плюсом 300шт сеть Молоко (05,08,26)</t>
  </si>
  <si>
    <t>SU004026</t>
  </si>
  <si>
    <t xml:space="preserve"> 554  Колбаса Сервелат Мясорубский ТМ Стародворье в упаковке скин 0,08 кг нарезка  ПОКОМ</t>
  </si>
  <si>
    <t>плюсом 600шт сеть Молоко (21,08,26) / плюсом 300шт сеть Молоко (05,08,26)</t>
  </si>
  <si>
    <t>SU003178</t>
  </si>
  <si>
    <t xml:space="preserve"> 555  Колбаса Молокуша ТМ Вязанка в модифицированной газовой среде 0,17 кг нарезка  ПОКОМ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</si>
  <si>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</si>
  <si>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</si>
  <si>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</si>
  <si>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</si>
  <si>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</si>
  <si>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</si>
  <si>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</si>
  <si>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</si>
  <si>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</si>
  <si>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</si>
  <si>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</si>
  <si>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</si>
  <si>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</si>
  <si>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</si>
  <si>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</si>
  <si>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</si>
  <si>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</si>
  <si>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</si>
  <si>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плюсом 700шт сеть Молоко (21,08,26)</t>
  </si>
  <si>
    <t>SU003751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</si>
  <si>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</si>
  <si>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</si>
  <si>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</si>
  <si>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</si>
  <si>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</si>
  <si>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</si>
  <si>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нужно увеличить продажи / плюсом 400шт сеть Молоко (21,08,26) / плюсом 300шт сеть Молоко (05,08,26)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</si>
  <si>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</si>
  <si>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</si>
  <si>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</si>
  <si>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</si>
  <si>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нужно увеличить продажи / 08,07,26 +350кг (задача от завода для ТК / просили 450кг) не продали - переместили в Крым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</si>
  <si>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</si>
  <si>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</si>
  <si>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</si>
  <si>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</si>
  <si>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08,07,26 +250кг (задача от завода для ТК / просили 350кг)</t>
  </si>
  <si>
    <t>SU004106</t>
  </si>
  <si>
    <t xml:space="preserve"> 614  Буженина в пряном маринаде 0,25 кг консервы из мяса индейки ТМ Стародворье  ПОКОМ</t>
  </si>
  <si>
    <t>новинка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</si>
  <si>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</si>
  <si>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</si>
  <si>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</si>
  <si>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</si>
  <si>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SU004145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</si>
  <si>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</si>
  <si>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</si>
  <si>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</si>
  <si>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</si>
  <si>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</si>
  <si>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</si>
  <si>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</si>
  <si>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</si>
  <si>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</si>
  <si>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</si>
  <si>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БОНУС_615  Гречка по-купечески с говядиной и овощами 0,325кг ТМ Стародворье  ПОКОМ</t>
  </si>
  <si>
    <t>бонус</t>
  </si>
  <si>
    <t>22,08,недогр</t>
  </si>
  <si>
    <t>22,08,доз</t>
  </si>
  <si>
    <t>Сосиски «Молочные для завтрака» Фикс.вес 0,4 П/а мгс ТМ «Особый рецепт»</t>
  </si>
  <si>
    <t>П/к колбасы Кракушка пряная с сальцем Бавария Фикс.вес 0,3 н/о в/у Стародворье</t>
  </si>
  <si>
    <t>Сосиски «Сочинки с сочным окороком» Фикс.вес 0,4 П/а мгс ТМ «Стародворье»</t>
  </si>
  <si>
    <t>Колбаса Мясорубская ТМ Стародворье с рубленой грудинкой в оболочке фиброуз в вакуумной упаковке 0,35 кг срез</t>
  </si>
  <si>
    <t>Сосиски «Сочинки Сливочные» Фикс.вес 0,4 п/а мгс ТМ «Стародворье»</t>
  </si>
  <si>
    <t>В/к колбасы Сервелат Мясорубский с мелкорубленным окороком срез Бордо Фикс.вес 0,35 фиброуз Стародворье</t>
  </si>
  <si>
    <t>В/к колбасы «Сочинка по-фински с сочным окороком» срез Фикс.вес 0,3 фиброуз ТМ «Стародворье»</t>
  </si>
  <si>
    <t>В/к колбасы «Сочинка по-европейски с сочной грудинкой» срез Фикс.вес 0,3 фиброуз ТМ «Стародворье»</t>
  </si>
  <si>
    <t>П/к колбасы «Сочинка зернистая с сочной грудинкой» Весовой фиброуз ТМ «Стародворье»</t>
  </si>
  <si>
    <t>П/к колбасы «Сочинка рубленая с сочным окороком» срез Фикс.вес 0,3 фиброуз ТМ «Стародворье»</t>
  </si>
  <si>
    <t>Копченые колбасы «Балыковая» Весовой фиброуз ТМ «Вязанка»</t>
  </si>
  <si>
    <t>Копченые колбасы «Сервелат Финский» Фикс.вес 0,28 фиброуз срез ТМ «Вязанка»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</si>
</sst>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1"/>
    <xf numFmtId="0" fontId="1" fillId="0" borderId="1"/>
  </cellStyleXfs>
  <cellXfs count="3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4" borderId="1" xfId="1" applyNumberFormat="1" applyFont="1" applyFill="1"/>
    <xf numFmtId="164" fontId="5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164" fontId="1" fillId="4" borderId="1" xfId="1" applyNumberFormat="1" applyFill="1"/>
    <xf numFmtId="164" fontId="6" fillId="4" borderId="1" xfId="1" applyNumberFormat="1" applyFont="1" applyFill="1"/>
    <xf numFmtId="0" fontId="0" fillId="0" borderId="1" xfId="0"/>
    <xf numFmtId="164" fontId="1" fillId="9" borderId="2" xfId="1" applyNumberFormat="1" applyFill="1" applyBorder="1"/>
    <xf numFmtId="165" fontId="1" fillId="0" borderId="1" xfId="1" applyNumberFormat="1"/>
    <xf numFmtId="164" fontId="7" fillId="2" borderId="1" xfId="1" applyNumberFormat="1" applyFont="1" applyFill="1"/>
    <xf numFmtId="164" fontId="6" fillId="0" borderId="1" xfId="1" applyNumberFormat="1" applyFont="1"/>
    <xf numFmtId="164" fontId="1" fillId="10" borderId="1" xfId="1" applyNumberFormat="1" applyFill="1"/>
    <xf numFmtId="0" fontId="0" fillId="0" borderId="1" xfId="0" applyBorder="1"/>
    <xf numFmtId="164" fontId="9" fillId="0" borderId="1" xfId="1" applyNumberFormat="1" applyFont="1"/>
    <xf numFmtId="164" fontId="10" fillId="2" borderId="1" xfId="1" applyNumberFormat="1" applyFont="1" applyFill="1"/>
    <xf numFmtId="164" fontId="9" fillId="3" borderId="1" xfId="1" applyNumberFormat="1" applyFont="1" applyFill="1"/>
    <xf numFmtId="164" fontId="9" fillId="5" borderId="1" xfId="1" applyNumberFormat="1" applyFont="1" applyFill="1"/>
    <xf numFmtId="0" fontId="8" fillId="0" borderId="1" xfId="0" applyFont="1" applyBorder="1"/>
    <xf numFmtId="0" fontId="0" fillId="0" borderId="3" xfId="0" applyBorder="1"/>
    <xf numFmtId="0" fontId="0" fillId="4" borderId="3" xfId="0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76;&#1074;%20200826%20&#1076;&#1085;&#1088;&#1089;&#1095;%20&#1087;&#1086;&#1082;%20&#1082;&#1080;%20&#1079;&#1072;&#1082;&#1072;&#1079;%20(&#1086;&#1090;%20&#1061;&#1084;&#1077;&#1083;&#1100;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Father\Work\2025_05\2026\&#1047;&#1040;&#1042;&#1054;&#1044;&#1067;\&#1055;&#1054;&#1050;&#1054;&#1052;\&#1092;&#1080;&#1083;&#1080;&#1072;&#1083;&#1099;%20&#1053;&#1042;\08,26\20,08,26%20&#1055;&#1054;&#1050;&#1054;&#1052;%20&#1050;&#1048;\&#1076;&#1083;&#1103;%20&#1076;&#1086;&#1079;&#1072;&#1082;&#1072;&#1079;&#1072;%2022,08.xlsx" TargetMode="External"/><Relationship Id="rId1" Type="http://schemas.openxmlformats.org/officeDocument/2006/relationships/externalLinkPath" Target="&#1076;&#1083;&#1103;%20&#1076;&#1086;&#1079;&#1072;&#1082;&#1072;&#1079;&#1072;%2022,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ср нов</v>
          </cell>
          <cell r="T3" t="str">
            <v>расчет</v>
          </cell>
        </row>
        <row r="4">
          <cell r="O4" t="str">
            <v>18,08,</v>
          </cell>
          <cell r="P4" t="str">
            <v>18,08,недогр</v>
          </cell>
          <cell r="Q4" t="str">
            <v>22,08,</v>
          </cell>
          <cell r="R4" t="str">
            <v>23,08,</v>
          </cell>
          <cell r="S4" t="str">
            <v>20,08,</v>
          </cell>
        </row>
        <row r="5">
          <cell r="E5">
            <v>73581.433000000019</v>
          </cell>
          <cell r="F5">
            <v>46657.596999999994</v>
          </cell>
          <cell r="K5">
            <v>92199.357999999949</v>
          </cell>
          <cell r="L5">
            <v>-18617.925000000003</v>
          </cell>
          <cell r="M5">
            <v>58637.696000000018</v>
          </cell>
          <cell r="N5">
            <v>14943.736999999999</v>
          </cell>
          <cell r="O5">
            <v>19603.011368952004</v>
          </cell>
          <cell r="P5">
            <v>-1273.5</v>
          </cell>
          <cell r="Q5">
            <v>22586.476596293371</v>
          </cell>
          <cell r="R5">
            <v>20743.400047946052</v>
          </cell>
          <cell r="S5">
            <v>11727.539200000003</v>
          </cell>
          <cell r="T5">
            <v>30243.415234286313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2019.1469999999999</v>
          </cell>
          <cell r="D6">
            <v>3887.194</v>
          </cell>
          <cell r="E6">
            <v>2033.1679999999999</v>
          </cell>
          <cell r="F6">
            <v>2734.6849999999999</v>
          </cell>
          <cell r="G6">
            <v>1</v>
          </cell>
          <cell r="H6">
            <v>50</v>
          </cell>
          <cell r="I6" t="str">
            <v>матрица</v>
          </cell>
          <cell r="K6">
            <v>2268.741</v>
          </cell>
          <cell r="L6">
            <v>-235.57300000000009</v>
          </cell>
          <cell r="M6">
            <v>1628.1079999999999</v>
          </cell>
          <cell r="N6">
            <v>405.06</v>
          </cell>
          <cell r="O6">
            <v>571.67824957775997</v>
          </cell>
          <cell r="Q6">
            <v>215.47622976</v>
          </cell>
          <cell r="R6">
            <v>267.65433023999998</v>
          </cell>
          <cell r="S6">
            <v>325.6216</v>
          </cell>
          <cell r="T6">
            <v>117.96539042224003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473.78399999999999</v>
          </cell>
          <cell r="D7">
            <v>2893.569</v>
          </cell>
          <cell r="E7">
            <v>1688.492</v>
          </cell>
          <cell r="F7">
            <v>1204.04</v>
          </cell>
          <cell r="G7">
            <v>1</v>
          </cell>
          <cell r="H7">
            <v>45</v>
          </cell>
          <cell r="I7" t="str">
            <v>матрица</v>
          </cell>
          <cell r="K7">
            <v>1499.1020000000001</v>
          </cell>
          <cell r="L7">
            <v>189.38999999999987</v>
          </cell>
          <cell r="M7">
            <v>1081.529</v>
          </cell>
          <cell r="N7">
            <v>606.96299999999997</v>
          </cell>
          <cell r="O7">
            <v>753.70391199999995</v>
          </cell>
          <cell r="Q7">
            <v>200.7</v>
          </cell>
          <cell r="R7">
            <v>249.3</v>
          </cell>
          <cell r="S7">
            <v>216.3058</v>
          </cell>
          <cell r="T7">
            <v>187.92568800000026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2754.893</v>
          </cell>
          <cell r="D8">
            <v>6282.7259999999997</v>
          </cell>
          <cell r="E8">
            <v>4646.4849999999997</v>
          </cell>
          <cell r="F8">
            <v>2260.8630000000003</v>
          </cell>
          <cell r="G8">
            <v>1</v>
          </cell>
          <cell r="H8">
            <v>45</v>
          </cell>
          <cell r="I8" t="str">
            <v>матрица</v>
          </cell>
          <cell r="K8">
            <v>4805.0240000000003</v>
          </cell>
          <cell r="L8">
            <v>-158.53900000000067</v>
          </cell>
          <cell r="M8">
            <v>2732.1219999999994</v>
          </cell>
          <cell r="N8">
            <v>1914.3630000000001</v>
          </cell>
          <cell r="O8">
            <v>976.73630996240047</v>
          </cell>
          <cell r="Q8">
            <v>1024.615398301479</v>
          </cell>
          <cell r="R8">
            <v>1272.728544078519</v>
          </cell>
          <cell r="S8">
            <v>546.42439999999988</v>
          </cell>
          <cell r="T8">
            <v>1022.1495476575997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C9">
            <v>23</v>
          </cell>
          <cell r="D9">
            <v>10</v>
          </cell>
          <cell r="E9">
            <v>7</v>
          </cell>
          <cell r="F9">
            <v>18</v>
          </cell>
          <cell r="G9">
            <v>0.4</v>
          </cell>
          <cell r="H9">
            <v>50</v>
          </cell>
          <cell r="I9" t="str">
            <v>матрица</v>
          </cell>
          <cell r="K9">
            <v>14</v>
          </cell>
          <cell r="L9">
            <v>-7</v>
          </cell>
          <cell r="M9">
            <v>7</v>
          </cell>
          <cell r="Q9">
            <v>0</v>
          </cell>
          <cell r="S9">
            <v>1.4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1956.55</v>
          </cell>
          <cell r="D10">
            <v>2792</v>
          </cell>
          <cell r="E10">
            <v>2608.174</v>
          </cell>
          <cell r="F10">
            <v>615.37599999999998</v>
          </cell>
          <cell r="G10">
            <v>0.45</v>
          </cell>
          <cell r="H10">
            <v>45</v>
          </cell>
          <cell r="I10" t="str">
            <v>ВНИМАНИЕ / матрица</v>
          </cell>
          <cell r="K10">
            <v>3201</v>
          </cell>
          <cell r="L10">
            <v>-592.82600000000002</v>
          </cell>
          <cell r="M10">
            <v>2464.174</v>
          </cell>
          <cell r="N10">
            <v>144</v>
          </cell>
          <cell r="O10">
            <v>907.60799999999995</v>
          </cell>
          <cell r="Q10">
            <v>535.19999999999993</v>
          </cell>
          <cell r="R10">
            <v>664.80000000000007</v>
          </cell>
          <cell r="S10">
            <v>492.83479999999997</v>
          </cell>
          <cell r="T10">
            <v>2000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5853.0209999999997</v>
          </cell>
          <cell r="D11">
            <v>2392</v>
          </cell>
          <cell r="E11">
            <v>4360.366</v>
          </cell>
          <cell r="F11">
            <v>1646.655</v>
          </cell>
          <cell r="G11">
            <v>0.45</v>
          </cell>
          <cell r="H11">
            <v>45</v>
          </cell>
          <cell r="I11" t="str">
            <v>ВНИМАНИЕ / матрица</v>
          </cell>
          <cell r="K11">
            <v>4886</v>
          </cell>
          <cell r="L11">
            <v>-525.63400000000001</v>
          </cell>
          <cell r="M11">
            <v>3424.366</v>
          </cell>
          <cell r="N11">
            <v>936</v>
          </cell>
          <cell r="O11">
            <v>260</v>
          </cell>
          <cell r="Q11">
            <v>356.8</v>
          </cell>
          <cell r="R11">
            <v>443.2</v>
          </cell>
          <cell r="S11">
            <v>684.8732</v>
          </cell>
          <cell r="T11">
            <v>4826.9502000000002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282</v>
          </cell>
          <cell r="D12">
            <v>37</v>
          </cell>
          <cell r="E12">
            <v>119</v>
          </cell>
          <cell r="F12">
            <v>126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149</v>
          </cell>
          <cell r="L12">
            <v>-30</v>
          </cell>
          <cell r="M12">
            <v>89</v>
          </cell>
          <cell r="N12">
            <v>30</v>
          </cell>
          <cell r="Q12">
            <v>0</v>
          </cell>
          <cell r="S12">
            <v>17.8</v>
          </cell>
          <cell r="T12">
            <v>87.600000000000023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96</v>
          </cell>
          <cell r="D13">
            <v>9</v>
          </cell>
          <cell r="E13">
            <v>60</v>
          </cell>
          <cell r="F13">
            <v>19</v>
          </cell>
          <cell r="G13">
            <v>0.3</v>
          </cell>
          <cell r="H13">
            <v>40</v>
          </cell>
          <cell r="I13" t="str">
            <v>матрица</v>
          </cell>
          <cell r="K13">
            <v>80</v>
          </cell>
          <cell r="L13">
            <v>-20</v>
          </cell>
          <cell r="M13">
            <v>60</v>
          </cell>
          <cell r="Q13">
            <v>75</v>
          </cell>
          <cell r="S13">
            <v>12</v>
          </cell>
          <cell r="T13">
            <v>50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383</v>
          </cell>
          <cell r="D14">
            <v>103</v>
          </cell>
          <cell r="E14">
            <v>297</v>
          </cell>
          <cell r="F14">
            <v>6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397</v>
          </cell>
          <cell r="L14">
            <v>-100</v>
          </cell>
          <cell r="M14">
            <v>87</v>
          </cell>
          <cell r="N14">
            <v>210</v>
          </cell>
          <cell r="Q14">
            <v>151.99999999999989</v>
          </cell>
          <cell r="S14">
            <v>17.399999999999999</v>
          </cell>
          <cell r="T14">
            <v>50.800000000000097</v>
          </cell>
        </row>
        <row r="15">
          <cell r="A15" t="str">
            <v xml:space="preserve"> 103  Сосиски Классические, 0.42кг,ядрена копотьПОКОМ</v>
          </cell>
          <cell r="B15" t="str">
            <v>шт</v>
          </cell>
          <cell r="C15">
            <v>336</v>
          </cell>
          <cell r="D15">
            <v>2</v>
          </cell>
          <cell r="E15">
            <v>5</v>
          </cell>
          <cell r="F15">
            <v>272</v>
          </cell>
          <cell r="G15">
            <v>0</v>
          </cell>
          <cell r="I15" t="str">
            <v>не в матрице</v>
          </cell>
          <cell r="K15">
            <v>53</v>
          </cell>
          <cell r="L15">
            <v>-48</v>
          </cell>
          <cell r="M15">
            <v>5</v>
          </cell>
          <cell r="Q15">
            <v>0</v>
          </cell>
          <cell r="S15">
            <v>1</v>
          </cell>
        </row>
        <row r="16">
          <cell r="A16" t="str">
            <v xml:space="preserve"> 200  Ветчина Дугушка ТМ Стародворье, вектор в/у    ПОКОМ</v>
          </cell>
          <cell r="B16" t="str">
            <v>кг</v>
          </cell>
          <cell r="C16">
            <v>3949.2420000000002</v>
          </cell>
          <cell r="D16">
            <v>5740.3339999999998</v>
          </cell>
          <cell r="E16">
            <v>4270.7960000000003</v>
          </cell>
          <cell r="F16">
            <v>3018.5230000000001</v>
          </cell>
          <cell r="G16">
            <v>1</v>
          </cell>
          <cell r="H16">
            <v>70</v>
          </cell>
          <cell r="I16" t="str">
            <v>матрица</v>
          </cell>
          <cell r="K16">
            <v>4821.759</v>
          </cell>
          <cell r="L16">
            <v>-550.96299999999974</v>
          </cell>
          <cell r="M16">
            <v>2883.3020000000006</v>
          </cell>
          <cell r="N16">
            <v>1387.4939999999999</v>
          </cell>
          <cell r="O16">
            <v>1598.80850351872</v>
          </cell>
          <cell r="Q16">
            <v>267.60000000000002</v>
          </cell>
          <cell r="R16">
            <v>332.4</v>
          </cell>
          <cell r="S16">
            <v>576.6604000000001</v>
          </cell>
          <cell r="T16">
            <v>1702.593296481281</v>
          </cell>
        </row>
        <row r="17">
          <cell r="A17" t="str">
            <v xml:space="preserve"> 201  Ветчина Нежная ТМ Особый рецепт, (2,5кг), ПОКОМ</v>
          </cell>
          <cell r="B17" t="str">
            <v>кг</v>
          </cell>
          <cell r="C17">
            <v>3045.259</v>
          </cell>
          <cell r="D17">
            <v>3464.7330000000002</v>
          </cell>
          <cell r="E17">
            <v>3118.3069999999998</v>
          </cell>
          <cell r="F17">
            <v>1311.933</v>
          </cell>
          <cell r="G17">
            <v>1</v>
          </cell>
          <cell r="H17">
            <v>50</v>
          </cell>
          <cell r="I17" t="str">
            <v>матрица</v>
          </cell>
          <cell r="K17">
            <v>4089.0889999999999</v>
          </cell>
          <cell r="L17">
            <v>-970.78200000000015</v>
          </cell>
          <cell r="M17">
            <v>1418.0369999999998</v>
          </cell>
          <cell r="N17">
            <v>1700.27</v>
          </cell>
          <cell r="O17">
            <v>270.40264458688011</v>
          </cell>
          <cell r="Q17">
            <v>888.46132639817574</v>
          </cell>
          <cell r="R17">
            <v>1103.604427857824</v>
          </cell>
          <cell r="S17">
            <v>283.60739999999998</v>
          </cell>
        </row>
        <row r="18">
          <cell r="A18" t="str">
            <v xml:space="preserve"> 215  Колбаса Докторская ГОСТ Дугушка, ВЕС, ТМ Стародворье ПОКОМ</v>
          </cell>
          <cell r="B18" t="str">
            <v>кг</v>
          </cell>
          <cell r="C18">
            <v>328.6</v>
          </cell>
          <cell r="D18">
            <v>310.21800000000002</v>
          </cell>
          <cell r="E18">
            <v>448.40499999999997</v>
          </cell>
          <cell r="F18">
            <v>-10.763999999999999</v>
          </cell>
          <cell r="G18">
            <v>1</v>
          </cell>
          <cell r="H18">
            <v>60</v>
          </cell>
          <cell r="I18" t="str">
            <v>матрица</v>
          </cell>
          <cell r="K18">
            <v>523.84400000000005</v>
          </cell>
          <cell r="L18">
            <v>-75.439000000000078</v>
          </cell>
          <cell r="M18">
            <v>146.16099999999994</v>
          </cell>
          <cell r="N18">
            <v>302.24400000000003</v>
          </cell>
          <cell r="Q18">
            <v>211.8583999999999</v>
          </cell>
          <cell r="S18">
            <v>29.232199999999988</v>
          </cell>
          <cell r="T18">
            <v>149.69199999999995</v>
          </cell>
        </row>
        <row r="19">
          <cell r="A19" t="str">
            <v xml:space="preserve"> 219  Колбаса Докторская Особая ТМ Особый рецепт, ВЕС  ПОКОМ</v>
          </cell>
          <cell r="B19" t="str">
            <v>кг</v>
          </cell>
          <cell r="C19">
            <v>-4.9740000000000002</v>
          </cell>
          <cell r="E19">
            <v>1.7549999999999999</v>
          </cell>
          <cell r="F19">
            <v>-27.492999999999999</v>
          </cell>
          <cell r="G19">
            <v>0</v>
          </cell>
          <cell r="I19" t="str">
            <v>не в матрице</v>
          </cell>
          <cell r="J19" t="str">
            <v xml:space="preserve"> 597  Колбаса Классическая ТМ Особый рецепт в оболочке полиамид ВЕС. ПОКОМ</v>
          </cell>
          <cell r="K19">
            <v>22.5</v>
          </cell>
          <cell r="L19">
            <v>-20.745000000000001</v>
          </cell>
          <cell r="M19">
            <v>1.7549999999999999</v>
          </cell>
          <cell r="Q19">
            <v>0</v>
          </cell>
          <cell r="S19">
            <v>0.35099999999999998</v>
          </cell>
        </row>
        <row r="20">
          <cell r="A20" t="str">
            <v xml:space="preserve"> 225  Колбаса Дугушка со шпиком, ВЕС, ТМ Стародворье   ПОКОМ</v>
          </cell>
          <cell r="B20" t="str">
            <v>кг</v>
          </cell>
          <cell r="G20">
            <v>0</v>
          </cell>
          <cell r="I20" t="str">
            <v>матрица</v>
          </cell>
          <cell r="L20">
            <v>0</v>
          </cell>
          <cell r="M20">
            <v>0</v>
          </cell>
          <cell r="Q20">
            <v>0</v>
          </cell>
          <cell r="S20">
            <v>0</v>
          </cell>
        </row>
        <row r="21">
          <cell r="A21" t="str">
            <v xml:space="preserve"> 226  Колбаса Княжеская, с/к белков.обол в термоусад. пакете, ВЕС, ТМ Стародворье ПОКОМ</v>
          </cell>
          <cell r="B21" t="str">
            <v>кг</v>
          </cell>
          <cell r="C21">
            <v>4.0739999999999998</v>
          </cell>
          <cell r="D21">
            <v>20.452000000000002</v>
          </cell>
          <cell r="E21">
            <v>4.4169999999999998</v>
          </cell>
          <cell r="F21">
            <v>21.475999999999999</v>
          </cell>
          <cell r="G21">
            <v>1</v>
          </cell>
          <cell r="H21">
            <v>180</v>
          </cell>
          <cell r="I21" t="str">
            <v>матрица</v>
          </cell>
          <cell r="K21">
            <v>3.2</v>
          </cell>
          <cell r="L21">
            <v>1.2169999999999996</v>
          </cell>
          <cell r="M21">
            <v>4.4169999999999998</v>
          </cell>
          <cell r="Q21">
            <v>0</v>
          </cell>
          <cell r="S21">
            <v>0.88339999999999996</v>
          </cell>
        </row>
        <row r="22">
          <cell r="A22" t="str">
            <v xml:space="preserve"> 229  Колбаса Молочная Дугушка, в/у, ВЕС, ТМ Стародворье   ПОКОМ</v>
          </cell>
          <cell r="B22" t="str">
            <v>кг</v>
          </cell>
          <cell r="C22">
            <v>4132.4440000000004</v>
          </cell>
          <cell r="D22">
            <v>9744.6650000000009</v>
          </cell>
          <cell r="E22">
            <v>5972.8879999999999</v>
          </cell>
          <cell r="F22">
            <v>5774.89</v>
          </cell>
          <cell r="G22">
            <v>1</v>
          </cell>
          <cell r="H22">
            <v>60</v>
          </cell>
          <cell r="I22" t="str">
            <v>матрица</v>
          </cell>
          <cell r="K22">
            <v>5380.9189999999999</v>
          </cell>
          <cell r="L22">
            <v>591.96900000000005</v>
          </cell>
          <cell r="M22">
            <v>5972.8879999999999</v>
          </cell>
          <cell r="O22">
            <v>3489.2332883200011</v>
          </cell>
          <cell r="Q22">
            <v>1826.1224807039989</v>
          </cell>
          <cell r="R22">
            <v>2268.3225432959989</v>
          </cell>
          <cell r="S22">
            <v>1194.5776000000001</v>
          </cell>
          <cell r="T22">
            <v>976.36288768000031</v>
          </cell>
        </row>
        <row r="23">
          <cell r="A23" t="str">
            <v xml:space="preserve"> 230  Колбаса Молочная Особая ТМ Особый рецепт, п/а, ВЕС. ПОКОМ</v>
          </cell>
          <cell r="B23" t="str">
            <v>кг</v>
          </cell>
          <cell r="C23">
            <v>-7.4930000000000003</v>
          </cell>
          <cell r="E23">
            <v>4.97</v>
          </cell>
          <cell r="F23">
            <v>-12.462999999999999</v>
          </cell>
          <cell r="G23">
            <v>0</v>
          </cell>
          <cell r="I23" t="str">
            <v>не в матрице</v>
          </cell>
          <cell r="J23" t="str">
            <v xml:space="preserve"> 457  Колбаса Молочная ТМ Особый рецепт ВЕС большой батон  ПОКОМ</v>
          </cell>
          <cell r="K23">
            <v>5</v>
          </cell>
          <cell r="L23">
            <v>-3.0000000000000249E-2</v>
          </cell>
          <cell r="M23">
            <v>4.97</v>
          </cell>
          <cell r="Q23">
            <v>0</v>
          </cell>
          <cell r="S23">
            <v>0.99399999999999999</v>
          </cell>
        </row>
        <row r="24">
          <cell r="A24" t="str">
            <v xml:space="preserve"> 236  Колбаса Рубленая ЗАПЕЧ. Дугушка ТМ Стародворье, вектор, в/к    ПОКОМ</v>
          </cell>
          <cell r="B24" t="str">
            <v>кг</v>
          </cell>
          <cell r="C24">
            <v>335.72899999999998</v>
          </cell>
          <cell r="D24">
            <v>1254.8689999999999</v>
          </cell>
          <cell r="E24">
            <v>209.511</v>
          </cell>
          <cell r="F24">
            <v>583.08699999999999</v>
          </cell>
          <cell r="G24">
            <v>1</v>
          </cell>
          <cell r="H24">
            <v>70</v>
          </cell>
          <cell r="I24" t="str">
            <v>матрица</v>
          </cell>
          <cell r="K24">
            <v>1037.5450000000001</v>
          </cell>
          <cell r="L24">
            <v>-828.03400000000011</v>
          </cell>
          <cell r="M24">
            <v>108.401</v>
          </cell>
          <cell r="N24">
            <v>101.11</v>
          </cell>
          <cell r="Q24">
            <v>0</v>
          </cell>
          <cell r="S24">
            <v>21.680199999999999</v>
          </cell>
        </row>
        <row r="25">
          <cell r="A25" t="str">
            <v xml:space="preserve"> 239  Колбаса Салями запеч Дугушка, оболочка вектор, ВЕС, ТМ Стародворье  ПОКОМ</v>
          </cell>
          <cell r="B25" t="str">
            <v>кг</v>
          </cell>
          <cell r="C25">
            <v>1316.174</v>
          </cell>
          <cell r="D25">
            <v>1676.538</v>
          </cell>
          <cell r="E25">
            <v>1398.375</v>
          </cell>
          <cell r="F25">
            <v>990.20899999999995</v>
          </cell>
          <cell r="G25">
            <v>1</v>
          </cell>
          <cell r="H25">
            <v>70</v>
          </cell>
          <cell r="I25" t="str">
            <v>матрица</v>
          </cell>
          <cell r="K25">
            <v>1519.923</v>
          </cell>
          <cell r="L25">
            <v>-121.548</v>
          </cell>
          <cell r="M25">
            <v>1063.414</v>
          </cell>
          <cell r="N25">
            <v>334.96100000000001</v>
          </cell>
          <cell r="O25">
            <v>457.30278177584012</v>
          </cell>
          <cell r="Q25">
            <v>322.91478138456802</v>
          </cell>
          <cell r="R25">
            <v>401.10939212343197</v>
          </cell>
          <cell r="S25">
            <v>212.68279999999999</v>
          </cell>
          <cell r="T25">
            <v>380.65764471615955</v>
          </cell>
        </row>
        <row r="26">
          <cell r="A26" t="str">
            <v xml:space="preserve"> 240  Колбаса Салями охотничья, ВЕС. ПОКОМ</v>
          </cell>
          <cell r="B26" t="str">
            <v>кг</v>
          </cell>
          <cell r="G26">
            <v>0</v>
          </cell>
          <cell r="I26" t="str">
            <v>матрица</v>
          </cell>
          <cell r="L26">
            <v>0</v>
          </cell>
          <cell r="M26">
            <v>0</v>
          </cell>
          <cell r="Q26">
            <v>0</v>
          </cell>
          <cell r="S26">
            <v>0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B27" t="str">
            <v>кг</v>
          </cell>
          <cell r="C27">
            <v>2323.6109999999999</v>
          </cell>
          <cell r="D27">
            <v>2015.317</v>
          </cell>
          <cell r="E27">
            <v>2505.23</v>
          </cell>
          <cell r="F27">
            <v>633.43299999999999</v>
          </cell>
          <cell r="G27">
            <v>1</v>
          </cell>
          <cell r="H27">
            <v>70</v>
          </cell>
          <cell r="I27" t="str">
            <v>матрица</v>
          </cell>
          <cell r="K27">
            <v>2693.62</v>
          </cell>
          <cell r="L27">
            <v>-188.38999999999987</v>
          </cell>
          <cell r="M27">
            <v>1782.2339999999999</v>
          </cell>
          <cell r="N27">
            <v>722.99599999999998</v>
          </cell>
          <cell r="O27">
            <v>416</v>
          </cell>
          <cell r="Q27">
            <v>1084.23770304</v>
          </cell>
          <cell r="R27">
            <v>1346.7885369600001</v>
          </cell>
          <cell r="S27">
            <v>356.4468</v>
          </cell>
          <cell r="T27">
            <v>796.90236000000027</v>
          </cell>
        </row>
        <row r="28">
          <cell r="A28" t="str">
            <v xml:space="preserve"> 244  Колбаса Сервелат Кремлевский, ВЕС. ПОКОМ</v>
          </cell>
          <cell r="B28" t="str">
            <v>кг</v>
          </cell>
          <cell r="C28">
            <v>81.498000000000005</v>
          </cell>
          <cell r="E28">
            <v>6.5110000000000001</v>
          </cell>
          <cell r="F28">
            <v>69.201999999999998</v>
          </cell>
          <cell r="G28">
            <v>1</v>
          </cell>
          <cell r="H28">
            <v>40</v>
          </cell>
          <cell r="I28" t="str">
            <v>матрица</v>
          </cell>
          <cell r="K28">
            <v>7.2</v>
          </cell>
          <cell r="L28">
            <v>-0.68900000000000006</v>
          </cell>
          <cell r="M28">
            <v>6.5110000000000001</v>
          </cell>
          <cell r="Q28">
            <v>0</v>
          </cell>
          <cell r="S28">
            <v>1.3022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G29">
            <v>0</v>
          </cell>
          <cell r="I29" t="str">
            <v>матрица</v>
          </cell>
          <cell r="L29">
            <v>0</v>
          </cell>
          <cell r="M29">
            <v>0</v>
          </cell>
          <cell r="Q29">
            <v>0</v>
          </cell>
          <cell r="S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G30">
            <v>0</v>
          </cell>
          <cell r="I30" t="str">
            <v>матрица</v>
          </cell>
          <cell r="L30">
            <v>0</v>
          </cell>
          <cell r="M30">
            <v>0</v>
          </cell>
          <cell r="Q30">
            <v>0</v>
          </cell>
          <cell r="S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1400.299</v>
          </cell>
          <cell r="D31">
            <v>2826.5219999999999</v>
          </cell>
          <cell r="E31">
            <v>3172.8249999999998</v>
          </cell>
          <cell r="F31">
            <v>187.90199999999999</v>
          </cell>
          <cell r="G31">
            <v>1</v>
          </cell>
          <cell r="H31">
            <v>30</v>
          </cell>
          <cell r="I31" t="str">
            <v>НЕДОГРУЗ / матрица</v>
          </cell>
          <cell r="K31">
            <v>2490.0369999999998</v>
          </cell>
          <cell r="L31">
            <v>682.78800000000001</v>
          </cell>
          <cell r="M31">
            <v>2203.2379999999998</v>
          </cell>
          <cell r="N31">
            <v>969.58699999999999</v>
          </cell>
          <cell r="O31">
            <v>416</v>
          </cell>
          <cell r="Q31">
            <v>668.99999999999989</v>
          </cell>
          <cell r="R31">
            <v>831.00000000000011</v>
          </cell>
          <cell r="S31">
            <v>440.64759999999995</v>
          </cell>
          <cell r="T31">
            <v>2743.2215999999999</v>
          </cell>
        </row>
        <row r="32">
          <cell r="A32" t="str">
            <v xml:space="preserve"> 253  Сосиски Ганноверские   ПОКОМ</v>
          </cell>
          <cell r="B32" t="str">
            <v>кг</v>
          </cell>
          <cell r="C32">
            <v>-0.23</v>
          </cell>
          <cell r="F32">
            <v>-0.23</v>
          </cell>
          <cell r="G32">
            <v>0</v>
          </cell>
          <cell r="H32">
            <v>40</v>
          </cell>
          <cell r="I32" t="str">
            <v>не в матрице</v>
          </cell>
          <cell r="L32">
            <v>0</v>
          </cell>
          <cell r="M32">
            <v>0</v>
          </cell>
          <cell r="Q32">
            <v>0</v>
          </cell>
          <cell r="S32">
            <v>0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B33" t="str">
            <v>кг</v>
          </cell>
          <cell r="C33">
            <v>1148.73</v>
          </cell>
          <cell r="D33">
            <v>431.798</v>
          </cell>
          <cell r="E33">
            <v>3281.402</v>
          </cell>
          <cell r="F33">
            <v>-114.405</v>
          </cell>
          <cell r="G33">
            <v>1</v>
          </cell>
          <cell r="H33">
            <v>40</v>
          </cell>
          <cell r="I33" t="str">
            <v>НЕДОГРУЗ / матрица</v>
          </cell>
          <cell r="K33">
            <v>3984.6759999999999</v>
          </cell>
          <cell r="L33">
            <v>-703.27399999999989</v>
          </cell>
          <cell r="M33">
            <v>3281.402</v>
          </cell>
          <cell r="O33">
            <v>520</v>
          </cell>
          <cell r="P33">
            <v>-522</v>
          </cell>
          <cell r="Q33">
            <v>892</v>
          </cell>
          <cell r="R33">
            <v>1208</v>
          </cell>
          <cell r="S33">
            <v>656.28039999999999</v>
          </cell>
          <cell r="T33">
            <v>2200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B34" t="str">
            <v>кг</v>
          </cell>
          <cell r="G34">
            <v>0</v>
          </cell>
          <cell r="I34" t="str">
            <v>матрица</v>
          </cell>
          <cell r="L34">
            <v>0</v>
          </cell>
          <cell r="M34">
            <v>0</v>
          </cell>
          <cell r="Q34">
            <v>0</v>
          </cell>
          <cell r="S34">
            <v>0</v>
          </cell>
        </row>
        <row r="35">
          <cell r="A35" t="str">
            <v xml:space="preserve"> 263  Шпикачки Стародворские, ВЕС.  ПОКОМ</v>
          </cell>
          <cell r="B35" t="str">
            <v>кг</v>
          </cell>
          <cell r="G35">
            <v>0</v>
          </cell>
          <cell r="I35" t="str">
            <v>матрица</v>
          </cell>
          <cell r="L35">
            <v>0</v>
          </cell>
          <cell r="M35">
            <v>0</v>
          </cell>
          <cell r="Q35">
            <v>0</v>
          </cell>
          <cell r="S35">
            <v>0</v>
          </cell>
        </row>
        <row r="36">
          <cell r="A36" t="str">
            <v xml:space="preserve"> 265  Колбаса Балыкбургская, ВЕС, ТМ Баварушка  ПОКОМ</v>
          </cell>
          <cell r="B36" t="str">
            <v>кг</v>
          </cell>
          <cell r="G36">
            <v>0</v>
          </cell>
          <cell r="I36" t="str">
            <v>матрица</v>
          </cell>
          <cell r="L36">
            <v>0</v>
          </cell>
          <cell r="M36">
            <v>0</v>
          </cell>
          <cell r="Q36">
            <v>0</v>
          </cell>
          <cell r="S36">
            <v>0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G37">
            <v>0</v>
          </cell>
          <cell r="I37" t="str">
            <v>матрица</v>
          </cell>
          <cell r="L37">
            <v>0</v>
          </cell>
          <cell r="M37">
            <v>0</v>
          </cell>
          <cell r="Q37">
            <v>0</v>
          </cell>
          <cell r="S37">
            <v>0</v>
          </cell>
        </row>
        <row r="38">
          <cell r="A38" t="str">
            <v xml:space="preserve"> 273  Сосиски Сочинки с сочной грудинкой, МГС 0.4кг,   ПОКОМ</v>
          </cell>
          <cell r="B38" t="str">
            <v>шт</v>
          </cell>
          <cell r="C38">
            <v>1008</v>
          </cell>
          <cell r="D38">
            <v>4256</v>
          </cell>
          <cell r="E38">
            <v>5155</v>
          </cell>
          <cell r="F38">
            <v>-322</v>
          </cell>
          <cell r="G38">
            <v>0.4</v>
          </cell>
          <cell r="H38">
            <v>45</v>
          </cell>
          <cell r="I38" t="str">
            <v>НЕДОГРУЗ / матрица</v>
          </cell>
          <cell r="K38">
            <v>4558</v>
          </cell>
          <cell r="L38">
            <v>597</v>
          </cell>
          <cell r="M38">
            <v>4075</v>
          </cell>
          <cell r="N38">
            <v>1080</v>
          </cell>
          <cell r="O38">
            <v>780</v>
          </cell>
          <cell r="Q38">
            <v>1767.944</v>
          </cell>
          <cell r="R38">
            <v>2196.056</v>
          </cell>
          <cell r="S38">
            <v>815</v>
          </cell>
          <cell r="T38">
            <v>4543</v>
          </cell>
          <cell r="U38" t="str">
            <v>ОЧЕНЬ НУЖНА ЭТА ПОЗИЦИЯ !!!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B39" t="str">
            <v>шт</v>
          </cell>
          <cell r="C39">
            <v>839.75</v>
          </cell>
          <cell r="D39">
            <v>263</v>
          </cell>
          <cell r="E39">
            <v>735</v>
          </cell>
          <cell r="F39">
            <v>253.75</v>
          </cell>
          <cell r="G39">
            <v>0.45</v>
          </cell>
          <cell r="H39">
            <v>50</v>
          </cell>
          <cell r="I39" t="str">
            <v>матрица</v>
          </cell>
          <cell r="K39">
            <v>1175</v>
          </cell>
          <cell r="L39">
            <v>-440</v>
          </cell>
          <cell r="M39">
            <v>735</v>
          </cell>
          <cell r="Q39">
            <v>200</v>
          </cell>
          <cell r="S39">
            <v>147</v>
          </cell>
          <cell r="T39">
            <v>1016.25</v>
          </cell>
          <cell r="U39" t="str">
            <v xml:space="preserve">еще плюс 500 сеть ютл </v>
          </cell>
        </row>
        <row r="40">
          <cell r="A40" t="str">
            <v xml:space="preserve"> 278  Сосиски Сочинки с сочным окороком, МГС 0.4кг,   ПОКОМ</v>
          </cell>
          <cell r="B40" t="str">
            <v>шт</v>
          </cell>
          <cell r="C40">
            <v>-5</v>
          </cell>
          <cell r="D40">
            <v>832</v>
          </cell>
          <cell r="E40">
            <v>742</v>
          </cell>
          <cell r="F40">
            <v>43</v>
          </cell>
          <cell r="G40">
            <v>0.4</v>
          </cell>
          <cell r="H40">
            <v>45</v>
          </cell>
          <cell r="I40" t="str">
            <v>НЕДОГРУЗ / матрица</v>
          </cell>
          <cell r="K40">
            <v>2165</v>
          </cell>
          <cell r="L40">
            <v>-1423</v>
          </cell>
          <cell r="M40">
            <v>742</v>
          </cell>
          <cell r="O40">
            <v>208</v>
          </cell>
          <cell r="Q40">
            <v>400</v>
          </cell>
          <cell r="S40">
            <v>148.4</v>
          </cell>
          <cell r="T40">
            <v>500</v>
          </cell>
        </row>
        <row r="41">
          <cell r="A41" t="str">
            <v xml:space="preserve"> 281  Сосиски Молочные для завтрака ТМ Особый рецепт, 0,4кг  ПОКОМ</v>
          </cell>
          <cell r="B41" t="str">
            <v>шт</v>
          </cell>
          <cell r="C41">
            <v>-33</v>
          </cell>
          <cell r="D41">
            <v>30</v>
          </cell>
          <cell r="E41">
            <v>13</v>
          </cell>
          <cell r="F41">
            <v>-13</v>
          </cell>
          <cell r="G41">
            <v>0.4</v>
          </cell>
          <cell r="H41">
            <v>40</v>
          </cell>
          <cell r="I41" t="str">
            <v>НЕДОГРУЗ / матрица</v>
          </cell>
          <cell r="K41">
            <v>569</v>
          </cell>
          <cell r="L41">
            <v>-556</v>
          </cell>
          <cell r="M41">
            <v>13</v>
          </cell>
          <cell r="O41">
            <v>100</v>
          </cell>
          <cell r="P41">
            <v>-102</v>
          </cell>
          <cell r="Q41">
            <v>200</v>
          </cell>
          <cell r="S41">
            <v>2.6</v>
          </cell>
          <cell r="T41">
            <v>200</v>
          </cell>
        </row>
        <row r="42">
          <cell r="A42" t="str">
            <v xml:space="preserve"> 283  Сосиски Сочинки, ВЕС, ТМ Стародворье ПОКОМ</v>
          </cell>
          <cell r="B42" t="str">
            <v>кг</v>
          </cell>
          <cell r="D42">
            <v>52.552</v>
          </cell>
          <cell r="F42">
            <v>48.122999999999998</v>
          </cell>
          <cell r="G42">
            <v>1</v>
          </cell>
          <cell r="I42" t="str">
            <v>НЕДОГРУЗ / матрица</v>
          </cell>
          <cell r="K42">
            <v>82.6</v>
          </cell>
          <cell r="L42">
            <v>-82.6</v>
          </cell>
          <cell r="M42">
            <v>0</v>
          </cell>
          <cell r="O42">
            <v>20</v>
          </cell>
          <cell r="Q42">
            <v>0</v>
          </cell>
          <cell r="S42">
            <v>0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B43" t="str">
            <v>шт</v>
          </cell>
          <cell r="C43">
            <v>327</v>
          </cell>
          <cell r="D43">
            <v>220</v>
          </cell>
          <cell r="E43">
            <v>212</v>
          </cell>
          <cell r="F43">
            <v>276</v>
          </cell>
          <cell r="G43">
            <v>0.1</v>
          </cell>
          <cell r="H43">
            <v>731</v>
          </cell>
          <cell r="I43" t="str">
            <v>матрица</v>
          </cell>
          <cell r="K43">
            <v>270</v>
          </cell>
          <cell r="L43">
            <v>-58</v>
          </cell>
          <cell r="M43">
            <v>212</v>
          </cell>
          <cell r="Q43">
            <v>102.6</v>
          </cell>
          <cell r="S43">
            <v>42.4</v>
          </cell>
          <cell r="T43">
            <v>130.19999999999993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B44" t="str">
            <v>шт</v>
          </cell>
          <cell r="D44">
            <v>2</v>
          </cell>
          <cell r="E44">
            <v>21</v>
          </cell>
          <cell r="F44">
            <v>-2</v>
          </cell>
          <cell r="G44">
            <v>0.35</v>
          </cell>
          <cell r="H44">
            <v>40</v>
          </cell>
          <cell r="I44" t="str">
            <v>НЕДОГРУЗ / матрица</v>
          </cell>
          <cell r="K44">
            <v>125</v>
          </cell>
          <cell r="L44">
            <v>-104</v>
          </cell>
          <cell r="M44">
            <v>21</v>
          </cell>
          <cell r="O44">
            <v>50</v>
          </cell>
          <cell r="P44">
            <v>-54</v>
          </cell>
          <cell r="Q44">
            <v>50</v>
          </cell>
          <cell r="S44">
            <v>4.2</v>
          </cell>
          <cell r="T44">
            <v>50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B45" t="str">
            <v>кг</v>
          </cell>
          <cell r="C45">
            <v>18.667999999999999</v>
          </cell>
          <cell r="D45">
            <v>27.004999999999999</v>
          </cell>
          <cell r="E45">
            <v>14.656000000000001</v>
          </cell>
          <cell r="F45">
            <v>23.622</v>
          </cell>
          <cell r="G45">
            <v>1</v>
          </cell>
          <cell r="H45">
            <v>40</v>
          </cell>
          <cell r="I45" t="str">
            <v>матрица</v>
          </cell>
          <cell r="K45">
            <v>21.2</v>
          </cell>
          <cell r="L45">
            <v>-6.5439999999999987</v>
          </cell>
          <cell r="M45">
            <v>14.656000000000001</v>
          </cell>
          <cell r="Q45">
            <v>4</v>
          </cell>
          <cell r="S45">
            <v>2.9312</v>
          </cell>
          <cell r="T45">
            <v>7.5523999999999987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B46" t="str">
            <v>шт</v>
          </cell>
          <cell r="C46">
            <v>-32</v>
          </cell>
          <cell r="D46">
            <v>268</v>
          </cell>
          <cell r="E46">
            <v>154</v>
          </cell>
          <cell r="F46">
            <v>-31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348</v>
          </cell>
          <cell r="L46">
            <v>-194</v>
          </cell>
          <cell r="M46">
            <v>154</v>
          </cell>
          <cell r="Q46">
            <v>100</v>
          </cell>
          <cell r="S46">
            <v>30.8</v>
          </cell>
          <cell r="T46">
            <v>100</v>
          </cell>
        </row>
        <row r="47">
          <cell r="A47" t="str">
            <v xml:space="preserve"> 302  Сосиски Сочинки по-баварски,  0.4кг, ТМ Стародворье  ПОКОМ</v>
          </cell>
          <cell r="B47" t="str">
            <v>шт</v>
          </cell>
          <cell r="C47">
            <v>9</v>
          </cell>
          <cell r="D47">
            <v>326</v>
          </cell>
          <cell r="E47">
            <v>146</v>
          </cell>
          <cell r="F47">
            <v>87</v>
          </cell>
          <cell r="G47">
            <v>0.4</v>
          </cell>
          <cell r="H47">
            <v>45</v>
          </cell>
          <cell r="I47" t="str">
            <v>НЕДОГРУЗ / матрица</v>
          </cell>
          <cell r="K47">
            <v>525</v>
          </cell>
          <cell r="L47">
            <v>-379</v>
          </cell>
          <cell r="M47">
            <v>146</v>
          </cell>
          <cell r="O47">
            <v>50</v>
          </cell>
          <cell r="Q47">
            <v>60.199999999999989</v>
          </cell>
          <cell r="S47">
            <v>29.2</v>
          </cell>
          <cell r="T47">
            <v>100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35.881</v>
          </cell>
          <cell r="D48">
            <v>18.788</v>
          </cell>
          <cell r="E48">
            <v>29.079000000000001</v>
          </cell>
          <cell r="F48">
            <v>24.257000000000001</v>
          </cell>
          <cell r="G48">
            <v>1</v>
          </cell>
          <cell r="H48">
            <v>40</v>
          </cell>
          <cell r="I48" t="str">
            <v>НЕДОГРУЗ / матрица</v>
          </cell>
          <cell r="K48">
            <v>33.121000000000002</v>
          </cell>
          <cell r="L48">
            <v>-4.0420000000000016</v>
          </cell>
          <cell r="M48">
            <v>29.079000000000001</v>
          </cell>
          <cell r="Q48">
            <v>34.781200000000013</v>
          </cell>
          <cell r="S48">
            <v>5.8158000000000003</v>
          </cell>
          <cell r="T48">
            <v>10.751399999999993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B49" t="str">
            <v>шт</v>
          </cell>
          <cell r="C49">
            <v>508</v>
          </cell>
          <cell r="D49">
            <v>351</v>
          </cell>
          <cell r="E49">
            <v>644</v>
          </cell>
          <cell r="F49">
            <v>-55</v>
          </cell>
          <cell r="G49">
            <v>0.35</v>
          </cell>
          <cell r="H49">
            <v>40</v>
          </cell>
          <cell r="I49" t="str">
            <v>НЕДОГРУЗ / матрица</v>
          </cell>
          <cell r="K49">
            <v>886</v>
          </cell>
          <cell r="L49">
            <v>-242</v>
          </cell>
          <cell r="M49">
            <v>494</v>
          </cell>
          <cell r="N49">
            <v>150</v>
          </cell>
          <cell r="O49">
            <v>158.80799999999991</v>
          </cell>
          <cell r="P49">
            <v>-162</v>
          </cell>
          <cell r="Q49">
            <v>200</v>
          </cell>
          <cell r="S49">
            <v>98.8</v>
          </cell>
          <cell r="T49">
            <v>200</v>
          </cell>
          <cell r="U49" t="str">
            <v xml:space="preserve">1500 нужно в сеть ютл </v>
          </cell>
        </row>
        <row r="50">
          <cell r="A50" t="str">
            <v xml:space="preserve"> 309  Сосиски Сочинки с сыром 0,4 кг ТМ Стародворье  ПОКОМ</v>
          </cell>
          <cell r="B50" t="str">
            <v>шт</v>
          </cell>
          <cell r="C50">
            <v>61</v>
          </cell>
          <cell r="D50">
            <v>511</v>
          </cell>
          <cell r="E50">
            <v>154</v>
          </cell>
          <cell r="F50">
            <v>222</v>
          </cell>
          <cell r="G50">
            <v>0.4</v>
          </cell>
          <cell r="H50">
            <v>40</v>
          </cell>
          <cell r="I50" t="str">
            <v>НЕДОГРУЗ / матрица</v>
          </cell>
          <cell r="K50">
            <v>640</v>
          </cell>
          <cell r="L50">
            <v>-486</v>
          </cell>
          <cell r="M50">
            <v>154</v>
          </cell>
          <cell r="O50">
            <v>100</v>
          </cell>
          <cell r="Q50">
            <v>150</v>
          </cell>
          <cell r="S50">
            <v>30.8</v>
          </cell>
          <cell r="T50">
            <v>50</v>
          </cell>
        </row>
        <row r="51">
          <cell r="A51" t="str">
            <v xml:space="preserve"> 312  Ветчина Филейская ВЕС ТМ  Вязанка ТС Столичная  ПОКОМ</v>
          </cell>
          <cell r="B51" t="str">
            <v>кг</v>
          </cell>
          <cell r="C51">
            <v>71.088999999999999</v>
          </cell>
          <cell r="D51">
            <v>229.054</v>
          </cell>
          <cell r="E51">
            <v>87.635999999999996</v>
          </cell>
          <cell r="F51">
            <v>19.741</v>
          </cell>
          <cell r="G51">
            <v>1</v>
          </cell>
          <cell r="H51">
            <v>50</v>
          </cell>
          <cell r="I51" t="str">
            <v>матрица</v>
          </cell>
          <cell r="K51">
            <v>260.08999999999997</v>
          </cell>
          <cell r="L51">
            <v>-172.45399999999998</v>
          </cell>
          <cell r="M51">
            <v>-53.712999999999994</v>
          </cell>
          <cell r="N51">
            <v>141.34899999999999</v>
          </cell>
          <cell r="Q51">
            <v>54.571199999999983</v>
          </cell>
          <cell r="S51">
            <v>-10.742599999999999</v>
          </cell>
          <cell r="T51">
            <v>60</v>
          </cell>
        </row>
        <row r="52">
          <cell r="A52" t="str">
            <v xml:space="preserve"> 315  Колбаса вареная Молокуша ТМ Вязанка ВЕС, ПОКОМ</v>
          </cell>
          <cell r="B52" t="str">
            <v>кг</v>
          </cell>
          <cell r="C52">
            <v>909.63800000000003</v>
          </cell>
          <cell r="D52">
            <v>1210.748</v>
          </cell>
          <cell r="E52">
            <v>841.53599999999994</v>
          </cell>
          <cell r="F52">
            <v>386.55599999999998</v>
          </cell>
          <cell r="G52">
            <v>1</v>
          </cell>
          <cell r="H52">
            <v>50</v>
          </cell>
          <cell r="I52" t="str">
            <v>матрица</v>
          </cell>
          <cell r="K52">
            <v>1224.2149999999999</v>
          </cell>
          <cell r="L52">
            <v>-382.67899999999997</v>
          </cell>
          <cell r="M52">
            <v>517.01900000000001</v>
          </cell>
          <cell r="N52">
            <v>324.517</v>
          </cell>
          <cell r="Q52">
            <v>414.87601488000001</v>
          </cell>
          <cell r="R52">
            <v>515.33926512000005</v>
          </cell>
          <cell r="S52">
            <v>103.4038</v>
          </cell>
        </row>
        <row r="53">
          <cell r="A53" t="str">
            <v xml:space="preserve"> 318  Сосиски Датские ТМ Зареченские, ВЕС  ПОКОМ</v>
          </cell>
          <cell r="B53" t="str">
            <v>кг</v>
          </cell>
          <cell r="G53">
            <v>0</v>
          </cell>
          <cell r="I53" t="str">
            <v>матрица</v>
          </cell>
          <cell r="L53">
            <v>0</v>
          </cell>
          <cell r="M53">
            <v>0</v>
          </cell>
          <cell r="Q53">
            <v>0</v>
          </cell>
          <cell r="S53">
            <v>0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B54" t="str">
            <v>шт</v>
          </cell>
          <cell r="C54">
            <v>366</v>
          </cell>
          <cell r="D54">
            <v>644</v>
          </cell>
          <cell r="E54">
            <v>496</v>
          </cell>
          <cell r="F54">
            <v>335</v>
          </cell>
          <cell r="G54">
            <v>0.45</v>
          </cell>
          <cell r="H54">
            <v>50</v>
          </cell>
          <cell r="I54" t="str">
            <v>матрица</v>
          </cell>
          <cell r="K54">
            <v>627</v>
          </cell>
          <cell r="L54">
            <v>-131</v>
          </cell>
          <cell r="M54">
            <v>346</v>
          </cell>
          <cell r="N54">
            <v>150</v>
          </cell>
          <cell r="O54">
            <v>124.983456</v>
          </cell>
          <cell r="Q54">
            <v>180.29425119999991</v>
          </cell>
          <cell r="R54">
            <v>223.9529488</v>
          </cell>
          <cell r="S54">
            <v>69.2</v>
          </cell>
        </row>
        <row r="55">
          <cell r="A55" t="str">
            <v xml:space="preserve"> 322  Колбаса вареная Молокуша 0,45кг ТМ Вязанка  ПОКОМ</v>
          </cell>
          <cell r="B55" t="str">
            <v>шт</v>
          </cell>
          <cell r="C55">
            <v>677</v>
          </cell>
          <cell r="D55">
            <v>675</v>
          </cell>
          <cell r="E55">
            <v>694</v>
          </cell>
          <cell r="F55">
            <v>691</v>
          </cell>
          <cell r="G55">
            <v>0.45</v>
          </cell>
          <cell r="H55">
            <v>50</v>
          </cell>
          <cell r="I55" t="str">
            <v>матрица</v>
          </cell>
          <cell r="K55">
            <v>641</v>
          </cell>
          <cell r="L55">
            <v>53</v>
          </cell>
          <cell r="M55">
            <v>694</v>
          </cell>
          <cell r="O55">
            <v>166.32128239999989</v>
          </cell>
          <cell r="Q55">
            <v>295.51575548</v>
          </cell>
          <cell r="R55">
            <v>367.07562452000008</v>
          </cell>
          <cell r="S55">
            <v>138.80000000000001</v>
          </cell>
          <cell r="T55">
            <v>145.68733760000021</v>
          </cell>
        </row>
        <row r="56">
          <cell r="A56" t="str">
            <v xml:space="preserve"> 328  Сардельки Сочинки Стародворье ТМ  0,4 кг ПОКОМ</v>
          </cell>
          <cell r="B56" t="str">
            <v>шт</v>
          </cell>
          <cell r="G56">
            <v>0</v>
          </cell>
          <cell r="I56" t="str">
            <v>матрица</v>
          </cell>
          <cell r="L56">
            <v>0</v>
          </cell>
          <cell r="M56">
            <v>0</v>
          </cell>
          <cell r="Q56">
            <v>0</v>
          </cell>
          <cell r="S56">
            <v>0</v>
          </cell>
        </row>
        <row r="57">
          <cell r="A57" t="str">
            <v xml:space="preserve"> 329  Сардельки Сочинки с сыром Стародворье ТМ, 0,4 кг. ПОКОМ</v>
          </cell>
          <cell r="B57" t="str">
            <v>шт</v>
          </cell>
          <cell r="D57">
            <v>50</v>
          </cell>
          <cell r="E57">
            <v>12</v>
          </cell>
          <cell r="F57">
            <v>19</v>
          </cell>
          <cell r="G57">
            <v>0.4</v>
          </cell>
          <cell r="H57">
            <v>40</v>
          </cell>
          <cell r="I57" t="str">
            <v>НЕДОГРУЗ / матрица</v>
          </cell>
          <cell r="K57">
            <v>30</v>
          </cell>
          <cell r="L57">
            <v>-18</v>
          </cell>
          <cell r="M57">
            <v>12</v>
          </cell>
          <cell r="Q57">
            <v>10</v>
          </cell>
          <cell r="S57">
            <v>2.4</v>
          </cell>
          <cell r="T57">
            <v>10</v>
          </cell>
        </row>
        <row r="58">
          <cell r="A58" t="str">
            <v xml:space="preserve"> 330  Колбаса вареная Филейская ТМ Вязанка ТС Классическая ВЕС  ПОКОМ</v>
          </cell>
          <cell r="B58" t="str">
            <v>кг</v>
          </cell>
          <cell r="C58">
            <v>237.38200000000001</v>
          </cell>
          <cell r="D58">
            <v>761.19600000000003</v>
          </cell>
          <cell r="E58">
            <v>397.166</v>
          </cell>
          <cell r="F58">
            <v>313.839</v>
          </cell>
          <cell r="G58">
            <v>1</v>
          </cell>
          <cell r="H58">
            <v>50</v>
          </cell>
          <cell r="I58" t="str">
            <v>матрица</v>
          </cell>
          <cell r="K58">
            <v>623.72699999999998</v>
          </cell>
          <cell r="L58">
            <v>-226.56099999999998</v>
          </cell>
          <cell r="M58">
            <v>290.13900000000001</v>
          </cell>
          <cell r="N58">
            <v>107.027</v>
          </cell>
          <cell r="O58">
            <v>231.74273485791991</v>
          </cell>
          <cell r="Q58">
            <v>0</v>
          </cell>
          <cell r="S58">
            <v>58.027799999999999</v>
          </cell>
          <cell r="T58">
            <v>150.75186514208002</v>
          </cell>
        </row>
        <row r="59">
          <cell r="A59" t="str">
            <v xml:space="preserve"> 334  Паштет Любительский ТМ Стародворье ламистер 0,1 кг  ПОКОМ</v>
          </cell>
          <cell r="B59" t="str">
            <v>шт</v>
          </cell>
          <cell r="C59">
            <v>104</v>
          </cell>
          <cell r="D59">
            <v>232</v>
          </cell>
          <cell r="E59">
            <v>136</v>
          </cell>
          <cell r="F59">
            <v>160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175</v>
          </cell>
          <cell r="L59">
            <v>-39</v>
          </cell>
          <cell r="M59">
            <v>136</v>
          </cell>
          <cell r="Q59">
            <v>77.600000000000023</v>
          </cell>
          <cell r="S59">
            <v>27.2</v>
          </cell>
          <cell r="T59">
            <v>88.799999999999955</v>
          </cell>
        </row>
        <row r="60">
          <cell r="A60" t="str">
            <v xml:space="preserve"> 335  Колбаса Сливушка ТМ Вязанка. ВЕС.  ПОКОМ </v>
          </cell>
          <cell r="B60" t="str">
            <v>кг</v>
          </cell>
          <cell r="C60">
            <v>491.87299999999999</v>
          </cell>
          <cell r="D60">
            <v>782.45100000000002</v>
          </cell>
          <cell r="E60">
            <v>492.62299999999999</v>
          </cell>
          <cell r="F60">
            <v>426.03100000000001</v>
          </cell>
          <cell r="G60">
            <v>1</v>
          </cell>
          <cell r="H60">
            <v>50</v>
          </cell>
          <cell r="I60" t="str">
            <v>матрица</v>
          </cell>
          <cell r="K60">
            <v>654.69799999999998</v>
          </cell>
          <cell r="L60">
            <v>-162.07499999999999</v>
          </cell>
          <cell r="M60">
            <v>364.81599999999997</v>
          </cell>
          <cell r="N60">
            <v>127.807</v>
          </cell>
          <cell r="Q60">
            <v>133.80848404799971</v>
          </cell>
          <cell r="S60">
            <v>72.963200000000001</v>
          </cell>
          <cell r="T60">
            <v>315.71891595200026</v>
          </cell>
        </row>
        <row r="61">
          <cell r="A61" t="str">
            <v xml:space="preserve"> 336  Ветчина Сливушка с индейкой ТМ Вязанка. ВЕС  ПОКОМ</v>
          </cell>
          <cell r="B61" t="str">
            <v>кг</v>
          </cell>
          <cell r="C61">
            <v>48.067999999999998</v>
          </cell>
          <cell r="D61">
            <v>53.972999999999999</v>
          </cell>
          <cell r="E61">
            <v>24.356999999999999</v>
          </cell>
          <cell r="F61">
            <v>77.317999999999998</v>
          </cell>
          <cell r="G61">
            <v>1</v>
          </cell>
          <cell r="H61">
            <v>55</v>
          </cell>
          <cell r="I61" t="str">
            <v>матрица</v>
          </cell>
          <cell r="K61">
            <v>22.2</v>
          </cell>
          <cell r="L61">
            <v>2.157</v>
          </cell>
          <cell r="M61">
            <v>24.356999999999999</v>
          </cell>
          <cell r="Q61">
            <v>0</v>
          </cell>
          <cell r="S61">
            <v>4.8713999999999995</v>
          </cell>
        </row>
        <row r="62">
          <cell r="A62" t="str">
            <v xml:space="preserve"> 338  Паштет печеночный с морковью ТМ Стародворье ламистер 0,1 кг.  ПОКОМ</v>
          </cell>
          <cell r="B62" t="str">
            <v>шт</v>
          </cell>
          <cell r="C62">
            <v>105</v>
          </cell>
          <cell r="D62">
            <v>147</v>
          </cell>
          <cell r="E62">
            <v>118</v>
          </cell>
          <cell r="F62">
            <v>119</v>
          </cell>
          <cell r="G62">
            <v>0.1</v>
          </cell>
          <cell r="H62">
            <v>731</v>
          </cell>
          <cell r="I62" t="str">
            <v>матрица</v>
          </cell>
          <cell r="K62">
            <v>132</v>
          </cell>
          <cell r="L62">
            <v>-14</v>
          </cell>
          <cell r="M62">
            <v>118</v>
          </cell>
          <cell r="Q62">
            <v>100.2</v>
          </cell>
          <cell r="S62">
            <v>23.6</v>
          </cell>
          <cell r="T62">
            <v>64.000000000000057</v>
          </cell>
        </row>
        <row r="63">
          <cell r="A63" t="str">
            <v xml:space="preserve"> 339  Колбаса вареная Филейская ТМ Вязанка ТС Классическая, 0,40 кг.  ПОКОМ</v>
          </cell>
          <cell r="B63" t="str">
            <v>шт</v>
          </cell>
          <cell r="C63">
            <v>18</v>
          </cell>
          <cell r="D63">
            <v>10</v>
          </cell>
          <cell r="E63">
            <v>1</v>
          </cell>
          <cell r="F63">
            <v>27</v>
          </cell>
          <cell r="G63">
            <v>0.4</v>
          </cell>
          <cell r="H63">
            <v>50</v>
          </cell>
          <cell r="I63" t="str">
            <v>матрица</v>
          </cell>
          <cell r="K63">
            <v>3</v>
          </cell>
          <cell r="L63">
            <v>-2</v>
          </cell>
          <cell r="M63">
            <v>1</v>
          </cell>
          <cell r="Q63">
            <v>0</v>
          </cell>
          <cell r="S63">
            <v>0.2</v>
          </cell>
        </row>
        <row r="64">
          <cell r="A64" t="str">
            <v xml:space="preserve"> 340  Сосиски Сочинки Молочные ТМ Стародворье, ВЕС ПОКОМ</v>
          </cell>
          <cell r="B64" t="str">
            <v>кг</v>
          </cell>
          <cell r="C64">
            <v>-26.584</v>
          </cell>
          <cell r="D64">
            <v>296.51600000000002</v>
          </cell>
          <cell r="E64">
            <v>9.8889999999999993</v>
          </cell>
          <cell r="F64">
            <v>71.605000000000004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168.8</v>
          </cell>
          <cell r="L64">
            <v>-158.911</v>
          </cell>
          <cell r="M64">
            <v>9.8889999999999993</v>
          </cell>
          <cell r="Q64">
            <v>0</v>
          </cell>
          <cell r="S64">
            <v>1.9777999999999998</v>
          </cell>
          <cell r="T64">
            <v>50</v>
          </cell>
        </row>
        <row r="65">
          <cell r="A65" t="str">
            <v xml:space="preserve"> 341 Сосиски Сочинки Сливочные ТМ Стародворье ВЕС ПОКОМ</v>
          </cell>
          <cell r="B65" t="str">
            <v>кг</v>
          </cell>
          <cell r="C65">
            <v>-40.819000000000003</v>
          </cell>
          <cell r="D65">
            <v>261.31700000000001</v>
          </cell>
          <cell r="E65">
            <v>98.992000000000004</v>
          </cell>
          <cell r="F65">
            <v>-53.939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233.49700000000001</v>
          </cell>
          <cell r="L65">
            <v>-134.505</v>
          </cell>
          <cell r="M65">
            <v>98.992000000000004</v>
          </cell>
          <cell r="Q65">
            <v>50</v>
          </cell>
          <cell r="S65">
            <v>19.798400000000001</v>
          </cell>
          <cell r="T65">
            <v>60</v>
          </cell>
        </row>
        <row r="66">
          <cell r="A66" t="str">
            <v xml:space="preserve"> 342 Сосиски Сочинки Молочные ТМ Стародворье 0,4 кг ПОКОМ</v>
          </cell>
          <cell r="B66" t="str">
            <v>шт</v>
          </cell>
          <cell r="C66">
            <v>878</v>
          </cell>
          <cell r="D66">
            <v>1011</v>
          </cell>
          <cell r="E66">
            <v>940</v>
          </cell>
          <cell r="F66">
            <v>124</v>
          </cell>
          <cell r="G66">
            <v>0.4</v>
          </cell>
          <cell r="H66">
            <v>40</v>
          </cell>
          <cell r="I66" t="str">
            <v>матрица</v>
          </cell>
          <cell r="K66">
            <v>1435</v>
          </cell>
          <cell r="L66">
            <v>-495</v>
          </cell>
          <cell r="M66">
            <v>820</v>
          </cell>
          <cell r="N66">
            <v>120</v>
          </cell>
          <cell r="Q66">
            <v>551.05975999999987</v>
          </cell>
          <cell r="R66">
            <v>684.50024000000008</v>
          </cell>
          <cell r="S66">
            <v>164</v>
          </cell>
          <cell r="T66">
            <v>608.44000000000005</v>
          </cell>
        </row>
        <row r="67">
          <cell r="A67" t="str">
            <v xml:space="preserve"> 343 Сосиски Сочинки Сливочные ТМ Стародворье  0,4 кг ПОКОМ</v>
          </cell>
          <cell r="B67" t="str">
            <v>шт</v>
          </cell>
          <cell r="C67">
            <v>79</v>
          </cell>
          <cell r="D67">
            <v>315</v>
          </cell>
          <cell r="E67">
            <v>193</v>
          </cell>
          <cell r="G67">
            <v>0.4</v>
          </cell>
          <cell r="H67">
            <v>40</v>
          </cell>
          <cell r="I67" t="str">
            <v>НЕДОГРУЗ / матрица</v>
          </cell>
          <cell r="K67">
            <v>667</v>
          </cell>
          <cell r="L67">
            <v>-474</v>
          </cell>
          <cell r="M67">
            <v>133</v>
          </cell>
          <cell r="N67">
            <v>60</v>
          </cell>
          <cell r="O67">
            <v>50</v>
          </cell>
          <cell r="Q67">
            <v>187.4</v>
          </cell>
          <cell r="S67">
            <v>26.6</v>
          </cell>
          <cell r="T67">
            <v>200</v>
          </cell>
        </row>
        <row r="68">
          <cell r="A68" t="str">
            <v xml:space="preserve"> 344  Колбаса Сочинка по-европейски с сочной грудинкой ТМ Стародворье, ВЕС ПОКОМ</v>
          </cell>
          <cell r="B68" t="str">
            <v>кг</v>
          </cell>
          <cell r="C68">
            <v>131.67500000000001</v>
          </cell>
          <cell r="D68">
            <v>182.43899999999999</v>
          </cell>
          <cell r="E68">
            <v>131.47399999999999</v>
          </cell>
          <cell r="F68">
            <v>90.784000000000006</v>
          </cell>
          <cell r="G68">
            <v>1</v>
          </cell>
          <cell r="H68">
            <v>40</v>
          </cell>
          <cell r="I68" t="str">
            <v>матрица</v>
          </cell>
          <cell r="K68">
            <v>130.68799999999999</v>
          </cell>
          <cell r="L68">
            <v>0.78600000000000136</v>
          </cell>
          <cell r="M68">
            <v>55.727999999999994</v>
          </cell>
          <cell r="N68">
            <v>75.745999999999995</v>
          </cell>
          <cell r="Q68">
            <v>0</v>
          </cell>
          <cell r="S68">
            <v>11.145599999999998</v>
          </cell>
          <cell r="T68">
            <v>42.963199999999958</v>
          </cell>
        </row>
        <row r="69">
          <cell r="A69" t="str">
            <v xml:space="preserve"> 345  Колбаса Сочинка по-фински с сочным окроком ТМ Стародворье ВЕС ПОКОМ</v>
          </cell>
          <cell r="B69" t="str">
            <v>кг</v>
          </cell>
          <cell r="C69">
            <v>59.363</v>
          </cell>
          <cell r="D69">
            <v>389.28</v>
          </cell>
          <cell r="E69">
            <v>48.875999999999998</v>
          </cell>
          <cell r="F69">
            <v>191.06299999999999</v>
          </cell>
          <cell r="G69">
            <v>1</v>
          </cell>
          <cell r="H69">
            <v>40</v>
          </cell>
          <cell r="I69" t="str">
            <v>матрица</v>
          </cell>
          <cell r="K69">
            <v>237.13200000000001</v>
          </cell>
          <cell r="L69">
            <v>-188.256</v>
          </cell>
          <cell r="M69">
            <v>16.555999999999997</v>
          </cell>
          <cell r="N69">
            <v>32.32</v>
          </cell>
          <cell r="Q69">
            <v>0</v>
          </cell>
          <cell r="S69">
            <v>3.3111999999999995</v>
          </cell>
        </row>
        <row r="70">
          <cell r="A70" t="str">
            <v xml:space="preserve"> 346  Колбаса Сочинка зернистая с сочной грудинкой ТМ Стародворье.ВЕС ПОКОМ</v>
          </cell>
          <cell r="B70" t="str">
            <v>кг</v>
          </cell>
          <cell r="C70">
            <v>764.34199999999998</v>
          </cell>
          <cell r="D70">
            <v>374.04199999999997</v>
          </cell>
          <cell r="E70">
            <v>525.47400000000005</v>
          </cell>
          <cell r="F70">
            <v>354.42099999999999</v>
          </cell>
          <cell r="G70">
            <v>1</v>
          </cell>
          <cell r="H70">
            <v>40</v>
          </cell>
          <cell r="I70" t="str">
            <v>матрица</v>
          </cell>
          <cell r="K70">
            <v>631.66800000000001</v>
          </cell>
          <cell r="L70">
            <v>-106.19399999999996</v>
          </cell>
          <cell r="M70">
            <v>417.27700000000004</v>
          </cell>
          <cell r="N70">
            <v>108.197</v>
          </cell>
          <cell r="Q70">
            <v>378.85399999999993</v>
          </cell>
          <cell r="S70">
            <v>83.455400000000012</v>
          </cell>
          <cell r="T70">
            <v>268.18980000000028</v>
          </cell>
        </row>
        <row r="71">
          <cell r="A71" t="str">
            <v xml:space="preserve"> 347  Колбаса Сочинка рубленая с сочным окороком ТМ Стародворье ВЕС ПОКОМ</v>
          </cell>
          <cell r="B71" t="str">
            <v>кг</v>
          </cell>
          <cell r="C71">
            <v>115.339</v>
          </cell>
          <cell r="D71">
            <v>182.22200000000001</v>
          </cell>
          <cell r="E71">
            <v>117.982</v>
          </cell>
          <cell r="F71">
            <v>-28.298999999999999</v>
          </cell>
          <cell r="G71">
            <v>1</v>
          </cell>
          <cell r="H71">
            <v>40</v>
          </cell>
          <cell r="I71" t="str">
            <v>матрица</v>
          </cell>
          <cell r="K71">
            <v>235.834</v>
          </cell>
          <cell r="L71">
            <v>-117.852</v>
          </cell>
          <cell r="M71">
            <v>85.561999999999998</v>
          </cell>
          <cell r="N71">
            <v>32.42</v>
          </cell>
          <cell r="Q71">
            <v>186.3614</v>
          </cell>
          <cell r="S71">
            <v>17.112400000000001</v>
          </cell>
          <cell r="T71">
            <v>47.286400000000008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G72">
            <v>0</v>
          </cell>
          <cell r="I72" t="str">
            <v>матрица</v>
          </cell>
          <cell r="L72">
            <v>0</v>
          </cell>
          <cell r="M72">
            <v>0</v>
          </cell>
          <cell r="Q72">
            <v>0</v>
          </cell>
          <cell r="S72">
            <v>0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709.1</v>
          </cell>
          <cell r="D73">
            <v>204.63800000000001</v>
          </cell>
          <cell r="E73">
            <v>230.79599999999999</v>
          </cell>
          <cell r="F73">
            <v>484.81400000000002</v>
          </cell>
          <cell r="G73">
            <v>1</v>
          </cell>
          <cell r="H73">
            <v>30</v>
          </cell>
          <cell r="I73" t="str">
            <v>матрица</v>
          </cell>
          <cell r="K73">
            <v>378.4</v>
          </cell>
          <cell r="L73">
            <v>-147.60399999999998</v>
          </cell>
          <cell r="M73">
            <v>230.79599999999999</v>
          </cell>
          <cell r="Q73">
            <v>0</v>
          </cell>
          <cell r="S73">
            <v>46.159199999999998</v>
          </cell>
          <cell r="T73">
            <v>69.09639999999996</v>
          </cell>
        </row>
        <row r="74">
          <cell r="A74" t="str">
            <v xml:space="preserve"> 365  Колбаса Салями Филейбургская зернистая, 0,28 кг срез ТМ Баварушка ПОКОМ</v>
          </cell>
          <cell r="B74" t="str">
            <v>шт</v>
          </cell>
          <cell r="E74">
            <v>1</v>
          </cell>
          <cell r="F74">
            <v>-1</v>
          </cell>
          <cell r="G74">
            <v>0</v>
          </cell>
          <cell r="I74" t="str">
            <v>не в матрице</v>
          </cell>
          <cell r="K74">
            <v>1</v>
          </cell>
          <cell r="L74">
            <v>0</v>
          </cell>
          <cell r="M74">
            <v>1</v>
          </cell>
          <cell r="Q74">
            <v>0</v>
          </cell>
          <cell r="S74">
            <v>0.2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B75" t="str">
            <v>шт</v>
          </cell>
          <cell r="C75">
            <v>1155</v>
          </cell>
          <cell r="D75">
            <v>212</v>
          </cell>
          <cell r="E75">
            <v>639</v>
          </cell>
          <cell r="F75">
            <v>482</v>
          </cell>
          <cell r="G75">
            <v>0.6</v>
          </cell>
          <cell r="H75">
            <v>60</v>
          </cell>
          <cell r="I75" t="str">
            <v>матрица</v>
          </cell>
          <cell r="K75">
            <v>739</v>
          </cell>
          <cell r="L75">
            <v>-100</v>
          </cell>
          <cell r="M75">
            <v>639</v>
          </cell>
          <cell r="Q75">
            <v>317.08816000000002</v>
          </cell>
          <cell r="R75">
            <v>393.87184000000008</v>
          </cell>
          <cell r="S75">
            <v>127.8</v>
          </cell>
          <cell r="T75">
            <v>340.63999999999987</v>
          </cell>
        </row>
        <row r="76">
          <cell r="A76" t="str">
            <v xml:space="preserve"> 377  Колбаса Молочная Дугушка 0,6кг ТМ Стародворье  ПОКОМ</v>
          </cell>
          <cell r="B76" t="str">
            <v>шт</v>
          </cell>
          <cell r="C76">
            <v>831</v>
          </cell>
          <cell r="D76">
            <v>520</v>
          </cell>
          <cell r="E76">
            <v>646</v>
          </cell>
          <cell r="F76">
            <v>503</v>
          </cell>
          <cell r="G76">
            <v>0.6</v>
          </cell>
          <cell r="H76">
            <v>60</v>
          </cell>
          <cell r="I76" t="str">
            <v>матрица</v>
          </cell>
          <cell r="K76">
            <v>720</v>
          </cell>
          <cell r="L76">
            <v>-74</v>
          </cell>
          <cell r="M76">
            <v>646</v>
          </cell>
          <cell r="O76">
            <v>347.88</v>
          </cell>
          <cell r="Q76">
            <v>354.23999999999972</v>
          </cell>
          <cell r="S76">
            <v>129.19999999999999</v>
          </cell>
          <cell r="T76">
            <v>345.28000000000009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B77" t="str">
            <v>шт</v>
          </cell>
          <cell r="D77">
            <v>40</v>
          </cell>
          <cell r="F77">
            <v>40</v>
          </cell>
          <cell r="G77">
            <v>0.4</v>
          </cell>
          <cell r="I77" t="str">
            <v>матрица</v>
          </cell>
          <cell r="L77">
            <v>0</v>
          </cell>
          <cell r="M77">
            <v>0</v>
          </cell>
          <cell r="Q77">
            <v>10</v>
          </cell>
          <cell r="S77">
            <v>0</v>
          </cell>
        </row>
        <row r="78">
          <cell r="A78" t="str">
            <v xml:space="preserve"> 388  Сосиски Восточные Халяль ТМ Вязанка 0,33 кг АК. ПОКОМ</v>
          </cell>
          <cell r="B78" t="str">
            <v>шт</v>
          </cell>
          <cell r="C78">
            <v>1</v>
          </cell>
          <cell r="F78">
            <v>1</v>
          </cell>
          <cell r="G78">
            <v>0</v>
          </cell>
          <cell r="I78" t="str">
            <v>матрица</v>
          </cell>
          <cell r="L78">
            <v>0</v>
          </cell>
          <cell r="M78">
            <v>0</v>
          </cell>
          <cell r="Q78">
            <v>0</v>
          </cell>
          <cell r="S78">
            <v>0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B79" t="str">
            <v>шт</v>
          </cell>
          <cell r="C79">
            <v>14</v>
          </cell>
          <cell r="D79">
            <v>66</v>
          </cell>
          <cell r="E79">
            <v>20</v>
          </cell>
          <cell r="F79">
            <v>64</v>
          </cell>
          <cell r="G79">
            <v>0.35</v>
          </cell>
          <cell r="H79">
            <v>90</v>
          </cell>
          <cell r="I79" t="str">
            <v>матрица</v>
          </cell>
          <cell r="K79">
            <v>57</v>
          </cell>
          <cell r="L79">
            <v>-37</v>
          </cell>
          <cell r="M79">
            <v>20</v>
          </cell>
          <cell r="Q79">
            <v>0</v>
          </cell>
          <cell r="S79">
            <v>4</v>
          </cell>
        </row>
        <row r="80">
          <cell r="A80" t="str">
            <v xml:space="preserve"> 395  Колбаса Докторская ГОСТ ТМ Вязанка в оболочке полиамид 0,37 кг. ПОКОМ</v>
          </cell>
          <cell r="B80" t="str">
            <v>шт</v>
          </cell>
          <cell r="C80">
            <v>88</v>
          </cell>
          <cell r="D80">
            <v>275</v>
          </cell>
          <cell r="E80">
            <v>153</v>
          </cell>
          <cell r="F80">
            <v>195</v>
          </cell>
          <cell r="G80">
            <v>0.37</v>
          </cell>
          <cell r="H80">
            <v>50</v>
          </cell>
          <cell r="I80" t="str">
            <v>матрица</v>
          </cell>
          <cell r="K80">
            <v>175</v>
          </cell>
          <cell r="L80">
            <v>-22</v>
          </cell>
          <cell r="M80">
            <v>153</v>
          </cell>
          <cell r="Q80">
            <v>85.600000000000023</v>
          </cell>
          <cell r="S80">
            <v>30.6</v>
          </cell>
          <cell r="T80">
            <v>86.600000000000023</v>
          </cell>
        </row>
        <row r="81">
          <cell r="A81" t="str">
            <v xml:space="preserve"> 397  Ветчина Дугушка ТМ Стародворье ТС Дугушка в полиамидной оболочке 0,6 кг. ПОКОМ</v>
          </cell>
          <cell r="B81" t="str">
            <v>шт</v>
          </cell>
          <cell r="C81">
            <v>722</v>
          </cell>
          <cell r="D81">
            <v>13</v>
          </cell>
          <cell r="E81">
            <v>309</v>
          </cell>
          <cell r="F81">
            <v>389</v>
          </cell>
          <cell r="G81">
            <v>0.6</v>
          </cell>
          <cell r="H81">
            <v>70</v>
          </cell>
          <cell r="I81" t="str">
            <v>ВНИМАНИЕ / матрица</v>
          </cell>
          <cell r="K81">
            <v>331</v>
          </cell>
          <cell r="L81">
            <v>-22</v>
          </cell>
          <cell r="M81">
            <v>309</v>
          </cell>
          <cell r="Q81">
            <v>127</v>
          </cell>
          <cell r="S81">
            <v>61.8</v>
          </cell>
          <cell r="T81">
            <v>163.79999999999995</v>
          </cell>
        </row>
        <row r="82">
          <cell r="A82" t="str">
            <v xml:space="preserve"> 405  Сардельки Сливушки ТМ Вязанка в оболочке айпил 0,33 кг. ПОКОМ</v>
          </cell>
          <cell r="B82" t="str">
            <v>шт</v>
          </cell>
          <cell r="C82">
            <v>84</v>
          </cell>
          <cell r="D82">
            <v>372</v>
          </cell>
          <cell r="E82">
            <v>206</v>
          </cell>
          <cell r="F82">
            <v>55</v>
          </cell>
          <cell r="G82">
            <v>0.33</v>
          </cell>
          <cell r="H82">
            <v>40</v>
          </cell>
          <cell r="I82" t="str">
            <v>матрица</v>
          </cell>
          <cell r="K82">
            <v>342</v>
          </cell>
          <cell r="L82">
            <v>-136</v>
          </cell>
          <cell r="M82">
            <v>206</v>
          </cell>
          <cell r="O82">
            <v>144.0712</v>
          </cell>
          <cell r="Q82">
            <v>156.54000000000011</v>
          </cell>
          <cell r="S82">
            <v>41.2</v>
          </cell>
          <cell r="T82">
            <v>138.7887999999999</v>
          </cell>
        </row>
        <row r="83">
          <cell r="A83" t="str">
            <v xml:space="preserve"> 408  Ветчина Сливушка с индейкой ТМ Вязанка, 0,4кг  ПОКОМ</v>
          </cell>
          <cell r="B83" t="str">
            <v>шт</v>
          </cell>
          <cell r="C83">
            <v>50</v>
          </cell>
          <cell r="D83">
            <v>114</v>
          </cell>
          <cell r="E83">
            <v>66</v>
          </cell>
          <cell r="F83">
            <v>113</v>
          </cell>
          <cell r="G83">
            <v>0.4</v>
          </cell>
          <cell r="H83">
            <v>55</v>
          </cell>
          <cell r="I83" t="str">
            <v>матрица</v>
          </cell>
          <cell r="K83">
            <v>58</v>
          </cell>
          <cell r="L83">
            <v>8</v>
          </cell>
          <cell r="M83">
            <v>66</v>
          </cell>
          <cell r="Q83">
            <v>19.19999999999996</v>
          </cell>
          <cell r="S83">
            <v>13.2</v>
          </cell>
          <cell r="T83">
            <v>26.200000000000017</v>
          </cell>
        </row>
        <row r="84">
          <cell r="A84" t="str">
            <v xml:space="preserve"> 410  Сосиски Баварские с сыром ТМ Стародворье 0,35 кг. ПОКОМ</v>
          </cell>
          <cell r="B84" t="str">
            <v>шт</v>
          </cell>
          <cell r="C84">
            <v>-8</v>
          </cell>
          <cell r="D84">
            <v>375</v>
          </cell>
          <cell r="E84">
            <v>98</v>
          </cell>
          <cell r="F84">
            <v>262</v>
          </cell>
          <cell r="G84">
            <v>0.35</v>
          </cell>
          <cell r="H84">
            <v>40</v>
          </cell>
          <cell r="I84" t="str">
            <v>НЕДОГРУЗ / матрица</v>
          </cell>
          <cell r="K84">
            <v>70</v>
          </cell>
          <cell r="L84">
            <v>28</v>
          </cell>
          <cell r="M84">
            <v>98</v>
          </cell>
          <cell r="O84">
            <v>50</v>
          </cell>
          <cell r="Q84">
            <v>0</v>
          </cell>
          <cell r="S84">
            <v>19.600000000000001</v>
          </cell>
          <cell r="T84">
            <v>50</v>
          </cell>
        </row>
        <row r="85">
          <cell r="A85" t="str">
            <v xml:space="preserve"> 412  Сосиски Баварские ТМ Стародворье 0,35 кг ПОКОМ</v>
          </cell>
          <cell r="B85" t="str">
            <v>шт</v>
          </cell>
          <cell r="C85">
            <v>-1</v>
          </cell>
          <cell r="D85">
            <v>315</v>
          </cell>
          <cell r="E85">
            <v>-3</v>
          </cell>
          <cell r="F85">
            <v>10</v>
          </cell>
          <cell r="G85">
            <v>0.35</v>
          </cell>
          <cell r="H85">
            <v>45</v>
          </cell>
          <cell r="I85" t="str">
            <v>НЕДОГРУЗ / матрица</v>
          </cell>
          <cell r="K85">
            <v>269</v>
          </cell>
          <cell r="L85">
            <v>-272</v>
          </cell>
          <cell r="M85">
            <v>-153</v>
          </cell>
          <cell r="N85">
            <v>150</v>
          </cell>
          <cell r="O85">
            <v>50</v>
          </cell>
          <cell r="Q85">
            <v>100</v>
          </cell>
          <cell r="S85">
            <v>-30.6</v>
          </cell>
          <cell r="T85">
            <v>100</v>
          </cell>
        </row>
        <row r="86">
          <cell r="A86" t="str">
            <v xml:space="preserve"> 425 Сосиски Сливочные Вязанка Сливушки Весовые П/а мгс Вязанка  Поком</v>
          </cell>
          <cell r="B86" t="str">
            <v>кг</v>
          </cell>
          <cell r="C86">
            <v>-5.4409999999999998</v>
          </cell>
          <cell r="F86">
            <v>-5.4409999999999998</v>
          </cell>
          <cell r="G86">
            <v>0</v>
          </cell>
          <cell r="I86" t="str">
            <v>не в матрице</v>
          </cell>
          <cell r="J86" t="str">
            <v xml:space="preserve"> 017  Сосиски Вязанка Сливочные, Вязанка амицел ВЕС.ПОКОМ</v>
          </cell>
          <cell r="L86">
            <v>0</v>
          </cell>
          <cell r="M86">
            <v>0</v>
          </cell>
          <cell r="Q86">
            <v>0</v>
          </cell>
          <cell r="S86">
            <v>0</v>
          </cell>
        </row>
        <row r="87">
          <cell r="A87" t="str">
            <v xml:space="preserve"> 430  Колбаса Стародворская с окороком 0,4 кг. ТМ Стародворье в оболочке полиамид  ПОКОМ</v>
          </cell>
          <cell r="B87" t="str">
            <v>шт</v>
          </cell>
          <cell r="C87">
            <v>53</v>
          </cell>
          <cell r="D87">
            <v>50</v>
          </cell>
          <cell r="E87">
            <v>2</v>
          </cell>
          <cell r="F87">
            <v>103</v>
          </cell>
          <cell r="G87">
            <v>0.4</v>
          </cell>
          <cell r="H87">
            <v>55</v>
          </cell>
          <cell r="I87" t="str">
            <v>матрица</v>
          </cell>
          <cell r="L87">
            <v>2</v>
          </cell>
          <cell r="M87">
            <v>2</v>
          </cell>
          <cell r="Q87">
            <v>0</v>
          </cell>
          <cell r="S87">
            <v>0.4</v>
          </cell>
        </row>
        <row r="88">
          <cell r="A88" t="str">
            <v xml:space="preserve"> 433 Колбаса Стародворская со шпиком  в оболочке полиамид. ТМ Стародворье ВЕС ПОКОМ</v>
          </cell>
          <cell r="B88" t="str">
            <v>кг</v>
          </cell>
          <cell r="C88">
            <v>33.728999999999999</v>
          </cell>
          <cell r="E88">
            <v>4.0910000000000002</v>
          </cell>
          <cell r="F88">
            <v>16.384</v>
          </cell>
          <cell r="G88">
            <v>1</v>
          </cell>
          <cell r="H88">
            <v>55</v>
          </cell>
          <cell r="I88" t="str">
            <v>матрица</v>
          </cell>
          <cell r="K88">
            <v>15.3</v>
          </cell>
          <cell r="L88">
            <v>-11.209</v>
          </cell>
          <cell r="M88">
            <v>4.0910000000000002</v>
          </cell>
          <cell r="Q88">
            <v>0</v>
          </cell>
          <cell r="S88">
            <v>0.81820000000000004</v>
          </cell>
        </row>
        <row r="89">
          <cell r="A89" t="str">
            <v xml:space="preserve"> 436  Колбаса Молочная стародворская с молоком, ВЕС, ТМ Стародворье  ПОКОМ</v>
          </cell>
          <cell r="B89" t="str">
            <v>кг</v>
          </cell>
          <cell r="G89">
            <v>0</v>
          </cell>
          <cell r="I89" t="str">
            <v>матрица</v>
          </cell>
          <cell r="L89">
            <v>0</v>
          </cell>
          <cell r="M89">
            <v>0</v>
          </cell>
          <cell r="Q89">
            <v>0</v>
          </cell>
          <cell r="S89">
            <v>0</v>
          </cell>
        </row>
        <row r="90">
          <cell r="A90" t="str">
            <v xml:space="preserve"> 449  Колбаса Дугушка Стародворская ВЕС ТС Дугушка ПОКОМ</v>
          </cell>
          <cell r="B90" t="str">
            <v>кг</v>
          </cell>
          <cell r="C90">
            <v>3866.12</v>
          </cell>
          <cell r="D90">
            <v>5962.2690000000002</v>
          </cell>
          <cell r="E90">
            <v>4315.1090000000004</v>
          </cell>
          <cell r="F90">
            <v>3348.8519999999999</v>
          </cell>
          <cell r="G90">
            <v>1</v>
          </cell>
          <cell r="H90">
            <v>60</v>
          </cell>
          <cell r="I90" t="str">
            <v>матрица</v>
          </cell>
          <cell r="K90">
            <v>4583.6000000000004</v>
          </cell>
          <cell r="L90">
            <v>-268.49099999999999</v>
          </cell>
          <cell r="M90">
            <v>4213.1590000000006</v>
          </cell>
          <cell r="N90">
            <v>101.95</v>
          </cell>
          <cell r="O90">
            <v>1377.1870138935999</v>
          </cell>
          <cell r="Q90">
            <v>2305.7990356897199</v>
          </cell>
          <cell r="R90">
            <v>2864.1539591302808</v>
          </cell>
          <cell r="S90">
            <v>842.63180000000011</v>
          </cell>
          <cell r="T90">
            <v>215.58959128640072</v>
          </cell>
        </row>
        <row r="91">
          <cell r="A91" t="str">
            <v xml:space="preserve"> 451 Сосиски Филейские ТМ Вязанка в оболочке целлофан 0,3 кг. ПОКОМ</v>
          </cell>
          <cell r="B91" t="str">
            <v>шт</v>
          </cell>
          <cell r="C91">
            <v>146</v>
          </cell>
          <cell r="D91">
            <v>322</v>
          </cell>
          <cell r="E91">
            <v>245</v>
          </cell>
          <cell r="F91">
            <v>197</v>
          </cell>
          <cell r="G91">
            <v>0.3</v>
          </cell>
          <cell r="H91">
            <v>40</v>
          </cell>
          <cell r="I91" t="str">
            <v>матрица</v>
          </cell>
          <cell r="K91">
            <v>271</v>
          </cell>
          <cell r="L91">
            <v>-26</v>
          </cell>
          <cell r="M91">
            <v>245</v>
          </cell>
          <cell r="O91">
            <v>208.21943999999999</v>
          </cell>
          <cell r="Q91">
            <v>0</v>
          </cell>
          <cell r="S91">
            <v>49</v>
          </cell>
          <cell r="T91">
            <v>182.78056000000004</v>
          </cell>
        </row>
        <row r="92">
          <cell r="A92" t="str">
            <v xml:space="preserve"> 452  Колбаса Со шпиком ВЕС большой батон ТМ Особый рецепт  ПОКОМ</v>
          </cell>
          <cell r="B92" t="str">
            <v>кг</v>
          </cell>
          <cell r="C92">
            <v>1501.596</v>
          </cell>
          <cell r="D92">
            <v>4179.04</v>
          </cell>
          <cell r="E92">
            <v>1786.174</v>
          </cell>
          <cell r="F92">
            <v>383.12700000000001</v>
          </cell>
          <cell r="G92">
            <v>1</v>
          </cell>
          <cell r="H92">
            <v>60</v>
          </cell>
          <cell r="I92" t="str">
            <v>матрица</v>
          </cell>
          <cell r="K92">
            <v>3731.7339999999999</v>
          </cell>
          <cell r="L92">
            <v>-1945.56</v>
          </cell>
          <cell r="M92">
            <v>1786.174</v>
          </cell>
          <cell r="O92">
            <v>794.34634021391992</v>
          </cell>
          <cell r="Q92">
            <v>1619.6354969949839</v>
          </cell>
          <cell r="R92">
            <v>2011.834227209016</v>
          </cell>
          <cell r="S92">
            <v>357.23480000000001</v>
          </cell>
        </row>
        <row r="93">
          <cell r="A93" t="str">
            <v xml:space="preserve"> 456  Колбаса Филейная ТМ Особый рецепт ВЕС большой батон  ПОКОМ</v>
          </cell>
          <cell r="B93" t="str">
            <v>кг</v>
          </cell>
          <cell r="C93">
            <v>5155.0910000000003</v>
          </cell>
          <cell r="D93">
            <v>3786.1170000000002</v>
          </cell>
          <cell r="E93">
            <v>3167.6869999999999</v>
          </cell>
          <cell r="F93">
            <v>3242.4430000000002</v>
          </cell>
          <cell r="G93">
            <v>1</v>
          </cell>
          <cell r="H93">
            <v>60</v>
          </cell>
          <cell r="I93" t="str">
            <v>матрица</v>
          </cell>
          <cell r="K93">
            <v>4175.7219999999998</v>
          </cell>
          <cell r="L93">
            <v>-1008.0349999999999</v>
          </cell>
          <cell r="M93">
            <v>1522.6769999999999</v>
          </cell>
          <cell r="N93">
            <v>1645.01</v>
          </cell>
          <cell r="O93">
            <v>1039.1909161649589</v>
          </cell>
          <cell r="Q93">
            <v>398.05942898159287</v>
          </cell>
          <cell r="R93">
            <v>494.45050147040922</v>
          </cell>
          <cell r="S93">
            <v>304.53539999999998</v>
          </cell>
        </row>
        <row r="94">
          <cell r="A94" t="str">
            <v xml:space="preserve"> 457  Колбаса Молочная ТМ Особый рецепт ВЕС большой батон  ПОКОМ</v>
          </cell>
          <cell r="B94" t="str">
            <v>кг</v>
          </cell>
          <cell r="C94">
            <v>5918.6170000000002</v>
          </cell>
          <cell r="D94">
            <v>6028.2030000000004</v>
          </cell>
          <cell r="E94">
            <v>2740.491</v>
          </cell>
          <cell r="F94">
            <v>5512.5709999999999</v>
          </cell>
          <cell r="G94">
            <v>1</v>
          </cell>
          <cell r="H94">
            <v>60</v>
          </cell>
          <cell r="I94" t="str">
            <v>матрица</v>
          </cell>
          <cell r="K94">
            <v>6008.5770000000002</v>
          </cell>
          <cell r="L94">
            <v>-3268.0860000000002</v>
          </cell>
          <cell r="M94">
            <v>1989.252</v>
          </cell>
          <cell r="N94">
            <v>751.23900000000003</v>
          </cell>
          <cell r="O94">
            <v>1317.9080096</v>
          </cell>
          <cell r="Q94">
            <v>0</v>
          </cell>
          <cell r="S94">
            <v>397.85039999999998</v>
          </cell>
        </row>
        <row r="95">
          <cell r="A95" t="str">
            <v xml:space="preserve"> 460  Колбаса Стародворская Традиционная ВЕС ТМ Стародворье в оболочке полиамид. ПОКОМ</v>
          </cell>
          <cell r="B95" t="str">
            <v>кг</v>
          </cell>
          <cell r="C95">
            <v>76.864000000000004</v>
          </cell>
          <cell r="D95">
            <v>2.67</v>
          </cell>
          <cell r="E95">
            <v>26.853999999999999</v>
          </cell>
          <cell r="F95">
            <v>48.497999999999998</v>
          </cell>
          <cell r="G95">
            <v>1</v>
          </cell>
          <cell r="H95">
            <v>55</v>
          </cell>
          <cell r="I95" t="str">
            <v>матрица</v>
          </cell>
          <cell r="K95">
            <v>27.2</v>
          </cell>
          <cell r="L95">
            <v>-0.34600000000000009</v>
          </cell>
          <cell r="M95">
            <v>26.853999999999999</v>
          </cell>
          <cell r="Q95">
            <v>0</v>
          </cell>
          <cell r="S95">
            <v>5.3708</v>
          </cell>
          <cell r="T95">
            <v>15.951600000000006</v>
          </cell>
        </row>
        <row r="96">
          <cell r="A96" t="str">
            <v xml:space="preserve"> 463  Колбаса Молочная Традиционнаяв оболочке полиамид.ТМ Стародворье. ВЕС ПОКОМ</v>
          </cell>
          <cell r="B96" t="str">
            <v>кг</v>
          </cell>
          <cell r="C96">
            <v>-1.36</v>
          </cell>
          <cell r="F96">
            <v>-1.36</v>
          </cell>
          <cell r="G96">
            <v>0</v>
          </cell>
          <cell r="I96" t="str">
            <v>не в матрице</v>
          </cell>
          <cell r="L96">
            <v>0</v>
          </cell>
          <cell r="M96">
            <v>0</v>
          </cell>
          <cell r="Q96">
            <v>0</v>
          </cell>
          <cell r="S96">
            <v>0</v>
          </cell>
        </row>
        <row r="97">
          <cell r="A97" t="str">
            <v xml:space="preserve"> 485  Колбаса Молочная по-стародворски ТМ Стародворье в оболочке полиамид. ВЕС ПОКОМ </v>
          </cell>
          <cell r="B97" t="str">
            <v>кг</v>
          </cell>
          <cell r="C97">
            <v>-2.5960000000000001</v>
          </cell>
          <cell r="F97">
            <v>-2.5960000000000001</v>
          </cell>
          <cell r="G97">
            <v>0</v>
          </cell>
          <cell r="I97" t="str">
            <v>не в матрице</v>
          </cell>
          <cell r="L97">
            <v>0</v>
          </cell>
          <cell r="M97">
            <v>0</v>
          </cell>
          <cell r="Q97">
            <v>0</v>
          </cell>
          <cell r="S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-3</v>
          </cell>
          <cell r="D98">
            <v>2</v>
          </cell>
          <cell r="F98">
            <v>-3</v>
          </cell>
          <cell r="G98">
            <v>0.3</v>
          </cell>
          <cell r="H98">
            <v>40</v>
          </cell>
          <cell r="I98" t="str">
            <v>НЕДОГРУЗ / матрица</v>
          </cell>
          <cell r="K98">
            <v>182</v>
          </cell>
          <cell r="L98">
            <v>-182</v>
          </cell>
          <cell r="M98">
            <v>0</v>
          </cell>
          <cell r="Q98">
            <v>50</v>
          </cell>
          <cell r="S98">
            <v>0</v>
          </cell>
          <cell r="T98">
            <v>50</v>
          </cell>
        </row>
        <row r="99">
          <cell r="A99" t="str">
            <v xml:space="preserve"> 517  Сосиски С сыром ТМ Ядрена копоть 0,3кг  ПОКОМ</v>
          </cell>
          <cell r="B99" t="str">
            <v>шт</v>
          </cell>
          <cell r="C99">
            <v>56</v>
          </cell>
          <cell r="D99">
            <v>156</v>
          </cell>
          <cell r="E99">
            <v>39</v>
          </cell>
          <cell r="F99">
            <v>169</v>
          </cell>
          <cell r="G99">
            <v>0.3</v>
          </cell>
          <cell r="H99">
            <v>40</v>
          </cell>
          <cell r="I99" t="str">
            <v>матрица</v>
          </cell>
          <cell r="K99">
            <v>41</v>
          </cell>
          <cell r="L99">
            <v>-2</v>
          </cell>
          <cell r="M99">
            <v>39</v>
          </cell>
          <cell r="Q99">
            <v>0</v>
          </cell>
          <cell r="S99">
            <v>7.8</v>
          </cell>
        </row>
        <row r="100">
          <cell r="A100" t="str">
            <v xml:space="preserve"> 523  Колбаса Сальчичон нарезка 0,07кг ТМ Стародворье  ПОКОМ </v>
          </cell>
          <cell r="B100" t="str">
            <v>шт</v>
          </cell>
          <cell r="C100">
            <v>505</v>
          </cell>
          <cell r="D100">
            <v>23</v>
          </cell>
          <cell r="E100">
            <v>127</v>
          </cell>
          <cell r="F100">
            <v>327</v>
          </cell>
          <cell r="G100">
            <v>7.0000000000000007E-2</v>
          </cell>
          <cell r="H100">
            <v>90</v>
          </cell>
          <cell r="I100" t="str">
            <v>матрица</v>
          </cell>
          <cell r="K100">
            <v>189</v>
          </cell>
          <cell r="L100">
            <v>-62</v>
          </cell>
          <cell r="M100">
            <v>127</v>
          </cell>
          <cell r="Q100">
            <v>0</v>
          </cell>
          <cell r="S100">
            <v>25.4</v>
          </cell>
          <cell r="U100" t="str">
            <v xml:space="preserve">400 сеть молоко 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B101" t="str">
            <v>шт</v>
          </cell>
          <cell r="C101">
            <v>428</v>
          </cell>
          <cell r="D101">
            <v>22</v>
          </cell>
          <cell r="E101">
            <v>138</v>
          </cell>
          <cell r="F101">
            <v>248</v>
          </cell>
          <cell r="G101">
            <v>7.0000000000000007E-2</v>
          </cell>
          <cell r="H101">
            <v>90</v>
          </cell>
          <cell r="I101" t="str">
            <v>матрица</v>
          </cell>
          <cell r="K101">
            <v>192</v>
          </cell>
          <cell r="L101">
            <v>-54</v>
          </cell>
          <cell r="M101">
            <v>138</v>
          </cell>
          <cell r="Q101">
            <v>0</v>
          </cell>
          <cell r="S101">
            <v>27.6</v>
          </cell>
          <cell r="T101">
            <v>83.200000000000045</v>
          </cell>
          <cell r="U101" t="str">
            <v xml:space="preserve">500 сеть молоко </v>
          </cell>
        </row>
        <row r="102">
          <cell r="A102" t="str">
            <v xml:space="preserve"> 525  Колбаса Фуэт нарезка 0,07кг ТМ Стародворье  ПОКОМ</v>
          </cell>
          <cell r="B102" t="str">
            <v>шт</v>
          </cell>
          <cell r="C102">
            <v>438</v>
          </cell>
          <cell r="D102">
            <v>10</v>
          </cell>
          <cell r="E102">
            <v>93</v>
          </cell>
          <cell r="F102">
            <v>304</v>
          </cell>
          <cell r="G102">
            <v>7.0000000000000007E-2</v>
          </cell>
          <cell r="H102">
            <v>90</v>
          </cell>
          <cell r="I102" t="str">
            <v>матрица</v>
          </cell>
          <cell r="K102">
            <v>137</v>
          </cell>
          <cell r="L102">
            <v>-44</v>
          </cell>
          <cell r="M102">
            <v>93</v>
          </cell>
          <cell r="Q102">
            <v>0</v>
          </cell>
          <cell r="S102">
            <v>18.600000000000001</v>
          </cell>
          <cell r="U102" t="str">
            <v xml:space="preserve">400 сеть молоко 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B103" t="str">
            <v>шт</v>
          </cell>
          <cell r="C103">
            <v>4</v>
          </cell>
          <cell r="E103">
            <v>-3</v>
          </cell>
          <cell r="F103">
            <v>-11</v>
          </cell>
          <cell r="G103">
            <v>0</v>
          </cell>
          <cell r="H103">
            <v>90</v>
          </cell>
          <cell r="I103" t="str">
            <v>не в матрице</v>
          </cell>
          <cell r="K103">
            <v>107</v>
          </cell>
          <cell r="L103">
            <v>-110</v>
          </cell>
          <cell r="M103">
            <v>-3</v>
          </cell>
          <cell r="Q103">
            <v>0</v>
          </cell>
          <cell r="S103">
            <v>-0.6</v>
          </cell>
        </row>
        <row r="104">
          <cell r="A104" t="str">
            <v xml:space="preserve"> 544  Сосиски Мясные для гриля ТС Ядрена копоть 0,3 кг  ПОКОМ</v>
          </cell>
          <cell r="B104" t="str">
            <v>шт</v>
          </cell>
          <cell r="C104">
            <v>31</v>
          </cell>
          <cell r="D104">
            <v>3</v>
          </cell>
          <cell r="E104">
            <v>19</v>
          </cell>
          <cell r="F104">
            <v>14</v>
          </cell>
          <cell r="G104">
            <v>0.3</v>
          </cell>
          <cell r="H104">
            <v>40</v>
          </cell>
          <cell r="I104" t="str">
            <v>матрица</v>
          </cell>
          <cell r="K104">
            <v>44</v>
          </cell>
          <cell r="L104">
            <v>-25</v>
          </cell>
          <cell r="M104">
            <v>19</v>
          </cell>
          <cell r="Q104">
            <v>20</v>
          </cell>
          <cell r="S104">
            <v>3.8</v>
          </cell>
          <cell r="T104">
            <v>11.599999999999994</v>
          </cell>
        </row>
        <row r="105">
          <cell r="A105" t="str">
            <v xml:space="preserve"> 547  Колбаса Мясная Классическая ТМ Вязанка в оболочке полиамид. ВЕС  ПОКОМ</v>
          </cell>
          <cell r="B105" t="str">
            <v>кг</v>
          </cell>
          <cell r="C105">
            <v>30.44</v>
          </cell>
          <cell r="D105">
            <v>1.59</v>
          </cell>
          <cell r="E105">
            <v>12.779</v>
          </cell>
          <cell r="F105">
            <v>18.382000000000001</v>
          </cell>
          <cell r="G105">
            <v>1</v>
          </cell>
          <cell r="H105">
            <v>55</v>
          </cell>
          <cell r="I105" t="str">
            <v>матрица</v>
          </cell>
          <cell r="K105">
            <v>9.1999999999999993</v>
          </cell>
          <cell r="L105">
            <v>3.5790000000000006</v>
          </cell>
          <cell r="M105">
            <v>12.779</v>
          </cell>
          <cell r="Q105">
            <v>0</v>
          </cell>
          <cell r="S105">
            <v>2.5558000000000001</v>
          </cell>
          <cell r="T105">
            <v>12.287600000000001</v>
          </cell>
        </row>
        <row r="106">
          <cell r="A106" t="str">
            <v xml:space="preserve"> 551  Колбаса Сливушка ТМ Вязанка в модифицированной газовой среде 0,11 кг нарезка  ПОКОМ</v>
          </cell>
          <cell r="B106" t="str">
            <v>шт</v>
          </cell>
          <cell r="C106">
            <v>245</v>
          </cell>
          <cell r="D106">
            <v>21</v>
          </cell>
          <cell r="E106">
            <v>93</v>
          </cell>
          <cell r="F106">
            <v>123</v>
          </cell>
          <cell r="G106">
            <v>0.11</v>
          </cell>
          <cell r="H106">
            <v>30</v>
          </cell>
          <cell r="I106" t="str">
            <v>матрица</v>
          </cell>
          <cell r="K106">
            <v>142</v>
          </cell>
          <cell r="L106">
            <v>-49</v>
          </cell>
          <cell r="M106">
            <v>93</v>
          </cell>
          <cell r="Q106">
            <v>22.600000000000019</v>
          </cell>
          <cell r="S106">
            <v>18.600000000000001</v>
          </cell>
          <cell r="T106">
            <v>77.599999999999994</v>
          </cell>
          <cell r="U106" t="str">
            <v xml:space="preserve">500 сеть молоко </v>
          </cell>
        </row>
        <row r="107">
          <cell r="A107" t="str">
            <v xml:space="preserve"> 552  Ветчина Сливушка с индейкой ТМ Вязанка в модифицированной газовой среде 0,1 кг нарезка  ПОКОМ</v>
          </cell>
          <cell r="B107" t="str">
            <v>шт</v>
          </cell>
          <cell r="G107">
            <v>0</v>
          </cell>
          <cell r="I107" t="str">
            <v>матрица</v>
          </cell>
          <cell r="L107">
            <v>0</v>
          </cell>
          <cell r="M107">
            <v>0</v>
          </cell>
          <cell r="Q107">
            <v>0</v>
          </cell>
          <cell r="S107">
            <v>0</v>
          </cell>
        </row>
        <row r="108">
          <cell r="A108" t="str">
            <v xml:space="preserve"> 553  Ассорти колбас Мясорубская коллекция: Сервелат Делюкс, С балыком 0,08 кг нарезка  ПОКОМ</v>
          </cell>
          <cell r="B108" t="str">
            <v>шт</v>
          </cell>
          <cell r="C108">
            <v>575</v>
          </cell>
          <cell r="D108">
            <v>270</v>
          </cell>
          <cell r="E108">
            <v>205</v>
          </cell>
          <cell r="F108">
            <v>576</v>
          </cell>
          <cell r="G108">
            <v>0.08</v>
          </cell>
          <cell r="H108">
            <v>45</v>
          </cell>
          <cell r="I108" t="str">
            <v>матрица</v>
          </cell>
          <cell r="K108">
            <v>257</v>
          </cell>
          <cell r="L108">
            <v>-52</v>
          </cell>
          <cell r="M108">
            <v>205</v>
          </cell>
          <cell r="Q108">
            <v>0</v>
          </cell>
          <cell r="S108">
            <v>41</v>
          </cell>
          <cell r="U108" t="str">
            <v xml:space="preserve">300 сеть молоко </v>
          </cell>
        </row>
        <row r="109">
          <cell r="A109" t="str">
            <v xml:space="preserve"> 554  Колбаса Сервелат Мясорубский ТМ Стародворье в упаковке скин 0,08 кг нарезка  ПОКОМ</v>
          </cell>
          <cell r="B109" t="str">
            <v>шт</v>
          </cell>
          <cell r="C109">
            <v>456</v>
          </cell>
          <cell r="D109">
            <v>57</v>
          </cell>
          <cell r="E109">
            <v>208</v>
          </cell>
          <cell r="F109">
            <v>199</v>
          </cell>
          <cell r="G109">
            <v>0.08</v>
          </cell>
          <cell r="H109">
            <v>45</v>
          </cell>
          <cell r="I109" t="str">
            <v>матрица</v>
          </cell>
          <cell r="K109">
            <v>316</v>
          </cell>
          <cell r="L109">
            <v>-108</v>
          </cell>
          <cell r="M109">
            <v>208</v>
          </cell>
          <cell r="Q109">
            <v>97.600000000000023</v>
          </cell>
          <cell r="S109">
            <v>41.6</v>
          </cell>
          <cell r="T109">
            <v>202.60000000000002</v>
          </cell>
          <cell r="U109" t="str">
            <v xml:space="preserve">600 сеть молоко </v>
          </cell>
        </row>
        <row r="110">
          <cell r="A110" t="str">
            <v xml:space="preserve"> 555  Колбаса Молокуша ТМ Вязанка в модифицированной газовой среде 0,17 кг нарезка  ПОКОМ</v>
          </cell>
          <cell r="B110" t="str">
            <v>шт</v>
          </cell>
          <cell r="C110">
            <v>135</v>
          </cell>
          <cell r="D110">
            <v>124</v>
          </cell>
          <cell r="E110">
            <v>81</v>
          </cell>
          <cell r="F110">
            <v>165</v>
          </cell>
          <cell r="G110">
            <v>0.17</v>
          </cell>
          <cell r="H110">
            <v>30</v>
          </cell>
          <cell r="I110" t="str">
            <v>матрица</v>
          </cell>
          <cell r="K110">
            <v>93</v>
          </cell>
          <cell r="L110">
            <v>-12</v>
          </cell>
          <cell r="M110">
            <v>81</v>
          </cell>
          <cell r="Q110">
            <v>0</v>
          </cell>
          <cell r="S110">
            <v>16.2</v>
          </cell>
          <cell r="T110">
            <v>29.399999999999977</v>
          </cell>
          <cell r="U110" t="str">
            <v xml:space="preserve">500 сеть молоко </v>
          </cell>
        </row>
        <row r="111">
          <cell r="A111" t="str">
            <v xml:space="preserve"> 556  Колбаса Сервелат Ореховый ТМ Вязанка в оболочке фиброуз в вакуумной упаковке, ВЕС  ПОКОМ</v>
          </cell>
          <cell r="B111" t="str">
            <v>кг</v>
          </cell>
          <cell r="C111">
            <v>168.83500000000001</v>
          </cell>
          <cell r="D111">
            <v>62.28</v>
          </cell>
          <cell r="E111">
            <v>213.87100000000001</v>
          </cell>
          <cell r="F111">
            <v>-14.114000000000001</v>
          </cell>
          <cell r="G111">
            <v>1</v>
          </cell>
          <cell r="H111">
            <v>40</v>
          </cell>
          <cell r="I111" t="str">
            <v>НЕДОГРУЗ / матрица</v>
          </cell>
          <cell r="K111">
            <v>263.73399999999998</v>
          </cell>
          <cell r="L111">
            <v>-49.862999999999971</v>
          </cell>
          <cell r="M111">
            <v>213.87100000000001</v>
          </cell>
          <cell r="O111">
            <v>110.25716</v>
          </cell>
          <cell r="Q111">
            <v>236.92699999999999</v>
          </cell>
          <cell r="S111">
            <v>42.7742</v>
          </cell>
          <cell r="T111">
            <v>180.22023999999996</v>
          </cell>
        </row>
        <row r="112">
          <cell r="A112" t="str">
            <v xml:space="preserve"> 557  Колбаса Сервелат Финский ТМ Вязанка в оболочке фиброуз в вакуумной упаковке, ВЕС  ПОКОМ</v>
          </cell>
          <cell r="B112" t="str">
            <v>кг</v>
          </cell>
          <cell r="C112">
            <v>149.86500000000001</v>
          </cell>
          <cell r="D112">
            <v>2.8340000000000001</v>
          </cell>
          <cell r="E112">
            <v>85.805000000000007</v>
          </cell>
          <cell r="F112">
            <v>50.616999999999997</v>
          </cell>
          <cell r="G112">
            <v>1</v>
          </cell>
          <cell r="H112">
            <v>40</v>
          </cell>
          <cell r="I112" t="str">
            <v>НЕДОГРУЗ / матрица</v>
          </cell>
          <cell r="K112">
            <v>85.915000000000006</v>
          </cell>
          <cell r="L112">
            <v>-0.10999999999999943</v>
          </cell>
          <cell r="M112">
            <v>85.805000000000007</v>
          </cell>
          <cell r="Q112">
            <v>104.5</v>
          </cell>
          <cell r="S112">
            <v>17.161000000000001</v>
          </cell>
          <cell r="T112">
            <v>50.815000000000019</v>
          </cell>
        </row>
        <row r="113">
          <cell r="A113" t="str">
            <v xml:space="preserve"> 558  Колбаса Балыковая НОВАЯ ВЕС Вязанка фиброуз в/у ПОКОМ</v>
          </cell>
          <cell r="B113" t="str">
            <v>кг</v>
          </cell>
          <cell r="C113">
            <v>159.31</v>
          </cell>
          <cell r="D113">
            <v>158.161</v>
          </cell>
          <cell r="E113">
            <v>237.26599999999999</v>
          </cell>
          <cell r="F113">
            <v>2.621</v>
          </cell>
          <cell r="G113">
            <v>1</v>
          </cell>
          <cell r="H113">
            <v>40</v>
          </cell>
          <cell r="I113" t="str">
            <v>НЕДОГРУЗ / матрица</v>
          </cell>
          <cell r="K113">
            <v>290.21800000000002</v>
          </cell>
          <cell r="L113">
            <v>-52.952000000000027</v>
          </cell>
          <cell r="M113">
            <v>216.15899999999999</v>
          </cell>
          <cell r="N113">
            <v>21.106999999999999</v>
          </cell>
          <cell r="O113">
            <v>114.212592</v>
          </cell>
          <cell r="P113">
            <v>-115.5</v>
          </cell>
          <cell r="Q113">
            <v>100</v>
          </cell>
          <cell r="S113">
            <v>43.2318</v>
          </cell>
          <cell r="T113">
            <v>80</v>
          </cell>
        </row>
        <row r="114">
          <cell r="A114" t="str">
            <v xml:space="preserve"> 564  Сосиски Сочные 0,3 кг ТМ Вязанка  ПОКОМ</v>
          </cell>
          <cell r="B114" t="str">
            <v>шт</v>
          </cell>
          <cell r="C114">
            <v>53</v>
          </cell>
          <cell r="D114">
            <v>6</v>
          </cell>
          <cell r="E114">
            <v>10</v>
          </cell>
          <cell r="F114">
            <v>11</v>
          </cell>
          <cell r="G114">
            <v>0.3</v>
          </cell>
          <cell r="H114">
            <v>45</v>
          </cell>
          <cell r="I114" t="str">
            <v>матрица</v>
          </cell>
          <cell r="K114">
            <v>142</v>
          </cell>
          <cell r="L114">
            <v>-132</v>
          </cell>
          <cell r="M114">
            <v>10</v>
          </cell>
          <cell r="Q114">
            <v>0</v>
          </cell>
          <cell r="S114">
            <v>2</v>
          </cell>
          <cell r="T114">
            <v>13</v>
          </cell>
        </row>
        <row r="115">
          <cell r="A115" t="str">
            <v xml:space="preserve"> 567 Колбаса Со шпиком Стародворская ТМ Стародворье в оболочке полиамид ВЕС  ПОКОМ</v>
          </cell>
          <cell r="B115" t="str">
            <v>кг</v>
          </cell>
          <cell r="C115">
            <v>22.251000000000001</v>
          </cell>
          <cell r="D115">
            <v>14.807</v>
          </cell>
          <cell r="E115">
            <v>2.76</v>
          </cell>
          <cell r="F115">
            <v>16.754999999999999</v>
          </cell>
          <cell r="G115">
            <v>1</v>
          </cell>
          <cell r="H115">
            <v>55</v>
          </cell>
          <cell r="I115" t="str">
            <v>матрица</v>
          </cell>
          <cell r="K115">
            <v>18.899999999999999</v>
          </cell>
          <cell r="L115">
            <v>-16.14</v>
          </cell>
          <cell r="M115">
            <v>2.76</v>
          </cell>
          <cell r="Q115">
            <v>0</v>
          </cell>
          <cell r="S115">
            <v>0.55199999999999994</v>
          </cell>
        </row>
        <row r="116">
          <cell r="A116" t="str">
            <v xml:space="preserve"> 569  Колбаса Балыковая ТМ Вязанка в оболочке фиброуз в вакуумной упаковке 0,28 кг срез.  ПОКОМ</v>
          </cell>
          <cell r="B116" t="str">
            <v>шт</v>
          </cell>
          <cell r="C116">
            <v>309</v>
          </cell>
          <cell r="D116">
            <v>408</v>
          </cell>
          <cell r="E116">
            <v>383</v>
          </cell>
          <cell r="F116">
            <v>176</v>
          </cell>
          <cell r="G116">
            <v>0.28000000000000003</v>
          </cell>
          <cell r="H116">
            <v>40</v>
          </cell>
          <cell r="I116" t="str">
            <v>НЕДОГРУЗ / матрица</v>
          </cell>
          <cell r="K116">
            <v>497</v>
          </cell>
          <cell r="L116">
            <v>-114</v>
          </cell>
          <cell r="M116">
            <v>383</v>
          </cell>
          <cell r="Q116">
            <v>193.82813751085709</v>
          </cell>
          <cell r="R116">
            <v>240.76409906057151</v>
          </cell>
          <cell r="S116">
            <v>76.599999999999994</v>
          </cell>
          <cell r="T116">
            <v>308.60776342857127</v>
          </cell>
        </row>
        <row r="117">
          <cell r="A117" t="str">
            <v xml:space="preserve"> 570  Колбаса Сервелат Финский ТМ Вязанка в оболочке фиброуз в вак. упаковке 0,28 кг срез  ПОКОМ</v>
          </cell>
          <cell r="B117" t="str">
            <v>шт</v>
          </cell>
          <cell r="C117">
            <v>-15.273999999999999</v>
          </cell>
          <cell r="D117">
            <v>44</v>
          </cell>
          <cell r="E117">
            <v>114</v>
          </cell>
          <cell r="F117">
            <v>-3.274</v>
          </cell>
          <cell r="G117">
            <v>0.28000000000000003</v>
          </cell>
          <cell r="H117">
            <v>40</v>
          </cell>
          <cell r="I117" t="str">
            <v>НЕДОГРУЗ / матрица</v>
          </cell>
          <cell r="K117">
            <v>213</v>
          </cell>
          <cell r="L117">
            <v>-99</v>
          </cell>
          <cell r="M117">
            <v>114</v>
          </cell>
          <cell r="O117">
            <v>185.01599999999999</v>
          </cell>
          <cell r="P117">
            <v>-186</v>
          </cell>
          <cell r="Q117">
            <v>200</v>
          </cell>
          <cell r="S117">
            <v>22.8</v>
          </cell>
          <cell r="T117">
            <v>150</v>
          </cell>
        </row>
        <row r="118">
          <cell r="A118" t="str">
            <v xml:space="preserve"> 571  Колбаса Сервелат Ореховый ТМ Вязанка в оболочке фиброуз в вак. упаковке 0,28 кг срез  ПОКОМ</v>
          </cell>
          <cell r="B118" t="str">
            <v>шт</v>
          </cell>
          <cell r="C118">
            <v>534.5</v>
          </cell>
          <cell r="D118">
            <v>355</v>
          </cell>
          <cell r="E118">
            <v>546</v>
          </cell>
          <cell r="F118">
            <v>25.5</v>
          </cell>
          <cell r="G118">
            <v>0.28000000000000003</v>
          </cell>
          <cell r="H118">
            <v>40</v>
          </cell>
          <cell r="I118" t="str">
            <v>НЕДОГРУЗ / матрица</v>
          </cell>
          <cell r="K118">
            <v>780</v>
          </cell>
          <cell r="L118">
            <v>-234</v>
          </cell>
          <cell r="M118">
            <v>546</v>
          </cell>
          <cell r="O118">
            <v>130</v>
          </cell>
          <cell r="P118">
            <v>-132</v>
          </cell>
          <cell r="Q118">
            <v>250</v>
          </cell>
          <cell r="S118">
            <v>109.2</v>
          </cell>
          <cell r="T118">
            <v>250</v>
          </cell>
        </row>
        <row r="119">
          <cell r="A119" t="str">
            <v xml:space="preserve"> 574  Колбаса Сервелат Финский ТМ Вязанка в упаковке скин 0,09 кг нарезка  ПОКОМ</v>
          </cell>
          <cell r="B119" t="str">
            <v>шт</v>
          </cell>
          <cell r="C119">
            <v>67</v>
          </cell>
          <cell r="D119">
            <v>182</v>
          </cell>
          <cell r="E119">
            <v>101</v>
          </cell>
          <cell r="F119">
            <v>22</v>
          </cell>
          <cell r="G119">
            <v>0.09</v>
          </cell>
          <cell r="H119">
            <v>45</v>
          </cell>
          <cell r="I119" t="str">
            <v>матрица</v>
          </cell>
          <cell r="K119">
            <v>218</v>
          </cell>
          <cell r="L119">
            <v>-117</v>
          </cell>
          <cell r="M119">
            <v>101</v>
          </cell>
          <cell r="Q119">
            <v>126.18</v>
          </cell>
          <cell r="S119">
            <v>20.2</v>
          </cell>
          <cell r="T119">
            <v>94.21999999999997</v>
          </cell>
          <cell r="U119" t="str">
            <v xml:space="preserve">700 сеть молоко </v>
          </cell>
        </row>
        <row r="120">
          <cell r="A120" t="str">
            <v xml:space="preserve"> 577  Колбаса Молочная Стародворская ТМ Стародворье в оболочке полиамид НД ВЕС.  ПОКОМ</v>
          </cell>
          <cell r="B120" t="str">
            <v>кг</v>
          </cell>
          <cell r="C120">
            <v>-0.09</v>
          </cell>
          <cell r="F120">
            <v>-0.09</v>
          </cell>
          <cell r="G120">
            <v>0</v>
          </cell>
          <cell r="H120">
            <v>55</v>
          </cell>
          <cell r="I120" t="str">
            <v>не в матрице</v>
          </cell>
          <cell r="L120">
            <v>0</v>
          </cell>
          <cell r="M120">
            <v>0</v>
          </cell>
          <cell r="Q120">
            <v>0</v>
          </cell>
          <cell r="S120">
            <v>0</v>
          </cell>
        </row>
        <row r="121">
          <cell r="A121" t="str">
            <v xml:space="preserve"> 579  Колбаса Ветчинно-рубленая ТМ Особый рецепт в оболочке полиамид.ВЕС  ПОКОМ</v>
          </cell>
          <cell r="B121" t="str">
            <v>кг</v>
          </cell>
          <cell r="C121">
            <v>125.17700000000001</v>
          </cell>
          <cell r="E121">
            <v>27.283999999999999</v>
          </cell>
          <cell r="F121">
            <v>75.736000000000004</v>
          </cell>
          <cell r="G121">
            <v>1</v>
          </cell>
          <cell r="H121">
            <v>60</v>
          </cell>
          <cell r="I121" t="str">
            <v>матрица</v>
          </cell>
          <cell r="K121">
            <v>42.5</v>
          </cell>
          <cell r="L121">
            <v>-15.216000000000001</v>
          </cell>
          <cell r="M121">
            <v>27.283999999999999</v>
          </cell>
          <cell r="Q121">
            <v>0</v>
          </cell>
          <cell r="S121">
            <v>5.4567999999999994</v>
          </cell>
        </row>
        <row r="122">
          <cell r="A122" t="str">
            <v xml:space="preserve"> 580  Ветчина Нежная с индейкой ТМ Особый рецепт в оболочке полиамид.ВЕС  ПОКОМ</v>
          </cell>
          <cell r="B122" t="str">
            <v>кг</v>
          </cell>
          <cell r="C122">
            <v>41.155999999999999</v>
          </cell>
          <cell r="E122">
            <v>12.425000000000001</v>
          </cell>
          <cell r="F122">
            <v>33.710999999999999</v>
          </cell>
          <cell r="G122">
            <v>1</v>
          </cell>
          <cell r="H122">
            <v>50</v>
          </cell>
          <cell r="I122" t="str">
            <v>матрица</v>
          </cell>
          <cell r="K122">
            <v>2.5</v>
          </cell>
          <cell r="L122">
            <v>9.9250000000000007</v>
          </cell>
          <cell r="M122">
            <v>12.425000000000001</v>
          </cell>
          <cell r="Q122">
            <v>0</v>
          </cell>
          <cell r="S122">
            <v>2.4850000000000003</v>
          </cell>
        </row>
        <row r="123">
          <cell r="A123" t="str">
            <v xml:space="preserve"> 583  Колбаса Балыковая ТМ Вязанка в упаковке скин 0,09 кг нарезка  ПОКОМ</v>
          </cell>
          <cell r="B123" t="str">
            <v>шт</v>
          </cell>
          <cell r="C123">
            <v>352</v>
          </cell>
          <cell r="D123">
            <v>15</v>
          </cell>
          <cell r="E123">
            <v>55</v>
          </cell>
          <cell r="F123">
            <v>250</v>
          </cell>
          <cell r="G123">
            <v>0.09</v>
          </cell>
          <cell r="H123">
            <v>45</v>
          </cell>
          <cell r="I123" t="str">
            <v>матрица</v>
          </cell>
          <cell r="K123">
            <v>120</v>
          </cell>
          <cell r="L123">
            <v>-65</v>
          </cell>
          <cell r="M123">
            <v>55</v>
          </cell>
          <cell r="Q123">
            <v>0</v>
          </cell>
          <cell r="S123">
            <v>11</v>
          </cell>
          <cell r="U123" t="str">
            <v xml:space="preserve">500 сеть молоко </v>
          </cell>
        </row>
        <row r="124">
          <cell r="A124" t="str">
            <v xml:space="preserve"> 584  Колбаса Сервелат Ореховый ТМ Вязанка в упаковке скин 0,09 кг нарезка  ПОКОМ</v>
          </cell>
          <cell r="B124" t="str">
            <v>шт</v>
          </cell>
          <cell r="C124">
            <v>298</v>
          </cell>
          <cell r="D124">
            <v>59</v>
          </cell>
          <cell r="E124">
            <v>82</v>
          </cell>
          <cell r="F124">
            <v>239</v>
          </cell>
          <cell r="G124">
            <v>0.09</v>
          </cell>
          <cell r="H124">
            <v>45</v>
          </cell>
          <cell r="I124" t="str">
            <v>матрица</v>
          </cell>
          <cell r="K124">
            <v>110</v>
          </cell>
          <cell r="L124">
            <v>-28</v>
          </cell>
          <cell r="M124">
            <v>82</v>
          </cell>
          <cell r="Q124">
            <v>0</v>
          </cell>
          <cell r="S124">
            <v>16.399999999999999</v>
          </cell>
          <cell r="U124" t="str">
            <v xml:space="preserve">500 сеть молоко </v>
          </cell>
        </row>
        <row r="125">
          <cell r="A125" t="str">
            <v xml:space="preserve"> 585  Колбаса Молочная ТМ Стародворье в оболочке вектор НД ВЕС.  ПОКОМ</v>
          </cell>
          <cell r="B125" t="str">
            <v>кг</v>
          </cell>
          <cell r="C125">
            <v>32.576000000000001</v>
          </cell>
          <cell r="D125">
            <v>244.29300000000001</v>
          </cell>
          <cell r="E125">
            <v>77.186999999999998</v>
          </cell>
          <cell r="F125">
            <v>169.49</v>
          </cell>
          <cell r="G125">
            <v>1</v>
          </cell>
          <cell r="H125">
            <v>60</v>
          </cell>
          <cell r="I125" t="str">
            <v>матрица</v>
          </cell>
          <cell r="K125">
            <v>98.882000000000005</v>
          </cell>
          <cell r="L125">
            <v>-21.695000000000007</v>
          </cell>
          <cell r="M125">
            <v>77.186999999999998</v>
          </cell>
          <cell r="Q125">
            <v>150</v>
          </cell>
          <cell r="S125">
            <v>15.4374</v>
          </cell>
        </row>
        <row r="126">
          <cell r="A126" t="str">
            <v xml:space="preserve"> 586  Колбаса Мясная ТМ Стародворье в оболочке вектор НД ВЕС.  ПОКОМ</v>
          </cell>
          <cell r="B126" t="str">
            <v>кг</v>
          </cell>
          <cell r="C126">
            <v>434.37</v>
          </cell>
          <cell r="D126">
            <v>1002.655</v>
          </cell>
          <cell r="E126">
            <v>648.61900000000003</v>
          </cell>
          <cell r="F126">
            <v>766.62599999999998</v>
          </cell>
          <cell r="G126">
            <v>1</v>
          </cell>
          <cell r="H126">
            <v>60</v>
          </cell>
          <cell r="I126" t="str">
            <v>матрица</v>
          </cell>
          <cell r="K126">
            <v>701.15800000000002</v>
          </cell>
          <cell r="L126">
            <v>-52.538999999999987</v>
          </cell>
          <cell r="M126">
            <v>648.61900000000003</v>
          </cell>
          <cell r="O126">
            <v>359.30493247999999</v>
          </cell>
          <cell r="Q126">
            <v>400</v>
          </cell>
          <cell r="S126">
            <v>129.72380000000001</v>
          </cell>
          <cell r="T126">
            <v>30.754667520000339</v>
          </cell>
        </row>
        <row r="127">
          <cell r="A127" t="str">
            <v xml:space="preserve"> 588 Колбаса Со шпиком ТМ Стародворье в оболочке вектор ВЕС  ПОКОМ</v>
          </cell>
          <cell r="B127" t="str">
            <v>кг</v>
          </cell>
          <cell r="C127">
            <v>193.464</v>
          </cell>
          <cell r="D127">
            <v>2.73</v>
          </cell>
          <cell r="E127">
            <v>46.12</v>
          </cell>
          <cell r="F127">
            <v>132.01900000000001</v>
          </cell>
          <cell r="G127">
            <v>1</v>
          </cell>
          <cell r="H127">
            <v>60</v>
          </cell>
          <cell r="I127" t="str">
            <v>матрица</v>
          </cell>
          <cell r="K127">
            <v>54.67</v>
          </cell>
          <cell r="L127">
            <v>-8.5500000000000043</v>
          </cell>
          <cell r="M127">
            <v>46.12</v>
          </cell>
          <cell r="Q127">
            <v>0</v>
          </cell>
          <cell r="S127">
            <v>9.2240000000000002</v>
          </cell>
        </row>
        <row r="128">
          <cell r="A128" t="str">
            <v xml:space="preserve"> 597  Колбаса Классическая ТМ Особый рецепт в оболочке полиамид ВЕС. ПОКОМ</v>
          </cell>
          <cell r="B128" t="str">
            <v>кг</v>
          </cell>
          <cell r="C128">
            <v>1845.1659999999999</v>
          </cell>
          <cell r="D128">
            <v>996.54700000000003</v>
          </cell>
          <cell r="E128">
            <v>1308.2850000000001</v>
          </cell>
          <cell r="F128">
            <v>1413.9570000000001</v>
          </cell>
          <cell r="G128">
            <v>1</v>
          </cell>
          <cell r="H128">
            <v>60</v>
          </cell>
          <cell r="I128" t="str">
            <v>матрица</v>
          </cell>
          <cell r="K128">
            <v>1006.999</v>
          </cell>
          <cell r="L128">
            <v>301.28600000000006</v>
          </cell>
          <cell r="M128">
            <v>1308.2850000000001</v>
          </cell>
          <cell r="O128">
            <v>698.08860160000006</v>
          </cell>
          <cell r="Q128">
            <v>291.82695192000011</v>
          </cell>
          <cell r="R128">
            <v>362.49356808000022</v>
          </cell>
          <cell r="S128">
            <v>261.65700000000004</v>
          </cell>
          <cell r="T128">
            <v>373.51787839999974</v>
          </cell>
        </row>
        <row r="129">
          <cell r="A129" t="str">
            <v xml:space="preserve"> 614  Буженина в пряном маринаде 0,25 кг консервы из мяса индейки ТМ Стародворье  ПОКОМ</v>
          </cell>
          <cell r="B129" t="str">
            <v>шт</v>
          </cell>
          <cell r="C129">
            <v>59</v>
          </cell>
          <cell r="D129">
            <v>2</v>
          </cell>
          <cell r="E129">
            <v>31</v>
          </cell>
          <cell r="F129">
            <v>39</v>
          </cell>
          <cell r="G129">
            <v>0.25</v>
          </cell>
          <cell r="I129" t="str">
            <v>НЕДОГРУЗ / матрица</v>
          </cell>
          <cell r="K129">
            <v>19</v>
          </cell>
          <cell r="L129">
            <v>12</v>
          </cell>
          <cell r="M129">
            <v>31</v>
          </cell>
          <cell r="Q129">
            <v>28.2</v>
          </cell>
          <cell r="S129">
            <v>6.2</v>
          </cell>
          <cell r="T129">
            <v>20</v>
          </cell>
        </row>
        <row r="130">
          <cell r="A130" t="str">
            <v xml:space="preserve"> 615  Гречка по-купечески с говядиной и овощами 0,325кг ТМ Стародворье  ПОКОМ</v>
          </cell>
          <cell r="B130" t="str">
            <v>шт</v>
          </cell>
          <cell r="C130">
            <v>52</v>
          </cell>
          <cell r="D130">
            <v>12</v>
          </cell>
          <cell r="E130">
            <v>38</v>
          </cell>
          <cell r="F130">
            <v>95</v>
          </cell>
          <cell r="G130">
            <v>0.32500000000000001</v>
          </cell>
          <cell r="I130" t="str">
            <v>матрица</v>
          </cell>
          <cell r="K130">
            <v>9</v>
          </cell>
          <cell r="L130">
            <v>29</v>
          </cell>
          <cell r="M130">
            <v>38</v>
          </cell>
          <cell r="Q130">
            <v>0</v>
          </cell>
          <cell r="S130">
            <v>7.6</v>
          </cell>
        </row>
        <row r="131">
          <cell r="A131" t="str">
            <v xml:space="preserve"> 616  Индейка томлёная в собственном соку 0,25кг ТМ Стародлворье Консервый из мяс.птицы  ПОКОМ</v>
          </cell>
          <cell r="B131" t="str">
            <v>шт</v>
          </cell>
          <cell r="C131">
            <v>95</v>
          </cell>
          <cell r="D131">
            <v>36</v>
          </cell>
          <cell r="E131">
            <v>31</v>
          </cell>
          <cell r="F131">
            <v>103</v>
          </cell>
          <cell r="G131">
            <v>0.25</v>
          </cell>
          <cell r="I131" t="str">
            <v>матрица</v>
          </cell>
          <cell r="K131">
            <v>20</v>
          </cell>
          <cell r="L131">
            <v>11</v>
          </cell>
          <cell r="M131">
            <v>31</v>
          </cell>
          <cell r="Q131">
            <v>0</v>
          </cell>
          <cell r="S131">
            <v>6.2</v>
          </cell>
        </row>
        <row r="132">
          <cell r="A132" t="str">
            <v>495  Колбаса Сочинка по-европейски с сочной грудинкой 0,3кг ТМ Стародворье  ПОКОМ</v>
          </cell>
          <cell r="B132" t="str">
            <v>шт</v>
          </cell>
          <cell r="C132">
            <v>42</v>
          </cell>
          <cell r="D132">
            <v>14</v>
          </cell>
          <cell r="E132">
            <v>66</v>
          </cell>
          <cell r="F132">
            <v>35</v>
          </cell>
          <cell r="G132">
            <v>0.3</v>
          </cell>
          <cell r="H132">
            <v>40</v>
          </cell>
          <cell r="I132" t="str">
            <v>НЕДОГРУЗ / матрица</v>
          </cell>
          <cell r="K132">
            <v>201</v>
          </cell>
          <cell r="L132">
            <v>-135</v>
          </cell>
          <cell r="M132">
            <v>66</v>
          </cell>
          <cell r="Q132">
            <v>100</v>
          </cell>
          <cell r="S132">
            <v>13.2</v>
          </cell>
          <cell r="T132">
            <v>50</v>
          </cell>
        </row>
        <row r="133">
          <cell r="A133" t="str">
            <v>496  Колбаса Сочинка по-фински с сочным окроком 0,3кг ТМ Стародворье  ПОКОМ</v>
          </cell>
          <cell r="B133" t="str">
            <v>шт</v>
          </cell>
          <cell r="C133">
            <v>-10</v>
          </cell>
          <cell r="D133">
            <v>1</v>
          </cell>
          <cell r="E133">
            <v>2</v>
          </cell>
          <cell r="F133">
            <v>-12</v>
          </cell>
          <cell r="G133">
            <v>0.3</v>
          </cell>
          <cell r="H133">
            <v>40</v>
          </cell>
          <cell r="I133" t="str">
            <v>НЕДОГРУЗ / матрица</v>
          </cell>
          <cell r="K133">
            <v>3</v>
          </cell>
          <cell r="L133">
            <v>-1</v>
          </cell>
          <cell r="M133">
            <v>2</v>
          </cell>
          <cell r="Q133">
            <v>50</v>
          </cell>
          <cell r="S133">
            <v>0.4</v>
          </cell>
          <cell r="T133">
            <v>50</v>
          </cell>
        </row>
        <row r="134">
          <cell r="A134" t="str">
            <v>503 Колбаса Филейская со шпиком ТМ Вязанка в оболочке полиамид.ПОКОМ</v>
          </cell>
          <cell r="B134" t="str">
            <v>кг</v>
          </cell>
          <cell r="C134">
            <v>107.208</v>
          </cell>
          <cell r="D134">
            <v>73.757999999999996</v>
          </cell>
          <cell r="E134">
            <v>55.012999999999998</v>
          </cell>
          <cell r="F134">
            <v>116.578</v>
          </cell>
          <cell r="G134">
            <v>1</v>
          </cell>
          <cell r="H134">
            <v>50</v>
          </cell>
          <cell r="I134" t="str">
            <v>матрица</v>
          </cell>
          <cell r="K134">
            <v>56.5</v>
          </cell>
          <cell r="L134">
            <v>-1.4870000000000019</v>
          </cell>
          <cell r="M134">
            <v>55.012999999999998</v>
          </cell>
          <cell r="Q134">
            <v>0</v>
          </cell>
          <cell r="S134">
            <v>11.002599999999999</v>
          </cell>
          <cell r="T134">
            <v>15.453199999999981</v>
          </cell>
        </row>
        <row r="135">
          <cell r="A135" t="str">
            <v>515  Колбаса Сервелат Мясорубский Делюкс 0,3кг ТМ Стародворье  ПОКОМ</v>
          </cell>
          <cell r="B135" t="str">
            <v>шт</v>
          </cell>
          <cell r="C135">
            <v>7</v>
          </cell>
          <cell r="D135">
            <v>32</v>
          </cell>
          <cell r="E135">
            <v>49</v>
          </cell>
          <cell r="F135">
            <v>4</v>
          </cell>
          <cell r="G135">
            <v>0.3</v>
          </cell>
          <cell r="H135">
            <v>40</v>
          </cell>
          <cell r="I135" t="str">
            <v>НЕДОГРУЗ / матрица</v>
          </cell>
          <cell r="K135">
            <v>59</v>
          </cell>
          <cell r="L135">
            <v>-10</v>
          </cell>
          <cell r="M135">
            <v>49</v>
          </cell>
          <cell r="Q135">
            <v>20</v>
          </cell>
          <cell r="S135">
            <v>9.8000000000000007</v>
          </cell>
          <cell r="T135">
            <v>30</v>
          </cell>
        </row>
        <row r="136">
          <cell r="A136" t="str">
            <v>519  Грудинка 0,12 кг нарезка ТМ Стародворье  ПОКОМ</v>
          </cell>
          <cell r="B136" t="str">
            <v>шт</v>
          </cell>
          <cell r="C136">
            <v>34</v>
          </cell>
          <cell r="D136">
            <v>122</v>
          </cell>
          <cell r="E136">
            <v>69</v>
          </cell>
          <cell r="F136">
            <v>93</v>
          </cell>
          <cell r="G136">
            <v>0.12</v>
          </cell>
          <cell r="H136">
            <v>45</v>
          </cell>
          <cell r="I136" t="str">
            <v>матрица</v>
          </cell>
          <cell r="K136">
            <v>53</v>
          </cell>
          <cell r="L136">
            <v>16</v>
          </cell>
          <cell r="M136">
            <v>69</v>
          </cell>
          <cell r="Q136">
            <v>39.59999999999998</v>
          </cell>
          <cell r="S136">
            <v>13.8</v>
          </cell>
          <cell r="T136">
            <v>33.000000000000043</v>
          </cell>
        </row>
        <row r="137">
          <cell r="A137" t="str">
            <v>БОНУС_615  Гречка по-купечески с говядиной и овощами 0,325кг ТМ Стародворье  ПОКОМ</v>
          </cell>
          <cell r="B137" t="str">
            <v>шт</v>
          </cell>
          <cell r="C137">
            <v>51</v>
          </cell>
          <cell r="E137">
            <v>18</v>
          </cell>
          <cell r="F137">
            <v>40</v>
          </cell>
          <cell r="G137">
            <v>0</v>
          </cell>
          <cell r="I137" t="str">
            <v>бонус</v>
          </cell>
          <cell r="J137" t="str">
            <v xml:space="preserve"> 615  Гречка по-купечески с говядиной и овощами 0,325кг ТМ Стародворье  ПОКОМ</v>
          </cell>
          <cell r="K137">
            <v>8</v>
          </cell>
          <cell r="L137">
            <v>10</v>
          </cell>
          <cell r="M137">
            <v>18</v>
          </cell>
          <cell r="Q137">
            <v>0</v>
          </cell>
          <cell r="S137">
            <v>3.6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1">
          <cell r="A1" t="str">
            <v>SU003423</v>
          </cell>
        </row>
        <row r="2">
          <cell r="A2" t="str">
            <v>SU003422</v>
          </cell>
        </row>
        <row r="3">
          <cell r="A3" t="str">
            <v>SU003420</v>
          </cell>
        </row>
        <row r="4">
          <cell r="A4" t="str">
            <v>SU004238</v>
          </cell>
        </row>
        <row r="5">
          <cell r="A5" t="str">
            <v>SU002035</v>
          </cell>
        </row>
        <row r="6">
          <cell r="A6" t="str">
            <v>SU003689</v>
          </cell>
        </row>
        <row r="7">
          <cell r="A7" t="str">
            <v>SU001718</v>
          </cell>
        </row>
        <row r="8">
          <cell r="A8" t="str">
            <v>SU002634</v>
          </cell>
        </row>
        <row r="9">
          <cell r="A9" t="str">
            <v>SU002814</v>
          </cell>
        </row>
        <row r="10">
          <cell r="A10" t="str">
            <v>SU002815</v>
          </cell>
        </row>
        <row r="11">
          <cell r="A11" t="str">
            <v>SU002829</v>
          </cell>
        </row>
        <row r="12">
          <cell r="A12" t="str">
            <v>SU000126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R6" sqref="R6"/>
    </sheetView>
  </sheetViews>
  <sheetFormatPr defaultRowHeight="15" x14ac:dyDescent="0.25"/>
  <cols>
    <col min="1" max="1" width="44.5703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5703125" customWidth="1"/>
    <col min="10" max="10" width="1" customWidth="1"/>
    <col min="11" max="17" width="7" customWidth="1"/>
    <col min="18" max="18" width="7" style="24" customWidth="1"/>
    <col min="19" max="19" width="7" style="29" customWidth="1"/>
    <col min="20" max="25" width="7" customWidth="1"/>
    <col min="26" max="26" width="6.28515625" style="18" customWidth="1"/>
    <col min="27" max="28" width="5" customWidth="1"/>
    <col min="29" max="36" width="6.7109375" customWidth="1"/>
    <col min="37" max="37" width="5.42578125" customWidth="1"/>
    <col min="38" max="39" width="7" customWidth="1"/>
    <col min="40" max="40" width="9.85546875" customWidth="1"/>
    <col min="41" max="41" width="5.140625" customWidth="1"/>
  </cols>
  <sheetData>
    <row r="1" spans="1:4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5"/>
      <c r="T1" s="1"/>
      <c r="U1" s="1"/>
      <c r="V1" s="1"/>
      <c r="W1" s="20">
        <v>0.98</v>
      </c>
      <c r="X1" s="20"/>
      <c r="Y1" s="20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4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5"/>
      <c r="T2" s="1"/>
      <c r="U2" s="1"/>
      <c r="V2" s="1"/>
      <c r="W2" s="1" t="s">
        <v>0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>
        <v>17000</v>
      </c>
      <c r="AM2" s="1"/>
    </row>
    <row r="3" spans="1:4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15</v>
      </c>
      <c r="Q3" s="2" t="s">
        <v>15</v>
      </c>
      <c r="R3" s="2" t="s">
        <v>15</v>
      </c>
      <c r="S3" s="26" t="s">
        <v>15</v>
      </c>
      <c r="T3" s="2" t="s">
        <v>15</v>
      </c>
      <c r="U3" s="2" t="s">
        <v>16</v>
      </c>
      <c r="V3" s="3" t="s">
        <v>17</v>
      </c>
      <c r="W3" s="3" t="s">
        <v>18</v>
      </c>
      <c r="X3" s="21" t="s">
        <v>19</v>
      </c>
      <c r="Y3" s="21" t="s">
        <v>19</v>
      </c>
      <c r="Z3" s="3" t="s">
        <v>20</v>
      </c>
      <c r="AA3" s="2" t="s">
        <v>21</v>
      </c>
      <c r="AB3" s="2" t="s">
        <v>22</v>
      </c>
      <c r="AC3" s="2" t="s">
        <v>23</v>
      </c>
      <c r="AD3" s="2" t="s">
        <v>23</v>
      </c>
      <c r="AE3" s="2" t="s">
        <v>23</v>
      </c>
      <c r="AF3" s="2" t="s">
        <v>23</v>
      </c>
      <c r="AG3" s="2" t="s">
        <v>23</v>
      </c>
      <c r="AH3" s="2" t="s">
        <v>23</v>
      </c>
      <c r="AI3" s="2" t="s">
        <v>23</v>
      </c>
      <c r="AJ3" s="2" t="s">
        <v>23</v>
      </c>
      <c r="AK3" s="2" t="s">
        <v>24</v>
      </c>
      <c r="AL3" s="2" t="s">
        <v>25</v>
      </c>
      <c r="AM3" s="2" t="s">
        <v>25</v>
      </c>
    </row>
    <row r="4" spans="1:4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26</v>
      </c>
      <c r="P4" s="1" t="s">
        <v>27</v>
      </c>
      <c r="Q4" s="1" t="s">
        <v>28</v>
      </c>
      <c r="R4" s="1" t="s">
        <v>326</v>
      </c>
      <c r="S4" s="25" t="s">
        <v>327</v>
      </c>
      <c r="T4" s="1" t="s">
        <v>29</v>
      </c>
      <c r="U4" s="1" t="s">
        <v>30</v>
      </c>
      <c r="V4" s="1"/>
      <c r="W4" s="1"/>
      <c r="X4" s="22" t="s">
        <v>31</v>
      </c>
      <c r="Y4" s="22" t="s">
        <v>32</v>
      </c>
      <c r="Z4" s="1" t="s">
        <v>33</v>
      </c>
      <c r="AA4" s="1"/>
      <c r="AB4" s="1"/>
      <c r="AC4" s="1" t="s">
        <v>26</v>
      </c>
      <c r="AD4" s="1" t="s">
        <v>34</v>
      </c>
      <c r="AE4" s="1" t="s">
        <v>35</v>
      </c>
      <c r="AF4" s="1" t="s">
        <v>36</v>
      </c>
      <c r="AG4" s="1" t="s">
        <v>37</v>
      </c>
      <c r="AH4" s="1" t="s">
        <v>38</v>
      </c>
      <c r="AI4" s="1" t="s">
        <v>39</v>
      </c>
      <c r="AJ4" s="1" t="s">
        <v>40</v>
      </c>
      <c r="AK4" s="1"/>
      <c r="AL4" s="22" t="s">
        <v>31</v>
      </c>
      <c r="AM4" s="22" t="s">
        <v>32</v>
      </c>
      <c r="AO4">
        <v>1</v>
      </c>
    </row>
    <row r="5" spans="1:41" x14ac:dyDescent="0.25">
      <c r="A5" s="1"/>
      <c r="B5" s="1"/>
      <c r="C5" s="1"/>
      <c r="D5" s="1"/>
      <c r="E5" s="4">
        <f>SUM(E6:E500)</f>
        <v>73581.433000000019</v>
      </c>
      <c r="F5" s="4">
        <f>SUM(F6:F500)</f>
        <v>46657.596999999994</v>
      </c>
      <c r="G5" s="7"/>
      <c r="H5" s="1"/>
      <c r="I5" s="1"/>
      <c r="J5" s="1"/>
      <c r="K5" s="4">
        <f t="shared" ref="K5:Y5" si="0">SUM(K6:K500)</f>
        <v>92199.357999999949</v>
      </c>
      <c r="L5" s="4">
        <f t="shared" si="0"/>
        <v>-18617.925000000003</v>
      </c>
      <c r="M5" s="4">
        <f t="shared" si="0"/>
        <v>58637.696000000018</v>
      </c>
      <c r="N5" s="4">
        <f t="shared" si="0"/>
        <v>14943.736999999999</v>
      </c>
      <c r="O5" s="4">
        <f t="shared" si="0"/>
        <v>19603.011368952004</v>
      </c>
      <c r="P5" s="4">
        <f t="shared" si="0"/>
        <v>-1273.5</v>
      </c>
      <c r="Q5" s="4">
        <f t="shared" si="0"/>
        <v>22586.476596293371</v>
      </c>
      <c r="R5" s="4">
        <f t="shared" ref="R5:S5" si="1">SUM(R6:R500)</f>
        <v>-2032.9</v>
      </c>
      <c r="S5" s="27">
        <f t="shared" si="1"/>
        <v>1855.5555555555557</v>
      </c>
      <c r="T5" s="4">
        <f t="shared" si="0"/>
        <v>20743.400047946052</v>
      </c>
      <c r="U5" s="4">
        <f t="shared" si="0"/>
        <v>11727.539200000003</v>
      </c>
      <c r="V5" s="4">
        <f t="shared" si="0"/>
        <v>30243.415234286313</v>
      </c>
      <c r="W5" s="4">
        <f t="shared" si="0"/>
        <v>37578.120353377686</v>
      </c>
      <c r="X5" s="4">
        <f t="shared" si="0"/>
        <v>29236.898753377685</v>
      </c>
      <c r="Y5" s="4">
        <f t="shared" si="0"/>
        <v>13146.432301714285</v>
      </c>
      <c r="Z5" s="4"/>
      <c r="AA5" s="1"/>
      <c r="AB5" s="1"/>
      <c r="AC5" s="4">
        <f t="shared" ref="AC5:AJ5" si="2">SUM(AC6:AC500)</f>
        <v>13329.492600000001</v>
      </c>
      <c r="AD5" s="4">
        <f t="shared" si="2"/>
        <v>12669.461800000005</v>
      </c>
      <c r="AE5" s="4">
        <f t="shared" si="2"/>
        <v>10646.113600000001</v>
      </c>
      <c r="AF5" s="4">
        <f t="shared" si="2"/>
        <v>10433.826400000007</v>
      </c>
      <c r="AG5" s="4">
        <f t="shared" si="2"/>
        <v>11173.737200000001</v>
      </c>
      <c r="AH5" s="4">
        <f t="shared" si="2"/>
        <v>12763.749600000005</v>
      </c>
      <c r="AI5" s="4">
        <f t="shared" si="2"/>
        <v>14118.473</v>
      </c>
      <c r="AJ5" s="4">
        <f t="shared" si="2"/>
        <v>10392.847799999996</v>
      </c>
      <c r="AK5" s="1"/>
      <c r="AL5" s="4">
        <f>SUM(AL6:AL500)</f>
        <v>16997</v>
      </c>
      <c r="AM5" s="4">
        <f>SUM(AM6:AM500)</f>
        <v>7985</v>
      </c>
      <c r="AO5">
        <v>1</v>
      </c>
    </row>
    <row r="6" spans="1:41" x14ac:dyDescent="0.25">
      <c r="A6" s="1" t="s">
        <v>41</v>
      </c>
      <c r="B6" s="1" t="s">
        <v>42</v>
      </c>
      <c r="C6" s="1">
        <v>2019.1469999999999</v>
      </c>
      <c r="D6" s="1">
        <v>3887.194</v>
      </c>
      <c r="E6" s="1">
        <v>2033.1679999999999</v>
      </c>
      <c r="F6" s="1">
        <v>2734.6849999999999</v>
      </c>
      <c r="G6" s="7">
        <v>1</v>
      </c>
      <c r="H6" s="1">
        <v>50</v>
      </c>
      <c r="I6" s="1" t="s">
        <v>43</v>
      </c>
      <c r="J6" s="1"/>
      <c r="K6" s="1">
        <v>2268.741</v>
      </c>
      <c r="L6" s="1">
        <f t="shared" ref="L6:L37" si="3">E6-K6</f>
        <v>-235.57300000000009</v>
      </c>
      <c r="M6" s="1">
        <f t="shared" ref="M6:M37" si="4">E6-N6</f>
        <v>1628.1079999999999</v>
      </c>
      <c r="N6" s="1">
        <v>405.06</v>
      </c>
      <c r="O6" s="1">
        <v>571.67824957775997</v>
      </c>
      <c r="P6" s="1"/>
      <c r="Q6" s="1">
        <v>215.47622976</v>
      </c>
      <c r="R6" s="1"/>
      <c r="S6" s="25"/>
      <c r="T6" s="1">
        <v>267.65433023999998</v>
      </c>
      <c r="U6" s="1">
        <f t="shared" ref="U6:U37" si="5">M6/5</f>
        <v>325.6216</v>
      </c>
      <c r="V6" s="5">
        <f>12*U6-T6-Q6-P6-O6-F6</f>
        <v>117.96539042224003</v>
      </c>
      <c r="W6" s="5">
        <v>0</v>
      </c>
      <c r="X6" s="5">
        <f t="shared" ref="X6:X30" si="6">W6-Y6</f>
        <v>0</v>
      </c>
      <c r="Y6" s="5"/>
      <c r="Z6" s="1"/>
      <c r="AA6" s="1">
        <f>(F6+O6+P6+Q6+T6+X6+Y6+R6+S6)/U6</f>
        <v>11.637722465517522</v>
      </c>
      <c r="AB6" s="1">
        <f t="shared" ref="AB6:AB37" si="7">(F6+O6+P6+Q6+T6)/U6</f>
        <v>11.637722465517522</v>
      </c>
      <c r="AC6" s="1">
        <v>402.60879999999997</v>
      </c>
      <c r="AD6" s="1">
        <v>419.20679999999999</v>
      </c>
      <c r="AE6" s="1">
        <v>402.01659999999998</v>
      </c>
      <c r="AF6" s="1">
        <v>337.73419999999999</v>
      </c>
      <c r="AG6" s="1">
        <v>348.79259999999999</v>
      </c>
      <c r="AH6" s="1">
        <v>383.91660000000002</v>
      </c>
      <c r="AI6" s="1">
        <v>414.53539999999992</v>
      </c>
      <c r="AJ6" s="1">
        <v>309.1234</v>
      </c>
      <c r="AK6" s="1"/>
      <c r="AL6" s="1">
        <f t="shared" ref="AL6:AL37" si="8">ROUND(G6*X6,0)</f>
        <v>0</v>
      </c>
      <c r="AM6" s="1">
        <f t="shared" ref="AM6:AM37" si="9">ROUND(G6*Y6,0)</f>
        <v>0</v>
      </c>
      <c r="AN6" t="s">
        <v>44</v>
      </c>
    </row>
    <row r="7" spans="1:41" x14ac:dyDescent="0.25">
      <c r="A7" s="1" t="s">
        <v>45</v>
      </c>
      <c r="B7" s="1" t="s">
        <v>42</v>
      </c>
      <c r="C7" s="1">
        <v>473.78399999999999</v>
      </c>
      <c r="D7" s="1">
        <v>2893.569</v>
      </c>
      <c r="E7" s="1">
        <v>1688.492</v>
      </c>
      <c r="F7" s="1">
        <v>1204.04</v>
      </c>
      <c r="G7" s="7">
        <v>1</v>
      </c>
      <c r="H7" s="1">
        <v>45</v>
      </c>
      <c r="I7" s="1" t="s">
        <v>43</v>
      </c>
      <c r="J7" s="1"/>
      <c r="K7" s="1">
        <v>1499.1020000000001</v>
      </c>
      <c r="L7" s="1">
        <f t="shared" si="3"/>
        <v>189.38999999999987</v>
      </c>
      <c r="M7" s="1">
        <f t="shared" si="4"/>
        <v>1081.529</v>
      </c>
      <c r="N7" s="1">
        <v>606.96299999999997</v>
      </c>
      <c r="O7" s="1">
        <v>753.70391199999995</v>
      </c>
      <c r="P7" s="1"/>
      <c r="Q7" s="1">
        <v>200.7</v>
      </c>
      <c r="R7" s="1"/>
      <c r="S7" s="25"/>
      <c r="T7" s="1">
        <v>249.3</v>
      </c>
      <c r="U7" s="1">
        <f t="shared" si="5"/>
        <v>216.3058</v>
      </c>
      <c r="V7" s="5">
        <f>12*U7-T7-Q7-P7-O7-F7</f>
        <v>187.92568800000026</v>
      </c>
      <c r="W7" s="5">
        <f>V7+$W$1*U7</f>
        <v>399.90537200000028</v>
      </c>
      <c r="X7" s="5">
        <f t="shared" si="6"/>
        <v>399.90537200000028</v>
      </c>
      <c r="Y7" s="5"/>
      <c r="Z7" s="1"/>
      <c r="AA7" s="1">
        <f t="shared" ref="AA7:AA70" si="10">(F7+O7+P7+Q7+T7+X7+Y7+R7+S7)/U7</f>
        <v>12.98</v>
      </c>
      <c r="AB7" s="1">
        <f t="shared" si="7"/>
        <v>11.131203657044795</v>
      </c>
      <c r="AC7" s="1">
        <v>223.072</v>
      </c>
      <c r="AD7" s="1">
        <v>285.97500000000002</v>
      </c>
      <c r="AE7" s="1">
        <v>246.8064</v>
      </c>
      <c r="AF7" s="1">
        <v>136.39259999999999</v>
      </c>
      <c r="AG7" s="1">
        <v>175.6748</v>
      </c>
      <c r="AH7" s="1">
        <v>232.39340000000001</v>
      </c>
      <c r="AI7" s="1">
        <v>194.2758</v>
      </c>
      <c r="AJ7" s="1">
        <v>139.5838</v>
      </c>
      <c r="AK7" s="1"/>
      <c r="AL7" s="1">
        <f t="shared" si="8"/>
        <v>400</v>
      </c>
      <c r="AM7" s="1">
        <f t="shared" si="9"/>
        <v>0</v>
      </c>
      <c r="AN7" t="s">
        <v>46</v>
      </c>
    </row>
    <row r="8" spans="1:41" x14ac:dyDescent="0.25">
      <c r="A8" s="1" t="s">
        <v>47</v>
      </c>
      <c r="B8" s="1" t="s">
        <v>42</v>
      </c>
      <c r="C8" s="1">
        <v>2754.893</v>
      </c>
      <c r="D8" s="1">
        <v>6282.7259999999997</v>
      </c>
      <c r="E8" s="1">
        <v>4646.4849999999997</v>
      </c>
      <c r="F8" s="13">
        <f>2266.304+F86</f>
        <v>2260.8630000000003</v>
      </c>
      <c r="G8" s="7">
        <v>1</v>
      </c>
      <c r="H8" s="1">
        <v>45</v>
      </c>
      <c r="I8" s="1" t="s">
        <v>43</v>
      </c>
      <c r="J8" s="1"/>
      <c r="K8" s="1">
        <v>4805.0240000000003</v>
      </c>
      <c r="L8" s="1">
        <f t="shared" si="3"/>
        <v>-158.53900000000067</v>
      </c>
      <c r="M8" s="1">
        <f t="shared" si="4"/>
        <v>2732.1219999999994</v>
      </c>
      <c r="N8" s="1">
        <v>1914.3630000000001</v>
      </c>
      <c r="O8" s="1">
        <v>976.73630996240047</v>
      </c>
      <c r="P8" s="1"/>
      <c r="Q8" s="1">
        <v>1024.615398301479</v>
      </c>
      <c r="R8" s="1"/>
      <c r="S8" s="25"/>
      <c r="T8" s="1">
        <v>1272.728544078519</v>
      </c>
      <c r="U8" s="1">
        <f t="shared" si="5"/>
        <v>546.42439999999988</v>
      </c>
      <c r="V8" s="5">
        <f>12*U8-T8-Q8-P8-O8-F8</f>
        <v>1022.1495476575997</v>
      </c>
      <c r="W8" s="5">
        <f>V8+$W$1*U8</f>
        <v>1557.6454596575995</v>
      </c>
      <c r="X8" s="5">
        <f t="shared" si="6"/>
        <v>857.64545965759953</v>
      </c>
      <c r="Y8" s="5">
        <v>700</v>
      </c>
      <c r="Z8" s="1"/>
      <c r="AA8" s="1">
        <f t="shared" si="10"/>
        <v>12.979999999999999</v>
      </c>
      <c r="AB8" s="1">
        <f t="shared" si="7"/>
        <v>10.12938524037799</v>
      </c>
      <c r="AC8" s="1">
        <v>608.08999999999992</v>
      </c>
      <c r="AD8" s="1">
        <v>673.42660000000001</v>
      </c>
      <c r="AE8" s="1">
        <v>716.37299999999993</v>
      </c>
      <c r="AF8" s="1">
        <v>543.649</v>
      </c>
      <c r="AG8" s="1">
        <v>613.56360000000006</v>
      </c>
      <c r="AH8" s="1">
        <v>603.60799999999995</v>
      </c>
      <c r="AI8" s="1">
        <v>601.60220000000004</v>
      </c>
      <c r="AJ8" s="1">
        <v>449.45300000000009</v>
      </c>
      <c r="AK8" s="1"/>
      <c r="AL8" s="1">
        <f t="shared" si="8"/>
        <v>858</v>
      </c>
      <c r="AM8" s="1">
        <f t="shared" si="9"/>
        <v>700</v>
      </c>
      <c r="AN8" t="s">
        <v>48</v>
      </c>
    </row>
    <row r="9" spans="1:41" x14ac:dyDescent="0.25">
      <c r="A9" s="1" t="s">
        <v>49</v>
      </c>
      <c r="B9" s="1" t="s">
        <v>50</v>
      </c>
      <c r="C9" s="1">
        <v>23</v>
      </c>
      <c r="D9" s="1">
        <v>10</v>
      </c>
      <c r="E9" s="1">
        <v>7</v>
      </c>
      <c r="F9" s="1">
        <v>18</v>
      </c>
      <c r="G9" s="7">
        <v>0.4</v>
      </c>
      <c r="H9" s="1">
        <v>50</v>
      </c>
      <c r="I9" s="1" t="s">
        <v>43</v>
      </c>
      <c r="J9" s="1"/>
      <c r="K9" s="1">
        <v>14</v>
      </c>
      <c r="L9" s="1">
        <f t="shared" si="3"/>
        <v>-7</v>
      </c>
      <c r="M9" s="1">
        <f t="shared" si="4"/>
        <v>7</v>
      </c>
      <c r="N9" s="1"/>
      <c r="O9" s="1"/>
      <c r="P9" s="1"/>
      <c r="Q9" s="1">
        <v>0</v>
      </c>
      <c r="R9" s="1"/>
      <c r="S9" s="25"/>
      <c r="T9" s="1"/>
      <c r="U9" s="1">
        <f t="shared" si="5"/>
        <v>1.4</v>
      </c>
      <c r="V9" s="5"/>
      <c r="W9" s="5">
        <f t="shared" ref="W9:W15" si="11">V9</f>
        <v>0</v>
      </c>
      <c r="X9" s="5">
        <f t="shared" si="6"/>
        <v>0</v>
      </c>
      <c r="Y9" s="5"/>
      <c r="Z9" s="1"/>
      <c r="AA9" s="1">
        <f t="shared" si="10"/>
        <v>12.857142857142858</v>
      </c>
      <c r="AB9" s="1">
        <f t="shared" si="7"/>
        <v>12.857142857142858</v>
      </c>
      <c r="AC9" s="1">
        <v>1.4</v>
      </c>
      <c r="AD9" s="1">
        <v>1.8</v>
      </c>
      <c r="AE9" s="1">
        <v>2.4</v>
      </c>
      <c r="AF9" s="1">
        <v>1</v>
      </c>
      <c r="AG9" s="1">
        <v>1.2</v>
      </c>
      <c r="AH9" s="1">
        <v>2.6</v>
      </c>
      <c r="AI9" s="1">
        <v>2.2000000000000002</v>
      </c>
      <c r="AJ9" s="1">
        <v>0</v>
      </c>
      <c r="AK9" s="1" t="s">
        <v>51</v>
      </c>
      <c r="AL9" s="1">
        <f t="shared" si="8"/>
        <v>0</v>
      </c>
      <c r="AM9" s="1">
        <f t="shared" si="9"/>
        <v>0</v>
      </c>
      <c r="AN9" t="s">
        <v>52</v>
      </c>
    </row>
    <row r="10" spans="1:41" x14ac:dyDescent="0.25">
      <c r="A10" s="23" t="s">
        <v>53</v>
      </c>
      <c r="B10" s="1" t="s">
        <v>50</v>
      </c>
      <c r="C10" s="1">
        <v>1956.55</v>
      </c>
      <c r="D10" s="1">
        <v>2792</v>
      </c>
      <c r="E10" s="1">
        <v>2608.174</v>
      </c>
      <c r="F10" s="1">
        <v>615.37599999999998</v>
      </c>
      <c r="G10" s="7">
        <v>0.45</v>
      </c>
      <c r="H10" s="1">
        <v>45</v>
      </c>
      <c r="I10" s="14" t="s">
        <v>54</v>
      </c>
      <c r="J10" s="1"/>
      <c r="K10" s="1">
        <v>3201</v>
      </c>
      <c r="L10" s="1">
        <f t="shared" si="3"/>
        <v>-592.82600000000002</v>
      </c>
      <c r="M10" s="1">
        <f t="shared" si="4"/>
        <v>2464.174</v>
      </c>
      <c r="N10" s="1">
        <v>144</v>
      </c>
      <c r="O10" s="1">
        <v>907.60799999999995</v>
      </c>
      <c r="P10" s="1"/>
      <c r="Q10" s="1">
        <v>535.19999999999993</v>
      </c>
      <c r="R10" s="1"/>
      <c r="S10" s="25">
        <v>1000</v>
      </c>
      <c r="T10" s="1">
        <v>664.80000000000007</v>
      </c>
      <c r="U10" s="1">
        <f t="shared" si="5"/>
        <v>492.83479999999997</v>
      </c>
      <c r="V10" s="5">
        <v>2000</v>
      </c>
      <c r="W10" s="5">
        <f t="shared" si="11"/>
        <v>2000</v>
      </c>
      <c r="X10" s="5">
        <f t="shared" si="6"/>
        <v>700</v>
      </c>
      <c r="Y10" s="5">
        <v>1300</v>
      </c>
      <c r="Z10" s="1"/>
      <c r="AA10" s="1">
        <f t="shared" si="10"/>
        <v>11.612378022006565</v>
      </c>
      <c r="AB10" s="1">
        <f t="shared" si="7"/>
        <v>5.5251455457285079</v>
      </c>
      <c r="AC10" s="1">
        <v>540.4348</v>
      </c>
      <c r="AD10" s="1">
        <v>426.41899999999998</v>
      </c>
      <c r="AE10" s="1">
        <v>373.01900000000001</v>
      </c>
      <c r="AF10" s="1">
        <v>298</v>
      </c>
      <c r="AG10" s="1">
        <v>339</v>
      </c>
      <c r="AH10" s="1">
        <v>705.87099999999998</v>
      </c>
      <c r="AI10" s="1">
        <v>624.67100000000005</v>
      </c>
      <c r="AJ10" s="1">
        <v>265.39999999999998</v>
      </c>
      <c r="AK10" s="1" t="s">
        <v>55</v>
      </c>
      <c r="AL10" s="1">
        <f t="shared" si="8"/>
        <v>315</v>
      </c>
      <c r="AM10" s="1">
        <f t="shared" si="9"/>
        <v>585</v>
      </c>
      <c r="AN10" t="s">
        <v>56</v>
      </c>
      <c r="AO10" t="str">
        <f>VLOOKUP(AN10,[2]Лист1!$A:$A,1,0)</f>
        <v>SU001718</v>
      </c>
    </row>
    <row r="11" spans="1:41" x14ac:dyDescent="0.25">
      <c r="A11" s="1" t="s">
        <v>57</v>
      </c>
      <c r="B11" s="1" t="s">
        <v>50</v>
      </c>
      <c r="C11" s="1">
        <v>5853.0209999999997</v>
      </c>
      <c r="D11" s="1">
        <v>2392</v>
      </c>
      <c r="E11" s="1">
        <v>4360.366</v>
      </c>
      <c r="F11" s="1">
        <v>1646.655</v>
      </c>
      <c r="G11" s="7">
        <v>0.45</v>
      </c>
      <c r="H11" s="1">
        <v>45</v>
      </c>
      <c r="I11" s="14" t="s">
        <v>54</v>
      </c>
      <c r="J11" s="1"/>
      <c r="K11" s="1">
        <v>4886</v>
      </c>
      <c r="L11" s="1">
        <f t="shared" si="3"/>
        <v>-525.63400000000001</v>
      </c>
      <c r="M11" s="1">
        <f t="shared" si="4"/>
        <v>3424.366</v>
      </c>
      <c r="N11" s="1">
        <v>936</v>
      </c>
      <c r="O11" s="1">
        <v>260</v>
      </c>
      <c r="P11" s="1"/>
      <c r="Q11" s="1">
        <v>356.8</v>
      </c>
      <c r="R11" s="1"/>
      <c r="S11" s="25"/>
      <c r="T11" s="1">
        <v>443.2</v>
      </c>
      <c r="U11" s="1">
        <f t="shared" si="5"/>
        <v>684.8732</v>
      </c>
      <c r="V11" s="5">
        <f>11*U11-T11-Q11-P11-O11-F11</f>
        <v>4826.9502000000002</v>
      </c>
      <c r="W11" s="5">
        <f t="shared" si="11"/>
        <v>4826.9502000000002</v>
      </c>
      <c r="X11" s="5">
        <f t="shared" si="6"/>
        <v>1826.9502000000002</v>
      </c>
      <c r="Y11" s="5">
        <v>3000</v>
      </c>
      <c r="Z11" s="1"/>
      <c r="AA11" s="1">
        <f t="shared" si="10"/>
        <v>11</v>
      </c>
      <c r="AB11" s="1">
        <f t="shared" si="7"/>
        <v>3.9520527303448283</v>
      </c>
      <c r="AC11" s="1">
        <v>689.67319999999995</v>
      </c>
      <c r="AD11" s="1">
        <v>718.03</v>
      </c>
      <c r="AE11" s="1">
        <v>763.07439999999997</v>
      </c>
      <c r="AF11" s="1">
        <v>683.4</v>
      </c>
      <c r="AG11" s="1">
        <v>536.79999999999995</v>
      </c>
      <c r="AH11" s="1">
        <v>707.36580000000004</v>
      </c>
      <c r="AI11" s="1">
        <v>771.7657999999999</v>
      </c>
      <c r="AJ11" s="1">
        <v>431.2</v>
      </c>
      <c r="AK11" s="1" t="s">
        <v>58</v>
      </c>
      <c r="AL11" s="1">
        <f t="shared" si="8"/>
        <v>822</v>
      </c>
      <c r="AM11" s="1">
        <f t="shared" si="9"/>
        <v>1350</v>
      </c>
      <c r="AN11" t="s">
        <v>59</v>
      </c>
    </row>
    <row r="12" spans="1:41" x14ac:dyDescent="0.25">
      <c r="A12" s="1" t="s">
        <v>60</v>
      </c>
      <c r="B12" s="1" t="s">
        <v>50</v>
      </c>
      <c r="C12" s="1">
        <v>282</v>
      </c>
      <c r="D12" s="1">
        <v>37</v>
      </c>
      <c r="E12" s="1">
        <v>119</v>
      </c>
      <c r="F12" s="1">
        <v>126</v>
      </c>
      <c r="G12" s="7">
        <v>0.17</v>
      </c>
      <c r="H12" s="1">
        <v>180</v>
      </c>
      <c r="I12" s="1" t="s">
        <v>43</v>
      </c>
      <c r="J12" s="1"/>
      <c r="K12" s="1">
        <v>149</v>
      </c>
      <c r="L12" s="1">
        <f t="shared" si="3"/>
        <v>-30</v>
      </c>
      <c r="M12" s="1">
        <f t="shared" si="4"/>
        <v>89</v>
      </c>
      <c r="N12" s="1">
        <v>30</v>
      </c>
      <c r="O12" s="1"/>
      <c r="P12" s="1"/>
      <c r="Q12" s="1">
        <v>0</v>
      </c>
      <c r="R12" s="1"/>
      <c r="S12" s="25"/>
      <c r="T12" s="1"/>
      <c r="U12" s="1">
        <f t="shared" si="5"/>
        <v>17.8</v>
      </c>
      <c r="V12" s="5">
        <f>12*U12-T12-Q12-P12-O12-F12</f>
        <v>87.600000000000023</v>
      </c>
      <c r="W12" s="5">
        <f t="shared" si="11"/>
        <v>87.600000000000023</v>
      </c>
      <c r="X12" s="5">
        <f t="shared" si="6"/>
        <v>87.600000000000023</v>
      </c>
      <c r="Y12" s="5"/>
      <c r="Z12" s="1"/>
      <c r="AA12" s="1">
        <f t="shared" si="10"/>
        <v>12</v>
      </c>
      <c r="AB12" s="1">
        <f t="shared" si="7"/>
        <v>7.0786516853932584</v>
      </c>
      <c r="AC12" s="1">
        <v>17.8</v>
      </c>
      <c r="AD12" s="1">
        <v>13.2</v>
      </c>
      <c r="AE12" s="1">
        <v>20</v>
      </c>
      <c r="AF12" s="1">
        <v>19.234000000000002</v>
      </c>
      <c r="AG12" s="1">
        <v>23.6</v>
      </c>
      <c r="AH12" s="1">
        <v>35</v>
      </c>
      <c r="AI12" s="1">
        <v>24.6</v>
      </c>
      <c r="AJ12" s="1">
        <v>9</v>
      </c>
      <c r="AK12" s="1"/>
      <c r="AL12" s="1">
        <f t="shared" si="8"/>
        <v>15</v>
      </c>
      <c r="AM12" s="1">
        <f t="shared" si="9"/>
        <v>0</v>
      </c>
      <c r="AN12" t="s">
        <v>61</v>
      </c>
    </row>
    <row r="13" spans="1:41" x14ac:dyDescent="0.25">
      <c r="A13" s="1" t="s">
        <v>62</v>
      </c>
      <c r="B13" s="1" t="s">
        <v>50</v>
      </c>
      <c r="C13" s="1">
        <v>96</v>
      </c>
      <c r="D13" s="1">
        <v>9</v>
      </c>
      <c r="E13" s="1">
        <v>60</v>
      </c>
      <c r="F13" s="1">
        <v>19</v>
      </c>
      <c r="G13" s="7">
        <v>0.3</v>
      </c>
      <c r="H13" s="1">
        <v>40</v>
      </c>
      <c r="I13" s="1" t="s">
        <v>43</v>
      </c>
      <c r="J13" s="1"/>
      <c r="K13" s="1">
        <v>80</v>
      </c>
      <c r="L13" s="1">
        <f t="shared" si="3"/>
        <v>-20</v>
      </c>
      <c r="M13" s="1">
        <f t="shared" si="4"/>
        <v>60</v>
      </c>
      <c r="N13" s="1"/>
      <c r="O13" s="1"/>
      <c r="P13" s="1"/>
      <c r="Q13" s="1">
        <v>75</v>
      </c>
      <c r="R13" s="1">
        <v>-78</v>
      </c>
      <c r="S13" s="25"/>
      <c r="T13" s="1"/>
      <c r="U13" s="1">
        <f t="shared" si="5"/>
        <v>12</v>
      </c>
      <c r="V13" s="5">
        <f>12*U13-T13-Q13-P13-O13-F13</f>
        <v>50</v>
      </c>
      <c r="W13" s="5">
        <f t="shared" si="11"/>
        <v>50</v>
      </c>
      <c r="X13" s="5">
        <f t="shared" si="6"/>
        <v>50</v>
      </c>
      <c r="Y13" s="5"/>
      <c r="Z13" s="1"/>
      <c r="AA13" s="1">
        <f t="shared" si="10"/>
        <v>5.5</v>
      </c>
      <c r="AB13" s="1">
        <f t="shared" si="7"/>
        <v>7.833333333333333</v>
      </c>
      <c r="AC13" s="1">
        <v>12.6</v>
      </c>
      <c r="AD13" s="1">
        <v>7.2</v>
      </c>
      <c r="AE13" s="1">
        <v>4.2</v>
      </c>
      <c r="AF13" s="1">
        <v>8.1999999999999993</v>
      </c>
      <c r="AG13" s="1">
        <v>11.8</v>
      </c>
      <c r="AH13" s="1">
        <v>8.4</v>
      </c>
      <c r="AI13" s="1">
        <v>3.2</v>
      </c>
      <c r="AJ13" s="1">
        <v>1</v>
      </c>
      <c r="AK13" s="1"/>
      <c r="AL13" s="1">
        <f t="shared" si="8"/>
        <v>15</v>
      </c>
      <c r="AM13" s="1">
        <f t="shared" si="9"/>
        <v>0</v>
      </c>
      <c r="AN13" t="s">
        <v>63</v>
      </c>
    </row>
    <row r="14" spans="1:41" x14ac:dyDescent="0.25">
      <c r="A14" s="1" t="s">
        <v>64</v>
      </c>
      <c r="B14" s="1" t="s">
        <v>50</v>
      </c>
      <c r="C14" s="1">
        <v>383</v>
      </c>
      <c r="D14" s="1">
        <v>103</v>
      </c>
      <c r="E14" s="1">
        <v>297</v>
      </c>
      <c r="F14" s="1">
        <v>6</v>
      </c>
      <c r="G14" s="7">
        <v>0.17</v>
      </c>
      <c r="H14" s="1">
        <v>180</v>
      </c>
      <c r="I14" s="1" t="s">
        <v>43</v>
      </c>
      <c r="J14" s="1"/>
      <c r="K14" s="1">
        <v>397</v>
      </c>
      <c r="L14" s="1">
        <f t="shared" si="3"/>
        <v>-100</v>
      </c>
      <c r="M14" s="1">
        <f t="shared" si="4"/>
        <v>87</v>
      </c>
      <c r="N14" s="1">
        <v>210</v>
      </c>
      <c r="O14" s="1"/>
      <c r="P14" s="1"/>
      <c r="Q14" s="1">
        <v>151.99999999999989</v>
      </c>
      <c r="R14" s="1"/>
      <c r="S14" s="25"/>
      <c r="T14" s="1"/>
      <c r="U14" s="1">
        <f t="shared" si="5"/>
        <v>17.399999999999999</v>
      </c>
      <c r="V14" s="5">
        <f>12*U14-T14-Q14-P14-O14-F14</f>
        <v>50.800000000000097</v>
      </c>
      <c r="W14" s="5">
        <f t="shared" si="11"/>
        <v>50.800000000000097</v>
      </c>
      <c r="X14" s="5">
        <f t="shared" si="6"/>
        <v>50.800000000000097</v>
      </c>
      <c r="Y14" s="5"/>
      <c r="Z14" s="1"/>
      <c r="AA14" s="1">
        <f t="shared" si="10"/>
        <v>12</v>
      </c>
      <c r="AB14" s="1">
        <f t="shared" si="7"/>
        <v>9.0804597701149365</v>
      </c>
      <c r="AC14" s="1">
        <v>35.4</v>
      </c>
      <c r="AD14" s="1">
        <v>34.200000000000003</v>
      </c>
      <c r="AE14" s="1">
        <v>26</v>
      </c>
      <c r="AF14" s="1">
        <v>27.634</v>
      </c>
      <c r="AG14" s="1">
        <v>36.799999999999997</v>
      </c>
      <c r="AH14" s="1">
        <v>60.2</v>
      </c>
      <c r="AI14" s="1">
        <v>65.2</v>
      </c>
      <c r="AJ14" s="1">
        <v>36.6</v>
      </c>
      <c r="AK14" s="1"/>
      <c r="AL14" s="1">
        <f t="shared" si="8"/>
        <v>9</v>
      </c>
      <c r="AM14" s="1">
        <f t="shared" si="9"/>
        <v>0</v>
      </c>
      <c r="AN14" t="s">
        <v>65</v>
      </c>
    </row>
    <row r="15" spans="1:41" x14ac:dyDescent="0.25">
      <c r="A15" s="9" t="s">
        <v>66</v>
      </c>
      <c r="B15" s="9" t="s">
        <v>50</v>
      </c>
      <c r="C15" s="9">
        <v>336</v>
      </c>
      <c r="D15" s="9">
        <v>2</v>
      </c>
      <c r="E15" s="9">
        <v>5</v>
      </c>
      <c r="F15" s="9">
        <v>272</v>
      </c>
      <c r="G15" s="10">
        <v>0</v>
      </c>
      <c r="H15" s="9"/>
      <c r="I15" s="9" t="s">
        <v>67</v>
      </c>
      <c r="J15" s="9"/>
      <c r="K15" s="9">
        <v>53</v>
      </c>
      <c r="L15" s="9">
        <f t="shared" si="3"/>
        <v>-48</v>
      </c>
      <c r="M15" s="9">
        <f t="shared" si="4"/>
        <v>5</v>
      </c>
      <c r="N15" s="9"/>
      <c r="O15" s="9"/>
      <c r="P15" s="9"/>
      <c r="Q15" s="9">
        <v>0</v>
      </c>
      <c r="R15" s="9"/>
      <c r="S15" s="28"/>
      <c r="T15" s="9"/>
      <c r="U15" s="9">
        <f t="shared" si="5"/>
        <v>1</v>
      </c>
      <c r="V15" s="11"/>
      <c r="W15" s="5">
        <f t="shared" si="11"/>
        <v>0</v>
      </c>
      <c r="X15" s="5">
        <f t="shared" si="6"/>
        <v>0</v>
      </c>
      <c r="Y15" s="5"/>
      <c r="Z15" s="1"/>
      <c r="AA15" s="1">
        <f t="shared" si="10"/>
        <v>272</v>
      </c>
      <c r="AB15" s="9">
        <f t="shared" si="7"/>
        <v>272</v>
      </c>
      <c r="AC15" s="9">
        <v>1</v>
      </c>
      <c r="AD15" s="9">
        <v>5.2</v>
      </c>
      <c r="AE15" s="9">
        <v>4.4000000000000004</v>
      </c>
      <c r="AF15" s="9">
        <v>0.2</v>
      </c>
      <c r="AG15" s="9">
        <v>4.4000000000000004</v>
      </c>
      <c r="AH15" s="9">
        <v>4.2</v>
      </c>
      <c r="AI15" s="9">
        <v>0</v>
      </c>
      <c r="AJ15" s="9">
        <v>0</v>
      </c>
      <c r="AK15" s="12" t="s">
        <v>68</v>
      </c>
      <c r="AL15" s="1">
        <f t="shared" si="8"/>
        <v>0</v>
      </c>
      <c r="AM15" s="1">
        <f t="shared" si="9"/>
        <v>0</v>
      </c>
      <c r="AN15" t="s">
        <v>69</v>
      </c>
    </row>
    <row r="16" spans="1:41" x14ac:dyDescent="0.25">
      <c r="A16" s="23" t="s">
        <v>70</v>
      </c>
      <c r="B16" s="1" t="s">
        <v>42</v>
      </c>
      <c r="C16" s="1">
        <v>3949.2420000000002</v>
      </c>
      <c r="D16" s="1">
        <v>5740.3339999999998</v>
      </c>
      <c r="E16" s="1">
        <v>4270.7960000000003</v>
      </c>
      <c r="F16" s="1">
        <v>3018.5230000000001</v>
      </c>
      <c r="G16" s="7">
        <v>1</v>
      </c>
      <c r="H16" s="1">
        <v>70</v>
      </c>
      <c r="I16" s="1" t="s">
        <v>43</v>
      </c>
      <c r="J16" s="1"/>
      <c r="K16" s="1">
        <v>4821.759</v>
      </c>
      <c r="L16" s="1">
        <f t="shared" si="3"/>
        <v>-550.96299999999974</v>
      </c>
      <c r="M16" s="1">
        <f t="shared" si="4"/>
        <v>2883.3020000000006</v>
      </c>
      <c r="N16" s="1">
        <v>1387.4939999999999</v>
      </c>
      <c r="O16" s="1">
        <v>1598.80850351872</v>
      </c>
      <c r="P16" s="1"/>
      <c r="Q16" s="1">
        <v>267.60000000000002</v>
      </c>
      <c r="R16" s="1"/>
      <c r="S16" s="25"/>
      <c r="T16" s="1">
        <v>332.4</v>
      </c>
      <c r="U16" s="1">
        <f t="shared" si="5"/>
        <v>576.6604000000001</v>
      </c>
      <c r="V16" s="5">
        <f>12*U16-T16-Q16-P16-O16-F16</f>
        <v>1702.593296481281</v>
      </c>
      <c r="W16" s="5">
        <f>V16+$W$1*U16</f>
        <v>2267.7204884812809</v>
      </c>
      <c r="X16" s="5">
        <f t="shared" si="6"/>
        <v>1402.7204884812809</v>
      </c>
      <c r="Y16" s="5">
        <v>865</v>
      </c>
      <c r="Z16" s="1"/>
      <c r="AA16" s="1">
        <f t="shared" si="10"/>
        <v>12.98</v>
      </c>
      <c r="AB16" s="1">
        <f t="shared" si="7"/>
        <v>9.047493990429583</v>
      </c>
      <c r="AC16" s="1">
        <v>628.17099999999994</v>
      </c>
      <c r="AD16" s="1">
        <v>726.94060000000002</v>
      </c>
      <c r="AE16" s="1">
        <v>643.96600000000001</v>
      </c>
      <c r="AF16" s="1">
        <v>609.90919999999994</v>
      </c>
      <c r="AG16" s="1">
        <v>693.11580000000004</v>
      </c>
      <c r="AH16" s="1">
        <v>746.79539999999997</v>
      </c>
      <c r="AI16" s="1">
        <v>794.77139999999997</v>
      </c>
      <c r="AJ16" s="1">
        <v>554.79759999999999</v>
      </c>
      <c r="AK16" s="1"/>
      <c r="AL16" s="1">
        <f t="shared" si="8"/>
        <v>1403</v>
      </c>
      <c r="AM16" s="1">
        <f t="shared" si="9"/>
        <v>865</v>
      </c>
      <c r="AN16" t="s">
        <v>71</v>
      </c>
      <c r="AO16" t="str">
        <f>VLOOKUP(AN16,[2]Лист1!$A:$A,1,0)</f>
        <v>SU002035</v>
      </c>
    </row>
    <row r="17" spans="1:41" x14ac:dyDescent="0.25">
      <c r="A17" s="23" t="s">
        <v>72</v>
      </c>
      <c r="B17" s="1" t="s">
        <v>42</v>
      </c>
      <c r="C17" s="1">
        <v>3045.259</v>
      </c>
      <c r="D17" s="1">
        <v>3464.7330000000002</v>
      </c>
      <c r="E17" s="1">
        <v>3118.3069999999998</v>
      </c>
      <c r="F17" s="1">
        <v>1311.933</v>
      </c>
      <c r="G17" s="7">
        <v>1</v>
      </c>
      <c r="H17" s="1">
        <v>50</v>
      </c>
      <c r="I17" s="1" t="s">
        <v>43</v>
      </c>
      <c r="J17" s="1"/>
      <c r="K17" s="1">
        <v>4089.0889999999999</v>
      </c>
      <c r="L17" s="1">
        <f t="shared" si="3"/>
        <v>-970.78200000000015</v>
      </c>
      <c r="M17" s="1">
        <f t="shared" si="4"/>
        <v>1418.0369999999998</v>
      </c>
      <c r="N17" s="1">
        <v>1700.27</v>
      </c>
      <c r="O17" s="1">
        <v>270.40264458688011</v>
      </c>
      <c r="P17" s="1"/>
      <c r="Q17" s="1">
        <v>888.46132639817574</v>
      </c>
      <c r="R17" s="1"/>
      <c r="S17" s="25"/>
      <c r="T17" s="1">
        <v>1103.604427857824</v>
      </c>
      <c r="U17" s="1">
        <f t="shared" si="5"/>
        <v>283.60739999999998</v>
      </c>
      <c r="V17" s="5"/>
      <c r="W17" s="5">
        <f>V17</f>
        <v>0</v>
      </c>
      <c r="X17" s="5">
        <f t="shared" si="6"/>
        <v>0</v>
      </c>
      <c r="Y17" s="5"/>
      <c r="Z17" s="1"/>
      <c r="AA17" s="1">
        <f t="shared" si="10"/>
        <v>12.603343209108365</v>
      </c>
      <c r="AB17" s="1">
        <f t="shared" si="7"/>
        <v>12.603343209108365</v>
      </c>
      <c r="AC17" s="1">
        <v>445.85719999999998</v>
      </c>
      <c r="AD17" s="1">
        <v>436.47500000000002</v>
      </c>
      <c r="AE17" s="1">
        <v>435.79059999999993</v>
      </c>
      <c r="AF17" s="1">
        <v>509.04079999999999</v>
      </c>
      <c r="AG17" s="1">
        <v>530.1232</v>
      </c>
      <c r="AH17" s="1">
        <v>537.54300000000001</v>
      </c>
      <c r="AI17" s="1">
        <v>623.73239999999998</v>
      </c>
      <c r="AJ17" s="1">
        <v>623.553</v>
      </c>
      <c r="AK17" s="1"/>
      <c r="AL17" s="1">
        <f t="shared" si="8"/>
        <v>0</v>
      </c>
      <c r="AM17" s="1">
        <f t="shared" si="9"/>
        <v>0</v>
      </c>
      <c r="AN17" t="s">
        <v>73</v>
      </c>
      <c r="AO17" t="str">
        <f>VLOOKUP(AN17,[2]Лист1!$A:$A,1,0)</f>
        <v>SU000126</v>
      </c>
    </row>
    <row r="18" spans="1:41" x14ac:dyDescent="0.25">
      <c r="A18" s="1" t="s">
        <v>74</v>
      </c>
      <c r="B18" s="1" t="s">
        <v>42</v>
      </c>
      <c r="C18" s="1">
        <v>328.6</v>
      </c>
      <c r="D18" s="1">
        <v>310.21800000000002</v>
      </c>
      <c r="E18" s="1">
        <v>448.40499999999997</v>
      </c>
      <c r="F18" s="1">
        <v>-10.763999999999999</v>
      </c>
      <c r="G18" s="7">
        <v>1</v>
      </c>
      <c r="H18" s="1">
        <v>60</v>
      </c>
      <c r="I18" s="1" t="s">
        <v>43</v>
      </c>
      <c r="J18" s="1"/>
      <c r="K18" s="1">
        <v>523.84400000000005</v>
      </c>
      <c r="L18" s="1">
        <f t="shared" si="3"/>
        <v>-75.439000000000078</v>
      </c>
      <c r="M18" s="1">
        <f t="shared" si="4"/>
        <v>146.16099999999994</v>
      </c>
      <c r="N18" s="1">
        <v>302.24400000000003</v>
      </c>
      <c r="O18" s="1"/>
      <c r="P18" s="1"/>
      <c r="Q18" s="1">
        <v>211.8583999999999</v>
      </c>
      <c r="R18" s="1"/>
      <c r="S18" s="25"/>
      <c r="T18" s="1"/>
      <c r="U18" s="1">
        <f t="shared" si="5"/>
        <v>29.232199999999988</v>
      </c>
      <c r="V18" s="5">
        <f>12*U18-T18-Q18-P18-O18-F18</f>
        <v>149.69199999999995</v>
      </c>
      <c r="W18" s="5">
        <f>V18</f>
        <v>149.69199999999995</v>
      </c>
      <c r="X18" s="5">
        <f t="shared" si="6"/>
        <v>149.69199999999995</v>
      </c>
      <c r="Y18" s="5"/>
      <c r="Z18" s="1"/>
      <c r="AA18" s="1">
        <f t="shared" si="10"/>
        <v>12</v>
      </c>
      <c r="AB18" s="1">
        <f t="shared" si="7"/>
        <v>6.8792085440028456</v>
      </c>
      <c r="AC18" s="1">
        <v>29.232199999999992</v>
      </c>
      <c r="AD18" s="1">
        <v>22.357199999999999</v>
      </c>
      <c r="AE18" s="1">
        <v>-0.251</v>
      </c>
      <c r="AF18" s="1">
        <v>23.059200000000001</v>
      </c>
      <c r="AG18" s="1">
        <v>27.917000000000002</v>
      </c>
      <c r="AH18" s="1">
        <v>18.902000000000001</v>
      </c>
      <c r="AI18" s="1">
        <v>36.507800000000003</v>
      </c>
      <c r="AJ18" s="1">
        <v>45.231999999999992</v>
      </c>
      <c r="AK18" s="1"/>
      <c r="AL18" s="1">
        <f t="shared" si="8"/>
        <v>150</v>
      </c>
      <c r="AM18" s="1">
        <f t="shared" si="9"/>
        <v>0</v>
      </c>
      <c r="AN18" t="s">
        <v>75</v>
      </c>
    </row>
    <row r="19" spans="1:41" x14ac:dyDescent="0.25">
      <c r="A19" s="9" t="s">
        <v>76</v>
      </c>
      <c r="B19" s="9" t="s">
        <v>42</v>
      </c>
      <c r="C19" s="9">
        <v>-4.9740000000000002</v>
      </c>
      <c r="D19" s="9"/>
      <c r="E19" s="13">
        <v>1.7549999999999999</v>
      </c>
      <c r="F19" s="13">
        <v>-27.492999999999999</v>
      </c>
      <c r="G19" s="10">
        <v>0</v>
      </c>
      <c r="H19" s="9"/>
      <c r="I19" s="9" t="s">
        <v>67</v>
      </c>
      <c r="J19" s="9" t="s">
        <v>77</v>
      </c>
      <c r="K19" s="9">
        <v>22.5</v>
      </c>
      <c r="L19" s="9">
        <f t="shared" si="3"/>
        <v>-20.745000000000001</v>
      </c>
      <c r="M19" s="9">
        <f t="shared" si="4"/>
        <v>1.7549999999999999</v>
      </c>
      <c r="N19" s="9"/>
      <c r="O19" s="9"/>
      <c r="P19" s="9"/>
      <c r="Q19" s="9">
        <v>0</v>
      </c>
      <c r="R19" s="9"/>
      <c r="S19" s="28"/>
      <c r="T19" s="9"/>
      <c r="U19" s="9">
        <f t="shared" si="5"/>
        <v>0.35099999999999998</v>
      </c>
      <c r="V19" s="11"/>
      <c r="W19" s="5">
        <f>V19</f>
        <v>0</v>
      </c>
      <c r="X19" s="5">
        <f t="shared" si="6"/>
        <v>0</v>
      </c>
      <c r="Y19" s="5"/>
      <c r="Z19" s="1"/>
      <c r="AA19" s="1">
        <f t="shared" si="10"/>
        <v>-78.327635327635335</v>
      </c>
      <c r="AB19" s="9">
        <f t="shared" si="7"/>
        <v>-78.327635327635335</v>
      </c>
      <c r="AC19" s="9">
        <v>0.35099999999999998</v>
      </c>
      <c r="AD19" s="9">
        <v>-0.36499999999999999</v>
      </c>
      <c r="AE19" s="9">
        <v>-0.51300000000000001</v>
      </c>
      <c r="AF19" s="9">
        <v>-0.14799999999999999</v>
      </c>
      <c r="AG19" s="9">
        <v>0</v>
      </c>
      <c r="AH19" s="9">
        <v>0.49480000000000002</v>
      </c>
      <c r="AI19" s="9">
        <v>0.49480000000000002</v>
      </c>
      <c r="AJ19" s="9">
        <v>0</v>
      </c>
      <c r="AK19" s="9"/>
      <c r="AL19" s="1">
        <f t="shared" si="8"/>
        <v>0</v>
      </c>
      <c r="AM19" s="1">
        <f t="shared" si="9"/>
        <v>0</v>
      </c>
      <c r="AN19" t="s">
        <v>78</v>
      </c>
      <c r="AO19" t="str">
        <f>VLOOKUP(AN19,[2]Лист1!$A:$A,1,0)</f>
        <v>SU004238</v>
      </c>
    </row>
    <row r="20" spans="1:41" x14ac:dyDescent="0.25">
      <c r="A20" s="9" t="s">
        <v>79</v>
      </c>
      <c r="B20" s="9" t="s">
        <v>42</v>
      </c>
      <c r="C20" s="9"/>
      <c r="D20" s="9"/>
      <c r="E20" s="9"/>
      <c r="F20" s="9"/>
      <c r="G20" s="10">
        <v>0</v>
      </c>
      <c r="H20" s="9"/>
      <c r="I20" s="9" t="s">
        <v>43</v>
      </c>
      <c r="J20" s="9"/>
      <c r="K20" s="9"/>
      <c r="L20" s="9">
        <f t="shared" si="3"/>
        <v>0</v>
      </c>
      <c r="M20" s="9">
        <f t="shared" si="4"/>
        <v>0</v>
      </c>
      <c r="N20" s="9"/>
      <c r="O20" s="9"/>
      <c r="P20" s="9"/>
      <c r="Q20" s="9">
        <v>0</v>
      </c>
      <c r="R20" s="9"/>
      <c r="S20" s="28"/>
      <c r="T20" s="9"/>
      <c r="U20" s="9">
        <f t="shared" si="5"/>
        <v>0</v>
      </c>
      <c r="V20" s="11"/>
      <c r="W20" s="5">
        <f>V20</f>
        <v>0</v>
      </c>
      <c r="X20" s="5">
        <f t="shared" si="6"/>
        <v>0</v>
      </c>
      <c r="Y20" s="5"/>
      <c r="Z20" s="1"/>
      <c r="AA20" s="1" t="e">
        <f t="shared" si="10"/>
        <v>#DIV/0!</v>
      </c>
      <c r="AB20" s="9" t="e">
        <f t="shared" si="7"/>
        <v>#DIV/0!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 t="s">
        <v>80</v>
      </c>
      <c r="AL20" s="1">
        <f t="shared" si="8"/>
        <v>0</v>
      </c>
      <c r="AM20" s="1">
        <f t="shared" si="9"/>
        <v>0</v>
      </c>
      <c r="AN20" t="s">
        <v>81</v>
      </c>
    </row>
    <row r="21" spans="1:41" x14ac:dyDescent="0.25">
      <c r="A21" s="1" t="s">
        <v>82</v>
      </c>
      <c r="B21" s="1" t="s">
        <v>42</v>
      </c>
      <c r="C21" s="1">
        <v>4.0739999999999998</v>
      </c>
      <c r="D21" s="1">
        <v>20.452000000000002</v>
      </c>
      <c r="E21" s="1">
        <v>4.4169999999999998</v>
      </c>
      <c r="F21" s="1">
        <v>21.475999999999999</v>
      </c>
      <c r="G21" s="7">
        <v>1</v>
      </c>
      <c r="H21" s="1">
        <v>180</v>
      </c>
      <c r="I21" s="1" t="s">
        <v>43</v>
      </c>
      <c r="J21" s="1"/>
      <c r="K21" s="1">
        <v>3.2</v>
      </c>
      <c r="L21" s="1">
        <f t="shared" si="3"/>
        <v>1.2169999999999996</v>
      </c>
      <c r="M21" s="1">
        <f t="shared" si="4"/>
        <v>4.4169999999999998</v>
      </c>
      <c r="N21" s="1"/>
      <c r="O21" s="1"/>
      <c r="P21" s="1"/>
      <c r="Q21" s="1">
        <v>0</v>
      </c>
      <c r="R21" s="1"/>
      <c r="S21" s="25"/>
      <c r="T21" s="1"/>
      <c r="U21" s="1">
        <f t="shared" si="5"/>
        <v>0.88339999999999996</v>
      </c>
      <c r="V21" s="5"/>
      <c r="W21" s="5">
        <f>V21</f>
        <v>0</v>
      </c>
      <c r="X21" s="5">
        <f t="shared" si="6"/>
        <v>0</v>
      </c>
      <c r="Y21" s="5"/>
      <c r="Z21" s="1"/>
      <c r="AA21" s="1">
        <f t="shared" si="10"/>
        <v>24.310618066561013</v>
      </c>
      <c r="AB21" s="1">
        <f t="shared" si="7"/>
        <v>24.310618066561013</v>
      </c>
      <c r="AC21" s="1">
        <v>0.88339999999999996</v>
      </c>
      <c r="AD21" s="1">
        <v>1.4618</v>
      </c>
      <c r="AE21" s="1">
        <v>1.1292</v>
      </c>
      <c r="AF21" s="1">
        <v>0.64200000000000002</v>
      </c>
      <c r="AG21" s="1">
        <v>0.42899999999999999</v>
      </c>
      <c r="AH21" s="1">
        <v>1.0448</v>
      </c>
      <c r="AI21" s="1">
        <v>1.1863999999999999</v>
      </c>
      <c r="AJ21" s="1">
        <v>0.42980000000000002</v>
      </c>
      <c r="AK21" s="16" t="s">
        <v>83</v>
      </c>
      <c r="AL21" s="1">
        <f t="shared" si="8"/>
        <v>0</v>
      </c>
      <c r="AM21" s="1">
        <f t="shared" si="9"/>
        <v>0</v>
      </c>
      <c r="AN21" t="s">
        <v>84</v>
      </c>
    </row>
    <row r="22" spans="1:41" x14ac:dyDescent="0.25">
      <c r="A22" s="1" t="s">
        <v>85</v>
      </c>
      <c r="B22" s="1" t="s">
        <v>42</v>
      </c>
      <c r="C22" s="1">
        <v>4132.4440000000004</v>
      </c>
      <c r="D22" s="1">
        <v>9744.6650000000009</v>
      </c>
      <c r="E22" s="1">
        <v>5972.8879999999999</v>
      </c>
      <c r="F22" s="1">
        <v>5774.89</v>
      </c>
      <c r="G22" s="7">
        <v>1</v>
      </c>
      <c r="H22" s="1">
        <v>60</v>
      </c>
      <c r="I22" s="1" t="s">
        <v>43</v>
      </c>
      <c r="J22" s="1"/>
      <c r="K22" s="1">
        <v>5380.9189999999999</v>
      </c>
      <c r="L22" s="1">
        <f t="shared" si="3"/>
        <v>591.96900000000005</v>
      </c>
      <c r="M22" s="1">
        <f t="shared" si="4"/>
        <v>5972.8879999999999</v>
      </c>
      <c r="N22" s="1"/>
      <c r="O22" s="1">
        <v>3489.2332883200011</v>
      </c>
      <c r="P22" s="1"/>
      <c r="Q22" s="1">
        <v>1826.1224807039989</v>
      </c>
      <c r="R22" s="1"/>
      <c r="S22" s="25"/>
      <c r="T22" s="1">
        <v>2268.3225432959989</v>
      </c>
      <c r="U22" s="1">
        <f t="shared" si="5"/>
        <v>1194.5776000000001</v>
      </c>
      <c r="V22" s="5">
        <f>12*U22-T22-Q22-P22-O22-F22</f>
        <v>976.36288768000031</v>
      </c>
      <c r="W22" s="5">
        <v>0</v>
      </c>
      <c r="X22" s="5">
        <f t="shared" si="6"/>
        <v>0</v>
      </c>
      <c r="Y22" s="5"/>
      <c r="Z22" s="1"/>
      <c r="AA22" s="1">
        <f t="shared" si="10"/>
        <v>11.182671023062879</v>
      </c>
      <c r="AB22" s="1">
        <f t="shared" si="7"/>
        <v>11.182671023062879</v>
      </c>
      <c r="AC22" s="1">
        <v>1235.5082</v>
      </c>
      <c r="AD22" s="1">
        <v>1204.5540000000001</v>
      </c>
      <c r="AE22" s="1">
        <v>901.40879999999993</v>
      </c>
      <c r="AF22" s="1">
        <v>763.35619999999994</v>
      </c>
      <c r="AG22" s="1">
        <v>859.37340000000006</v>
      </c>
      <c r="AH22" s="1">
        <v>796.55060000000003</v>
      </c>
      <c r="AI22" s="1">
        <v>870.48359999999991</v>
      </c>
      <c r="AJ22" s="1">
        <v>625.42460000000005</v>
      </c>
      <c r="AK22" s="1"/>
      <c r="AL22" s="1">
        <f t="shared" si="8"/>
        <v>0</v>
      </c>
      <c r="AM22" s="1">
        <f t="shared" si="9"/>
        <v>0</v>
      </c>
      <c r="AN22" t="s">
        <v>86</v>
      </c>
    </row>
    <row r="23" spans="1:41" x14ac:dyDescent="0.25">
      <c r="A23" s="9" t="s">
        <v>87</v>
      </c>
      <c r="B23" s="9" t="s">
        <v>42</v>
      </c>
      <c r="C23" s="9">
        <v>-7.4930000000000003</v>
      </c>
      <c r="D23" s="9"/>
      <c r="E23" s="13">
        <v>4.97</v>
      </c>
      <c r="F23" s="13">
        <v>-12.462999999999999</v>
      </c>
      <c r="G23" s="10">
        <v>0</v>
      </c>
      <c r="H23" s="9"/>
      <c r="I23" s="9" t="s">
        <v>67</v>
      </c>
      <c r="J23" s="9" t="s">
        <v>88</v>
      </c>
      <c r="K23" s="9">
        <v>5</v>
      </c>
      <c r="L23" s="9">
        <f t="shared" si="3"/>
        <v>-3.0000000000000249E-2</v>
      </c>
      <c r="M23" s="9">
        <f t="shared" si="4"/>
        <v>4.97</v>
      </c>
      <c r="N23" s="9"/>
      <c r="O23" s="9"/>
      <c r="P23" s="9"/>
      <c r="Q23" s="9">
        <v>0</v>
      </c>
      <c r="R23" s="9"/>
      <c r="S23" s="28"/>
      <c r="T23" s="9"/>
      <c r="U23" s="9">
        <f t="shared" si="5"/>
        <v>0.99399999999999999</v>
      </c>
      <c r="V23" s="11"/>
      <c r="W23" s="5">
        <f>V23</f>
        <v>0</v>
      </c>
      <c r="X23" s="5">
        <f t="shared" si="6"/>
        <v>0</v>
      </c>
      <c r="Y23" s="5"/>
      <c r="Z23" s="1"/>
      <c r="AA23" s="1">
        <f t="shared" si="10"/>
        <v>-12.538229376257545</v>
      </c>
      <c r="AB23" s="9">
        <f t="shared" si="7"/>
        <v>-12.538229376257545</v>
      </c>
      <c r="AC23" s="9">
        <v>0.99399999999999999</v>
      </c>
      <c r="AD23" s="9">
        <v>0</v>
      </c>
      <c r="AE23" s="9">
        <v>0</v>
      </c>
      <c r="AF23" s="9">
        <v>0</v>
      </c>
      <c r="AG23" s="9">
        <v>0</v>
      </c>
      <c r="AH23" s="9">
        <v>1.4985999999999999</v>
      </c>
      <c r="AI23" s="9">
        <v>1.4985999999999999</v>
      </c>
      <c r="AJ23" s="9">
        <v>0</v>
      </c>
      <c r="AK23" s="9"/>
      <c r="AL23" s="1">
        <f t="shared" si="8"/>
        <v>0</v>
      </c>
      <c r="AM23" s="1">
        <f t="shared" si="9"/>
        <v>0</v>
      </c>
      <c r="AN23" t="s">
        <v>89</v>
      </c>
      <c r="AO23" t="str">
        <f>VLOOKUP(AN23,[2]Лист1!$A:$A,1,0)</f>
        <v>SU003422</v>
      </c>
    </row>
    <row r="24" spans="1:41" x14ac:dyDescent="0.25">
      <c r="A24" s="1" t="s">
        <v>90</v>
      </c>
      <c r="B24" s="1" t="s">
        <v>42</v>
      </c>
      <c r="C24" s="1">
        <v>335.72899999999998</v>
      </c>
      <c r="D24" s="1">
        <v>1254.8689999999999</v>
      </c>
      <c r="E24" s="1">
        <v>209.511</v>
      </c>
      <c r="F24" s="1">
        <v>583.08699999999999</v>
      </c>
      <c r="G24" s="7">
        <v>1</v>
      </c>
      <c r="H24" s="1">
        <v>70</v>
      </c>
      <c r="I24" s="1" t="s">
        <v>43</v>
      </c>
      <c r="J24" s="1"/>
      <c r="K24" s="1">
        <v>1037.5450000000001</v>
      </c>
      <c r="L24" s="1">
        <f t="shared" si="3"/>
        <v>-828.03400000000011</v>
      </c>
      <c r="M24" s="1">
        <f t="shared" si="4"/>
        <v>108.401</v>
      </c>
      <c r="N24" s="1">
        <v>101.11</v>
      </c>
      <c r="O24" s="1"/>
      <c r="P24" s="1"/>
      <c r="Q24" s="1">
        <v>0</v>
      </c>
      <c r="R24" s="1"/>
      <c r="S24" s="25"/>
      <c r="T24" s="1"/>
      <c r="U24" s="1">
        <f t="shared" si="5"/>
        <v>21.680199999999999</v>
      </c>
      <c r="V24" s="5"/>
      <c r="W24" s="5">
        <f>V24</f>
        <v>0</v>
      </c>
      <c r="X24" s="5">
        <f t="shared" si="6"/>
        <v>0</v>
      </c>
      <c r="Y24" s="5"/>
      <c r="Z24" s="1"/>
      <c r="AA24" s="1">
        <f t="shared" si="10"/>
        <v>26.894908718554259</v>
      </c>
      <c r="AB24" s="1">
        <f t="shared" si="7"/>
        <v>26.894908718554259</v>
      </c>
      <c r="AC24" s="1">
        <v>72.813199999999995</v>
      </c>
      <c r="AD24" s="1">
        <v>77.070599999999999</v>
      </c>
      <c r="AE24" s="1">
        <v>121.82040000000001</v>
      </c>
      <c r="AF24" s="1">
        <v>64.7166</v>
      </c>
      <c r="AG24" s="1">
        <v>29.255199999999999</v>
      </c>
      <c r="AH24" s="1">
        <v>86.518400000000014</v>
      </c>
      <c r="AI24" s="1">
        <v>112.26900000000001</v>
      </c>
      <c r="AJ24" s="1">
        <v>80.832799999999992</v>
      </c>
      <c r="AK24" s="16" t="s">
        <v>83</v>
      </c>
      <c r="AL24" s="1">
        <f t="shared" si="8"/>
        <v>0</v>
      </c>
      <c r="AM24" s="1">
        <f t="shared" si="9"/>
        <v>0</v>
      </c>
      <c r="AN24" t="s">
        <v>91</v>
      </c>
    </row>
    <row r="25" spans="1:41" x14ac:dyDescent="0.25">
      <c r="A25" s="1" t="s">
        <v>92</v>
      </c>
      <c r="B25" s="1" t="s">
        <v>42</v>
      </c>
      <c r="C25" s="1">
        <v>1316.174</v>
      </c>
      <c r="D25" s="1">
        <v>1676.538</v>
      </c>
      <c r="E25" s="1">
        <v>1398.375</v>
      </c>
      <c r="F25" s="1">
        <v>990.20899999999995</v>
      </c>
      <c r="G25" s="7">
        <v>1</v>
      </c>
      <c r="H25" s="1">
        <v>70</v>
      </c>
      <c r="I25" s="1" t="s">
        <v>43</v>
      </c>
      <c r="J25" s="1"/>
      <c r="K25" s="1">
        <v>1519.923</v>
      </c>
      <c r="L25" s="1">
        <f t="shared" si="3"/>
        <v>-121.548</v>
      </c>
      <c r="M25" s="1">
        <f t="shared" si="4"/>
        <v>1063.414</v>
      </c>
      <c r="N25" s="1">
        <v>334.96100000000001</v>
      </c>
      <c r="O25" s="1">
        <v>457.30278177584012</v>
      </c>
      <c r="P25" s="1"/>
      <c r="Q25" s="1">
        <v>322.91478138456802</v>
      </c>
      <c r="R25" s="1"/>
      <c r="S25" s="25"/>
      <c r="T25" s="1">
        <v>401.10939212343197</v>
      </c>
      <c r="U25" s="1">
        <f t="shared" si="5"/>
        <v>212.68279999999999</v>
      </c>
      <c r="V25" s="5">
        <f>12*U25-T25-Q25-P25-O25-F25</f>
        <v>380.65764471615955</v>
      </c>
      <c r="W25" s="5">
        <f>V25+$W$1*U25</f>
        <v>589.0867887161595</v>
      </c>
      <c r="X25" s="5">
        <f t="shared" si="6"/>
        <v>589.0867887161595</v>
      </c>
      <c r="Y25" s="5"/>
      <c r="Z25" s="1"/>
      <c r="AA25" s="1">
        <f t="shared" si="10"/>
        <v>12.979999999999997</v>
      </c>
      <c r="AB25" s="1">
        <f t="shared" si="7"/>
        <v>10.210209548133841</v>
      </c>
      <c r="AC25" s="1">
        <v>230.36799999999999</v>
      </c>
      <c r="AD25" s="1">
        <v>244.7884</v>
      </c>
      <c r="AE25" s="1">
        <v>233.47839999999999</v>
      </c>
      <c r="AF25" s="1">
        <v>197.40940000000001</v>
      </c>
      <c r="AG25" s="1">
        <v>248.37119999999999</v>
      </c>
      <c r="AH25" s="1">
        <v>254.24639999999999</v>
      </c>
      <c r="AI25" s="1">
        <v>255.9778</v>
      </c>
      <c r="AJ25" s="1">
        <v>183.00020000000001</v>
      </c>
      <c r="AK25" s="1"/>
      <c r="AL25" s="1">
        <f t="shared" si="8"/>
        <v>589</v>
      </c>
      <c r="AM25" s="1">
        <f t="shared" si="9"/>
        <v>0</v>
      </c>
      <c r="AN25" t="s">
        <v>93</v>
      </c>
    </row>
    <row r="26" spans="1:41" x14ac:dyDescent="0.25">
      <c r="A26" s="9" t="s">
        <v>94</v>
      </c>
      <c r="B26" s="9" t="s">
        <v>42</v>
      </c>
      <c r="C26" s="9"/>
      <c r="D26" s="9"/>
      <c r="E26" s="9"/>
      <c r="F26" s="9"/>
      <c r="G26" s="10">
        <v>0</v>
      </c>
      <c r="H26" s="9"/>
      <c r="I26" s="9" t="s">
        <v>43</v>
      </c>
      <c r="J26" s="9"/>
      <c r="K26" s="9"/>
      <c r="L26" s="9">
        <f t="shared" si="3"/>
        <v>0</v>
      </c>
      <c r="M26" s="9">
        <f t="shared" si="4"/>
        <v>0</v>
      </c>
      <c r="N26" s="9"/>
      <c r="O26" s="9"/>
      <c r="P26" s="9"/>
      <c r="Q26" s="9">
        <v>0</v>
      </c>
      <c r="R26" s="9"/>
      <c r="S26" s="28"/>
      <c r="T26" s="9"/>
      <c r="U26" s="9">
        <f t="shared" si="5"/>
        <v>0</v>
      </c>
      <c r="V26" s="11"/>
      <c r="W26" s="5">
        <f>V26</f>
        <v>0</v>
      </c>
      <c r="X26" s="5">
        <f t="shared" si="6"/>
        <v>0</v>
      </c>
      <c r="Y26" s="5"/>
      <c r="Z26" s="1"/>
      <c r="AA26" s="1" t="e">
        <f t="shared" si="10"/>
        <v>#DIV/0!</v>
      </c>
      <c r="AB26" s="9" t="e">
        <f t="shared" si="7"/>
        <v>#DIV/0!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 t="s">
        <v>80</v>
      </c>
      <c r="AL26" s="1">
        <f t="shared" si="8"/>
        <v>0</v>
      </c>
      <c r="AM26" s="1">
        <f t="shared" si="9"/>
        <v>0</v>
      </c>
      <c r="AN26" t="s">
        <v>95</v>
      </c>
    </row>
    <row r="27" spans="1:41" x14ac:dyDescent="0.25">
      <c r="A27" s="1" t="s">
        <v>96</v>
      </c>
      <c r="B27" s="1" t="s">
        <v>42</v>
      </c>
      <c r="C27" s="1">
        <v>2323.6109999999999</v>
      </c>
      <c r="D27" s="1">
        <v>2015.317</v>
      </c>
      <c r="E27" s="1">
        <v>2505.23</v>
      </c>
      <c r="F27" s="1">
        <v>633.43299999999999</v>
      </c>
      <c r="G27" s="7">
        <v>1</v>
      </c>
      <c r="H27" s="1">
        <v>70</v>
      </c>
      <c r="I27" s="1" t="s">
        <v>43</v>
      </c>
      <c r="J27" s="1"/>
      <c r="K27" s="1">
        <v>2693.62</v>
      </c>
      <c r="L27" s="1">
        <f t="shared" si="3"/>
        <v>-188.38999999999987</v>
      </c>
      <c r="M27" s="1">
        <f t="shared" si="4"/>
        <v>1782.2339999999999</v>
      </c>
      <c r="N27" s="1">
        <v>722.99599999999998</v>
      </c>
      <c r="O27" s="1">
        <v>416</v>
      </c>
      <c r="P27" s="1"/>
      <c r="Q27" s="1">
        <v>1084.23770304</v>
      </c>
      <c r="R27" s="1"/>
      <c r="S27" s="25"/>
      <c r="T27" s="1">
        <v>1346.7885369600001</v>
      </c>
      <c r="U27" s="1">
        <f t="shared" si="5"/>
        <v>356.4468</v>
      </c>
      <c r="V27" s="5">
        <f>12*U27-T27-Q27-P27-O27-F27</f>
        <v>796.90236000000027</v>
      </c>
      <c r="W27" s="5">
        <f>V27+$W$1*U27</f>
        <v>1146.2202240000001</v>
      </c>
      <c r="X27" s="5">
        <f t="shared" si="6"/>
        <v>1146.2202240000001</v>
      </c>
      <c r="Y27" s="5"/>
      <c r="Z27" s="1"/>
      <c r="AA27" s="1">
        <f t="shared" si="10"/>
        <v>12.980000000000002</v>
      </c>
      <c r="AB27" s="1">
        <f t="shared" si="7"/>
        <v>9.7643161335716862</v>
      </c>
      <c r="AC27" s="1">
        <v>377.3442</v>
      </c>
      <c r="AD27" s="1">
        <v>436.64600000000002</v>
      </c>
      <c r="AE27" s="1">
        <v>375.16520000000003</v>
      </c>
      <c r="AF27" s="1">
        <v>497.58879999999999</v>
      </c>
      <c r="AG27" s="1">
        <v>453.67960000000011</v>
      </c>
      <c r="AH27" s="1">
        <v>417.40320000000003</v>
      </c>
      <c r="AI27" s="1">
        <v>457.06279999999998</v>
      </c>
      <c r="AJ27" s="1">
        <v>304.71480000000003</v>
      </c>
      <c r="AK27" s="1"/>
      <c r="AL27" s="1">
        <f t="shared" si="8"/>
        <v>1146</v>
      </c>
      <c r="AM27" s="1">
        <f t="shared" si="9"/>
        <v>0</v>
      </c>
      <c r="AN27" t="s">
        <v>97</v>
      </c>
    </row>
    <row r="28" spans="1:41" x14ac:dyDescent="0.25">
      <c r="A28" s="1" t="s">
        <v>98</v>
      </c>
      <c r="B28" s="1" t="s">
        <v>42</v>
      </c>
      <c r="C28" s="1">
        <v>81.498000000000005</v>
      </c>
      <c r="D28" s="1"/>
      <c r="E28" s="1">
        <v>6.5110000000000001</v>
      </c>
      <c r="F28" s="1">
        <v>69.201999999999998</v>
      </c>
      <c r="G28" s="7">
        <v>1</v>
      </c>
      <c r="H28" s="1">
        <v>40</v>
      </c>
      <c r="I28" s="1" t="s">
        <v>43</v>
      </c>
      <c r="J28" s="1"/>
      <c r="K28" s="1">
        <v>7.2</v>
      </c>
      <c r="L28" s="1">
        <f t="shared" si="3"/>
        <v>-0.68900000000000006</v>
      </c>
      <c r="M28" s="1">
        <f t="shared" si="4"/>
        <v>6.5110000000000001</v>
      </c>
      <c r="N28" s="1"/>
      <c r="O28" s="1"/>
      <c r="P28" s="1"/>
      <c r="Q28" s="1">
        <v>0</v>
      </c>
      <c r="R28" s="1"/>
      <c r="S28" s="25"/>
      <c r="T28" s="1"/>
      <c r="U28" s="1">
        <f t="shared" si="5"/>
        <v>1.3022</v>
      </c>
      <c r="V28" s="5"/>
      <c r="W28" s="5">
        <f t="shared" ref="W28:W38" si="12">V28</f>
        <v>0</v>
      </c>
      <c r="X28" s="5">
        <f t="shared" si="6"/>
        <v>0</v>
      </c>
      <c r="Y28" s="5"/>
      <c r="Z28" s="1"/>
      <c r="AA28" s="1">
        <f t="shared" si="10"/>
        <v>53.142374443249885</v>
      </c>
      <c r="AB28" s="1">
        <f t="shared" si="7"/>
        <v>53.142374443249885</v>
      </c>
      <c r="AC28" s="1">
        <v>1.3022</v>
      </c>
      <c r="AD28" s="1">
        <v>1.9805999999999999</v>
      </c>
      <c r="AE28" s="1">
        <v>1.2582</v>
      </c>
      <c r="AF28" s="1">
        <v>0.73199999999999998</v>
      </c>
      <c r="AG28" s="1">
        <v>1.3146</v>
      </c>
      <c r="AH28" s="1">
        <v>7.8512000000000004</v>
      </c>
      <c r="AI28" s="1">
        <v>8.7356000000000016</v>
      </c>
      <c r="AJ28" s="1">
        <v>3.5047999999999999</v>
      </c>
      <c r="AK28" s="12" t="s">
        <v>99</v>
      </c>
      <c r="AL28" s="1">
        <f t="shared" si="8"/>
        <v>0</v>
      </c>
      <c r="AM28" s="1">
        <f t="shared" si="9"/>
        <v>0</v>
      </c>
      <c r="AN28" t="s">
        <v>100</v>
      </c>
    </row>
    <row r="29" spans="1:41" x14ac:dyDescent="0.25">
      <c r="A29" s="9" t="s">
        <v>101</v>
      </c>
      <c r="B29" s="9" t="s">
        <v>42</v>
      </c>
      <c r="C29" s="9"/>
      <c r="D29" s="9"/>
      <c r="E29" s="9"/>
      <c r="F29" s="9"/>
      <c r="G29" s="10">
        <v>0</v>
      </c>
      <c r="H29" s="9"/>
      <c r="I29" s="9" t="s">
        <v>43</v>
      </c>
      <c r="J29" s="9"/>
      <c r="K29" s="9"/>
      <c r="L29" s="9">
        <f t="shared" si="3"/>
        <v>0</v>
      </c>
      <c r="M29" s="9">
        <f t="shared" si="4"/>
        <v>0</v>
      </c>
      <c r="N29" s="9"/>
      <c r="O29" s="9"/>
      <c r="P29" s="9"/>
      <c r="Q29" s="9">
        <v>0</v>
      </c>
      <c r="R29" s="9"/>
      <c r="S29" s="28"/>
      <c r="T29" s="9"/>
      <c r="U29" s="9">
        <f t="shared" si="5"/>
        <v>0</v>
      </c>
      <c r="V29" s="11"/>
      <c r="W29" s="5">
        <f t="shared" si="12"/>
        <v>0</v>
      </c>
      <c r="X29" s="5">
        <f t="shared" si="6"/>
        <v>0</v>
      </c>
      <c r="Y29" s="5"/>
      <c r="Z29" s="1"/>
      <c r="AA29" s="1" t="e">
        <f t="shared" si="10"/>
        <v>#DIV/0!</v>
      </c>
      <c r="AB29" s="9" t="e">
        <f t="shared" si="7"/>
        <v>#DIV/0!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 t="s">
        <v>80</v>
      </c>
      <c r="AL29" s="1">
        <f t="shared" si="8"/>
        <v>0</v>
      </c>
      <c r="AM29" s="1">
        <f t="shared" si="9"/>
        <v>0</v>
      </c>
      <c r="AN29" t="s">
        <v>102</v>
      </c>
    </row>
    <row r="30" spans="1:41" x14ac:dyDescent="0.25">
      <c r="A30" s="9" t="s">
        <v>103</v>
      </c>
      <c r="B30" s="9" t="s">
        <v>42</v>
      </c>
      <c r="C30" s="9"/>
      <c r="D30" s="9"/>
      <c r="E30" s="9"/>
      <c r="F30" s="9"/>
      <c r="G30" s="10">
        <v>0</v>
      </c>
      <c r="H30" s="9"/>
      <c r="I30" s="9" t="s">
        <v>43</v>
      </c>
      <c r="J30" s="9"/>
      <c r="K30" s="9"/>
      <c r="L30" s="9">
        <f t="shared" si="3"/>
        <v>0</v>
      </c>
      <c r="M30" s="9">
        <f t="shared" si="4"/>
        <v>0</v>
      </c>
      <c r="N30" s="9"/>
      <c r="O30" s="9"/>
      <c r="P30" s="9"/>
      <c r="Q30" s="9">
        <v>0</v>
      </c>
      <c r="R30" s="9"/>
      <c r="S30" s="28"/>
      <c r="T30" s="9"/>
      <c r="U30" s="9">
        <f t="shared" si="5"/>
        <v>0</v>
      </c>
      <c r="V30" s="11"/>
      <c r="W30" s="5">
        <f t="shared" si="12"/>
        <v>0</v>
      </c>
      <c r="X30" s="5">
        <f t="shared" si="6"/>
        <v>0</v>
      </c>
      <c r="Y30" s="5"/>
      <c r="Z30" s="1"/>
      <c r="AA30" s="1" t="e">
        <f t="shared" si="10"/>
        <v>#DIV/0!</v>
      </c>
      <c r="AB30" s="9" t="e">
        <f t="shared" si="7"/>
        <v>#DIV/0!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 t="s">
        <v>80</v>
      </c>
      <c r="AL30" s="1">
        <f t="shared" si="8"/>
        <v>0</v>
      </c>
      <c r="AM30" s="1">
        <f t="shared" si="9"/>
        <v>0</v>
      </c>
      <c r="AN30" t="s">
        <v>104</v>
      </c>
    </row>
    <row r="31" spans="1:41" x14ac:dyDescent="0.25">
      <c r="A31" s="1" t="s">
        <v>105</v>
      </c>
      <c r="B31" s="1" t="s">
        <v>42</v>
      </c>
      <c r="C31" s="1">
        <v>1400.299</v>
      </c>
      <c r="D31" s="1">
        <v>2826.5219999999999</v>
      </c>
      <c r="E31" s="1">
        <v>3172.8249999999998</v>
      </c>
      <c r="F31" s="1">
        <v>187.90199999999999</v>
      </c>
      <c r="G31" s="7">
        <v>1</v>
      </c>
      <c r="H31" s="1">
        <v>30</v>
      </c>
      <c r="I31" s="15" t="s">
        <v>106</v>
      </c>
      <c r="J31" s="1"/>
      <c r="K31" s="1">
        <v>2490.0369999999998</v>
      </c>
      <c r="L31" s="1">
        <f t="shared" si="3"/>
        <v>682.78800000000001</v>
      </c>
      <c r="M31" s="1">
        <f t="shared" si="4"/>
        <v>2203.2379999999998</v>
      </c>
      <c r="N31" s="1">
        <v>969.58699999999999</v>
      </c>
      <c r="O31" s="1">
        <v>416</v>
      </c>
      <c r="P31" s="1"/>
      <c r="Q31" s="1">
        <v>668.99999999999989</v>
      </c>
      <c r="R31" s="1"/>
      <c r="S31" s="25"/>
      <c r="T31" s="1">
        <v>831.00000000000011</v>
      </c>
      <c r="U31" s="1">
        <f t="shared" si="5"/>
        <v>440.64759999999995</v>
      </c>
      <c r="V31" s="5">
        <f>11*U31-T31-Q31-P31-O31-F31</f>
        <v>2743.2215999999999</v>
      </c>
      <c r="W31" s="5">
        <f t="shared" si="12"/>
        <v>2743.2215999999999</v>
      </c>
      <c r="X31" s="5">
        <v>2610</v>
      </c>
      <c r="Y31" s="5">
        <f>W31*0.5</f>
        <v>1371.6107999999999</v>
      </c>
      <c r="Z31" s="1"/>
      <c r="AA31" s="1">
        <f t="shared" si="10"/>
        <v>13.810384534035817</v>
      </c>
      <c r="AB31" s="1">
        <f t="shared" si="7"/>
        <v>4.7745681583197097</v>
      </c>
      <c r="AC31" s="1">
        <v>365.18979999999999</v>
      </c>
      <c r="AD31" s="1">
        <v>310.87279999999998</v>
      </c>
      <c r="AE31" s="1">
        <v>178.89779999999999</v>
      </c>
      <c r="AF31" s="1">
        <v>437.43319999999989</v>
      </c>
      <c r="AG31" s="1">
        <v>568.72439999999995</v>
      </c>
      <c r="AH31" s="1">
        <v>251.48259999999999</v>
      </c>
      <c r="AI31" s="1">
        <v>368.85539999999997</v>
      </c>
      <c r="AJ31" s="1">
        <v>396.49419999999998</v>
      </c>
      <c r="AK31" s="1"/>
      <c r="AL31" s="1">
        <f t="shared" si="8"/>
        <v>2610</v>
      </c>
      <c r="AM31" s="1">
        <f t="shared" si="9"/>
        <v>1372</v>
      </c>
      <c r="AN31" t="s">
        <v>107</v>
      </c>
    </row>
    <row r="32" spans="1:41" x14ac:dyDescent="0.25">
      <c r="A32" s="9" t="s">
        <v>108</v>
      </c>
      <c r="B32" s="9" t="s">
        <v>42</v>
      </c>
      <c r="C32" s="9">
        <v>-0.23</v>
      </c>
      <c r="D32" s="9"/>
      <c r="E32" s="9"/>
      <c r="F32" s="9">
        <v>-0.23</v>
      </c>
      <c r="G32" s="10">
        <v>0</v>
      </c>
      <c r="H32" s="9">
        <v>40</v>
      </c>
      <c r="I32" s="9" t="s">
        <v>67</v>
      </c>
      <c r="J32" s="9"/>
      <c r="K32" s="9"/>
      <c r="L32" s="9">
        <f t="shared" si="3"/>
        <v>0</v>
      </c>
      <c r="M32" s="9">
        <f t="shared" si="4"/>
        <v>0</v>
      </c>
      <c r="N32" s="9"/>
      <c r="O32" s="9"/>
      <c r="P32" s="9"/>
      <c r="Q32" s="9">
        <v>0</v>
      </c>
      <c r="R32" s="9"/>
      <c r="S32" s="28"/>
      <c r="T32" s="9"/>
      <c r="U32" s="9">
        <f t="shared" si="5"/>
        <v>0</v>
      </c>
      <c r="V32" s="11"/>
      <c r="W32" s="5">
        <f t="shared" si="12"/>
        <v>0</v>
      </c>
      <c r="X32" s="5">
        <f>W32-Y32</f>
        <v>0</v>
      </c>
      <c r="Y32" s="5"/>
      <c r="Z32" s="1"/>
      <c r="AA32" s="1" t="e">
        <f t="shared" si="10"/>
        <v>#DIV/0!</v>
      </c>
      <c r="AB32" s="9" t="e">
        <f t="shared" si="7"/>
        <v>#DIV/0!</v>
      </c>
      <c r="AC32" s="9">
        <v>0</v>
      </c>
      <c r="AD32" s="9">
        <v>0</v>
      </c>
      <c r="AE32" s="9">
        <v>0</v>
      </c>
      <c r="AF32" s="9">
        <v>0</v>
      </c>
      <c r="AG32" s="9">
        <v>-9.8000000000000004E-2</v>
      </c>
      <c r="AH32" s="9">
        <v>12.5518</v>
      </c>
      <c r="AI32" s="9">
        <v>13.9894</v>
      </c>
      <c r="AJ32" s="9">
        <v>4.5703999999999994</v>
      </c>
      <c r="AK32" s="9"/>
      <c r="AL32" s="1">
        <f t="shared" si="8"/>
        <v>0</v>
      </c>
      <c r="AM32" s="1">
        <f t="shared" si="9"/>
        <v>0</v>
      </c>
      <c r="AN32" t="s">
        <v>109</v>
      </c>
    </row>
    <row r="33" spans="1:40" x14ac:dyDescent="0.25">
      <c r="A33" s="1" t="s">
        <v>110</v>
      </c>
      <c r="B33" s="1" t="s">
        <v>42</v>
      </c>
      <c r="C33" s="1">
        <v>1148.73</v>
      </c>
      <c r="D33" s="1">
        <v>431.798</v>
      </c>
      <c r="E33" s="1">
        <v>3281.402</v>
      </c>
      <c r="F33" s="1">
        <v>-114.405</v>
      </c>
      <c r="G33" s="7">
        <v>1</v>
      </c>
      <c r="H33" s="1">
        <v>40</v>
      </c>
      <c r="I33" s="15" t="s">
        <v>106</v>
      </c>
      <c r="J33" s="1"/>
      <c r="K33" s="1">
        <v>3984.6759999999999</v>
      </c>
      <c r="L33" s="1">
        <f t="shared" si="3"/>
        <v>-703.27399999999989</v>
      </c>
      <c r="M33" s="1">
        <f t="shared" si="4"/>
        <v>3281.402</v>
      </c>
      <c r="N33" s="1"/>
      <c r="O33" s="1">
        <v>520</v>
      </c>
      <c r="P33" s="1">
        <v>-522</v>
      </c>
      <c r="Q33" s="1">
        <v>892</v>
      </c>
      <c r="R33" s="1"/>
      <c r="S33" s="25"/>
      <c r="T33" s="1">
        <v>1208</v>
      </c>
      <c r="U33" s="1">
        <f t="shared" si="5"/>
        <v>656.28039999999999</v>
      </c>
      <c r="V33" s="5">
        <v>2200</v>
      </c>
      <c r="W33" s="5">
        <f t="shared" si="12"/>
        <v>2200</v>
      </c>
      <c r="X33" s="5">
        <f>W33</f>
        <v>2200</v>
      </c>
      <c r="Y33" s="5">
        <f>W33*0.5</f>
        <v>1100</v>
      </c>
      <c r="Z33" s="1"/>
      <c r="AA33" s="1">
        <f t="shared" si="10"/>
        <v>8.0508194363263019</v>
      </c>
      <c r="AB33" s="1">
        <f t="shared" si="7"/>
        <v>3.0224809395496193</v>
      </c>
      <c r="AC33" s="1">
        <v>656.84399999999994</v>
      </c>
      <c r="AD33" s="1">
        <v>328.15300000000002</v>
      </c>
      <c r="AE33" s="1">
        <v>-0.84619999999999995</v>
      </c>
      <c r="AF33" s="1">
        <v>8.5924000000000014</v>
      </c>
      <c r="AG33" s="1">
        <v>9.855599999999999</v>
      </c>
      <c r="AH33" s="1">
        <v>688.04320000000007</v>
      </c>
      <c r="AI33" s="1">
        <v>1184.2532000000001</v>
      </c>
      <c r="AJ33" s="1">
        <v>1031.4698000000001</v>
      </c>
      <c r="AK33" s="1"/>
      <c r="AL33" s="1">
        <f t="shared" si="8"/>
        <v>2200</v>
      </c>
      <c r="AM33" s="1">
        <f t="shared" si="9"/>
        <v>1100</v>
      </c>
      <c r="AN33" t="s">
        <v>111</v>
      </c>
    </row>
    <row r="34" spans="1:40" x14ac:dyDescent="0.25">
      <c r="A34" s="9" t="s">
        <v>112</v>
      </c>
      <c r="B34" s="9" t="s">
        <v>42</v>
      </c>
      <c r="C34" s="9"/>
      <c r="D34" s="9"/>
      <c r="E34" s="9"/>
      <c r="F34" s="9"/>
      <c r="G34" s="10">
        <v>0</v>
      </c>
      <c r="H34" s="9"/>
      <c r="I34" s="9" t="s">
        <v>43</v>
      </c>
      <c r="J34" s="9"/>
      <c r="K34" s="9"/>
      <c r="L34" s="9">
        <f t="shared" si="3"/>
        <v>0</v>
      </c>
      <c r="M34" s="9">
        <f t="shared" si="4"/>
        <v>0</v>
      </c>
      <c r="N34" s="9"/>
      <c r="O34" s="9"/>
      <c r="P34" s="9"/>
      <c r="Q34" s="9">
        <v>0</v>
      </c>
      <c r="R34" s="9"/>
      <c r="S34" s="28"/>
      <c r="T34" s="9"/>
      <c r="U34" s="9">
        <f t="shared" si="5"/>
        <v>0</v>
      </c>
      <c r="V34" s="11"/>
      <c r="W34" s="5">
        <f t="shared" si="12"/>
        <v>0</v>
      </c>
      <c r="X34" s="5">
        <f>W34-Y34</f>
        <v>0</v>
      </c>
      <c r="Y34" s="5"/>
      <c r="Z34" s="1"/>
      <c r="AA34" s="1" t="e">
        <f t="shared" si="10"/>
        <v>#DIV/0!</v>
      </c>
      <c r="AB34" s="9" t="e">
        <f t="shared" si="7"/>
        <v>#DIV/0!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 t="s">
        <v>80</v>
      </c>
      <c r="AL34" s="1">
        <f t="shared" si="8"/>
        <v>0</v>
      </c>
      <c r="AM34" s="1">
        <f t="shared" si="9"/>
        <v>0</v>
      </c>
      <c r="AN34" t="s">
        <v>113</v>
      </c>
    </row>
    <row r="35" spans="1:40" x14ac:dyDescent="0.25">
      <c r="A35" s="9" t="s">
        <v>114</v>
      </c>
      <c r="B35" s="9" t="s">
        <v>42</v>
      </c>
      <c r="C35" s="9"/>
      <c r="D35" s="9"/>
      <c r="E35" s="9"/>
      <c r="F35" s="9"/>
      <c r="G35" s="10">
        <v>0</v>
      </c>
      <c r="H35" s="9"/>
      <c r="I35" s="9" t="s">
        <v>43</v>
      </c>
      <c r="J35" s="9"/>
      <c r="K35" s="9"/>
      <c r="L35" s="9">
        <f t="shared" si="3"/>
        <v>0</v>
      </c>
      <c r="M35" s="9">
        <f t="shared" si="4"/>
        <v>0</v>
      </c>
      <c r="N35" s="9"/>
      <c r="O35" s="9"/>
      <c r="P35" s="9"/>
      <c r="Q35" s="9">
        <v>0</v>
      </c>
      <c r="R35" s="9"/>
      <c r="S35" s="28"/>
      <c r="T35" s="9"/>
      <c r="U35" s="9">
        <f t="shared" si="5"/>
        <v>0</v>
      </c>
      <c r="V35" s="11"/>
      <c r="W35" s="5">
        <f t="shared" si="12"/>
        <v>0</v>
      </c>
      <c r="X35" s="5">
        <f>W35-Y35</f>
        <v>0</v>
      </c>
      <c r="Y35" s="5"/>
      <c r="Z35" s="1"/>
      <c r="AA35" s="1" t="e">
        <f t="shared" si="10"/>
        <v>#DIV/0!</v>
      </c>
      <c r="AB35" s="9" t="e">
        <f t="shared" si="7"/>
        <v>#DIV/0!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 t="s">
        <v>80</v>
      </c>
      <c r="AL35" s="1">
        <f t="shared" si="8"/>
        <v>0</v>
      </c>
      <c r="AM35" s="1">
        <f t="shared" si="9"/>
        <v>0</v>
      </c>
      <c r="AN35" t="s">
        <v>115</v>
      </c>
    </row>
    <row r="36" spans="1:40" x14ac:dyDescent="0.25">
      <c r="A36" s="9" t="s">
        <v>116</v>
      </c>
      <c r="B36" s="9" t="s">
        <v>42</v>
      </c>
      <c r="C36" s="9"/>
      <c r="D36" s="9"/>
      <c r="E36" s="9"/>
      <c r="F36" s="9"/>
      <c r="G36" s="10">
        <v>0</v>
      </c>
      <c r="H36" s="9"/>
      <c r="I36" s="9" t="s">
        <v>43</v>
      </c>
      <c r="J36" s="9"/>
      <c r="K36" s="9"/>
      <c r="L36" s="9">
        <f t="shared" si="3"/>
        <v>0</v>
      </c>
      <c r="M36" s="9">
        <f t="shared" si="4"/>
        <v>0</v>
      </c>
      <c r="N36" s="9"/>
      <c r="O36" s="9"/>
      <c r="P36" s="9"/>
      <c r="Q36" s="9">
        <v>0</v>
      </c>
      <c r="R36" s="9"/>
      <c r="S36" s="28"/>
      <c r="T36" s="9"/>
      <c r="U36" s="9">
        <f t="shared" si="5"/>
        <v>0</v>
      </c>
      <c r="V36" s="11"/>
      <c r="W36" s="5">
        <f t="shared" si="12"/>
        <v>0</v>
      </c>
      <c r="X36" s="5">
        <f>W36-Y36</f>
        <v>0</v>
      </c>
      <c r="Y36" s="5"/>
      <c r="Z36" s="1"/>
      <c r="AA36" s="1" t="e">
        <f t="shared" si="10"/>
        <v>#DIV/0!</v>
      </c>
      <c r="AB36" s="9" t="e">
        <f t="shared" si="7"/>
        <v>#DIV/0!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 t="s">
        <v>80</v>
      </c>
      <c r="AL36" s="1">
        <f t="shared" si="8"/>
        <v>0</v>
      </c>
      <c r="AM36" s="1">
        <f t="shared" si="9"/>
        <v>0</v>
      </c>
      <c r="AN36" t="s">
        <v>117</v>
      </c>
    </row>
    <row r="37" spans="1:40" x14ac:dyDescent="0.25">
      <c r="A37" s="9" t="s">
        <v>118</v>
      </c>
      <c r="B37" s="9" t="s">
        <v>42</v>
      </c>
      <c r="C37" s="9"/>
      <c r="D37" s="9"/>
      <c r="E37" s="9"/>
      <c r="F37" s="9"/>
      <c r="G37" s="10">
        <v>0</v>
      </c>
      <c r="H37" s="9"/>
      <c r="I37" s="9" t="s">
        <v>43</v>
      </c>
      <c r="J37" s="9"/>
      <c r="K37" s="9"/>
      <c r="L37" s="9">
        <f t="shared" si="3"/>
        <v>0</v>
      </c>
      <c r="M37" s="9">
        <f t="shared" si="4"/>
        <v>0</v>
      </c>
      <c r="N37" s="9"/>
      <c r="O37" s="9"/>
      <c r="P37" s="9"/>
      <c r="Q37" s="9">
        <v>0</v>
      </c>
      <c r="R37" s="9"/>
      <c r="S37" s="28"/>
      <c r="T37" s="9"/>
      <c r="U37" s="9">
        <f t="shared" si="5"/>
        <v>0</v>
      </c>
      <c r="V37" s="11"/>
      <c r="W37" s="5">
        <f t="shared" si="12"/>
        <v>0</v>
      </c>
      <c r="X37" s="5">
        <f>W37-Y37</f>
        <v>0</v>
      </c>
      <c r="Y37" s="5"/>
      <c r="Z37" s="1"/>
      <c r="AA37" s="1" t="e">
        <f t="shared" si="10"/>
        <v>#DIV/0!</v>
      </c>
      <c r="AB37" s="9" t="e">
        <f t="shared" si="7"/>
        <v>#DIV/0!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 t="s">
        <v>80</v>
      </c>
      <c r="AL37" s="1">
        <f t="shared" si="8"/>
        <v>0</v>
      </c>
      <c r="AM37" s="1">
        <f t="shared" si="9"/>
        <v>0</v>
      </c>
      <c r="AN37" t="s">
        <v>119</v>
      </c>
    </row>
    <row r="38" spans="1:40" x14ac:dyDescent="0.25">
      <c r="A38" s="1" t="s">
        <v>120</v>
      </c>
      <c r="B38" s="1" t="s">
        <v>50</v>
      </c>
      <c r="C38" s="1">
        <v>1008</v>
      </c>
      <c r="D38" s="1">
        <v>4256</v>
      </c>
      <c r="E38" s="1">
        <v>5155</v>
      </c>
      <c r="F38" s="1">
        <v>-322</v>
      </c>
      <c r="G38" s="7">
        <v>0.4</v>
      </c>
      <c r="H38" s="1">
        <v>45</v>
      </c>
      <c r="I38" s="15" t="s">
        <v>106</v>
      </c>
      <c r="J38" s="1"/>
      <c r="K38" s="1">
        <v>4558</v>
      </c>
      <c r="L38" s="1">
        <f t="shared" ref="L38:L69" si="13">E38-K38</f>
        <v>597</v>
      </c>
      <c r="M38" s="1">
        <f t="shared" ref="M38:M69" si="14">E38-N38</f>
        <v>4075</v>
      </c>
      <c r="N38" s="1">
        <v>1080</v>
      </c>
      <c r="O38" s="1">
        <v>780</v>
      </c>
      <c r="P38" s="1"/>
      <c r="Q38" s="1">
        <v>1767.944</v>
      </c>
      <c r="R38" s="1"/>
      <c r="S38" s="25"/>
      <c r="T38" s="1">
        <v>2196.056</v>
      </c>
      <c r="U38" s="1">
        <f t="shared" ref="U38:U69" si="15">M38/5</f>
        <v>815</v>
      </c>
      <c r="V38" s="5">
        <f>11*U38-T38-Q38-P38-O38-F38</f>
        <v>4543</v>
      </c>
      <c r="W38" s="5">
        <f t="shared" si="12"/>
        <v>4543</v>
      </c>
      <c r="X38" s="5">
        <v>3000</v>
      </c>
      <c r="Y38" s="5">
        <v>2220</v>
      </c>
      <c r="Z38" s="1" t="str">
        <f>VLOOKUP(A38,[1]Sheet!$A:$U,21,0)</f>
        <v>ОЧЕНЬ НУЖНА ЭТА ПОЗИЦИЯ !!!</v>
      </c>
      <c r="AA38" s="1">
        <f t="shared" si="10"/>
        <v>11.830674846625767</v>
      </c>
      <c r="AB38" s="1">
        <f t="shared" ref="AB38:AB69" si="16">(F38+O38+P38+Q38+T38)/U38</f>
        <v>5.4257668711656439</v>
      </c>
      <c r="AC38" s="1">
        <v>779</v>
      </c>
      <c r="AD38" s="1">
        <v>633.6</v>
      </c>
      <c r="AE38" s="1">
        <v>113.2</v>
      </c>
      <c r="AF38" s="1">
        <v>461.2</v>
      </c>
      <c r="AG38" s="1">
        <v>811.2</v>
      </c>
      <c r="AH38" s="1">
        <v>861.6</v>
      </c>
      <c r="AI38" s="1">
        <v>877.4</v>
      </c>
      <c r="AJ38" s="1">
        <v>623.4</v>
      </c>
      <c r="AK38" s="1"/>
      <c r="AL38" s="1">
        <f t="shared" ref="AL38:AL69" si="17">ROUND(G38*X38,0)</f>
        <v>1200</v>
      </c>
      <c r="AM38" s="1">
        <f t="shared" ref="AM38:AM69" si="18">ROUND(G38*Y38,0)</f>
        <v>888</v>
      </c>
      <c r="AN38" t="s">
        <v>121</v>
      </c>
    </row>
    <row r="39" spans="1:40" x14ac:dyDescent="0.25">
      <c r="A39" s="1" t="s">
        <v>122</v>
      </c>
      <c r="B39" s="1" t="s">
        <v>50</v>
      </c>
      <c r="C39" s="1">
        <v>839.75</v>
      </c>
      <c r="D39" s="1">
        <v>263</v>
      </c>
      <c r="E39" s="1">
        <v>735</v>
      </c>
      <c r="F39" s="1">
        <v>253.75</v>
      </c>
      <c r="G39" s="7">
        <v>0.45</v>
      </c>
      <c r="H39" s="1">
        <v>50</v>
      </c>
      <c r="I39" s="14" t="s">
        <v>54</v>
      </c>
      <c r="J39" s="1"/>
      <c r="K39" s="1">
        <v>1175</v>
      </c>
      <c r="L39" s="1">
        <f t="shared" si="13"/>
        <v>-440</v>
      </c>
      <c r="M39" s="1">
        <f t="shared" si="14"/>
        <v>735</v>
      </c>
      <c r="N39" s="1"/>
      <c r="O39" s="1"/>
      <c r="P39" s="1"/>
      <c r="Q39" s="1">
        <v>200</v>
      </c>
      <c r="R39" s="1"/>
      <c r="S39" s="25"/>
      <c r="T39" s="1"/>
      <c r="U39" s="1">
        <f t="shared" si="15"/>
        <v>147</v>
      </c>
      <c r="V39" s="19">
        <f>10*U39-T39-Q39-P39-O39-F39</f>
        <v>1016.25</v>
      </c>
      <c r="W39" s="5">
        <f>V39+500</f>
        <v>1516.25</v>
      </c>
      <c r="X39" s="5">
        <f>W39-Y39</f>
        <v>716.25</v>
      </c>
      <c r="Y39" s="5">
        <v>800</v>
      </c>
      <c r="Z39" s="1" t="str">
        <f>VLOOKUP(A39,[1]Sheet!$A:$U,21,0)</f>
        <v xml:space="preserve">еще плюс 500 сеть ютл </v>
      </c>
      <c r="AA39" s="1">
        <f t="shared" si="10"/>
        <v>13.401360544217686</v>
      </c>
      <c r="AB39" s="1">
        <f t="shared" si="16"/>
        <v>3.0867346938775508</v>
      </c>
      <c r="AC39" s="1">
        <v>147.6</v>
      </c>
      <c r="AD39" s="1">
        <v>112.6</v>
      </c>
      <c r="AE39" s="1">
        <v>71</v>
      </c>
      <c r="AF39" s="1">
        <v>70.400000000000006</v>
      </c>
      <c r="AG39" s="1">
        <v>98.4</v>
      </c>
      <c r="AH39" s="1">
        <v>126.8</v>
      </c>
      <c r="AI39" s="1">
        <v>127.8</v>
      </c>
      <c r="AJ39" s="1">
        <v>67.2</v>
      </c>
      <c r="AK39" s="1" t="s">
        <v>123</v>
      </c>
      <c r="AL39" s="1">
        <f t="shared" si="17"/>
        <v>322</v>
      </c>
      <c r="AM39" s="1">
        <f t="shared" si="18"/>
        <v>360</v>
      </c>
      <c r="AN39" t="s">
        <v>124</v>
      </c>
    </row>
    <row r="40" spans="1:40" x14ac:dyDescent="0.25">
      <c r="A40" s="1" t="s">
        <v>125</v>
      </c>
      <c r="B40" s="1" t="s">
        <v>50</v>
      </c>
      <c r="C40" s="1">
        <v>-5</v>
      </c>
      <c r="D40" s="1">
        <v>832</v>
      </c>
      <c r="E40" s="1">
        <v>742</v>
      </c>
      <c r="F40" s="1">
        <v>43</v>
      </c>
      <c r="G40" s="7">
        <v>0.4</v>
      </c>
      <c r="H40" s="1">
        <v>45</v>
      </c>
      <c r="I40" s="15" t="s">
        <v>106</v>
      </c>
      <c r="J40" s="1"/>
      <c r="K40" s="1">
        <v>2165</v>
      </c>
      <c r="L40" s="1">
        <f t="shared" si="13"/>
        <v>-1423</v>
      </c>
      <c r="M40" s="1">
        <f t="shared" si="14"/>
        <v>742</v>
      </c>
      <c r="N40" s="1"/>
      <c r="O40" s="1">
        <v>208</v>
      </c>
      <c r="P40" s="1"/>
      <c r="Q40" s="1">
        <v>400</v>
      </c>
      <c r="R40" s="1">
        <v>-402</v>
      </c>
      <c r="S40" s="25"/>
      <c r="T40" s="1"/>
      <c r="U40" s="1">
        <f t="shared" si="15"/>
        <v>148.4</v>
      </c>
      <c r="V40" s="5">
        <v>500</v>
      </c>
      <c r="W40" s="5">
        <f t="shared" ref="W40:X42" si="19">V40</f>
        <v>500</v>
      </c>
      <c r="X40" s="5">
        <f t="shared" si="19"/>
        <v>500</v>
      </c>
      <c r="Y40" s="5">
        <f>W40*0.5</f>
        <v>250</v>
      </c>
      <c r="Z40" s="1"/>
      <c r="AA40" s="1">
        <f t="shared" si="10"/>
        <v>6.7318059299191368</v>
      </c>
      <c r="AB40" s="1">
        <f t="shared" si="16"/>
        <v>4.3867924528301883</v>
      </c>
      <c r="AC40" s="1">
        <v>148.4</v>
      </c>
      <c r="AD40" s="1">
        <v>122.2</v>
      </c>
      <c r="AE40" s="1">
        <v>91.8</v>
      </c>
      <c r="AF40" s="1">
        <v>163.6</v>
      </c>
      <c r="AG40" s="1">
        <v>166.8</v>
      </c>
      <c r="AH40" s="1">
        <v>188.8</v>
      </c>
      <c r="AI40" s="1">
        <v>301.60000000000002</v>
      </c>
      <c r="AJ40" s="1">
        <v>192.2</v>
      </c>
      <c r="AK40" s="1"/>
      <c r="AL40" s="1">
        <f t="shared" si="17"/>
        <v>200</v>
      </c>
      <c r="AM40" s="1">
        <f t="shared" si="18"/>
        <v>100</v>
      </c>
      <c r="AN40" t="s">
        <v>126</v>
      </c>
    </row>
    <row r="41" spans="1:40" x14ac:dyDescent="0.25">
      <c r="A41" s="1" t="s">
        <v>127</v>
      </c>
      <c r="B41" s="1" t="s">
        <v>50</v>
      </c>
      <c r="C41" s="1">
        <v>-33</v>
      </c>
      <c r="D41" s="1">
        <v>30</v>
      </c>
      <c r="E41" s="1">
        <v>13</v>
      </c>
      <c r="F41" s="1">
        <v>-13</v>
      </c>
      <c r="G41" s="7">
        <v>0.4</v>
      </c>
      <c r="H41" s="1">
        <v>40</v>
      </c>
      <c r="I41" s="15" t="s">
        <v>106</v>
      </c>
      <c r="J41" s="1"/>
      <c r="K41" s="1">
        <v>569</v>
      </c>
      <c r="L41" s="1">
        <f t="shared" si="13"/>
        <v>-556</v>
      </c>
      <c r="M41" s="1">
        <f t="shared" si="14"/>
        <v>13</v>
      </c>
      <c r="N41" s="1"/>
      <c r="O41" s="1">
        <v>100</v>
      </c>
      <c r="P41" s="1">
        <v>-102</v>
      </c>
      <c r="Q41" s="1">
        <v>200</v>
      </c>
      <c r="R41" s="1">
        <v>-203.99999999999997</v>
      </c>
      <c r="S41" s="25"/>
      <c r="T41" s="1"/>
      <c r="U41" s="1">
        <f t="shared" si="15"/>
        <v>2.6</v>
      </c>
      <c r="V41" s="5">
        <v>200</v>
      </c>
      <c r="W41" s="5">
        <f t="shared" si="19"/>
        <v>200</v>
      </c>
      <c r="X41" s="5">
        <f t="shared" si="19"/>
        <v>200</v>
      </c>
      <c r="Y41" s="5">
        <f>W41*0.5</f>
        <v>100</v>
      </c>
      <c r="Z41" s="1"/>
      <c r="AA41" s="1">
        <f t="shared" si="10"/>
        <v>108.07692307692308</v>
      </c>
      <c r="AB41" s="1">
        <f t="shared" si="16"/>
        <v>71.153846153846146</v>
      </c>
      <c r="AC41" s="1">
        <v>2.6</v>
      </c>
      <c r="AD41" s="1">
        <v>46</v>
      </c>
      <c r="AE41" s="1">
        <v>64.400000000000006</v>
      </c>
      <c r="AF41" s="1">
        <v>125</v>
      </c>
      <c r="AG41" s="1">
        <v>116.2</v>
      </c>
      <c r="AH41" s="1">
        <v>86.8</v>
      </c>
      <c r="AI41" s="1">
        <v>126.8</v>
      </c>
      <c r="AJ41" s="1">
        <v>86</v>
      </c>
      <c r="AK41" s="1"/>
      <c r="AL41" s="1">
        <f t="shared" si="17"/>
        <v>80</v>
      </c>
      <c r="AM41" s="1">
        <f t="shared" si="18"/>
        <v>40</v>
      </c>
      <c r="AN41" t="s">
        <v>128</v>
      </c>
    </row>
    <row r="42" spans="1:40" x14ac:dyDescent="0.25">
      <c r="A42" s="1" t="s">
        <v>129</v>
      </c>
      <c r="B42" s="1" t="s">
        <v>42</v>
      </c>
      <c r="C42" s="1"/>
      <c r="D42" s="1">
        <v>52.552</v>
      </c>
      <c r="E42" s="1"/>
      <c r="F42" s="1">
        <v>48.122999999999998</v>
      </c>
      <c r="G42" s="7">
        <v>1</v>
      </c>
      <c r="H42" s="1"/>
      <c r="I42" s="15" t="s">
        <v>106</v>
      </c>
      <c r="J42" s="1"/>
      <c r="K42" s="1">
        <v>82.6</v>
      </c>
      <c r="L42" s="1">
        <f t="shared" si="13"/>
        <v>-82.6</v>
      </c>
      <c r="M42" s="1">
        <f t="shared" si="14"/>
        <v>0</v>
      </c>
      <c r="N42" s="1"/>
      <c r="O42" s="1">
        <v>20</v>
      </c>
      <c r="P42" s="1"/>
      <c r="Q42" s="1">
        <v>0</v>
      </c>
      <c r="R42" s="1"/>
      <c r="S42" s="25"/>
      <c r="T42" s="1"/>
      <c r="U42" s="1">
        <f t="shared" si="15"/>
        <v>0</v>
      </c>
      <c r="V42" s="5"/>
      <c r="W42" s="5">
        <f t="shared" si="19"/>
        <v>0</v>
      </c>
      <c r="X42" s="5">
        <f t="shared" si="19"/>
        <v>0</v>
      </c>
      <c r="Y42" s="5">
        <f>W42*0.5</f>
        <v>0</v>
      </c>
      <c r="Z42" s="1"/>
      <c r="AA42" s="1" t="e">
        <f t="shared" si="10"/>
        <v>#DIV/0!</v>
      </c>
      <c r="AB42" s="1" t="e">
        <f t="shared" si="16"/>
        <v>#DIV/0!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 t="s">
        <v>130</v>
      </c>
      <c r="AL42" s="1">
        <f t="shared" si="17"/>
        <v>0</v>
      </c>
      <c r="AM42" s="1">
        <f t="shared" si="18"/>
        <v>0</v>
      </c>
      <c r="AN42" t="s">
        <v>131</v>
      </c>
    </row>
    <row r="43" spans="1:40" x14ac:dyDescent="0.25">
      <c r="A43" s="1" t="s">
        <v>132</v>
      </c>
      <c r="B43" s="1" t="s">
        <v>50</v>
      </c>
      <c r="C43" s="1">
        <v>327</v>
      </c>
      <c r="D43" s="1">
        <v>220</v>
      </c>
      <c r="E43" s="1">
        <v>212</v>
      </c>
      <c r="F43" s="1">
        <v>276</v>
      </c>
      <c r="G43" s="7">
        <v>0.1</v>
      </c>
      <c r="H43" s="1">
        <v>731</v>
      </c>
      <c r="I43" s="1" t="s">
        <v>43</v>
      </c>
      <c r="J43" s="1"/>
      <c r="K43" s="1">
        <v>270</v>
      </c>
      <c r="L43" s="1">
        <f t="shared" si="13"/>
        <v>-58</v>
      </c>
      <c r="M43" s="1">
        <f t="shared" si="14"/>
        <v>212</v>
      </c>
      <c r="N43" s="1"/>
      <c r="O43" s="1"/>
      <c r="P43" s="1"/>
      <c r="Q43" s="1">
        <v>102.6</v>
      </c>
      <c r="R43" s="1"/>
      <c r="S43" s="25"/>
      <c r="T43" s="1"/>
      <c r="U43" s="1">
        <f t="shared" si="15"/>
        <v>42.4</v>
      </c>
      <c r="V43" s="5">
        <f>12*U43-T43-Q43-P43-O43-F43</f>
        <v>130.19999999999993</v>
      </c>
      <c r="W43" s="5">
        <f t="shared" ref="W43:W48" si="20">V43</f>
        <v>130.19999999999993</v>
      </c>
      <c r="X43" s="5">
        <f>W43-Y43</f>
        <v>130.19999999999993</v>
      </c>
      <c r="Y43" s="5"/>
      <c r="Z43" s="1"/>
      <c r="AA43" s="1">
        <f t="shared" si="10"/>
        <v>12</v>
      </c>
      <c r="AB43" s="1">
        <f t="shared" si="16"/>
        <v>8.9292452830188687</v>
      </c>
      <c r="AC43" s="1">
        <v>42.4</v>
      </c>
      <c r="AD43" s="1">
        <v>41.4</v>
      </c>
      <c r="AE43" s="1">
        <v>35</v>
      </c>
      <c r="AF43" s="1">
        <v>35.4</v>
      </c>
      <c r="AG43" s="1">
        <v>37.4</v>
      </c>
      <c r="AH43" s="1">
        <v>57.4</v>
      </c>
      <c r="AI43" s="1">
        <v>55.2</v>
      </c>
      <c r="AJ43" s="1">
        <v>30.6</v>
      </c>
      <c r="AK43" s="1"/>
      <c r="AL43" s="1">
        <f t="shared" si="17"/>
        <v>13</v>
      </c>
      <c r="AM43" s="1">
        <f t="shared" si="18"/>
        <v>0</v>
      </c>
      <c r="AN43" t="s">
        <v>133</v>
      </c>
    </row>
    <row r="44" spans="1:40" x14ac:dyDescent="0.25">
      <c r="A44" s="1" t="s">
        <v>134</v>
      </c>
      <c r="B44" s="1" t="s">
        <v>50</v>
      </c>
      <c r="C44" s="1"/>
      <c r="D44" s="1">
        <v>2</v>
      </c>
      <c r="E44" s="1">
        <v>21</v>
      </c>
      <c r="F44" s="1">
        <v>-2</v>
      </c>
      <c r="G44" s="7">
        <v>0.35</v>
      </c>
      <c r="H44" s="1">
        <v>40</v>
      </c>
      <c r="I44" s="15" t="s">
        <v>106</v>
      </c>
      <c r="J44" s="1"/>
      <c r="K44" s="1">
        <v>125</v>
      </c>
      <c r="L44" s="1">
        <f t="shared" si="13"/>
        <v>-104</v>
      </c>
      <c r="M44" s="1">
        <f t="shared" si="14"/>
        <v>21</v>
      </c>
      <c r="N44" s="1"/>
      <c r="O44" s="1">
        <v>50</v>
      </c>
      <c r="P44" s="1">
        <v>-54</v>
      </c>
      <c r="Q44" s="1">
        <v>50</v>
      </c>
      <c r="R44" s="1">
        <v>-54</v>
      </c>
      <c r="S44" s="25"/>
      <c r="T44" s="1"/>
      <c r="U44" s="1">
        <f t="shared" si="15"/>
        <v>4.2</v>
      </c>
      <c r="V44" s="5">
        <v>50</v>
      </c>
      <c r="W44" s="5">
        <f t="shared" si="20"/>
        <v>50</v>
      </c>
      <c r="X44" s="5">
        <f>W44</f>
        <v>50</v>
      </c>
      <c r="Y44" s="5">
        <f>W44*0.5</f>
        <v>25</v>
      </c>
      <c r="Z44" s="1"/>
      <c r="AA44" s="1">
        <f t="shared" si="10"/>
        <v>15.476190476190476</v>
      </c>
      <c r="AB44" s="1">
        <f t="shared" si="16"/>
        <v>10.476190476190476</v>
      </c>
      <c r="AC44" s="1">
        <v>4.2</v>
      </c>
      <c r="AD44" s="1">
        <v>15.8</v>
      </c>
      <c r="AE44" s="1">
        <v>18.2</v>
      </c>
      <c r="AF44" s="1">
        <v>15.8</v>
      </c>
      <c r="AG44" s="1">
        <v>18.8</v>
      </c>
      <c r="AH44" s="1">
        <v>28.4</v>
      </c>
      <c r="AI44" s="1">
        <v>24.4</v>
      </c>
      <c r="AJ44" s="1">
        <v>10.199999999999999</v>
      </c>
      <c r="AK44" s="1"/>
      <c r="AL44" s="1">
        <f t="shared" si="17"/>
        <v>18</v>
      </c>
      <c r="AM44" s="1">
        <f t="shared" si="18"/>
        <v>9</v>
      </c>
      <c r="AN44" t="s">
        <v>135</v>
      </c>
    </row>
    <row r="45" spans="1:40" x14ac:dyDescent="0.25">
      <c r="A45" s="1" t="s">
        <v>136</v>
      </c>
      <c r="B45" s="1" t="s">
        <v>42</v>
      </c>
      <c r="C45" s="1">
        <v>18.667999999999999</v>
      </c>
      <c r="D45" s="1">
        <v>27.004999999999999</v>
      </c>
      <c r="E45" s="1">
        <v>14.656000000000001</v>
      </c>
      <c r="F45" s="1">
        <v>23.622</v>
      </c>
      <c r="G45" s="7">
        <v>1</v>
      </c>
      <c r="H45" s="1">
        <v>40</v>
      </c>
      <c r="I45" s="1" t="s">
        <v>43</v>
      </c>
      <c r="J45" s="1"/>
      <c r="K45" s="1">
        <v>21.2</v>
      </c>
      <c r="L45" s="1">
        <f t="shared" si="13"/>
        <v>-6.5439999999999987</v>
      </c>
      <c r="M45" s="1">
        <f t="shared" si="14"/>
        <v>14.656000000000001</v>
      </c>
      <c r="N45" s="1"/>
      <c r="O45" s="1"/>
      <c r="P45" s="1"/>
      <c r="Q45" s="1">
        <v>4</v>
      </c>
      <c r="R45" s="1"/>
      <c r="S45" s="25"/>
      <c r="T45" s="1"/>
      <c r="U45" s="1">
        <f t="shared" si="15"/>
        <v>2.9312</v>
      </c>
      <c r="V45" s="5">
        <f>12*U45-T45-Q45-P45-O45-F45</f>
        <v>7.5523999999999987</v>
      </c>
      <c r="W45" s="5">
        <f t="shared" si="20"/>
        <v>7.5523999999999987</v>
      </c>
      <c r="X45" s="5">
        <f>W45-Y45</f>
        <v>7.5523999999999987</v>
      </c>
      <c r="Y45" s="5"/>
      <c r="Z45" s="1"/>
      <c r="AA45" s="1">
        <f t="shared" si="10"/>
        <v>12</v>
      </c>
      <c r="AB45" s="1">
        <f t="shared" si="16"/>
        <v>9.4234443231441052</v>
      </c>
      <c r="AC45" s="1">
        <v>3.1116000000000001</v>
      </c>
      <c r="AD45" s="1">
        <v>2.6240000000000001</v>
      </c>
      <c r="AE45" s="1">
        <v>3.7808000000000002</v>
      </c>
      <c r="AF45" s="1">
        <v>4.3208000000000002</v>
      </c>
      <c r="AG45" s="1">
        <v>3.3064</v>
      </c>
      <c r="AH45" s="1">
        <v>1.6506000000000001</v>
      </c>
      <c r="AI45" s="1">
        <v>2.6989999999999998</v>
      </c>
      <c r="AJ45" s="1">
        <v>4.2096</v>
      </c>
      <c r="AK45" s="1"/>
      <c r="AL45" s="1">
        <f t="shared" si="17"/>
        <v>8</v>
      </c>
      <c r="AM45" s="1">
        <f t="shared" si="18"/>
        <v>0</v>
      </c>
      <c r="AN45" t="s">
        <v>137</v>
      </c>
    </row>
    <row r="46" spans="1:40" x14ac:dyDescent="0.25">
      <c r="A46" s="1" t="s">
        <v>138</v>
      </c>
      <c r="B46" s="1" t="s">
        <v>50</v>
      </c>
      <c r="C46" s="1">
        <v>-32</v>
      </c>
      <c r="D46" s="1">
        <v>268</v>
      </c>
      <c r="E46" s="1">
        <v>154</v>
      </c>
      <c r="F46" s="1">
        <v>-31</v>
      </c>
      <c r="G46" s="7">
        <v>0.4</v>
      </c>
      <c r="H46" s="1">
        <v>40</v>
      </c>
      <c r="I46" s="15" t="s">
        <v>106</v>
      </c>
      <c r="J46" s="1"/>
      <c r="K46" s="1">
        <v>348</v>
      </c>
      <c r="L46" s="1">
        <f t="shared" si="13"/>
        <v>-194</v>
      </c>
      <c r="M46" s="1">
        <f t="shared" si="14"/>
        <v>154</v>
      </c>
      <c r="N46" s="1"/>
      <c r="O46" s="1"/>
      <c r="P46" s="1"/>
      <c r="Q46" s="1">
        <v>100</v>
      </c>
      <c r="R46" s="1"/>
      <c r="S46" s="25"/>
      <c r="T46" s="1"/>
      <c r="U46" s="1">
        <f t="shared" si="15"/>
        <v>30.8</v>
      </c>
      <c r="V46" s="5">
        <v>100</v>
      </c>
      <c r="W46" s="5">
        <f t="shared" si="20"/>
        <v>100</v>
      </c>
      <c r="X46" s="5">
        <f>W46</f>
        <v>100</v>
      </c>
      <c r="Y46" s="5">
        <f>W46*0.5</f>
        <v>50</v>
      </c>
      <c r="Z46" s="1"/>
      <c r="AA46" s="1">
        <f t="shared" si="10"/>
        <v>7.1103896103896105</v>
      </c>
      <c r="AB46" s="1">
        <f t="shared" si="16"/>
        <v>2.2402597402597402</v>
      </c>
      <c r="AC46" s="1">
        <v>31.8</v>
      </c>
      <c r="AD46" s="1">
        <v>4.8</v>
      </c>
      <c r="AE46" s="1">
        <v>0.4</v>
      </c>
      <c r="AF46" s="1">
        <v>-0.2</v>
      </c>
      <c r="AG46" s="1">
        <v>-0.8</v>
      </c>
      <c r="AH46" s="1">
        <v>0.6</v>
      </c>
      <c r="AI46" s="1">
        <v>1.4</v>
      </c>
      <c r="AJ46" s="1">
        <v>0.2</v>
      </c>
      <c r="AK46" s="1"/>
      <c r="AL46" s="1">
        <f t="shared" si="17"/>
        <v>40</v>
      </c>
      <c r="AM46" s="1">
        <f t="shared" si="18"/>
        <v>20</v>
      </c>
      <c r="AN46" t="s">
        <v>139</v>
      </c>
    </row>
    <row r="47" spans="1:40" x14ac:dyDescent="0.25">
      <c r="A47" s="1" t="s">
        <v>140</v>
      </c>
      <c r="B47" s="1" t="s">
        <v>50</v>
      </c>
      <c r="C47" s="1">
        <v>9</v>
      </c>
      <c r="D47" s="1">
        <v>326</v>
      </c>
      <c r="E47" s="1">
        <v>146</v>
      </c>
      <c r="F47" s="1">
        <v>87</v>
      </c>
      <c r="G47" s="7">
        <v>0.4</v>
      </c>
      <c r="H47" s="1">
        <v>45</v>
      </c>
      <c r="I47" s="15" t="s">
        <v>106</v>
      </c>
      <c r="J47" s="1"/>
      <c r="K47" s="1">
        <v>525</v>
      </c>
      <c r="L47" s="1">
        <f t="shared" si="13"/>
        <v>-379</v>
      </c>
      <c r="M47" s="1">
        <f t="shared" si="14"/>
        <v>146</v>
      </c>
      <c r="N47" s="1"/>
      <c r="O47" s="1">
        <v>50</v>
      </c>
      <c r="P47" s="1"/>
      <c r="Q47" s="1">
        <v>60.199999999999989</v>
      </c>
      <c r="R47" s="1"/>
      <c r="S47" s="25"/>
      <c r="T47" s="1"/>
      <c r="U47" s="1">
        <f t="shared" si="15"/>
        <v>29.2</v>
      </c>
      <c r="V47" s="5">
        <v>100</v>
      </c>
      <c r="W47" s="5">
        <f t="shared" si="20"/>
        <v>100</v>
      </c>
      <c r="X47" s="5">
        <f>W47</f>
        <v>100</v>
      </c>
      <c r="Y47" s="5">
        <f>W47*0.5</f>
        <v>50</v>
      </c>
      <c r="Z47" s="1"/>
      <c r="AA47" s="1">
        <f t="shared" si="10"/>
        <v>11.890410958904109</v>
      </c>
      <c r="AB47" s="1">
        <f t="shared" si="16"/>
        <v>6.7534246575342465</v>
      </c>
      <c r="AC47" s="1">
        <v>29.2</v>
      </c>
      <c r="AD47" s="1">
        <v>8.8000000000000007</v>
      </c>
      <c r="AE47" s="1">
        <v>0</v>
      </c>
      <c r="AF47" s="1">
        <v>0.4</v>
      </c>
      <c r="AG47" s="1">
        <v>26</v>
      </c>
      <c r="AH47" s="1">
        <v>58.6</v>
      </c>
      <c r="AI47" s="1">
        <v>50</v>
      </c>
      <c r="AJ47" s="1">
        <v>30.6</v>
      </c>
      <c r="AK47" s="1"/>
      <c r="AL47" s="1">
        <f t="shared" si="17"/>
        <v>40</v>
      </c>
      <c r="AM47" s="1">
        <f t="shared" si="18"/>
        <v>20</v>
      </c>
      <c r="AN47" t="s">
        <v>141</v>
      </c>
    </row>
    <row r="48" spans="1:40" x14ac:dyDescent="0.25">
      <c r="A48" s="1" t="s">
        <v>142</v>
      </c>
      <c r="B48" s="1" t="s">
        <v>42</v>
      </c>
      <c r="C48" s="1">
        <v>35.881</v>
      </c>
      <c r="D48" s="1">
        <v>18.788</v>
      </c>
      <c r="E48" s="1">
        <v>29.079000000000001</v>
      </c>
      <c r="F48" s="1">
        <v>24.257000000000001</v>
      </c>
      <c r="G48" s="7">
        <v>1</v>
      </c>
      <c r="H48" s="1">
        <v>40</v>
      </c>
      <c r="I48" s="15" t="s">
        <v>106</v>
      </c>
      <c r="J48" s="1"/>
      <c r="K48" s="1">
        <v>33.121000000000002</v>
      </c>
      <c r="L48" s="1">
        <f t="shared" si="13"/>
        <v>-4.0420000000000016</v>
      </c>
      <c r="M48" s="1">
        <f t="shared" si="14"/>
        <v>29.079000000000001</v>
      </c>
      <c r="N48" s="1"/>
      <c r="O48" s="1"/>
      <c r="P48" s="1"/>
      <c r="Q48" s="1">
        <v>34.781200000000013</v>
      </c>
      <c r="R48" s="1"/>
      <c r="S48" s="25"/>
      <c r="T48" s="1"/>
      <c r="U48" s="1">
        <f t="shared" si="15"/>
        <v>5.8158000000000003</v>
      </c>
      <c r="V48" s="5">
        <f>12*U48-T48-Q48-P48-O48-F48</f>
        <v>10.751399999999993</v>
      </c>
      <c r="W48" s="5">
        <f t="shared" si="20"/>
        <v>10.751399999999993</v>
      </c>
      <c r="X48" s="5">
        <f>W48</f>
        <v>10.751399999999993</v>
      </c>
      <c r="Y48" s="5"/>
      <c r="Z48" s="1"/>
      <c r="AA48" s="1">
        <f t="shared" si="10"/>
        <v>12</v>
      </c>
      <c r="AB48" s="1">
        <f t="shared" si="16"/>
        <v>10.151346332404831</v>
      </c>
      <c r="AC48" s="1">
        <v>5.8158000000000003</v>
      </c>
      <c r="AD48" s="1">
        <v>7.0093999999999994</v>
      </c>
      <c r="AE48" s="1">
        <v>6.5449999999999999</v>
      </c>
      <c r="AF48" s="1">
        <v>3.3479999999999999</v>
      </c>
      <c r="AG48" s="1">
        <v>1.8211999999999999</v>
      </c>
      <c r="AH48" s="1">
        <v>7.1238000000000001</v>
      </c>
      <c r="AI48" s="1">
        <v>8.9621999999999993</v>
      </c>
      <c r="AJ48" s="1">
        <v>4.3483999999999998</v>
      </c>
      <c r="AK48" s="1"/>
      <c r="AL48" s="1">
        <f t="shared" si="17"/>
        <v>11</v>
      </c>
      <c r="AM48" s="1">
        <f t="shared" si="18"/>
        <v>0</v>
      </c>
      <c r="AN48" t="s">
        <v>143</v>
      </c>
    </row>
    <row r="49" spans="1:41" x14ac:dyDescent="0.25">
      <c r="A49" s="1" t="s">
        <v>144</v>
      </c>
      <c r="B49" s="1" t="s">
        <v>50</v>
      </c>
      <c r="C49" s="1">
        <v>508</v>
      </c>
      <c r="D49" s="1">
        <v>351</v>
      </c>
      <c r="E49" s="1">
        <v>644</v>
      </c>
      <c r="F49" s="1">
        <v>-55</v>
      </c>
      <c r="G49" s="7">
        <v>0.35</v>
      </c>
      <c r="H49" s="1">
        <v>40</v>
      </c>
      <c r="I49" s="15" t="s">
        <v>106</v>
      </c>
      <c r="J49" s="1"/>
      <c r="K49" s="1">
        <v>886</v>
      </c>
      <c r="L49" s="1">
        <f t="shared" si="13"/>
        <v>-242</v>
      </c>
      <c r="M49" s="1">
        <f t="shared" si="14"/>
        <v>494</v>
      </c>
      <c r="N49" s="1">
        <v>150</v>
      </c>
      <c r="O49" s="1">
        <v>158.80799999999991</v>
      </c>
      <c r="P49" s="1">
        <v>-162</v>
      </c>
      <c r="Q49" s="1">
        <v>200</v>
      </c>
      <c r="R49" s="1">
        <v>-204.00000000000003</v>
      </c>
      <c r="S49" s="25"/>
      <c r="T49" s="1"/>
      <c r="U49" s="1">
        <f t="shared" si="15"/>
        <v>98.8</v>
      </c>
      <c r="V49" s="5">
        <f>200</f>
        <v>200</v>
      </c>
      <c r="W49" s="5">
        <f>V49+700</f>
        <v>900</v>
      </c>
      <c r="X49" s="5">
        <f>W49</f>
        <v>900</v>
      </c>
      <c r="Y49" s="5">
        <f>W49*0.5</f>
        <v>450</v>
      </c>
      <c r="Z49" s="1" t="str">
        <f>VLOOKUP(A49,[1]Sheet!$A:$U,21,0)</f>
        <v xml:space="preserve">1500 нужно в сеть ютл </v>
      </c>
      <c r="AA49" s="1">
        <f t="shared" si="10"/>
        <v>13.034493927125506</v>
      </c>
      <c r="AB49" s="1">
        <f t="shared" si="16"/>
        <v>1.4353036437246955</v>
      </c>
      <c r="AC49" s="1">
        <v>122.8</v>
      </c>
      <c r="AD49" s="1">
        <v>88.6</v>
      </c>
      <c r="AE49" s="1">
        <v>86.8</v>
      </c>
      <c r="AF49" s="1">
        <v>80.2</v>
      </c>
      <c r="AG49" s="1">
        <v>92.8</v>
      </c>
      <c r="AH49" s="1">
        <v>120.2</v>
      </c>
      <c r="AI49" s="1">
        <v>117.4</v>
      </c>
      <c r="AJ49" s="1">
        <v>88</v>
      </c>
      <c r="AK49" s="1"/>
      <c r="AL49" s="1">
        <f t="shared" si="17"/>
        <v>315</v>
      </c>
      <c r="AM49" s="1">
        <f t="shared" si="18"/>
        <v>158</v>
      </c>
      <c r="AN49" t="s">
        <v>145</v>
      </c>
    </row>
    <row r="50" spans="1:41" x14ac:dyDescent="0.25">
      <c r="A50" s="1" t="s">
        <v>146</v>
      </c>
      <c r="B50" s="1" t="s">
        <v>50</v>
      </c>
      <c r="C50" s="1">
        <v>61</v>
      </c>
      <c r="D50" s="1">
        <v>511</v>
      </c>
      <c r="E50" s="1">
        <v>154</v>
      </c>
      <c r="F50" s="1">
        <v>222</v>
      </c>
      <c r="G50" s="7">
        <v>0.4</v>
      </c>
      <c r="H50" s="1">
        <v>40</v>
      </c>
      <c r="I50" s="15" t="s">
        <v>106</v>
      </c>
      <c r="J50" s="1"/>
      <c r="K50" s="1">
        <v>640</v>
      </c>
      <c r="L50" s="1">
        <f t="shared" si="13"/>
        <v>-486</v>
      </c>
      <c r="M50" s="1">
        <f t="shared" si="14"/>
        <v>154</v>
      </c>
      <c r="N50" s="1"/>
      <c r="O50" s="1">
        <v>100</v>
      </c>
      <c r="P50" s="1"/>
      <c r="Q50" s="1">
        <v>150</v>
      </c>
      <c r="R50" s="1"/>
      <c r="S50" s="25"/>
      <c r="T50" s="1"/>
      <c r="U50" s="1">
        <f t="shared" si="15"/>
        <v>30.8</v>
      </c>
      <c r="V50" s="5">
        <v>50</v>
      </c>
      <c r="W50" s="5">
        <f>V50</f>
        <v>50</v>
      </c>
      <c r="X50" s="5">
        <f>W50</f>
        <v>50</v>
      </c>
      <c r="Y50" s="5">
        <f>W50*0.5</f>
        <v>25</v>
      </c>
      <c r="Z50" s="1"/>
      <c r="AA50" s="1">
        <f t="shared" si="10"/>
        <v>17.759740259740258</v>
      </c>
      <c r="AB50" s="1">
        <f t="shared" si="16"/>
        <v>15.324675324675324</v>
      </c>
      <c r="AC50" s="1">
        <v>31.2</v>
      </c>
      <c r="AD50" s="1">
        <v>27.8</v>
      </c>
      <c r="AE50" s="1">
        <v>53.4</v>
      </c>
      <c r="AF50" s="1">
        <v>47</v>
      </c>
      <c r="AG50" s="1">
        <v>48.6</v>
      </c>
      <c r="AH50" s="1">
        <v>78.8</v>
      </c>
      <c r="AI50" s="1">
        <v>51</v>
      </c>
      <c r="AJ50" s="1">
        <v>35.799999999999997</v>
      </c>
      <c r="AK50" s="1"/>
      <c r="AL50" s="1">
        <f t="shared" si="17"/>
        <v>20</v>
      </c>
      <c r="AM50" s="1">
        <f t="shared" si="18"/>
        <v>10</v>
      </c>
      <c r="AN50" t="s">
        <v>147</v>
      </c>
    </row>
    <row r="51" spans="1:41" x14ac:dyDescent="0.25">
      <c r="A51" s="1" t="s">
        <v>148</v>
      </c>
      <c r="B51" s="1" t="s">
        <v>42</v>
      </c>
      <c r="C51" s="1">
        <v>71.088999999999999</v>
      </c>
      <c r="D51" s="1">
        <v>229.054</v>
      </c>
      <c r="E51" s="1">
        <v>87.635999999999996</v>
      </c>
      <c r="F51" s="1">
        <v>19.741</v>
      </c>
      <c r="G51" s="7">
        <v>1</v>
      </c>
      <c r="H51" s="1">
        <v>50</v>
      </c>
      <c r="I51" s="1" t="s">
        <v>43</v>
      </c>
      <c r="J51" s="1"/>
      <c r="K51" s="1">
        <v>260.08999999999997</v>
      </c>
      <c r="L51" s="1">
        <f t="shared" si="13"/>
        <v>-172.45399999999998</v>
      </c>
      <c r="M51" s="1">
        <f t="shared" si="14"/>
        <v>-53.712999999999994</v>
      </c>
      <c r="N51" s="1">
        <v>141.34899999999999</v>
      </c>
      <c r="O51" s="1"/>
      <c r="P51" s="1"/>
      <c r="Q51" s="1">
        <v>54.571199999999983</v>
      </c>
      <c r="R51" s="1"/>
      <c r="S51" s="25"/>
      <c r="T51" s="1"/>
      <c r="U51" s="1">
        <f t="shared" si="15"/>
        <v>-10.742599999999999</v>
      </c>
      <c r="V51" s="5">
        <v>60</v>
      </c>
      <c r="W51" s="5">
        <f>V51</f>
        <v>60</v>
      </c>
      <c r="X51" s="5">
        <f t="shared" ref="X51:X56" si="21">W51-Y51</f>
        <v>60</v>
      </c>
      <c r="Y51" s="5"/>
      <c r="Z51" s="1"/>
      <c r="AA51" s="1">
        <f t="shared" si="10"/>
        <v>-12.502764693835756</v>
      </c>
      <c r="AB51" s="1">
        <f t="shared" si="16"/>
        <v>-6.9175246215999842</v>
      </c>
      <c r="AC51" s="1">
        <v>17.911200000000001</v>
      </c>
      <c r="AD51" s="1">
        <v>18.7516</v>
      </c>
      <c r="AE51" s="1">
        <v>17.372199999999999</v>
      </c>
      <c r="AF51" s="1">
        <v>14.885999999999999</v>
      </c>
      <c r="AG51" s="1">
        <v>16.802199999999999</v>
      </c>
      <c r="AH51" s="1">
        <v>14.042400000000001</v>
      </c>
      <c r="AI51" s="1">
        <v>19.11</v>
      </c>
      <c r="AJ51" s="1">
        <v>17.2288</v>
      </c>
      <c r="AK51" s="1"/>
      <c r="AL51" s="1">
        <f t="shared" si="17"/>
        <v>60</v>
      </c>
      <c r="AM51" s="1">
        <f t="shared" si="18"/>
        <v>0</v>
      </c>
      <c r="AN51" t="s">
        <v>149</v>
      </c>
    </row>
    <row r="52" spans="1:41" x14ac:dyDescent="0.25">
      <c r="A52" s="1" t="s">
        <v>150</v>
      </c>
      <c r="B52" s="1" t="s">
        <v>42</v>
      </c>
      <c r="C52" s="1">
        <v>909.63800000000003</v>
      </c>
      <c r="D52" s="1">
        <v>1210.748</v>
      </c>
      <c r="E52" s="1">
        <v>841.53599999999994</v>
      </c>
      <c r="F52" s="1">
        <v>386.55599999999998</v>
      </c>
      <c r="G52" s="7">
        <v>1</v>
      </c>
      <c r="H52" s="1">
        <v>50</v>
      </c>
      <c r="I52" s="1" t="s">
        <v>43</v>
      </c>
      <c r="J52" s="1"/>
      <c r="K52" s="1">
        <v>1224.2149999999999</v>
      </c>
      <c r="L52" s="1">
        <f t="shared" si="13"/>
        <v>-382.67899999999997</v>
      </c>
      <c r="M52" s="1">
        <f t="shared" si="14"/>
        <v>517.01900000000001</v>
      </c>
      <c r="N52" s="1">
        <v>324.517</v>
      </c>
      <c r="O52" s="1"/>
      <c r="P52" s="1"/>
      <c r="Q52" s="1">
        <v>414.87601488000001</v>
      </c>
      <c r="R52" s="1"/>
      <c r="S52" s="25"/>
      <c r="T52" s="1">
        <v>515.33926512000005</v>
      </c>
      <c r="U52" s="1">
        <f t="shared" si="15"/>
        <v>103.4038</v>
      </c>
      <c r="V52" s="5"/>
      <c r="W52" s="5">
        <f>V52</f>
        <v>0</v>
      </c>
      <c r="X52" s="5">
        <f t="shared" si="21"/>
        <v>0</v>
      </c>
      <c r="Y52" s="5"/>
      <c r="Z52" s="1"/>
      <c r="AA52" s="1">
        <f t="shared" si="10"/>
        <v>12.734263924536622</v>
      </c>
      <c r="AB52" s="1">
        <f t="shared" si="16"/>
        <v>12.734263924536622</v>
      </c>
      <c r="AC52" s="1">
        <v>157.8124</v>
      </c>
      <c r="AD52" s="1">
        <v>128.76320000000001</v>
      </c>
      <c r="AE52" s="1">
        <v>111.2424</v>
      </c>
      <c r="AF52" s="1">
        <v>138.00559999999999</v>
      </c>
      <c r="AG52" s="1">
        <v>108.6206</v>
      </c>
      <c r="AH52" s="1">
        <v>78.2346</v>
      </c>
      <c r="AI52" s="1">
        <v>79.395399999999995</v>
      </c>
      <c r="AJ52" s="1">
        <v>52.078800000000022</v>
      </c>
      <c r="AK52" s="1"/>
      <c r="AL52" s="1">
        <f t="shared" si="17"/>
        <v>0</v>
      </c>
      <c r="AM52" s="1">
        <f t="shared" si="18"/>
        <v>0</v>
      </c>
      <c r="AN52" t="s">
        <v>151</v>
      </c>
    </row>
    <row r="53" spans="1:41" x14ac:dyDescent="0.25">
      <c r="A53" s="9" t="s">
        <v>152</v>
      </c>
      <c r="B53" s="9" t="s">
        <v>42</v>
      </c>
      <c r="C53" s="9"/>
      <c r="D53" s="9"/>
      <c r="E53" s="9"/>
      <c r="F53" s="9"/>
      <c r="G53" s="10">
        <v>0</v>
      </c>
      <c r="H53" s="9"/>
      <c r="I53" s="9" t="s">
        <v>43</v>
      </c>
      <c r="J53" s="9"/>
      <c r="K53" s="9"/>
      <c r="L53" s="9">
        <f t="shared" si="13"/>
        <v>0</v>
      </c>
      <c r="M53" s="9">
        <f t="shared" si="14"/>
        <v>0</v>
      </c>
      <c r="N53" s="9"/>
      <c r="O53" s="9"/>
      <c r="P53" s="9"/>
      <c r="Q53" s="9">
        <v>0</v>
      </c>
      <c r="R53" s="9"/>
      <c r="S53" s="28"/>
      <c r="T53" s="9"/>
      <c r="U53" s="9">
        <f t="shared" si="15"/>
        <v>0</v>
      </c>
      <c r="V53" s="11"/>
      <c r="W53" s="5">
        <f>V53</f>
        <v>0</v>
      </c>
      <c r="X53" s="5">
        <f t="shared" si="21"/>
        <v>0</v>
      </c>
      <c r="Y53" s="5"/>
      <c r="Z53" s="1"/>
      <c r="AA53" s="1" t="e">
        <f t="shared" si="10"/>
        <v>#DIV/0!</v>
      </c>
      <c r="AB53" s="9" t="e">
        <f t="shared" si="16"/>
        <v>#DIV/0!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 t="s">
        <v>80</v>
      </c>
      <c r="AL53" s="1">
        <f t="shared" si="17"/>
        <v>0</v>
      </c>
      <c r="AM53" s="1">
        <f t="shared" si="18"/>
        <v>0</v>
      </c>
      <c r="AN53" t="s">
        <v>153</v>
      </c>
    </row>
    <row r="54" spans="1:41" x14ac:dyDescent="0.25">
      <c r="A54" s="23" t="s">
        <v>154</v>
      </c>
      <c r="B54" s="1" t="s">
        <v>50</v>
      </c>
      <c r="C54" s="1">
        <v>366</v>
      </c>
      <c r="D54" s="1">
        <v>644</v>
      </c>
      <c r="E54" s="1">
        <v>496</v>
      </c>
      <c r="F54" s="1">
        <v>335</v>
      </c>
      <c r="G54" s="7">
        <v>0.45</v>
      </c>
      <c r="H54" s="1">
        <v>50</v>
      </c>
      <c r="I54" s="1" t="s">
        <v>43</v>
      </c>
      <c r="J54" s="1"/>
      <c r="K54" s="1">
        <v>627</v>
      </c>
      <c r="L54" s="1">
        <f t="shared" si="13"/>
        <v>-131</v>
      </c>
      <c r="M54" s="1">
        <f t="shared" si="14"/>
        <v>346</v>
      </c>
      <c r="N54" s="1">
        <v>150</v>
      </c>
      <c r="O54" s="1">
        <v>124.983456</v>
      </c>
      <c r="P54" s="1"/>
      <c r="Q54" s="1">
        <v>180.29425119999991</v>
      </c>
      <c r="R54" s="1"/>
      <c r="S54" s="25">
        <f>250/G54</f>
        <v>555.55555555555554</v>
      </c>
      <c r="T54" s="1">
        <v>223.9529488</v>
      </c>
      <c r="U54" s="1">
        <f t="shared" si="15"/>
        <v>69.2</v>
      </c>
      <c r="V54" s="5"/>
      <c r="W54" s="5">
        <f>V54</f>
        <v>0</v>
      </c>
      <c r="X54" s="5">
        <f t="shared" si="21"/>
        <v>0</v>
      </c>
      <c r="Y54" s="5"/>
      <c r="Z54" s="1"/>
      <c r="AA54" s="1">
        <f t="shared" si="10"/>
        <v>20.517141785484903</v>
      </c>
      <c r="AB54" s="1">
        <f t="shared" si="16"/>
        <v>12.488882312138728</v>
      </c>
      <c r="AC54" s="1">
        <v>93.6</v>
      </c>
      <c r="AD54" s="1">
        <v>82</v>
      </c>
      <c r="AE54" s="1">
        <v>69.599999999999994</v>
      </c>
      <c r="AF54" s="1">
        <v>75.2</v>
      </c>
      <c r="AG54" s="1">
        <v>79.400000000000006</v>
      </c>
      <c r="AH54" s="1">
        <v>86.2</v>
      </c>
      <c r="AI54" s="1">
        <v>84</v>
      </c>
      <c r="AJ54" s="1">
        <v>66.400000000000006</v>
      </c>
      <c r="AK54" s="1"/>
      <c r="AL54" s="1">
        <f t="shared" si="17"/>
        <v>0</v>
      </c>
      <c r="AM54" s="1">
        <f t="shared" si="18"/>
        <v>0</v>
      </c>
      <c r="AN54" t="s">
        <v>155</v>
      </c>
      <c r="AO54" t="str">
        <f>VLOOKUP(AN54,[2]Лист1!$A:$A,1,0)</f>
        <v>SU002815</v>
      </c>
    </row>
    <row r="55" spans="1:41" x14ac:dyDescent="0.25">
      <c r="A55" s="1" t="s">
        <v>156</v>
      </c>
      <c r="B55" s="1" t="s">
        <v>50</v>
      </c>
      <c r="C55" s="1">
        <v>677</v>
      </c>
      <c r="D55" s="1">
        <v>675</v>
      </c>
      <c r="E55" s="1">
        <v>694</v>
      </c>
      <c r="F55" s="1">
        <v>691</v>
      </c>
      <c r="G55" s="7">
        <v>0.45</v>
      </c>
      <c r="H55" s="1">
        <v>50</v>
      </c>
      <c r="I55" s="1" t="s">
        <v>43</v>
      </c>
      <c r="J55" s="1"/>
      <c r="K55" s="1">
        <v>641</v>
      </c>
      <c r="L55" s="1">
        <f t="shared" si="13"/>
        <v>53</v>
      </c>
      <c r="M55" s="1">
        <f t="shared" si="14"/>
        <v>694</v>
      </c>
      <c r="N55" s="1"/>
      <c r="O55" s="1">
        <v>166.32128239999989</v>
      </c>
      <c r="P55" s="1"/>
      <c r="Q55" s="1">
        <v>295.51575548</v>
      </c>
      <c r="R55" s="1"/>
      <c r="S55" s="25"/>
      <c r="T55" s="1">
        <v>367.07562452000008</v>
      </c>
      <c r="U55" s="1">
        <f t="shared" si="15"/>
        <v>138.80000000000001</v>
      </c>
      <c r="V55" s="5">
        <f>12*U55-T55-Q55-P55-O55-F55</f>
        <v>145.68733760000021</v>
      </c>
      <c r="W55" s="5">
        <f>V55+$W$1*U55</f>
        <v>281.71133760000021</v>
      </c>
      <c r="X55" s="5">
        <f t="shared" si="21"/>
        <v>281.71133760000021</v>
      </c>
      <c r="Y55" s="5"/>
      <c r="Z55" s="1"/>
      <c r="AA55" s="1">
        <f t="shared" si="10"/>
        <v>12.979999999999999</v>
      </c>
      <c r="AB55" s="1">
        <f t="shared" si="16"/>
        <v>10.950379412103745</v>
      </c>
      <c r="AC55" s="1">
        <v>140.19999999999999</v>
      </c>
      <c r="AD55" s="1">
        <v>121.6</v>
      </c>
      <c r="AE55" s="1">
        <v>115</v>
      </c>
      <c r="AF55" s="1">
        <v>109</v>
      </c>
      <c r="AG55" s="1">
        <v>86</v>
      </c>
      <c r="AH55" s="1">
        <v>112.8</v>
      </c>
      <c r="AI55" s="1">
        <v>148.19999999999999</v>
      </c>
      <c r="AJ55" s="1">
        <v>93.6</v>
      </c>
      <c r="AK55" s="1"/>
      <c r="AL55" s="1">
        <f t="shared" si="17"/>
        <v>127</v>
      </c>
      <c r="AM55" s="1">
        <f t="shared" si="18"/>
        <v>0</v>
      </c>
      <c r="AN55" t="s">
        <v>157</v>
      </c>
    </row>
    <row r="56" spans="1:41" x14ac:dyDescent="0.25">
      <c r="A56" s="9" t="s">
        <v>158</v>
      </c>
      <c r="B56" s="9" t="s">
        <v>50</v>
      </c>
      <c r="C56" s="9"/>
      <c r="D56" s="9"/>
      <c r="E56" s="9"/>
      <c r="F56" s="9"/>
      <c r="G56" s="10">
        <v>0</v>
      </c>
      <c r="H56" s="9"/>
      <c r="I56" s="9" t="s">
        <v>43</v>
      </c>
      <c r="J56" s="9"/>
      <c r="K56" s="9"/>
      <c r="L56" s="9">
        <f t="shared" si="13"/>
        <v>0</v>
      </c>
      <c r="M56" s="9">
        <f t="shared" si="14"/>
        <v>0</v>
      </c>
      <c r="N56" s="9"/>
      <c r="O56" s="9"/>
      <c r="P56" s="9"/>
      <c r="Q56" s="9">
        <v>0</v>
      </c>
      <c r="R56" s="9"/>
      <c r="S56" s="28"/>
      <c r="T56" s="9"/>
      <c r="U56" s="9">
        <f t="shared" si="15"/>
        <v>0</v>
      </c>
      <c r="V56" s="11"/>
      <c r="W56" s="5">
        <f t="shared" ref="W56:W65" si="22">V56</f>
        <v>0</v>
      </c>
      <c r="X56" s="5">
        <f t="shared" si="21"/>
        <v>0</v>
      </c>
      <c r="Y56" s="5"/>
      <c r="Z56" s="1"/>
      <c r="AA56" s="1" t="e">
        <f t="shared" si="10"/>
        <v>#DIV/0!</v>
      </c>
      <c r="AB56" s="9" t="e">
        <f t="shared" si="16"/>
        <v>#DIV/0!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 t="s">
        <v>80</v>
      </c>
      <c r="AL56" s="1">
        <f t="shared" si="17"/>
        <v>0</v>
      </c>
      <c r="AM56" s="1">
        <f t="shared" si="18"/>
        <v>0</v>
      </c>
      <c r="AN56" t="s">
        <v>159</v>
      </c>
    </row>
    <row r="57" spans="1:41" x14ac:dyDescent="0.25">
      <c r="A57" s="1" t="s">
        <v>160</v>
      </c>
      <c r="B57" s="1" t="s">
        <v>50</v>
      </c>
      <c r="C57" s="1"/>
      <c r="D57" s="1">
        <v>50</v>
      </c>
      <c r="E57" s="1">
        <v>12</v>
      </c>
      <c r="F57" s="1">
        <v>19</v>
      </c>
      <c r="G57" s="7">
        <v>0.4</v>
      </c>
      <c r="H57" s="1">
        <v>40</v>
      </c>
      <c r="I57" s="15" t="s">
        <v>106</v>
      </c>
      <c r="J57" s="1"/>
      <c r="K57" s="1">
        <v>30</v>
      </c>
      <c r="L57" s="1">
        <f t="shared" si="13"/>
        <v>-18</v>
      </c>
      <c r="M57" s="1">
        <f t="shared" si="14"/>
        <v>12</v>
      </c>
      <c r="N57" s="1"/>
      <c r="O57" s="1"/>
      <c r="P57" s="1"/>
      <c r="Q57" s="1">
        <v>10</v>
      </c>
      <c r="R57" s="1"/>
      <c r="S57" s="25"/>
      <c r="T57" s="1"/>
      <c r="U57" s="1">
        <f t="shared" si="15"/>
        <v>2.4</v>
      </c>
      <c r="V57" s="5">
        <v>10</v>
      </c>
      <c r="W57" s="5">
        <f t="shared" si="22"/>
        <v>10</v>
      </c>
      <c r="X57" s="5">
        <f>W57</f>
        <v>10</v>
      </c>
      <c r="Y57" s="5"/>
      <c r="Z57" s="1"/>
      <c r="AA57" s="1">
        <f t="shared" si="10"/>
        <v>16.25</v>
      </c>
      <c r="AB57" s="1">
        <f t="shared" si="16"/>
        <v>12.083333333333334</v>
      </c>
      <c r="AC57" s="1">
        <v>2.4</v>
      </c>
      <c r="AD57" s="1">
        <v>-0.4</v>
      </c>
      <c r="AE57" s="1">
        <v>0.2</v>
      </c>
      <c r="AF57" s="1">
        <v>2.4</v>
      </c>
      <c r="AG57" s="1">
        <v>2.8</v>
      </c>
      <c r="AH57" s="1">
        <v>4.8</v>
      </c>
      <c r="AI57" s="1">
        <v>5.6</v>
      </c>
      <c r="AJ57" s="1">
        <v>3</v>
      </c>
      <c r="AK57" s="1"/>
      <c r="AL57" s="1">
        <f t="shared" si="17"/>
        <v>4</v>
      </c>
      <c r="AM57" s="1">
        <f t="shared" si="18"/>
        <v>0</v>
      </c>
      <c r="AN57" t="s">
        <v>161</v>
      </c>
    </row>
    <row r="58" spans="1:41" x14ac:dyDescent="0.25">
      <c r="A58" s="23" t="s">
        <v>162</v>
      </c>
      <c r="B58" s="1" t="s">
        <v>42</v>
      </c>
      <c r="C58" s="1">
        <v>237.38200000000001</v>
      </c>
      <c r="D58" s="1">
        <v>761.19600000000003</v>
      </c>
      <c r="E58" s="1">
        <v>397.166</v>
      </c>
      <c r="F58" s="1">
        <v>313.839</v>
      </c>
      <c r="G58" s="7">
        <v>1</v>
      </c>
      <c r="H58" s="1">
        <v>50</v>
      </c>
      <c r="I58" s="1" t="s">
        <v>43</v>
      </c>
      <c r="J58" s="1"/>
      <c r="K58" s="1">
        <v>623.72699999999998</v>
      </c>
      <c r="L58" s="1">
        <f t="shared" si="13"/>
        <v>-226.56099999999998</v>
      </c>
      <c r="M58" s="1">
        <f t="shared" si="14"/>
        <v>290.13900000000001</v>
      </c>
      <c r="N58" s="1">
        <v>107.027</v>
      </c>
      <c r="O58" s="1">
        <v>231.74273485791991</v>
      </c>
      <c r="P58" s="1"/>
      <c r="Q58" s="1">
        <v>0</v>
      </c>
      <c r="R58" s="1"/>
      <c r="S58" s="25">
        <v>100</v>
      </c>
      <c r="T58" s="1"/>
      <c r="U58" s="1">
        <f t="shared" si="15"/>
        <v>58.027799999999999</v>
      </c>
      <c r="V58" s="5">
        <f>12*U58-T58-Q58-P58-O58-F58</f>
        <v>150.75186514208002</v>
      </c>
      <c r="W58" s="5">
        <f t="shared" si="22"/>
        <v>150.75186514208002</v>
      </c>
      <c r="X58" s="5">
        <f t="shared" ref="X58:X63" si="23">W58-Y58</f>
        <v>150.75186514208002</v>
      </c>
      <c r="Y58" s="5"/>
      <c r="Z58" s="1"/>
      <c r="AA58" s="1">
        <f t="shared" si="10"/>
        <v>13.723311929799165</v>
      </c>
      <c r="AB58" s="1">
        <f t="shared" si="16"/>
        <v>9.4020751236117839</v>
      </c>
      <c r="AC58" s="1">
        <v>74.771800000000013</v>
      </c>
      <c r="AD58" s="1">
        <v>94.477599999999981</v>
      </c>
      <c r="AE58" s="1">
        <v>78.927799999999991</v>
      </c>
      <c r="AF58" s="1">
        <v>65.617199999999997</v>
      </c>
      <c r="AG58" s="1">
        <v>68.840999999999994</v>
      </c>
      <c r="AH58" s="1">
        <v>74.638599999999997</v>
      </c>
      <c r="AI58" s="1">
        <v>99.823999999999998</v>
      </c>
      <c r="AJ58" s="1">
        <v>124.6264</v>
      </c>
      <c r="AK58" s="1"/>
      <c r="AL58" s="1">
        <f t="shared" si="17"/>
        <v>151</v>
      </c>
      <c r="AM58" s="1">
        <f t="shared" si="18"/>
        <v>0</v>
      </c>
      <c r="AN58" t="s">
        <v>163</v>
      </c>
      <c r="AO58" t="str">
        <f>VLOOKUP(AN58,[2]Лист1!$A:$A,1,0)</f>
        <v>SU002829</v>
      </c>
    </row>
    <row r="59" spans="1:41" x14ac:dyDescent="0.25">
      <c r="A59" s="1" t="s">
        <v>164</v>
      </c>
      <c r="B59" s="1" t="s">
        <v>50</v>
      </c>
      <c r="C59" s="1">
        <v>104</v>
      </c>
      <c r="D59" s="1">
        <v>232</v>
      </c>
      <c r="E59" s="1">
        <v>136</v>
      </c>
      <c r="F59" s="1">
        <v>160</v>
      </c>
      <c r="G59" s="7">
        <v>0.1</v>
      </c>
      <c r="H59" s="1">
        <v>731</v>
      </c>
      <c r="I59" s="1" t="s">
        <v>43</v>
      </c>
      <c r="J59" s="1"/>
      <c r="K59" s="1">
        <v>175</v>
      </c>
      <c r="L59" s="1">
        <f t="shared" si="13"/>
        <v>-39</v>
      </c>
      <c r="M59" s="1">
        <f t="shared" si="14"/>
        <v>136</v>
      </c>
      <c r="N59" s="1"/>
      <c r="O59" s="1"/>
      <c r="P59" s="1"/>
      <c r="Q59" s="1">
        <v>77.600000000000023</v>
      </c>
      <c r="R59" s="1"/>
      <c r="S59" s="25"/>
      <c r="T59" s="1"/>
      <c r="U59" s="1">
        <f t="shared" si="15"/>
        <v>27.2</v>
      </c>
      <c r="V59" s="5">
        <f>12*U59-T59-Q59-P59-O59-F59</f>
        <v>88.799999999999955</v>
      </c>
      <c r="W59" s="5">
        <f t="shared" si="22"/>
        <v>88.799999999999955</v>
      </c>
      <c r="X59" s="5">
        <f t="shared" si="23"/>
        <v>88.799999999999955</v>
      </c>
      <c r="Y59" s="5"/>
      <c r="Z59" s="1"/>
      <c r="AA59" s="1">
        <f t="shared" si="10"/>
        <v>12</v>
      </c>
      <c r="AB59" s="1">
        <f t="shared" si="16"/>
        <v>8.7352941176470598</v>
      </c>
      <c r="AC59" s="1">
        <v>27.2</v>
      </c>
      <c r="AD59" s="1">
        <v>26.2</v>
      </c>
      <c r="AE59" s="1">
        <v>26.8</v>
      </c>
      <c r="AF59" s="1">
        <v>27.6</v>
      </c>
      <c r="AG59" s="1">
        <v>24.4</v>
      </c>
      <c r="AH59" s="1">
        <v>26.4</v>
      </c>
      <c r="AI59" s="1">
        <v>26.6</v>
      </c>
      <c r="AJ59" s="1">
        <v>17.600000000000001</v>
      </c>
      <c r="AK59" s="1"/>
      <c r="AL59" s="1">
        <f t="shared" si="17"/>
        <v>9</v>
      </c>
      <c r="AM59" s="1">
        <f t="shared" si="18"/>
        <v>0</v>
      </c>
      <c r="AN59" t="s">
        <v>165</v>
      </c>
    </row>
    <row r="60" spans="1:41" x14ac:dyDescent="0.25">
      <c r="A60" s="1" t="s">
        <v>166</v>
      </c>
      <c r="B60" s="1" t="s">
        <v>42</v>
      </c>
      <c r="C60" s="1">
        <v>491.87299999999999</v>
      </c>
      <c r="D60" s="1">
        <v>782.45100000000002</v>
      </c>
      <c r="E60" s="1">
        <v>492.62299999999999</v>
      </c>
      <c r="F60" s="1">
        <v>426.03100000000001</v>
      </c>
      <c r="G60" s="7">
        <v>1</v>
      </c>
      <c r="H60" s="1">
        <v>50</v>
      </c>
      <c r="I60" s="1" t="s">
        <v>43</v>
      </c>
      <c r="J60" s="1"/>
      <c r="K60" s="1">
        <v>654.69799999999998</v>
      </c>
      <c r="L60" s="1">
        <f t="shared" si="13"/>
        <v>-162.07499999999999</v>
      </c>
      <c r="M60" s="1">
        <f t="shared" si="14"/>
        <v>364.81599999999997</v>
      </c>
      <c r="N60" s="1">
        <v>127.807</v>
      </c>
      <c r="O60" s="1"/>
      <c r="P60" s="1"/>
      <c r="Q60" s="1">
        <v>133.80848404799971</v>
      </c>
      <c r="R60" s="1"/>
      <c r="S60" s="25"/>
      <c r="T60" s="1"/>
      <c r="U60" s="1">
        <f t="shared" si="15"/>
        <v>72.963200000000001</v>
      </c>
      <c r="V60" s="5">
        <f>12*U60-T60-Q60-P60-O60-F60</f>
        <v>315.71891595200026</v>
      </c>
      <c r="W60" s="5">
        <f t="shared" si="22"/>
        <v>315.71891595200026</v>
      </c>
      <c r="X60" s="5">
        <f t="shared" si="23"/>
        <v>315.71891595200026</v>
      </c>
      <c r="Y60" s="5"/>
      <c r="Z60" s="1"/>
      <c r="AA60" s="1">
        <f t="shared" si="10"/>
        <v>11.999999999999998</v>
      </c>
      <c r="AB60" s="1">
        <f t="shared" si="16"/>
        <v>7.6729020115345774</v>
      </c>
      <c r="AC60" s="1">
        <v>88.772199999999998</v>
      </c>
      <c r="AD60" s="1">
        <v>93.292600000000007</v>
      </c>
      <c r="AE60" s="1">
        <v>105.92659999999999</v>
      </c>
      <c r="AF60" s="1">
        <v>80.308399999999992</v>
      </c>
      <c r="AG60" s="1">
        <v>57.7956</v>
      </c>
      <c r="AH60" s="1">
        <v>86.590799999999987</v>
      </c>
      <c r="AI60" s="1">
        <v>102.032</v>
      </c>
      <c r="AJ60" s="1">
        <v>70.132199999999997</v>
      </c>
      <c r="AK60" s="1"/>
      <c r="AL60" s="1">
        <f t="shared" si="17"/>
        <v>316</v>
      </c>
      <c r="AM60" s="1">
        <f t="shared" si="18"/>
        <v>0</v>
      </c>
      <c r="AN60" t="s">
        <v>167</v>
      </c>
    </row>
    <row r="61" spans="1:41" x14ac:dyDescent="0.25">
      <c r="A61" s="1" t="s">
        <v>168</v>
      </c>
      <c r="B61" s="1" t="s">
        <v>42</v>
      </c>
      <c r="C61" s="1">
        <v>48.067999999999998</v>
      </c>
      <c r="D61" s="1">
        <v>53.972999999999999</v>
      </c>
      <c r="E61" s="1">
        <v>24.356999999999999</v>
      </c>
      <c r="F61" s="1">
        <v>77.317999999999998</v>
      </c>
      <c r="G61" s="7">
        <v>1</v>
      </c>
      <c r="H61" s="1">
        <v>55</v>
      </c>
      <c r="I61" s="1" t="s">
        <v>43</v>
      </c>
      <c r="J61" s="1"/>
      <c r="K61" s="1">
        <v>22.2</v>
      </c>
      <c r="L61" s="1">
        <f t="shared" si="13"/>
        <v>2.157</v>
      </c>
      <c r="M61" s="1">
        <f t="shared" si="14"/>
        <v>24.356999999999999</v>
      </c>
      <c r="N61" s="1"/>
      <c r="O61" s="1"/>
      <c r="P61" s="1"/>
      <c r="Q61" s="1">
        <v>0</v>
      </c>
      <c r="R61" s="1"/>
      <c r="S61" s="25"/>
      <c r="T61" s="1"/>
      <c r="U61" s="1">
        <f t="shared" si="15"/>
        <v>4.8713999999999995</v>
      </c>
      <c r="V61" s="5"/>
      <c r="W61" s="5">
        <f t="shared" si="22"/>
        <v>0</v>
      </c>
      <c r="X61" s="5">
        <f t="shared" si="23"/>
        <v>0</v>
      </c>
      <c r="Y61" s="5"/>
      <c r="Z61" s="1"/>
      <c r="AA61" s="1">
        <f t="shared" si="10"/>
        <v>15.871823295151293</v>
      </c>
      <c r="AB61" s="1">
        <f t="shared" si="16"/>
        <v>15.871823295151293</v>
      </c>
      <c r="AC61" s="1">
        <v>4.8714000000000004</v>
      </c>
      <c r="AD61" s="1">
        <v>8.2176000000000009</v>
      </c>
      <c r="AE61" s="1">
        <v>6.5724</v>
      </c>
      <c r="AF61" s="1">
        <v>2.7147999999999999</v>
      </c>
      <c r="AG61" s="1">
        <v>3.7801999999999998</v>
      </c>
      <c r="AH61" s="1">
        <v>7.5739999999999998</v>
      </c>
      <c r="AI61" s="1">
        <v>8.3827999999999996</v>
      </c>
      <c r="AJ61" s="1">
        <v>3.4996</v>
      </c>
      <c r="AK61" s="1"/>
      <c r="AL61" s="1">
        <f t="shared" si="17"/>
        <v>0</v>
      </c>
      <c r="AM61" s="1">
        <f t="shared" si="18"/>
        <v>0</v>
      </c>
      <c r="AN61" t="s">
        <v>169</v>
      </c>
    </row>
    <row r="62" spans="1:41" x14ac:dyDescent="0.25">
      <c r="A62" s="1" t="s">
        <v>170</v>
      </c>
      <c r="B62" s="1" t="s">
        <v>50</v>
      </c>
      <c r="C62" s="1">
        <v>105</v>
      </c>
      <c r="D62" s="1">
        <v>147</v>
      </c>
      <c r="E62" s="1">
        <v>118</v>
      </c>
      <c r="F62" s="1">
        <v>119</v>
      </c>
      <c r="G62" s="7">
        <v>0.1</v>
      </c>
      <c r="H62" s="1">
        <v>731</v>
      </c>
      <c r="I62" s="1" t="s">
        <v>43</v>
      </c>
      <c r="J62" s="1"/>
      <c r="K62" s="1">
        <v>132</v>
      </c>
      <c r="L62" s="1">
        <f t="shared" si="13"/>
        <v>-14</v>
      </c>
      <c r="M62" s="1">
        <f t="shared" si="14"/>
        <v>118</v>
      </c>
      <c r="N62" s="1"/>
      <c r="O62" s="1"/>
      <c r="P62" s="1"/>
      <c r="Q62" s="1">
        <v>100.2</v>
      </c>
      <c r="R62" s="1"/>
      <c r="S62" s="25"/>
      <c r="T62" s="1"/>
      <c r="U62" s="1">
        <f t="shared" si="15"/>
        <v>23.6</v>
      </c>
      <c r="V62" s="5">
        <f>12*U62-T62-Q62-P62-O62-F62</f>
        <v>64.000000000000057</v>
      </c>
      <c r="W62" s="5">
        <f t="shared" si="22"/>
        <v>64.000000000000057</v>
      </c>
      <c r="X62" s="5">
        <f t="shared" si="23"/>
        <v>64.000000000000057</v>
      </c>
      <c r="Y62" s="5"/>
      <c r="Z62" s="1"/>
      <c r="AA62" s="1">
        <f t="shared" si="10"/>
        <v>12.000000000000002</v>
      </c>
      <c r="AB62" s="1">
        <f t="shared" si="16"/>
        <v>9.2881355932203373</v>
      </c>
      <c r="AC62" s="1">
        <v>23.6</v>
      </c>
      <c r="AD62" s="1">
        <v>20.2</v>
      </c>
      <c r="AE62" s="1">
        <v>24</v>
      </c>
      <c r="AF62" s="1">
        <v>23</v>
      </c>
      <c r="AG62" s="1">
        <v>23.6</v>
      </c>
      <c r="AH62" s="1">
        <v>23</v>
      </c>
      <c r="AI62" s="1">
        <v>24.2</v>
      </c>
      <c r="AJ62" s="1">
        <v>17.600000000000001</v>
      </c>
      <c r="AK62" s="1"/>
      <c r="AL62" s="1">
        <f t="shared" si="17"/>
        <v>6</v>
      </c>
      <c r="AM62" s="1">
        <f t="shared" si="18"/>
        <v>0</v>
      </c>
      <c r="AN62" t="s">
        <v>171</v>
      </c>
    </row>
    <row r="63" spans="1:41" x14ac:dyDescent="0.25">
      <c r="A63" s="1" t="s">
        <v>172</v>
      </c>
      <c r="B63" s="1" t="s">
        <v>50</v>
      </c>
      <c r="C63" s="1">
        <v>18</v>
      </c>
      <c r="D63" s="1">
        <v>10</v>
      </c>
      <c r="E63" s="1">
        <v>1</v>
      </c>
      <c r="F63" s="1">
        <v>27</v>
      </c>
      <c r="G63" s="7">
        <v>0.4</v>
      </c>
      <c r="H63" s="1">
        <v>50</v>
      </c>
      <c r="I63" s="1" t="s">
        <v>43</v>
      </c>
      <c r="J63" s="1"/>
      <c r="K63" s="1">
        <v>3</v>
      </c>
      <c r="L63" s="1">
        <f t="shared" si="13"/>
        <v>-2</v>
      </c>
      <c r="M63" s="1">
        <f t="shared" si="14"/>
        <v>1</v>
      </c>
      <c r="N63" s="1"/>
      <c r="O63" s="1"/>
      <c r="P63" s="1"/>
      <c r="Q63" s="1">
        <v>0</v>
      </c>
      <c r="R63" s="1"/>
      <c r="S63" s="25"/>
      <c r="T63" s="1"/>
      <c r="U63" s="1">
        <f t="shared" si="15"/>
        <v>0.2</v>
      </c>
      <c r="V63" s="5"/>
      <c r="W63" s="5">
        <f t="shared" si="22"/>
        <v>0</v>
      </c>
      <c r="X63" s="5">
        <f t="shared" si="23"/>
        <v>0</v>
      </c>
      <c r="Y63" s="5"/>
      <c r="Z63" s="1"/>
      <c r="AA63" s="1">
        <f t="shared" si="10"/>
        <v>135</v>
      </c>
      <c r="AB63" s="1">
        <f t="shared" si="16"/>
        <v>135</v>
      </c>
      <c r="AC63" s="1">
        <v>0.2</v>
      </c>
      <c r="AD63" s="1">
        <v>0.8</v>
      </c>
      <c r="AE63" s="1">
        <v>1.4</v>
      </c>
      <c r="AF63" s="1">
        <v>2.2000000000000002</v>
      </c>
      <c r="AG63" s="1">
        <v>2.2000000000000002</v>
      </c>
      <c r="AH63" s="1">
        <v>1</v>
      </c>
      <c r="AI63" s="1">
        <v>1.6</v>
      </c>
      <c r="AJ63" s="1">
        <v>2.8</v>
      </c>
      <c r="AK63" s="12" t="s">
        <v>99</v>
      </c>
      <c r="AL63" s="1">
        <f t="shared" si="17"/>
        <v>0</v>
      </c>
      <c r="AM63" s="1">
        <f t="shared" si="18"/>
        <v>0</v>
      </c>
      <c r="AN63" t="s">
        <v>173</v>
      </c>
    </row>
    <row r="64" spans="1:41" x14ac:dyDescent="0.25">
      <c r="A64" s="1" t="s">
        <v>174</v>
      </c>
      <c r="B64" s="1" t="s">
        <v>42</v>
      </c>
      <c r="C64" s="1">
        <v>-26.584</v>
      </c>
      <c r="D64" s="1">
        <v>296.51600000000002</v>
      </c>
      <c r="E64" s="1">
        <v>9.8889999999999993</v>
      </c>
      <c r="F64" s="1">
        <v>71.605000000000004</v>
      </c>
      <c r="G64" s="7">
        <v>1</v>
      </c>
      <c r="H64" s="1">
        <v>40</v>
      </c>
      <c r="I64" s="15" t="s">
        <v>106</v>
      </c>
      <c r="J64" s="1"/>
      <c r="K64" s="1">
        <v>168.8</v>
      </c>
      <c r="L64" s="1">
        <f t="shared" si="13"/>
        <v>-158.911</v>
      </c>
      <c r="M64" s="1">
        <f t="shared" si="14"/>
        <v>9.8889999999999993</v>
      </c>
      <c r="N64" s="1"/>
      <c r="O64" s="1"/>
      <c r="P64" s="1"/>
      <c r="Q64" s="1">
        <v>0</v>
      </c>
      <c r="R64" s="1"/>
      <c r="S64" s="25"/>
      <c r="T64" s="1"/>
      <c r="U64" s="1">
        <f t="shared" si="15"/>
        <v>1.9777999999999998</v>
      </c>
      <c r="V64" s="5">
        <v>50</v>
      </c>
      <c r="W64" s="5">
        <f t="shared" si="22"/>
        <v>50</v>
      </c>
      <c r="X64" s="5">
        <f>W64</f>
        <v>50</v>
      </c>
      <c r="Y64" s="5">
        <f>W64*0.5</f>
        <v>25</v>
      </c>
      <c r="Z64" s="1"/>
      <c r="AA64" s="1">
        <f t="shared" si="10"/>
        <v>74.125290727070507</v>
      </c>
      <c r="AB64" s="1">
        <f t="shared" si="16"/>
        <v>36.204368490241691</v>
      </c>
      <c r="AC64" s="1">
        <v>1.9778</v>
      </c>
      <c r="AD64" s="1">
        <v>35.930399999999999</v>
      </c>
      <c r="AE64" s="1">
        <v>33.767200000000003</v>
      </c>
      <c r="AF64" s="1">
        <v>5.1779999999999999</v>
      </c>
      <c r="AG64" s="1">
        <v>12.8698</v>
      </c>
      <c r="AH64" s="1">
        <v>11.319000000000001</v>
      </c>
      <c r="AI64" s="1">
        <v>7.4388000000000014</v>
      </c>
      <c r="AJ64" s="1">
        <v>8.8168000000000006</v>
      </c>
      <c r="AK64" s="1" t="s">
        <v>175</v>
      </c>
      <c r="AL64" s="1">
        <f t="shared" si="17"/>
        <v>50</v>
      </c>
      <c r="AM64" s="1">
        <f t="shared" si="18"/>
        <v>25</v>
      </c>
      <c r="AN64" t="s">
        <v>176</v>
      </c>
    </row>
    <row r="65" spans="1:40" x14ac:dyDescent="0.25">
      <c r="A65" s="1" t="s">
        <v>177</v>
      </c>
      <c r="B65" s="1" t="s">
        <v>42</v>
      </c>
      <c r="C65" s="1">
        <v>-40.819000000000003</v>
      </c>
      <c r="D65" s="1">
        <v>261.31700000000001</v>
      </c>
      <c r="E65" s="1">
        <v>98.992000000000004</v>
      </c>
      <c r="F65" s="1">
        <v>-53.939</v>
      </c>
      <c r="G65" s="7">
        <v>1</v>
      </c>
      <c r="H65" s="1">
        <v>40</v>
      </c>
      <c r="I65" s="15" t="s">
        <v>106</v>
      </c>
      <c r="J65" s="1"/>
      <c r="K65" s="1">
        <v>233.49700000000001</v>
      </c>
      <c r="L65" s="1">
        <f t="shared" si="13"/>
        <v>-134.505</v>
      </c>
      <c r="M65" s="1">
        <f t="shared" si="14"/>
        <v>98.992000000000004</v>
      </c>
      <c r="N65" s="1"/>
      <c r="O65" s="1"/>
      <c r="P65" s="1"/>
      <c r="Q65" s="1">
        <v>50</v>
      </c>
      <c r="R65" s="1"/>
      <c r="S65" s="25"/>
      <c r="T65" s="1"/>
      <c r="U65" s="1">
        <f t="shared" si="15"/>
        <v>19.798400000000001</v>
      </c>
      <c r="V65" s="5">
        <v>60</v>
      </c>
      <c r="W65" s="5">
        <f t="shared" si="22"/>
        <v>60</v>
      </c>
      <c r="X65" s="5">
        <f>W65</f>
        <v>60</v>
      </c>
      <c r="Y65" s="5">
        <f>W65*0.5</f>
        <v>30</v>
      </c>
      <c r="Z65" s="1"/>
      <c r="AA65" s="1">
        <f t="shared" si="10"/>
        <v>4.3468664134475512</v>
      </c>
      <c r="AB65" s="1">
        <f t="shared" si="16"/>
        <v>-0.19895547114918377</v>
      </c>
      <c r="AC65" s="1">
        <v>10.039999999999999</v>
      </c>
      <c r="AD65" s="1">
        <v>35.883800000000001</v>
      </c>
      <c r="AE65" s="1">
        <v>36.3566</v>
      </c>
      <c r="AF65" s="1">
        <v>15.0884</v>
      </c>
      <c r="AG65" s="1">
        <v>0.26879999999999998</v>
      </c>
      <c r="AH65" s="1">
        <v>0.55599999999999994</v>
      </c>
      <c r="AI65" s="1">
        <v>8.0599999999999987</v>
      </c>
      <c r="AJ65" s="1">
        <v>8.0434000000000001</v>
      </c>
      <c r="AK65" s="1" t="s">
        <v>175</v>
      </c>
      <c r="AL65" s="1">
        <f t="shared" si="17"/>
        <v>60</v>
      </c>
      <c r="AM65" s="1">
        <f t="shared" si="18"/>
        <v>30</v>
      </c>
      <c r="AN65" t="s">
        <v>178</v>
      </c>
    </row>
    <row r="66" spans="1:40" x14ac:dyDescent="0.25">
      <c r="A66" s="1" t="s">
        <v>179</v>
      </c>
      <c r="B66" s="1" t="s">
        <v>50</v>
      </c>
      <c r="C66" s="1">
        <v>878</v>
      </c>
      <c r="D66" s="1">
        <v>1011</v>
      </c>
      <c r="E66" s="1">
        <v>940</v>
      </c>
      <c r="F66" s="1">
        <v>124</v>
      </c>
      <c r="G66" s="7">
        <v>0.4</v>
      </c>
      <c r="H66" s="1">
        <v>40</v>
      </c>
      <c r="I66" s="1" t="s">
        <v>43</v>
      </c>
      <c r="J66" s="1"/>
      <c r="K66" s="1">
        <v>1435</v>
      </c>
      <c r="L66" s="1">
        <f t="shared" si="13"/>
        <v>-495</v>
      </c>
      <c r="M66" s="1">
        <f t="shared" si="14"/>
        <v>820</v>
      </c>
      <c r="N66" s="1">
        <v>120</v>
      </c>
      <c r="O66" s="1"/>
      <c r="P66" s="1"/>
      <c r="Q66" s="1">
        <v>551.05975999999987</v>
      </c>
      <c r="R66" s="1"/>
      <c r="S66" s="25"/>
      <c r="T66" s="1">
        <v>684.50024000000008</v>
      </c>
      <c r="U66" s="1">
        <f t="shared" si="15"/>
        <v>164</v>
      </c>
      <c r="V66" s="5">
        <f>12*U66-T66-Q66-P66-O66-F66</f>
        <v>608.44000000000005</v>
      </c>
      <c r="W66" s="5">
        <f>V66+$W$1*U66</f>
        <v>769.16000000000008</v>
      </c>
      <c r="X66" s="5">
        <f>W66-Y66</f>
        <v>769.16000000000008</v>
      </c>
      <c r="Y66" s="5"/>
      <c r="Z66" s="1"/>
      <c r="AA66" s="1">
        <f t="shared" si="10"/>
        <v>12.980000000000002</v>
      </c>
      <c r="AB66" s="1">
        <f t="shared" si="16"/>
        <v>8.2899999999999991</v>
      </c>
      <c r="AC66" s="1">
        <v>188.8</v>
      </c>
      <c r="AD66" s="1">
        <v>96.2</v>
      </c>
      <c r="AE66" s="1">
        <v>124.2</v>
      </c>
      <c r="AF66" s="1">
        <v>168</v>
      </c>
      <c r="AG66" s="1">
        <v>89.6</v>
      </c>
      <c r="AH66" s="1">
        <v>26.4</v>
      </c>
      <c r="AI66" s="1">
        <v>94.8</v>
      </c>
      <c r="AJ66" s="1">
        <v>113.2</v>
      </c>
      <c r="AK66" s="1"/>
      <c r="AL66" s="1">
        <f t="shared" si="17"/>
        <v>308</v>
      </c>
      <c r="AM66" s="1">
        <f t="shared" si="18"/>
        <v>0</v>
      </c>
      <c r="AN66" t="s">
        <v>180</v>
      </c>
    </row>
    <row r="67" spans="1:40" x14ac:dyDescent="0.25">
      <c r="A67" s="1" t="s">
        <v>181</v>
      </c>
      <c r="B67" s="1" t="s">
        <v>50</v>
      </c>
      <c r="C67" s="1">
        <v>79</v>
      </c>
      <c r="D67" s="1">
        <v>315</v>
      </c>
      <c r="E67" s="1">
        <v>193</v>
      </c>
      <c r="F67" s="1"/>
      <c r="G67" s="7">
        <v>0.4</v>
      </c>
      <c r="H67" s="1">
        <v>40</v>
      </c>
      <c r="I67" s="15" t="s">
        <v>106</v>
      </c>
      <c r="J67" s="1"/>
      <c r="K67" s="1">
        <v>667</v>
      </c>
      <c r="L67" s="1">
        <f t="shared" si="13"/>
        <v>-474</v>
      </c>
      <c r="M67" s="1">
        <f t="shared" si="14"/>
        <v>133</v>
      </c>
      <c r="N67" s="1">
        <v>60</v>
      </c>
      <c r="O67" s="1">
        <v>50</v>
      </c>
      <c r="P67" s="1"/>
      <c r="Q67" s="1">
        <v>187.4</v>
      </c>
      <c r="R67" s="1">
        <v>-191.99999999999997</v>
      </c>
      <c r="S67" s="25"/>
      <c r="T67" s="1"/>
      <c r="U67" s="1">
        <f t="shared" si="15"/>
        <v>26.6</v>
      </c>
      <c r="V67" s="5">
        <v>200</v>
      </c>
      <c r="W67" s="5">
        <f>V67</f>
        <v>200</v>
      </c>
      <c r="X67" s="5">
        <f>W67</f>
        <v>200</v>
      </c>
      <c r="Y67" s="5">
        <f>W67*0.5</f>
        <v>100</v>
      </c>
      <c r="Z67" s="1"/>
      <c r="AA67" s="1">
        <f t="shared" si="10"/>
        <v>12.984962406015036</v>
      </c>
      <c r="AB67" s="1">
        <f t="shared" si="16"/>
        <v>8.9248120300751879</v>
      </c>
      <c r="AC67" s="1">
        <v>38.4</v>
      </c>
      <c r="AD67" s="1">
        <v>0.6</v>
      </c>
      <c r="AE67" s="1">
        <v>0</v>
      </c>
      <c r="AF67" s="1">
        <v>0.4</v>
      </c>
      <c r="AG67" s="1">
        <v>0.8</v>
      </c>
      <c r="AH67" s="1">
        <v>45.6</v>
      </c>
      <c r="AI67" s="1">
        <v>95.8</v>
      </c>
      <c r="AJ67" s="1">
        <v>80.400000000000006</v>
      </c>
      <c r="AK67" s="1"/>
      <c r="AL67" s="1">
        <f t="shared" si="17"/>
        <v>80</v>
      </c>
      <c r="AM67" s="1">
        <f t="shared" si="18"/>
        <v>40</v>
      </c>
      <c r="AN67" t="s">
        <v>182</v>
      </c>
    </row>
    <row r="68" spans="1:40" x14ac:dyDescent="0.25">
      <c r="A68" s="1" t="s">
        <v>183</v>
      </c>
      <c r="B68" s="1" t="s">
        <v>42</v>
      </c>
      <c r="C68" s="1">
        <v>131.67500000000001</v>
      </c>
      <c r="D68" s="1">
        <v>182.43899999999999</v>
      </c>
      <c r="E68" s="1">
        <v>131.47399999999999</v>
      </c>
      <c r="F68" s="1">
        <v>90.784000000000006</v>
      </c>
      <c r="G68" s="7">
        <v>1</v>
      </c>
      <c r="H68" s="1">
        <v>40</v>
      </c>
      <c r="I68" s="1" t="s">
        <v>43</v>
      </c>
      <c r="J68" s="1"/>
      <c r="K68" s="1">
        <v>130.68799999999999</v>
      </c>
      <c r="L68" s="1">
        <f t="shared" si="13"/>
        <v>0.78600000000000136</v>
      </c>
      <c r="M68" s="1">
        <f t="shared" si="14"/>
        <v>55.727999999999994</v>
      </c>
      <c r="N68" s="1">
        <v>75.745999999999995</v>
      </c>
      <c r="O68" s="1"/>
      <c r="P68" s="1"/>
      <c r="Q68" s="1">
        <v>0</v>
      </c>
      <c r="R68" s="1"/>
      <c r="S68" s="25"/>
      <c r="T68" s="1"/>
      <c r="U68" s="1">
        <f t="shared" si="15"/>
        <v>11.145599999999998</v>
      </c>
      <c r="V68" s="5">
        <f>12*U68-T68-Q68-P68-O68-F68</f>
        <v>42.963199999999958</v>
      </c>
      <c r="W68" s="5">
        <f t="shared" ref="W68:W74" si="24">V68</f>
        <v>42.963199999999958</v>
      </c>
      <c r="X68" s="5">
        <f t="shared" ref="X68:X83" si="25">W68-Y68</f>
        <v>42.963199999999958</v>
      </c>
      <c r="Y68" s="5"/>
      <c r="Z68" s="1"/>
      <c r="AA68" s="1">
        <f t="shared" si="10"/>
        <v>11.999999999999998</v>
      </c>
      <c r="AB68" s="1">
        <f t="shared" si="16"/>
        <v>8.1452770600057445</v>
      </c>
      <c r="AC68" s="1">
        <v>9.0595999999999979</v>
      </c>
      <c r="AD68" s="1">
        <v>17.7364</v>
      </c>
      <c r="AE68" s="1">
        <v>6.0776000000000003</v>
      </c>
      <c r="AF68" s="1">
        <v>4.7904</v>
      </c>
      <c r="AG68" s="1">
        <v>12.265599999999999</v>
      </c>
      <c r="AH68" s="1">
        <v>17.055599999999998</v>
      </c>
      <c r="AI68" s="1">
        <v>11.9252</v>
      </c>
      <c r="AJ68" s="1">
        <v>7.8718000000000004</v>
      </c>
      <c r="AK68" s="1"/>
      <c r="AL68" s="1">
        <f t="shared" si="17"/>
        <v>43</v>
      </c>
      <c r="AM68" s="1">
        <f t="shared" si="18"/>
        <v>0</v>
      </c>
      <c r="AN68" t="s">
        <v>184</v>
      </c>
    </row>
    <row r="69" spans="1:40" x14ac:dyDescent="0.25">
      <c r="A69" s="1" t="s">
        <v>185</v>
      </c>
      <c r="B69" s="1" t="s">
        <v>42</v>
      </c>
      <c r="C69" s="1">
        <v>59.363</v>
      </c>
      <c r="D69" s="1">
        <v>389.28</v>
      </c>
      <c r="E69" s="1">
        <v>48.875999999999998</v>
      </c>
      <c r="F69" s="1">
        <v>191.06299999999999</v>
      </c>
      <c r="G69" s="7">
        <v>1</v>
      </c>
      <c r="H69" s="1">
        <v>40</v>
      </c>
      <c r="I69" s="1" t="s">
        <v>43</v>
      </c>
      <c r="J69" s="1"/>
      <c r="K69" s="1">
        <v>237.13200000000001</v>
      </c>
      <c r="L69" s="1">
        <f t="shared" si="13"/>
        <v>-188.256</v>
      </c>
      <c r="M69" s="1">
        <f t="shared" si="14"/>
        <v>16.555999999999997</v>
      </c>
      <c r="N69" s="1">
        <v>32.32</v>
      </c>
      <c r="O69" s="1"/>
      <c r="P69" s="1"/>
      <c r="Q69" s="1">
        <v>0</v>
      </c>
      <c r="R69" s="1"/>
      <c r="S69" s="25"/>
      <c r="T69" s="1"/>
      <c r="U69" s="1">
        <f t="shared" si="15"/>
        <v>3.3111999999999995</v>
      </c>
      <c r="V69" s="5"/>
      <c r="W69" s="5">
        <f t="shared" si="24"/>
        <v>0</v>
      </c>
      <c r="X69" s="5">
        <f t="shared" si="25"/>
        <v>0</v>
      </c>
      <c r="Y69" s="5"/>
      <c r="Z69" s="1"/>
      <c r="AA69" s="1">
        <f t="shared" si="10"/>
        <v>57.702041555931388</v>
      </c>
      <c r="AB69" s="1">
        <f t="shared" si="16"/>
        <v>57.702041555931388</v>
      </c>
      <c r="AC69" s="1">
        <v>20.581600000000002</v>
      </c>
      <c r="AD69" s="1">
        <v>30.961200000000002</v>
      </c>
      <c r="AE69" s="1">
        <v>27.160799999999998</v>
      </c>
      <c r="AF69" s="1">
        <v>17.945</v>
      </c>
      <c r="AG69" s="1">
        <v>16.682200000000002</v>
      </c>
      <c r="AH69" s="1">
        <v>20.416399999999999</v>
      </c>
      <c r="AI69" s="1">
        <v>21.869800000000001</v>
      </c>
      <c r="AJ69" s="1">
        <v>14.438000000000001</v>
      </c>
      <c r="AK69" s="1"/>
      <c r="AL69" s="1">
        <f t="shared" si="17"/>
        <v>0</v>
      </c>
      <c r="AM69" s="1">
        <f t="shared" si="18"/>
        <v>0</v>
      </c>
      <c r="AN69" t="s">
        <v>186</v>
      </c>
    </row>
    <row r="70" spans="1:40" x14ac:dyDescent="0.25">
      <c r="A70" s="1" t="s">
        <v>187</v>
      </c>
      <c r="B70" s="1" t="s">
        <v>42</v>
      </c>
      <c r="C70" s="1">
        <v>764.34199999999998</v>
      </c>
      <c r="D70" s="1">
        <v>374.04199999999997</v>
      </c>
      <c r="E70" s="1">
        <v>525.47400000000005</v>
      </c>
      <c r="F70" s="1">
        <v>354.42099999999999</v>
      </c>
      <c r="G70" s="7">
        <v>1</v>
      </c>
      <c r="H70" s="1">
        <v>40</v>
      </c>
      <c r="I70" s="1" t="s">
        <v>43</v>
      </c>
      <c r="J70" s="1"/>
      <c r="K70" s="1">
        <v>631.66800000000001</v>
      </c>
      <c r="L70" s="1">
        <f t="shared" ref="L70:L101" si="26">E70-K70</f>
        <v>-106.19399999999996</v>
      </c>
      <c r="M70" s="1">
        <f t="shared" ref="M70:M101" si="27">E70-N70</f>
        <v>417.27700000000004</v>
      </c>
      <c r="N70" s="1">
        <v>108.197</v>
      </c>
      <c r="O70" s="1"/>
      <c r="P70" s="1"/>
      <c r="Q70" s="1">
        <v>378.85399999999993</v>
      </c>
      <c r="R70" s="1">
        <v>-383.4</v>
      </c>
      <c r="S70" s="25"/>
      <c r="T70" s="1"/>
      <c r="U70" s="1">
        <f t="shared" ref="U70:U101" si="28">M70/5</f>
        <v>83.455400000000012</v>
      </c>
      <c r="V70" s="5">
        <f>12*U70-T70-Q70-P70-O70-F70</f>
        <v>268.18980000000028</v>
      </c>
      <c r="W70" s="5">
        <f t="shared" si="24"/>
        <v>268.18980000000028</v>
      </c>
      <c r="X70" s="5">
        <f t="shared" si="25"/>
        <v>268.18980000000028</v>
      </c>
      <c r="Y70" s="5"/>
      <c r="Z70" s="1"/>
      <c r="AA70" s="1">
        <f t="shared" si="10"/>
        <v>7.405929394622758</v>
      </c>
      <c r="AB70" s="1">
        <f t="shared" ref="AB70:AB101" si="29">(F70+O70+P70+Q70+T70)/U70</f>
        <v>8.7864296378664495</v>
      </c>
      <c r="AC70" s="1">
        <v>94.111999999999995</v>
      </c>
      <c r="AD70" s="1">
        <v>81.416399999999996</v>
      </c>
      <c r="AE70" s="1">
        <v>61.898000000000003</v>
      </c>
      <c r="AF70" s="1">
        <v>89.253599999999992</v>
      </c>
      <c r="AG70" s="1">
        <v>110.14279999999999</v>
      </c>
      <c r="AH70" s="1">
        <v>106.628</v>
      </c>
      <c r="AI70" s="1">
        <v>119.44499999999999</v>
      </c>
      <c r="AJ70" s="1">
        <v>150.35599999999999</v>
      </c>
      <c r="AK70" s="1"/>
      <c r="AL70" s="1">
        <f t="shared" ref="AL70:AL101" si="30">ROUND(G70*X70,0)</f>
        <v>268</v>
      </c>
      <c r="AM70" s="1">
        <f t="shared" ref="AM70:AM101" si="31">ROUND(G70*Y70,0)</f>
        <v>0</v>
      </c>
      <c r="AN70" t="s">
        <v>188</v>
      </c>
    </row>
    <row r="71" spans="1:40" x14ac:dyDescent="0.25">
      <c r="A71" s="1" t="s">
        <v>189</v>
      </c>
      <c r="B71" s="1" t="s">
        <v>42</v>
      </c>
      <c r="C71" s="1">
        <v>115.339</v>
      </c>
      <c r="D71" s="1">
        <v>182.22200000000001</v>
      </c>
      <c r="E71" s="1">
        <v>117.982</v>
      </c>
      <c r="F71" s="1">
        <v>-28.298999999999999</v>
      </c>
      <c r="G71" s="7">
        <v>1</v>
      </c>
      <c r="H71" s="1">
        <v>40</v>
      </c>
      <c r="I71" s="1" t="s">
        <v>43</v>
      </c>
      <c r="J71" s="1"/>
      <c r="K71" s="1">
        <v>235.834</v>
      </c>
      <c r="L71" s="1">
        <f t="shared" si="26"/>
        <v>-117.852</v>
      </c>
      <c r="M71" s="1">
        <f t="shared" si="27"/>
        <v>85.561999999999998</v>
      </c>
      <c r="N71" s="1">
        <v>32.42</v>
      </c>
      <c r="O71" s="1"/>
      <c r="P71" s="1"/>
      <c r="Q71" s="1">
        <v>186.3614</v>
      </c>
      <c r="R71" s="1"/>
      <c r="S71" s="25"/>
      <c r="T71" s="1"/>
      <c r="U71" s="1">
        <f t="shared" si="28"/>
        <v>17.112400000000001</v>
      </c>
      <c r="V71" s="5">
        <f>12*U71-T71-Q71-P71-O71-F71</f>
        <v>47.286400000000008</v>
      </c>
      <c r="W71" s="5">
        <f t="shared" si="24"/>
        <v>47.286400000000008</v>
      </c>
      <c r="X71" s="5">
        <f t="shared" si="25"/>
        <v>47.286400000000008</v>
      </c>
      <c r="Y71" s="5"/>
      <c r="Z71" s="1"/>
      <c r="AA71" s="1">
        <f t="shared" ref="AA71:AA134" si="32">(F71+O71+P71+Q71+T71+X71+Y71+R71+S71)/U71</f>
        <v>12</v>
      </c>
      <c r="AB71" s="1">
        <f t="shared" si="29"/>
        <v>9.2367172342862478</v>
      </c>
      <c r="AC71" s="1">
        <v>30.803799999999999</v>
      </c>
      <c r="AD71" s="1">
        <v>13.1944</v>
      </c>
      <c r="AE71" s="1">
        <v>3.5874000000000001</v>
      </c>
      <c r="AF71" s="1">
        <v>14.342000000000001</v>
      </c>
      <c r="AG71" s="1">
        <v>18.890999999999998</v>
      </c>
      <c r="AH71" s="1">
        <v>10.531000000000001</v>
      </c>
      <c r="AI71" s="1">
        <v>10.1662</v>
      </c>
      <c r="AJ71" s="1">
        <v>7.0498000000000003</v>
      </c>
      <c r="AK71" s="1"/>
      <c r="AL71" s="1">
        <f t="shared" si="30"/>
        <v>47</v>
      </c>
      <c r="AM71" s="1">
        <f t="shared" si="31"/>
        <v>0</v>
      </c>
      <c r="AN71" t="s">
        <v>190</v>
      </c>
    </row>
    <row r="72" spans="1:40" x14ac:dyDescent="0.25">
      <c r="A72" s="9" t="s">
        <v>191</v>
      </c>
      <c r="B72" s="9" t="s">
        <v>50</v>
      </c>
      <c r="C72" s="9"/>
      <c r="D72" s="9"/>
      <c r="E72" s="9"/>
      <c r="F72" s="9"/>
      <c r="G72" s="10">
        <v>0</v>
      </c>
      <c r="H72" s="9"/>
      <c r="I72" s="9" t="s">
        <v>43</v>
      </c>
      <c r="J72" s="9"/>
      <c r="K72" s="9"/>
      <c r="L72" s="9">
        <f t="shared" si="26"/>
        <v>0</v>
      </c>
      <c r="M72" s="9">
        <f t="shared" si="27"/>
        <v>0</v>
      </c>
      <c r="N72" s="9"/>
      <c r="O72" s="9"/>
      <c r="P72" s="9"/>
      <c r="Q72" s="9">
        <v>0</v>
      </c>
      <c r="R72" s="9"/>
      <c r="S72" s="28"/>
      <c r="T72" s="9"/>
      <c r="U72" s="9">
        <f t="shared" si="28"/>
        <v>0</v>
      </c>
      <c r="V72" s="11"/>
      <c r="W72" s="5">
        <f t="shared" si="24"/>
        <v>0</v>
      </c>
      <c r="X72" s="5">
        <f t="shared" si="25"/>
        <v>0</v>
      </c>
      <c r="Y72" s="5"/>
      <c r="Z72" s="1"/>
      <c r="AA72" s="1" t="e">
        <f t="shared" si="32"/>
        <v>#DIV/0!</v>
      </c>
      <c r="AB72" s="9" t="e">
        <f t="shared" si="29"/>
        <v>#DIV/0!</v>
      </c>
      <c r="AC72" s="9">
        <v>0</v>
      </c>
      <c r="AD72" s="9">
        <v>0</v>
      </c>
      <c r="AE72" s="9">
        <v>0</v>
      </c>
      <c r="AF72" s="9">
        <v>0</v>
      </c>
      <c r="AG72" s="9">
        <v>0</v>
      </c>
      <c r="AH72" s="9">
        <v>0</v>
      </c>
      <c r="AI72" s="9">
        <v>0</v>
      </c>
      <c r="AJ72" s="9">
        <v>0</v>
      </c>
      <c r="AK72" s="9" t="s">
        <v>80</v>
      </c>
      <c r="AL72" s="1">
        <f t="shared" si="30"/>
        <v>0</v>
      </c>
      <c r="AM72" s="1">
        <f t="shared" si="31"/>
        <v>0</v>
      </c>
      <c r="AN72" t="s">
        <v>192</v>
      </c>
    </row>
    <row r="73" spans="1:40" x14ac:dyDescent="0.25">
      <c r="A73" s="1" t="s">
        <v>193</v>
      </c>
      <c r="B73" s="1" t="s">
        <v>42</v>
      </c>
      <c r="C73" s="1">
        <v>709.1</v>
      </c>
      <c r="D73" s="1">
        <v>204.63800000000001</v>
      </c>
      <c r="E73" s="1">
        <v>230.79599999999999</v>
      </c>
      <c r="F73" s="1">
        <v>484.81400000000002</v>
      </c>
      <c r="G73" s="7">
        <v>1</v>
      </c>
      <c r="H73" s="1">
        <v>30</v>
      </c>
      <c r="I73" s="1" t="s">
        <v>43</v>
      </c>
      <c r="J73" s="1"/>
      <c r="K73" s="1">
        <v>378.4</v>
      </c>
      <c r="L73" s="1">
        <f t="shared" si="26"/>
        <v>-147.60399999999998</v>
      </c>
      <c r="M73" s="1">
        <f t="shared" si="27"/>
        <v>230.79599999999999</v>
      </c>
      <c r="N73" s="1"/>
      <c r="O73" s="1"/>
      <c r="P73" s="1"/>
      <c r="Q73" s="1">
        <v>0</v>
      </c>
      <c r="R73" s="1"/>
      <c r="S73" s="25"/>
      <c r="T73" s="1"/>
      <c r="U73" s="1">
        <f t="shared" si="28"/>
        <v>46.159199999999998</v>
      </c>
      <c r="V73" s="5">
        <f>12*U73-T73-Q73-P73-O73-F73</f>
        <v>69.09639999999996</v>
      </c>
      <c r="W73" s="5">
        <f t="shared" si="24"/>
        <v>69.09639999999996</v>
      </c>
      <c r="X73" s="5">
        <f t="shared" si="25"/>
        <v>69.09639999999996</v>
      </c>
      <c r="Y73" s="5"/>
      <c r="Z73" s="1"/>
      <c r="AA73" s="1">
        <f t="shared" si="32"/>
        <v>12</v>
      </c>
      <c r="AB73" s="1">
        <f t="shared" si="29"/>
        <v>10.503084975476179</v>
      </c>
      <c r="AC73" s="1">
        <v>46.7592</v>
      </c>
      <c r="AD73" s="1">
        <v>74.270200000000003</v>
      </c>
      <c r="AE73" s="1">
        <v>73.813599999999994</v>
      </c>
      <c r="AF73" s="1">
        <v>59.351199999999992</v>
      </c>
      <c r="AG73" s="1">
        <v>99.834000000000003</v>
      </c>
      <c r="AH73" s="1">
        <v>113.3442</v>
      </c>
      <c r="AI73" s="1">
        <v>77.829800000000006</v>
      </c>
      <c r="AJ73" s="1">
        <v>48.958399999999997</v>
      </c>
      <c r="AK73" s="1"/>
      <c r="AL73" s="1">
        <f t="shared" si="30"/>
        <v>69</v>
      </c>
      <c r="AM73" s="1">
        <f t="shared" si="31"/>
        <v>0</v>
      </c>
      <c r="AN73" t="s">
        <v>194</v>
      </c>
    </row>
    <row r="74" spans="1:40" x14ac:dyDescent="0.25">
      <c r="A74" s="9" t="s">
        <v>195</v>
      </c>
      <c r="B74" s="9" t="s">
        <v>50</v>
      </c>
      <c r="C74" s="9"/>
      <c r="D74" s="9"/>
      <c r="E74" s="9">
        <v>1</v>
      </c>
      <c r="F74" s="9">
        <v>-1</v>
      </c>
      <c r="G74" s="10">
        <v>0</v>
      </c>
      <c r="H74" s="9"/>
      <c r="I74" s="9" t="s">
        <v>67</v>
      </c>
      <c r="J74" s="9"/>
      <c r="K74" s="9">
        <v>1</v>
      </c>
      <c r="L74" s="9">
        <f t="shared" si="26"/>
        <v>0</v>
      </c>
      <c r="M74" s="9">
        <f t="shared" si="27"/>
        <v>1</v>
      </c>
      <c r="N74" s="9"/>
      <c r="O74" s="9"/>
      <c r="P74" s="9"/>
      <c r="Q74" s="9">
        <v>0</v>
      </c>
      <c r="R74" s="9"/>
      <c r="S74" s="28"/>
      <c r="T74" s="9"/>
      <c r="U74" s="9">
        <f t="shared" si="28"/>
        <v>0.2</v>
      </c>
      <c r="V74" s="11"/>
      <c r="W74" s="5">
        <f t="shared" si="24"/>
        <v>0</v>
      </c>
      <c r="X74" s="5">
        <f t="shared" si="25"/>
        <v>0</v>
      </c>
      <c r="Y74" s="5"/>
      <c r="Z74" s="1"/>
      <c r="AA74" s="1">
        <f t="shared" si="32"/>
        <v>-5</v>
      </c>
      <c r="AB74" s="9">
        <f t="shared" si="29"/>
        <v>-5</v>
      </c>
      <c r="AC74" s="9">
        <v>0.2</v>
      </c>
      <c r="AD74" s="9">
        <v>0</v>
      </c>
      <c r="AE74" s="9">
        <v>0</v>
      </c>
      <c r="AF74" s="9">
        <v>0</v>
      </c>
      <c r="AG74" s="9">
        <v>0</v>
      </c>
      <c r="AH74" s="9">
        <v>0</v>
      </c>
      <c r="AI74" s="9">
        <v>0</v>
      </c>
      <c r="AJ74" s="9">
        <v>0</v>
      </c>
      <c r="AK74" s="9"/>
      <c r="AL74" s="1">
        <f t="shared" si="30"/>
        <v>0</v>
      </c>
      <c r="AM74" s="1">
        <f t="shared" si="31"/>
        <v>0</v>
      </c>
    </row>
    <row r="75" spans="1:40" x14ac:dyDescent="0.25">
      <c r="A75" s="1" t="s">
        <v>196</v>
      </c>
      <c r="B75" s="1" t="s">
        <v>50</v>
      </c>
      <c r="C75" s="1">
        <v>1155</v>
      </c>
      <c r="D75" s="1">
        <v>212</v>
      </c>
      <c r="E75" s="1">
        <v>639</v>
      </c>
      <c r="F75" s="1">
        <v>482</v>
      </c>
      <c r="G75" s="7">
        <v>0.6</v>
      </c>
      <c r="H75" s="1">
        <v>60</v>
      </c>
      <c r="I75" s="1" t="s">
        <v>43</v>
      </c>
      <c r="J75" s="1"/>
      <c r="K75" s="1">
        <v>739</v>
      </c>
      <c r="L75" s="1">
        <f t="shared" si="26"/>
        <v>-100</v>
      </c>
      <c r="M75" s="1">
        <f t="shared" si="27"/>
        <v>639</v>
      </c>
      <c r="N75" s="1"/>
      <c r="O75" s="1"/>
      <c r="P75" s="1"/>
      <c r="Q75" s="1">
        <v>317.08816000000002</v>
      </c>
      <c r="R75" s="1"/>
      <c r="S75" s="25"/>
      <c r="T75" s="1">
        <v>393.87184000000008</v>
      </c>
      <c r="U75" s="1">
        <f t="shared" si="28"/>
        <v>127.8</v>
      </c>
      <c r="V75" s="5">
        <f>12*U75-T75-Q75-P75-O75-F75</f>
        <v>340.63999999999987</v>
      </c>
      <c r="W75" s="5">
        <f>V75+$W$1*U75</f>
        <v>465.8839999999999</v>
      </c>
      <c r="X75" s="5">
        <f t="shared" si="25"/>
        <v>465.8839999999999</v>
      </c>
      <c r="Y75" s="5"/>
      <c r="Z75" s="1"/>
      <c r="AA75" s="1">
        <f t="shared" si="32"/>
        <v>12.98</v>
      </c>
      <c r="AB75" s="1">
        <f t="shared" si="29"/>
        <v>9.3345852895148678</v>
      </c>
      <c r="AC75" s="1">
        <v>127.8</v>
      </c>
      <c r="AD75" s="1">
        <v>101.6</v>
      </c>
      <c r="AE75" s="1">
        <v>91.8</v>
      </c>
      <c r="AF75" s="1">
        <v>71.400000000000006</v>
      </c>
      <c r="AG75" s="1">
        <v>79.400000000000006</v>
      </c>
      <c r="AH75" s="1">
        <v>144.80000000000001</v>
      </c>
      <c r="AI75" s="1">
        <v>132.19999999999999</v>
      </c>
      <c r="AJ75" s="1">
        <v>65.599999999999994</v>
      </c>
      <c r="AK75" s="1"/>
      <c r="AL75" s="1">
        <f t="shared" si="30"/>
        <v>280</v>
      </c>
      <c r="AM75" s="1">
        <f t="shared" si="31"/>
        <v>0</v>
      </c>
      <c r="AN75" t="s">
        <v>197</v>
      </c>
    </row>
    <row r="76" spans="1:40" x14ac:dyDescent="0.25">
      <c r="A76" s="1" t="s">
        <v>198</v>
      </c>
      <c r="B76" s="1" t="s">
        <v>50</v>
      </c>
      <c r="C76" s="1">
        <v>831</v>
      </c>
      <c r="D76" s="1">
        <v>520</v>
      </c>
      <c r="E76" s="1">
        <v>646</v>
      </c>
      <c r="F76" s="1">
        <v>503</v>
      </c>
      <c r="G76" s="7">
        <v>0.6</v>
      </c>
      <c r="H76" s="1">
        <v>60</v>
      </c>
      <c r="I76" s="1" t="s">
        <v>43</v>
      </c>
      <c r="J76" s="1"/>
      <c r="K76" s="1">
        <v>720</v>
      </c>
      <c r="L76" s="1">
        <f t="shared" si="26"/>
        <v>-74</v>
      </c>
      <c r="M76" s="1">
        <f t="shared" si="27"/>
        <v>646</v>
      </c>
      <c r="N76" s="1"/>
      <c r="O76" s="1">
        <v>347.88</v>
      </c>
      <c r="P76" s="1"/>
      <c r="Q76" s="1">
        <v>354.23999999999972</v>
      </c>
      <c r="R76" s="1"/>
      <c r="S76" s="25"/>
      <c r="T76" s="1"/>
      <c r="U76" s="1">
        <f t="shared" si="28"/>
        <v>129.19999999999999</v>
      </c>
      <c r="V76" s="5">
        <f>12*U76-T76-Q76-P76-O76-F76</f>
        <v>345.28000000000009</v>
      </c>
      <c r="W76" s="5">
        <f>V76+$W$1*U76</f>
        <v>471.89600000000007</v>
      </c>
      <c r="X76" s="5">
        <f t="shared" si="25"/>
        <v>471.89600000000007</v>
      </c>
      <c r="Y76" s="5"/>
      <c r="Z76" s="1"/>
      <c r="AA76" s="1">
        <f t="shared" si="32"/>
        <v>12.979999999999999</v>
      </c>
      <c r="AB76" s="1">
        <f t="shared" si="29"/>
        <v>9.3275541795665617</v>
      </c>
      <c r="AC76" s="1">
        <v>129.19999999999999</v>
      </c>
      <c r="AD76" s="1">
        <v>126</v>
      </c>
      <c r="AE76" s="1">
        <v>88.6</v>
      </c>
      <c r="AF76" s="1">
        <v>74.400000000000006</v>
      </c>
      <c r="AG76" s="1">
        <v>96.8</v>
      </c>
      <c r="AH76" s="1">
        <v>125.2</v>
      </c>
      <c r="AI76" s="1">
        <v>118.6</v>
      </c>
      <c r="AJ76" s="1">
        <v>74.400000000000006</v>
      </c>
      <c r="AK76" s="1"/>
      <c r="AL76" s="1">
        <f t="shared" si="30"/>
        <v>283</v>
      </c>
      <c r="AM76" s="1">
        <f t="shared" si="31"/>
        <v>0</v>
      </c>
      <c r="AN76" t="s">
        <v>199</v>
      </c>
    </row>
    <row r="77" spans="1:40" x14ac:dyDescent="0.25">
      <c r="A77" s="1" t="s">
        <v>200</v>
      </c>
      <c r="B77" s="1" t="s">
        <v>50</v>
      </c>
      <c r="C77" s="1"/>
      <c r="D77" s="1">
        <v>40</v>
      </c>
      <c r="E77" s="1"/>
      <c r="F77" s="1">
        <v>40</v>
      </c>
      <c r="G77" s="7">
        <v>0.4</v>
      </c>
      <c r="H77" s="1"/>
      <c r="I77" s="1" t="s">
        <v>43</v>
      </c>
      <c r="J77" s="1"/>
      <c r="K77" s="1"/>
      <c r="L77" s="1">
        <f t="shared" si="26"/>
        <v>0</v>
      </c>
      <c r="M77" s="1">
        <f t="shared" si="27"/>
        <v>0</v>
      </c>
      <c r="N77" s="1"/>
      <c r="O77" s="1"/>
      <c r="P77" s="1"/>
      <c r="Q77" s="1">
        <v>10</v>
      </c>
      <c r="R77" s="1"/>
      <c r="S77" s="25"/>
      <c r="T77" s="1"/>
      <c r="U77" s="1">
        <f t="shared" si="28"/>
        <v>0</v>
      </c>
      <c r="V77" s="5"/>
      <c r="W77" s="5">
        <f t="shared" ref="W77:W89" si="33">V77</f>
        <v>0</v>
      </c>
      <c r="X77" s="5">
        <f t="shared" si="25"/>
        <v>0</v>
      </c>
      <c r="Y77" s="5"/>
      <c r="Z77" s="1"/>
      <c r="AA77" s="1" t="e">
        <f t="shared" si="32"/>
        <v>#DIV/0!</v>
      </c>
      <c r="AB77" s="1" t="e">
        <f t="shared" si="29"/>
        <v>#DIV/0!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 t="s">
        <v>201</v>
      </c>
      <c r="AL77" s="1">
        <f t="shared" si="30"/>
        <v>0</v>
      </c>
      <c r="AM77" s="1">
        <f t="shared" si="31"/>
        <v>0</v>
      </c>
      <c r="AN77" t="s">
        <v>202</v>
      </c>
    </row>
    <row r="78" spans="1:40" x14ac:dyDescent="0.25">
      <c r="A78" s="9" t="s">
        <v>203</v>
      </c>
      <c r="B78" s="9" t="s">
        <v>50</v>
      </c>
      <c r="C78" s="9">
        <v>1</v>
      </c>
      <c r="D78" s="9"/>
      <c r="E78" s="9"/>
      <c r="F78" s="9">
        <v>1</v>
      </c>
      <c r="G78" s="10">
        <v>0</v>
      </c>
      <c r="H78" s="9"/>
      <c r="I78" s="9" t="s">
        <v>43</v>
      </c>
      <c r="J78" s="9"/>
      <c r="K78" s="9"/>
      <c r="L78" s="9">
        <f t="shared" si="26"/>
        <v>0</v>
      </c>
      <c r="M78" s="9">
        <f t="shared" si="27"/>
        <v>0</v>
      </c>
      <c r="N78" s="9"/>
      <c r="O78" s="9"/>
      <c r="P78" s="9"/>
      <c r="Q78" s="9">
        <v>0</v>
      </c>
      <c r="R78" s="9"/>
      <c r="S78" s="28"/>
      <c r="T78" s="9"/>
      <c r="U78" s="9">
        <f t="shared" si="28"/>
        <v>0</v>
      </c>
      <c r="V78" s="11"/>
      <c r="W78" s="5">
        <f t="shared" si="33"/>
        <v>0</v>
      </c>
      <c r="X78" s="5">
        <f t="shared" si="25"/>
        <v>0</v>
      </c>
      <c r="Y78" s="5"/>
      <c r="Z78" s="1"/>
      <c r="AA78" s="1" t="e">
        <f t="shared" si="32"/>
        <v>#DIV/0!</v>
      </c>
      <c r="AB78" s="9" t="e">
        <f t="shared" si="29"/>
        <v>#DIV/0!</v>
      </c>
      <c r="AC78" s="9">
        <v>0</v>
      </c>
      <c r="AD78" s="9">
        <v>0.2</v>
      </c>
      <c r="AE78" s="9">
        <v>0.2</v>
      </c>
      <c r="AF78" s="9">
        <v>0</v>
      </c>
      <c r="AG78" s="9">
        <v>0</v>
      </c>
      <c r="AH78" s="9">
        <v>0</v>
      </c>
      <c r="AI78" s="9">
        <v>0</v>
      </c>
      <c r="AJ78" s="9">
        <v>0</v>
      </c>
      <c r="AK78" s="9" t="s">
        <v>80</v>
      </c>
      <c r="AL78" s="1">
        <f t="shared" si="30"/>
        <v>0</v>
      </c>
      <c r="AM78" s="1">
        <f t="shared" si="31"/>
        <v>0</v>
      </c>
      <c r="AN78" t="s">
        <v>204</v>
      </c>
    </row>
    <row r="79" spans="1:40" x14ac:dyDescent="0.25">
      <c r="A79" s="1" t="s">
        <v>205</v>
      </c>
      <c r="B79" s="1" t="s">
        <v>50</v>
      </c>
      <c r="C79" s="1">
        <v>14</v>
      </c>
      <c r="D79" s="1">
        <v>66</v>
      </c>
      <c r="E79" s="1">
        <v>20</v>
      </c>
      <c r="F79" s="1">
        <v>64</v>
      </c>
      <c r="G79" s="7">
        <v>0.35</v>
      </c>
      <c r="H79" s="1">
        <v>90</v>
      </c>
      <c r="I79" s="1" t="s">
        <v>43</v>
      </c>
      <c r="J79" s="1"/>
      <c r="K79" s="1">
        <v>57</v>
      </c>
      <c r="L79" s="1">
        <f t="shared" si="26"/>
        <v>-37</v>
      </c>
      <c r="M79" s="1">
        <f t="shared" si="27"/>
        <v>20</v>
      </c>
      <c r="N79" s="1"/>
      <c r="O79" s="1"/>
      <c r="P79" s="1"/>
      <c r="Q79" s="1">
        <v>0</v>
      </c>
      <c r="R79" s="1"/>
      <c r="S79" s="25"/>
      <c r="T79" s="1"/>
      <c r="U79" s="1">
        <f t="shared" si="28"/>
        <v>4</v>
      </c>
      <c r="V79" s="5"/>
      <c r="W79" s="5">
        <f t="shared" si="33"/>
        <v>0</v>
      </c>
      <c r="X79" s="5">
        <f t="shared" si="25"/>
        <v>0</v>
      </c>
      <c r="Y79" s="5"/>
      <c r="Z79" s="1"/>
      <c r="AA79" s="1">
        <f t="shared" si="32"/>
        <v>16</v>
      </c>
      <c r="AB79" s="1">
        <f t="shared" si="29"/>
        <v>16</v>
      </c>
      <c r="AC79" s="1">
        <v>4</v>
      </c>
      <c r="AD79" s="1">
        <v>8.8000000000000007</v>
      </c>
      <c r="AE79" s="1">
        <v>7.2</v>
      </c>
      <c r="AF79" s="1">
        <v>9.4</v>
      </c>
      <c r="AG79" s="1">
        <v>10.4</v>
      </c>
      <c r="AH79" s="1">
        <v>6.2</v>
      </c>
      <c r="AI79" s="1">
        <v>9.4</v>
      </c>
      <c r="AJ79" s="1">
        <v>9.4</v>
      </c>
      <c r="AK79" s="1"/>
      <c r="AL79" s="1">
        <f t="shared" si="30"/>
        <v>0</v>
      </c>
      <c r="AM79" s="1">
        <f t="shared" si="31"/>
        <v>0</v>
      </c>
      <c r="AN79" t="s">
        <v>206</v>
      </c>
    </row>
    <row r="80" spans="1:40" x14ac:dyDescent="0.25">
      <c r="A80" s="1" t="s">
        <v>207</v>
      </c>
      <c r="B80" s="1" t="s">
        <v>50</v>
      </c>
      <c r="C80" s="1">
        <v>88</v>
      </c>
      <c r="D80" s="1">
        <v>275</v>
      </c>
      <c r="E80" s="1">
        <v>153</v>
      </c>
      <c r="F80" s="1">
        <v>195</v>
      </c>
      <c r="G80" s="7">
        <v>0.37</v>
      </c>
      <c r="H80" s="1">
        <v>50</v>
      </c>
      <c r="I80" s="1" t="s">
        <v>43</v>
      </c>
      <c r="J80" s="1"/>
      <c r="K80" s="1">
        <v>175</v>
      </c>
      <c r="L80" s="1">
        <f t="shared" si="26"/>
        <v>-22</v>
      </c>
      <c r="M80" s="1">
        <f t="shared" si="27"/>
        <v>153</v>
      </c>
      <c r="N80" s="1"/>
      <c r="O80" s="1"/>
      <c r="P80" s="1"/>
      <c r="Q80" s="1">
        <v>85.600000000000023</v>
      </c>
      <c r="R80" s="1"/>
      <c r="S80" s="25"/>
      <c r="T80" s="1"/>
      <c r="U80" s="1">
        <f t="shared" si="28"/>
        <v>30.6</v>
      </c>
      <c r="V80" s="5">
        <f>12*U80-T80-Q80-P80-O80-F80</f>
        <v>86.600000000000023</v>
      </c>
      <c r="W80" s="5">
        <f t="shared" si="33"/>
        <v>86.600000000000023</v>
      </c>
      <c r="X80" s="5">
        <f t="shared" si="25"/>
        <v>86.600000000000023</v>
      </c>
      <c r="Y80" s="5"/>
      <c r="Z80" s="1"/>
      <c r="AA80" s="1">
        <f t="shared" si="32"/>
        <v>12.000000000000002</v>
      </c>
      <c r="AB80" s="1">
        <f t="shared" si="29"/>
        <v>9.169934640522877</v>
      </c>
      <c r="AC80" s="1">
        <v>30.6</v>
      </c>
      <c r="AD80" s="1">
        <v>27.4</v>
      </c>
      <c r="AE80" s="1">
        <v>35.4</v>
      </c>
      <c r="AF80" s="1">
        <v>29.4</v>
      </c>
      <c r="AG80" s="1">
        <v>16.2</v>
      </c>
      <c r="AH80" s="1">
        <v>28.8</v>
      </c>
      <c r="AI80" s="1">
        <v>28.8</v>
      </c>
      <c r="AJ80" s="1">
        <v>18.2</v>
      </c>
      <c r="AK80" s="1"/>
      <c r="AL80" s="1">
        <f t="shared" si="30"/>
        <v>32</v>
      </c>
      <c r="AM80" s="1">
        <f t="shared" si="31"/>
        <v>0</v>
      </c>
      <c r="AN80" t="s">
        <v>208</v>
      </c>
    </row>
    <row r="81" spans="1:41" x14ac:dyDescent="0.25">
      <c r="A81" s="1" t="s">
        <v>209</v>
      </c>
      <c r="B81" s="1" t="s">
        <v>50</v>
      </c>
      <c r="C81" s="1">
        <v>722</v>
      </c>
      <c r="D81" s="1">
        <v>13</v>
      </c>
      <c r="E81" s="1">
        <v>309</v>
      </c>
      <c r="F81" s="1">
        <v>389</v>
      </c>
      <c r="G81" s="7">
        <v>0.6</v>
      </c>
      <c r="H81" s="1">
        <v>70</v>
      </c>
      <c r="I81" s="14" t="s">
        <v>54</v>
      </c>
      <c r="J81" s="1"/>
      <c r="K81" s="1">
        <v>331</v>
      </c>
      <c r="L81" s="1">
        <f t="shared" si="26"/>
        <v>-22</v>
      </c>
      <c r="M81" s="1">
        <f t="shared" si="27"/>
        <v>309</v>
      </c>
      <c r="N81" s="1"/>
      <c r="O81" s="1"/>
      <c r="P81" s="1"/>
      <c r="Q81" s="1">
        <v>127</v>
      </c>
      <c r="R81" s="1"/>
      <c r="S81" s="25"/>
      <c r="T81" s="1"/>
      <c r="U81" s="1">
        <f t="shared" si="28"/>
        <v>61.8</v>
      </c>
      <c r="V81" s="5">
        <f>11*U81-T81-Q81-P81-O81-F81</f>
        <v>163.79999999999995</v>
      </c>
      <c r="W81" s="5">
        <f t="shared" si="33"/>
        <v>163.79999999999995</v>
      </c>
      <c r="X81" s="5">
        <f t="shared" si="25"/>
        <v>163.79999999999995</v>
      </c>
      <c r="Y81" s="5"/>
      <c r="Z81" s="1"/>
      <c r="AA81" s="1">
        <f t="shared" si="32"/>
        <v>11</v>
      </c>
      <c r="AB81" s="1">
        <f t="shared" si="29"/>
        <v>8.349514563106796</v>
      </c>
      <c r="AC81" s="1">
        <v>61.8</v>
      </c>
      <c r="AD81" s="1">
        <v>34.200000000000003</v>
      </c>
      <c r="AE81" s="1">
        <v>32.6</v>
      </c>
      <c r="AF81" s="1">
        <v>19.600000000000001</v>
      </c>
      <c r="AG81" s="1">
        <v>83.6</v>
      </c>
      <c r="AH81" s="1">
        <v>196.6</v>
      </c>
      <c r="AI81" s="1">
        <v>134</v>
      </c>
      <c r="AJ81" s="1">
        <v>33.200000000000003</v>
      </c>
      <c r="AK81" s="1" t="s">
        <v>210</v>
      </c>
      <c r="AL81" s="1">
        <f t="shared" si="30"/>
        <v>98</v>
      </c>
      <c r="AM81" s="1">
        <f t="shared" si="31"/>
        <v>0</v>
      </c>
      <c r="AN81" t="s">
        <v>211</v>
      </c>
    </row>
    <row r="82" spans="1:41" x14ac:dyDescent="0.25">
      <c r="A82" s="1" t="s">
        <v>212</v>
      </c>
      <c r="B82" s="1" t="s">
        <v>50</v>
      </c>
      <c r="C82" s="1">
        <v>84</v>
      </c>
      <c r="D82" s="1">
        <v>372</v>
      </c>
      <c r="E82" s="1">
        <v>206</v>
      </c>
      <c r="F82" s="1">
        <v>55</v>
      </c>
      <c r="G82" s="7">
        <v>0.33</v>
      </c>
      <c r="H82" s="1">
        <v>40</v>
      </c>
      <c r="I82" s="1" t="s">
        <v>43</v>
      </c>
      <c r="J82" s="1"/>
      <c r="K82" s="1">
        <v>342</v>
      </c>
      <c r="L82" s="1">
        <f t="shared" si="26"/>
        <v>-136</v>
      </c>
      <c r="M82" s="1">
        <f t="shared" si="27"/>
        <v>206</v>
      </c>
      <c r="N82" s="1"/>
      <c r="O82" s="1">
        <v>144.0712</v>
      </c>
      <c r="P82" s="1"/>
      <c r="Q82" s="1">
        <v>156.54000000000011</v>
      </c>
      <c r="R82" s="1"/>
      <c r="S82" s="25"/>
      <c r="T82" s="1"/>
      <c r="U82" s="1">
        <f t="shared" si="28"/>
        <v>41.2</v>
      </c>
      <c r="V82" s="5">
        <f>12*U82-T82-Q82-P82-O82-F82</f>
        <v>138.7887999999999</v>
      </c>
      <c r="W82" s="5">
        <f t="shared" si="33"/>
        <v>138.7887999999999</v>
      </c>
      <c r="X82" s="5">
        <f t="shared" si="25"/>
        <v>138.7887999999999</v>
      </c>
      <c r="Y82" s="5"/>
      <c r="Z82" s="1"/>
      <c r="AA82" s="1">
        <f t="shared" si="32"/>
        <v>11.999999999999998</v>
      </c>
      <c r="AB82" s="1">
        <f t="shared" si="29"/>
        <v>8.6313398058252453</v>
      </c>
      <c r="AC82" s="1">
        <v>49.6</v>
      </c>
      <c r="AD82" s="1">
        <v>42</v>
      </c>
      <c r="AE82" s="1">
        <v>24.8</v>
      </c>
      <c r="AF82" s="1">
        <v>34.4</v>
      </c>
      <c r="AG82" s="1">
        <v>51</v>
      </c>
      <c r="AH82" s="1">
        <v>66.400000000000006</v>
      </c>
      <c r="AI82" s="1">
        <v>43.8</v>
      </c>
      <c r="AJ82" s="1">
        <v>14</v>
      </c>
      <c r="AK82" s="1"/>
      <c r="AL82" s="1">
        <f t="shared" si="30"/>
        <v>46</v>
      </c>
      <c r="AM82" s="1">
        <f t="shared" si="31"/>
        <v>0</v>
      </c>
      <c r="AN82" t="s">
        <v>213</v>
      </c>
    </row>
    <row r="83" spans="1:41" x14ac:dyDescent="0.25">
      <c r="A83" s="1" t="s">
        <v>214</v>
      </c>
      <c r="B83" s="1" t="s">
        <v>50</v>
      </c>
      <c r="C83" s="1">
        <v>50</v>
      </c>
      <c r="D83" s="1">
        <v>114</v>
      </c>
      <c r="E83" s="1">
        <v>66</v>
      </c>
      <c r="F83" s="1">
        <v>113</v>
      </c>
      <c r="G83" s="7">
        <v>0.4</v>
      </c>
      <c r="H83" s="1">
        <v>55</v>
      </c>
      <c r="I83" s="1" t="s">
        <v>43</v>
      </c>
      <c r="J83" s="1"/>
      <c r="K83" s="1">
        <v>58</v>
      </c>
      <c r="L83" s="1">
        <f t="shared" si="26"/>
        <v>8</v>
      </c>
      <c r="M83" s="1">
        <f t="shared" si="27"/>
        <v>66</v>
      </c>
      <c r="N83" s="1"/>
      <c r="O83" s="1"/>
      <c r="P83" s="1"/>
      <c r="Q83" s="1">
        <v>19.19999999999996</v>
      </c>
      <c r="R83" s="1"/>
      <c r="S83" s="25"/>
      <c r="T83" s="1"/>
      <c r="U83" s="1">
        <f t="shared" si="28"/>
        <v>13.2</v>
      </c>
      <c r="V83" s="5">
        <f>12*U83-T83-Q83-P83-O83-F83</f>
        <v>26.200000000000017</v>
      </c>
      <c r="W83" s="5">
        <f t="shared" si="33"/>
        <v>26.200000000000017</v>
      </c>
      <c r="X83" s="5">
        <f t="shared" si="25"/>
        <v>26.200000000000017</v>
      </c>
      <c r="Y83" s="5"/>
      <c r="Z83" s="1"/>
      <c r="AA83" s="1">
        <f t="shared" si="32"/>
        <v>11.999999999999998</v>
      </c>
      <c r="AB83" s="1">
        <f t="shared" si="29"/>
        <v>10.015151515151512</v>
      </c>
      <c r="AC83" s="1">
        <v>13.2</v>
      </c>
      <c r="AD83" s="1">
        <v>12.8</v>
      </c>
      <c r="AE83" s="1">
        <v>9.6</v>
      </c>
      <c r="AF83" s="1">
        <v>8.6</v>
      </c>
      <c r="AG83" s="1">
        <v>10.8</v>
      </c>
      <c r="AH83" s="1">
        <v>12.2</v>
      </c>
      <c r="AI83" s="1">
        <v>8.4</v>
      </c>
      <c r="AJ83" s="1">
        <v>8.4</v>
      </c>
      <c r="AK83" s="1"/>
      <c r="AL83" s="1">
        <f t="shared" si="30"/>
        <v>10</v>
      </c>
      <c r="AM83" s="1">
        <f t="shared" si="31"/>
        <v>0</v>
      </c>
      <c r="AN83" t="s">
        <v>215</v>
      </c>
    </row>
    <row r="84" spans="1:41" x14ac:dyDescent="0.25">
      <c r="A84" s="1" t="s">
        <v>216</v>
      </c>
      <c r="B84" s="1" t="s">
        <v>50</v>
      </c>
      <c r="C84" s="1">
        <v>-8</v>
      </c>
      <c r="D84" s="1">
        <v>375</v>
      </c>
      <c r="E84" s="1">
        <v>98</v>
      </c>
      <c r="F84" s="1">
        <v>262</v>
      </c>
      <c r="G84" s="7">
        <v>0.35</v>
      </c>
      <c r="H84" s="1">
        <v>40</v>
      </c>
      <c r="I84" s="15" t="s">
        <v>106</v>
      </c>
      <c r="J84" s="1"/>
      <c r="K84" s="1">
        <v>70</v>
      </c>
      <c r="L84" s="1">
        <f t="shared" si="26"/>
        <v>28</v>
      </c>
      <c r="M84" s="1">
        <f t="shared" si="27"/>
        <v>98</v>
      </c>
      <c r="N84" s="1"/>
      <c r="O84" s="1">
        <v>50</v>
      </c>
      <c r="P84" s="1"/>
      <c r="Q84" s="1">
        <v>0</v>
      </c>
      <c r="R84" s="1"/>
      <c r="S84" s="25"/>
      <c r="T84" s="1"/>
      <c r="U84" s="1">
        <f t="shared" si="28"/>
        <v>19.600000000000001</v>
      </c>
      <c r="V84" s="5">
        <v>50</v>
      </c>
      <c r="W84" s="5">
        <f t="shared" si="33"/>
        <v>50</v>
      </c>
      <c r="X84" s="5">
        <f>W84</f>
        <v>50</v>
      </c>
      <c r="Y84" s="5">
        <f>W84*0.5</f>
        <v>25</v>
      </c>
      <c r="Z84" s="1"/>
      <c r="AA84" s="1">
        <f t="shared" si="32"/>
        <v>19.744897959183671</v>
      </c>
      <c r="AB84" s="1">
        <f t="shared" si="29"/>
        <v>15.918367346938775</v>
      </c>
      <c r="AC84" s="1">
        <v>19.600000000000001</v>
      </c>
      <c r="AD84" s="1">
        <v>50</v>
      </c>
      <c r="AE84" s="1">
        <v>40</v>
      </c>
      <c r="AF84" s="1">
        <v>12.4</v>
      </c>
      <c r="AG84" s="1">
        <v>-1</v>
      </c>
      <c r="AH84" s="1">
        <v>8.8000000000000007</v>
      </c>
      <c r="AI84" s="1">
        <v>26.2</v>
      </c>
      <c r="AJ84" s="1">
        <v>35.799999999999997</v>
      </c>
      <c r="AK84" s="1"/>
      <c r="AL84" s="1">
        <f t="shared" si="30"/>
        <v>18</v>
      </c>
      <c r="AM84" s="1">
        <f t="shared" si="31"/>
        <v>9</v>
      </c>
      <c r="AN84" t="s">
        <v>217</v>
      </c>
    </row>
    <row r="85" spans="1:41" x14ac:dyDescent="0.25">
      <c r="A85" s="1" t="s">
        <v>218</v>
      </c>
      <c r="B85" s="1" t="s">
        <v>50</v>
      </c>
      <c r="C85" s="1">
        <v>-1</v>
      </c>
      <c r="D85" s="1">
        <v>315</v>
      </c>
      <c r="E85" s="1">
        <v>-3</v>
      </c>
      <c r="F85" s="1">
        <v>10</v>
      </c>
      <c r="G85" s="7">
        <v>0.35</v>
      </c>
      <c r="H85" s="1">
        <v>45</v>
      </c>
      <c r="I85" s="15" t="s">
        <v>106</v>
      </c>
      <c r="J85" s="1"/>
      <c r="K85" s="1">
        <v>269</v>
      </c>
      <c r="L85" s="1">
        <f t="shared" si="26"/>
        <v>-272</v>
      </c>
      <c r="M85" s="1">
        <f t="shared" si="27"/>
        <v>-153</v>
      </c>
      <c r="N85" s="1">
        <v>150</v>
      </c>
      <c r="O85" s="1">
        <v>50</v>
      </c>
      <c r="P85" s="1"/>
      <c r="Q85" s="1">
        <v>100</v>
      </c>
      <c r="R85" s="1"/>
      <c r="S85" s="25"/>
      <c r="T85" s="1"/>
      <c r="U85" s="1">
        <f t="shared" si="28"/>
        <v>-30.6</v>
      </c>
      <c r="V85" s="5">
        <v>100</v>
      </c>
      <c r="W85" s="5">
        <f t="shared" si="33"/>
        <v>100</v>
      </c>
      <c r="X85" s="5">
        <f>W85</f>
        <v>100</v>
      </c>
      <c r="Y85" s="5">
        <f>W85*0.5</f>
        <v>50</v>
      </c>
      <c r="Z85" s="1"/>
      <c r="AA85" s="1">
        <f t="shared" si="32"/>
        <v>-10.130718954248366</v>
      </c>
      <c r="AB85" s="1">
        <f t="shared" si="29"/>
        <v>-5.2287581699346406</v>
      </c>
      <c r="AC85" s="1">
        <v>-0.6</v>
      </c>
      <c r="AD85" s="1">
        <v>0</v>
      </c>
      <c r="AE85" s="1">
        <v>2.8</v>
      </c>
      <c r="AF85" s="1">
        <v>74.400000000000006</v>
      </c>
      <c r="AG85" s="1">
        <v>77.2</v>
      </c>
      <c r="AH85" s="1">
        <v>16.600000000000001</v>
      </c>
      <c r="AI85" s="1">
        <v>66.599999999999994</v>
      </c>
      <c r="AJ85" s="1">
        <v>83</v>
      </c>
      <c r="AK85" s="1"/>
      <c r="AL85" s="1">
        <f t="shared" si="30"/>
        <v>35</v>
      </c>
      <c r="AM85" s="1">
        <f t="shared" si="31"/>
        <v>18</v>
      </c>
      <c r="AN85" t="s">
        <v>219</v>
      </c>
    </row>
    <row r="86" spans="1:41" x14ac:dyDescent="0.25">
      <c r="A86" s="9" t="s">
        <v>220</v>
      </c>
      <c r="B86" s="9" t="s">
        <v>42</v>
      </c>
      <c r="C86" s="9">
        <v>-5.4409999999999998</v>
      </c>
      <c r="D86" s="9"/>
      <c r="E86" s="9"/>
      <c r="F86" s="13">
        <v>-5.4409999999999998</v>
      </c>
      <c r="G86" s="10">
        <v>0</v>
      </c>
      <c r="H86" s="9"/>
      <c r="I86" s="9" t="s">
        <v>67</v>
      </c>
      <c r="J86" s="9" t="s">
        <v>47</v>
      </c>
      <c r="K86" s="9"/>
      <c r="L86" s="9">
        <f t="shared" si="26"/>
        <v>0</v>
      </c>
      <c r="M86" s="9">
        <f t="shared" si="27"/>
        <v>0</v>
      </c>
      <c r="N86" s="9"/>
      <c r="O86" s="9"/>
      <c r="P86" s="9"/>
      <c r="Q86" s="9">
        <v>0</v>
      </c>
      <c r="R86" s="9"/>
      <c r="S86" s="28"/>
      <c r="T86" s="9"/>
      <c r="U86" s="9">
        <f t="shared" si="28"/>
        <v>0</v>
      </c>
      <c r="V86" s="11"/>
      <c r="W86" s="5">
        <f t="shared" si="33"/>
        <v>0</v>
      </c>
      <c r="X86" s="5">
        <f t="shared" ref="X86:X97" si="34">W86-Y86</f>
        <v>0</v>
      </c>
      <c r="Y86" s="5"/>
      <c r="Z86" s="1"/>
      <c r="AA86" s="1" t="e">
        <f t="shared" si="32"/>
        <v>#DIV/0!</v>
      </c>
      <c r="AB86" s="9" t="e">
        <f t="shared" si="29"/>
        <v>#DIV/0!</v>
      </c>
      <c r="AC86" s="9">
        <v>0</v>
      </c>
      <c r="AD86" s="9">
        <v>0</v>
      </c>
      <c r="AE86" s="9">
        <v>1.0882000000000001</v>
      </c>
      <c r="AF86" s="9">
        <v>1.0882000000000001</v>
      </c>
      <c r="AG86" s="9">
        <v>0</v>
      </c>
      <c r="AH86" s="9">
        <v>0</v>
      </c>
      <c r="AI86" s="9">
        <v>0</v>
      </c>
      <c r="AJ86" s="9">
        <v>0</v>
      </c>
      <c r="AK86" s="9"/>
      <c r="AL86" s="1">
        <f t="shared" si="30"/>
        <v>0</v>
      </c>
      <c r="AM86" s="1">
        <f t="shared" si="31"/>
        <v>0</v>
      </c>
    </row>
    <row r="87" spans="1:41" x14ac:dyDescent="0.25">
      <c r="A87" s="1" t="s">
        <v>221</v>
      </c>
      <c r="B87" s="1" t="s">
        <v>50</v>
      </c>
      <c r="C87" s="1">
        <v>53</v>
      </c>
      <c r="D87" s="1">
        <v>50</v>
      </c>
      <c r="E87" s="1">
        <v>2</v>
      </c>
      <c r="F87" s="1">
        <v>103</v>
      </c>
      <c r="G87" s="7">
        <v>0.4</v>
      </c>
      <c r="H87" s="1">
        <v>55</v>
      </c>
      <c r="I87" s="1" t="s">
        <v>43</v>
      </c>
      <c r="J87" s="1"/>
      <c r="K87" s="1"/>
      <c r="L87" s="1">
        <f t="shared" si="26"/>
        <v>2</v>
      </c>
      <c r="M87" s="1">
        <f t="shared" si="27"/>
        <v>2</v>
      </c>
      <c r="N87" s="1"/>
      <c r="O87" s="1"/>
      <c r="P87" s="1"/>
      <c r="Q87" s="1">
        <v>0</v>
      </c>
      <c r="R87" s="1"/>
      <c r="S87" s="25"/>
      <c r="T87" s="1"/>
      <c r="U87" s="1">
        <f t="shared" si="28"/>
        <v>0.4</v>
      </c>
      <c r="V87" s="5"/>
      <c r="W87" s="5">
        <f t="shared" si="33"/>
        <v>0</v>
      </c>
      <c r="X87" s="5">
        <f t="shared" si="34"/>
        <v>0</v>
      </c>
      <c r="Y87" s="5"/>
      <c r="Z87" s="1"/>
      <c r="AA87" s="1">
        <f t="shared" si="32"/>
        <v>257.5</v>
      </c>
      <c r="AB87" s="1">
        <f t="shared" si="29"/>
        <v>257.5</v>
      </c>
      <c r="AC87" s="1">
        <v>0.4</v>
      </c>
      <c r="AD87" s="1">
        <v>8.6</v>
      </c>
      <c r="AE87" s="1">
        <v>8.6</v>
      </c>
      <c r="AF87" s="1">
        <v>4.4000000000000004</v>
      </c>
      <c r="AG87" s="1">
        <v>7.6</v>
      </c>
      <c r="AH87" s="1">
        <v>4</v>
      </c>
      <c r="AI87" s="1">
        <v>4</v>
      </c>
      <c r="AJ87" s="1">
        <v>0</v>
      </c>
      <c r="AK87" s="12" t="s">
        <v>99</v>
      </c>
      <c r="AL87" s="1">
        <f t="shared" si="30"/>
        <v>0</v>
      </c>
      <c r="AM87" s="1">
        <f t="shared" si="31"/>
        <v>0</v>
      </c>
      <c r="AN87" t="s">
        <v>222</v>
      </c>
    </row>
    <row r="88" spans="1:41" x14ac:dyDescent="0.25">
      <c r="A88" s="1" t="s">
        <v>223</v>
      </c>
      <c r="B88" s="1" t="s">
        <v>42</v>
      </c>
      <c r="C88" s="1">
        <v>33.728999999999999</v>
      </c>
      <c r="D88" s="1"/>
      <c r="E88" s="1">
        <v>4.0910000000000002</v>
      </c>
      <c r="F88" s="1">
        <v>16.384</v>
      </c>
      <c r="G88" s="7">
        <v>1</v>
      </c>
      <c r="H88" s="1">
        <v>55</v>
      </c>
      <c r="I88" s="1" t="s">
        <v>43</v>
      </c>
      <c r="J88" s="1"/>
      <c r="K88" s="1">
        <v>15.3</v>
      </c>
      <c r="L88" s="1">
        <f t="shared" si="26"/>
        <v>-11.209</v>
      </c>
      <c r="M88" s="1">
        <f t="shared" si="27"/>
        <v>4.0910000000000002</v>
      </c>
      <c r="N88" s="1"/>
      <c r="O88" s="1"/>
      <c r="P88" s="1"/>
      <c r="Q88" s="1">
        <v>0</v>
      </c>
      <c r="R88" s="1"/>
      <c r="S88" s="25"/>
      <c r="T88" s="1"/>
      <c r="U88" s="1">
        <f t="shared" si="28"/>
        <v>0.81820000000000004</v>
      </c>
      <c r="V88" s="5"/>
      <c r="W88" s="5">
        <f t="shared" si="33"/>
        <v>0</v>
      </c>
      <c r="X88" s="5">
        <f t="shared" si="34"/>
        <v>0</v>
      </c>
      <c r="Y88" s="5"/>
      <c r="Z88" s="1"/>
      <c r="AA88" s="1">
        <f t="shared" si="32"/>
        <v>20.024443901246638</v>
      </c>
      <c r="AB88" s="1">
        <f t="shared" si="29"/>
        <v>20.024443901246638</v>
      </c>
      <c r="AC88" s="1">
        <v>0.81820000000000004</v>
      </c>
      <c r="AD88" s="1">
        <v>1.704</v>
      </c>
      <c r="AE88" s="1">
        <v>2.0099999999999998</v>
      </c>
      <c r="AF88" s="1">
        <v>1.7163999999999999</v>
      </c>
      <c r="AG88" s="1">
        <v>1.7183999999999999</v>
      </c>
      <c r="AH88" s="1">
        <v>0.57800000000000007</v>
      </c>
      <c r="AI88" s="1">
        <v>1.7447999999999999</v>
      </c>
      <c r="AJ88" s="1">
        <v>1.7296</v>
      </c>
      <c r="AK88" s="12" t="s">
        <v>99</v>
      </c>
      <c r="AL88" s="1">
        <f t="shared" si="30"/>
        <v>0</v>
      </c>
      <c r="AM88" s="1">
        <f t="shared" si="31"/>
        <v>0</v>
      </c>
      <c r="AN88" t="s">
        <v>224</v>
      </c>
    </row>
    <row r="89" spans="1:41" x14ac:dyDescent="0.25">
      <c r="A89" s="9" t="s">
        <v>225</v>
      </c>
      <c r="B89" s="9" t="s">
        <v>42</v>
      </c>
      <c r="C89" s="9"/>
      <c r="D89" s="9"/>
      <c r="E89" s="9"/>
      <c r="F89" s="9"/>
      <c r="G89" s="10">
        <v>0</v>
      </c>
      <c r="H89" s="9"/>
      <c r="I89" s="9" t="s">
        <v>43</v>
      </c>
      <c r="J89" s="9"/>
      <c r="K89" s="9"/>
      <c r="L89" s="9">
        <f t="shared" si="26"/>
        <v>0</v>
      </c>
      <c r="M89" s="9">
        <f t="shared" si="27"/>
        <v>0</v>
      </c>
      <c r="N89" s="9"/>
      <c r="O89" s="9"/>
      <c r="P89" s="9"/>
      <c r="Q89" s="9">
        <v>0</v>
      </c>
      <c r="R89" s="9"/>
      <c r="S89" s="28"/>
      <c r="T89" s="9"/>
      <c r="U89" s="9">
        <f t="shared" si="28"/>
        <v>0</v>
      </c>
      <c r="V89" s="11"/>
      <c r="W89" s="5">
        <f t="shared" si="33"/>
        <v>0</v>
      </c>
      <c r="X89" s="5">
        <f t="shared" si="34"/>
        <v>0</v>
      </c>
      <c r="Y89" s="5"/>
      <c r="Z89" s="1"/>
      <c r="AA89" s="1" t="e">
        <f t="shared" si="32"/>
        <v>#DIV/0!</v>
      </c>
      <c r="AB89" s="9" t="e">
        <f t="shared" si="29"/>
        <v>#DIV/0!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 t="s">
        <v>80</v>
      </c>
      <c r="AL89" s="1">
        <f t="shared" si="30"/>
        <v>0</v>
      </c>
      <c r="AM89" s="1">
        <f t="shared" si="31"/>
        <v>0</v>
      </c>
      <c r="AN89" t="s">
        <v>226</v>
      </c>
    </row>
    <row r="90" spans="1:41" x14ac:dyDescent="0.25">
      <c r="A90" s="23" t="s">
        <v>227</v>
      </c>
      <c r="B90" s="1" t="s">
        <v>42</v>
      </c>
      <c r="C90" s="1">
        <v>3866.12</v>
      </c>
      <c r="D90" s="1">
        <v>5962.2690000000002</v>
      </c>
      <c r="E90" s="1">
        <v>4315.1090000000004</v>
      </c>
      <c r="F90" s="1">
        <v>3348.8519999999999</v>
      </c>
      <c r="G90" s="7">
        <v>1</v>
      </c>
      <c r="H90" s="1">
        <v>60</v>
      </c>
      <c r="I90" s="1" t="s">
        <v>43</v>
      </c>
      <c r="J90" s="1"/>
      <c r="K90" s="1">
        <v>4583.6000000000004</v>
      </c>
      <c r="L90" s="1">
        <f t="shared" si="26"/>
        <v>-268.49099999999999</v>
      </c>
      <c r="M90" s="1">
        <f t="shared" si="27"/>
        <v>4213.1590000000006</v>
      </c>
      <c r="N90" s="1">
        <v>101.95</v>
      </c>
      <c r="O90" s="1">
        <v>1377.1870138935999</v>
      </c>
      <c r="P90" s="1"/>
      <c r="Q90" s="1">
        <v>2305.7990356897199</v>
      </c>
      <c r="R90" s="1"/>
      <c r="S90" s="25"/>
      <c r="T90" s="1">
        <v>2864.1539591302808</v>
      </c>
      <c r="U90" s="1">
        <f t="shared" si="28"/>
        <v>842.63180000000011</v>
      </c>
      <c r="V90" s="5">
        <f>12*U90-T90-Q90-P90-O90-F90</f>
        <v>215.58959128640072</v>
      </c>
      <c r="W90" s="5">
        <v>0</v>
      </c>
      <c r="X90" s="5">
        <f t="shared" si="34"/>
        <v>0</v>
      </c>
      <c r="Y90" s="5"/>
      <c r="Z90" s="1"/>
      <c r="AA90" s="1">
        <f t="shared" si="32"/>
        <v>11.744147335424085</v>
      </c>
      <c r="AB90" s="1">
        <f t="shared" si="29"/>
        <v>11.744147335424085</v>
      </c>
      <c r="AC90" s="1">
        <v>930.80480000000011</v>
      </c>
      <c r="AD90" s="1">
        <v>746.08699999999999</v>
      </c>
      <c r="AE90" s="1">
        <v>678.24040000000002</v>
      </c>
      <c r="AF90" s="1">
        <v>611.37299999999993</v>
      </c>
      <c r="AG90" s="1">
        <v>524.66000000000008</v>
      </c>
      <c r="AH90" s="1">
        <v>546.37159999999994</v>
      </c>
      <c r="AI90" s="1">
        <v>631.18540000000007</v>
      </c>
      <c r="AJ90" s="1">
        <v>487.42919999999992</v>
      </c>
      <c r="AK90" s="1"/>
      <c r="AL90" s="1">
        <f t="shared" si="30"/>
        <v>0</v>
      </c>
      <c r="AM90" s="1">
        <f t="shared" si="31"/>
        <v>0</v>
      </c>
      <c r="AN90" t="s">
        <v>228</v>
      </c>
      <c r="AO90" t="str">
        <f>VLOOKUP(AN90,[2]Лист1!$A:$A,1,0)</f>
        <v>SU002634</v>
      </c>
    </row>
    <row r="91" spans="1:41" x14ac:dyDescent="0.25">
      <c r="A91" s="1" t="s">
        <v>229</v>
      </c>
      <c r="B91" s="1" t="s">
        <v>50</v>
      </c>
      <c r="C91" s="1">
        <v>146</v>
      </c>
      <c r="D91" s="1">
        <v>322</v>
      </c>
      <c r="E91" s="1">
        <v>245</v>
      </c>
      <c r="F91" s="1">
        <v>197</v>
      </c>
      <c r="G91" s="7">
        <v>0.3</v>
      </c>
      <c r="H91" s="1">
        <v>40</v>
      </c>
      <c r="I91" s="1" t="s">
        <v>43</v>
      </c>
      <c r="J91" s="1"/>
      <c r="K91" s="1">
        <v>271</v>
      </c>
      <c r="L91" s="1">
        <f t="shared" si="26"/>
        <v>-26</v>
      </c>
      <c r="M91" s="1">
        <f t="shared" si="27"/>
        <v>245</v>
      </c>
      <c r="N91" s="1"/>
      <c r="O91" s="1">
        <v>208.21943999999999</v>
      </c>
      <c r="P91" s="1"/>
      <c r="Q91" s="1">
        <v>0</v>
      </c>
      <c r="R91" s="1"/>
      <c r="S91" s="25"/>
      <c r="T91" s="1"/>
      <c r="U91" s="1">
        <f t="shared" si="28"/>
        <v>49</v>
      </c>
      <c r="V91" s="5">
        <f>12*U91-T91-Q91-P91-O91-F91</f>
        <v>182.78056000000004</v>
      </c>
      <c r="W91" s="5">
        <f t="shared" ref="W91:W99" si="35">V91</f>
        <v>182.78056000000004</v>
      </c>
      <c r="X91" s="5">
        <f t="shared" si="34"/>
        <v>182.78056000000004</v>
      </c>
      <c r="Y91" s="5"/>
      <c r="Z91" s="1"/>
      <c r="AA91" s="1">
        <f t="shared" si="32"/>
        <v>12</v>
      </c>
      <c r="AB91" s="1">
        <f t="shared" si="29"/>
        <v>8.2697844897959172</v>
      </c>
      <c r="AC91" s="1">
        <v>49</v>
      </c>
      <c r="AD91" s="1">
        <v>54.8</v>
      </c>
      <c r="AE91" s="1">
        <v>31.2</v>
      </c>
      <c r="AF91" s="1">
        <v>37.799999999999997</v>
      </c>
      <c r="AG91" s="1">
        <v>35.799999999999997</v>
      </c>
      <c r="AH91" s="1">
        <v>44</v>
      </c>
      <c r="AI91" s="1">
        <v>54.4</v>
      </c>
      <c r="AJ91" s="1">
        <v>32.200000000000003</v>
      </c>
      <c r="AK91" s="1"/>
      <c r="AL91" s="1">
        <f t="shared" si="30"/>
        <v>55</v>
      </c>
      <c r="AM91" s="1">
        <f t="shared" si="31"/>
        <v>0</v>
      </c>
      <c r="AN91" t="s">
        <v>230</v>
      </c>
    </row>
    <row r="92" spans="1:41" x14ac:dyDescent="0.25">
      <c r="A92" s="23" t="s">
        <v>231</v>
      </c>
      <c r="B92" s="1" t="s">
        <v>42</v>
      </c>
      <c r="C92" s="1">
        <v>1501.596</v>
      </c>
      <c r="D92" s="1">
        <v>4179.04</v>
      </c>
      <c r="E92" s="1">
        <v>1786.174</v>
      </c>
      <c r="F92" s="1">
        <v>383.12700000000001</v>
      </c>
      <c r="G92" s="7">
        <v>1</v>
      </c>
      <c r="H92" s="1">
        <v>60</v>
      </c>
      <c r="I92" s="1" t="s">
        <v>43</v>
      </c>
      <c r="J92" s="1"/>
      <c r="K92" s="1">
        <v>3731.7339999999999</v>
      </c>
      <c r="L92" s="1">
        <f t="shared" si="26"/>
        <v>-1945.56</v>
      </c>
      <c r="M92" s="1">
        <f t="shared" si="27"/>
        <v>1786.174</v>
      </c>
      <c r="N92" s="1"/>
      <c r="O92" s="1">
        <v>794.34634021391992</v>
      </c>
      <c r="P92" s="1"/>
      <c r="Q92" s="1">
        <v>1619.6354969949839</v>
      </c>
      <c r="R92" s="1"/>
      <c r="S92" s="25"/>
      <c r="T92" s="1">
        <v>2011.834227209016</v>
      </c>
      <c r="U92" s="1">
        <f t="shared" si="28"/>
        <v>357.23480000000001</v>
      </c>
      <c r="V92" s="5"/>
      <c r="W92" s="5">
        <f t="shared" si="35"/>
        <v>0</v>
      </c>
      <c r="X92" s="5">
        <f t="shared" si="34"/>
        <v>0</v>
      </c>
      <c r="Y92" s="5"/>
      <c r="Z92" s="1"/>
      <c r="AA92" s="1">
        <f t="shared" si="32"/>
        <v>13.46157503249381</v>
      </c>
      <c r="AB92" s="1">
        <f t="shared" si="29"/>
        <v>13.46157503249381</v>
      </c>
      <c r="AC92" s="1">
        <v>505.72719999999998</v>
      </c>
      <c r="AD92" s="1">
        <v>276.84160000000003</v>
      </c>
      <c r="AE92" s="1">
        <v>190.1532</v>
      </c>
      <c r="AF92" s="1">
        <v>224.54220000000001</v>
      </c>
      <c r="AG92" s="1">
        <v>235.44120000000001</v>
      </c>
      <c r="AH92" s="1">
        <v>237.84280000000001</v>
      </c>
      <c r="AI92" s="1">
        <v>261.7706</v>
      </c>
      <c r="AJ92" s="1">
        <v>210.9222</v>
      </c>
      <c r="AK92" s="1"/>
      <c r="AL92" s="1">
        <f t="shared" si="30"/>
        <v>0</v>
      </c>
      <c r="AM92" s="1">
        <f t="shared" si="31"/>
        <v>0</v>
      </c>
      <c r="AN92" t="s">
        <v>232</v>
      </c>
      <c r="AO92" t="str">
        <f>VLOOKUP(AN92,[2]Лист1!$A:$A,1,0)</f>
        <v>SU003423</v>
      </c>
    </row>
    <row r="93" spans="1:41" x14ac:dyDescent="0.25">
      <c r="A93" s="23" t="s">
        <v>233</v>
      </c>
      <c r="B93" s="1" t="s">
        <v>42</v>
      </c>
      <c r="C93" s="1">
        <v>5155.0910000000003</v>
      </c>
      <c r="D93" s="1">
        <v>3786.1170000000002</v>
      </c>
      <c r="E93" s="1">
        <v>3167.6869999999999</v>
      </c>
      <c r="F93" s="1">
        <v>3242.4430000000002</v>
      </c>
      <c r="G93" s="7">
        <v>1</v>
      </c>
      <c r="H93" s="1">
        <v>60</v>
      </c>
      <c r="I93" s="1" t="s">
        <v>43</v>
      </c>
      <c r="J93" s="1"/>
      <c r="K93" s="1">
        <v>4175.7219999999998</v>
      </c>
      <c r="L93" s="1">
        <f t="shared" si="26"/>
        <v>-1008.0349999999999</v>
      </c>
      <c r="M93" s="1">
        <f t="shared" si="27"/>
        <v>1522.6769999999999</v>
      </c>
      <c r="N93" s="1">
        <v>1645.01</v>
      </c>
      <c r="O93" s="1">
        <v>1039.1909161649589</v>
      </c>
      <c r="P93" s="1"/>
      <c r="Q93" s="1">
        <v>398.05942898159287</v>
      </c>
      <c r="R93" s="1"/>
      <c r="S93" s="25"/>
      <c r="T93" s="1">
        <v>494.45050147040922</v>
      </c>
      <c r="U93" s="1">
        <f t="shared" si="28"/>
        <v>304.53539999999998</v>
      </c>
      <c r="V93" s="5"/>
      <c r="W93" s="5">
        <f t="shared" si="35"/>
        <v>0</v>
      </c>
      <c r="X93" s="5">
        <f t="shared" si="34"/>
        <v>0</v>
      </c>
      <c r="Y93" s="5"/>
      <c r="Z93" s="1"/>
      <c r="AA93" s="1">
        <f t="shared" si="32"/>
        <v>16.990286996575641</v>
      </c>
      <c r="AB93" s="1">
        <f t="shared" si="29"/>
        <v>16.990286996575641</v>
      </c>
      <c r="AC93" s="1">
        <v>631.58000000000004</v>
      </c>
      <c r="AD93" s="1">
        <v>682.72479999999996</v>
      </c>
      <c r="AE93" s="1">
        <v>684.17160000000001</v>
      </c>
      <c r="AF93" s="1">
        <v>529.6386</v>
      </c>
      <c r="AG93" s="1">
        <v>447.9076</v>
      </c>
      <c r="AH93" s="1">
        <v>485.68380000000008</v>
      </c>
      <c r="AI93" s="1">
        <v>514.53820000000007</v>
      </c>
      <c r="AJ93" s="1">
        <v>401.62819999999999</v>
      </c>
      <c r="AK93" s="16" t="s">
        <v>83</v>
      </c>
      <c r="AL93" s="1">
        <f t="shared" si="30"/>
        <v>0</v>
      </c>
      <c r="AM93" s="1">
        <f t="shared" si="31"/>
        <v>0</v>
      </c>
      <c r="AN93" t="s">
        <v>234</v>
      </c>
      <c r="AO93" t="str">
        <f>VLOOKUP(AN93,[2]Лист1!$A:$A,1,0)</f>
        <v>SU003420</v>
      </c>
    </row>
    <row r="94" spans="1:41" x14ac:dyDescent="0.25">
      <c r="A94" s="23" t="s">
        <v>88</v>
      </c>
      <c r="B94" s="1" t="s">
        <v>42</v>
      </c>
      <c r="C94" s="1">
        <v>5918.6170000000002</v>
      </c>
      <c r="D94" s="1">
        <v>6028.2030000000004</v>
      </c>
      <c r="E94" s="13">
        <f>2735.521+E23</f>
        <v>2740.491</v>
      </c>
      <c r="F94" s="13">
        <f>5525.034+F23</f>
        <v>5512.5709999999999</v>
      </c>
      <c r="G94" s="7">
        <v>1</v>
      </c>
      <c r="H94" s="1">
        <v>60</v>
      </c>
      <c r="I94" s="1" t="s">
        <v>43</v>
      </c>
      <c r="J94" s="1"/>
      <c r="K94" s="1">
        <v>6008.5770000000002</v>
      </c>
      <c r="L94" s="1">
        <f t="shared" si="26"/>
        <v>-3268.0860000000002</v>
      </c>
      <c r="M94" s="1">
        <f t="shared" si="27"/>
        <v>1989.252</v>
      </c>
      <c r="N94" s="1">
        <v>751.23900000000003</v>
      </c>
      <c r="O94" s="1">
        <v>1317.9080096</v>
      </c>
      <c r="P94" s="1"/>
      <c r="Q94" s="1">
        <v>0</v>
      </c>
      <c r="R94" s="1"/>
      <c r="S94" s="25"/>
      <c r="T94" s="1"/>
      <c r="U94" s="1">
        <f t="shared" si="28"/>
        <v>397.85039999999998</v>
      </c>
      <c r="V94" s="5"/>
      <c r="W94" s="5">
        <f t="shared" si="35"/>
        <v>0</v>
      </c>
      <c r="X94" s="5">
        <f t="shared" si="34"/>
        <v>0</v>
      </c>
      <c r="Y94" s="5"/>
      <c r="Z94" s="1"/>
      <c r="AA94" s="1">
        <f t="shared" si="32"/>
        <v>17.168460832513929</v>
      </c>
      <c r="AB94" s="1">
        <f t="shared" si="29"/>
        <v>17.168460832513929</v>
      </c>
      <c r="AC94" s="1">
        <v>698.25620000000004</v>
      </c>
      <c r="AD94" s="1">
        <v>848.86939999999993</v>
      </c>
      <c r="AE94" s="1">
        <v>803.57920000000001</v>
      </c>
      <c r="AF94" s="1">
        <v>649.25559999999996</v>
      </c>
      <c r="AG94" s="1">
        <v>717.88199999999995</v>
      </c>
      <c r="AH94" s="1">
        <v>624.51419999999996</v>
      </c>
      <c r="AI94" s="1">
        <v>657.89699999999982</v>
      </c>
      <c r="AJ94" s="1">
        <v>520.9251999999999</v>
      </c>
      <c r="AK94" s="16" t="s">
        <v>83</v>
      </c>
      <c r="AL94" s="1">
        <f t="shared" si="30"/>
        <v>0</v>
      </c>
      <c r="AM94" s="1">
        <f t="shared" si="31"/>
        <v>0</v>
      </c>
      <c r="AN94" t="s">
        <v>89</v>
      </c>
      <c r="AO94" t="str">
        <f>VLOOKUP(AN94,[2]Лист1!$A:$A,1,0)</f>
        <v>SU003422</v>
      </c>
    </row>
    <row r="95" spans="1:41" x14ac:dyDescent="0.25">
      <c r="A95" s="1" t="s">
        <v>235</v>
      </c>
      <c r="B95" s="1" t="s">
        <v>42</v>
      </c>
      <c r="C95" s="1">
        <v>76.864000000000004</v>
      </c>
      <c r="D95" s="1">
        <v>2.67</v>
      </c>
      <c r="E95" s="1">
        <v>26.853999999999999</v>
      </c>
      <c r="F95" s="1">
        <v>48.497999999999998</v>
      </c>
      <c r="G95" s="7">
        <v>1</v>
      </c>
      <c r="H95" s="1">
        <v>55</v>
      </c>
      <c r="I95" s="1" t="s">
        <v>43</v>
      </c>
      <c r="J95" s="1"/>
      <c r="K95" s="1">
        <v>27.2</v>
      </c>
      <c r="L95" s="1">
        <f t="shared" si="26"/>
        <v>-0.34600000000000009</v>
      </c>
      <c r="M95" s="1">
        <f t="shared" si="27"/>
        <v>26.853999999999999</v>
      </c>
      <c r="N95" s="1"/>
      <c r="O95" s="1"/>
      <c r="P95" s="1"/>
      <c r="Q95" s="1">
        <v>0</v>
      </c>
      <c r="R95" s="1"/>
      <c r="S95" s="25"/>
      <c r="T95" s="1"/>
      <c r="U95" s="1">
        <f t="shared" si="28"/>
        <v>5.3708</v>
      </c>
      <c r="V95" s="5">
        <f>12*U95-T95-Q95-P95-O95-F95</f>
        <v>15.951600000000006</v>
      </c>
      <c r="W95" s="5">
        <f t="shared" si="35"/>
        <v>15.951600000000006</v>
      </c>
      <c r="X95" s="5">
        <f t="shared" si="34"/>
        <v>15.951600000000006</v>
      </c>
      <c r="Y95" s="5"/>
      <c r="Z95" s="1"/>
      <c r="AA95" s="1">
        <f t="shared" si="32"/>
        <v>12</v>
      </c>
      <c r="AB95" s="1">
        <f t="shared" si="29"/>
        <v>9.0299396737916133</v>
      </c>
      <c r="AC95" s="1">
        <v>5.3708</v>
      </c>
      <c r="AD95" s="1">
        <v>3.2181999999999999</v>
      </c>
      <c r="AE95" s="1">
        <v>2.9496000000000002</v>
      </c>
      <c r="AF95" s="1">
        <v>2.4131999999999998</v>
      </c>
      <c r="AG95" s="1">
        <v>4.8087999999999997</v>
      </c>
      <c r="AH95" s="1">
        <v>2.9365999999999999</v>
      </c>
      <c r="AI95" s="1">
        <v>2.9626000000000001</v>
      </c>
      <c r="AJ95" s="1">
        <v>9.1290000000000013</v>
      </c>
      <c r="AK95" s="1"/>
      <c r="AL95" s="1">
        <f t="shared" si="30"/>
        <v>16</v>
      </c>
      <c r="AM95" s="1">
        <f t="shared" si="31"/>
        <v>0</v>
      </c>
      <c r="AN95" t="s">
        <v>236</v>
      </c>
    </row>
    <row r="96" spans="1:41" x14ac:dyDescent="0.25">
      <c r="A96" s="9" t="s">
        <v>237</v>
      </c>
      <c r="B96" s="9" t="s">
        <v>42</v>
      </c>
      <c r="C96" s="9">
        <v>-1.36</v>
      </c>
      <c r="D96" s="9"/>
      <c r="E96" s="9"/>
      <c r="F96" s="9">
        <v>-1.36</v>
      </c>
      <c r="G96" s="10">
        <v>0</v>
      </c>
      <c r="H96" s="9"/>
      <c r="I96" s="9" t="s">
        <v>67</v>
      </c>
      <c r="J96" s="9"/>
      <c r="K96" s="9"/>
      <c r="L96" s="9">
        <f t="shared" si="26"/>
        <v>0</v>
      </c>
      <c r="M96" s="9">
        <f t="shared" si="27"/>
        <v>0</v>
      </c>
      <c r="N96" s="9"/>
      <c r="O96" s="9"/>
      <c r="P96" s="9"/>
      <c r="Q96" s="9">
        <v>0</v>
      </c>
      <c r="R96" s="9"/>
      <c r="S96" s="28"/>
      <c r="T96" s="9"/>
      <c r="U96" s="9">
        <f t="shared" si="28"/>
        <v>0</v>
      </c>
      <c r="V96" s="11"/>
      <c r="W96" s="5">
        <f t="shared" si="35"/>
        <v>0</v>
      </c>
      <c r="X96" s="5">
        <f t="shared" si="34"/>
        <v>0</v>
      </c>
      <c r="Y96" s="5"/>
      <c r="Z96" s="1"/>
      <c r="AA96" s="1" t="e">
        <f t="shared" si="32"/>
        <v>#DIV/0!</v>
      </c>
      <c r="AB96" s="9" t="e">
        <f t="shared" si="29"/>
        <v>#DIV/0!</v>
      </c>
      <c r="AC96" s="9">
        <v>0</v>
      </c>
      <c r="AD96" s="9">
        <v>0</v>
      </c>
      <c r="AE96" s="9">
        <v>0</v>
      </c>
      <c r="AF96" s="9">
        <v>0</v>
      </c>
      <c r="AG96" s="9">
        <v>0</v>
      </c>
      <c r="AH96" s="9">
        <v>0</v>
      </c>
      <c r="AI96" s="9">
        <v>0</v>
      </c>
      <c r="AJ96" s="9">
        <v>0.27200000000000002</v>
      </c>
      <c r="AK96" s="9"/>
      <c r="AL96" s="1">
        <f t="shared" si="30"/>
        <v>0</v>
      </c>
      <c r="AM96" s="1">
        <f t="shared" si="31"/>
        <v>0</v>
      </c>
      <c r="AN96" t="s">
        <v>238</v>
      </c>
    </row>
    <row r="97" spans="1:40" x14ac:dyDescent="0.25">
      <c r="A97" s="9" t="s">
        <v>239</v>
      </c>
      <c r="B97" s="9" t="s">
        <v>42</v>
      </c>
      <c r="C97" s="9">
        <v>-2.5960000000000001</v>
      </c>
      <c r="D97" s="9"/>
      <c r="E97" s="9"/>
      <c r="F97" s="9">
        <v>-2.5960000000000001</v>
      </c>
      <c r="G97" s="10">
        <v>0</v>
      </c>
      <c r="H97" s="9"/>
      <c r="I97" s="9" t="s">
        <v>67</v>
      </c>
      <c r="J97" s="9"/>
      <c r="K97" s="9"/>
      <c r="L97" s="9">
        <f t="shared" si="26"/>
        <v>0</v>
      </c>
      <c r="M97" s="9">
        <f t="shared" si="27"/>
        <v>0</v>
      </c>
      <c r="N97" s="9"/>
      <c r="O97" s="9"/>
      <c r="P97" s="9"/>
      <c r="Q97" s="9">
        <v>0</v>
      </c>
      <c r="R97" s="9"/>
      <c r="S97" s="28"/>
      <c r="T97" s="9"/>
      <c r="U97" s="9">
        <f t="shared" si="28"/>
        <v>0</v>
      </c>
      <c r="V97" s="11"/>
      <c r="W97" s="5">
        <f t="shared" si="35"/>
        <v>0</v>
      </c>
      <c r="X97" s="5">
        <f t="shared" si="34"/>
        <v>0</v>
      </c>
      <c r="Y97" s="5"/>
      <c r="Z97" s="1"/>
      <c r="AA97" s="1" t="e">
        <f t="shared" si="32"/>
        <v>#DIV/0!</v>
      </c>
      <c r="AB97" s="9" t="e">
        <f t="shared" si="29"/>
        <v>#DIV/0!</v>
      </c>
      <c r="AC97" s="9">
        <v>0</v>
      </c>
      <c r="AD97" s="9">
        <v>0.5484</v>
      </c>
      <c r="AE97" s="9">
        <v>3.7995999999999999</v>
      </c>
      <c r="AF97" s="9">
        <v>5.4039999999999999</v>
      </c>
      <c r="AG97" s="9">
        <v>5.3784000000000001</v>
      </c>
      <c r="AH97" s="9">
        <v>6.8639999999999999</v>
      </c>
      <c r="AI97" s="9">
        <v>3.9003999999999999</v>
      </c>
      <c r="AJ97" s="9">
        <v>2.42</v>
      </c>
      <c r="AK97" s="9"/>
      <c r="AL97" s="1">
        <f t="shared" si="30"/>
        <v>0</v>
      </c>
      <c r="AM97" s="1">
        <f t="shared" si="31"/>
        <v>0</v>
      </c>
    </row>
    <row r="98" spans="1:40" x14ac:dyDescent="0.25">
      <c r="A98" s="1" t="s">
        <v>240</v>
      </c>
      <c r="B98" s="1" t="s">
        <v>50</v>
      </c>
      <c r="C98" s="1">
        <v>-3</v>
      </c>
      <c r="D98" s="1">
        <v>2</v>
      </c>
      <c r="E98" s="1"/>
      <c r="F98" s="1">
        <v>-3</v>
      </c>
      <c r="G98" s="7">
        <v>0.3</v>
      </c>
      <c r="H98" s="1">
        <v>40</v>
      </c>
      <c r="I98" s="15" t="s">
        <v>106</v>
      </c>
      <c r="J98" s="1"/>
      <c r="K98" s="1">
        <v>182</v>
      </c>
      <c r="L98" s="1">
        <f t="shared" si="26"/>
        <v>-182</v>
      </c>
      <c r="M98" s="1">
        <f t="shared" si="27"/>
        <v>0</v>
      </c>
      <c r="N98" s="1"/>
      <c r="O98" s="1"/>
      <c r="P98" s="1"/>
      <c r="Q98" s="1">
        <v>50</v>
      </c>
      <c r="R98" s="1">
        <v>-54</v>
      </c>
      <c r="S98" s="25"/>
      <c r="T98" s="1"/>
      <c r="U98" s="1">
        <f t="shared" si="28"/>
        <v>0</v>
      </c>
      <c r="V98" s="5">
        <v>50</v>
      </c>
      <c r="W98" s="5">
        <f t="shared" si="35"/>
        <v>50</v>
      </c>
      <c r="X98" s="5">
        <f>W98</f>
        <v>50</v>
      </c>
      <c r="Y98" s="5">
        <f>W98*0.5</f>
        <v>25</v>
      </c>
      <c r="Z98" s="1"/>
      <c r="AA98" s="1" t="e">
        <f t="shared" si="32"/>
        <v>#DIV/0!</v>
      </c>
      <c r="AB98" s="1" t="e">
        <f t="shared" si="29"/>
        <v>#DIV/0!</v>
      </c>
      <c r="AC98" s="1">
        <v>0</v>
      </c>
      <c r="AD98" s="1">
        <v>8.4</v>
      </c>
      <c r="AE98" s="1">
        <v>9.6</v>
      </c>
      <c r="AF98" s="1">
        <v>9.1999999999999993</v>
      </c>
      <c r="AG98" s="1">
        <v>15.2</v>
      </c>
      <c r="AH98" s="1">
        <v>23.8</v>
      </c>
      <c r="AI98" s="1">
        <v>25.4</v>
      </c>
      <c r="AJ98" s="1">
        <v>17.2</v>
      </c>
      <c r="AK98" s="1"/>
      <c r="AL98" s="1">
        <f t="shared" si="30"/>
        <v>15</v>
      </c>
      <c r="AM98" s="1">
        <f t="shared" si="31"/>
        <v>8</v>
      </c>
      <c r="AN98" t="s">
        <v>241</v>
      </c>
    </row>
    <row r="99" spans="1:40" x14ac:dyDescent="0.25">
      <c r="A99" s="1" t="s">
        <v>242</v>
      </c>
      <c r="B99" s="1" t="s">
        <v>50</v>
      </c>
      <c r="C99" s="1">
        <v>56</v>
      </c>
      <c r="D99" s="1">
        <v>156</v>
      </c>
      <c r="E99" s="1">
        <v>39</v>
      </c>
      <c r="F99" s="1">
        <v>169</v>
      </c>
      <c r="G99" s="7">
        <v>0.3</v>
      </c>
      <c r="H99" s="1">
        <v>40</v>
      </c>
      <c r="I99" s="1" t="s">
        <v>43</v>
      </c>
      <c r="J99" s="1"/>
      <c r="K99" s="1">
        <v>41</v>
      </c>
      <c r="L99" s="1">
        <f t="shared" si="26"/>
        <v>-2</v>
      </c>
      <c r="M99" s="1">
        <f t="shared" si="27"/>
        <v>39</v>
      </c>
      <c r="N99" s="1"/>
      <c r="O99" s="1"/>
      <c r="P99" s="1"/>
      <c r="Q99" s="1">
        <v>0</v>
      </c>
      <c r="R99" s="1"/>
      <c r="S99" s="25"/>
      <c r="T99" s="1"/>
      <c r="U99" s="1">
        <f t="shared" si="28"/>
        <v>7.8</v>
      </c>
      <c r="V99" s="5"/>
      <c r="W99" s="5">
        <f t="shared" si="35"/>
        <v>0</v>
      </c>
      <c r="X99" s="5">
        <f t="shared" ref="X99:X110" si="36">W99-Y99</f>
        <v>0</v>
      </c>
      <c r="Y99" s="5"/>
      <c r="Z99" s="1"/>
      <c r="AA99" s="1">
        <f t="shared" si="32"/>
        <v>21.666666666666668</v>
      </c>
      <c r="AB99" s="1">
        <f t="shared" si="29"/>
        <v>21.666666666666668</v>
      </c>
      <c r="AC99" s="1">
        <v>7.8</v>
      </c>
      <c r="AD99" s="1">
        <v>17.2</v>
      </c>
      <c r="AE99" s="1">
        <v>16.2</v>
      </c>
      <c r="AF99" s="1">
        <v>4</v>
      </c>
      <c r="AG99" s="1">
        <v>9.6</v>
      </c>
      <c r="AH99" s="1">
        <v>11</v>
      </c>
      <c r="AI99" s="1">
        <v>12.4</v>
      </c>
      <c r="AJ99" s="1">
        <v>6.8</v>
      </c>
      <c r="AK99" s="17" t="s">
        <v>83</v>
      </c>
      <c r="AL99" s="1">
        <f t="shared" si="30"/>
        <v>0</v>
      </c>
      <c r="AM99" s="1">
        <f t="shared" si="31"/>
        <v>0</v>
      </c>
      <c r="AN99" t="s">
        <v>243</v>
      </c>
    </row>
    <row r="100" spans="1:40" x14ac:dyDescent="0.25">
      <c r="A100" s="1" t="s">
        <v>244</v>
      </c>
      <c r="B100" s="1" t="s">
        <v>50</v>
      </c>
      <c r="C100" s="1">
        <v>505</v>
      </c>
      <c r="D100" s="1">
        <v>23</v>
      </c>
      <c r="E100" s="1">
        <v>127</v>
      </c>
      <c r="F100" s="1">
        <v>327</v>
      </c>
      <c r="G100" s="7">
        <v>7.0000000000000007E-2</v>
      </c>
      <c r="H100" s="1">
        <v>90</v>
      </c>
      <c r="I100" s="14" t="s">
        <v>54</v>
      </c>
      <c r="J100" s="1"/>
      <c r="K100" s="1">
        <v>189</v>
      </c>
      <c r="L100" s="1">
        <f t="shared" si="26"/>
        <v>-62</v>
      </c>
      <c r="M100" s="1">
        <f t="shared" si="27"/>
        <v>127</v>
      </c>
      <c r="N100" s="1"/>
      <c r="O100" s="1"/>
      <c r="P100" s="1"/>
      <c r="Q100" s="1">
        <v>0</v>
      </c>
      <c r="R100" s="1"/>
      <c r="S100" s="25"/>
      <c r="T100" s="1"/>
      <c r="U100" s="1">
        <f t="shared" si="28"/>
        <v>25.4</v>
      </c>
      <c r="V100" s="5"/>
      <c r="W100" s="5">
        <f>V100+400</f>
        <v>400</v>
      </c>
      <c r="X100" s="5">
        <f t="shared" si="36"/>
        <v>400</v>
      </c>
      <c r="Y100" s="5"/>
      <c r="Z100" s="1" t="str">
        <f>VLOOKUP(A100,[1]Sheet!$A:$U,21,0)</f>
        <v xml:space="preserve">400 сеть молоко </v>
      </c>
      <c r="AA100" s="1">
        <f t="shared" si="32"/>
        <v>28.622047244094489</v>
      </c>
      <c r="AB100" s="1">
        <f t="shared" si="29"/>
        <v>12.874015748031496</v>
      </c>
      <c r="AC100" s="1">
        <v>25.4</v>
      </c>
      <c r="AD100" s="1">
        <v>27.8</v>
      </c>
      <c r="AE100" s="1">
        <v>21.6</v>
      </c>
      <c r="AF100" s="1">
        <v>29</v>
      </c>
      <c r="AG100" s="1">
        <v>32.4</v>
      </c>
      <c r="AH100" s="1">
        <v>33.4</v>
      </c>
      <c r="AI100" s="1">
        <v>34.799999999999997</v>
      </c>
      <c r="AJ100" s="1">
        <v>22.2</v>
      </c>
      <c r="AK100" s="1" t="s">
        <v>245</v>
      </c>
      <c r="AL100" s="1">
        <f t="shared" si="30"/>
        <v>28</v>
      </c>
      <c r="AM100" s="1">
        <f t="shared" si="31"/>
        <v>0</v>
      </c>
      <c r="AN100" t="s">
        <v>246</v>
      </c>
    </row>
    <row r="101" spans="1:40" x14ac:dyDescent="0.25">
      <c r="A101" s="1" t="s">
        <v>247</v>
      </c>
      <c r="B101" s="1" t="s">
        <v>50</v>
      </c>
      <c r="C101" s="1">
        <v>428</v>
      </c>
      <c r="D101" s="1">
        <v>22</v>
      </c>
      <c r="E101" s="1">
        <v>138</v>
      </c>
      <c r="F101" s="1">
        <v>248</v>
      </c>
      <c r="G101" s="7">
        <v>7.0000000000000007E-2</v>
      </c>
      <c r="H101" s="1">
        <v>90</v>
      </c>
      <c r="I101" s="14" t="s">
        <v>54</v>
      </c>
      <c r="J101" s="1"/>
      <c r="K101" s="1">
        <v>192</v>
      </c>
      <c r="L101" s="1">
        <f t="shared" si="26"/>
        <v>-54</v>
      </c>
      <c r="M101" s="1">
        <f t="shared" si="27"/>
        <v>138</v>
      </c>
      <c r="N101" s="1"/>
      <c r="O101" s="1"/>
      <c r="P101" s="1"/>
      <c r="Q101" s="1">
        <v>0</v>
      </c>
      <c r="R101" s="1"/>
      <c r="S101" s="25"/>
      <c r="T101" s="1"/>
      <c r="U101" s="1">
        <f t="shared" si="28"/>
        <v>27.6</v>
      </c>
      <c r="V101" s="5">
        <f>12*U101-T101-Q101-P101-O101-F101</f>
        <v>83.200000000000045</v>
      </c>
      <c r="W101" s="5">
        <f>V101+500</f>
        <v>583.20000000000005</v>
      </c>
      <c r="X101" s="5">
        <f t="shared" si="36"/>
        <v>583.20000000000005</v>
      </c>
      <c r="Y101" s="5"/>
      <c r="Z101" s="1" t="str">
        <f>VLOOKUP(A101,[1]Sheet!$A:$U,21,0)</f>
        <v xml:space="preserve">500 сеть молоко </v>
      </c>
      <c r="AA101" s="1">
        <f t="shared" si="32"/>
        <v>30.115942028985508</v>
      </c>
      <c r="AB101" s="1">
        <f t="shared" si="29"/>
        <v>8.9855072463768106</v>
      </c>
      <c r="AC101" s="1">
        <v>27.6</v>
      </c>
      <c r="AD101" s="1">
        <v>32.200000000000003</v>
      </c>
      <c r="AE101" s="1">
        <v>28.8</v>
      </c>
      <c r="AF101" s="1">
        <v>31.6</v>
      </c>
      <c r="AG101" s="1">
        <v>28.2</v>
      </c>
      <c r="AH101" s="1">
        <v>29.6</v>
      </c>
      <c r="AI101" s="1">
        <v>31.2</v>
      </c>
      <c r="AJ101" s="1">
        <v>22.8</v>
      </c>
      <c r="AK101" s="1" t="s">
        <v>248</v>
      </c>
      <c r="AL101" s="1">
        <f t="shared" si="30"/>
        <v>41</v>
      </c>
      <c r="AM101" s="1">
        <f t="shared" si="31"/>
        <v>0</v>
      </c>
      <c r="AN101" t="s">
        <v>249</v>
      </c>
    </row>
    <row r="102" spans="1:40" x14ac:dyDescent="0.25">
      <c r="A102" s="1" t="s">
        <v>250</v>
      </c>
      <c r="B102" s="1" t="s">
        <v>50</v>
      </c>
      <c r="C102" s="1">
        <v>438</v>
      </c>
      <c r="D102" s="1">
        <v>10</v>
      </c>
      <c r="E102" s="1">
        <v>93</v>
      </c>
      <c r="F102" s="1">
        <v>304</v>
      </c>
      <c r="G102" s="7">
        <v>7.0000000000000007E-2</v>
      </c>
      <c r="H102" s="1">
        <v>90</v>
      </c>
      <c r="I102" s="14" t="s">
        <v>54</v>
      </c>
      <c r="J102" s="1"/>
      <c r="K102" s="1">
        <v>137</v>
      </c>
      <c r="L102" s="1">
        <f t="shared" ref="L102:L133" si="37">E102-K102</f>
        <v>-44</v>
      </c>
      <c r="M102" s="1">
        <f t="shared" ref="M102:M133" si="38">E102-N102</f>
        <v>93</v>
      </c>
      <c r="N102" s="1"/>
      <c r="O102" s="1"/>
      <c r="P102" s="1"/>
      <c r="Q102" s="1">
        <v>0</v>
      </c>
      <c r="R102" s="1"/>
      <c r="S102" s="25"/>
      <c r="T102" s="1"/>
      <c r="U102" s="1">
        <f t="shared" ref="U102:U137" si="39">M102/5</f>
        <v>18.600000000000001</v>
      </c>
      <c r="V102" s="5"/>
      <c r="W102" s="5">
        <f>V102+400</f>
        <v>400</v>
      </c>
      <c r="X102" s="5">
        <f t="shared" si="36"/>
        <v>400</v>
      </c>
      <c r="Y102" s="5"/>
      <c r="Z102" s="1" t="str">
        <f>VLOOKUP(A102,[1]Sheet!$A:$U,21,0)</f>
        <v xml:space="preserve">400 сеть молоко </v>
      </c>
      <c r="AA102" s="1">
        <f t="shared" si="32"/>
        <v>37.849462365591393</v>
      </c>
      <c r="AB102" s="1">
        <f t="shared" ref="AB102:AB137" si="40">(F102+O102+P102+Q102+T102)/U102</f>
        <v>16.344086021505376</v>
      </c>
      <c r="AC102" s="1">
        <v>18.600000000000001</v>
      </c>
      <c r="AD102" s="1">
        <v>23.4</v>
      </c>
      <c r="AE102" s="1">
        <v>18.399999999999999</v>
      </c>
      <c r="AF102" s="1">
        <v>22.2</v>
      </c>
      <c r="AG102" s="1">
        <v>23.2</v>
      </c>
      <c r="AH102" s="1">
        <v>24.6</v>
      </c>
      <c r="AI102" s="1">
        <v>27.4</v>
      </c>
      <c r="AJ102" s="1">
        <v>18.8</v>
      </c>
      <c r="AK102" s="1" t="s">
        <v>245</v>
      </c>
      <c r="AL102" s="1">
        <f t="shared" ref="AL102:AL137" si="41">ROUND(G102*X102,0)</f>
        <v>28</v>
      </c>
      <c r="AM102" s="1">
        <f t="shared" ref="AM102:AM137" si="42">ROUND(G102*Y102,0)</f>
        <v>0</v>
      </c>
      <c r="AN102" t="s">
        <v>251</v>
      </c>
    </row>
    <row r="103" spans="1:40" x14ac:dyDescent="0.25">
      <c r="A103" s="9" t="s">
        <v>252</v>
      </c>
      <c r="B103" s="9" t="s">
        <v>50</v>
      </c>
      <c r="C103" s="9">
        <v>4</v>
      </c>
      <c r="D103" s="9"/>
      <c r="E103" s="9">
        <v>-3</v>
      </c>
      <c r="F103" s="9">
        <v>-11</v>
      </c>
      <c r="G103" s="10">
        <v>0</v>
      </c>
      <c r="H103" s="9">
        <v>90</v>
      </c>
      <c r="I103" s="9" t="s">
        <v>67</v>
      </c>
      <c r="J103" s="9"/>
      <c r="K103" s="9">
        <v>107</v>
      </c>
      <c r="L103" s="9">
        <f t="shared" si="37"/>
        <v>-110</v>
      </c>
      <c r="M103" s="9">
        <f t="shared" si="38"/>
        <v>-3</v>
      </c>
      <c r="N103" s="9"/>
      <c r="O103" s="9"/>
      <c r="P103" s="9"/>
      <c r="Q103" s="9">
        <v>0</v>
      </c>
      <c r="R103" s="9"/>
      <c r="S103" s="28"/>
      <c r="T103" s="9"/>
      <c r="U103" s="9">
        <f t="shared" si="39"/>
        <v>-0.6</v>
      </c>
      <c r="V103" s="11"/>
      <c r="W103" s="5">
        <f>V103</f>
        <v>0</v>
      </c>
      <c r="X103" s="5">
        <f t="shared" si="36"/>
        <v>0</v>
      </c>
      <c r="Y103" s="5"/>
      <c r="Z103" s="1"/>
      <c r="AA103" s="1">
        <f t="shared" si="32"/>
        <v>18.333333333333336</v>
      </c>
      <c r="AB103" s="9">
        <f t="shared" si="40"/>
        <v>18.333333333333336</v>
      </c>
      <c r="AC103" s="9">
        <v>-0.6</v>
      </c>
      <c r="AD103" s="9">
        <v>-0.2</v>
      </c>
      <c r="AE103" s="9">
        <v>-0.4</v>
      </c>
      <c r="AF103" s="9">
        <v>9.1999999999999993</v>
      </c>
      <c r="AG103" s="9">
        <v>15.4</v>
      </c>
      <c r="AH103" s="9">
        <v>13.6</v>
      </c>
      <c r="AI103" s="9">
        <v>20.2</v>
      </c>
      <c r="AJ103" s="9">
        <v>19</v>
      </c>
      <c r="AK103" s="9"/>
      <c r="AL103" s="1">
        <f t="shared" si="41"/>
        <v>0</v>
      </c>
      <c r="AM103" s="1">
        <f t="shared" si="42"/>
        <v>0</v>
      </c>
      <c r="AN103" t="s">
        <v>253</v>
      </c>
    </row>
    <row r="104" spans="1:40" x14ac:dyDescent="0.25">
      <c r="A104" s="1" t="s">
        <v>254</v>
      </c>
      <c r="B104" s="1" t="s">
        <v>50</v>
      </c>
      <c r="C104" s="1">
        <v>31</v>
      </c>
      <c r="D104" s="1">
        <v>3</v>
      </c>
      <c r="E104" s="1">
        <v>19</v>
      </c>
      <c r="F104" s="1">
        <v>14</v>
      </c>
      <c r="G104" s="7">
        <v>0.3</v>
      </c>
      <c r="H104" s="1">
        <v>40</v>
      </c>
      <c r="I104" s="1" t="s">
        <v>43</v>
      </c>
      <c r="J104" s="1"/>
      <c r="K104" s="1">
        <v>44</v>
      </c>
      <c r="L104" s="1">
        <f t="shared" si="37"/>
        <v>-25</v>
      </c>
      <c r="M104" s="1">
        <f t="shared" si="38"/>
        <v>19</v>
      </c>
      <c r="N104" s="1"/>
      <c r="O104" s="1"/>
      <c r="P104" s="1"/>
      <c r="Q104" s="1">
        <v>20</v>
      </c>
      <c r="R104" s="1"/>
      <c r="S104" s="25"/>
      <c r="T104" s="1"/>
      <c r="U104" s="1">
        <f t="shared" si="39"/>
        <v>3.8</v>
      </c>
      <c r="V104" s="5">
        <f>12*U104-T104-Q104-P104-O104-F104</f>
        <v>11.599999999999994</v>
      </c>
      <c r="W104" s="5">
        <f>V104</f>
        <v>11.599999999999994</v>
      </c>
      <c r="X104" s="5">
        <f t="shared" si="36"/>
        <v>11.599999999999994</v>
      </c>
      <c r="Y104" s="5"/>
      <c r="Z104" s="1"/>
      <c r="AA104" s="1">
        <f t="shared" si="32"/>
        <v>11.999999999999998</v>
      </c>
      <c r="AB104" s="1">
        <f t="shared" si="40"/>
        <v>8.9473684210526319</v>
      </c>
      <c r="AC104" s="1">
        <v>3.8</v>
      </c>
      <c r="AD104" s="1">
        <v>0.6</v>
      </c>
      <c r="AE104" s="1">
        <v>-0.4</v>
      </c>
      <c r="AF104" s="1">
        <v>0.6</v>
      </c>
      <c r="AG104" s="1">
        <v>4.4000000000000004</v>
      </c>
      <c r="AH104" s="1">
        <v>4.8</v>
      </c>
      <c r="AI104" s="1">
        <v>1.6</v>
      </c>
      <c r="AJ104" s="1">
        <v>2.8</v>
      </c>
      <c r="AK104" s="1"/>
      <c r="AL104" s="1">
        <f t="shared" si="41"/>
        <v>3</v>
      </c>
      <c r="AM104" s="1">
        <f t="shared" si="42"/>
        <v>0</v>
      </c>
      <c r="AN104" t="s">
        <v>255</v>
      </c>
    </row>
    <row r="105" spans="1:40" x14ac:dyDescent="0.25">
      <c r="A105" s="1" t="s">
        <v>256</v>
      </c>
      <c r="B105" s="1" t="s">
        <v>42</v>
      </c>
      <c r="C105" s="1">
        <v>30.44</v>
      </c>
      <c r="D105" s="1">
        <v>1.59</v>
      </c>
      <c r="E105" s="1">
        <v>12.779</v>
      </c>
      <c r="F105" s="1">
        <v>18.382000000000001</v>
      </c>
      <c r="G105" s="7">
        <v>1</v>
      </c>
      <c r="H105" s="1">
        <v>55</v>
      </c>
      <c r="I105" s="1" t="s">
        <v>43</v>
      </c>
      <c r="J105" s="1"/>
      <c r="K105" s="1">
        <v>9.1999999999999993</v>
      </c>
      <c r="L105" s="1">
        <f t="shared" si="37"/>
        <v>3.5790000000000006</v>
      </c>
      <c r="M105" s="1">
        <f t="shared" si="38"/>
        <v>12.779</v>
      </c>
      <c r="N105" s="1"/>
      <c r="O105" s="1"/>
      <c r="P105" s="1"/>
      <c r="Q105" s="1">
        <v>0</v>
      </c>
      <c r="R105" s="1"/>
      <c r="S105" s="25"/>
      <c r="T105" s="1"/>
      <c r="U105" s="1">
        <f t="shared" si="39"/>
        <v>2.5558000000000001</v>
      </c>
      <c r="V105" s="5">
        <f>12*U105-T105-Q105-P105-O105-F105</f>
        <v>12.287600000000001</v>
      </c>
      <c r="W105" s="5">
        <f>V105</f>
        <v>12.287600000000001</v>
      </c>
      <c r="X105" s="5">
        <f t="shared" si="36"/>
        <v>12.287600000000001</v>
      </c>
      <c r="Y105" s="5"/>
      <c r="Z105" s="1"/>
      <c r="AA105" s="1">
        <f t="shared" si="32"/>
        <v>12</v>
      </c>
      <c r="AB105" s="1">
        <f t="shared" si="40"/>
        <v>7.1922685656154632</v>
      </c>
      <c r="AC105" s="1">
        <v>2.5558000000000001</v>
      </c>
      <c r="AD105" s="1">
        <v>1.869</v>
      </c>
      <c r="AE105" s="1">
        <v>0.8869999999999999</v>
      </c>
      <c r="AF105" s="1">
        <v>2.1185999999999998</v>
      </c>
      <c r="AG105" s="1">
        <v>2.1888000000000001</v>
      </c>
      <c r="AH105" s="1">
        <v>1.9019999999999999</v>
      </c>
      <c r="AI105" s="1">
        <v>2.5404</v>
      </c>
      <c r="AJ105" s="1">
        <v>2.8206000000000002</v>
      </c>
      <c r="AK105" s="1"/>
      <c r="AL105" s="1">
        <f t="shared" si="41"/>
        <v>12</v>
      </c>
      <c r="AM105" s="1">
        <f t="shared" si="42"/>
        <v>0</v>
      </c>
      <c r="AN105" t="s">
        <v>257</v>
      </c>
    </row>
    <row r="106" spans="1:40" x14ac:dyDescent="0.25">
      <c r="A106" s="1" t="s">
        <v>258</v>
      </c>
      <c r="B106" s="1" t="s">
        <v>50</v>
      </c>
      <c r="C106" s="1">
        <v>245</v>
      </c>
      <c r="D106" s="1">
        <v>21</v>
      </c>
      <c r="E106" s="1">
        <v>93</v>
      </c>
      <c r="F106" s="1">
        <v>123</v>
      </c>
      <c r="G106" s="7">
        <v>0.11</v>
      </c>
      <c r="H106" s="1">
        <v>30</v>
      </c>
      <c r="I106" s="14" t="s">
        <v>54</v>
      </c>
      <c r="J106" s="1"/>
      <c r="K106" s="1">
        <v>142</v>
      </c>
      <c r="L106" s="1">
        <f t="shared" si="37"/>
        <v>-49</v>
      </c>
      <c r="M106" s="1">
        <f t="shared" si="38"/>
        <v>93</v>
      </c>
      <c r="N106" s="1"/>
      <c r="O106" s="1"/>
      <c r="P106" s="1"/>
      <c r="Q106" s="1">
        <v>22.600000000000019</v>
      </c>
      <c r="R106" s="1"/>
      <c r="S106" s="25"/>
      <c r="T106" s="1"/>
      <c r="U106" s="1">
        <f t="shared" si="39"/>
        <v>18.600000000000001</v>
      </c>
      <c r="V106" s="5">
        <f>12*U106-T106-Q106-P106-O106-F106</f>
        <v>77.599999999999994</v>
      </c>
      <c r="W106" s="5">
        <f>V106+500</f>
        <v>577.6</v>
      </c>
      <c r="X106" s="5">
        <f t="shared" si="36"/>
        <v>577.6</v>
      </c>
      <c r="Y106" s="5"/>
      <c r="Z106" s="1" t="str">
        <f>VLOOKUP(A106,[1]Sheet!$A:$U,21,0)</f>
        <v xml:space="preserve">500 сеть молоко </v>
      </c>
      <c r="AA106" s="1">
        <f t="shared" si="32"/>
        <v>38.881720430107528</v>
      </c>
      <c r="AB106" s="1">
        <f t="shared" si="40"/>
        <v>7.8279569892473129</v>
      </c>
      <c r="AC106" s="1">
        <v>20.6</v>
      </c>
      <c r="AD106" s="1">
        <v>12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 t="s">
        <v>248</v>
      </c>
      <c r="AL106" s="1">
        <f t="shared" si="41"/>
        <v>64</v>
      </c>
      <c r="AM106" s="1">
        <f t="shared" si="42"/>
        <v>0</v>
      </c>
      <c r="AN106" t="s">
        <v>259</v>
      </c>
    </row>
    <row r="107" spans="1:40" x14ac:dyDescent="0.25">
      <c r="A107" s="9" t="s">
        <v>260</v>
      </c>
      <c r="B107" s="9" t="s">
        <v>50</v>
      </c>
      <c r="C107" s="9"/>
      <c r="D107" s="9"/>
      <c r="E107" s="9"/>
      <c r="F107" s="9"/>
      <c r="G107" s="10">
        <v>0</v>
      </c>
      <c r="H107" s="9"/>
      <c r="I107" s="9" t="s">
        <v>43</v>
      </c>
      <c r="J107" s="9"/>
      <c r="K107" s="9"/>
      <c r="L107" s="9">
        <f t="shared" si="37"/>
        <v>0</v>
      </c>
      <c r="M107" s="9">
        <f t="shared" si="38"/>
        <v>0</v>
      </c>
      <c r="N107" s="9"/>
      <c r="O107" s="9"/>
      <c r="P107" s="9"/>
      <c r="Q107" s="9">
        <v>0</v>
      </c>
      <c r="R107" s="9"/>
      <c r="S107" s="28"/>
      <c r="T107" s="9"/>
      <c r="U107" s="9">
        <f t="shared" si="39"/>
        <v>0</v>
      </c>
      <c r="V107" s="11"/>
      <c r="W107" s="5">
        <f>V107</f>
        <v>0</v>
      </c>
      <c r="X107" s="5">
        <f t="shared" si="36"/>
        <v>0</v>
      </c>
      <c r="Y107" s="5"/>
      <c r="Z107" s="1"/>
      <c r="AA107" s="1" t="e">
        <f t="shared" si="32"/>
        <v>#DIV/0!</v>
      </c>
      <c r="AB107" s="9" t="e">
        <f t="shared" si="40"/>
        <v>#DIV/0!</v>
      </c>
      <c r="AC107" s="9">
        <v>0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0</v>
      </c>
      <c r="AK107" s="9" t="s">
        <v>80</v>
      </c>
      <c r="AL107" s="1">
        <f t="shared" si="41"/>
        <v>0</v>
      </c>
      <c r="AM107" s="1">
        <f t="shared" si="42"/>
        <v>0</v>
      </c>
      <c r="AN107" t="s">
        <v>261</v>
      </c>
    </row>
    <row r="108" spans="1:40" x14ac:dyDescent="0.25">
      <c r="A108" s="1" t="s">
        <v>262</v>
      </c>
      <c r="B108" s="1" t="s">
        <v>50</v>
      </c>
      <c r="C108" s="1">
        <v>575</v>
      </c>
      <c r="D108" s="1">
        <v>270</v>
      </c>
      <c r="E108" s="1">
        <v>205</v>
      </c>
      <c r="F108" s="1">
        <v>576</v>
      </c>
      <c r="G108" s="7">
        <v>0.08</v>
      </c>
      <c r="H108" s="1">
        <v>45</v>
      </c>
      <c r="I108" s="14" t="s">
        <v>54</v>
      </c>
      <c r="J108" s="1"/>
      <c r="K108" s="1">
        <v>257</v>
      </c>
      <c r="L108" s="1">
        <f t="shared" si="37"/>
        <v>-52</v>
      </c>
      <c r="M108" s="1">
        <f t="shared" si="38"/>
        <v>205</v>
      </c>
      <c r="N108" s="1"/>
      <c r="O108" s="1"/>
      <c r="P108" s="1"/>
      <c r="Q108" s="1">
        <v>0</v>
      </c>
      <c r="R108" s="1"/>
      <c r="S108" s="25"/>
      <c r="T108" s="1"/>
      <c r="U108" s="1">
        <f t="shared" si="39"/>
        <v>41</v>
      </c>
      <c r="V108" s="5"/>
      <c r="W108" s="5">
        <f>V108+300</f>
        <v>300</v>
      </c>
      <c r="X108" s="5">
        <f t="shared" si="36"/>
        <v>300</v>
      </c>
      <c r="Y108" s="5"/>
      <c r="Z108" s="1" t="str">
        <f>VLOOKUP(A108,[1]Sheet!$A:$U,21,0)</f>
        <v xml:space="preserve">300 сеть молоко </v>
      </c>
      <c r="AA108" s="1">
        <f t="shared" si="32"/>
        <v>21.365853658536587</v>
      </c>
      <c r="AB108" s="1">
        <f t="shared" si="40"/>
        <v>14.048780487804878</v>
      </c>
      <c r="AC108" s="1">
        <v>41</v>
      </c>
      <c r="AD108" s="1">
        <v>42.2</v>
      </c>
      <c r="AE108" s="1">
        <v>49.2</v>
      </c>
      <c r="AF108" s="1">
        <v>54.2</v>
      </c>
      <c r="AG108" s="1">
        <v>46.4</v>
      </c>
      <c r="AH108" s="1">
        <v>59</v>
      </c>
      <c r="AI108" s="1">
        <v>58.6</v>
      </c>
      <c r="AJ108" s="1">
        <v>35.6</v>
      </c>
      <c r="AK108" s="1" t="s">
        <v>263</v>
      </c>
      <c r="AL108" s="1">
        <f t="shared" si="41"/>
        <v>24</v>
      </c>
      <c r="AM108" s="1">
        <f t="shared" si="42"/>
        <v>0</v>
      </c>
      <c r="AN108" t="s">
        <v>264</v>
      </c>
    </row>
    <row r="109" spans="1:40" x14ac:dyDescent="0.25">
      <c r="A109" s="1" t="s">
        <v>265</v>
      </c>
      <c r="B109" s="1" t="s">
        <v>50</v>
      </c>
      <c r="C109" s="1">
        <v>456</v>
      </c>
      <c r="D109" s="1">
        <v>57</v>
      </c>
      <c r="E109" s="1">
        <v>208</v>
      </c>
      <c r="F109" s="1">
        <v>199</v>
      </c>
      <c r="G109" s="7">
        <v>0.08</v>
      </c>
      <c r="H109" s="1">
        <v>45</v>
      </c>
      <c r="I109" s="14" t="s">
        <v>54</v>
      </c>
      <c r="J109" s="1"/>
      <c r="K109" s="1">
        <v>316</v>
      </c>
      <c r="L109" s="1">
        <f t="shared" si="37"/>
        <v>-108</v>
      </c>
      <c r="M109" s="1">
        <f t="shared" si="38"/>
        <v>208</v>
      </c>
      <c r="N109" s="1"/>
      <c r="O109" s="1"/>
      <c r="P109" s="1"/>
      <c r="Q109" s="1">
        <v>97.600000000000023</v>
      </c>
      <c r="R109" s="1"/>
      <c r="S109" s="25"/>
      <c r="T109" s="1"/>
      <c r="U109" s="1">
        <f t="shared" si="39"/>
        <v>41.6</v>
      </c>
      <c r="V109" s="5">
        <f>12*U109-T109-Q109-P109-O109-F109</f>
        <v>202.60000000000002</v>
      </c>
      <c r="W109" s="5">
        <f>V109+600</f>
        <v>802.6</v>
      </c>
      <c r="X109" s="5">
        <f t="shared" si="36"/>
        <v>802.6</v>
      </c>
      <c r="Y109" s="5"/>
      <c r="Z109" s="1" t="str">
        <f>VLOOKUP(A109,[1]Sheet!$A:$U,21,0)</f>
        <v xml:space="preserve">600 сеть молоко </v>
      </c>
      <c r="AA109" s="1">
        <f t="shared" si="32"/>
        <v>26.423076923076923</v>
      </c>
      <c r="AB109" s="1">
        <f t="shared" si="40"/>
        <v>7.1298076923076925</v>
      </c>
      <c r="AC109" s="1">
        <v>41.6</v>
      </c>
      <c r="AD109" s="1">
        <v>22.6</v>
      </c>
      <c r="AE109" s="1">
        <v>9.6</v>
      </c>
      <c r="AF109" s="1">
        <v>4.4000000000000004</v>
      </c>
      <c r="AG109" s="1">
        <v>25.8</v>
      </c>
      <c r="AH109" s="1">
        <v>24.4</v>
      </c>
      <c r="AI109" s="1">
        <v>2.2000000000000002</v>
      </c>
      <c r="AJ109" s="1">
        <v>12.4</v>
      </c>
      <c r="AK109" s="1" t="s">
        <v>266</v>
      </c>
      <c r="AL109" s="1">
        <f t="shared" si="41"/>
        <v>64</v>
      </c>
      <c r="AM109" s="1">
        <f t="shared" si="42"/>
        <v>0</v>
      </c>
      <c r="AN109" t="s">
        <v>267</v>
      </c>
    </row>
    <row r="110" spans="1:40" x14ac:dyDescent="0.25">
      <c r="A110" s="1" t="s">
        <v>268</v>
      </c>
      <c r="B110" s="1" t="s">
        <v>50</v>
      </c>
      <c r="C110" s="1">
        <v>135</v>
      </c>
      <c r="D110" s="1">
        <v>124</v>
      </c>
      <c r="E110" s="1">
        <v>81</v>
      </c>
      <c r="F110" s="1">
        <v>165</v>
      </c>
      <c r="G110" s="7">
        <v>0.17</v>
      </c>
      <c r="H110" s="1">
        <v>30</v>
      </c>
      <c r="I110" s="14" t="s">
        <v>54</v>
      </c>
      <c r="J110" s="1"/>
      <c r="K110" s="1">
        <v>93</v>
      </c>
      <c r="L110" s="1">
        <f t="shared" si="37"/>
        <v>-12</v>
      </c>
      <c r="M110" s="1">
        <f t="shared" si="38"/>
        <v>81</v>
      </c>
      <c r="N110" s="1"/>
      <c r="O110" s="1"/>
      <c r="P110" s="1"/>
      <c r="Q110" s="1">
        <v>0</v>
      </c>
      <c r="R110" s="1"/>
      <c r="S110" s="25"/>
      <c r="T110" s="1"/>
      <c r="U110" s="1">
        <f t="shared" si="39"/>
        <v>16.2</v>
      </c>
      <c r="V110" s="5">
        <f>12*U110-T110-Q110-P110-O110-F110</f>
        <v>29.399999999999977</v>
      </c>
      <c r="W110" s="5">
        <f>V110+500</f>
        <v>529.4</v>
      </c>
      <c r="X110" s="5">
        <f t="shared" si="36"/>
        <v>529.4</v>
      </c>
      <c r="Y110" s="5"/>
      <c r="Z110" s="1" t="str">
        <f>VLOOKUP(A110,[1]Sheet!$A:$U,21,0)</f>
        <v xml:space="preserve">500 сеть молоко </v>
      </c>
      <c r="AA110" s="1">
        <f t="shared" si="32"/>
        <v>42.864197530864196</v>
      </c>
      <c r="AB110" s="1">
        <f t="shared" si="40"/>
        <v>10.185185185185185</v>
      </c>
      <c r="AC110" s="1">
        <v>16.2</v>
      </c>
      <c r="AD110" s="1">
        <v>20.6</v>
      </c>
      <c r="AE110" s="1">
        <v>16</v>
      </c>
      <c r="AF110" s="1">
        <v>14.6</v>
      </c>
      <c r="AG110" s="1">
        <v>10.8</v>
      </c>
      <c r="AH110" s="1">
        <v>15.6</v>
      </c>
      <c r="AI110" s="1">
        <v>14</v>
      </c>
      <c r="AJ110" s="1">
        <v>2.4</v>
      </c>
      <c r="AK110" s="1" t="s">
        <v>248</v>
      </c>
      <c r="AL110" s="1">
        <f t="shared" si="41"/>
        <v>90</v>
      </c>
      <c r="AM110" s="1">
        <f t="shared" si="42"/>
        <v>0</v>
      </c>
      <c r="AN110" t="s">
        <v>269</v>
      </c>
    </row>
    <row r="111" spans="1:40" x14ac:dyDescent="0.25">
      <c r="A111" s="1" t="s">
        <v>270</v>
      </c>
      <c r="B111" s="1" t="s">
        <v>42</v>
      </c>
      <c r="C111" s="1">
        <v>168.83500000000001</v>
      </c>
      <c r="D111" s="1">
        <v>62.28</v>
      </c>
      <c r="E111" s="1">
        <v>213.87100000000001</v>
      </c>
      <c r="F111" s="1">
        <v>-14.114000000000001</v>
      </c>
      <c r="G111" s="7">
        <v>1</v>
      </c>
      <c r="H111" s="1">
        <v>40</v>
      </c>
      <c r="I111" s="15" t="s">
        <v>106</v>
      </c>
      <c r="J111" s="1"/>
      <c r="K111" s="1">
        <v>263.73399999999998</v>
      </c>
      <c r="L111" s="1">
        <f t="shared" si="37"/>
        <v>-49.862999999999971</v>
      </c>
      <c r="M111" s="1">
        <f t="shared" si="38"/>
        <v>213.87100000000001</v>
      </c>
      <c r="N111" s="1"/>
      <c r="O111" s="1">
        <v>110.25716</v>
      </c>
      <c r="P111" s="1"/>
      <c r="Q111" s="1">
        <v>236.92699999999999</v>
      </c>
      <c r="R111" s="1"/>
      <c r="S111" s="25"/>
      <c r="T111" s="1"/>
      <c r="U111" s="1">
        <f t="shared" si="39"/>
        <v>42.7742</v>
      </c>
      <c r="V111" s="5">
        <f>12*U111-T111-Q111-P111-O111-F111</f>
        <v>180.22023999999996</v>
      </c>
      <c r="W111" s="5">
        <f t="shared" ref="W111:X113" si="43">V111</f>
        <v>180.22023999999996</v>
      </c>
      <c r="X111" s="5">
        <f t="shared" si="43"/>
        <v>180.22023999999996</v>
      </c>
      <c r="Y111" s="5">
        <f>W111*0.5</f>
        <v>90.110119999999981</v>
      </c>
      <c r="Z111" s="1"/>
      <c r="AA111" s="1">
        <f t="shared" si="32"/>
        <v>14.106646529917565</v>
      </c>
      <c r="AB111" s="1">
        <f t="shared" si="40"/>
        <v>7.7867069401648656</v>
      </c>
      <c r="AC111" s="1">
        <v>42.7742</v>
      </c>
      <c r="AD111" s="1">
        <v>44.640799999999999</v>
      </c>
      <c r="AE111" s="1">
        <v>37.654600000000002</v>
      </c>
      <c r="AF111" s="1">
        <v>36.516399999999997</v>
      </c>
      <c r="AG111" s="1">
        <v>39.003799999999998</v>
      </c>
      <c r="AH111" s="1">
        <v>47.948999999999998</v>
      </c>
      <c r="AI111" s="1">
        <v>50.321599999999997</v>
      </c>
      <c r="AJ111" s="1">
        <v>34.956800000000001</v>
      </c>
      <c r="AK111" s="1"/>
      <c r="AL111" s="1">
        <f t="shared" si="41"/>
        <v>180</v>
      </c>
      <c r="AM111" s="1">
        <f t="shared" si="42"/>
        <v>90</v>
      </c>
      <c r="AN111" t="s">
        <v>271</v>
      </c>
    </row>
    <row r="112" spans="1:40" x14ac:dyDescent="0.25">
      <c r="A112" s="1" t="s">
        <v>272</v>
      </c>
      <c r="B112" s="1" t="s">
        <v>42</v>
      </c>
      <c r="C112" s="1">
        <v>149.86500000000001</v>
      </c>
      <c r="D112" s="1">
        <v>2.8340000000000001</v>
      </c>
      <c r="E112" s="1">
        <v>85.805000000000007</v>
      </c>
      <c r="F112" s="1">
        <v>50.616999999999997</v>
      </c>
      <c r="G112" s="7">
        <v>1</v>
      </c>
      <c r="H112" s="1">
        <v>40</v>
      </c>
      <c r="I112" s="15" t="s">
        <v>106</v>
      </c>
      <c r="J112" s="1"/>
      <c r="K112" s="1">
        <v>85.915000000000006</v>
      </c>
      <c r="L112" s="1">
        <f t="shared" si="37"/>
        <v>-0.10999999999999943</v>
      </c>
      <c r="M112" s="1">
        <f t="shared" si="38"/>
        <v>85.805000000000007</v>
      </c>
      <c r="N112" s="1"/>
      <c r="O112" s="1"/>
      <c r="P112" s="1"/>
      <c r="Q112" s="1">
        <v>104.5</v>
      </c>
      <c r="R112" s="1"/>
      <c r="S112" s="25"/>
      <c r="T112" s="1"/>
      <c r="U112" s="1">
        <f t="shared" si="39"/>
        <v>17.161000000000001</v>
      </c>
      <c r="V112" s="5">
        <f>12*U112-T112-Q112-P112-O112-F112</f>
        <v>50.815000000000019</v>
      </c>
      <c r="W112" s="5">
        <f t="shared" si="43"/>
        <v>50.815000000000019</v>
      </c>
      <c r="X112" s="5">
        <f t="shared" si="43"/>
        <v>50.815000000000019</v>
      </c>
      <c r="Y112" s="5">
        <f>W112*0.5</f>
        <v>25.40750000000001</v>
      </c>
      <c r="Z112" s="1"/>
      <c r="AA112" s="1">
        <f t="shared" si="32"/>
        <v>13.480537264728163</v>
      </c>
      <c r="AB112" s="1">
        <f t="shared" si="40"/>
        <v>9.0389254705436741</v>
      </c>
      <c r="AC112" s="1">
        <v>17.161000000000001</v>
      </c>
      <c r="AD112" s="1">
        <v>14.714</v>
      </c>
      <c r="AE112" s="1">
        <v>10.642200000000001</v>
      </c>
      <c r="AF112" s="1">
        <v>4.7026000000000003</v>
      </c>
      <c r="AG112" s="1">
        <v>14.215400000000001</v>
      </c>
      <c r="AH112" s="1">
        <v>21.378</v>
      </c>
      <c r="AI112" s="1">
        <v>13.5524</v>
      </c>
      <c r="AJ112" s="1">
        <v>5.1452</v>
      </c>
      <c r="AK112" s="1"/>
      <c r="AL112" s="1">
        <f t="shared" si="41"/>
        <v>51</v>
      </c>
      <c r="AM112" s="1">
        <f t="shared" si="42"/>
        <v>25</v>
      </c>
      <c r="AN112" t="s">
        <v>273</v>
      </c>
    </row>
    <row r="113" spans="1:41" x14ac:dyDescent="0.25">
      <c r="A113" s="1" t="s">
        <v>274</v>
      </c>
      <c r="B113" s="1" t="s">
        <v>42</v>
      </c>
      <c r="C113" s="1">
        <v>159.31</v>
      </c>
      <c r="D113" s="1">
        <v>158.161</v>
      </c>
      <c r="E113" s="1">
        <v>237.26599999999999</v>
      </c>
      <c r="F113" s="1">
        <v>2.621</v>
      </c>
      <c r="G113" s="7">
        <v>1</v>
      </c>
      <c r="H113" s="1">
        <v>40</v>
      </c>
      <c r="I113" s="15" t="s">
        <v>106</v>
      </c>
      <c r="J113" s="1"/>
      <c r="K113" s="1">
        <v>290.21800000000002</v>
      </c>
      <c r="L113" s="1">
        <f t="shared" si="37"/>
        <v>-52.952000000000027</v>
      </c>
      <c r="M113" s="1">
        <f t="shared" si="38"/>
        <v>216.15899999999999</v>
      </c>
      <c r="N113" s="1">
        <v>21.106999999999999</v>
      </c>
      <c r="O113" s="1">
        <v>114.212592</v>
      </c>
      <c r="P113" s="1">
        <v>-115.5</v>
      </c>
      <c r="Q113" s="1">
        <v>100</v>
      </c>
      <c r="R113" s="1">
        <v>-101.5</v>
      </c>
      <c r="S113" s="25"/>
      <c r="T113" s="1"/>
      <c r="U113" s="1">
        <f t="shared" si="39"/>
        <v>43.2318</v>
      </c>
      <c r="V113" s="5">
        <v>80</v>
      </c>
      <c r="W113" s="5">
        <f t="shared" si="43"/>
        <v>80</v>
      </c>
      <c r="X113" s="5">
        <f t="shared" si="43"/>
        <v>80</v>
      </c>
      <c r="Y113" s="5">
        <f>W113*0.5</f>
        <v>40</v>
      </c>
      <c r="Z113" s="1"/>
      <c r="AA113" s="1">
        <f t="shared" si="32"/>
        <v>2.7718853251541691</v>
      </c>
      <c r="AB113" s="1">
        <f t="shared" si="40"/>
        <v>2.3439595853052615</v>
      </c>
      <c r="AC113" s="1">
        <v>47.453200000000002</v>
      </c>
      <c r="AD113" s="1">
        <v>41.672199999999997</v>
      </c>
      <c r="AE113" s="1">
        <v>33.958799999999997</v>
      </c>
      <c r="AF113" s="1">
        <v>31.296800000000001</v>
      </c>
      <c r="AG113" s="1">
        <v>35.985399999999998</v>
      </c>
      <c r="AH113" s="1">
        <v>43.4876</v>
      </c>
      <c r="AI113" s="1">
        <v>38.700800000000001</v>
      </c>
      <c r="AJ113" s="1">
        <v>22.611000000000001</v>
      </c>
      <c r="AK113" s="1"/>
      <c r="AL113" s="1">
        <f t="shared" si="41"/>
        <v>80</v>
      </c>
      <c r="AM113" s="1">
        <f t="shared" si="42"/>
        <v>40</v>
      </c>
      <c r="AN113" t="s">
        <v>275</v>
      </c>
    </row>
    <row r="114" spans="1:41" x14ac:dyDescent="0.25">
      <c r="A114" s="1" t="s">
        <v>276</v>
      </c>
      <c r="B114" s="1" t="s">
        <v>50</v>
      </c>
      <c r="C114" s="1">
        <v>53</v>
      </c>
      <c r="D114" s="1">
        <v>6</v>
      </c>
      <c r="E114" s="1">
        <v>10</v>
      </c>
      <c r="F114" s="1">
        <v>11</v>
      </c>
      <c r="G114" s="7">
        <v>0.3</v>
      </c>
      <c r="H114" s="1">
        <v>45</v>
      </c>
      <c r="I114" s="1" t="s">
        <v>43</v>
      </c>
      <c r="J114" s="1"/>
      <c r="K114" s="1">
        <v>142</v>
      </c>
      <c r="L114" s="1">
        <f t="shared" si="37"/>
        <v>-132</v>
      </c>
      <c r="M114" s="1">
        <f t="shared" si="38"/>
        <v>10</v>
      </c>
      <c r="N114" s="1"/>
      <c r="O114" s="1"/>
      <c r="P114" s="1"/>
      <c r="Q114" s="1">
        <v>0</v>
      </c>
      <c r="R114" s="1"/>
      <c r="S114" s="25"/>
      <c r="T114" s="1"/>
      <c r="U114" s="1">
        <f t="shared" si="39"/>
        <v>2</v>
      </c>
      <c r="V114" s="5">
        <f>12*U114-T114-Q114-P114-O114-F114</f>
        <v>13</v>
      </c>
      <c r="W114" s="5">
        <f>V114</f>
        <v>13</v>
      </c>
      <c r="X114" s="5">
        <f>W114-Y114</f>
        <v>13</v>
      </c>
      <c r="Y114" s="5"/>
      <c r="Z114" s="1"/>
      <c r="AA114" s="1">
        <f t="shared" si="32"/>
        <v>12</v>
      </c>
      <c r="AB114" s="1">
        <f t="shared" si="40"/>
        <v>5.5</v>
      </c>
      <c r="AC114" s="1">
        <v>2</v>
      </c>
      <c r="AD114" s="1">
        <v>3.2</v>
      </c>
      <c r="AE114" s="1">
        <v>4</v>
      </c>
      <c r="AF114" s="1">
        <v>3.8</v>
      </c>
      <c r="AG114" s="1">
        <v>7.4</v>
      </c>
      <c r="AH114" s="1">
        <v>15.4</v>
      </c>
      <c r="AI114" s="1">
        <v>15.2</v>
      </c>
      <c r="AJ114" s="1">
        <v>5.8</v>
      </c>
      <c r="AK114" s="1"/>
      <c r="AL114" s="1">
        <f t="shared" si="41"/>
        <v>4</v>
      </c>
      <c r="AM114" s="1">
        <f t="shared" si="42"/>
        <v>0</v>
      </c>
      <c r="AN114" t="s">
        <v>277</v>
      </c>
    </row>
    <row r="115" spans="1:41" x14ac:dyDescent="0.25">
      <c r="A115" s="1" t="s">
        <v>278</v>
      </c>
      <c r="B115" s="1" t="s">
        <v>42</v>
      </c>
      <c r="C115" s="1">
        <v>22.251000000000001</v>
      </c>
      <c r="D115" s="1">
        <v>14.807</v>
      </c>
      <c r="E115" s="1">
        <v>2.76</v>
      </c>
      <c r="F115" s="1">
        <v>16.754999999999999</v>
      </c>
      <c r="G115" s="7">
        <v>1</v>
      </c>
      <c r="H115" s="1">
        <v>55</v>
      </c>
      <c r="I115" s="1" t="s">
        <v>43</v>
      </c>
      <c r="J115" s="1"/>
      <c r="K115" s="1">
        <v>18.899999999999999</v>
      </c>
      <c r="L115" s="1">
        <f t="shared" si="37"/>
        <v>-16.14</v>
      </c>
      <c r="M115" s="1">
        <f t="shared" si="38"/>
        <v>2.76</v>
      </c>
      <c r="N115" s="1"/>
      <c r="O115" s="1"/>
      <c r="P115" s="1"/>
      <c r="Q115" s="1">
        <v>0</v>
      </c>
      <c r="R115" s="1"/>
      <c r="S115" s="25"/>
      <c r="T115" s="1"/>
      <c r="U115" s="1">
        <f t="shared" si="39"/>
        <v>0.55199999999999994</v>
      </c>
      <c r="V115" s="5"/>
      <c r="W115" s="5">
        <f>V115</f>
        <v>0</v>
      </c>
      <c r="X115" s="5">
        <f>W115-Y115</f>
        <v>0</v>
      </c>
      <c r="Y115" s="5"/>
      <c r="Z115" s="1"/>
      <c r="AA115" s="1">
        <f t="shared" si="32"/>
        <v>30.353260869565219</v>
      </c>
      <c r="AB115" s="1">
        <f t="shared" si="40"/>
        <v>30.353260869565219</v>
      </c>
      <c r="AC115" s="1">
        <v>0.55199999999999994</v>
      </c>
      <c r="AD115" s="1">
        <v>0</v>
      </c>
      <c r="AE115" s="1">
        <v>0</v>
      </c>
      <c r="AF115" s="1">
        <v>0</v>
      </c>
      <c r="AG115" s="1">
        <v>0.82919999999999994</v>
      </c>
      <c r="AH115" s="1">
        <v>1.1052</v>
      </c>
      <c r="AI115" s="1">
        <v>0.27600000000000002</v>
      </c>
      <c r="AJ115" s="1">
        <v>0</v>
      </c>
      <c r="AK115" s="12" t="s">
        <v>99</v>
      </c>
      <c r="AL115" s="1">
        <f t="shared" si="41"/>
        <v>0</v>
      </c>
      <c r="AM115" s="1">
        <f t="shared" si="42"/>
        <v>0</v>
      </c>
      <c r="AN115" t="s">
        <v>279</v>
      </c>
    </row>
    <row r="116" spans="1:41" x14ac:dyDescent="0.25">
      <c r="A116" s="1" t="s">
        <v>280</v>
      </c>
      <c r="B116" s="1" t="s">
        <v>50</v>
      </c>
      <c r="C116" s="1">
        <v>309</v>
      </c>
      <c r="D116" s="1">
        <v>408</v>
      </c>
      <c r="E116" s="1">
        <v>383</v>
      </c>
      <c r="F116" s="1">
        <v>176</v>
      </c>
      <c r="G116" s="7">
        <v>0.28000000000000003</v>
      </c>
      <c r="H116" s="1">
        <v>40</v>
      </c>
      <c r="I116" s="15" t="s">
        <v>106</v>
      </c>
      <c r="J116" s="1"/>
      <c r="K116" s="1">
        <v>497</v>
      </c>
      <c r="L116" s="1">
        <f t="shared" si="37"/>
        <v>-114</v>
      </c>
      <c r="M116" s="1">
        <f t="shared" si="38"/>
        <v>383</v>
      </c>
      <c r="N116" s="1"/>
      <c r="O116" s="1"/>
      <c r="P116" s="1"/>
      <c r="Q116" s="1">
        <v>193.82813751085709</v>
      </c>
      <c r="R116" s="1"/>
      <c r="S116" s="25"/>
      <c r="T116" s="1">
        <v>240.76409906057151</v>
      </c>
      <c r="U116" s="1">
        <f t="shared" si="39"/>
        <v>76.599999999999994</v>
      </c>
      <c r="V116" s="5">
        <f>12*U116-T116-Q116-P116-O116-F116</f>
        <v>308.60776342857127</v>
      </c>
      <c r="W116" s="5">
        <f>V116</f>
        <v>308.60776342857127</v>
      </c>
      <c r="X116" s="5">
        <f>W116</f>
        <v>308.60776342857127</v>
      </c>
      <c r="Y116" s="5">
        <f>W116*0.5</f>
        <v>154.30388171428564</v>
      </c>
      <c r="Z116" s="1"/>
      <c r="AA116" s="1">
        <f t="shared" si="32"/>
        <v>14.014410988437151</v>
      </c>
      <c r="AB116" s="1">
        <f t="shared" si="40"/>
        <v>7.9711780231257015</v>
      </c>
      <c r="AC116" s="1">
        <v>78.2</v>
      </c>
      <c r="AD116" s="1">
        <v>70.2</v>
      </c>
      <c r="AE116" s="1">
        <v>72</v>
      </c>
      <c r="AF116" s="1">
        <v>68.400000000000006</v>
      </c>
      <c r="AG116" s="1">
        <v>58.2</v>
      </c>
      <c r="AH116" s="1">
        <v>83.8</v>
      </c>
      <c r="AI116" s="1">
        <v>89</v>
      </c>
      <c r="AJ116" s="1">
        <v>60.4</v>
      </c>
      <c r="AK116" s="1"/>
      <c r="AL116" s="1">
        <f t="shared" si="41"/>
        <v>86</v>
      </c>
      <c r="AM116" s="1">
        <f t="shared" si="42"/>
        <v>43</v>
      </c>
      <c r="AN116" t="s">
        <v>281</v>
      </c>
    </row>
    <row r="117" spans="1:41" x14ac:dyDescent="0.25">
      <c r="A117" s="1" t="s">
        <v>282</v>
      </c>
      <c r="B117" s="1" t="s">
        <v>50</v>
      </c>
      <c r="C117" s="1">
        <v>-15.273999999999999</v>
      </c>
      <c r="D117" s="1">
        <v>44</v>
      </c>
      <c r="E117" s="1">
        <v>114</v>
      </c>
      <c r="F117" s="1">
        <v>-3.274</v>
      </c>
      <c r="G117" s="7">
        <v>0.28000000000000003</v>
      </c>
      <c r="H117" s="1">
        <v>40</v>
      </c>
      <c r="I117" s="15" t="s">
        <v>106</v>
      </c>
      <c r="J117" s="1"/>
      <c r="K117" s="1">
        <v>213</v>
      </c>
      <c r="L117" s="1">
        <f t="shared" si="37"/>
        <v>-99</v>
      </c>
      <c r="M117" s="1">
        <f t="shared" si="38"/>
        <v>114</v>
      </c>
      <c r="N117" s="1"/>
      <c r="O117" s="1">
        <v>185.01599999999999</v>
      </c>
      <c r="P117" s="1">
        <v>-186</v>
      </c>
      <c r="Q117" s="1">
        <v>200</v>
      </c>
      <c r="R117" s="1">
        <v>-203.99999999999997</v>
      </c>
      <c r="S117" s="25"/>
      <c r="T117" s="1"/>
      <c r="U117" s="1">
        <f t="shared" si="39"/>
        <v>22.8</v>
      </c>
      <c r="V117" s="5">
        <v>150</v>
      </c>
      <c r="W117" s="5">
        <f>V117</f>
        <v>150</v>
      </c>
      <c r="X117" s="5">
        <f>W117</f>
        <v>150</v>
      </c>
      <c r="Y117" s="5">
        <f>W117*0.5</f>
        <v>75</v>
      </c>
      <c r="Z117" s="1"/>
      <c r="AA117" s="1">
        <f t="shared" si="32"/>
        <v>9.5062280701754371</v>
      </c>
      <c r="AB117" s="1">
        <f t="shared" si="40"/>
        <v>8.5851754385964902</v>
      </c>
      <c r="AC117" s="1">
        <v>22.8</v>
      </c>
      <c r="AD117" s="1">
        <v>68.2</v>
      </c>
      <c r="AE117" s="1">
        <v>81.8</v>
      </c>
      <c r="AF117" s="1">
        <v>56.2</v>
      </c>
      <c r="AG117" s="1">
        <v>63.6</v>
      </c>
      <c r="AH117" s="1">
        <v>109</v>
      </c>
      <c r="AI117" s="1">
        <v>91.4</v>
      </c>
      <c r="AJ117" s="1">
        <v>49.0548</v>
      </c>
      <c r="AK117" s="1"/>
      <c r="AL117" s="1">
        <f t="shared" si="41"/>
        <v>42</v>
      </c>
      <c r="AM117" s="1">
        <f t="shared" si="42"/>
        <v>21</v>
      </c>
      <c r="AN117" t="s">
        <v>283</v>
      </c>
    </row>
    <row r="118" spans="1:41" x14ac:dyDescent="0.25">
      <c r="A118" s="1" t="s">
        <v>284</v>
      </c>
      <c r="B118" s="1" t="s">
        <v>50</v>
      </c>
      <c r="C118" s="1">
        <v>534.5</v>
      </c>
      <c r="D118" s="1">
        <v>355</v>
      </c>
      <c r="E118" s="1">
        <v>546</v>
      </c>
      <c r="F118" s="1">
        <v>25.5</v>
      </c>
      <c r="G118" s="7">
        <v>0.28000000000000003</v>
      </c>
      <c r="H118" s="1">
        <v>40</v>
      </c>
      <c r="I118" s="15" t="s">
        <v>106</v>
      </c>
      <c r="J118" s="1"/>
      <c r="K118" s="1">
        <v>780</v>
      </c>
      <c r="L118" s="1">
        <f t="shared" si="37"/>
        <v>-234</v>
      </c>
      <c r="M118" s="1">
        <f t="shared" si="38"/>
        <v>546</v>
      </c>
      <c r="N118" s="1"/>
      <c r="O118" s="1">
        <v>130</v>
      </c>
      <c r="P118" s="1">
        <v>-132</v>
      </c>
      <c r="Q118" s="1">
        <v>250</v>
      </c>
      <c r="R118" s="1"/>
      <c r="S118" s="25"/>
      <c r="T118" s="1"/>
      <c r="U118" s="1">
        <f t="shared" si="39"/>
        <v>109.2</v>
      </c>
      <c r="V118" s="5">
        <v>250</v>
      </c>
      <c r="W118" s="5">
        <f>V118</f>
        <v>250</v>
      </c>
      <c r="X118" s="5">
        <f>W118</f>
        <v>250</v>
      </c>
      <c r="Y118" s="5">
        <f>W118*0.5</f>
        <v>125</v>
      </c>
      <c r="Z118" s="1"/>
      <c r="AA118" s="1">
        <f t="shared" si="32"/>
        <v>5.9386446886446889</v>
      </c>
      <c r="AB118" s="1">
        <f t="shared" si="40"/>
        <v>2.5045787545787546</v>
      </c>
      <c r="AC118" s="1">
        <v>110.4</v>
      </c>
      <c r="AD118" s="1">
        <v>107.2</v>
      </c>
      <c r="AE118" s="1">
        <v>111.6</v>
      </c>
      <c r="AF118" s="1">
        <v>111.6</v>
      </c>
      <c r="AG118" s="1">
        <v>95.6</v>
      </c>
      <c r="AH118" s="1">
        <v>123.2</v>
      </c>
      <c r="AI118" s="1">
        <v>137</v>
      </c>
      <c r="AJ118" s="1">
        <v>87.1</v>
      </c>
      <c r="AK118" s="1"/>
      <c r="AL118" s="1">
        <f t="shared" si="41"/>
        <v>70</v>
      </c>
      <c r="AM118" s="1">
        <f t="shared" si="42"/>
        <v>35</v>
      </c>
      <c r="AN118" t="s">
        <v>285</v>
      </c>
    </row>
    <row r="119" spans="1:41" x14ac:dyDescent="0.25">
      <c r="A119" s="1" t="s">
        <v>286</v>
      </c>
      <c r="B119" s="1" t="s">
        <v>50</v>
      </c>
      <c r="C119" s="1">
        <v>67</v>
      </c>
      <c r="D119" s="1">
        <v>182</v>
      </c>
      <c r="E119" s="1">
        <v>101</v>
      </c>
      <c r="F119" s="1">
        <v>22</v>
      </c>
      <c r="G119" s="7">
        <v>0.09</v>
      </c>
      <c r="H119" s="1">
        <v>45</v>
      </c>
      <c r="I119" s="14" t="s">
        <v>54</v>
      </c>
      <c r="J119" s="1"/>
      <c r="K119" s="1">
        <v>218</v>
      </c>
      <c r="L119" s="1">
        <f t="shared" si="37"/>
        <v>-117</v>
      </c>
      <c r="M119" s="1">
        <f t="shared" si="38"/>
        <v>101</v>
      </c>
      <c r="N119" s="1"/>
      <c r="O119" s="1"/>
      <c r="P119" s="1"/>
      <c r="Q119" s="1">
        <v>126.18</v>
      </c>
      <c r="R119" s="1"/>
      <c r="S119" s="25"/>
      <c r="T119" s="1"/>
      <c r="U119" s="1">
        <f t="shared" si="39"/>
        <v>20.2</v>
      </c>
      <c r="V119" s="5">
        <f>12*U119-T119-Q119-P119-O119-F119</f>
        <v>94.21999999999997</v>
      </c>
      <c r="W119" s="5">
        <f>V119+700</f>
        <v>794.22</v>
      </c>
      <c r="X119" s="5">
        <f t="shared" ref="X119:X128" si="44">W119-Y119</f>
        <v>794.22</v>
      </c>
      <c r="Y119" s="5"/>
      <c r="Z119" s="1" t="str">
        <f>VLOOKUP(A119,[1]Sheet!$A:$U,21,0)</f>
        <v xml:space="preserve">700 сеть молоко </v>
      </c>
      <c r="AA119" s="1">
        <f t="shared" si="32"/>
        <v>46.653465346534659</v>
      </c>
      <c r="AB119" s="1">
        <f t="shared" si="40"/>
        <v>7.3356435643564364</v>
      </c>
      <c r="AC119" s="1">
        <v>22.8</v>
      </c>
      <c r="AD119" s="1">
        <v>17.399999999999999</v>
      </c>
      <c r="AE119" s="1">
        <v>12.2</v>
      </c>
      <c r="AF119" s="1">
        <v>15.6</v>
      </c>
      <c r="AG119" s="1">
        <v>14.2</v>
      </c>
      <c r="AH119" s="1">
        <v>12.2</v>
      </c>
      <c r="AI119" s="1">
        <v>13.2</v>
      </c>
      <c r="AJ119" s="1">
        <v>5.4</v>
      </c>
      <c r="AK119" s="1" t="s">
        <v>287</v>
      </c>
      <c r="AL119" s="1">
        <f t="shared" si="41"/>
        <v>71</v>
      </c>
      <c r="AM119" s="1">
        <f t="shared" si="42"/>
        <v>0</v>
      </c>
      <c r="AN119" t="s">
        <v>288</v>
      </c>
    </row>
    <row r="120" spans="1:41" x14ac:dyDescent="0.25">
      <c r="A120" s="9" t="s">
        <v>289</v>
      </c>
      <c r="B120" s="9" t="s">
        <v>42</v>
      </c>
      <c r="C120" s="9">
        <v>-0.09</v>
      </c>
      <c r="D120" s="9"/>
      <c r="E120" s="9"/>
      <c r="F120" s="9">
        <v>-0.09</v>
      </c>
      <c r="G120" s="10">
        <v>0</v>
      </c>
      <c r="H120" s="9">
        <v>55</v>
      </c>
      <c r="I120" s="9" t="s">
        <v>67</v>
      </c>
      <c r="J120" s="9"/>
      <c r="K120" s="9"/>
      <c r="L120" s="9">
        <f t="shared" si="37"/>
        <v>0</v>
      </c>
      <c r="M120" s="9">
        <f t="shared" si="38"/>
        <v>0</v>
      </c>
      <c r="N120" s="9"/>
      <c r="O120" s="9"/>
      <c r="P120" s="9"/>
      <c r="Q120" s="9">
        <v>0</v>
      </c>
      <c r="R120" s="9"/>
      <c r="S120" s="28"/>
      <c r="T120" s="9"/>
      <c r="U120" s="9">
        <f t="shared" si="39"/>
        <v>0</v>
      </c>
      <c r="V120" s="11"/>
      <c r="W120" s="5">
        <f>V120</f>
        <v>0</v>
      </c>
      <c r="X120" s="5">
        <f t="shared" si="44"/>
        <v>0</v>
      </c>
      <c r="Y120" s="5"/>
      <c r="Z120" s="1"/>
      <c r="AA120" s="1" t="e">
        <f t="shared" si="32"/>
        <v>#DIV/0!</v>
      </c>
      <c r="AB120" s="9" t="e">
        <f t="shared" si="40"/>
        <v>#DIV/0!</v>
      </c>
      <c r="AC120" s="9">
        <v>0</v>
      </c>
      <c r="AD120" s="9">
        <v>0</v>
      </c>
      <c r="AE120" s="9">
        <v>2.1854</v>
      </c>
      <c r="AF120" s="9">
        <v>2.1854</v>
      </c>
      <c r="AG120" s="9">
        <v>1.3512</v>
      </c>
      <c r="AH120" s="9">
        <v>2.4342000000000001</v>
      </c>
      <c r="AI120" s="9">
        <v>1.6259999999999999</v>
      </c>
      <c r="AJ120" s="9">
        <v>1.085</v>
      </c>
      <c r="AK120" s="9"/>
      <c r="AL120" s="1">
        <f t="shared" si="41"/>
        <v>0</v>
      </c>
      <c r="AM120" s="1">
        <f t="shared" si="42"/>
        <v>0</v>
      </c>
    </row>
    <row r="121" spans="1:41" x14ac:dyDescent="0.25">
      <c r="A121" s="1" t="s">
        <v>290</v>
      </c>
      <c r="B121" s="1" t="s">
        <v>42</v>
      </c>
      <c r="C121" s="1">
        <v>125.17700000000001</v>
      </c>
      <c r="D121" s="1"/>
      <c r="E121" s="1">
        <v>27.283999999999999</v>
      </c>
      <c r="F121" s="1">
        <v>75.736000000000004</v>
      </c>
      <c r="G121" s="7">
        <v>1</v>
      </c>
      <c r="H121" s="1">
        <v>60</v>
      </c>
      <c r="I121" s="1" t="s">
        <v>43</v>
      </c>
      <c r="J121" s="1"/>
      <c r="K121" s="1">
        <v>42.5</v>
      </c>
      <c r="L121" s="1">
        <f t="shared" si="37"/>
        <v>-15.216000000000001</v>
      </c>
      <c r="M121" s="1">
        <f t="shared" si="38"/>
        <v>27.283999999999999</v>
      </c>
      <c r="N121" s="1"/>
      <c r="O121" s="1"/>
      <c r="P121" s="1"/>
      <c r="Q121" s="1">
        <v>0</v>
      </c>
      <c r="R121" s="1"/>
      <c r="S121" s="25"/>
      <c r="T121" s="1"/>
      <c r="U121" s="1">
        <f t="shared" si="39"/>
        <v>5.4567999999999994</v>
      </c>
      <c r="V121" s="5"/>
      <c r="W121" s="5">
        <f>V121</f>
        <v>0</v>
      </c>
      <c r="X121" s="5">
        <f t="shared" si="44"/>
        <v>0</v>
      </c>
      <c r="Y121" s="5"/>
      <c r="Z121" s="1"/>
      <c r="AA121" s="1">
        <f t="shared" si="32"/>
        <v>13.87919659873919</v>
      </c>
      <c r="AB121" s="1">
        <f t="shared" si="40"/>
        <v>13.87919659873919</v>
      </c>
      <c r="AC121" s="1">
        <v>5.4567999999999994</v>
      </c>
      <c r="AD121" s="1">
        <v>8.9201999999999995</v>
      </c>
      <c r="AE121" s="1">
        <v>6.9382000000000001</v>
      </c>
      <c r="AF121" s="1">
        <v>6.2747999999999999</v>
      </c>
      <c r="AG121" s="1">
        <v>10.271599999999999</v>
      </c>
      <c r="AH121" s="1">
        <v>16.718</v>
      </c>
      <c r="AI121" s="1">
        <v>14.504</v>
      </c>
      <c r="AJ121" s="1">
        <v>5.6520000000000001</v>
      </c>
      <c r="AK121" s="12" t="s">
        <v>99</v>
      </c>
      <c r="AL121" s="1">
        <f t="shared" si="41"/>
        <v>0</v>
      </c>
      <c r="AM121" s="1">
        <f t="shared" si="42"/>
        <v>0</v>
      </c>
      <c r="AN121" t="s">
        <v>291</v>
      </c>
    </row>
    <row r="122" spans="1:41" x14ac:dyDescent="0.25">
      <c r="A122" s="1" t="s">
        <v>292</v>
      </c>
      <c r="B122" s="1" t="s">
        <v>42</v>
      </c>
      <c r="C122" s="1">
        <v>41.155999999999999</v>
      </c>
      <c r="D122" s="1"/>
      <c r="E122" s="1">
        <v>12.425000000000001</v>
      </c>
      <c r="F122" s="1">
        <v>33.710999999999999</v>
      </c>
      <c r="G122" s="7">
        <v>1</v>
      </c>
      <c r="H122" s="1">
        <v>50</v>
      </c>
      <c r="I122" s="1" t="s">
        <v>43</v>
      </c>
      <c r="J122" s="1"/>
      <c r="K122" s="1">
        <v>2.5</v>
      </c>
      <c r="L122" s="1">
        <f t="shared" si="37"/>
        <v>9.9250000000000007</v>
      </c>
      <c r="M122" s="1">
        <f t="shared" si="38"/>
        <v>12.425000000000001</v>
      </c>
      <c r="N122" s="1"/>
      <c r="O122" s="1"/>
      <c r="P122" s="1"/>
      <c r="Q122" s="1">
        <v>0</v>
      </c>
      <c r="R122" s="1"/>
      <c r="S122" s="25"/>
      <c r="T122" s="1"/>
      <c r="U122" s="1">
        <f t="shared" si="39"/>
        <v>2.4850000000000003</v>
      </c>
      <c r="V122" s="5"/>
      <c r="W122" s="5">
        <f>V122</f>
        <v>0</v>
      </c>
      <c r="X122" s="5">
        <f t="shared" si="44"/>
        <v>0</v>
      </c>
      <c r="Y122" s="5"/>
      <c r="Z122" s="1"/>
      <c r="AA122" s="1">
        <f t="shared" si="32"/>
        <v>13.565794768611667</v>
      </c>
      <c r="AB122" s="1">
        <f t="shared" si="40"/>
        <v>13.565794768611667</v>
      </c>
      <c r="AC122" s="1">
        <v>2.4849999999999999</v>
      </c>
      <c r="AD122" s="1">
        <v>3.984</v>
      </c>
      <c r="AE122" s="1">
        <v>3.3889999999999998</v>
      </c>
      <c r="AF122" s="1">
        <v>4.8133999999999997</v>
      </c>
      <c r="AG122" s="1">
        <v>2.9209999999999998</v>
      </c>
      <c r="AH122" s="1">
        <v>5.9039999999999999</v>
      </c>
      <c r="AI122" s="1">
        <v>10.317399999999999</v>
      </c>
      <c r="AJ122" s="1">
        <v>4.4803999999999977</v>
      </c>
      <c r="AK122" s="1"/>
      <c r="AL122" s="1">
        <f t="shared" si="41"/>
        <v>0</v>
      </c>
      <c r="AM122" s="1">
        <f t="shared" si="42"/>
        <v>0</v>
      </c>
      <c r="AN122" t="s">
        <v>293</v>
      </c>
    </row>
    <row r="123" spans="1:41" x14ac:dyDescent="0.25">
      <c r="A123" s="1" t="s">
        <v>294</v>
      </c>
      <c r="B123" s="1" t="s">
        <v>50</v>
      </c>
      <c r="C123" s="1">
        <v>352</v>
      </c>
      <c r="D123" s="1">
        <v>15</v>
      </c>
      <c r="E123" s="1">
        <v>55</v>
      </c>
      <c r="F123" s="1">
        <v>250</v>
      </c>
      <c r="G123" s="7">
        <v>0.09</v>
      </c>
      <c r="H123" s="1">
        <v>45</v>
      </c>
      <c r="I123" s="14" t="s">
        <v>54</v>
      </c>
      <c r="J123" s="1"/>
      <c r="K123" s="1">
        <v>120</v>
      </c>
      <c r="L123" s="1">
        <f t="shared" si="37"/>
        <v>-65</v>
      </c>
      <c r="M123" s="1">
        <f t="shared" si="38"/>
        <v>55</v>
      </c>
      <c r="N123" s="1"/>
      <c r="O123" s="1"/>
      <c r="P123" s="1"/>
      <c r="Q123" s="1">
        <v>0</v>
      </c>
      <c r="R123" s="1"/>
      <c r="S123" s="25"/>
      <c r="T123" s="1"/>
      <c r="U123" s="1">
        <f t="shared" si="39"/>
        <v>11</v>
      </c>
      <c r="V123" s="5"/>
      <c r="W123" s="5">
        <f>V123+400</f>
        <v>400</v>
      </c>
      <c r="X123" s="5">
        <f t="shared" si="44"/>
        <v>400</v>
      </c>
      <c r="Y123" s="5"/>
      <c r="Z123" s="1" t="str">
        <f>VLOOKUP(A123,[1]Sheet!$A:$U,21,0)</f>
        <v xml:space="preserve">500 сеть молоко </v>
      </c>
      <c r="AA123" s="1">
        <f t="shared" si="32"/>
        <v>59.090909090909093</v>
      </c>
      <c r="AB123" s="1">
        <f t="shared" si="40"/>
        <v>22.727272727272727</v>
      </c>
      <c r="AC123" s="1">
        <v>11</v>
      </c>
      <c r="AD123" s="1">
        <v>11.2</v>
      </c>
      <c r="AE123" s="1">
        <v>16.2</v>
      </c>
      <c r="AF123" s="1">
        <v>19.399999999999999</v>
      </c>
      <c r="AG123" s="1">
        <v>14.4</v>
      </c>
      <c r="AH123" s="1">
        <v>11.6</v>
      </c>
      <c r="AI123" s="1">
        <v>13.8</v>
      </c>
      <c r="AJ123" s="1">
        <v>8.8000000000000007</v>
      </c>
      <c r="AK123" s="17" t="s">
        <v>295</v>
      </c>
      <c r="AL123" s="1">
        <f t="shared" si="41"/>
        <v>36</v>
      </c>
      <c r="AM123" s="1">
        <f t="shared" si="42"/>
        <v>0</v>
      </c>
      <c r="AN123" t="s">
        <v>296</v>
      </c>
    </row>
    <row r="124" spans="1:41" x14ac:dyDescent="0.25">
      <c r="A124" s="1" t="s">
        <v>297</v>
      </c>
      <c r="B124" s="1" t="s">
        <v>50</v>
      </c>
      <c r="C124" s="1">
        <v>298</v>
      </c>
      <c r="D124" s="1">
        <v>59</v>
      </c>
      <c r="E124" s="1">
        <v>82</v>
      </c>
      <c r="F124" s="1">
        <v>239</v>
      </c>
      <c r="G124" s="7">
        <v>0.09</v>
      </c>
      <c r="H124" s="1">
        <v>45</v>
      </c>
      <c r="I124" s="14" t="s">
        <v>54</v>
      </c>
      <c r="J124" s="1"/>
      <c r="K124" s="1">
        <v>110</v>
      </c>
      <c r="L124" s="1">
        <f t="shared" si="37"/>
        <v>-28</v>
      </c>
      <c r="M124" s="1">
        <f t="shared" si="38"/>
        <v>82</v>
      </c>
      <c r="N124" s="1"/>
      <c r="O124" s="1"/>
      <c r="P124" s="1"/>
      <c r="Q124" s="1">
        <v>0</v>
      </c>
      <c r="R124" s="1"/>
      <c r="S124" s="25"/>
      <c r="T124" s="1"/>
      <c r="U124" s="1">
        <f t="shared" si="39"/>
        <v>16.399999999999999</v>
      </c>
      <c r="V124" s="5"/>
      <c r="W124" s="5">
        <f>V124+500</f>
        <v>500</v>
      </c>
      <c r="X124" s="5">
        <f t="shared" si="44"/>
        <v>500</v>
      </c>
      <c r="Y124" s="5"/>
      <c r="Z124" s="1" t="str">
        <f>VLOOKUP(A124,[1]Sheet!$A:$U,21,0)</f>
        <v xml:space="preserve">500 сеть молоко </v>
      </c>
      <c r="AA124" s="1">
        <f t="shared" si="32"/>
        <v>45.060975609756099</v>
      </c>
      <c r="AB124" s="1">
        <f t="shared" si="40"/>
        <v>14.573170731707318</v>
      </c>
      <c r="AC124" s="1">
        <v>16.399999999999999</v>
      </c>
      <c r="AD124" s="1">
        <v>18.8</v>
      </c>
      <c r="AE124" s="1">
        <v>15.4</v>
      </c>
      <c r="AF124" s="1">
        <v>16.2</v>
      </c>
      <c r="AG124" s="1">
        <v>9</v>
      </c>
      <c r="AH124" s="1">
        <v>10.199999999999999</v>
      </c>
      <c r="AI124" s="1">
        <v>17.399999999999999</v>
      </c>
      <c r="AJ124" s="1">
        <v>9.8000000000000007</v>
      </c>
      <c r="AK124" s="1" t="s">
        <v>248</v>
      </c>
      <c r="AL124" s="1">
        <f t="shared" si="41"/>
        <v>45</v>
      </c>
      <c r="AM124" s="1">
        <f t="shared" si="42"/>
        <v>0</v>
      </c>
      <c r="AN124" t="s">
        <v>298</v>
      </c>
    </row>
    <row r="125" spans="1:41" x14ac:dyDescent="0.25">
      <c r="A125" s="1" t="s">
        <v>299</v>
      </c>
      <c r="B125" s="1" t="s">
        <v>42</v>
      </c>
      <c r="C125" s="1">
        <v>32.576000000000001</v>
      </c>
      <c r="D125" s="1">
        <v>244.29300000000001</v>
      </c>
      <c r="E125" s="1">
        <v>77.186999999999998</v>
      </c>
      <c r="F125" s="1">
        <v>169.49</v>
      </c>
      <c r="G125" s="7">
        <v>1</v>
      </c>
      <c r="H125" s="1">
        <v>60</v>
      </c>
      <c r="I125" s="1" t="s">
        <v>43</v>
      </c>
      <c r="J125" s="1"/>
      <c r="K125" s="1">
        <v>98.882000000000005</v>
      </c>
      <c r="L125" s="1">
        <f t="shared" si="37"/>
        <v>-21.695000000000007</v>
      </c>
      <c r="M125" s="1">
        <f t="shared" si="38"/>
        <v>77.186999999999998</v>
      </c>
      <c r="N125" s="1"/>
      <c r="O125" s="1"/>
      <c r="P125" s="1"/>
      <c r="Q125" s="1">
        <v>150</v>
      </c>
      <c r="R125" s="1"/>
      <c r="S125" s="25"/>
      <c r="T125" s="1"/>
      <c r="U125" s="1">
        <f t="shared" si="39"/>
        <v>15.4374</v>
      </c>
      <c r="V125" s="5"/>
      <c r="W125" s="5">
        <f>V125</f>
        <v>0</v>
      </c>
      <c r="X125" s="5">
        <f t="shared" si="44"/>
        <v>0</v>
      </c>
      <c r="Y125" s="5"/>
      <c r="Z125" s="1"/>
      <c r="AA125" s="1">
        <f t="shared" si="32"/>
        <v>20.695842564162358</v>
      </c>
      <c r="AB125" s="1">
        <f t="shared" si="40"/>
        <v>20.695842564162358</v>
      </c>
      <c r="AC125" s="1">
        <v>15.4374</v>
      </c>
      <c r="AD125" s="1">
        <v>20.627600000000001</v>
      </c>
      <c r="AE125" s="1">
        <v>16.761399999999998</v>
      </c>
      <c r="AF125" s="1">
        <v>9.4372000000000007</v>
      </c>
      <c r="AG125" s="1">
        <v>6.8977999999999993</v>
      </c>
      <c r="AH125" s="1">
        <v>9.4394000000000009</v>
      </c>
      <c r="AI125" s="1">
        <v>15.491400000000001</v>
      </c>
      <c r="AJ125" s="1">
        <v>11.78399999999999</v>
      </c>
      <c r="AK125" s="17" t="s">
        <v>300</v>
      </c>
      <c r="AL125" s="1">
        <f t="shared" si="41"/>
        <v>0</v>
      </c>
      <c r="AM125" s="1">
        <f t="shared" si="42"/>
        <v>0</v>
      </c>
      <c r="AN125" t="s">
        <v>301</v>
      </c>
    </row>
    <row r="126" spans="1:41" x14ac:dyDescent="0.25">
      <c r="A126" s="1" t="s">
        <v>302</v>
      </c>
      <c r="B126" s="1" t="s">
        <v>42</v>
      </c>
      <c r="C126" s="1">
        <v>434.37</v>
      </c>
      <c r="D126" s="1">
        <v>1002.655</v>
      </c>
      <c r="E126" s="1">
        <v>648.61900000000003</v>
      </c>
      <c r="F126" s="1">
        <v>766.62599999999998</v>
      </c>
      <c r="G126" s="7">
        <v>1</v>
      </c>
      <c r="H126" s="1">
        <v>60</v>
      </c>
      <c r="I126" s="1" t="s">
        <v>43</v>
      </c>
      <c r="J126" s="1"/>
      <c r="K126" s="1">
        <v>701.15800000000002</v>
      </c>
      <c r="L126" s="1">
        <f t="shared" si="37"/>
        <v>-52.538999999999987</v>
      </c>
      <c r="M126" s="1">
        <f t="shared" si="38"/>
        <v>648.61900000000003</v>
      </c>
      <c r="N126" s="1"/>
      <c r="O126" s="1">
        <v>359.30493247999999</v>
      </c>
      <c r="P126" s="1"/>
      <c r="Q126" s="1">
        <v>400</v>
      </c>
      <c r="R126" s="1"/>
      <c r="S126" s="25"/>
      <c r="T126" s="1"/>
      <c r="U126" s="1">
        <f t="shared" si="39"/>
        <v>129.72380000000001</v>
      </c>
      <c r="V126" s="5">
        <f>12*U126-T126-Q126-P126-O126-F126</f>
        <v>30.754667520000339</v>
      </c>
      <c r="W126" s="5">
        <v>0</v>
      </c>
      <c r="X126" s="5">
        <f t="shared" si="44"/>
        <v>0</v>
      </c>
      <c r="Y126" s="5"/>
      <c r="Z126" s="1"/>
      <c r="AA126" s="1">
        <f t="shared" si="32"/>
        <v>11.762921934756767</v>
      </c>
      <c r="AB126" s="1">
        <f t="shared" si="40"/>
        <v>11.762921934756767</v>
      </c>
      <c r="AC126" s="1">
        <v>131.09280000000001</v>
      </c>
      <c r="AD126" s="1">
        <v>145.64699999999999</v>
      </c>
      <c r="AE126" s="1">
        <v>115.8732</v>
      </c>
      <c r="AF126" s="1">
        <v>76.514800000000008</v>
      </c>
      <c r="AG126" s="1">
        <v>92.683799999999991</v>
      </c>
      <c r="AH126" s="1">
        <v>121.5682</v>
      </c>
      <c r="AI126" s="1">
        <v>123.7212</v>
      </c>
      <c r="AJ126" s="1">
        <v>82.874800000000008</v>
      </c>
      <c r="AK126" s="1"/>
      <c r="AL126" s="1">
        <f t="shared" si="41"/>
        <v>0</v>
      </c>
      <c r="AM126" s="1">
        <f t="shared" si="42"/>
        <v>0</v>
      </c>
      <c r="AN126" t="s">
        <v>303</v>
      </c>
    </row>
    <row r="127" spans="1:41" x14ac:dyDescent="0.25">
      <c r="A127" s="1" t="s">
        <v>304</v>
      </c>
      <c r="B127" s="1" t="s">
        <v>42</v>
      </c>
      <c r="C127" s="1">
        <v>193.464</v>
      </c>
      <c r="D127" s="1">
        <v>2.73</v>
      </c>
      <c r="E127" s="1">
        <v>46.12</v>
      </c>
      <c r="F127" s="1">
        <v>132.01900000000001</v>
      </c>
      <c r="G127" s="7">
        <v>1</v>
      </c>
      <c r="H127" s="1">
        <v>60</v>
      </c>
      <c r="I127" s="1" t="s">
        <v>43</v>
      </c>
      <c r="J127" s="1"/>
      <c r="K127" s="1">
        <v>54.67</v>
      </c>
      <c r="L127" s="1">
        <f t="shared" si="37"/>
        <v>-8.5500000000000043</v>
      </c>
      <c r="M127" s="1">
        <f t="shared" si="38"/>
        <v>46.12</v>
      </c>
      <c r="N127" s="1"/>
      <c r="O127" s="1"/>
      <c r="P127" s="1"/>
      <c r="Q127" s="1">
        <v>0</v>
      </c>
      <c r="R127" s="1"/>
      <c r="S127" s="25"/>
      <c r="T127" s="1"/>
      <c r="U127" s="1">
        <f t="shared" si="39"/>
        <v>9.2240000000000002</v>
      </c>
      <c r="V127" s="5"/>
      <c r="W127" s="5">
        <f>V127</f>
        <v>0</v>
      </c>
      <c r="X127" s="5">
        <f t="shared" si="44"/>
        <v>0</v>
      </c>
      <c r="Y127" s="5"/>
      <c r="Z127" s="1"/>
      <c r="AA127" s="1">
        <f t="shared" si="32"/>
        <v>14.31255420641804</v>
      </c>
      <c r="AB127" s="1">
        <f t="shared" si="40"/>
        <v>14.31255420641804</v>
      </c>
      <c r="AC127" s="1">
        <v>9.2240000000000002</v>
      </c>
      <c r="AD127" s="1">
        <v>16.507400000000001</v>
      </c>
      <c r="AE127" s="1">
        <v>16.0214</v>
      </c>
      <c r="AF127" s="1">
        <v>12.3848</v>
      </c>
      <c r="AG127" s="1">
        <v>9.4190000000000005</v>
      </c>
      <c r="AH127" s="1">
        <v>12.1662</v>
      </c>
      <c r="AI127" s="1">
        <v>14.089600000000001</v>
      </c>
      <c r="AJ127" s="1">
        <v>13.230600000000001</v>
      </c>
      <c r="AK127" s="1" t="s">
        <v>305</v>
      </c>
      <c r="AL127" s="1">
        <f t="shared" si="41"/>
        <v>0</v>
      </c>
      <c r="AM127" s="1">
        <f t="shared" si="42"/>
        <v>0</v>
      </c>
      <c r="AN127" t="s">
        <v>306</v>
      </c>
    </row>
    <row r="128" spans="1:41" x14ac:dyDescent="0.25">
      <c r="A128" s="23" t="s">
        <v>77</v>
      </c>
      <c r="B128" s="1" t="s">
        <v>42</v>
      </c>
      <c r="C128" s="1">
        <v>1845.1659999999999</v>
      </c>
      <c r="D128" s="1">
        <v>996.54700000000003</v>
      </c>
      <c r="E128" s="13">
        <f>1306.53+E19</f>
        <v>1308.2850000000001</v>
      </c>
      <c r="F128" s="13">
        <f>1441.45+F19</f>
        <v>1413.9570000000001</v>
      </c>
      <c r="G128" s="7">
        <v>1</v>
      </c>
      <c r="H128" s="1">
        <v>60</v>
      </c>
      <c r="I128" s="1" t="s">
        <v>43</v>
      </c>
      <c r="J128" s="1"/>
      <c r="K128" s="1">
        <v>1006.999</v>
      </c>
      <c r="L128" s="1">
        <f t="shared" si="37"/>
        <v>301.28600000000006</v>
      </c>
      <c r="M128" s="1">
        <f t="shared" si="38"/>
        <v>1308.2850000000001</v>
      </c>
      <c r="N128" s="1"/>
      <c r="O128" s="1">
        <v>698.08860160000006</v>
      </c>
      <c r="P128" s="1"/>
      <c r="Q128" s="1">
        <v>291.82695192000011</v>
      </c>
      <c r="R128" s="1"/>
      <c r="S128" s="25">
        <v>200</v>
      </c>
      <c r="T128" s="1">
        <v>362.49356808000022</v>
      </c>
      <c r="U128" s="1">
        <f t="shared" si="39"/>
        <v>261.65700000000004</v>
      </c>
      <c r="V128" s="5">
        <f>12*U128-T128-Q128-P128-O128-F128</f>
        <v>373.51787839999974</v>
      </c>
      <c r="W128" s="5">
        <f>V128+$W$1*U128</f>
        <v>629.94173839999985</v>
      </c>
      <c r="X128" s="5">
        <f t="shared" si="44"/>
        <v>629.94173839999985</v>
      </c>
      <c r="Y128" s="5"/>
      <c r="Z128" s="1"/>
      <c r="AA128" s="1">
        <f t="shared" si="32"/>
        <v>13.744359447673864</v>
      </c>
      <c r="AB128" s="1">
        <f t="shared" si="40"/>
        <v>10.572490403849317</v>
      </c>
      <c r="AC128" s="1">
        <v>263.20299999999997</v>
      </c>
      <c r="AD128" s="1">
        <v>260.8614</v>
      </c>
      <c r="AE128" s="1">
        <v>157.86420000000001</v>
      </c>
      <c r="AF128" s="1">
        <v>170.6746</v>
      </c>
      <c r="AG128" s="1">
        <v>196.4392</v>
      </c>
      <c r="AH128" s="1">
        <v>182.04040000000001</v>
      </c>
      <c r="AI128" s="1">
        <v>202.87360000000001</v>
      </c>
      <c r="AJ128" s="1">
        <v>154.0368</v>
      </c>
      <c r="AK128" s="1"/>
      <c r="AL128" s="1">
        <f t="shared" si="41"/>
        <v>630</v>
      </c>
      <c r="AM128" s="1">
        <f t="shared" si="42"/>
        <v>0</v>
      </c>
      <c r="AN128" t="s">
        <v>78</v>
      </c>
      <c r="AO128" t="str">
        <f>VLOOKUP(AN128,[2]Лист1!$A:$A,1,0)</f>
        <v>SU004238</v>
      </c>
    </row>
    <row r="129" spans="1:40" x14ac:dyDescent="0.25">
      <c r="A129" s="1" t="s">
        <v>307</v>
      </c>
      <c r="B129" s="1" t="s">
        <v>50</v>
      </c>
      <c r="C129" s="1">
        <v>59</v>
      </c>
      <c r="D129" s="1">
        <v>2</v>
      </c>
      <c r="E129" s="1">
        <v>31</v>
      </c>
      <c r="F129" s="1">
        <v>39</v>
      </c>
      <c r="G129" s="7">
        <v>0.25</v>
      </c>
      <c r="H129" s="1"/>
      <c r="I129" s="15" t="s">
        <v>106</v>
      </c>
      <c r="J129" s="1"/>
      <c r="K129" s="1">
        <v>19</v>
      </c>
      <c r="L129" s="1">
        <f t="shared" si="37"/>
        <v>12</v>
      </c>
      <c r="M129" s="1">
        <f t="shared" si="38"/>
        <v>31</v>
      </c>
      <c r="N129" s="1"/>
      <c r="O129" s="1"/>
      <c r="P129" s="1"/>
      <c r="Q129" s="1">
        <v>28.2</v>
      </c>
      <c r="R129" s="1"/>
      <c r="S129" s="25"/>
      <c r="T129" s="1"/>
      <c r="U129" s="1">
        <f t="shared" si="39"/>
        <v>6.2</v>
      </c>
      <c r="V129" s="5">
        <v>20</v>
      </c>
      <c r="W129" s="5">
        <f>V129</f>
        <v>20</v>
      </c>
      <c r="X129" s="5">
        <f>W129</f>
        <v>20</v>
      </c>
      <c r="Y129" s="5">
        <f>W129*0.5</f>
        <v>10</v>
      </c>
      <c r="Z129" s="1"/>
      <c r="AA129" s="1">
        <f t="shared" si="32"/>
        <v>15.67741935483871</v>
      </c>
      <c r="AB129" s="1">
        <f t="shared" si="40"/>
        <v>10.838709677419356</v>
      </c>
      <c r="AC129" s="1">
        <v>6.2</v>
      </c>
      <c r="AD129" s="1">
        <v>10.4</v>
      </c>
      <c r="AE129" s="1">
        <v>8.8000000000000007</v>
      </c>
      <c r="AF129" s="1">
        <v>18.600000000000001</v>
      </c>
      <c r="AG129" s="1">
        <v>16.2</v>
      </c>
      <c r="AH129" s="1">
        <v>0</v>
      </c>
      <c r="AI129" s="1">
        <v>0</v>
      </c>
      <c r="AJ129" s="1">
        <v>0</v>
      </c>
      <c r="AK129" s="1" t="s">
        <v>308</v>
      </c>
      <c r="AL129" s="1">
        <f t="shared" si="41"/>
        <v>5</v>
      </c>
      <c r="AM129" s="1">
        <f t="shared" si="42"/>
        <v>3</v>
      </c>
      <c r="AN129" t="s">
        <v>309</v>
      </c>
    </row>
    <row r="130" spans="1:40" x14ac:dyDescent="0.25">
      <c r="A130" s="1" t="s">
        <v>310</v>
      </c>
      <c r="B130" s="1" t="s">
        <v>50</v>
      </c>
      <c r="C130" s="1">
        <v>52</v>
      </c>
      <c r="D130" s="1">
        <v>12</v>
      </c>
      <c r="E130" s="13">
        <f>20+E137</f>
        <v>38</v>
      </c>
      <c r="F130" s="13">
        <f>55+F137</f>
        <v>95</v>
      </c>
      <c r="G130" s="7">
        <v>0.32500000000000001</v>
      </c>
      <c r="H130" s="1"/>
      <c r="I130" s="1" t="s">
        <v>43</v>
      </c>
      <c r="J130" s="1"/>
      <c r="K130" s="1">
        <v>9</v>
      </c>
      <c r="L130" s="1">
        <f t="shared" si="37"/>
        <v>29</v>
      </c>
      <c r="M130" s="1">
        <f t="shared" si="38"/>
        <v>38</v>
      </c>
      <c r="N130" s="1"/>
      <c r="O130" s="1"/>
      <c r="P130" s="1"/>
      <c r="Q130" s="1">
        <v>0</v>
      </c>
      <c r="R130" s="1"/>
      <c r="S130" s="25"/>
      <c r="T130" s="1"/>
      <c r="U130" s="1">
        <f t="shared" si="39"/>
        <v>7.6</v>
      </c>
      <c r="V130" s="5"/>
      <c r="W130" s="5">
        <f t="shared" ref="W130:W137" si="45">V130</f>
        <v>0</v>
      </c>
      <c r="X130" s="5">
        <f>W130-Y130</f>
        <v>0</v>
      </c>
      <c r="Y130" s="5"/>
      <c r="Z130" s="1"/>
      <c r="AA130" s="1">
        <f t="shared" si="32"/>
        <v>12.5</v>
      </c>
      <c r="AB130" s="1">
        <f t="shared" si="40"/>
        <v>12.5</v>
      </c>
      <c r="AC130" s="1">
        <v>7.6</v>
      </c>
      <c r="AD130" s="1">
        <v>5.2</v>
      </c>
      <c r="AE130" s="1">
        <v>5.2</v>
      </c>
      <c r="AF130" s="1">
        <v>10.199999999999999</v>
      </c>
      <c r="AG130" s="1">
        <v>9.8000000000000007</v>
      </c>
      <c r="AH130" s="1">
        <v>0</v>
      </c>
      <c r="AI130" s="1">
        <v>0</v>
      </c>
      <c r="AJ130" s="1">
        <v>0</v>
      </c>
      <c r="AK130" s="1" t="s">
        <v>308</v>
      </c>
      <c r="AL130" s="1">
        <f t="shared" si="41"/>
        <v>0</v>
      </c>
      <c r="AM130" s="1">
        <f t="shared" si="42"/>
        <v>0</v>
      </c>
      <c r="AN130" t="s">
        <v>311</v>
      </c>
    </row>
    <row r="131" spans="1:40" x14ac:dyDescent="0.25">
      <c r="A131" s="1" t="s">
        <v>312</v>
      </c>
      <c r="B131" s="1" t="s">
        <v>50</v>
      </c>
      <c r="C131" s="1">
        <v>95</v>
      </c>
      <c r="D131" s="1">
        <v>36</v>
      </c>
      <c r="E131" s="1">
        <v>31</v>
      </c>
      <c r="F131" s="1">
        <v>103</v>
      </c>
      <c r="G131" s="7">
        <v>0.25</v>
      </c>
      <c r="H131" s="1"/>
      <c r="I131" s="1" t="s">
        <v>43</v>
      </c>
      <c r="J131" s="1"/>
      <c r="K131" s="1">
        <v>20</v>
      </c>
      <c r="L131" s="1">
        <f t="shared" si="37"/>
        <v>11</v>
      </c>
      <c r="M131" s="1">
        <f t="shared" si="38"/>
        <v>31</v>
      </c>
      <c r="N131" s="1"/>
      <c r="O131" s="1"/>
      <c r="P131" s="1"/>
      <c r="Q131" s="1">
        <v>0</v>
      </c>
      <c r="R131" s="1"/>
      <c r="S131" s="25"/>
      <c r="T131" s="1"/>
      <c r="U131" s="1">
        <f t="shared" si="39"/>
        <v>6.2</v>
      </c>
      <c r="V131" s="5"/>
      <c r="W131" s="5">
        <f t="shared" si="45"/>
        <v>0</v>
      </c>
      <c r="X131" s="5">
        <f>W131-Y131</f>
        <v>0</v>
      </c>
      <c r="Y131" s="5"/>
      <c r="Z131" s="1"/>
      <c r="AA131" s="1">
        <f t="shared" si="32"/>
        <v>16.612903225806452</v>
      </c>
      <c r="AB131" s="1">
        <f t="shared" si="40"/>
        <v>16.612903225806452</v>
      </c>
      <c r="AC131" s="1">
        <v>6.2</v>
      </c>
      <c r="AD131" s="1">
        <v>9.8000000000000007</v>
      </c>
      <c r="AE131" s="1">
        <v>6.6</v>
      </c>
      <c r="AF131" s="1">
        <v>14.4</v>
      </c>
      <c r="AG131" s="1">
        <v>13.2</v>
      </c>
      <c r="AH131" s="1">
        <v>0</v>
      </c>
      <c r="AI131" s="1">
        <v>0</v>
      </c>
      <c r="AJ131" s="1">
        <v>0</v>
      </c>
      <c r="AK131" s="1" t="s">
        <v>308</v>
      </c>
      <c r="AL131" s="1">
        <f t="shared" si="41"/>
        <v>0</v>
      </c>
      <c r="AM131" s="1">
        <f t="shared" si="42"/>
        <v>0</v>
      </c>
      <c r="AN131" t="s">
        <v>313</v>
      </c>
    </row>
    <row r="132" spans="1:40" x14ac:dyDescent="0.25">
      <c r="A132" s="1" t="s">
        <v>314</v>
      </c>
      <c r="B132" s="1" t="s">
        <v>50</v>
      </c>
      <c r="C132" s="1">
        <v>42</v>
      </c>
      <c r="D132" s="1">
        <v>14</v>
      </c>
      <c r="E132" s="1">
        <v>66</v>
      </c>
      <c r="F132" s="1">
        <v>35</v>
      </c>
      <c r="G132" s="7">
        <v>0.3</v>
      </c>
      <c r="H132" s="1">
        <v>40</v>
      </c>
      <c r="I132" s="15" t="s">
        <v>106</v>
      </c>
      <c r="J132" s="1"/>
      <c r="K132" s="1">
        <v>201</v>
      </c>
      <c r="L132" s="1">
        <f t="shared" si="37"/>
        <v>-135</v>
      </c>
      <c r="M132" s="1">
        <f t="shared" si="38"/>
        <v>66</v>
      </c>
      <c r="N132" s="1"/>
      <c r="O132" s="1"/>
      <c r="P132" s="1"/>
      <c r="Q132" s="1">
        <v>100</v>
      </c>
      <c r="R132" s="1">
        <v>-102.00000000000001</v>
      </c>
      <c r="S132" s="25"/>
      <c r="T132" s="1"/>
      <c r="U132" s="1">
        <f t="shared" si="39"/>
        <v>13.2</v>
      </c>
      <c r="V132" s="5">
        <v>50</v>
      </c>
      <c r="W132" s="5">
        <f t="shared" si="45"/>
        <v>50</v>
      </c>
      <c r="X132" s="5">
        <f>W132</f>
        <v>50</v>
      </c>
      <c r="Y132" s="5">
        <f>W132*0.5</f>
        <v>25</v>
      </c>
      <c r="Z132" s="1"/>
      <c r="AA132" s="1">
        <f t="shared" si="32"/>
        <v>8.1818181818181817</v>
      </c>
      <c r="AB132" s="1">
        <f t="shared" si="40"/>
        <v>10.227272727272728</v>
      </c>
      <c r="AC132" s="1">
        <v>13.6</v>
      </c>
      <c r="AD132" s="1">
        <v>34</v>
      </c>
      <c r="AE132" s="1">
        <v>30.8</v>
      </c>
      <c r="AF132" s="1">
        <v>19.2</v>
      </c>
      <c r="AG132" s="1">
        <v>19</v>
      </c>
      <c r="AH132" s="1">
        <v>33.6</v>
      </c>
      <c r="AI132" s="1">
        <v>39.4</v>
      </c>
      <c r="AJ132" s="1">
        <v>30.6</v>
      </c>
      <c r="AK132" s="1"/>
      <c r="AL132" s="1">
        <f t="shared" si="41"/>
        <v>15</v>
      </c>
      <c r="AM132" s="1">
        <f t="shared" si="42"/>
        <v>8</v>
      </c>
      <c r="AN132" t="s">
        <v>315</v>
      </c>
    </row>
    <row r="133" spans="1:40" x14ac:dyDescent="0.25">
      <c r="A133" s="1" t="s">
        <v>316</v>
      </c>
      <c r="B133" s="1" t="s">
        <v>50</v>
      </c>
      <c r="C133" s="1">
        <v>-10</v>
      </c>
      <c r="D133" s="1">
        <v>1</v>
      </c>
      <c r="E133" s="1">
        <v>2</v>
      </c>
      <c r="F133" s="1">
        <v>-12</v>
      </c>
      <c r="G133" s="7">
        <v>0.3</v>
      </c>
      <c r="H133" s="1">
        <v>40</v>
      </c>
      <c r="I133" s="15" t="s">
        <v>106</v>
      </c>
      <c r="J133" s="1"/>
      <c r="K133" s="1">
        <v>3</v>
      </c>
      <c r="L133" s="1">
        <f t="shared" si="37"/>
        <v>-1</v>
      </c>
      <c r="M133" s="1">
        <f t="shared" si="38"/>
        <v>2</v>
      </c>
      <c r="N133" s="1"/>
      <c r="O133" s="1"/>
      <c r="P133" s="1"/>
      <c r="Q133" s="1">
        <v>50</v>
      </c>
      <c r="R133" s="1">
        <v>-54</v>
      </c>
      <c r="S133" s="25"/>
      <c r="T133" s="1"/>
      <c r="U133" s="1">
        <f t="shared" si="39"/>
        <v>0.4</v>
      </c>
      <c r="V133" s="5">
        <v>50</v>
      </c>
      <c r="W133" s="5">
        <f t="shared" si="45"/>
        <v>50</v>
      </c>
      <c r="X133" s="5">
        <f>W133</f>
        <v>50</v>
      </c>
      <c r="Y133" s="5">
        <f>W133*0.5</f>
        <v>25</v>
      </c>
      <c r="Z133" s="1"/>
      <c r="AA133" s="1">
        <f t="shared" si="32"/>
        <v>147.5</v>
      </c>
      <c r="AB133" s="1">
        <f t="shared" si="40"/>
        <v>95</v>
      </c>
      <c r="AC133" s="1">
        <v>0.4</v>
      </c>
      <c r="AD133" s="1">
        <v>19.2</v>
      </c>
      <c r="AE133" s="1">
        <v>26.8</v>
      </c>
      <c r="AF133" s="1">
        <v>27.2</v>
      </c>
      <c r="AG133" s="1">
        <v>25.8</v>
      </c>
      <c r="AH133" s="1">
        <v>20.8</v>
      </c>
      <c r="AI133" s="1">
        <v>23.6</v>
      </c>
      <c r="AJ133" s="1">
        <v>23.6</v>
      </c>
      <c r="AK133" s="1"/>
      <c r="AL133" s="1">
        <f t="shared" si="41"/>
        <v>15</v>
      </c>
      <c r="AM133" s="1">
        <f t="shared" si="42"/>
        <v>8</v>
      </c>
      <c r="AN133" t="s">
        <v>317</v>
      </c>
    </row>
    <row r="134" spans="1:40" x14ac:dyDescent="0.25">
      <c r="A134" s="1" t="s">
        <v>318</v>
      </c>
      <c r="B134" s="1" t="s">
        <v>42</v>
      </c>
      <c r="C134" s="1">
        <v>107.208</v>
      </c>
      <c r="D134" s="1">
        <v>73.757999999999996</v>
      </c>
      <c r="E134" s="1">
        <v>55.012999999999998</v>
      </c>
      <c r="F134" s="1">
        <v>116.578</v>
      </c>
      <c r="G134" s="7">
        <v>1</v>
      </c>
      <c r="H134" s="1">
        <v>50</v>
      </c>
      <c r="I134" s="1" t="s">
        <v>43</v>
      </c>
      <c r="J134" s="1"/>
      <c r="K134" s="1">
        <v>56.5</v>
      </c>
      <c r="L134" s="1">
        <f t="shared" ref="L134:L137" si="46">E134-K134</f>
        <v>-1.4870000000000019</v>
      </c>
      <c r="M134" s="1">
        <f t="shared" ref="M134:M137" si="47">E134-N134</f>
        <v>55.012999999999998</v>
      </c>
      <c r="N134" s="1"/>
      <c r="O134" s="1"/>
      <c r="P134" s="1"/>
      <c r="Q134" s="1">
        <v>0</v>
      </c>
      <c r="R134" s="1"/>
      <c r="S134" s="25"/>
      <c r="T134" s="1"/>
      <c r="U134" s="1">
        <f t="shared" si="39"/>
        <v>11.002599999999999</v>
      </c>
      <c r="V134" s="5">
        <f>12*U134-T134-Q134-P134-O134-F134</f>
        <v>15.453199999999981</v>
      </c>
      <c r="W134" s="5">
        <f t="shared" si="45"/>
        <v>15.453199999999981</v>
      </c>
      <c r="X134" s="5">
        <f>W134-Y134</f>
        <v>15.453199999999981</v>
      </c>
      <c r="Y134" s="5"/>
      <c r="Z134" s="1"/>
      <c r="AA134" s="1">
        <f t="shared" si="32"/>
        <v>12</v>
      </c>
      <c r="AB134" s="1">
        <f t="shared" si="40"/>
        <v>10.595495610128516</v>
      </c>
      <c r="AC134" s="1">
        <v>11.002599999999999</v>
      </c>
      <c r="AD134" s="1">
        <v>13.903600000000001</v>
      </c>
      <c r="AE134" s="1">
        <v>13.324199999999999</v>
      </c>
      <c r="AF134" s="1">
        <v>7.5507999999999997</v>
      </c>
      <c r="AG134" s="1">
        <v>9.7211999999999996</v>
      </c>
      <c r="AH134" s="1">
        <v>14.6806</v>
      </c>
      <c r="AI134" s="1">
        <v>16.251000000000001</v>
      </c>
      <c r="AJ134" s="1">
        <v>9.7181999999999995</v>
      </c>
      <c r="AK134" s="1"/>
      <c r="AL134" s="1">
        <f t="shared" si="41"/>
        <v>15</v>
      </c>
      <c r="AM134" s="1">
        <f t="shared" si="42"/>
        <v>0</v>
      </c>
      <c r="AN134" t="s">
        <v>319</v>
      </c>
    </row>
    <row r="135" spans="1:40" x14ac:dyDescent="0.25">
      <c r="A135" s="1" t="s">
        <v>320</v>
      </c>
      <c r="B135" s="1" t="s">
        <v>50</v>
      </c>
      <c r="C135" s="1">
        <v>7</v>
      </c>
      <c r="D135" s="1">
        <v>32</v>
      </c>
      <c r="E135" s="1">
        <v>49</v>
      </c>
      <c r="F135" s="1">
        <v>4</v>
      </c>
      <c r="G135" s="7">
        <v>0.3</v>
      </c>
      <c r="H135" s="1">
        <v>40</v>
      </c>
      <c r="I135" s="15" t="s">
        <v>106</v>
      </c>
      <c r="J135" s="1"/>
      <c r="K135" s="1">
        <v>59</v>
      </c>
      <c r="L135" s="1">
        <f t="shared" si="46"/>
        <v>-10</v>
      </c>
      <c r="M135" s="1">
        <f t="shared" si="47"/>
        <v>49</v>
      </c>
      <c r="N135" s="1"/>
      <c r="O135" s="1"/>
      <c r="P135" s="1"/>
      <c r="Q135" s="1">
        <v>20</v>
      </c>
      <c r="R135" s="1"/>
      <c r="S135" s="25"/>
      <c r="T135" s="1"/>
      <c r="U135" s="1">
        <f t="shared" si="39"/>
        <v>9.8000000000000007</v>
      </c>
      <c r="V135" s="5">
        <v>30</v>
      </c>
      <c r="W135" s="5">
        <f t="shared" si="45"/>
        <v>30</v>
      </c>
      <c r="X135" s="5">
        <f>W135</f>
        <v>30</v>
      </c>
      <c r="Y135" s="5">
        <f>W135*0.5</f>
        <v>15</v>
      </c>
      <c r="Z135" s="1"/>
      <c r="AA135" s="1">
        <f t="shared" ref="AA135:AA137" si="48">(F135+O135+P135+Q135+T135+X135+Y135+R135+S135)/U135</f>
        <v>7.0408163265306118</v>
      </c>
      <c r="AB135" s="1">
        <f t="shared" si="40"/>
        <v>2.4489795918367343</v>
      </c>
      <c r="AC135" s="1">
        <v>9.8000000000000007</v>
      </c>
      <c r="AD135" s="1">
        <v>4.5999999999999996</v>
      </c>
      <c r="AE135" s="1">
        <v>2.8</v>
      </c>
      <c r="AF135" s="1">
        <v>9.1999999999999993</v>
      </c>
      <c r="AG135" s="1">
        <v>12</v>
      </c>
      <c r="AH135" s="1">
        <v>10.6</v>
      </c>
      <c r="AI135" s="1">
        <v>11.8</v>
      </c>
      <c r="AJ135" s="1">
        <v>9</v>
      </c>
      <c r="AK135" s="1"/>
      <c r="AL135" s="1">
        <f t="shared" si="41"/>
        <v>9</v>
      </c>
      <c r="AM135" s="1">
        <f t="shared" si="42"/>
        <v>5</v>
      </c>
      <c r="AN135" t="s">
        <v>321</v>
      </c>
    </row>
    <row r="136" spans="1:40" x14ac:dyDescent="0.25">
      <c r="A136" s="1" t="s">
        <v>322</v>
      </c>
      <c r="B136" s="1" t="s">
        <v>50</v>
      </c>
      <c r="C136" s="1">
        <v>34</v>
      </c>
      <c r="D136" s="1">
        <v>122</v>
      </c>
      <c r="E136" s="1">
        <v>69</v>
      </c>
      <c r="F136" s="1">
        <v>93</v>
      </c>
      <c r="G136" s="7">
        <v>0.12</v>
      </c>
      <c r="H136" s="1">
        <v>45</v>
      </c>
      <c r="I136" s="1" t="s">
        <v>43</v>
      </c>
      <c r="J136" s="1"/>
      <c r="K136" s="1">
        <v>53</v>
      </c>
      <c r="L136" s="1">
        <f t="shared" si="46"/>
        <v>16</v>
      </c>
      <c r="M136" s="1">
        <f t="shared" si="47"/>
        <v>69</v>
      </c>
      <c r="N136" s="1"/>
      <c r="O136" s="1"/>
      <c r="P136" s="1"/>
      <c r="Q136" s="1">
        <v>39.59999999999998</v>
      </c>
      <c r="R136" s="1"/>
      <c r="S136" s="25"/>
      <c r="T136" s="1"/>
      <c r="U136" s="1">
        <f t="shared" si="39"/>
        <v>13.8</v>
      </c>
      <c r="V136" s="5">
        <f>12*U136-T136-Q136-P136-O136-F136</f>
        <v>33.000000000000043</v>
      </c>
      <c r="W136" s="5">
        <f t="shared" si="45"/>
        <v>33.000000000000043</v>
      </c>
      <c r="X136" s="5">
        <f>W136-Y136</f>
        <v>33.000000000000043</v>
      </c>
      <c r="Y136" s="5"/>
      <c r="Z136" s="1"/>
      <c r="AA136" s="1">
        <f t="shared" si="48"/>
        <v>12.000000000000002</v>
      </c>
      <c r="AB136" s="1">
        <f t="shared" si="40"/>
        <v>9.6086956521739104</v>
      </c>
      <c r="AC136" s="1">
        <v>13.8</v>
      </c>
      <c r="AD136" s="1">
        <v>11.8</v>
      </c>
      <c r="AE136" s="1">
        <v>8.6</v>
      </c>
      <c r="AF136" s="1">
        <v>9.1999999999999993</v>
      </c>
      <c r="AG136" s="1">
        <v>6.6</v>
      </c>
      <c r="AH136" s="1">
        <v>6</v>
      </c>
      <c r="AI136" s="1">
        <v>11.4</v>
      </c>
      <c r="AJ136" s="1">
        <v>10.4</v>
      </c>
      <c r="AK136" s="1"/>
      <c r="AL136" s="1">
        <f t="shared" si="41"/>
        <v>4</v>
      </c>
      <c r="AM136" s="1">
        <f t="shared" si="42"/>
        <v>0</v>
      </c>
      <c r="AN136" t="s">
        <v>323</v>
      </c>
    </row>
    <row r="137" spans="1:40" x14ac:dyDescent="0.25">
      <c r="A137" s="9" t="s">
        <v>324</v>
      </c>
      <c r="B137" s="9" t="s">
        <v>50</v>
      </c>
      <c r="C137" s="9">
        <v>51</v>
      </c>
      <c r="D137" s="9"/>
      <c r="E137" s="13">
        <v>18</v>
      </c>
      <c r="F137" s="13">
        <v>40</v>
      </c>
      <c r="G137" s="10">
        <v>0</v>
      </c>
      <c r="H137" s="9"/>
      <c r="I137" s="9" t="s">
        <v>325</v>
      </c>
      <c r="J137" s="9" t="s">
        <v>310</v>
      </c>
      <c r="K137" s="9">
        <v>8</v>
      </c>
      <c r="L137" s="9">
        <f t="shared" si="46"/>
        <v>10</v>
      </c>
      <c r="M137" s="9">
        <f t="shared" si="47"/>
        <v>18</v>
      </c>
      <c r="N137" s="9"/>
      <c r="O137" s="9"/>
      <c r="P137" s="9"/>
      <c r="Q137" s="9">
        <v>0</v>
      </c>
      <c r="R137" s="9"/>
      <c r="S137" s="28"/>
      <c r="T137" s="9"/>
      <c r="U137" s="9">
        <f t="shared" si="39"/>
        <v>3.6</v>
      </c>
      <c r="V137" s="11"/>
      <c r="W137" s="5">
        <f t="shared" si="45"/>
        <v>0</v>
      </c>
      <c r="X137" s="5">
        <f>W137-Y137</f>
        <v>0</v>
      </c>
      <c r="Y137" s="5"/>
      <c r="Z137" s="1"/>
      <c r="AA137" s="1">
        <f t="shared" si="48"/>
        <v>11.111111111111111</v>
      </c>
      <c r="AB137" s="9">
        <f t="shared" si="40"/>
        <v>11.111111111111111</v>
      </c>
      <c r="AC137" s="9">
        <v>3.6</v>
      </c>
      <c r="AD137" s="9">
        <v>4.8</v>
      </c>
      <c r="AE137" s="9">
        <v>2.4</v>
      </c>
      <c r="AF137" s="9">
        <v>0</v>
      </c>
      <c r="AG137" s="9">
        <v>0</v>
      </c>
      <c r="AH137" s="9">
        <v>0</v>
      </c>
      <c r="AI137" s="9">
        <v>0</v>
      </c>
      <c r="AJ137" s="9">
        <v>0</v>
      </c>
      <c r="AK137" s="9"/>
      <c r="AL137" s="1">
        <f t="shared" si="41"/>
        <v>0</v>
      </c>
      <c r="AM137" s="1">
        <f t="shared" si="42"/>
        <v>0</v>
      </c>
    </row>
    <row r="138" spans="1:4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25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</row>
    <row r="139" spans="1:4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25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</row>
    <row r="140" spans="1:4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25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</row>
    <row r="141" spans="1:4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25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4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25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</row>
    <row r="143" spans="1:4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25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</row>
    <row r="144" spans="1:4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5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</row>
    <row r="145" spans="1:3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25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</row>
    <row r="146" spans="1:3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25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25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</row>
    <row r="148" spans="1:3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25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</row>
    <row r="149" spans="1:3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25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</row>
    <row r="150" spans="1:3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25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</row>
    <row r="151" spans="1:3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25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</row>
    <row r="152" spans="1:3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25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</row>
    <row r="153" spans="1:3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25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</row>
    <row r="154" spans="1:3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25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</row>
    <row r="155" spans="1:3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25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25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</row>
    <row r="157" spans="1:3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25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</row>
    <row r="158" spans="1:3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25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</row>
    <row r="159" spans="1:3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25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</row>
    <row r="160" spans="1:3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25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</row>
    <row r="161" spans="1:3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25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</row>
    <row r="162" spans="1:3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25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</row>
    <row r="163" spans="1:3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25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</row>
    <row r="164" spans="1:3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25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</row>
    <row r="165" spans="1:3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25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</row>
    <row r="166" spans="1:3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25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</row>
    <row r="167" spans="1:3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25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</row>
    <row r="168" spans="1:3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25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</row>
    <row r="169" spans="1:3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25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</row>
    <row r="170" spans="1:3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25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</row>
    <row r="171" spans="1:3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25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</row>
    <row r="172" spans="1:3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25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</row>
    <row r="173" spans="1:3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25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</row>
    <row r="174" spans="1:3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25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</row>
    <row r="175" spans="1:3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25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</row>
    <row r="176" spans="1:3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25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</row>
    <row r="177" spans="1:3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25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</row>
    <row r="178" spans="1:3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25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</row>
    <row r="179" spans="1:3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25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</row>
    <row r="180" spans="1:3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25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</row>
    <row r="181" spans="1:3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25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</row>
    <row r="182" spans="1:3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25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</row>
    <row r="183" spans="1:3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25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</row>
    <row r="184" spans="1:3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25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</row>
    <row r="185" spans="1:3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25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</row>
    <row r="186" spans="1:3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25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</row>
    <row r="187" spans="1:3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25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</row>
    <row r="188" spans="1:3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25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</row>
    <row r="189" spans="1:3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25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</row>
    <row r="190" spans="1:3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25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</row>
    <row r="191" spans="1:3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25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</row>
    <row r="192" spans="1:3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25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</row>
    <row r="193" spans="1:3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25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</row>
    <row r="194" spans="1:3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25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</row>
    <row r="195" spans="1:3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25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</row>
    <row r="196" spans="1:3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25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</row>
    <row r="197" spans="1:3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25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</row>
    <row r="198" spans="1:3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25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</row>
    <row r="199" spans="1:3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25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</row>
    <row r="200" spans="1:3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25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</row>
    <row r="201" spans="1:3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25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</row>
    <row r="202" spans="1:3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25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</row>
    <row r="203" spans="1:3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25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</row>
    <row r="204" spans="1:3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25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</row>
    <row r="205" spans="1:3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25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</row>
    <row r="206" spans="1:3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25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</row>
    <row r="207" spans="1:3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25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</row>
    <row r="208" spans="1:3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25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</row>
    <row r="209" spans="1:3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25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</row>
    <row r="210" spans="1:3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25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</row>
    <row r="211" spans="1:3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25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</row>
    <row r="212" spans="1:3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25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</row>
    <row r="213" spans="1:3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25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</row>
    <row r="214" spans="1:3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25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</row>
    <row r="215" spans="1:3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25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</row>
    <row r="216" spans="1:3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25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</row>
    <row r="217" spans="1:3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25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</row>
    <row r="218" spans="1:3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25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</row>
    <row r="219" spans="1:3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25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</row>
    <row r="220" spans="1:3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25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</row>
    <row r="221" spans="1:3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25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</row>
    <row r="222" spans="1:3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25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</row>
    <row r="223" spans="1:3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25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</row>
    <row r="224" spans="1:3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25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</row>
    <row r="225" spans="1:3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25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</row>
    <row r="226" spans="1:3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25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</row>
    <row r="227" spans="1:3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25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</row>
    <row r="228" spans="1:3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25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25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</row>
    <row r="230" spans="1:3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25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</row>
    <row r="231" spans="1:3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25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</row>
    <row r="232" spans="1:3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25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</row>
    <row r="233" spans="1:3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25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</row>
    <row r="234" spans="1:3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25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</row>
    <row r="235" spans="1:3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25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</row>
    <row r="236" spans="1:3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25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</row>
    <row r="237" spans="1:3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25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</row>
    <row r="238" spans="1:3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25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</row>
    <row r="239" spans="1:3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25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</row>
    <row r="240" spans="1:3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25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</row>
    <row r="241" spans="1:3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25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</row>
    <row r="242" spans="1:3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25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</row>
    <row r="243" spans="1:3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25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</row>
    <row r="244" spans="1:3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25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</row>
    <row r="245" spans="1:3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25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</row>
    <row r="246" spans="1:3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25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</row>
    <row r="247" spans="1:3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25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</row>
    <row r="248" spans="1:3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25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</row>
    <row r="249" spans="1:3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25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</row>
    <row r="250" spans="1:3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25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</row>
    <row r="251" spans="1:3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25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</row>
    <row r="252" spans="1:3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25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</row>
    <row r="253" spans="1:3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25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</row>
    <row r="254" spans="1:3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25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</row>
    <row r="255" spans="1:3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25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</row>
    <row r="256" spans="1:3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25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</row>
    <row r="257" spans="1:3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25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</row>
    <row r="258" spans="1:3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25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</row>
    <row r="259" spans="1:3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25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</row>
    <row r="260" spans="1:3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25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</row>
    <row r="261" spans="1:3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25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</row>
    <row r="262" spans="1:3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25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</row>
    <row r="263" spans="1:3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25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</row>
    <row r="264" spans="1:3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25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</row>
    <row r="265" spans="1:3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25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</row>
    <row r="266" spans="1:3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25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</row>
    <row r="267" spans="1:3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25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</row>
    <row r="268" spans="1:3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25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</row>
    <row r="269" spans="1:3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25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</row>
    <row r="270" spans="1:3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25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</row>
    <row r="271" spans="1:3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25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</row>
    <row r="272" spans="1:3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25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</row>
    <row r="273" spans="1:3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25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</row>
    <row r="274" spans="1:3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25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</row>
    <row r="275" spans="1:3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25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</row>
    <row r="276" spans="1:3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25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</row>
    <row r="277" spans="1:3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25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</row>
    <row r="278" spans="1:3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25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</row>
    <row r="279" spans="1:3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25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</row>
    <row r="280" spans="1:3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25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</row>
    <row r="281" spans="1:3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25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</row>
    <row r="282" spans="1:3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25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</row>
    <row r="283" spans="1:3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25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</row>
    <row r="284" spans="1:3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25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</row>
    <row r="285" spans="1:3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25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</row>
    <row r="286" spans="1:3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25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</row>
    <row r="287" spans="1:3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25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</row>
    <row r="288" spans="1:3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25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</row>
    <row r="289" spans="1:3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25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</row>
    <row r="290" spans="1:3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25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</row>
    <row r="291" spans="1:3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25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</row>
    <row r="292" spans="1:3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25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</row>
    <row r="293" spans="1:3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25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</row>
    <row r="294" spans="1:3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25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</row>
    <row r="295" spans="1:3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25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</row>
    <row r="296" spans="1:3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25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</row>
    <row r="297" spans="1:3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25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</row>
    <row r="298" spans="1:3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25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</row>
    <row r="299" spans="1:3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25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</row>
    <row r="300" spans="1:3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25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</row>
    <row r="301" spans="1:3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25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</row>
    <row r="302" spans="1:3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25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</row>
    <row r="303" spans="1:3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25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</row>
    <row r="304" spans="1:3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25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</row>
    <row r="305" spans="1:3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5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</row>
    <row r="306" spans="1:3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5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</row>
    <row r="307" spans="1:3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5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</row>
    <row r="308" spans="1:3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25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</row>
    <row r="309" spans="1:3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25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</row>
    <row r="310" spans="1:3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25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</row>
    <row r="311" spans="1:3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25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</row>
    <row r="312" spans="1:3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25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</row>
    <row r="313" spans="1:3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25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</row>
    <row r="314" spans="1:3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25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</row>
    <row r="315" spans="1:3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25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</row>
    <row r="316" spans="1:3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25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</row>
    <row r="317" spans="1:3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25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</row>
    <row r="318" spans="1:3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25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</row>
    <row r="319" spans="1:3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25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</row>
    <row r="320" spans="1:3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25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</row>
    <row r="321" spans="1:3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25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</row>
    <row r="322" spans="1:3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25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</row>
    <row r="323" spans="1:3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25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</row>
    <row r="324" spans="1:3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25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</row>
    <row r="325" spans="1:3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25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</row>
    <row r="326" spans="1:3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25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</row>
    <row r="327" spans="1:3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25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</row>
    <row r="328" spans="1:3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25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</row>
    <row r="329" spans="1:3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25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</row>
    <row r="330" spans="1:3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25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</row>
    <row r="331" spans="1:3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25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</row>
    <row r="332" spans="1:3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25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</row>
    <row r="333" spans="1:3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25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</row>
    <row r="334" spans="1:3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25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</row>
    <row r="335" spans="1:3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25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</row>
    <row r="336" spans="1:3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25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</row>
    <row r="337" spans="1:3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25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</row>
    <row r="338" spans="1:3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25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</row>
    <row r="339" spans="1:3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25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</row>
    <row r="340" spans="1:3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25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</row>
    <row r="341" spans="1:3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25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</row>
    <row r="342" spans="1:3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25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</row>
    <row r="343" spans="1:3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25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</row>
    <row r="344" spans="1:3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25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</row>
    <row r="345" spans="1:3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25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</row>
    <row r="346" spans="1:3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25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</row>
    <row r="347" spans="1:3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25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</row>
    <row r="348" spans="1:3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25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</row>
    <row r="349" spans="1:3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25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</row>
    <row r="350" spans="1:3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25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</row>
    <row r="351" spans="1:3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25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</row>
    <row r="352" spans="1:3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25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</row>
    <row r="353" spans="1:3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25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</row>
    <row r="354" spans="1:3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25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</row>
    <row r="355" spans="1:3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25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</row>
    <row r="356" spans="1:3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25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</row>
    <row r="357" spans="1:3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25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</row>
    <row r="358" spans="1:3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25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</row>
    <row r="359" spans="1:3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25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</row>
    <row r="360" spans="1:3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25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</row>
    <row r="361" spans="1:3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25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</row>
    <row r="362" spans="1:3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25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</row>
    <row r="363" spans="1:3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25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</row>
    <row r="364" spans="1:3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25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</row>
    <row r="365" spans="1:3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25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</row>
    <row r="366" spans="1:3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25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</row>
    <row r="367" spans="1:3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25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</row>
    <row r="368" spans="1:3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25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</row>
    <row r="369" spans="1:3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25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</row>
    <row r="370" spans="1:3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25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</row>
    <row r="371" spans="1:3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25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</row>
    <row r="372" spans="1:3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25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</row>
    <row r="373" spans="1:3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25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</row>
    <row r="374" spans="1:3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25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</row>
    <row r="375" spans="1:3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25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</row>
    <row r="376" spans="1:3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25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</row>
    <row r="377" spans="1:3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25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</row>
    <row r="378" spans="1:3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25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</row>
    <row r="379" spans="1:3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25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</row>
    <row r="380" spans="1:3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25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</row>
    <row r="381" spans="1:3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25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</row>
    <row r="382" spans="1:3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25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</row>
    <row r="383" spans="1:3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25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</row>
    <row r="384" spans="1:3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25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</row>
    <row r="385" spans="1:3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25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</row>
    <row r="386" spans="1:3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25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</row>
    <row r="387" spans="1:3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25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</row>
    <row r="388" spans="1:3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25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</row>
    <row r="389" spans="1:3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25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</row>
    <row r="390" spans="1:3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25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</row>
    <row r="391" spans="1:3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25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</row>
    <row r="392" spans="1:3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25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</row>
    <row r="393" spans="1:3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25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</row>
    <row r="394" spans="1:3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25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</row>
    <row r="395" spans="1:3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25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</row>
    <row r="396" spans="1:3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25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</row>
    <row r="397" spans="1:3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25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</row>
    <row r="398" spans="1:3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25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</row>
    <row r="399" spans="1:3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25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</row>
    <row r="400" spans="1:3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25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</row>
    <row r="401" spans="1:3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25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</row>
    <row r="402" spans="1:3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25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</row>
    <row r="403" spans="1:3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25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</row>
    <row r="404" spans="1:3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25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</row>
    <row r="405" spans="1:3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25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</row>
    <row r="406" spans="1:3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25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</row>
    <row r="407" spans="1:3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25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</row>
    <row r="408" spans="1:3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25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</row>
    <row r="409" spans="1:3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25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</row>
    <row r="410" spans="1:3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25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</row>
    <row r="411" spans="1:3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25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</row>
    <row r="412" spans="1:3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25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</row>
    <row r="413" spans="1:3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25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</row>
    <row r="414" spans="1:3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25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</row>
    <row r="415" spans="1:3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25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</row>
    <row r="416" spans="1:3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25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</row>
    <row r="417" spans="1:3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25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</row>
    <row r="418" spans="1:3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25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</row>
    <row r="419" spans="1:3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25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</row>
    <row r="420" spans="1:3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25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</row>
    <row r="421" spans="1:3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25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</row>
    <row r="422" spans="1:3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25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</row>
    <row r="423" spans="1:3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25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</row>
    <row r="424" spans="1:3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25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</row>
    <row r="425" spans="1:3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25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</row>
    <row r="426" spans="1:3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25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</row>
    <row r="427" spans="1:3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25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</row>
    <row r="428" spans="1:3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25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</row>
    <row r="429" spans="1:3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25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</row>
    <row r="430" spans="1:3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25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</row>
    <row r="431" spans="1:3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25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</row>
    <row r="432" spans="1:3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25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</row>
    <row r="433" spans="1:3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25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</row>
    <row r="434" spans="1:3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25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</row>
    <row r="435" spans="1:3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25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</row>
    <row r="436" spans="1:3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25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</row>
    <row r="437" spans="1:3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25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</row>
    <row r="438" spans="1:3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25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</row>
    <row r="439" spans="1:3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25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</row>
    <row r="440" spans="1:3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25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</row>
    <row r="441" spans="1:3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25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</row>
    <row r="442" spans="1:3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25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</row>
    <row r="443" spans="1:3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25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</row>
    <row r="444" spans="1:3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25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</row>
    <row r="445" spans="1:3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25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</row>
    <row r="446" spans="1:3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25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</row>
    <row r="447" spans="1:3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25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</row>
    <row r="448" spans="1:3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25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</row>
    <row r="449" spans="1:3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25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</row>
    <row r="450" spans="1:3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25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</row>
    <row r="451" spans="1:3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25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</row>
    <row r="452" spans="1:3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25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</row>
    <row r="453" spans="1:3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25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</row>
    <row r="454" spans="1:3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25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</row>
    <row r="455" spans="1:3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25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</row>
    <row r="456" spans="1:3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25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</row>
    <row r="457" spans="1:3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25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</row>
    <row r="458" spans="1:3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25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</row>
    <row r="459" spans="1:3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25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</row>
    <row r="460" spans="1:3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25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</row>
    <row r="461" spans="1:3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25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</row>
    <row r="462" spans="1:3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25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</row>
    <row r="463" spans="1:3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25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</row>
    <row r="464" spans="1:3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25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</row>
    <row r="465" spans="1:3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25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</row>
    <row r="466" spans="1:3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25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</row>
    <row r="467" spans="1:3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25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</row>
    <row r="468" spans="1:3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25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</row>
    <row r="469" spans="1:3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25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</row>
    <row r="470" spans="1:3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25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</row>
    <row r="471" spans="1:3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25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</row>
    <row r="472" spans="1:3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25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</row>
    <row r="473" spans="1:3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25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</row>
    <row r="474" spans="1:3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25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</row>
    <row r="475" spans="1:3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25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</row>
    <row r="476" spans="1:3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25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</row>
    <row r="477" spans="1:3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25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</row>
    <row r="478" spans="1:3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25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</row>
    <row r="479" spans="1:3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25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</row>
    <row r="480" spans="1:3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25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</row>
    <row r="481" spans="1:3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25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</row>
    <row r="482" spans="1:3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25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</row>
    <row r="483" spans="1:3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25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</row>
    <row r="484" spans="1:3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25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</row>
    <row r="485" spans="1:3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25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</row>
    <row r="486" spans="1:3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25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</row>
    <row r="487" spans="1:3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25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</row>
    <row r="488" spans="1:3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25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</row>
    <row r="489" spans="1:3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25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</row>
    <row r="490" spans="1:3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25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</row>
    <row r="491" spans="1:3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25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</row>
    <row r="492" spans="1:3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25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</row>
    <row r="493" spans="1:3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25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</row>
    <row r="494" spans="1:3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25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</row>
    <row r="495" spans="1:3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25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</row>
    <row r="496" spans="1:3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25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</row>
    <row r="497" spans="1:3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25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</row>
    <row r="498" spans="1:3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25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</row>
    <row r="499" spans="1:3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25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</row>
    <row r="500" spans="1:3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25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</row>
  </sheetData>
  <autoFilter ref="A3:AO137" xr:uid="{00000000-0001-0000-0000-000000000000}"/>
  <pageMargins left="0.75" right="0.75" top="1" bottom="1" header="0.5" footer="0.5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969D-DD28-42C4-BF0E-5C127E08E107}">
  <dimension ref="A1:D12"/>
  <sheetViews>
    <sheetView workbookViewId="0">
      <selection activeCell="J19" sqref="J19"/>
    </sheetView>
  </sheetViews>
  <sheetFormatPr defaultRowHeight="15" x14ac:dyDescent="0.25"/>
  <sheetData>
    <row r="1" spans="1:4" x14ac:dyDescent="0.25">
      <c r="A1" s="31" t="s">
        <v>128</v>
      </c>
      <c r="B1" s="31" t="s">
        <v>328</v>
      </c>
      <c r="C1" s="31">
        <v>81.599999999999994</v>
      </c>
      <c r="D1" s="31">
        <v>-81.599999999999994</v>
      </c>
    </row>
    <row r="2" spans="1:4" x14ac:dyDescent="0.25">
      <c r="A2" s="30" t="s">
        <v>63</v>
      </c>
      <c r="B2" s="30" t="s">
        <v>329</v>
      </c>
      <c r="C2" s="30">
        <v>23.4</v>
      </c>
      <c r="D2" s="30">
        <v>-23.4</v>
      </c>
    </row>
    <row r="3" spans="1:4" x14ac:dyDescent="0.25">
      <c r="A3" s="30" t="s">
        <v>126</v>
      </c>
      <c r="B3" s="30" t="s">
        <v>330</v>
      </c>
      <c r="C3" s="30">
        <v>160.80000000000001</v>
      </c>
      <c r="D3" s="30">
        <v>-160.80000000000001</v>
      </c>
    </row>
    <row r="4" spans="1:4" x14ac:dyDescent="0.25">
      <c r="A4" s="30" t="s">
        <v>135</v>
      </c>
      <c r="B4" s="30" t="s">
        <v>331</v>
      </c>
      <c r="C4" s="30">
        <v>18.899999999999999</v>
      </c>
      <c r="D4" s="30">
        <v>-18.899999999999999</v>
      </c>
    </row>
    <row r="5" spans="1:4" x14ac:dyDescent="0.25">
      <c r="A5" s="30" t="s">
        <v>182</v>
      </c>
      <c r="B5" s="30" t="s">
        <v>332</v>
      </c>
      <c r="C5" s="30">
        <v>76.8</v>
      </c>
      <c r="D5" s="30">
        <v>-76.8</v>
      </c>
    </row>
    <row r="6" spans="1:4" x14ac:dyDescent="0.25">
      <c r="A6" s="30" t="s">
        <v>145</v>
      </c>
      <c r="B6" s="30" t="s">
        <v>333</v>
      </c>
      <c r="C6" s="30">
        <v>71.400000000000006</v>
      </c>
      <c r="D6" s="30">
        <v>-71.400000000000006</v>
      </c>
    </row>
    <row r="7" spans="1:4" x14ac:dyDescent="0.25">
      <c r="A7" s="30" t="s">
        <v>317</v>
      </c>
      <c r="B7" s="30" t="s">
        <v>334</v>
      </c>
      <c r="C7" s="30">
        <v>16.2</v>
      </c>
      <c r="D7" s="30">
        <v>-16.2</v>
      </c>
    </row>
    <row r="8" spans="1:4" x14ac:dyDescent="0.25">
      <c r="A8" s="30" t="s">
        <v>315</v>
      </c>
      <c r="B8" s="30" t="s">
        <v>335</v>
      </c>
      <c r="C8" s="30">
        <v>30.6</v>
      </c>
      <c r="D8" s="30">
        <v>-30.6</v>
      </c>
    </row>
    <row r="9" spans="1:4" x14ac:dyDescent="0.25">
      <c r="A9" s="30" t="s">
        <v>188</v>
      </c>
      <c r="B9" s="30" t="s">
        <v>336</v>
      </c>
      <c r="C9" s="30">
        <v>383.4</v>
      </c>
      <c r="D9" s="30">
        <v>-383.4</v>
      </c>
    </row>
    <row r="10" spans="1:4" x14ac:dyDescent="0.25">
      <c r="A10" s="30" t="s">
        <v>241</v>
      </c>
      <c r="B10" s="30" t="s">
        <v>337</v>
      </c>
      <c r="C10" s="30">
        <v>16.2</v>
      </c>
      <c r="D10" s="30">
        <v>-16.2</v>
      </c>
    </row>
    <row r="11" spans="1:4" x14ac:dyDescent="0.25">
      <c r="A11" s="30" t="s">
        <v>275</v>
      </c>
      <c r="B11" s="30" t="s">
        <v>338</v>
      </c>
      <c r="C11" s="30">
        <v>101.5</v>
      </c>
      <c r="D11" s="30">
        <v>-101.5</v>
      </c>
    </row>
    <row r="12" spans="1:4" x14ac:dyDescent="0.25">
      <c r="A12" s="30" t="s">
        <v>283</v>
      </c>
      <c r="B12" s="30" t="s">
        <v>339</v>
      </c>
      <c r="C12" s="30">
        <v>57.12</v>
      </c>
      <c r="D12" s="30">
        <v>-57.12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недогруз 22,08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2026-08-20T12:19:45Z</dcterms:created>
  <dcterms:modified xsi:type="dcterms:W3CDTF">2026-08-22T06:51:45Z</dcterms:modified>
</cp:coreProperties>
</file>