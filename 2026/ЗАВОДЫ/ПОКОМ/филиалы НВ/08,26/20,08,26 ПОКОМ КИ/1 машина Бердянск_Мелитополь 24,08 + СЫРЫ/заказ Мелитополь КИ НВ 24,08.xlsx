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F56D2BA3-A46D-4607-AA3B-C868905DDC7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2" i="1" l="1"/>
  <c r="X551" i="1"/>
  <c r="Y550" i="1"/>
  <c r="X550" i="1"/>
  <c r="BP549" i="1"/>
  <c r="BO549" i="1"/>
  <c r="BN549" i="1"/>
  <c r="BM549" i="1"/>
  <c r="Z549" i="1"/>
  <c r="Z550" i="1" s="1"/>
  <c r="Y549" i="1"/>
  <c r="AC562" i="1" s="1"/>
  <c r="P549" i="1"/>
  <c r="X546" i="1"/>
  <c r="Y545" i="1"/>
  <c r="X545" i="1"/>
  <c r="BP544" i="1"/>
  <c r="BO544" i="1"/>
  <c r="BN544" i="1"/>
  <c r="BM544" i="1"/>
  <c r="Z544" i="1"/>
  <c r="Y544" i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P527" i="1"/>
  <c r="X523" i="1"/>
  <c r="X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X450" i="1"/>
  <c r="Y449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BP429" i="1" s="1"/>
  <c r="P429" i="1"/>
  <c r="BP428" i="1"/>
  <c r="BO428" i="1"/>
  <c r="BN428" i="1"/>
  <c r="BM428" i="1"/>
  <c r="Z428" i="1"/>
  <c r="Y428" i="1"/>
  <c r="P428" i="1"/>
  <c r="BO427" i="1"/>
  <c r="BM427" i="1"/>
  <c r="Y427" i="1"/>
  <c r="BP427" i="1" s="1"/>
  <c r="P427" i="1"/>
  <c r="BP426" i="1"/>
  <c r="BO426" i="1"/>
  <c r="BN426" i="1"/>
  <c r="BM426" i="1"/>
  <c r="Z426" i="1"/>
  <c r="Y426" i="1"/>
  <c r="P426" i="1"/>
  <c r="BO425" i="1"/>
  <c r="BM425" i="1"/>
  <c r="Y425" i="1"/>
  <c r="BP425" i="1" s="1"/>
  <c r="P425" i="1"/>
  <c r="BP424" i="1"/>
  <c r="BO424" i="1"/>
  <c r="BN424" i="1"/>
  <c r="BM424" i="1"/>
  <c r="Z424" i="1"/>
  <c r="Y424" i="1"/>
  <c r="P424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BP417" i="1" s="1"/>
  <c r="P417" i="1"/>
  <c r="BP416" i="1"/>
  <c r="BO416" i="1"/>
  <c r="BN416" i="1"/>
  <c r="BM416" i="1"/>
  <c r="Z416" i="1"/>
  <c r="Y416" i="1"/>
  <c r="P416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U562" i="1" s="1"/>
  <c r="P410" i="1"/>
  <c r="X407" i="1"/>
  <c r="X406" i="1"/>
  <c r="BO405" i="1"/>
  <c r="BM405" i="1"/>
  <c r="Y405" i="1"/>
  <c r="BP405" i="1" s="1"/>
  <c r="P405" i="1"/>
  <c r="BP404" i="1"/>
  <c r="BO404" i="1"/>
  <c r="BN404" i="1"/>
  <c r="BM404" i="1"/>
  <c r="Z404" i="1"/>
  <c r="Y404" i="1"/>
  <c r="P404" i="1"/>
  <c r="BO403" i="1"/>
  <c r="BM403" i="1"/>
  <c r="Y403" i="1"/>
  <c r="Y406" i="1" s="1"/>
  <c r="P403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Y400" i="1" s="1"/>
  <c r="P397" i="1"/>
  <c r="X395" i="1"/>
  <c r="X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Y394" i="1" s="1"/>
  <c r="P390" i="1"/>
  <c r="X388" i="1"/>
  <c r="X387" i="1"/>
  <c r="BP386" i="1"/>
  <c r="BO386" i="1"/>
  <c r="BN386" i="1"/>
  <c r="BM386" i="1"/>
  <c r="Z386" i="1"/>
  <c r="Y386" i="1"/>
  <c r="P386" i="1"/>
  <c r="BO385" i="1"/>
  <c r="BM385" i="1"/>
  <c r="Y385" i="1"/>
  <c r="BP385" i="1" s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P378" i="1"/>
  <c r="BO377" i="1"/>
  <c r="BM377" i="1"/>
  <c r="Y377" i="1"/>
  <c r="Y382" i="1" s="1"/>
  <c r="P377" i="1"/>
  <c r="X375" i="1"/>
  <c r="X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Y348" i="1" s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Y334" i="1" s="1"/>
  <c r="P332" i="1"/>
  <c r="BP331" i="1"/>
  <c r="BO331" i="1"/>
  <c r="BN331" i="1"/>
  <c r="BM331" i="1"/>
  <c r="Z331" i="1"/>
  <c r="Y331" i="1"/>
  <c r="P331" i="1"/>
  <c r="X328" i="1"/>
  <c r="X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Y308" i="1"/>
  <c r="X308" i="1"/>
  <c r="BP307" i="1"/>
  <c r="BO307" i="1"/>
  <c r="BN307" i="1"/>
  <c r="BM307" i="1"/>
  <c r="Z307" i="1"/>
  <c r="Z308" i="1" s="1"/>
  <c r="Y307" i="1"/>
  <c r="Y309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Y289" i="1" s="1"/>
  <c r="P277" i="1"/>
  <c r="BP276" i="1"/>
  <c r="BO276" i="1"/>
  <c r="BN276" i="1"/>
  <c r="BM276" i="1"/>
  <c r="Z276" i="1"/>
  <c r="Y276" i="1"/>
  <c r="Y288" i="1" s="1"/>
  <c r="P276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P268" i="1"/>
  <c r="BO268" i="1"/>
  <c r="BN268" i="1"/>
  <c r="BM268" i="1"/>
  <c r="Z268" i="1"/>
  <c r="Y268" i="1"/>
  <c r="P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Y274" i="1" s="1"/>
  <c r="P265" i="1"/>
  <c r="X263" i="1"/>
  <c r="X262" i="1"/>
  <c r="BO261" i="1"/>
  <c r="BM261" i="1"/>
  <c r="Y261" i="1"/>
  <c r="BP261" i="1" s="1"/>
  <c r="P261" i="1"/>
  <c r="BP260" i="1"/>
  <c r="BO260" i="1"/>
  <c r="BN260" i="1"/>
  <c r="BM260" i="1"/>
  <c r="Z260" i="1"/>
  <c r="Y260" i="1"/>
  <c r="Y262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M562" i="1" s="1"/>
  <c r="P255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BP246" i="1" s="1"/>
  <c r="P246" i="1"/>
  <c r="BP245" i="1"/>
  <c r="BO245" i="1"/>
  <c r="BN245" i="1"/>
  <c r="BM245" i="1"/>
  <c r="Z245" i="1"/>
  <c r="Y245" i="1"/>
  <c r="P245" i="1"/>
  <c r="BO244" i="1"/>
  <c r="BM244" i="1"/>
  <c r="Y244" i="1"/>
  <c r="Y247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Y241" i="1" s="1"/>
  <c r="P236" i="1"/>
  <c r="X234" i="1"/>
  <c r="X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Y233" i="1" s="1"/>
  <c r="P219" i="1"/>
  <c r="X217" i="1"/>
  <c r="Y216" i="1"/>
  <c r="X216" i="1"/>
  <c r="BP215" i="1"/>
  <c r="BO215" i="1"/>
  <c r="BN215" i="1"/>
  <c r="BM215" i="1"/>
  <c r="Z215" i="1"/>
  <c r="Z216" i="1" s="1"/>
  <c r="Y215" i="1"/>
  <c r="P215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X200" i="1"/>
  <c r="Y199" i="1"/>
  <c r="X199" i="1"/>
  <c r="BP198" i="1"/>
  <c r="BO198" i="1"/>
  <c r="BN198" i="1"/>
  <c r="BM198" i="1"/>
  <c r="Z198" i="1"/>
  <c r="Z199" i="1" s="1"/>
  <c r="Y198" i="1"/>
  <c r="Y200" i="1" s="1"/>
  <c r="P198" i="1"/>
  <c r="X196" i="1"/>
  <c r="Y195" i="1"/>
  <c r="X195" i="1"/>
  <c r="BP194" i="1"/>
  <c r="BO194" i="1"/>
  <c r="BN194" i="1"/>
  <c r="BM194" i="1"/>
  <c r="Z194" i="1"/>
  <c r="Z195" i="1" s="1"/>
  <c r="Y194" i="1"/>
  <c r="Y196" i="1" s="1"/>
  <c r="P194" i="1"/>
  <c r="X192" i="1"/>
  <c r="X191" i="1"/>
  <c r="BP190" i="1"/>
  <c r="BO190" i="1"/>
  <c r="BN190" i="1"/>
  <c r="BM190" i="1"/>
  <c r="Z190" i="1"/>
  <c r="Y190" i="1"/>
  <c r="P190" i="1"/>
  <c r="BO189" i="1"/>
  <c r="BM189" i="1"/>
  <c r="Y189" i="1"/>
  <c r="BP189" i="1" s="1"/>
  <c r="P189" i="1"/>
  <c r="BP188" i="1"/>
  <c r="BO188" i="1"/>
  <c r="BN188" i="1"/>
  <c r="BM188" i="1"/>
  <c r="Z188" i="1"/>
  <c r="Y188" i="1"/>
  <c r="Y192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86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Y172" i="1" s="1"/>
  <c r="P169" i="1"/>
  <c r="X167" i="1"/>
  <c r="X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J562" i="1" s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I562" i="1" s="1"/>
  <c r="P148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BP135" i="1" s="1"/>
  <c r="P135" i="1"/>
  <c r="BP134" i="1"/>
  <c r="BO134" i="1"/>
  <c r="BN134" i="1"/>
  <c r="BM134" i="1"/>
  <c r="Z134" i="1"/>
  <c r="Y134" i="1"/>
  <c r="Y138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BP129" i="1" s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G562" i="1" s="1"/>
  <c r="P98" i="1"/>
  <c r="X95" i="1"/>
  <c r="X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Y94" i="1" s="1"/>
  <c r="P90" i="1"/>
  <c r="X88" i="1"/>
  <c r="X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BO83" i="1"/>
  <c r="BM83" i="1"/>
  <c r="Y83" i="1"/>
  <c r="F562" i="1" s="1"/>
  <c r="P83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E562" i="1" s="1"/>
  <c r="P56" i="1"/>
  <c r="X53" i="1"/>
  <c r="X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2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6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3" i="1"/>
  <c r="Y43" i="1"/>
  <c r="Y53" i="1"/>
  <c r="Y62" i="1"/>
  <c r="Y70" i="1"/>
  <c r="Y74" i="1"/>
  <c r="Y80" i="1"/>
  <c r="Y87" i="1"/>
  <c r="Y95" i="1"/>
  <c r="Y106" i="1"/>
  <c r="Y114" i="1"/>
  <c r="Y120" i="1"/>
  <c r="Y131" i="1"/>
  <c r="Y139" i="1"/>
  <c r="Y145" i="1"/>
  <c r="Y156" i="1"/>
  <c r="Y160" i="1"/>
  <c r="Y167" i="1"/>
  <c r="Y171" i="1"/>
  <c r="Y185" i="1"/>
  <c r="Y191" i="1"/>
  <c r="Y211" i="1"/>
  <c r="Y234" i="1"/>
  <c r="Y242" i="1"/>
  <c r="Y248" i="1"/>
  <c r="Y252" i="1"/>
  <c r="Y257" i="1"/>
  <c r="Y263" i="1"/>
  <c r="Y273" i="1"/>
  <c r="BP279" i="1"/>
  <c r="BN279" i="1"/>
  <c r="Z279" i="1"/>
  <c r="BP283" i="1"/>
  <c r="BN283" i="1"/>
  <c r="Z283" i="1"/>
  <c r="BP287" i="1"/>
  <c r="BN287" i="1"/>
  <c r="Z287" i="1"/>
  <c r="Y294" i="1"/>
  <c r="BP291" i="1"/>
  <c r="BN291" i="1"/>
  <c r="Z291" i="1"/>
  <c r="Z293" i="1" s="1"/>
  <c r="BP300" i="1"/>
  <c r="BN300" i="1"/>
  <c r="Z300" i="1"/>
  <c r="Y304" i="1"/>
  <c r="BP316" i="1"/>
  <c r="BN316" i="1"/>
  <c r="Z316" i="1"/>
  <c r="Z318" i="1" s="1"/>
  <c r="Y328" i="1"/>
  <c r="BP325" i="1"/>
  <c r="BN325" i="1"/>
  <c r="Z325" i="1"/>
  <c r="BP339" i="1"/>
  <c r="BN339" i="1"/>
  <c r="Z339" i="1"/>
  <c r="Z343" i="1" s="1"/>
  <c r="Y343" i="1"/>
  <c r="BP347" i="1"/>
  <c r="BN347" i="1"/>
  <c r="Z347" i="1"/>
  <c r="Z348" i="1" s="1"/>
  <c r="Y349" i="1"/>
  <c r="S562" i="1"/>
  <c r="Y355" i="1"/>
  <c r="BP352" i="1"/>
  <c r="BN352" i="1"/>
  <c r="Z352" i="1"/>
  <c r="BP361" i="1"/>
  <c r="BN361" i="1"/>
  <c r="Z361" i="1"/>
  <c r="BP369" i="1"/>
  <c r="BN369" i="1"/>
  <c r="Z369" i="1"/>
  <c r="H9" i="1"/>
  <c r="B562" i="1"/>
  <c r="X553" i="1"/>
  <c r="X555" i="1" s="1"/>
  <c r="X554" i="1"/>
  <c r="Z23" i="1"/>
  <c r="Z24" i="1" s="1"/>
  <c r="BN23" i="1"/>
  <c r="Y553" i="1" s="1"/>
  <c r="Y24" i="1"/>
  <c r="X552" i="1"/>
  <c r="Z27" i="1"/>
  <c r="BN27" i="1"/>
  <c r="BP27" i="1"/>
  <c r="Y554" i="1" s="1"/>
  <c r="Z29" i="1"/>
  <c r="BN29" i="1"/>
  <c r="Z31" i="1"/>
  <c r="BN31" i="1"/>
  <c r="Z37" i="1"/>
  <c r="Z43" i="1" s="1"/>
  <c r="BN37" i="1"/>
  <c r="BP37" i="1"/>
  <c r="Z39" i="1"/>
  <c r="BN39" i="1"/>
  <c r="Z41" i="1"/>
  <c r="BN41" i="1"/>
  <c r="Y44" i="1"/>
  <c r="D562" i="1"/>
  <c r="Z49" i="1"/>
  <c r="Z52" i="1" s="1"/>
  <c r="BN49" i="1"/>
  <c r="Z51" i="1"/>
  <c r="BN51" i="1"/>
  <c r="Y52" i="1"/>
  <c r="Z56" i="1"/>
  <c r="Z62" i="1" s="1"/>
  <c r="BN56" i="1"/>
  <c r="BP56" i="1"/>
  <c r="Z58" i="1"/>
  <c r="BN58" i="1"/>
  <c r="Z60" i="1"/>
  <c r="BN60" i="1"/>
  <c r="Y63" i="1"/>
  <c r="Z66" i="1"/>
  <c r="Z69" i="1" s="1"/>
  <c r="BN66" i="1"/>
  <c r="Z68" i="1"/>
  <c r="BN68" i="1"/>
  <c r="Z72" i="1"/>
  <c r="Z74" i="1" s="1"/>
  <c r="BN72" i="1"/>
  <c r="BP72" i="1"/>
  <c r="Z78" i="1"/>
  <c r="Z79" i="1" s="1"/>
  <c r="BN78" i="1"/>
  <c r="Z83" i="1"/>
  <c r="BN83" i="1"/>
  <c r="BP83" i="1"/>
  <c r="Z85" i="1"/>
  <c r="BN85" i="1"/>
  <c r="Y88" i="1"/>
  <c r="Z91" i="1"/>
  <c r="Z94" i="1" s="1"/>
  <c r="BN91" i="1"/>
  <c r="Z93" i="1"/>
  <c r="BN93" i="1"/>
  <c r="Z98" i="1"/>
  <c r="BN98" i="1"/>
  <c r="BP98" i="1"/>
  <c r="Z100" i="1"/>
  <c r="BN100" i="1"/>
  <c r="Z102" i="1"/>
  <c r="BN102" i="1"/>
  <c r="Z104" i="1"/>
  <c r="BN104" i="1"/>
  <c r="Y105" i="1"/>
  <c r="Z108" i="1"/>
  <c r="BN108" i="1"/>
  <c r="BP108" i="1"/>
  <c r="Z110" i="1"/>
  <c r="BN110" i="1"/>
  <c r="Z112" i="1"/>
  <c r="BN112" i="1"/>
  <c r="Z116" i="1"/>
  <c r="Z120" i="1" s="1"/>
  <c r="BN116" i="1"/>
  <c r="BP116" i="1"/>
  <c r="Z118" i="1"/>
  <c r="BN118" i="1"/>
  <c r="H562" i="1"/>
  <c r="Z129" i="1"/>
  <c r="Z131" i="1" s="1"/>
  <c r="BN129" i="1"/>
  <c r="Y132" i="1"/>
  <c r="Z135" i="1"/>
  <c r="Z138" i="1" s="1"/>
  <c r="BN135" i="1"/>
  <c r="Z137" i="1"/>
  <c r="BN137" i="1"/>
  <c r="Z141" i="1"/>
  <c r="BN141" i="1"/>
  <c r="BP141" i="1"/>
  <c r="Z143" i="1"/>
  <c r="BN143" i="1"/>
  <c r="Z148" i="1"/>
  <c r="Z155" i="1" s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Z163" i="1"/>
  <c r="BN163" i="1"/>
  <c r="BP163" i="1"/>
  <c r="Z165" i="1"/>
  <c r="BN165" i="1"/>
  <c r="Y166" i="1"/>
  <c r="Z169" i="1"/>
  <c r="Z171" i="1" s="1"/>
  <c r="BN169" i="1"/>
  <c r="BP169" i="1"/>
  <c r="Z175" i="1"/>
  <c r="Z185" i="1" s="1"/>
  <c r="BN175" i="1"/>
  <c r="Z177" i="1"/>
  <c r="BN177" i="1"/>
  <c r="Z179" i="1"/>
  <c r="BN179" i="1"/>
  <c r="Z181" i="1"/>
  <c r="BN181" i="1"/>
  <c r="Z183" i="1"/>
  <c r="BN183" i="1"/>
  <c r="Z189" i="1"/>
  <c r="Z191" i="1" s="1"/>
  <c r="BN189" i="1"/>
  <c r="K562" i="1"/>
  <c r="Z205" i="1"/>
  <c r="Z211" i="1" s="1"/>
  <c r="BN205" i="1"/>
  <c r="Z207" i="1"/>
  <c r="BN207" i="1"/>
  <c r="Z209" i="1"/>
  <c r="BN209" i="1"/>
  <c r="Y212" i="1"/>
  <c r="L562" i="1"/>
  <c r="Y217" i="1"/>
  <c r="Z220" i="1"/>
  <c r="Z233" i="1" s="1"/>
  <c r="BN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6" i="1"/>
  <c r="Z241" i="1" s="1"/>
  <c r="BN236" i="1"/>
  <c r="BP236" i="1"/>
  <c r="Z238" i="1"/>
  <c r="BN238" i="1"/>
  <c r="Z240" i="1"/>
  <c r="BN240" i="1"/>
  <c r="Z244" i="1"/>
  <c r="BN244" i="1"/>
  <c r="BP244" i="1"/>
  <c r="Z246" i="1"/>
  <c r="BN246" i="1"/>
  <c r="Z250" i="1"/>
  <c r="Z251" i="1" s="1"/>
  <c r="BN250" i="1"/>
  <c r="BP250" i="1"/>
  <c r="Z255" i="1"/>
  <c r="Z257" i="1" s="1"/>
  <c r="BN255" i="1"/>
  <c r="BP255" i="1"/>
  <c r="Y258" i="1"/>
  <c r="Z261" i="1"/>
  <c r="Z262" i="1" s="1"/>
  <c r="BN261" i="1"/>
  <c r="Z265" i="1"/>
  <c r="BN265" i="1"/>
  <c r="BP265" i="1"/>
  <c r="Z267" i="1"/>
  <c r="BN267" i="1"/>
  <c r="Z269" i="1"/>
  <c r="BN269" i="1"/>
  <c r="Z271" i="1"/>
  <c r="BN271" i="1"/>
  <c r="BP277" i="1"/>
  <c r="BN277" i="1"/>
  <c r="Z277" i="1"/>
  <c r="Z288" i="1" s="1"/>
  <c r="BP281" i="1"/>
  <c r="BN281" i="1"/>
  <c r="Z281" i="1"/>
  <c r="BP285" i="1"/>
  <c r="BN285" i="1"/>
  <c r="Z285" i="1"/>
  <c r="Y293" i="1"/>
  <c r="BP298" i="1"/>
  <c r="BN298" i="1"/>
  <c r="Z298" i="1"/>
  <c r="BP302" i="1"/>
  <c r="BN302" i="1"/>
  <c r="Z302" i="1"/>
  <c r="Z304" i="1" s="1"/>
  <c r="BP323" i="1"/>
  <c r="BN323" i="1"/>
  <c r="Z323" i="1"/>
  <c r="Z327" i="1" s="1"/>
  <c r="Y327" i="1"/>
  <c r="Z334" i="1"/>
  <c r="BP332" i="1"/>
  <c r="BN332" i="1"/>
  <c r="Z332" i="1"/>
  <c r="BP341" i="1"/>
  <c r="BN341" i="1"/>
  <c r="Z341" i="1"/>
  <c r="BP354" i="1"/>
  <c r="BN354" i="1"/>
  <c r="Z354" i="1"/>
  <c r="Y356" i="1"/>
  <c r="T562" i="1"/>
  <c r="Y364" i="1"/>
  <c r="BP359" i="1"/>
  <c r="BN359" i="1"/>
  <c r="Z359" i="1"/>
  <c r="BP363" i="1"/>
  <c r="BN363" i="1"/>
  <c r="Z363" i="1"/>
  <c r="Y365" i="1"/>
  <c r="Y374" i="1"/>
  <c r="BP367" i="1"/>
  <c r="BN367" i="1"/>
  <c r="Z367" i="1"/>
  <c r="Y375" i="1"/>
  <c r="BP371" i="1"/>
  <c r="BN371" i="1"/>
  <c r="Z371" i="1"/>
  <c r="Z481" i="1"/>
  <c r="Y381" i="1"/>
  <c r="Y387" i="1"/>
  <c r="Y395" i="1"/>
  <c r="Y401" i="1"/>
  <c r="Y407" i="1"/>
  <c r="Y412" i="1"/>
  <c r="Y419" i="1"/>
  <c r="BP437" i="1"/>
  <c r="BN437" i="1"/>
  <c r="Z437" i="1"/>
  <c r="Y439" i="1"/>
  <c r="Y444" i="1"/>
  <c r="BP441" i="1"/>
  <c r="BN441" i="1"/>
  <c r="Z441" i="1"/>
  <c r="BP454" i="1"/>
  <c r="BN454" i="1"/>
  <c r="Z454" i="1"/>
  <c r="Z455" i="1" s="1"/>
  <c r="Y456" i="1"/>
  <c r="Y459" i="1"/>
  <c r="BP458" i="1"/>
  <c r="BN458" i="1"/>
  <c r="Z458" i="1"/>
  <c r="Z459" i="1" s="1"/>
  <c r="Y460" i="1"/>
  <c r="Y465" i="1"/>
  <c r="BP462" i="1"/>
  <c r="BN462" i="1"/>
  <c r="Z462" i="1"/>
  <c r="BP472" i="1"/>
  <c r="BN472" i="1"/>
  <c r="Z472" i="1"/>
  <c r="Y476" i="1"/>
  <c r="BP480" i="1"/>
  <c r="BN480" i="1"/>
  <c r="Z480" i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P562" i="1"/>
  <c r="X562" i="1"/>
  <c r="O562" i="1"/>
  <c r="Y305" i="1"/>
  <c r="Q562" i="1"/>
  <c r="Y335" i="1"/>
  <c r="R562" i="1"/>
  <c r="Y344" i="1"/>
  <c r="Z373" i="1"/>
  <c r="BN373" i="1"/>
  <c r="Z377" i="1"/>
  <c r="Z381" i="1" s="1"/>
  <c r="BN377" i="1"/>
  <c r="BP377" i="1"/>
  <c r="Z379" i="1"/>
  <c r="BN379" i="1"/>
  <c r="Z385" i="1"/>
  <c r="Z387" i="1" s="1"/>
  <c r="BN385" i="1"/>
  <c r="Z391" i="1"/>
  <c r="Z394" i="1" s="1"/>
  <c r="BN391" i="1"/>
  <c r="Z393" i="1"/>
  <c r="BN393" i="1"/>
  <c r="Z397" i="1"/>
  <c r="BN397" i="1"/>
  <c r="BP397" i="1"/>
  <c r="Z399" i="1"/>
  <c r="BN399" i="1"/>
  <c r="Z403" i="1"/>
  <c r="Z406" i="1" s="1"/>
  <c r="BN403" i="1"/>
  <c r="BP403" i="1"/>
  <c r="Z405" i="1"/>
  <c r="BN405" i="1"/>
  <c r="Z410" i="1"/>
  <c r="Z412" i="1" s="1"/>
  <c r="BN410" i="1"/>
  <c r="BP410" i="1"/>
  <c r="Y413" i="1"/>
  <c r="V562" i="1"/>
  <c r="Z417" i="1"/>
  <c r="Z419" i="1" s="1"/>
  <c r="BN417" i="1"/>
  <c r="Y420" i="1"/>
  <c r="W562" i="1"/>
  <c r="Y432" i="1"/>
  <c r="Z425" i="1"/>
  <c r="Z432" i="1" s="1"/>
  <c r="BN425" i="1"/>
  <c r="Z427" i="1"/>
  <c r="BN427" i="1"/>
  <c r="Z429" i="1"/>
  <c r="BN429" i="1"/>
  <c r="BP431" i="1"/>
  <c r="BN431" i="1"/>
  <c r="Z431" i="1"/>
  <c r="Y433" i="1"/>
  <c r="Y438" i="1"/>
  <c r="BP435" i="1"/>
  <c r="BN435" i="1"/>
  <c r="Z435" i="1"/>
  <c r="Z438" i="1" s="1"/>
  <c r="BP443" i="1"/>
  <c r="BN443" i="1"/>
  <c r="Z443" i="1"/>
  <c r="Y445" i="1"/>
  <c r="Y450" i="1"/>
  <c r="BP447" i="1"/>
  <c r="BN447" i="1"/>
  <c r="Z447" i="1"/>
  <c r="Z449" i="1" s="1"/>
  <c r="Y455" i="1"/>
  <c r="BP464" i="1"/>
  <c r="BN464" i="1"/>
  <c r="Z464" i="1"/>
  <c r="Y466" i="1"/>
  <c r="Y562" i="1"/>
  <c r="Y477" i="1"/>
  <c r="BP470" i="1"/>
  <c r="BN470" i="1"/>
  <c r="Z470" i="1"/>
  <c r="Z476" i="1" s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Z512" i="1" s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51" i="1"/>
  <c r="Y555" i="1" l="1"/>
  <c r="Z400" i="1"/>
  <c r="Z522" i="1"/>
  <c r="Z444" i="1"/>
  <c r="Z374" i="1"/>
  <c r="Z364" i="1"/>
  <c r="Z273" i="1"/>
  <c r="Z247" i="1"/>
  <c r="Z166" i="1"/>
  <c r="Z144" i="1"/>
  <c r="Z113" i="1"/>
  <c r="Z105" i="1"/>
  <c r="Z87" i="1"/>
  <c r="Z32" i="1"/>
  <c r="Z557" i="1" s="1"/>
  <c r="Y556" i="1"/>
  <c r="Z355" i="1"/>
  <c r="Y552" i="1"/>
  <c r="Z506" i="1"/>
  <c r="Z492" i="1"/>
  <c r="Z465" i="1"/>
</calcChain>
</file>

<file path=xl/sharedStrings.xml><?xml version="1.0" encoding="utf-8"?>
<sst xmlns="http://schemas.openxmlformats.org/spreadsheetml/2006/main" count="2497" uniqueCount="905">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</sst>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58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2"/>
  <sheetViews>
    <sheetView showGridLines="0" tabSelected="1" topLeftCell="A537" zoomScaleNormal="100" zoomScaleSheetLayoutView="100" workbookViewId="0">
      <selection activeCell="AA558" sqref="AA558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717" t="s">
        <v>0</v>
      </c>
      <c r="E1" s="662"/>
      <c r="F1" s="662"/>
      <c r="G1" s="12" t="s">
        <v>1</v>
      </c>
      <c r="H1" s="717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68" t="s">
        <v>7</v>
      </c>
      <c r="B5" s="737"/>
      <c r="C5" s="738"/>
      <c r="D5" s="721"/>
      <c r="E5" s="722"/>
      <c r="F5" s="952" t="s">
        <v>8</v>
      </c>
      <c r="G5" s="738"/>
      <c r="H5" s="721"/>
      <c r="I5" s="891"/>
      <c r="J5" s="891"/>
      <c r="K5" s="891"/>
      <c r="L5" s="891"/>
      <c r="M5" s="722"/>
      <c r="N5" s="58"/>
      <c r="P5" s="24" t="s">
        <v>9</v>
      </c>
      <c r="Q5" s="966">
        <v>46258</v>
      </c>
      <c r="R5" s="765"/>
      <c r="T5" s="818" t="s">
        <v>10</v>
      </c>
      <c r="U5" s="790"/>
      <c r="V5" s="819" t="s">
        <v>11</v>
      </c>
      <c r="W5" s="765"/>
      <c r="AB5" s="51"/>
      <c r="AC5" s="51"/>
      <c r="AD5" s="51"/>
      <c r="AE5" s="51"/>
    </row>
    <row r="6" spans="1:32" s="623" customFormat="1" ht="24" customHeight="1" x14ac:dyDescent="0.2">
      <c r="A6" s="768" t="s">
        <v>12</v>
      </c>
      <c r="B6" s="737"/>
      <c r="C6" s="738"/>
      <c r="D6" s="894"/>
      <c r="E6" s="895"/>
      <c r="F6" s="895"/>
      <c r="G6" s="895"/>
      <c r="H6" s="895"/>
      <c r="I6" s="895"/>
      <c r="J6" s="895"/>
      <c r="K6" s="895"/>
      <c r="L6" s="895"/>
      <c r="M6" s="765"/>
      <c r="N6" s="59"/>
      <c r="P6" s="24" t="s">
        <v>13</v>
      </c>
      <c r="Q6" s="975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4" t="s">
        <v>14</v>
      </c>
      <c r="U6" s="790"/>
      <c r="V6" s="878" t="s">
        <v>15</v>
      </c>
      <c r="W6" s="685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691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60"/>
      <c r="P7" s="24"/>
      <c r="Q7" s="42"/>
      <c r="R7" s="42"/>
      <c r="T7" s="643"/>
      <c r="U7" s="790"/>
      <c r="V7" s="879"/>
      <c r="W7" s="880"/>
      <c r="AB7" s="51"/>
      <c r="AC7" s="51"/>
      <c r="AD7" s="51"/>
      <c r="AE7" s="51"/>
    </row>
    <row r="8" spans="1:32" s="623" customFormat="1" ht="25.5" customHeight="1" x14ac:dyDescent="0.2">
      <c r="A8" s="992" t="s">
        <v>16</v>
      </c>
      <c r="B8" s="647"/>
      <c r="C8" s="648"/>
      <c r="D8" s="706"/>
      <c r="E8" s="707"/>
      <c r="F8" s="707"/>
      <c r="G8" s="707"/>
      <c r="H8" s="707"/>
      <c r="I8" s="707"/>
      <c r="J8" s="707"/>
      <c r="K8" s="707"/>
      <c r="L8" s="707"/>
      <c r="M8" s="708"/>
      <c r="N8" s="61"/>
      <c r="P8" s="24" t="s">
        <v>17</v>
      </c>
      <c r="Q8" s="778">
        <v>0.41666666666666669</v>
      </c>
      <c r="R8" s="693"/>
      <c r="T8" s="643"/>
      <c r="U8" s="790"/>
      <c r="V8" s="879"/>
      <c r="W8" s="880"/>
      <c r="AB8" s="51"/>
      <c r="AC8" s="51"/>
      <c r="AD8" s="51"/>
      <c r="AE8" s="51"/>
    </row>
    <row r="9" spans="1:32" s="623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3"/>
      <c r="E9" s="652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1"/>
      <c r="P9" s="26" t="s">
        <v>18</v>
      </c>
      <c r="Q9" s="761"/>
      <c r="R9" s="762"/>
      <c r="T9" s="643"/>
      <c r="U9" s="790"/>
      <c r="V9" s="881"/>
      <c r="W9" s="882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3"/>
      <c r="E10" s="652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5"/>
      <c r="R10" s="826"/>
      <c r="U10" s="24" t="s">
        <v>20</v>
      </c>
      <c r="V10" s="684" t="s">
        <v>21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4"/>
      <c r="R11" s="765"/>
      <c r="U11" s="24" t="s">
        <v>24</v>
      </c>
      <c r="V11" s="920" t="s">
        <v>25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13" t="s">
        <v>26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738"/>
      <c r="N12" s="62"/>
      <c r="P12" s="24" t="s">
        <v>27</v>
      </c>
      <c r="Q12" s="778"/>
      <c r="R12" s="693"/>
      <c r="S12" s="23"/>
      <c r="U12" s="24"/>
      <c r="V12" s="662"/>
      <c r="W12" s="643"/>
      <c r="AB12" s="51"/>
      <c r="AC12" s="51"/>
      <c r="AD12" s="51"/>
      <c r="AE12" s="51"/>
    </row>
    <row r="13" spans="1:32" s="623" customFormat="1" ht="23.25" customHeight="1" x14ac:dyDescent="0.2">
      <c r="A13" s="813" t="s">
        <v>28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738"/>
      <c r="N13" s="62"/>
      <c r="O13" s="26"/>
      <c r="P13" s="26" t="s">
        <v>29</v>
      </c>
      <c r="Q13" s="920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13" t="s">
        <v>30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73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40" t="s">
        <v>31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738"/>
      <c r="N15" s="63"/>
      <c r="P15" s="800" t="s">
        <v>32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1"/>
      <c r="Q16" s="801"/>
      <c r="R16" s="801"/>
      <c r="S16" s="801"/>
      <c r="T16" s="8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33</v>
      </c>
      <c r="B17" s="679" t="s">
        <v>34</v>
      </c>
      <c r="C17" s="787" t="s">
        <v>35</v>
      </c>
      <c r="D17" s="679" t="s">
        <v>36</v>
      </c>
      <c r="E17" s="744"/>
      <c r="F17" s="679" t="s">
        <v>37</v>
      </c>
      <c r="G17" s="679" t="s">
        <v>38</v>
      </c>
      <c r="H17" s="679" t="s">
        <v>39</v>
      </c>
      <c r="I17" s="679" t="s">
        <v>40</v>
      </c>
      <c r="J17" s="679" t="s">
        <v>41</v>
      </c>
      <c r="K17" s="679" t="s">
        <v>42</v>
      </c>
      <c r="L17" s="679" t="s">
        <v>43</v>
      </c>
      <c r="M17" s="679" t="s">
        <v>44</v>
      </c>
      <c r="N17" s="679" t="s">
        <v>45</v>
      </c>
      <c r="O17" s="679" t="s">
        <v>46</v>
      </c>
      <c r="P17" s="679" t="s">
        <v>47</v>
      </c>
      <c r="Q17" s="743"/>
      <c r="R17" s="743"/>
      <c r="S17" s="743"/>
      <c r="T17" s="744"/>
      <c r="U17" s="991" t="s">
        <v>48</v>
      </c>
      <c r="V17" s="738"/>
      <c r="W17" s="679" t="s">
        <v>49</v>
      </c>
      <c r="X17" s="679" t="s">
        <v>50</v>
      </c>
      <c r="Y17" s="989" t="s">
        <v>51</v>
      </c>
      <c r="Z17" s="889" t="s">
        <v>52</v>
      </c>
      <c r="AA17" s="870" t="s">
        <v>53</v>
      </c>
      <c r="AB17" s="870" t="s">
        <v>54</v>
      </c>
      <c r="AC17" s="870" t="s">
        <v>55</v>
      </c>
      <c r="AD17" s="870" t="s">
        <v>56</v>
      </c>
      <c r="AE17" s="947"/>
      <c r="AF17" s="948"/>
      <c r="AG17" s="66"/>
      <c r="BD17" s="65" t="s">
        <v>57</v>
      </c>
    </row>
    <row r="18" spans="1:68" ht="14.25" customHeight="1" x14ac:dyDescent="0.2">
      <c r="A18" s="680"/>
      <c r="B18" s="680"/>
      <c r="C18" s="680"/>
      <c r="D18" s="745"/>
      <c r="E18" s="747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5"/>
      <c r="Q18" s="746"/>
      <c r="R18" s="746"/>
      <c r="S18" s="746"/>
      <c r="T18" s="747"/>
      <c r="U18" s="67" t="s">
        <v>58</v>
      </c>
      <c r="V18" s="67" t="s">
        <v>59</v>
      </c>
      <c r="W18" s="680"/>
      <c r="X18" s="680"/>
      <c r="Y18" s="990"/>
      <c r="Z18" s="890"/>
      <c r="AA18" s="871"/>
      <c r="AB18" s="871"/>
      <c r="AC18" s="871"/>
      <c r="AD18" s="949"/>
      <c r="AE18" s="950"/>
      <c r="AF18" s="951"/>
      <c r="AG18" s="66"/>
      <c r="BD18" s="65"/>
    </row>
    <row r="19" spans="1:68" ht="27.75" customHeight="1" x14ac:dyDescent="0.2">
      <c r="A19" s="649" t="s">
        <v>60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48"/>
      <c r="AB19" s="48"/>
      <c r="AC19" s="48"/>
    </row>
    <row r="20" spans="1:68" ht="16.5" customHeight="1" x14ac:dyDescent="0.25">
      <c r="A20" s="677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customHeight="1" x14ac:dyDescent="0.25">
      <c r="A21" s="653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8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customHeight="1" x14ac:dyDescent="0.25">
      <c r="A26" s="653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6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7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customHeight="1" x14ac:dyDescent="0.2">
      <c r="A34" s="649" t="s">
        <v>91</v>
      </c>
      <c r="B34" s="650"/>
      <c r="C34" s="650"/>
      <c r="D34" s="650"/>
      <c r="E34" s="650"/>
      <c r="F34" s="650"/>
      <c r="G34" s="650"/>
      <c r="H34" s="650"/>
      <c r="I34" s="650"/>
      <c r="J34" s="650"/>
      <c r="K34" s="650"/>
      <c r="L34" s="650"/>
      <c r="M34" s="650"/>
      <c r="N34" s="650"/>
      <c r="O34" s="650"/>
      <c r="P34" s="650"/>
      <c r="Q34" s="650"/>
      <c r="R34" s="650"/>
      <c r="S34" s="650"/>
      <c r="T34" s="650"/>
      <c r="U34" s="650"/>
      <c r="V34" s="650"/>
      <c r="W34" s="650"/>
      <c r="X34" s="650"/>
      <c r="Y34" s="650"/>
      <c r="Z34" s="650"/>
      <c r="AA34" s="48"/>
      <c r="AB34" s="48"/>
      <c r="AC34" s="48"/>
    </row>
    <row r="35" spans="1:68" ht="16.5" customHeight="1" x14ac:dyDescent="0.25">
      <c r="A35" s="677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customHeight="1" x14ac:dyDescent="0.25">
      <c r="A36" s="653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8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customHeight="1" x14ac:dyDescent="0.2">
      <c r="A45" s="649" t="s">
        <v>110</v>
      </c>
      <c r="B45" s="650"/>
      <c r="C45" s="650"/>
      <c r="D45" s="650"/>
      <c r="E45" s="650"/>
      <c r="F45" s="650"/>
      <c r="G45" s="650"/>
      <c r="H45" s="650"/>
      <c r="I45" s="650"/>
      <c r="J45" s="650"/>
      <c r="K45" s="650"/>
      <c r="L45" s="650"/>
      <c r="M45" s="650"/>
      <c r="N45" s="650"/>
      <c r="O45" s="650"/>
      <c r="P45" s="650"/>
      <c r="Q45" s="650"/>
      <c r="R45" s="650"/>
      <c r="S45" s="650"/>
      <c r="T45" s="650"/>
      <c r="U45" s="650"/>
      <c r="V45" s="650"/>
      <c r="W45" s="650"/>
      <c r="X45" s="650"/>
      <c r="Y45" s="650"/>
      <c r="Z45" s="650"/>
      <c r="AA45" s="48"/>
      <c r="AB45" s="48"/>
      <c r="AC45" s="48"/>
    </row>
    <row r="46" spans="1:68" ht="16.5" customHeight="1" x14ac:dyDescent="0.25">
      <c r="A46" s="677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customHeight="1" x14ac:dyDescent="0.25">
      <c r="A47" s="653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91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74</v>
      </c>
      <c r="Y48" s="630">
        <f>IFERROR(IF(X48="",0,CEILING((X48/$H48),1)*$H48),"")</f>
        <v>75.600000000000009</v>
      </c>
      <c r="Z48" s="36">
        <f>IFERROR(IF(Y48=0,"",ROUNDUP(Y48/H48,0)*0.01898),"")</f>
        <v>0.13286000000000001</v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76.809259259259264</v>
      </c>
      <c r="BN48" s="64">
        <f>IFERROR(Y48*I48/H48,"0")</f>
        <v>78.47</v>
      </c>
      <c r="BO48" s="64">
        <f>IFERROR(1/J48*(X48/H48),"0")</f>
        <v>0.10706018518518517</v>
      </c>
      <c r="BP48" s="64">
        <f>IFERROR(1/J48*(Y48/H48),"0")</f>
        <v>0.109375</v>
      </c>
    </row>
    <row r="49" spans="1:68" ht="27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16</v>
      </c>
      <c r="Y50" s="630">
        <f>IFERROR(IF(X50="",0,CEILING((X50/$H50),1)*$H50),"")</f>
        <v>16</v>
      </c>
      <c r="Z50" s="36">
        <f>IFERROR(IF(Y50=0,"",ROUNDUP(Y50/H50,0)*0.00902),"")</f>
        <v>3.6080000000000001E-2</v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16.760000000000002</v>
      </c>
      <c r="BN50" s="64">
        <f>IFERROR(Y50*I50/H50,"0")</f>
        <v>16.760000000000002</v>
      </c>
      <c r="BO50" s="64">
        <f>IFERROR(1/J50*(X50/H50),"0")</f>
        <v>3.0303030303030304E-2</v>
      </c>
      <c r="BP50" s="64">
        <f>IFERROR(1/J50*(Y50/H50),"0")</f>
        <v>3.0303030303030304E-2</v>
      </c>
    </row>
    <row r="51" spans="1:68" ht="27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89</v>
      </c>
      <c r="Y51" s="630">
        <f>IFERROR(IF(X51="",0,CEILING((X51/$H51),1)*$H51),"")</f>
        <v>92.5</v>
      </c>
      <c r="Z51" s="36">
        <f>IFERROR(IF(Y51=0,"",ROUNDUP(Y51/H51,0)*0.00902),"")</f>
        <v>0.22550000000000001</v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93.570270270270271</v>
      </c>
      <c r="BN51" s="64">
        <f>IFERROR(Y51*I51/H51,"0")</f>
        <v>97.249999999999986</v>
      </c>
      <c r="BO51" s="64">
        <f>IFERROR(1/J51*(X51/H51),"0")</f>
        <v>0.18222768222768221</v>
      </c>
      <c r="BP51" s="64">
        <f>IFERROR(1/J51*(Y51/H51),"0")</f>
        <v>0.18939393939393939</v>
      </c>
    </row>
    <row r="52" spans="1:68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34.905905905905904</v>
      </c>
      <c r="Y52" s="631">
        <f>IFERROR(Y48/H48,"0")+IFERROR(Y49/H49,"0")+IFERROR(Y50/H50,"0")+IFERROR(Y51/H51,"0")</f>
        <v>36</v>
      </c>
      <c r="Z52" s="631">
        <f>IFERROR(IF(Z48="",0,Z48),"0")+IFERROR(IF(Z49="",0,Z49),"0")+IFERROR(IF(Z50="",0,Z50),"0")+IFERROR(IF(Z51="",0,Z51),"0")</f>
        <v>0.39444000000000001</v>
      </c>
      <c r="AA52" s="632"/>
      <c r="AB52" s="632"/>
      <c r="AC52" s="632"/>
    </row>
    <row r="53" spans="1:68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179</v>
      </c>
      <c r="Y53" s="631">
        <f>IFERROR(SUM(Y48:Y51),"0")</f>
        <v>184.10000000000002</v>
      </c>
      <c r="Z53" s="37"/>
      <c r="AA53" s="632"/>
      <c r="AB53" s="632"/>
      <c r="AC53" s="632"/>
    </row>
    <row r="54" spans="1:68" ht="16.5" customHeight="1" x14ac:dyDescent="0.25">
      <c r="A54" s="677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customHeight="1" x14ac:dyDescent="0.25">
      <c r="A55" s="653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6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5</v>
      </c>
      <c r="Y56" s="630">
        <f t="shared" ref="Y56:Y61" si="6">IFERROR(IF(X56="",0,CEILING((X56/$H56),1)*$H56),"")</f>
        <v>11.2</v>
      </c>
      <c r="Z56" s="36">
        <f>IFERROR(IF(Y56=0,"",ROUNDUP(Y56/H56,0)*0.01898),"")</f>
        <v>1.898E-2</v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5.1830357142857144</v>
      </c>
      <c r="BN56" s="64">
        <f t="shared" ref="BN56:BN61" si="8">IFERROR(Y56*I56/H56,"0")</f>
        <v>11.61</v>
      </c>
      <c r="BO56" s="64">
        <f t="shared" ref="BO56:BO61" si="9">IFERROR(1/J56*(X56/H56),"0")</f>
        <v>6.9754464285714289E-3</v>
      </c>
      <c r="BP56" s="64">
        <f t="shared" ref="BP56:BP61" si="10">IFERROR(1/J56*(Y56/H56),"0")</f>
        <v>1.5625E-2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38</v>
      </c>
      <c r="Y57" s="630">
        <f t="shared" si="6"/>
        <v>43.2</v>
      </c>
      <c r="Z57" s="36">
        <f>IFERROR(IF(Y57=0,"",ROUNDUP(Y57/H57,0)*0.01898),"")</f>
        <v>7.5920000000000001E-2</v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39.44259259259259</v>
      </c>
      <c r="BN57" s="64">
        <f t="shared" si="8"/>
        <v>44.84</v>
      </c>
      <c r="BO57" s="64">
        <f t="shared" si="9"/>
        <v>5.4976851851851846E-2</v>
      </c>
      <c r="BP57" s="64">
        <f t="shared" si="10"/>
        <v>6.25E-2</v>
      </c>
    </row>
    <row r="58" spans="1:68" ht="27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10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9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0</v>
      </c>
      <c r="Y59" s="630">
        <f t="shared" si="6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0</v>
      </c>
      <c r="BN59" s="64">
        <f t="shared" si="8"/>
        <v>0</v>
      </c>
      <c r="BO59" s="64">
        <f t="shared" si="9"/>
        <v>0</v>
      </c>
      <c r="BP59" s="64">
        <f t="shared" si="10"/>
        <v>0</v>
      </c>
    </row>
    <row r="60" spans="1:68" ht="27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9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33</v>
      </c>
      <c r="Y61" s="630">
        <f t="shared" si="6"/>
        <v>36</v>
      </c>
      <c r="Z61" s="36">
        <f>IFERROR(IF(Y61=0,"",ROUNDUP(Y61/H61,0)*0.00902),"")</f>
        <v>7.2160000000000002E-2</v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34.393333333333338</v>
      </c>
      <c r="BN61" s="64">
        <f t="shared" si="8"/>
        <v>37.520000000000003</v>
      </c>
      <c r="BO61" s="64">
        <f t="shared" si="9"/>
        <v>5.5555555555555552E-2</v>
      </c>
      <c r="BP61" s="64">
        <f t="shared" si="10"/>
        <v>6.0606060606060608E-2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11.298280423280422</v>
      </c>
      <c r="Y62" s="631">
        <f>IFERROR(Y56/H56,"0")+IFERROR(Y57/H57,"0")+IFERROR(Y58/H58,"0")+IFERROR(Y59/H59,"0")+IFERROR(Y60/H60,"0")+IFERROR(Y61/H61,"0")</f>
        <v>13</v>
      </c>
      <c r="Z62" s="631">
        <f>IFERROR(IF(Z56="",0,Z56),"0")+IFERROR(IF(Z57="",0,Z57),"0")+IFERROR(IF(Z58="",0,Z58),"0")+IFERROR(IF(Z59="",0,Z59),"0")+IFERROR(IF(Z60="",0,Z60),"0")+IFERROR(IF(Z61="",0,Z61),"0")</f>
        <v>0.16705999999999999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76</v>
      </c>
      <c r="Y63" s="631">
        <f>IFERROR(SUM(Y56:Y61),"0")</f>
        <v>90.4</v>
      </c>
      <c r="Z63" s="37"/>
      <c r="AA63" s="632"/>
      <c r="AB63" s="632"/>
      <c r="AC63" s="632"/>
    </row>
    <row r="64" spans="1:68" ht="14.25" customHeight="1" x14ac:dyDescent="0.25">
      <c r="A64" s="653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0</v>
      </c>
      <c r="Y65" s="630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0</v>
      </c>
      <c r="Y69" s="631">
        <f>IFERROR(Y65/H65,"0")+IFERROR(Y66/H66,"0")+IFERROR(Y67/H67,"0")+IFERROR(Y68/H68,"0")</f>
        <v>0</v>
      </c>
      <c r="Z69" s="631">
        <f>IFERROR(IF(Z65="",0,Z65),"0")+IFERROR(IF(Z66="",0,Z66),"0")+IFERROR(IF(Z67="",0,Z67),"0")+IFERROR(IF(Z68="",0,Z68),"0")</f>
        <v>0</v>
      </c>
      <c r="AA69" s="632"/>
      <c r="AB69" s="632"/>
      <c r="AC69" s="632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0</v>
      </c>
      <c r="Y70" s="631">
        <f>IFERROR(SUM(Y65:Y68),"0")</f>
        <v>0</v>
      </c>
      <c r="Z70" s="37"/>
      <c r="AA70" s="632"/>
      <c r="AB70" s="632"/>
      <c r="AC70" s="632"/>
    </row>
    <row r="71" spans="1:68" ht="14.25" customHeight="1" x14ac:dyDescent="0.25">
      <c r="A71" s="653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9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customHeight="1" x14ac:dyDescent="0.25">
      <c r="A76" s="653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0</v>
      </c>
      <c r="Y77" s="630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0</v>
      </c>
      <c r="Y79" s="631">
        <f>IFERROR(Y77/H77,"0")+IFERROR(Y78/H78,"0")</f>
        <v>0</v>
      </c>
      <c r="Z79" s="631">
        <f>IFERROR(IF(Z77="",0,Z77),"0")+IFERROR(IF(Z78="",0,Z78),"0")</f>
        <v>0</v>
      </c>
      <c r="AA79" s="632"/>
      <c r="AB79" s="632"/>
      <c r="AC79" s="632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0</v>
      </c>
      <c r="Y80" s="631">
        <f>IFERROR(SUM(Y77:Y78),"0")</f>
        <v>0</v>
      </c>
      <c r="Z80" s="37"/>
      <c r="AA80" s="632"/>
      <c r="AB80" s="632"/>
      <c r="AC80" s="632"/>
    </row>
    <row r="81" spans="1:68" ht="16.5" customHeight="1" x14ac:dyDescent="0.25">
      <c r="A81" s="677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customHeight="1" x14ac:dyDescent="0.25">
      <c r="A82" s="653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25</v>
      </c>
      <c r="Y83" s="630">
        <f>IFERROR(IF(X83="",0,CEILING((X83/$H83),1)*$H83),"")</f>
        <v>32.400000000000006</v>
      </c>
      <c r="Z83" s="36">
        <f>IFERROR(IF(Y83=0,"",ROUNDUP(Y83/H83,0)*0.01898),"")</f>
        <v>5.6940000000000004E-2</v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25.949074074074073</v>
      </c>
      <c r="BN83" s="64">
        <f>IFERROR(Y83*I83/H83,"0")</f>
        <v>33.630000000000003</v>
      </c>
      <c r="BO83" s="64">
        <f>IFERROR(1/J83*(X83/H83),"0")</f>
        <v>3.6168981481481483E-2</v>
      </c>
      <c r="BP83" s="64">
        <f>IFERROR(1/J83*(Y83/H83),"0")</f>
        <v>4.6875000000000007E-2</v>
      </c>
    </row>
    <row r="84" spans="1:68" ht="27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8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89</v>
      </c>
      <c r="Y86" s="630">
        <f>IFERROR(IF(X86="",0,CEILING((X86/$H86),1)*$H86),"")</f>
        <v>90</v>
      </c>
      <c r="Z86" s="36">
        <f>IFERROR(IF(Y86=0,"",ROUNDUP(Y86/H86,0)*0.00902),"")</f>
        <v>0.1804</v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92.75777777777779</v>
      </c>
      <c r="BN86" s="64">
        <f>IFERROR(Y86*I86/H86,"0")</f>
        <v>93.800000000000011</v>
      </c>
      <c r="BO86" s="64">
        <f>IFERROR(1/J86*(X86/H86),"0")</f>
        <v>0.14983164983164984</v>
      </c>
      <c r="BP86" s="64">
        <f>IFERROR(1/J86*(Y86/H86),"0")</f>
        <v>0.15151515151515152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22.092592592592595</v>
      </c>
      <c r="Y87" s="631">
        <f>IFERROR(Y83/H83,"0")+IFERROR(Y84/H84,"0")+IFERROR(Y85/H85,"0")+IFERROR(Y86/H86,"0")</f>
        <v>23</v>
      </c>
      <c r="Z87" s="631">
        <f>IFERROR(IF(Z83="",0,Z83),"0")+IFERROR(IF(Z84="",0,Z84),"0")+IFERROR(IF(Z85="",0,Z85),"0")+IFERROR(IF(Z86="",0,Z86),"0")</f>
        <v>0.23734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114</v>
      </c>
      <c r="Y88" s="631">
        <f>IFERROR(SUM(Y83:Y86),"0")</f>
        <v>122.4</v>
      </c>
      <c r="Z88" s="37"/>
      <c r="AA88" s="632"/>
      <c r="AB88" s="632"/>
      <c r="AC88" s="632"/>
    </row>
    <row r="89" spans="1:68" ht="14.25" customHeight="1" x14ac:dyDescent="0.25">
      <c r="A89" s="653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385</v>
      </c>
      <c r="Y90" s="630">
        <f>IFERROR(IF(X90="",0,CEILING((X90/$H90),1)*$H90),"")</f>
        <v>388.79999999999995</v>
      </c>
      <c r="Z90" s="36">
        <f>IFERROR(IF(Y90=0,"",ROUNDUP(Y90/H90,0)*0.01898),"")</f>
        <v>0.91104000000000007</v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408.48024691358023</v>
      </c>
      <c r="BN90" s="64">
        <f>IFERROR(Y90*I90/H90,"0")</f>
        <v>412.51199999999994</v>
      </c>
      <c r="BO90" s="64">
        <f>IFERROR(1/J90*(X90/H90),"0")</f>
        <v>0.7426697530864198</v>
      </c>
      <c r="BP90" s="64">
        <f>IFERROR(1/J90*(Y90/H90),"0")</f>
        <v>0.75</v>
      </c>
    </row>
    <row r="91" spans="1:68" ht="27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8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6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158</v>
      </c>
      <c r="Y92" s="630">
        <f>IFERROR(IF(X92="",0,CEILING((X92/$H92),1)*$H92),"")</f>
        <v>159.30000000000001</v>
      </c>
      <c r="Z92" s="36">
        <f>IFERROR(IF(Y92=0,"",ROUNDUP(Y92/H92,0)*0.00651),"")</f>
        <v>0.38408999999999999</v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172.74666666666664</v>
      </c>
      <c r="BN92" s="64">
        <f>IFERROR(Y92*I92/H92,"0")</f>
        <v>174.16799999999998</v>
      </c>
      <c r="BO92" s="64">
        <f>IFERROR(1/J92*(X92/H92),"0")</f>
        <v>0.32153032153032152</v>
      </c>
      <c r="BP92" s="64">
        <f>IFERROR(1/J92*(Y92/H92),"0")</f>
        <v>0.32417582417582419</v>
      </c>
    </row>
    <row r="93" spans="1:68" ht="16.5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106.04938271604938</v>
      </c>
      <c r="Y94" s="631">
        <f>IFERROR(Y90/H90,"0")+IFERROR(Y91/H91,"0")+IFERROR(Y92/H92,"0")+IFERROR(Y93/H93,"0")</f>
        <v>107</v>
      </c>
      <c r="Z94" s="631">
        <f>IFERROR(IF(Z90="",0,Z90),"0")+IFERROR(IF(Z91="",0,Z91),"0")+IFERROR(IF(Z92="",0,Z92),"0")+IFERROR(IF(Z93="",0,Z93),"0")</f>
        <v>1.2951300000000001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543</v>
      </c>
      <c r="Y95" s="631">
        <f>IFERROR(SUM(Y90:Y93),"0")</f>
        <v>548.09999999999991</v>
      </c>
      <c r="Z95" s="37"/>
      <c r="AA95" s="632"/>
      <c r="AB95" s="632"/>
      <c r="AC95" s="632"/>
    </row>
    <row r="96" spans="1:68" ht="16.5" customHeight="1" x14ac:dyDescent="0.25">
      <c r="A96" s="677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customHeight="1" x14ac:dyDescent="0.25">
      <c r="A97" s="653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4</v>
      </c>
      <c r="Y98" s="630">
        <f t="shared" ref="Y98:Y104" si="11">IFERROR(IF(X98="",0,CEILING((X98/$H98),1)*$H98),"")</f>
        <v>10.8</v>
      </c>
      <c r="Z98" s="36">
        <f>IFERROR(IF(Y98=0,"",ROUNDUP(Y98/H98,0)*0.01898),"")</f>
        <v>1.898E-2</v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4.1518518518518519</v>
      </c>
      <c r="BN98" s="64">
        <f t="shared" ref="BN98:BN104" si="13">IFERROR(Y98*I98/H98,"0")</f>
        <v>11.21</v>
      </c>
      <c r="BO98" s="64">
        <f t="shared" ref="BO98:BO104" si="14">IFERROR(1/J98*(X98/H98),"0")</f>
        <v>5.7870370370370367E-3</v>
      </c>
      <c r="BP98" s="64">
        <f t="shared" ref="BP98:BP104" si="15">IFERROR(1/J98*(Y98/H98),"0")</f>
        <v>1.5625E-2</v>
      </c>
    </row>
    <row r="99" spans="1:68" ht="27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0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7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126</v>
      </c>
      <c r="Y103" s="630">
        <f t="shared" si="11"/>
        <v>126</v>
      </c>
      <c r="Z103" s="36">
        <f>IFERROR(IF(Y103=0,"",ROUNDUP(Y103/H103,0)*0.00902),"")</f>
        <v>0.25256000000000001</v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131.32000000000002</v>
      </c>
      <c r="BN103" s="64">
        <f t="shared" si="13"/>
        <v>131.32000000000002</v>
      </c>
      <c r="BO103" s="64">
        <f t="shared" si="14"/>
        <v>0.21212121212121213</v>
      </c>
      <c r="BP103" s="64">
        <f t="shared" si="15"/>
        <v>0.21212121212121213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28.37037037037037</v>
      </c>
      <c r="Y105" s="631">
        <f>IFERROR(Y98/H98,"0")+IFERROR(Y99/H99,"0")+IFERROR(Y100/H100,"0")+IFERROR(Y101/H101,"0")+IFERROR(Y102/H102,"0")+IFERROR(Y103/H103,"0")+IFERROR(Y104/H104,"0")</f>
        <v>29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0.27154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130</v>
      </c>
      <c r="Y106" s="631">
        <f>IFERROR(SUM(Y98:Y104),"0")</f>
        <v>136.80000000000001</v>
      </c>
      <c r="Z106" s="37"/>
      <c r="AA106" s="632"/>
      <c r="AB106" s="632"/>
      <c r="AC106" s="632"/>
    </row>
    <row r="107" spans="1:68" ht="14.25" customHeight="1" x14ac:dyDescent="0.25">
      <c r="A107" s="653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0</v>
      </c>
      <c r="Y108" s="63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6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1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0</v>
      </c>
      <c r="Y112" s="630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0</v>
      </c>
      <c r="Y113" s="631">
        <f>IFERROR(Y108/H108,"0")+IFERROR(Y109/H109,"0")+IFERROR(Y110/H110,"0")+IFERROR(Y111/H111,"0")+IFERROR(Y112/H112,"0")</f>
        <v>0</v>
      </c>
      <c r="Z113" s="631">
        <f>IFERROR(IF(Z108="",0,Z108),"0")+IFERROR(IF(Z109="",0,Z109),"0")+IFERROR(IF(Z110="",0,Z110),"0")+IFERROR(IF(Z111="",0,Z111),"0")+IFERROR(IF(Z112="",0,Z112),"0")</f>
        <v>0</v>
      </c>
      <c r="AA113" s="632"/>
      <c r="AB113" s="632"/>
      <c r="AC113" s="632"/>
    </row>
    <row r="114" spans="1:68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0</v>
      </c>
      <c r="Y114" s="631">
        <f>IFERROR(SUM(Y108:Y112),"0")</f>
        <v>0</v>
      </c>
      <c r="Z114" s="37"/>
      <c r="AA114" s="632"/>
      <c r="AB114" s="632"/>
      <c r="AC114" s="632"/>
    </row>
    <row r="115" spans="1:68" ht="14.25" customHeight="1" x14ac:dyDescent="0.25">
      <c r="A115" s="653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653</v>
      </c>
      <c r="Y116" s="630">
        <f>IFERROR(IF(X116="",0,CEILING((X116/$H116),1)*$H116),"")</f>
        <v>656.1</v>
      </c>
      <c r="Z116" s="36">
        <f>IFERROR(IF(Y116=0,"",ROUNDUP(Y116/H116,0)*0.01898),"")</f>
        <v>1.53738</v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692.3412345679011</v>
      </c>
      <c r="BN116" s="64">
        <f>IFERROR(Y116*I116/H116,"0")</f>
        <v>695.62800000000004</v>
      </c>
      <c r="BO116" s="64">
        <f>IFERROR(1/J116*(X116/H116),"0")</f>
        <v>1.2596450617283952</v>
      </c>
      <c r="BP116" s="64">
        <f>IFERROR(1/J116*(Y116/H116),"0")</f>
        <v>1.265625</v>
      </c>
    </row>
    <row r="117" spans="1:68" ht="27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210</v>
      </c>
      <c r="Y118" s="630">
        <f>IFERROR(IF(X118="",0,CEILING((X118/$H118),1)*$H118),"")</f>
        <v>210.60000000000002</v>
      </c>
      <c r="Z118" s="36">
        <f>IFERROR(IF(Y118=0,"",ROUNDUP(Y118/H118,0)*0.00651),"")</f>
        <v>0.50778000000000001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229.59999999999997</v>
      </c>
      <c r="BN118" s="64">
        <f>IFERROR(Y118*I118/H118,"0")</f>
        <v>230.25600000000003</v>
      </c>
      <c r="BO118" s="64">
        <f>IFERROR(1/J118*(X118/H118),"0")</f>
        <v>0.42735042735042733</v>
      </c>
      <c r="BP118" s="64">
        <f>IFERROR(1/J118*(Y118/H118),"0")</f>
        <v>0.4285714285714286</v>
      </c>
    </row>
    <row r="119" spans="1:68" ht="16.5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158.39506172839506</v>
      </c>
      <c r="Y120" s="631">
        <f>IFERROR(Y116/H116,"0")+IFERROR(Y117/H117,"0")+IFERROR(Y118/H118,"0")+IFERROR(Y119/H119,"0")</f>
        <v>159</v>
      </c>
      <c r="Z120" s="631">
        <f>IFERROR(IF(Z116="",0,Z116),"0")+IFERROR(IF(Z117="",0,Z117),"0")+IFERROR(IF(Z118="",0,Z118),"0")+IFERROR(IF(Z119="",0,Z119),"0")</f>
        <v>2.0451600000000001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863</v>
      </c>
      <c r="Y121" s="631">
        <f>IFERROR(SUM(Y116:Y119),"0")</f>
        <v>866.7</v>
      </c>
      <c r="Z121" s="37"/>
      <c r="AA121" s="632"/>
      <c r="AB121" s="632"/>
      <c r="AC121" s="632"/>
    </row>
    <row r="122" spans="1:68" ht="14.25" customHeight="1" x14ac:dyDescent="0.25">
      <c r="A122" s="653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28</v>
      </c>
      <c r="Y123" s="630">
        <f>IFERROR(IF(X123="",0,CEILING((X123/$H123),1)*$H123),"")</f>
        <v>29.7</v>
      </c>
      <c r="Z123" s="36">
        <f>IFERROR(IF(Y123=0,"",ROUNDUP(Y123/H123,0)*0.00651),"")</f>
        <v>9.7650000000000001E-2</v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31.648484848484848</v>
      </c>
      <c r="BN123" s="64">
        <f>IFERROR(Y123*I123/H123,"0")</f>
        <v>33.57</v>
      </c>
      <c r="BO123" s="64">
        <f>IFERROR(1/J123*(X123/H123),"0")</f>
        <v>7.770007770007771E-2</v>
      </c>
      <c r="BP123" s="64">
        <f>IFERROR(1/J123*(Y123/H123),"0")</f>
        <v>8.241758241758243E-2</v>
      </c>
    </row>
    <row r="124" spans="1:68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14.141414141414142</v>
      </c>
      <c r="Y124" s="631">
        <f>IFERROR(Y123/H123,"0")</f>
        <v>15</v>
      </c>
      <c r="Z124" s="631">
        <f>IFERROR(IF(Z123="",0,Z123),"0")</f>
        <v>9.7650000000000001E-2</v>
      </c>
      <c r="AA124" s="632"/>
      <c r="AB124" s="632"/>
      <c r="AC124" s="632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28</v>
      </c>
      <c r="Y125" s="631">
        <f>IFERROR(SUM(Y123:Y123),"0")</f>
        <v>29.7</v>
      </c>
      <c r="Z125" s="37"/>
      <c r="AA125" s="632"/>
      <c r="AB125" s="632"/>
      <c r="AC125" s="632"/>
    </row>
    <row r="126" spans="1:68" ht="16.5" customHeight="1" x14ac:dyDescent="0.25">
      <c r="A126" s="677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customHeight="1" x14ac:dyDescent="0.25">
      <c r="A127" s="653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39</v>
      </c>
      <c r="Y129" s="630">
        <f>IFERROR(IF(X129="",0,CEILING((X129/$H129),1)*$H129),"")</f>
        <v>41.6</v>
      </c>
      <c r="Z129" s="36">
        <f>IFERROR(IF(Y129=0,"",ROUNDUP(Y129/H129,0)*0.00651),"")</f>
        <v>8.4629999999999997E-2</v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41.193749999999994</v>
      </c>
      <c r="BN129" s="64">
        <f>IFERROR(Y129*I129/H129,"0")</f>
        <v>43.94</v>
      </c>
      <c r="BO129" s="64">
        <f>IFERROR(1/J129*(X129/H129),"0")</f>
        <v>6.6964285714285726E-2</v>
      </c>
      <c r="BP129" s="64">
        <f>IFERROR(1/J129*(Y129/H129),"0")</f>
        <v>7.1428571428571438E-2</v>
      </c>
    </row>
    <row r="130" spans="1:68" ht="27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9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12.1875</v>
      </c>
      <c r="Y131" s="631">
        <f>IFERROR(Y128/H128,"0")+IFERROR(Y129/H129,"0")+IFERROR(Y130/H130,"0")</f>
        <v>13</v>
      </c>
      <c r="Z131" s="631">
        <f>IFERROR(IF(Z128="",0,Z128),"0")+IFERROR(IF(Z129="",0,Z129),"0")+IFERROR(IF(Z130="",0,Z130),"0")</f>
        <v>8.4629999999999997E-2</v>
      </c>
      <c r="AA131" s="632"/>
      <c r="AB131" s="632"/>
      <c r="AC131" s="632"/>
    </row>
    <row r="132" spans="1:68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39</v>
      </c>
      <c r="Y132" s="631">
        <f>IFERROR(SUM(Y128:Y130),"0")</f>
        <v>41.6</v>
      </c>
      <c r="Z132" s="37"/>
      <c r="AA132" s="632"/>
      <c r="AB132" s="632"/>
      <c r="AC132" s="632"/>
    </row>
    <row r="133" spans="1:68" ht="14.25" customHeight="1" x14ac:dyDescent="0.25">
      <c r="A133" s="653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40</v>
      </c>
      <c r="Y135" s="630">
        <f>IFERROR(IF(X135="",0,CEILING((X135/$H135),1)*$H135),"")</f>
        <v>42</v>
      </c>
      <c r="Z135" s="36">
        <f>IFERROR(IF(Y135=0,"",ROUNDUP(Y135/H135,0)*0.00651),"")</f>
        <v>9.7650000000000001E-2</v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43.828571428571429</v>
      </c>
      <c r="BN135" s="64">
        <f>IFERROR(Y135*I135/H135,"0")</f>
        <v>46.02</v>
      </c>
      <c r="BO135" s="64">
        <f>IFERROR(1/J135*(X135/H135),"0")</f>
        <v>7.8492935635792793E-2</v>
      </c>
      <c r="BP135" s="64">
        <f>IFERROR(1/J135*(Y135/H135),"0")</f>
        <v>8.241758241758243E-2</v>
      </c>
    </row>
    <row r="136" spans="1:68" ht="27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9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14.285714285714286</v>
      </c>
      <c r="Y138" s="631">
        <f>IFERROR(Y134/H134,"0")+IFERROR(Y135/H135,"0")+IFERROR(Y136/H136,"0")+IFERROR(Y137/H137,"0")</f>
        <v>15.000000000000002</v>
      </c>
      <c r="Z138" s="631">
        <f>IFERROR(IF(Z134="",0,Z134),"0")+IFERROR(IF(Z135="",0,Z135),"0")+IFERROR(IF(Z136="",0,Z136),"0")+IFERROR(IF(Z137="",0,Z137),"0")</f>
        <v>9.7650000000000001E-2</v>
      </c>
      <c r="AA138" s="632"/>
      <c r="AB138" s="632"/>
      <c r="AC138" s="632"/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40</v>
      </c>
      <c r="Y139" s="631">
        <f>IFERROR(SUM(Y134:Y137),"0")</f>
        <v>42</v>
      </c>
      <c r="Z139" s="37"/>
      <c r="AA139" s="632"/>
      <c r="AB139" s="632"/>
      <c r="AC139" s="632"/>
    </row>
    <row r="140" spans="1:68" ht="14.25" customHeight="1" x14ac:dyDescent="0.25">
      <c r="A140" s="653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73</v>
      </c>
      <c r="Y142" s="630">
        <f>IFERROR(IF(X142="",0,CEILING((X142/$H142),1)*$H142),"")</f>
        <v>73.92</v>
      </c>
      <c r="Z142" s="36">
        <f>IFERROR(IF(Y142=0,"",ROUNDUP(Y142/H142,0)*0.00651),"")</f>
        <v>0.18228</v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80.410606060606057</v>
      </c>
      <c r="BN142" s="64">
        <f>IFERROR(Y142*I142/H142,"0")</f>
        <v>81.423999999999992</v>
      </c>
      <c r="BO142" s="64">
        <f>IFERROR(1/J142*(X142/H142),"0")</f>
        <v>0.15193140193140192</v>
      </c>
      <c r="BP142" s="64">
        <f>IFERROR(1/J142*(Y142/H142),"0")</f>
        <v>0.15384615384615385</v>
      </c>
    </row>
    <row r="143" spans="1:68" ht="16.5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27.651515151515149</v>
      </c>
      <c r="Y144" s="631">
        <f>IFERROR(Y141/H141,"0")+IFERROR(Y142/H142,"0")+IFERROR(Y143/H143,"0")</f>
        <v>28</v>
      </c>
      <c r="Z144" s="631">
        <f>IFERROR(IF(Z141="",0,Z141),"0")+IFERROR(IF(Z142="",0,Z142),"0")+IFERROR(IF(Z143="",0,Z143),"0")</f>
        <v>0.18228</v>
      </c>
      <c r="AA144" s="632"/>
      <c r="AB144" s="632"/>
      <c r="AC144" s="632"/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73</v>
      </c>
      <c r="Y145" s="631">
        <f>IFERROR(SUM(Y141:Y143),"0")</f>
        <v>73.92</v>
      </c>
      <c r="Z145" s="37"/>
      <c r="AA145" s="632"/>
      <c r="AB145" s="632"/>
      <c r="AC145" s="632"/>
    </row>
    <row r="146" spans="1:68" ht="16.5" customHeight="1" x14ac:dyDescent="0.25">
      <c r="A146" s="677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customHeight="1" x14ac:dyDescent="0.25">
      <c r="A147" s="653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2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6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customHeight="1" x14ac:dyDescent="0.25">
      <c r="A157" s="653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customHeight="1" x14ac:dyDescent="0.25">
      <c r="A161" s="677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customHeight="1" x14ac:dyDescent="0.25">
      <c r="A162" s="653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customHeight="1" x14ac:dyDescent="0.25">
      <c r="A168" s="653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8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customHeight="1" x14ac:dyDescent="0.25">
      <c r="A173" s="653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54</v>
      </c>
      <c r="Y174" s="630">
        <f t="shared" ref="Y174:Y184" si="22">IFERROR(IF(X174="",0,CEILING((X174/$H174),1)*$H174),"")</f>
        <v>56</v>
      </c>
      <c r="Z174" s="36">
        <f>IFERROR(IF(Y174=0,"",ROUNDUP(Y174/H174,0)*0.00902),"")</f>
        <v>0.14432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56.931428571428569</v>
      </c>
      <c r="BN174" s="64">
        <f t="shared" ref="BN174:BN184" si="24">IFERROR(Y174*I174/H174,"0")</f>
        <v>59.04</v>
      </c>
      <c r="BO174" s="64">
        <f t="shared" ref="BO174:BO184" si="25">IFERROR(1/J174*(X174/H174),"0")</f>
        <v>0.11688311688311689</v>
      </c>
      <c r="BP174" s="64">
        <f t="shared" ref="BP174:BP184" si="26">IFERROR(1/J174*(Y174/H174),"0")</f>
        <v>0.12121212121212122</v>
      </c>
    </row>
    <row r="175" spans="1:68" ht="27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89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45</v>
      </c>
      <c r="Y176" s="630">
        <f t="shared" si="22"/>
        <v>45.5</v>
      </c>
      <c r="Z176" s="36">
        <f>IFERROR(IF(Y176=0,"",ROUNDUP(Y176/H176,0)*0.00902),"")</f>
        <v>0.11726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47.442857142857143</v>
      </c>
      <c r="BN176" s="64">
        <f t="shared" si="24"/>
        <v>47.970000000000006</v>
      </c>
      <c r="BO176" s="64">
        <f t="shared" si="25"/>
        <v>9.7402597402597407E-2</v>
      </c>
      <c r="BP176" s="64">
        <f t="shared" si="26"/>
        <v>9.8484848484848481E-2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8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45</v>
      </c>
      <c r="Y177" s="630">
        <f t="shared" si="22"/>
        <v>45.5</v>
      </c>
      <c r="Z177" s="36">
        <f>IFERROR(IF(Y177=0,"",ROUNDUP(Y177/H177,0)*0.00902),"")</f>
        <v>0.11726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47.442857142857143</v>
      </c>
      <c r="BN177" s="64">
        <f t="shared" si="24"/>
        <v>47.970000000000006</v>
      </c>
      <c r="BO177" s="64">
        <f t="shared" si="25"/>
        <v>9.7402597402597407E-2</v>
      </c>
      <c r="BP177" s="64">
        <f t="shared" si="26"/>
        <v>9.8484848484848481E-2</v>
      </c>
    </row>
    <row r="178" spans="1:68" ht="16.5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61</v>
      </c>
      <c r="Y179" s="630">
        <f t="shared" si="22"/>
        <v>62.16</v>
      </c>
      <c r="Z179" s="36">
        <f>IFERROR(IF(Y179=0,"",ROUNDUP(Y179/H179,0)*0.00502),"")</f>
        <v>0.18574000000000002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64.63095238095238</v>
      </c>
      <c r="BN179" s="64">
        <f t="shared" si="24"/>
        <v>65.86</v>
      </c>
      <c r="BO179" s="64">
        <f t="shared" si="25"/>
        <v>0.15516890516890519</v>
      </c>
      <c r="BP179" s="64">
        <f t="shared" si="26"/>
        <v>0.15811965811965814</v>
      </c>
    </row>
    <row r="180" spans="1:68" ht="27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6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5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13</v>
      </c>
      <c r="Y182" s="630">
        <f t="shared" si="22"/>
        <v>13.44</v>
      </c>
      <c r="Z182" s="36">
        <f>IFERROR(IF(Y182=0,"",ROUNDUP(Y182/H182,0)*0.00502),"")</f>
        <v>4.0160000000000001E-2</v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13.773809523809526</v>
      </c>
      <c r="BN182" s="64">
        <f t="shared" si="24"/>
        <v>14.239999999999998</v>
      </c>
      <c r="BO182" s="64">
        <f t="shared" si="25"/>
        <v>3.3068783068783074E-2</v>
      </c>
      <c r="BP182" s="64">
        <f t="shared" si="26"/>
        <v>3.4188034188034191E-2</v>
      </c>
    </row>
    <row r="183" spans="1:68" ht="27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2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19</v>
      </c>
      <c r="Y184" s="630">
        <f t="shared" si="22"/>
        <v>20.16</v>
      </c>
      <c r="Z184" s="36">
        <f>IFERROR(IF(Y184=0,"",ROUNDUP(Y184/H184,0)*0.00502),"")</f>
        <v>6.0240000000000002E-2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20.130952380952383</v>
      </c>
      <c r="BN184" s="64">
        <f t="shared" si="24"/>
        <v>21.36</v>
      </c>
      <c r="BO184" s="64">
        <f t="shared" si="25"/>
        <v>4.8331298331298338E-2</v>
      </c>
      <c r="BP184" s="64">
        <f t="shared" si="26"/>
        <v>5.1282051282051287E-2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96.5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99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0.66498000000000002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237</v>
      </c>
      <c r="Y186" s="631">
        <f>IFERROR(SUM(Y174:Y184),"0")</f>
        <v>242.76</v>
      </c>
      <c r="Z186" s="37"/>
      <c r="AA186" s="632"/>
      <c r="AB186" s="632"/>
      <c r="AC186" s="632"/>
    </row>
    <row r="187" spans="1:68" ht="14.25" customHeight="1" x14ac:dyDescent="0.25">
      <c r="A187" s="653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91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customHeight="1" x14ac:dyDescent="0.25">
      <c r="A193" s="653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4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customHeight="1" x14ac:dyDescent="0.25">
      <c r="A197" s="653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customHeight="1" x14ac:dyDescent="0.2">
      <c r="A201" s="649" t="s">
        <v>338</v>
      </c>
      <c r="B201" s="650"/>
      <c r="C201" s="650"/>
      <c r="D201" s="650"/>
      <c r="E201" s="650"/>
      <c r="F201" s="650"/>
      <c r="G201" s="650"/>
      <c r="H201" s="650"/>
      <c r="I201" s="650"/>
      <c r="J201" s="650"/>
      <c r="K201" s="650"/>
      <c r="L201" s="650"/>
      <c r="M201" s="650"/>
      <c r="N201" s="650"/>
      <c r="O201" s="650"/>
      <c r="P201" s="650"/>
      <c r="Q201" s="650"/>
      <c r="R201" s="650"/>
      <c r="S201" s="650"/>
      <c r="T201" s="650"/>
      <c r="U201" s="650"/>
      <c r="V201" s="650"/>
      <c r="W201" s="650"/>
      <c r="X201" s="650"/>
      <c r="Y201" s="650"/>
      <c r="Z201" s="650"/>
      <c r="AA201" s="48"/>
      <c r="AB201" s="48"/>
      <c r="AC201" s="48"/>
    </row>
    <row r="202" spans="1:68" ht="16.5" customHeight="1" x14ac:dyDescent="0.25">
      <c r="A202" s="677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customHeight="1" x14ac:dyDescent="0.25">
      <c r="A203" s="653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6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customHeight="1" x14ac:dyDescent="0.25">
      <c r="A213" s="677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customHeight="1" x14ac:dyDescent="0.25">
      <c r="A214" s="653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customHeight="1" x14ac:dyDescent="0.25">
      <c r="A218" s="653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27</v>
      </c>
      <c r="Y219" s="630">
        <f t="shared" ref="Y219:Y232" si="33">IFERROR(IF(X219="",0,CEILING((X219/$H219),1)*$H219),"")</f>
        <v>29.400000000000002</v>
      </c>
      <c r="Z219" s="36">
        <f>IFERROR(IF(Y219=0,"",ROUNDUP(Y219/H219,0)*0.00902),"")</f>
        <v>6.3140000000000002E-2</v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28.607142857142858</v>
      </c>
      <c r="BN219" s="64">
        <f t="shared" ref="BN219:BN232" si="35">IFERROR(Y219*I219/H219,"0")</f>
        <v>31.150000000000002</v>
      </c>
      <c r="BO219" s="64">
        <f t="shared" ref="BO219:BO232" si="36">IFERROR(1/J219*(X219/H219),"0")</f>
        <v>4.8701298701298697E-2</v>
      </c>
      <c r="BP219" s="64">
        <f t="shared" ref="BP219:BP232" si="37">IFERROR(1/J219*(Y219/H219),"0")</f>
        <v>5.3030303030303032E-2</v>
      </c>
    </row>
    <row r="220" spans="1:68" ht="27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27</v>
      </c>
      <c r="Y221" s="630">
        <f t="shared" si="33"/>
        <v>29.400000000000002</v>
      </c>
      <c r="Z221" s="36">
        <f>IFERROR(IF(Y221=0,"",ROUNDUP(Y221/H221,0)*0.00902),"")</f>
        <v>6.3140000000000002E-2</v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28.221428571428568</v>
      </c>
      <c r="BN221" s="64">
        <f t="shared" si="35"/>
        <v>30.73</v>
      </c>
      <c r="BO221" s="64">
        <f t="shared" si="36"/>
        <v>4.8701298701298697E-2</v>
      </c>
      <c r="BP221" s="64">
        <f t="shared" si="37"/>
        <v>5.3030303030303032E-2</v>
      </c>
    </row>
    <row r="222" spans="1:68" ht="37.5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8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9</v>
      </c>
      <c r="Y222" s="630">
        <f t="shared" si="33"/>
        <v>9.6000000000000014</v>
      </c>
      <c r="Z222" s="36">
        <f>IFERROR(IF(Y222=0,"",ROUNDUP(Y222/H222,0)*0.00556),"")</f>
        <v>6.6720000000000002E-2</v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10.4625</v>
      </c>
      <c r="BN222" s="64">
        <f t="shared" si="35"/>
        <v>11.160000000000002</v>
      </c>
      <c r="BO222" s="64">
        <f t="shared" si="36"/>
        <v>4.4642857142857137E-2</v>
      </c>
      <c r="BP222" s="64">
        <f t="shared" si="37"/>
        <v>4.7619047619047623E-2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16</v>
      </c>
      <c r="Y223" s="630">
        <f t="shared" si="33"/>
        <v>16.8</v>
      </c>
      <c r="Z223" s="36">
        <f t="shared" ref="Z223:Z228" si="38">IFERROR(IF(Y223=0,"",ROUNDUP(Y223/H223,0)*0.00502),"")</f>
        <v>4.0160000000000001E-2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16.990476190476191</v>
      </c>
      <c r="BN223" s="64">
        <f t="shared" si="35"/>
        <v>17.84</v>
      </c>
      <c r="BO223" s="64">
        <f t="shared" si="36"/>
        <v>3.2560032560032565E-2</v>
      </c>
      <c r="BP223" s="64">
        <f t="shared" si="37"/>
        <v>3.4188034188034191E-2</v>
      </c>
    </row>
    <row r="224" spans="1:68" ht="27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9</v>
      </c>
      <c r="Y228" s="630">
        <f t="shared" si="33"/>
        <v>9</v>
      </c>
      <c r="Z228" s="36">
        <f t="shared" si="38"/>
        <v>2.5100000000000001E-2</v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9.65</v>
      </c>
      <c r="BN228" s="64">
        <f t="shared" si="35"/>
        <v>9.65</v>
      </c>
      <c r="BO228" s="64">
        <f t="shared" si="36"/>
        <v>2.1367521367521368E-2</v>
      </c>
      <c r="BP228" s="64">
        <f t="shared" si="37"/>
        <v>2.1367521367521368E-2</v>
      </c>
    </row>
    <row r="229" spans="1:68" ht="27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3</v>
      </c>
      <c r="Y229" s="630">
        <f t="shared" si="33"/>
        <v>3.2</v>
      </c>
      <c r="Z229" s="36">
        <f>IFERROR(IF(Y229=0,"",ROUNDUP(Y229/H229,0)*0.00417),"")</f>
        <v>1.668E-2</v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3.7875000000000001</v>
      </c>
      <c r="BN229" s="64">
        <f t="shared" si="35"/>
        <v>4.04</v>
      </c>
      <c r="BO229" s="64">
        <f t="shared" si="36"/>
        <v>1.1160714285714284E-2</v>
      </c>
      <c r="BP229" s="64">
        <f t="shared" si="37"/>
        <v>1.1904761904761904E-2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47</v>
      </c>
      <c r="Y230" s="630">
        <f t="shared" si="33"/>
        <v>48.300000000000004</v>
      </c>
      <c r="Z230" s="36">
        <f>IFERROR(IF(Y230=0,"",ROUNDUP(Y230/H230,0)*0.00502),"")</f>
        <v>0.11546000000000001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49.238095238095241</v>
      </c>
      <c r="BN230" s="64">
        <f t="shared" si="35"/>
        <v>50.600000000000009</v>
      </c>
      <c r="BO230" s="64">
        <f t="shared" si="36"/>
        <v>9.5645095645095643E-2</v>
      </c>
      <c r="BP230" s="64">
        <f t="shared" si="37"/>
        <v>9.8290598290598302E-2</v>
      </c>
    </row>
    <row r="231" spans="1:68" ht="27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62.857142857142854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66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0.39039999999999997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138</v>
      </c>
      <c r="Y234" s="631">
        <f>IFERROR(SUM(Y219:Y232),"0")</f>
        <v>145.70000000000002</v>
      </c>
      <c r="Z234" s="37"/>
      <c r="AA234" s="632"/>
      <c r="AB234" s="632"/>
      <c r="AC234" s="632"/>
    </row>
    <row r="235" spans="1:68" ht="14.25" customHeight="1" x14ac:dyDescent="0.25">
      <c r="A235" s="653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6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7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customHeight="1" x14ac:dyDescent="0.25">
      <c r="A243" s="653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4</v>
      </c>
      <c r="Y245" s="630">
        <f>IFERROR(IF(X245="",0,CEILING((X245/$H245),1)*$H245),"")</f>
        <v>5.04</v>
      </c>
      <c r="Z245" s="36">
        <f>IFERROR(IF(Y245=0,"",ROUNDUP(Y245/H245,0)*0.0059),"")</f>
        <v>2.3599999999999999E-2</v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4.6031746031746028</v>
      </c>
      <c r="BN245" s="64">
        <f>IFERROR(Y245*I245/H245,"0")</f>
        <v>5.8</v>
      </c>
      <c r="BO245" s="64">
        <f>IFERROR(1/J245*(X245/H245),"0")</f>
        <v>1.469723691945914E-2</v>
      </c>
      <c r="BP245" s="64">
        <f>IFERROR(1/J245*(Y245/H245),"0")</f>
        <v>1.8518518518518517E-2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1</v>
      </c>
      <c r="Y246" s="630">
        <f>IFERROR(IF(X246="",0,CEILING((X246/$H246),1)*$H246),"")</f>
        <v>1.26</v>
      </c>
      <c r="Z246" s="36">
        <f>IFERROR(IF(Y246=0,"",ROUNDUP(Y246/H246,0)*0.0059),"")</f>
        <v>5.8999999999999999E-3</v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1.1507936507936507</v>
      </c>
      <c r="BN246" s="64">
        <f>IFERROR(Y246*I246/H246,"0")</f>
        <v>1.45</v>
      </c>
      <c r="BO246" s="64">
        <f>IFERROR(1/J246*(X246/H246),"0")</f>
        <v>3.6743092298647849E-3</v>
      </c>
      <c r="BP246" s="64">
        <f>IFERROR(1/J246*(Y246/H246),"0")</f>
        <v>4.6296296296296294E-3</v>
      </c>
    </row>
    <row r="247" spans="1:68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3.9682539682539679</v>
      </c>
      <c r="Y247" s="631">
        <f>IFERROR(Y244/H244,"0")+IFERROR(Y245/H245,"0")+IFERROR(Y246/H246,"0")</f>
        <v>5</v>
      </c>
      <c r="Z247" s="631">
        <f>IFERROR(IF(Z244="",0,Z244),"0")+IFERROR(IF(Z245="",0,Z245),"0")+IFERROR(IF(Z246="",0,Z246),"0")</f>
        <v>2.9499999999999998E-2</v>
      </c>
      <c r="AA247" s="632"/>
      <c r="AB247" s="632"/>
      <c r="AC247" s="632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5</v>
      </c>
      <c r="Y248" s="631">
        <f>IFERROR(SUM(Y244:Y246),"0")</f>
        <v>6.3</v>
      </c>
      <c r="Z248" s="37"/>
      <c r="AA248" s="632"/>
      <c r="AB248" s="632"/>
      <c r="AC248" s="632"/>
    </row>
    <row r="249" spans="1:68" ht="14.25" customHeight="1" x14ac:dyDescent="0.25">
      <c r="A249" s="653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5</v>
      </c>
      <c r="Y250" s="630">
        <f>IFERROR(IF(X250="",0,CEILING((X250/$H250),1)*$H250),"")</f>
        <v>5.04</v>
      </c>
      <c r="Z250" s="36">
        <f>IFERROR(IF(Y250=0,"",ROUNDUP(Y250/H250,0)*0.0059),"")</f>
        <v>2.3599999999999999E-2</v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5.753968253968254</v>
      </c>
      <c r="BN250" s="64">
        <f>IFERROR(Y250*I250/H250,"0")</f>
        <v>5.8</v>
      </c>
      <c r="BO250" s="64">
        <f>IFERROR(1/J250*(X250/H250),"0")</f>
        <v>1.8371546149323927E-2</v>
      </c>
      <c r="BP250" s="64">
        <f>IFERROR(1/J250*(Y250/H250),"0")</f>
        <v>1.8518518518518517E-2</v>
      </c>
    </row>
    <row r="251" spans="1:68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3.9682539682539684</v>
      </c>
      <c r="Y251" s="631">
        <f>IFERROR(Y250/H250,"0")</f>
        <v>4</v>
      </c>
      <c r="Z251" s="631">
        <f>IFERROR(IF(Z250="",0,Z250),"0")</f>
        <v>2.3599999999999999E-2</v>
      </c>
      <c r="AA251" s="632"/>
      <c r="AB251" s="632"/>
      <c r="AC251" s="632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5</v>
      </c>
      <c r="Y252" s="631">
        <f>IFERROR(SUM(Y250:Y250),"0")</f>
        <v>5.04</v>
      </c>
      <c r="Z252" s="37"/>
      <c r="AA252" s="632"/>
      <c r="AB252" s="632"/>
      <c r="AC252" s="632"/>
    </row>
    <row r="253" spans="1:68" ht="16.5" customHeight="1" x14ac:dyDescent="0.25">
      <c r="A253" s="677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customHeight="1" x14ac:dyDescent="0.25">
      <c r="A254" s="653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7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customHeight="1" x14ac:dyDescent="0.25">
      <c r="A259" s="653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customHeight="1" x14ac:dyDescent="0.25">
      <c r="A264" s="653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72</v>
      </c>
      <c r="Y265" s="630">
        <f t="shared" ref="Y265:Y272" si="39">IFERROR(IF(X265="",0,CEILING((X265/$H265),1)*$H265),"")</f>
        <v>75.600000000000009</v>
      </c>
      <c r="Z265" s="36">
        <f>IFERROR(IF(Y265=0,"",ROUNDUP(Y265/H265,0)*0.00902),"")</f>
        <v>0.12628</v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74.533333333333331</v>
      </c>
      <c r="BN265" s="64">
        <f t="shared" ref="BN265:BN272" si="41">IFERROR(Y265*I265/H265,"0")</f>
        <v>78.260000000000005</v>
      </c>
      <c r="BO265" s="64">
        <f t="shared" ref="BO265:BO272" si="42">IFERROR(1/J265*(X265/H265),"0")</f>
        <v>0.10101010101010101</v>
      </c>
      <c r="BP265" s="64">
        <f t="shared" ref="BP265:BP272" si="43">IFERROR(1/J265*(Y265/H265),"0")</f>
        <v>0.10606060606060606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68</v>
      </c>
      <c r="Y266" s="630">
        <f t="shared" si="39"/>
        <v>70.2</v>
      </c>
      <c r="Z266" s="36">
        <f>IFERROR(IF(Y266=0,"",ROUNDUP(Y266/H266,0)*0.00902),"")</f>
        <v>0.11726</v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70.392592592592592</v>
      </c>
      <c r="BN266" s="64">
        <f t="shared" si="41"/>
        <v>72.67</v>
      </c>
      <c r="BO266" s="64">
        <f t="shared" si="42"/>
        <v>9.5398428731762061E-2</v>
      </c>
      <c r="BP266" s="64">
        <f t="shared" si="43"/>
        <v>9.8484848484848481E-2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303</v>
      </c>
      <c r="Y267" s="630">
        <f t="shared" si="39"/>
        <v>307.8</v>
      </c>
      <c r="Z267" s="36">
        <f>IFERROR(IF(Y267=0,"",ROUNDUP(Y267/H267,0)*0.00902),"")</f>
        <v>0.51414000000000004</v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313.6611111111111</v>
      </c>
      <c r="BN267" s="64">
        <f t="shared" si="41"/>
        <v>318.63</v>
      </c>
      <c r="BO267" s="64">
        <f t="shared" si="42"/>
        <v>0.42508417508417506</v>
      </c>
      <c r="BP267" s="64">
        <f t="shared" si="43"/>
        <v>0.43181818181818182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110</v>
      </c>
      <c r="Y268" s="630">
        <f t="shared" si="39"/>
        <v>113.4</v>
      </c>
      <c r="Z268" s="36">
        <f>IFERROR(IF(Y268=0,"",ROUNDUP(Y268/H268,0)*0.00902),"")</f>
        <v>0.18942000000000001</v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113.87037037037035</v>
      </c>
      <c r="BN268" s="64">
        <f t="shared" si="41"/>
        <v>117.39</v>
      </c>
      <c r="BO268" s="64">
        <f t="shared" si="42"/>
        <v>0.15432098765432098</v>
      </c>
      <c r="BP268" s="64">
        <f t="shared" si="43"/>
        <v>0.15909090909090909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16</v>
      </c>
      <c r="Y269" s="630">
        <f t="shared" si="39"/>
        <v>16.2</v>
      </c>
      <c r="Z269" s="36">
        <f>IFERROR(IF(Y269=0,"",ROUNDUP(Y269/H269,0)*0.00502),"")</f>
        <v>4.5179999999999998E-2</v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17.155555555555555</v>
      </c>
      <c r="BN269" s="64">
        <f t="shared" si="41"/>
        <v>17.369999999999997</v>
      </c>
      <c r="BO269" s="64">
        <f t="shared" si="42"/>
        <v>3.7986704653371325E-2</v>
      </c>
      <c r="BP269" s="64">
        <f t="shared" si="43"/>
        <v>3.8461538461538464E-2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9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5</v>
      </c>
      <c r="Y270" s="630">
        <f t="shared" si="39"/>
        <v>5.4</v>
      </c>
      <c r="Z270" s="36">
        <f>IFERROR(IF(Y270=0,"",ROUNDUP(Y270/H270,0)*0.00502),"")</f>
        <v>1.506E-2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5.2777777777777777</v>
      </c>
      <c r="BN270" s="64">
        <f t="shared" si="41"/>
        <v>5.7</v>
      </c>
      <c r="BO270" s="64">
        <f t="shared" si="42"/>
        <v>1.1870845204178538E-2</v>
      </c>
      <c r="BP270" s="64">
        <f t="shared" si="43"/>
        <v>1.2820512820512822E-2</v>
      </c>
    </row>
    <row r="271" spans="1:68" ht="27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27</v>
      </c>
      <c r="Y272" s="630">
        <f t="shared" si="39"/>
        <v>27</v>
      </c>
      <c r="Z272" s="36">
        <f>IFERROR(IF(Y272=0,"",ROUNDUP(Y272/H272,0)*0.00502),"")</f>
        <v>7.5300000000000006E-2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28.499999999999996</v>
      </c>
      <c r="BN272" s="64">
        <f t="shared" si="41"/>
        <v>28.499999999999996</v>
      </c>
      <c r="BO272" s="64">
        <f t="shared" si="42"/>
        <v>6.4102564102564111E-2</v>
      </c>
      <c r="BP272" s="64">
        <f t="shared" si="43"/>
        <v>6.4102564102564111E-2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129.07407407407408</v>
      </c>
      <c r="Y273" s="631">
        <f>IFERROR(Y265/H265,"0")+IFERROR(Y266/H266,"0")+IFERROR(Y267/H267,"0")+IFERROR(Y268/H268,"0")+IFERROR(Y269/H269,"0")+IFERROR(Y270/H270,"0")+IFERROR(Y271/H271,"0")+IFERROR(Y272/H272,"0")</f>
        <v>132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1.08264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601</v>
      </c>
      <c r="Y274" s="631">
        <f>IFERROR(SUM(Y265:Y272),"0")</f>
        <v>615.6</v>
      </c>
      <c r="Z274" s="37"/>
      <c r="AA274" s="632"/>
      <c r="AB274" s="632"/>
      <c r="AC274" s="632"/>
    </row>
    <row r="275" spans="1:68" ht="14.25" customHeight="1" x14ac:dyDescent="0.25">
      <c r="A275" s="653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27</v>
      </c>
      <c r="Y276" s="630">
        <f t="shared" ref="Y276:Y287" si="44">IFERROR(IF(X276="",0,CEILING((X276/$H276),1)*$H276),"")</f>
        <v>32.4</v>
      </c>
      <c r="Z276" s="36">
        <f>IFERROR(IF(Y276=0,"",ROUNDUP(Y276/H276,0)*0.01898),"")</f>
        <v>7.5920000000000001E-2</v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28.646666666666665</v>
      </c>
      <c r="BN276" s="64">
        <f t="shared" ref="BN276:BN287" si="46">IFERROR(Y276*I276/H276,"0")</f>
        <v>34.375999999999998</v>
      </c>
      <c r="BO276" s="64">
        <f t="shared" ref="BO276:BO287" si="47">IFERROR(1/J276*(X276/H276),"0")</f>
        <v>5.2083333333333336E-2</v>
      </c>
      <c r="BP276" s="64">
        <f t="shared" ref="BP276:BP287" si="48">IFERROR(1/J276*(Y276/H276),"0")</f>
        <v>6.25E-2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123</v>
      </c>
      <c r="Y277" s="630">
        <f t="shared" si="44"/>
        <v>129.6</v>
      </c>
      <c r="Z277" s="36">
        <f>IFERROR(IF(Y277=0,"",ROUNDUP(Y277/H277,0)*0.01898),"")</f>
        <v>0.30368000000000001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130.22814814814814</v>
      </c>
      <c r="BN277" s="64">
        <f t="shared" si="46"/>
        <v>137.21600000000001</v>
      </c>
      <c r="BO277" s="64">
        <f t="shared" si="47"/>
        <v>0.23726851851851852</v>
      </c>
      <c r="BP277" s="64">
        <f t="shared" si="48"/>
        <v>0.25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25</v>
      </c>
      <c r="Y278" s="630">
        <f t="shared" si="44"/>
        <v>26.099999999999998</v>
      </c>
      <c r="Z278" s="36">
        <f>IFERROR(IF(Y278=0,"",ROUNDUP(Y278/H278,0)*0.01898),"")</f>
        <v>5.6940000000000004E-2</v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26.419540229885062</v>
      </c>
      <c r="BN278" s="64">
        <f t="shared" si="46"/>
        <v>27.582000000000004</v>
      </c>
      <c r="BO278" s="64">
        <f t="shared" si="47"/>
        <v>4.4899425287356326E-2</v>
      </c>
      <c r="BP278" s="64">
        <f t="shared" si="48"/>
        <v>4.6875E-2</v>
      </c>
    </row>
    <row r="279" spans="1:68" ht="27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7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99</v>
      </c>
      <c r="Y279" s="630">
        <f t="shared" si="44"/>
        <v>100.8</v>
      </c>
      <c r="Z279" s="36">
        <f>IFERROR(IF(Y279=0,"",ROUNDUP(Y279/H279,0)*0.00651),"")</f>
        <v>0.27342</v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110.1375</v>
      </c>
      <c r="BN279" s="64">
        <f t="shared" si="46"/>
        <v>112.13999999999999</v>
      </c>
      <c r="BO279" s="64">
        <f t="shared" si="47"/>
        <v>0.22664835164835168</v>
      </c>
      <c r="BP279" s="64">
        <f t="shared" si="48"/>
        <v>0.23076923076923078</v>
      </c>
    </row>
    <row r="280" spans="1:68" ht="27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108</v>
      </c>
      <c r="Y282" s="630">
        <f t="shared" si="44"/>
        <v>108</v>
      </c>
      <c r="Z282" s="36">
        <f>IFERROR(IF(Y282=0,"",ROUNDUP(Y282/H282,0)*0.00651),"")</f>
        <v>0.29294999999999999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119.34</v>
      </c>
      <c r="BN282" s="64">
        <f t="shared" si="46"/>
        <v>119.34</v>
      </c>
      <c r="BO282" s="64">
        <f t="shared" si="47"/>
        <v>0.24725274725274726</v>
      </c>
      <c r="BP282" s="64">
        <f t="shared" si="48"/>
        <v>0.24725274725274726</v>
      </c>
    </row>
    <row r="283" spans="1:68" ht="27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27</v>
      </c>
      <c r="Y284" s="630">
        <f t="shared" si="44"/>
        <v>28.799999999999997</v>
      </c>
      <c r="Z284" s="36">
        <f>IFERROR(IF(Y284=0,"",ROUNDUP(Y284/H284,0)*0.00651),"")</f>
        <v>7.8119999999999995E-2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29.835000000000001</v>
      </c>
      <c r="BN284" s="64">
        <f t="shared" si="46"/>
        <v>31.824000000000002</v>
      </c>
      <c r="BO284" s="64">
        <f t="shared" si="47"/>
        <v>6.1813186813186816E-2</v>
      </c>
      <c r="BP284" s="64">
        <f t="shared" si="48"/>
        <v>6.5934065934065936E-2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1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45</v>
      </c>
      <c r="Y285" s="630">
        <f t="shared" si="44"/>
        <v>45.6</v>
      </c>
      <c r="Z285" s="36">
        <f>IFERROR(IF(Y285=0,"",ROUNDUP(Y285/H285,0)*0.00651),"")</f>
        <v>0.12369000000000001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49.725000000000001</v>
      </c>
      <c r="BN285" s="64">
        <f t="shared" si="46"/>
        <v>50.388000000000005</v>
      </c>
      <c r="BO285" s="64">
        <f t="shared" si="47"/>
        <v>0.10302197802197803</v>
      </c>
      <c r="BP285" s="64">
        <f t="shared" si="48"/>
        <v>0.1043956043956044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36</v>
      </c>
      <c r="Y286" s="630">
        <f t="shared" si="44"/>
        <v>36</v>
      </c>
      <c r="Z286" s="36">
        <f>IFERROR(IF(Y286=0,"",ROUNDUP(Y286/H286,0)*0.00651),"")</f>
        <v>9.7650000000000001E-2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39.870000000000005</v>
      </c>
      <c r="BN286" s="64">
        <f t="shared" si="46"/>
        <v>39.870000000000005</v>
      </c>
      <c r="BO286" s="64">
        <f t="shared" si="47"/>
        <v>8.241758241758243E-2</v>
      </c>
      <c r="BP286" s="64">
        <f t="shared" si="48"/>
        <v>8.241758241758243E-2</v>
      </c>
    </row>
    <row r="287" spans="1:68" ht="27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152.64208173690932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156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1.30237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490</v>
      </c>
      <c r="Y289" s="631">
        <f>IFERROR(SUM(Y276:Y287),"0")</f>
        <v>507.3</v>
      </c>
      <c r="Z289" s="37"/>
      <c r="AA289" s="632"/>
      <c r="AB289" s="632"/>
      <c r="AC289" s="632"/>
    </row>
    <row r="290" spans="1:68" ht="14.25" customHeight="1" x14ac:dyDescent="0.25">
      <c r="A290" s="653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22</v>
      </c>
      <c r="Y291" s="630">
        <f>IFERROR(IF(X291="",0,CEILING((X291/$H291),1)*$H291),"")</f>
        <v>24</v>
      </c>
      <c r="Z291" s="36">
        <f>IFERROR(IF(Y291=0,"",ROUNDUP(Y291/H291,0)*0.00651),"")</f>
        <v>6.5100000000000005E-2</v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24.310000000000002</v>
      </c>
      <c r="BN291" s="64">
        <f>IFERROR(Y291*I291/H291,"0")</f>
        <v>26.520000000000003</v>
      </c>
      <c r="BO291" s="64">
        <f>IFERROR(1/J291*(X291/H291),"0")</f>
        <v>5.0366300366300375E-2</v>
      </c>
      <c r="BP291" s="64">
        <f>IFERROR(1/J291*(Y291/H291),"0")</f>
        <v>5.4945054945054951E-2</v>
      </c>
    </row>
    <row r="292" spans="1:68" ht="27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18</v>
      </c>
      <c r="Y292" s="630">
        <f>IFERROR(IF(X292="",0,CEILING((X292/$H292),1)*$H292),"")</f>
        <v>19.2</v>
      </c>
      <c r="Z292" s="36">
        <f>IFERROR(IF(Y292=0,"",ROUNDUP(Y292/H292,0)*0.00651),"")</f>
        <v>5.2080000000000001E-2</v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19.890000000000004</v>
      </c>
      <c r="BN292" s="64">
        <f>IFERROR(Y292*I292/H292,"0")</f>
        <v>21.216000000000001</v>
      </c>
      <c r="BO292" s="64">
        <f>IFERROR(1/J292*(X292/H292),"0")</f>
        <v>4.1208791208791215E-2</v>
      </c>
      <c r="BP292" s="64">
        <f>IFERROR(1/J292*(Y292/H292),"0")</f>
        <v>4.3956043956043959E-2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16.666666666666668</v>
      </c>
      <c r="Y293" s="631">
        <f>IFERROR(Y291/H291,"0")+IFERROR(Y292/H292,"0")</f>
        <v>18</v>
      </c>
      <c r="Z293" s="631">
        <f>IFERROR(IF(Z291="",0,Z291),"0")+IFERROR(IF(Z292="",0,Z292),"0")</f>
        <v>0.11718000000000001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40</v>
      </c>
      <c r="Y294" s="631">
        <f>IFERROR(SUM(Y291:Y292),"0")</f>
        <v>43.2</v>
      </c>
      <c r="Z294" s="37"/>
      <c r="AA294" s="632"/>
      <c r="AB294" s="632"/>
      <c r="AC294" s="632"/>
    </row>
    <row r="295" spans="1:68" ht="16.5" customHeight="1" x14ac:dyDescent="0.25">
      <c r="A295" s="677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customHeight="1" x14ac:dyDescent="0.25">
      <c r="A296" s="653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4</v>
      </c>
      <c r="Y297" s="630">
        <f t="shared" ref="Y297:Y303" si="49">IFERROR(IF(X297="",0,CEILING((X297/$H297),1)*$H297),"")</f>
        <v>11.6</v>
      </c>
      <c r="Z297" s="36">
        <f>IFERROR(IF(Y297=0,"",ROUNDUP(Y297/H297,0)*0.01898),"")</f>
        <v>1.898E-2</v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4.1413793103448278</v>
      </c>
      <c r="BN297" s="64">
        <f t="shared" ref="BN297:BN303" si="51">IFERROR(Y297*I297/H297,"0")</f>
        <v>12.01</v>
      </c>
      <c r="BO297" s="64">
        <f t="shared" ref="BO297:BO303" si="52">IFERROR(1/J297*(X297/H297),"0")</f>
        <v>5.387931034482759E-3</v>
      </c>
      <c r="BP297" s="64">
        <f t="shared" ref="BP297:BP303" si="53">IFERROR(1/J297*(Y297/H297),"0")</f>
        <v>1.5625E-2</v>
      </c>
    </row>
    <row r="298" spans="1:68" ht="27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0.34482758620689657</v>
      </c>
      <c r="Y304" s="631">
        <f>IFERROR(Y297/H297,"0")+IFERROR(Y298/H298,"0")+IFERROR(Y299/H299,"0")+IFERROR(Y300/H300,"0")+IFERROR(Y301/H301,"0")+IFERROR(Y302/H302,"0")+IFERROR(Y303/H303,"0")</f>
        <v>1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1.898E-2</v>
      </c>
      <c r="AA304" s="632"/>
      <c r="AB304" s="632"/>
      <c r="AC304" s="632"/>
    </row>
    <row r="305" spans="1:68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4</v>
      </c>
      <c r="Y305" s="631">
        <f>IFERROR(SUM(Y297:Y303),"0")</f>
        <v>11.6</v>
      </c>
      <c r="Z305" s="37"/>
      <c r="AA305" s="632"/>
      <c r="AB305" s="632"/>
      <c r="AC305" s="632"/>
    </row>
    <row r="306" spans="1:68" ht="14.25" customHeight="1" x14ac:dyDescent="0.25">
      <c r="A306" s="653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customHeight="1" x14ac:dyDescent="0.25">
      <c r="A310" s="653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6</v>
      </c>
      <c r="Y311" s="630">
        <f>IFERROR(IF(X311="",0,CEILING((X311/$H311),1)*$H311),"")</f>
        <v>7.2</v>
      </c>
      <c r="Z311" s="36">
        <f>IFERROR(IF(Y311=0,"",ROUNDUP(Y311/H311,0)*0.0059),"")</f>
        <v>2.3599999999999999E-2</v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6.5833333333333339</v>
      </c>
      <c r="BN311" s="64">
        <f>IFERROR(Y311*I311/H311,"0")</f>
        <v>7.9</v>
      </c>
      <c r="BO311" s="64">
        <f>IFERROR(1/J311*(X311/H311),"0")</f>
        <v>1.5432098765432096E-2</v>
      </c>
      <c r="BP311" s="64">
        <f>IFERROR(1/J311*(Y311/H311),"0")</f>
        <v>1.8518518518518517E-2</v>
      </c>
    </row>
    <row r="312" spans="1:68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3.333333333333333</v>
      </c>
      <c r="Y312" s="631">
        <f>IFERROR(Y311/H311,"0")</f>
        <v>4</v>
      </c>
      <c r="Z312" s="631">
        <f>IFERROR(IF(Z311="",0,Z311),"0")</f>
        <v>2.3599999999999999E-2</v>
      </c>
      <c r="AA312" s="632"/>
      <c r="AB312" s="632"/>
      <c r="AC312" s="632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6</v>
      </c>
      <c r="Y313" s="631">
        <f>IFERROR(SUM(Y311:Y311),"0")</f>
        <v>7.2</v>
      </c>
      <c r="Z313" s="37"/>
      <c r="AA313" s="632"/>
      <c r="AB313" s="632"/>
      <c r="AC313" s="632"/>
    </row>
    <row r="314" spans="1:68" ht="14.25" customHeight="1" x14ac:dyDescent="0.25">
      <c r="A314" s="653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customHeight="1" x14ac:dyDescent="0.25">
      <c r="A320" s="677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customHeight="1" x14ac:dyDescent="0.25">
      <c r="A321" s="653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customHeight="1" x14ac:dyDescent="0.25">
      <c r="A329" s="677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customHeight="1" x14ac:dyDescent="0.25">
      <c r="A330" s="653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14</v>
      </c>
      <c r="Y332" s="630">
        <f>IFERROR(IF(X332="",0,CEILING((X332/$H332),1)*$H332),"")</f>
        <v>14.399999999999999</v>
      </c>
      <c r="Z332" s="36">
        <f>IFERROR(IF(Y332=0,"",ROUNDUP(Y332/H332,0)*0.00651),"")</f>
        <v>3.9059999999999997E-2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15.47</v>
      </c>
      <c r="BN332" s="64">
        <f>IFERROR(Y332*I332/H332,"0")</f>
        <v>15.912000000000001</v>
      </c>
      <c r="BO332" s="64">
        <f>IFERROR(1/J332*(X332/H332),"0")</f>
        <v>3.2051282051282055E-2</v>
      </c>
      <c r="BP332" s="64">
        <f>IFERROR(1/J332*(Y332/H332),"0")</f>
        <v>3.2967032967032968E-2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0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22</v>
      </c>
      <c r="Y333" s="630">
        <f>IFERROR(IF(X333="",0,CEILING((X333/$H333),1)*$H333),"")</f>
        <v>24</v>
      </c>
      <c r="Z333" s="36">
        <f>IFERROR(IF(Y333=0,"",ROUNDUP(Y333/H333,0)*0.00651),"")</f>
        <v>6.5100000000000005E-2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23.650000000000002</v>
      </c>
      <c r="BN333" s="64">
        <f>IFERROR(Y333*I333/H333,"0")</f>
        <v>25.8</v>
      </c>
      <c r="BO333" s="64">
        <f>IFERROR(1/J333*(X333/H333),"0")</f>
        <v>5.0366300366300375E-2</v>
      </c>
      <c r="BP333" s="64">
        <f>IFERROR(1/J333*(Y333/H333),"0")</f>
        <v>5.4945054945054951E-2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15.000000000000002</v>
      </c>
      <c r="Y334" s="631">
        <f>IFERROR(Y331/H331,"0")+IFERROR(Y332/H332,"0")+IFERROR(Y333/H333,"0")</f>
        <v>16</v>
      </c>
      <c r="Z334" s="631">
        <f>IFERROR(IF(Z331="",0,Z331),"0")+IFERROR(IF(Z332="",0,Z332),"0")+IFERROR(IF(Z333="",0,Z333),"0")</f>
        <v>0.10416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36</v>
      </c>
      <c r="Y335" s="631">
        <f>IFERROR(SUM(Y331:Y333),"0")</f>
        <v>38.4</v>
      </c>
      <c r="Z335" s="37"/>
      <c r="AA335" s="632"/>
      <c r="AB335" s="632"/>
      <c r="AC335" s="632"/>
    </row>
    <row r="336" spans="1:68" ht="16.5" customHeight="1" x14ac:dyDescent="0.25">
      <c r="A336" s="677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customHeight="1" x14ac:dyDescent="0.25">
      <c r="A337" s="653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73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92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customHeight="1" x14ac:dyDescent="0.25">
      <c r="A345" s="653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customHeight="1" x14ac:dyDescent="0.25">
      <c r="A350" s="677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customHeight="1" x14ac:dyDescent="0.25">
      <c r="A351" s="653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145</v>
      </c>
      <c r="Y352" s="630">
        <f>IFERROR(IF(X352="",0,CEILING((X352/$H352),1)*$H352),"")</f>
        <v>148.19999999999999</v>
      </c>
      <c r="Z352" s="36">
        <f>IFERROR(IF(Y352=0,"",ROUNDUP(Y352/H352,0)*0.01898),"")</f>
        <v>0.36062</v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152.62179487179489</v>
      </c>
      <c r="BN352" s="64">
        <f>IFERROR(Y352*I352/H352,"0")</f>
        <v>155.99</v>
      </c>
      <c r="BO352" s="64">
        <f>IFERROR(1/J352*(X352/H352),"0")</f>
        <v>0.29046474358974361</v>
      </c>
      <c r="BP352" s="64">
        <f>IFERROR(1/J352*(Y352/H352),"0")</f>
        <v>0.296875</v>
      </c>
    </row>
    <row r="353" spans="1:68" ht="27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79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249</v>
      </c>
      <c r="Y353" s="630">
        <f>IFERROR(IF(X353="",0,CEILING((X353/$H353),1)*$H353),"")</f>
        <v>249.6</v>
      </c>
      <c r="Z353" s="36">
        <f>IFERROR(IF(Y353=0,"",ROUNDUP(Y353/H353,0)*0.01898),"")</f>
        <v>0.60736000000000001</v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262.08846153846156</v>
      </c>
      <c r="BN353" s="64">
        <f>IFERROR(Y353*I353/H353,"0")</f>
        <v>262.72000000000003</v>
      </c>
      <c r="BO353" s="64">
        <f>IFERROR(1/J353*(X353/H353),"0")</f>
        <v>0.49879807692307693</v>
      </c>
      <c r="BP353" s="64">
        <f>IFERROR(1/J353*(Y353/H353),"0")</f>
        <v>0.5</v>
      </c>
    </row>
    <row r="354" spans="1:68" ht="27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77</v>
      </c>
      <c r="Y354" s="630">
        <f>IFERROR(IF(X354="",0,CEILING((X354/$H354),1)*$H354),"")</f>
        <v>78</v>
      </c>
      <c r="Z354" s="36">
        <f>IFERROR(IF(Y354=0,"",ROUNDUP(Y354/H354,0)*0.01898),"")</f>
        <v>0.1898</v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81.047435897435903</v>
      </c>
      <c r="BN354" s="64">
        <f>IFERROR(Y354*I354/H354,"0")</f>
        <v>82.100000000000023</v>
      </c>
      <c r="BO354" s="64">
        <f>IFERROR(1/J354*(X354/H354),"0")</f>
        <v>0.15424679487179488</v>
      </c>
      <c r="BP354" s="64">
        <f>IFERROR(1/J354*(Y354/H354),"0")</f>
        <v>0.15625</v>
      </c>
    </row>
    <row r="355" spans="1:68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60.384615384615387</v>
      </c>
      <c r="Y355" s="631">
        <f>IFERROR(Y352/H352,"0")+IFERROR(Y353/H353,"0")+IFERROR(Y354/H354,"0")</f>
        <v>61</v>
      </c>
      <c r="Z355" s="631">
        <f>IFERROR(IF(Z352="",0,Z352),"0")+IFERROR(IF(Z353="",0,Z353),"0")+IFERROR(IF(Z354="",0,Z354),"0")</f>
        <v>1.15778</v>
      </c>
      <c r="AA355" s="632"/>
      <c r="AB355" s="632"/>
      <c r="AC355" s="632"/>
    </row>
    <row r="356" spans="1:68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471</v>
      </c>
      <c r="Y356" s="631">
        <f>IFERROR(SUM(Y352:Y354),"0")</f>
        <v>475.79999999999995</v>
      </c>
      <c r="Z356" s="37"/>
      <c r="AA356" s="632"/>
      <c r="AB356" s="632"/>
      <c r="AC356" s="632"/>
    </row>
    <row r="357" spans="1:68" ht="16.5" customHeight="1" x14ac:dyDescent="0.25">
      <c r="A357" s="677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customHeight="1" x14ac:dyDescent="0.25">
      <c r="A358" s="653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customHeight="1" x14ac:dyDescent="0.25">
      <c r="A366" s="653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8</v>
      </c>
      <c r="Y373" s="630">
        <f t="shared" si="54"/>
        <v>9</v>
      </c>
      <c r="Z373" s="36">
        <f>IFERROR(IF(Y373=0,"",ROUNDUP(Y373/H373,0)*0.00651),"")</f>
        <v>3.2550000000000003E-2</v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9.0133333333333336</v>
      </c>
      <c r="BN373" s="64">
        <f t="shared" si="56"/>
        <v>10.139999999999999</v>
      </c>
      <c r="BO373" s="64">
        <f t="shared" si="57"/>
        <v>2.4420024420024423E-2</v>
      </c>
      <c r="BP373" s="64">
        <f t="shared" si="58"/>
        <v>2.7472527472527476E-2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4.4444444444444446</v>
      </c>
      <c r="Y374" s="631">
        <f>IFERROR(Y367/H367,"0")+IFERROR(Y368/H368,"0")+IFERROR(Y369/H369,"0")+IFERROR(Y370/H370,"0")+IFERROR(Y371/H371,"0")+IFERROR(Y372/H372,"0")+IFERROR(Y373/H373,"0")</f>
        <v>5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3.2550000000000003E-2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8</v>
      </c>
      <c r="Y375" s="631">
        <f>IFERROR(SUM(Y367:Y373),"0")</f>
        <v>9</v>
      </c>
      <c r="Z375" s="37"/>
      <c r="AA375" s="632"/>
      <c r="AB375" s="632"/>
      <c r="AC375" s="632"/>
    </row>
    <row r="376" spans="1:68" ht="14.25" customHeight="1" x14ac:dyDescent="0.25">
      <c r="A376" s="653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6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customHeight="1" x14ac:dyDescent="0.25">
      <c r="A383" s="653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62</v>
      </c>
      <c r="Y384" s="630">
        <f>IFERROR(IF(X384="",0,CEILING((X384/$H384),1)*$H384),"")</f>
        <v>67.2</v>
      </c>
      <c r="Z384" s="36">
        <f>IFERROR(IF(Y384=0,"",ROUNDUP(Y384/H384,0)*0.01898),"")</f>
        <v>0.15184</v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65.646190476190469</v>
      </c>
      <c r="BN384" s="64">
        <f>IFERROR(Y384*I384/H384,"0")</f>
        <v>71.152000000000001</v>
      </c>
      <c r="BO384" s="64">
        <f>IFERROR(1/J384*(X384/H384),"0")</f>
        <v>0.11532738095238095</v>
      </c>
      <c r="BP384" s="64">
        <f>IFERROR(1/J384*(Y384/H384),"0")</f>
        <v>0.125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180</v>
      </c>
      <c r="Y385" s="630">
        <f>IFERROR(IF(X385="",0,CEILING((X385/$H385),1)*$H385),"")</f>
        <v>187.2</v>
      </c>
      <c r="Z385" s="36">
        <f>IFERROR(IF(Y385=0,"",ROUNDUP(Y385/H385,0)*0.01898),"")</f>
        <v>0.45552000000000004</v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191.4</v>
      </c>
      <c r="BN385" s="64">
        <f>IFERROR(Y385*I385/H385,"0")</f>
        <v>199.05600000000001</v>
      </c>
      <c r="BO385" s="64">
        <f>IFERROR(1/J385*(X385/H385),"0")</f>
        <v>0.36057692307692307</v>
      </c>
      <c r="BP385" s="64">
        <f>IFERROR(1/J385*(Y385/H385),"0")</f>
        <v>0.375</v>
      </c>
    </row>
    <row r="386" spans="1:68" ht="27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49</v>
      </c>
      <c r="Y386" s="630">
        <f>IFERROR(IF(X386="",0,CEILING((X386/$H386),1)*$H386),"")</f>
        <v>50.400000000000006</v>
      </c>
      <c r="Z386" s="36">
        <f>IFERROR(IF(Y386=0,"",ROUNDUP(Y386/H386,0)*0.01898),"")</f>
        <v>0.11388000000000001</v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51.881666666666661</v>
      </c>
      <c r="BN386" s="64">
        <f>IFERROR(Y386*I386/H386,"0")</f>
        <v>53.364000000000004</v>
      </c>
      <c r="BO386" s="64">
        <f>IFERROR(1/J386*(X386/H386),"0")</f>
        <v>9.1145833333333329E-2</v>
      </c>
      <c r="BP386" s="64">
        <f>IFERROR(1/J386*(Y386/H386),"0")</f>
        <v>9.375E-2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36.291208791208788</v>
      </c>
      <c r="Y387" s="631">
        <f>IFERROR(Y384/H384,"0")+IFERROR(Y385/H385,"0")+IFERROR(Y386/H386,"0")</f>
        <v>38</v>
      </c>
      <c r="Z387" s="631">
        <f>IFERROR(IF(Z384="",0,Z384),"0")+IFERROR(IF(Z385="",0,Z385),"0")+IFERROR(IF(Z386="",0,Z386),"0")</f>
        <v>0.72123999999999999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291</v>
      </c>
      <c r="Y388" s="631">
        <f>IFERROR(SUM(Y384:Y386),"0")</f>
        <v>304.79999999999995</v>
      </c>
      <c r="Z388" s="37"/>
      <c r="AA388" s="632"/>
      <c r="AB388" s="632"/>
      <c r="AC388" s="632"/>
    </row>
    <row r="389" spans="1:68" ht="14.25" customHeight="1" x14ac:dyDescent="0.25">
      <c r="A389" s="653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23</v>
      </c>
      <c r="Y390" s="630">
        <f>IFERROR(IF(X390="",0,CEILING((X390/$H390),1)*$H390),"")</f>
        <v>24.32</v>
      </c>
      <c r="Z390" s="36">
        <f>IFERROR(IF(Y390=0,"",ROUNDUP(Y390/H390,0)*0.00902),"")</f>
        <v>7.2160000000000002E-2</v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25.042763157894736</v>
      </c>
      <c r="BN390" s="64">
        <f>IFERROR(Y390*I390/H390,"0")</f>
        <v>26.48</v>
      </c>
      <c r="BO390" s="64">
        <f>IFERROR(1/J390*(X390/H390),"0")</f>
        <v>5.7316586921850085E-2</v>
      </c>
      <c r="BP390" s="64">
        <f>IFERROR(1/J390*(Y390/H390),"0")</f>
        <v>6.0606060606060608E-2</v>
      </c>
    </row>
    <row r="391" spans="1:68" ht="27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22</v>
      </c>
      <c r="Y391" s="630">
        <f>IFERROR(IF(X391="",0,CEILING((X391/$H391),1)*$H391),"")</f>
        <v>24.32</v>
      </c>
      <c r="Z391" s="36">
        <f>IFERROR(IF(Y391=0,"",ROUNDUP(Y391/H391,0)*0.00902),"")</f>
        <v>7.2160000000000002E-2</v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23.664473684210524</v>
      </c>
      <c r="BN391" s="64">
        <f>IFERROR(Y391*I391/H391,"0")</f>
        <v>26.159999999999997</v>
      </c>
      <c r="BO391" s="64">
        <f>IFERROR(1/J391*(X391/H391),"0")</f>
        <v>5.4824561403508769E-2</v>
      </c>
      <c r="BP391" s="64">
        <f>IFERROR(1/J391*(Y391/H391),"0")</f>
        <v>6.0606060606060608E-2</v>
      </c>
    </row>
    <row r="392" spans="1:68" ht="27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6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30</v>
      </c>
      <c r="Y393" s="630">
        <f>IFERROR(IF(X393="",0,CEILING((X393/$H393),1)*$H393),"")</f>
        <v>30.599999999999998</v>
      </c>
      <c r="Z393" s="36">
        <f>IFERROR(IF(Y393=0,"",ROUNDUP(Y393/H393,0)*0.00651),"")</f>
        <v>7.8119999999999995E-2</v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33.882352941176471</v>
      </c>
      <c r="BN393" s="64">
        <f>IFERROR(Y393*I393/H393,"0")</f>
        <v>34.559999999999995</v>
      </c>
      <c r="BO393" s="64">
        <f>IFERROR(1/J393*(X393/H393),"0")</f>
        <v>6.4641241111829353E-2</v>
      </c>
      <c r="BP393" s="64">
        <f>IFERROR(1/J393*(Y393/H393),"0")</f>
        <v>6.5934065934065936E-2</v>
      </c>
    </row>
    <row r="394" spans="1:68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26.567337461300312</v>
      </c>
      <c r="Y394" s="631">
        <f>IFERROR(Y390/H390,"0")+IFERROR(Y391/H391,"0")+IFERROR(Y392/H392,"0")+IFERROR(Y393/H393,"0")</f>
        <v>28</v>
      </c>
      <c r="Z394" s="631">
        <f>IFERROR(IF(Z390="",0,Z390),"0")+IFERROR(IF(Z391="",0,Z391),"0")+IFERROR(IF(Z392="",0,Z392),"0")+IFERROR(IF(Z393="",0,Z393),"0")</f>
        <v>0.22244</v>
      </c>
      <c r="AA394" s="632"/>
      <c r="AB394" s="632"/>
      <c r="AC394" s="632"/>
    </row>
    <row r="395" spans="1:68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75</v>
      </c>
      <c r="Y395" s="631">
        <f>IFERROR(SUM(Y390:Y393),"0")</f>
        <v>79.239999999999995</v>
      </c>
      <c r="Z395" s="37"/>
      <c r="AA395" s="632"/>
      <c r="AB395" s="632"/>
      <c r="AC395" s="632"/>
    </row>
    <row r="396" spans="1:68" ht="14.25" customHeight="1" x14ac:dyDescent="0.25">
      <c r="A396" s="653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5</v>
      </c>
      <c r="Y397" s="630">
        <f>IFERROR(IF(X397="",0,CEILING((X397/$H397),1)*$H397),"")</f>
        <v>6</v>
      </c>
      <c r="Z397" s="36">
        <f>IFERROR(IF(Y397=0,"",ROUNDUP(Y397/H397,0)*0.00474),"")</f>
        <v>1.422E-2</v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5.6000000000000005</v>
      </c>
      <c r="BN397" s="64">
        <f>IFERROR(Y397*I397/H397,"0")</f>
        <v>6.7200000000000006</v>
      </c>
      <c r="BO397" s="64">
        <f>IFERROR(1/J397*(X397/H397),"0")</f>
        <v>1.0504201680672268E-2</v>
      </c>
      <c r="BP397" s="64">
        <f>IFERROR(1/J397*(Y397/H397),"0")</f>
        <v>1.2605042016806723E-2</v>
      </c>
    </row>
    <row r="398" spans="1:68" ht="27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35</v>
      </c>
      <c r="Y398" s="630">
        <f>IFERROR(IF(X398="",0,CEILING((X398/$H398),1)*$H398),"")</f>
        <v>36</v>
      </c>
      <c r="Z398" s="36">
        <f>IFERROR(IF(Y398=0,"",ROUNDUP(Y398/H398,0)*0.00474),"")</f>
        <v>8.5320000000000007E-2</v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39.200000000000003</v>
      </c>
      <c r="BN398" s="64">
        <f>IFERROR(Y398*I398/H398,"0")</f>
        <v>40.320000000000007</v>
      </c>
      <c r="BO398" s="64">
        <f>IFERROR(1/J398*(X398/H398),"0")</f>
        <v>7.3529411764705885E-2</v>
      </c>
      <c r="BP398" s="64">
        <f>IFERROR(1/J398*(Y398/H398),"0")</f>
        <v>7.5630252100840331E-2</v>
      </c>
    </row>
    <row r="399" spans="1:68" ht="27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53</v>
      </c>
      <c r="Y399" s="630">
        <f>IFERROR(IF(X399="",0,CEILING((X399/$H399),1)*$H399),"")</f>
        <v>54</v>
      </c>
      <c r="Z399" s="36">
        <f>IFERROR(IF(Y399=0,"",ROUNDUP(Y399/H399,0)*0.00474),"")</f>
        <v>0.12798000000000001</v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59.360000000000007</v>
      </c>
      <c r="BN399" s="64">
        <f>IFERROR(Y399*I399/H399,"0")</f>
        <v>60.480000000000004</v>
      </c>
      <c r="BO399" s="64">
        <f>IFERROR(1/J399*(X399/H399),"0")</f>
        <v>0.11134453781512604</v>
      </c>
      <c r="BP399" s="64">
        <f>IFERROR(1/J399*(Y399/H399),"0")</f>
        <v>0.1134453781512605</v>
      </c>
    </row>
    <row r="400" spans="1:68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46.5</v>
      </c>
      <c r="Y400" s="631">
        <f>IFERROR(Y397/H397,"0")+IFERROR(Y398/H398,"0")+IFERROR(Y399/H399,"0")</f>
        <v>48</v>
      </c>
      <c r="Z400" s="631">
        <f>IFERROR(IF(Z397="",0,Z397),"0")+IFERROR(IF(Z398="",0,Z398),"0")+IFERROR(IF(Z399="",0,Z399),"0")</f>
        <v>0.22752</v>
      </c>
      <c r="AA400" s="632"/>
      <c r="AB400" s="632"/>
      <c r="AC400" s="632"/>
    </row>
    <row r="401" spans="1:68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93</v>
      </c>
      <c r="Y401" s="631">
        <f>IFERROR(SUM(Y397:Y399),"0")</f>
        <v>96</v>
      </c>
      <c r="Z401" s="37"/>
      <c r="AA401" s="632"/>
      <c r="AB401" s="632"/>
      <c r="AC401" s="632"/>
    </row>
    <row r="402" spans="1:68" ht="14.25" customHeight="1" x14ac:dyDescent="0.25">
      <c r="A402" s="653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6</v>
      </c>
      <c r="Y403" s="630">
        <f>IFERROR(IF(X403="",0,CEILING((X403/$H403),1)*$H403),"")</f>
        <v>6</v>
      </c>
      <c r="Z403" s="36">
        <f>IFERROR(IF(Y403=0,"",ROUNDUP(Y403/H403,0)*0.0045),"")</f>
        <v>8.9999999999999993E-3</v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6.44</v>
      </c>
      <c r="BN403" s="64">
        <f>IFERROR(Y403*I403/H403,"0")</f>
        <v>6.44</v>
      </c>
      <c r="BO403" s="64">
        <f>IFERROR(1/J403*(X403/H403),"0")</f>
        <v>8.9285714285714281E-3</v>
      </c>
      <c r="BP403" s="64">
        <f>IFERROR(1/J403*(Y403/H403),"0")</f>
        <v>8.9285714285714281E-3</v>
      </c>
    </row>
    <row r="404" spans="1:68" ht="27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68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8</v>
      </c>
      <c r="Y404" s="630">
        <f>IFERROR(IF(X404="",0,CEILING((X404/$H404),1)*$H404),"")</f>
        <v>11.7</v>
      </c>
      <c r="Z404" s="36">
        <f>IFERROR(IF(Y404=0,"",ROUNDUP(Y404/H404,0)*0.006),"")</f>
        <v>1.8000000000000002E-2</v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8.5538461538461537</v>
      </c>
      <c r="BN404" s="64">
        <f>IFERROR(Y404*I404/H404,"0")</f>
        <v>12.509999999999998</v>
      </c>
      <c r="BO404" s="64">
        <f>IFERROR(1/J404*(X404/H404),"0")</f>
        <v>1.4245014245014245E-2</v>
      </c>
      <c r="BP404" s="64">
        <f>IFERROR(1/J404*(Y404/H404),"0")</f>
        <v>2.0833333333333332E-2</v>
      </c>
    </row>
    <row r="405" spans="1:68" ht="27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4.0512820512820511</v>
      </c>
      <c r="Y406" s="631">
        <f>IFERROR(Y403/H403,"0")+IFERROR(Y404/H404,"0")+IFERROR(Y405/H405,"0")</f>
        <v>5</v>
      </c>
      <c r="Z406" s="631">
        <f>IFERROR(IF(Z403="",0,Z403),"0")+IFERROR(IF(Z404="",0,Z404),"0")+IFERROR(IF(Z405="",0,Z405),"0")</f>
        <v>2.7000000000000003E-2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14</v>
      </c>
      <c r="Y407" s="631">
        <f>IFERROR(SUM(Y403:Y405),"0")</f>
        <v>17.7</v>
      </c>
      <c r="Z407" s="37"/>
      <c r="AA407" s="632"/>
      <c r="AB407" s="632"/>
      <c r="AC407" s="632"/>
    </row>
    <row r="408" spans="1:68" ht="16.5" customHeight="1" x14ac:dyDescent="0.25">
      <c r="A408" s="677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customHeight="1" x14ac:dyDescent="0.25">
      <c r="A409" s="653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customHeight="1" x14ac:dyDescent="0.25">
      <c r="A414" s="677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customHeight="1" x14ac:dyDescent="0.25">
      <c r="A415" s="653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2</v>
      </c>
      <c r="Y417" s="630">
        <f>IFERROR(IF(X417="",0,CEILING((X417/$H417),1)*$H417),"")</f>
        <v>2.1</v>
      </c>
      <c r="Z417" s="36">
        <f>IFERROR(IF(Y417=0,"",ROUNDUP(Y417/H417,0)*0.00651),"")</f>
        <v>6.5100000000000002E-3</v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2.2399999999999998</v>
      </c>
      <c r="BN417" s="64">
        <f>IFERROR(Y417*I417/H417,"0")</f>
        <v>2.3519999999999999</v>
      </c>
      <c r="BO417" s="64">
        <f>IFERROR(1/J417*(X417/H417),"0")</f>
        <v>5.2328623757195184E-3</v>
      </c>
      <c r="BP417" s="64">
        <f>IFERROR(1/J417*(Y417/H417),"0")</f>
        <v>5.4945054945054949E-3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4</v>
      </c>
      <c r="Y418" s="630">
        <f>IFERROR(IF(X418="",0,CEILING((X418/$H418),1)*$H418),"")</f>
        <v>4.2</v>
      </c>
      <c r="Z418" s="36">
        <f>IFERROR(IF(Y418=0,"",ROUNDUP(Y418/H418,0)*0.00651),"")</f>
        <v>1.302E-2</v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4.4571428571428564</v>
      </c>
      <c r="BN418" s="64">
        <f>IFERROR(Y418*I418/H418,"0")</f>
        <v>4.68</v>
      </c>
      <c r="BO418" s="64">
        <f>IFERROR(1/J418*(X418/H418),"0")</f>
        <v>1.0465724751439037E-2</v>
      </c>
      <c r="BP418" s="64">
        <f>IFERROR(1/J418*(Y418/H418),"0")</f>
        <v>1.098901098901099E-2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2.8571428571428568</v>
      </c>
      <c r="Y419" s="631">
        <f>IFERROR(Y416/H416,"0")+IFERROR(Y417/H417,"0")+IFERROR(Y418/H418,"0")</f>
        <v>3</v>
      </c>
      <c r="Z419" s="631">
        <f>IFERROR(IF(Z416="",0,Z416),"0")+IFERROR(IF(Z417="",0,Z417),"0")+IFERROR(IF(Z418="",0,Z418),"0")</f>
        <v>1.9529999999999999E-2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6</v>
      </c>
      <c r="Y420" s="631">
        <f>IFERROR(SUM(Y416:Y418),"0")</f>
        <v>6.3000000000000007</v>
      </c>
      <c r="Z420" s="37"/>
      <c r="AA420" s="632"/>
      <c r="AB420" s="632"/>
      <c r="AC420" s="632"/>
    </row>
    <row r="421" spans="1:68" ht="27.75" customHeight="1" x14ac:dyDescent="0.2">
      <c r="A421" s="649" t="s">
        <v>681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48"/>
      <c r="AB421" s="48"/>
      <c r="AC421" s="48"/>
    </row>
    <row r="422" spans="1:68" ht="16.5" customHeight="1" x14ac:dyDescent="0.25">
      <c r="A422" s="677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customHeight="1" x14ac:dyDescent="0.25">
      <c r="A423" s="653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0</v>
      </c>
      <c r="Y425" s="630">
        <f t="shared" si="59"/>
        <v>0</v>
      </c>
      <c r="Z425" s="36" t="str">
        <f>IFERROR(IF(Y425=0,"",ROUNDUP(Y425/H425,0)*0.02175),"")</f>
        <v/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0</v>
      </c>
      <c r="BN425" s="64">
        <f t="shared" si="61"/>
        <v>0</v>
      </c>
      <c r="BO425" s="64">
        <f t="shared" si="62"/>
        <v>0</v>
      </c>
      <c r="BP425" s="64">
        <f t="shared" si="63"/>
        <v>0</v>
      </c>
    </row>
    <row r="426" spans="1:68" ht="27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0</v>
      </c>
      <c r="Y426" s="630">
        <f t="shared" si="59"/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0</v>
      </c>
      <c r="BN426" s="64">
        <f t="shared" si="61"/>
        <v>0</v>
      </c>
      <c r="BO426" s="64">
        <f t="shared" si="62"/>
        <v>0</v>
      </c>
      <c r="BP426" s="64">
        <f t="shared" si="63"/>
        <v>0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0</v>
      </c>
      <c r="Y427" s="630">
        <f t="shared" si="59"/>
        <v>0</v>
      </c>
      <c r="Z427" s="36" t="str">
        <f>IFERROR(IF(Y427=0,"",ROUNDUP(Y427/H427,0)*0.02175),"")</f>
        <v/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0</v>
      </c>
      <c r="BN427" s="64">
        <f t="shared" si="61"/>
        <v>0</v>
      </c>
      <c r="BO427" s="64">
        <f t="shared" si="62"/>
        <v>0</v>
      </c>
      <c r="BP427" s="64">
        <f t="shared" si="63"/>
        <v>0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237</v>
      </c>
      <c r="Y428" s="630">
        <f t="shared" si="59"/>
        <v>240</v>
      </c>
      <c r="Z428" s="36">
        <f>IFERROR(IF(Y428=0,"",ROUNDUP(Y428/H428,0)*0.02175),"")</f>
        <v>0.34799999999999998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244.42600000000002</v>
      </c>
      <c r="BN428" s="64">
        <f t="shared" si="61"/>
        <v>247.52</v>
      </c>
      <c r="BO428" s="64">
        <f t="shared" si="62"/>
        <v>0.32916666666666666</v>
      </c>
      <c r="BP428" s="64">
        <f t="shared" si="63"/>
        <v>0.33333333333333331</v>
      </c>
    </row>
    <row r="429" spans="1:68" ht="27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15.8</v>
      </c>
      <c r="Y432" s="631">
        <f>IFERROR(Y424/H424,"0")+IFERROR(Y425/H425,"0")+IFERROR(Y426/H426,"0")+IFERROR(Y427/H427,"0")+IFERROR(Y428/H428,"0")+IFERROR(Y429/H429,"0")+IFERROR(Y430/H430,"0")+IFERROR(Y431/H431,"0")</f>
        <v>16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0.34799999999999998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237</v>
      </c>
      <c r="Y433" s="631">
        <f>IFERROR(SUM(Y424:Y431),"0")</f>
        <v>240</v>
      </c>
      <c r="Z433" s="37"/>
      <c r="AA433" s="632"/>
      <c r="AB433" s="632"/>
      <c r="AC433" s="632"/>
    </row>
    <row r="434" spans="1:68" ht="14.25" customHeight="1" x14ac:dyDescent="0.25">
      <c r="A434" s="653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0</v>
      </c>
      <c r="Y435" s="630">
        <f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27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0</v>
      </c>
      <c r="Y438" s="631">
        <f>IFERROR(Y435/H435,"0")+IFERROR(Y436/H436,"0")+IFERROR(Y437/H437,"0")</f>
        <v>0</v>
      </c>
      <c r="Z438" s="631">
        <f>IFERROR(IF(Z435="",0,Z435),"0")+IFERROR(IF(Z436="",0,Z436),"0")+IFERROR(IF(Z437="",0,Z437),"0")</f>
        <v>0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0</v>
      </c>
      <c r="Y439" s="631">
        <f>IFERROR(SUM(Y435:Y437),"0")</f>
        <v>0</v>
      </c>
      <c r="Z439" s="37"/>
      <c r="AA439" s="632"/>
      <c r="AB439" s="632"/>
      <c r="AC439" s="632"/>
    </row>
    <row r="440" spans="1:68" ht="14.25" customHeight="1" x14ac:dyDescent="0.25">
      <c r="A440" s="653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10</v>
      </c>
      <c r="Y442" s="630">
        <f>IFERROR(IF(X442="",0,CEILING((X442/$H442),1)*$H442),"")</f>
        <v>18</v>
      </c>
      <c r="Z442" s="36">
        <f>IFERROR(IF(Y442=0,"",ROUNDUP(Y442/H442,0)*0.01898),"")</f>
        <v>3.7960000000000001E-2</v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10.548888888888889</v>
      </c>
      <c r="BN442" s="64">
        <f>IFERROR(Y442*I442/H442,"0")</f>
        <v>18.988</v>
      </c>
      <c r="BO442" s="64">
        <f>IFERROR(1/J442*(X442/H442),"0")</f>
        <v>1.7361111111111112E-2</v>
      </c>
      <c r="BP442" s="64">
        <f>IFERROR(1/J442*(Y442/H442),"0")</f>
        <v>3.125E-2</v>
      </c>
    </row>
    <row r="443" spans="1:68" ht="27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8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1.1111111111111112</v>
      </c>
      <c r="Y444" s="631">
        <f>IFERROR(Y441/H441,"0")+IFERROR(Y442/H442,"0")+IFERROR(Y443/H443,"0")</f>
        <v>2</v>
      </c>
      <c r="Z444" s="631">
        <f>IFERROR(IF(Z441="",0,Z441),"0")+IFERROR(IF(Z442="",0,Z442),"0")+IFERROR(IF(Z443="",0,Z443),"0")</f>
        <v>3.7960000000000001E-2</v>
      </c>
      <c r="AA444" s="632"/>
      <c r="AB444" s="632"/>
      <c r="AC444" s="632"/>
    </row>
    <row r="445" spans="1:68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10</v>
      </c>
      <c r="Y445" s="631">
        <f>IFERROR(SUM(Y441:Y443),"0")</f>
        <v>18</v>
      </c>
      <c r="Z445" s="37"/>
      <c r="AA445" s="632"/>
      <c r="AB445" s="632"/>
      <c r="AC445" s="632"/>
    </row>
    <row r="446" spans="1:68" ht="14.25" customHeight="1" x14ac:dyDescent="0.25">
      <c r="A446" s="653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54</v>
      </c>
      <c r="Y448" s="630">
        <f>IFERROR(IF(X448="",0,CEILING((X448/$H448),1)*$H448),"")</f>
        <v>54</v>
      </c>
      <c r="Z448" s="36">
        <f>IFERROR(IF(Y448=0,"",ROUNDUP(Y448/H448,0)*0.01898),"")</f>
        <v>0.11388000000000001</v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56.963999999999992</v>
      </c>
      <c r="BN448" s="64">
        <f>IFERROR(Y448*I448/H448,"0")</f>
        <v>56.963999999999992</v>
      </c>
      <c r="BO448" s="64">
        <f>IFERROR(1/J448*(X448/H448),"0")</f>
        <v>9.375E-2</v>
      </c>
      <c r="BP448" s="64">
        <f>IFERROR(1/J448*(Y448/H448),"0")</f>
        <v>9.375E-2</v>
      </c>
    </row>
    <row r="449" spans="1:68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6</v>
      </c>
      <c r="Y449" s="631">
        <f>IFERROR(Y447/H447,"0")+IFERROR(Y448/H448,"0")</f>
        <v>6</v>
      </c>
      <c r="Z449" s="631">
        <f>IFERROR(IF(Z447="",0,Z447),"0")+IFERROR(IF(Z448="",0,Z448),"0")</f>
        <v>0.11388000000000001</v>
      </c>
      <c r="AA449" s="632"/>
      <c r="AB449" s="632"/>
      <c r="AC449" s="632"/>
    </row>
    <row r="450" spans="1:68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54</v>
      </c>
      <c r="Y450" s="631">
        <f>IFERROR(SUM(Y447:Y448),"0")</f>
        <v>54</v>
      </c>
      <c r="Z450" s="37"/>
      <c r="AA450" s="632"/>
      <c r="AB450" s="632"/>
      <c r="AC450" s="632"/>
    </row>
    <row r="451" spans="1:68" ht="16.5" customHeight="1" x14ac:dyDescent="0.25">
      <c r="A451" s="677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customHeight="1" x14ac:dyDescent="0.25">
      <c r="A452" s="653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customHeight="1" x14ac:dyDescent="0.25">
      <c r="A457" s="653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customHeight="1" x14ac:dyDescent="0.25">
      <c r="A461" s="653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180</v>
      </c>
      <c r="Y462" s="630">
        <f>IFERROR(IF(X462="",0,CEILING((X462/$H462),1)*$H462),"")</f>
        <v>180</v>
      </c>
      <c r="Z462" s="36">
        <f>IFERROR(IF(Y462=0,"",ROUNDUP(Y462/H462,0)*0.01898),"")</f>
        <v>0.37959999999999999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189.88</v>
      </c>
      <c r="BN462" s="64">
        <f>IFERROR(Y462*I462/H462,"0")</f>
        <v>189.88</v>
      </c>
      <c r="BO462" s="64">
        <f>IFERROR(1/J462*(X462/H462),"0")</f>
        <v>0.3125</v>
      </c>
      <c r="BP462" s="64">
        <f>IFERROR(1/J462*(Y462/H462),"0")</f>
        <v>0.3125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9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8</v>
      </c>
      <c r="Y463" s="630">
        <f>IFERROR(IF(X463="",0,CEILING((X463/$H463),1)*$H463),"")</f>
        <v>9.6</v>
      </c>
      <c r="Z463" s="36">
        <f>IFERROR(IF(Y463=0,"",ROUNDUP(Y463/H463,0)*0.00651),"")</f>
        <v>2.6040000000000001E-2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8.8800000000000008</v>
      </c>
      <c r="BN463" s="64">
        <f>IFERROR(Y463*I463/H463,"0")</f>
        <v>10.656000000000001</v>
      </c>
      <c r="BO463" s="64">
        <f>IFERROR(1/J463*(X463/H463),"0")</f>
        <v>1.8315018315018316E-2</v>
      </c>
      <c r="BP463" s="64">
        <f>IFERROR(1/J463*(Y463/H463),"0")</f>
        <v>2.197802197802198E-2</v>
      </c>
    </row>
    <row r="464" spans="1:68" ht="27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23.333333333333332</v>
      </c>
      <c r="Y465" s="631">
        <f>IFERROR(Y462/H462,"0")+IFERROR(Y463/H463,"0")+IFERROR(Y464/H464,"0")</f>
        <v>24</v>
      </c>
      <c r="Z465" s="631">
        <f>IFERROR(IF(Z462="",0,Z462),"0")+IFERROR(IF(Z463="",0,Z463),"0")+IFERROR(IF(Z464="",0,Z464),"0")</f>
        <v>0.40564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188</v>
      </c>
      <c r="Y466" s="631">
        <f>IFERROR(SUM(Y462:Y464),"0")</f>
        <v>189.6</v>
      </c>
      <c r="Z466" s="37"/>
      <c r="AA466" s="632"/>
      <c r="AB466" s="632"/>
      <c r="AC466" s="632"/>
    </row>
    <row r="467" spans="1:68" ht="27.75" customHeight="1" x14ac:dyDescent="0.2">
      <c r="A467" s="649" t="s">
        <v>747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48"/>
      <c r="AB467" s="48"/>
      <c r="AC467" s="48"/>
    </row>
    <row r="468" spans="1:68" ht="16.5" customHeight="1" x14ac:dyDescent="0.25">
      <c r="A468" s="677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customHeight="1" x14ac:dyDescent="0.25">
      <c r="A469" s="653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10</v>
      </c>
      <c r="Y470" s="630">
        <f t="shared" ref="Y470:Y475" si="64">IFERROR(IF(X470="",0,CEILING((X470/$H470),1)*$H470),"")</f>
        <v>10.8</v>
      </c>
      <c r="Z470" s="36">
        <f>IFERROR(IF(Y470=0,"",ROUNDUP(Y470/H470,0)*0.00902),"")</f>
        <v>1.804E-2</v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10.351851851851851</v>
      </c>
      <c r="BN470" s="64">
        <f t="shared" ref="BN470:BN475" si="66">IFERROR(Y470*I470/H470,"0")</f>
        <v>11.18</v>
      </c>
      <c r="BO470" s="64">
        <f t="shared" ref="BO470:BO475" si="67">IFERROR(1/J470*(X470/H470),"0")</f>
        <v>1.4029180695847361E-2</v>
      </c>
      <c r="BP470" s="64">
        <f t="shared" ref="BP470:BP475" si="68">IFERROR(1/J470*(Y470/H470),"0")</f>
        <v>1.5151515151515152E-2</v>
      </c>
    </row>
    <row r="471" spans="1:68" ht="27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7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1.8518518518518516</v>
      </c>
      <c r="Y476" s="631">
        <f>IFERROR(Y470/H470,"0")+IFERROR(Y471/H471,"0")+IFERROR(Y472/H472,"0")+IFERROR(Y473/H473,"0")+IFERROR(Y474/H474,"0")+IFERROR(Y475/H475,"0")</f>
        <v>2</v>
      </c>
      <c r="Z476" s="631">
        <f>IFERROR(IF(Z470="",0,Z470),"0")+IFERROR(IF(Z471="",0,Z471),"0")+IFERROR(IF(Z472="",0,Z472),"0")+IFERROR(IF(Z473="",0,Z473),"0")+IFERROR(IF(Z474="",0,Z474),"0")+IFERROR(IF(Z475="",0,Z475),"0")</f>
        <v>1.804E-2</v>
      </c>
      <c r="AA476" s="632"/>
      <c r="AB476" s="632"/>
      <c r="AC476" s="632"/>
    </row>
    <row r="477" spans="1:68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10</v>
      </c>
      <c r="Y477" s="631">
        <f>IFERROR(SUM(Y470:Y475),"0")</f>
        <v>10.8</v>
      </c>
      <c r="Z477" s="37"/>
      <c r="AA477" s="632"/>
      <c r="AB477" s="632"/>
      <c r="AC477" s="632"/>
    </row>
    <row r="478" spans="1:68" ht="14.25" customHeight="1" x14ac:dyDescent="0.25">
      <c r="A478" s="653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customHeight="1" x14ac:dyDescent="0.25">
      <c r="A483" s="677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customHeight="1" x14ac:dyDescent="0.25">
      <c r="A484" s="653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customHeight="1" x14ac:dyDescent="0.25">
      <c r="A488" s="653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10</v>
      </c>
      <c r="Y489" s="630">
        <f>IFERROR(IF(X489="",0,CEILING((X489/$H489),1)*$H489),"")</f>
        <v>10.8</v>
      </c>
      <c r="Z489" s="36">
        <f>IFERROR(IF(Y489=0,"",ROUNDUP(Y489/H489,0)*0.00902),"")</f>
        <v>1.804E-2</v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10.351851851851851</v>
      </c>
      <c r="BN489" s="64">
        <f>IFERROR(Y489*I489/H489,"0")</f>
        <v>11.18</v>
      </c>
      <c r="BO489" s="64">
        <f>IFERROR(1/J489*(X489/H489),"0")</f>
        <v>1.4029180695847361E-2</v>
      </c>
      <c r="BP489" s="64">
        <f>IFERROR(1/J489*(Y489/H489),"0")</f>
        <v>1.5151515151515152E-2</v>
      </c>
    </row>
    <row r="490" spans="1:68" ht="27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1.8518518518518516</v>
      </c>
      <c r="Y492" s="631">
        <f>IFERROR(Y489/H489,"0")+IFERROR(Y490/H490,"0")+IFERROR(Y491/H491,"0")</f>
        <v>2</v>
      </c>
      <c r="Z492" s="631">
        <f>IFERROR(IF(Z489="",0,Z489),"0")+IFERROR(IF(Z490="",0,Z490),"0")+IFERROR(IF(Z491="",0,Z491),"0")</f>
        <v>1.804E-2</v>
      </c>
      <c r="AA492" s="632"/>
      <c r="AB492" s="632"/>
      <c r="AC492" s="632"/>
    </row>
    <row r="493" spans="1:68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10</v>
      </c>
      <c r="Y493" s="631">
        <f>IFERROR(SUM(Y489:Y491),"0")</f>
        <v>10.8</v>
      </c>
      <c r="Z493" s="37"/>
      <c r="AA493" s="632"/>
      <c r="AB493" s="632"/>
      <c r="AC493" s="632"/>
    </row>
    <row r="494" spans="1:68" ht="27.75" customHeight="1" x14ac:dyDescent="0.2">
      <c r="A494" s="649" t="s">
        <v>783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48"/>
      <c r="AB494" s="48"/>
      <c r="AC494" s="48"/>
    </row>
    <row r="495" spans="1:68" ht="16.5" customHeight="1" x14ac:dyDescent="0.25">
      <c r="A495" s="677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customHeight="1" x14ac:dyDescent="0.25">
      <c r="A496" s="653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0</v>
      </c>
      <c r="Y497" s="630">
        <f t="shared" ref="Y497:Y505" si="69">IFERROR(IF(X497="",0,CEILING((X497/$H497),1)*$H497),"")</f>
        <v>0</v>
      </c>
      <c r="Z497" s="36" t="str">
        <f t="shared" ref="Z497:Z502" si="70">IFERROR(IF(Y497=0,"",ROUNDUP(Y497/H497,0)*0.01196),"")</f>
        <v/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0</v>
      </c>
      <c r="BN497" s="64">
        <f t="shared" ref="BN497:BN505" si="72">IFERROR(Y497*I497/H497,"0")</f>
        <v>0</v>
      </c>
      <c r="BO497" s="64">
        <f t="shared" ref="BO497:BO505" si="73">IFERROR(1/J497*(X497/H497),"0")</f>
        <v>0</v>
      </c>
      <c r="BP497" s="64">
        <f t="shared" ref="BP497:BP505" si="74">IFERROR(1/J497*(Y497/H497),"0")</f>
        <v>0</v>
      </c>
    </row>
    <row r="498" spans="1:68" ht="16.5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51</v>
      </c>
      <c r="Y500" s="630">
        <f t="shared" si="69"/>
        <v>52.800000000000004</v>
      </c>
      <c r="Z500" s="36">
        <f t="shared" si="70"/>
        <v>0.1196</v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54.380681818181813</v>
      </c>
      <c r="BN500" s="64">
        <f t="shared" si="72"/>
        <v>56.3</v>
      </c>
      <c r="BO500" s="64">
        <f t="shared" si="73"/>
        <v>9.2875874125874128E-2</v>
      </c>
      <c r="BP500" s="64">
        <f t="shared" si="74"/>
        <v>9.6153846153846159E-2</v>
      </c>
    </row>
    <row r="501" spans="1:68" ht="16.5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1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1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228</v>
      </c>
      <c r="Y502" s="630">
        <f t="shared" si="69"/>
        <v>232.32000000000002</v>
      </c>
      <c r="Z502" s="36">
        <f t="shared" si="70"/>
        <v>0.52624000000000004</v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243.11363636363632</v>
      </c>
      <c r="BN502" s="64">
        <f t="shared" si="72"/>
        <v>247.72</v>
      </c>
      <c r="BO502" s="64">
        <f t="shared" si="73"/>
        <v>0.41520979020979021</v>
      </c>
      <c r="BP502" s="64">
        <f t="shared" si="74"/>
        <v>0.42307692307692313</v>
      </c>
    </row>
    <row r="503" spans="1:68" ht="27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73</v>
      </c>
      <c r="Y505" s="630">
        <f t="shared" si="69"/>
        <v>76.8</v>
      </c>
      <c r="Z505" s="36">
        <f>IFERROR(IF(Y505=0,"",ROUNDUP(Y505/H505,0)*0.00902),"")</f>
        <v>0.14432</v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105.08958333333334</v>
      </c>
      <c r="BN505" s="64">
        <f t="shared" si="72"/>
        <v>110.56</v>
      </c>
      <c r="BO505" s="64">
        <f t="shared" si="73"/>
        <v>0.11521464646464648</v>
      </c>
      <c r="BP505" s="64">
        <f t="shared" si="74"/>
        <v>0.12121212121212122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68.049242424242422</v>
      </c>
      <c r="Y506" s="631">
        <f>IFERROR(Y497/H497,"0")+IFERROR(Y498/H498,"0")+IFERROR(Y499/H499,"0")+IFERROR(Y500/H500,"0")+IFERROR(Y501/H501,"0")+IFERROR(Y502/H502,"0")+IFERROR(Y503/H503,"0")+IFERROR(Y504/H504,"0")+IFERROR(Y505/H505,"0")</f>
        <v>70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0.79016000000000008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352</v>
      </c>
      <c r="Y507" s="631">
        <f>IFERROR(SUM(Y497:Y505),"0")</f>
        <v>361.92</v>
      </c>
      <c r="Z507" s="37"/>
      <c r="AA507" s="632"/>
      <c r="AB507" s="632"/>
      <c r="AC507" s="632"/>
    </row>
    <row r="508" spans="1:68" ht="14.25" customHeight="1" x14ac:dyDescent="0.25">
      <c r="A508" s="653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96</v>
      </c>
      <c r="Y509" s="630">
        <f>IFERROR(IF(X509="",0,CEILING((X509/$H509),1)*$H509),"")</f>
        <v>100.32000000000001</v>
      </c>
      <c r="Z509" s="36">
        <f>IFERROR(IF(Y509=0,"",ROUNDUP(Y509/H509,0)*0.01196),"")</f>
        <v>0.22724</v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102.36363636363636</v>
      </c>
      <c r="BN509" s="64">
        <f>IFERROR(Y509*I509/H509,"0")</f>
        <v>106.97</v>
      </c>
      <c r="BO509" s="64">
        <f>IFERROR(1/J509*(X509/H509),"0")</f>
        <v>0.17482517482517482</v>
      </c>
      <c r="BP509" s="64">
        <f>IFERROR(1/J509*(Y509/H509),"0")</f>
        <v>0.18269230769230771</v>
      </c>
    </row>
    <row r="510" spans="1:68" ht="16.5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0</v>
      </c>
      <c r="Y511" s="630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18.18181818181818</v>
      </c>
      <c r="Y512" s="631">
        <f>IFERROR(Y509/H509,"0")+IFERROR(Y510/H510,"0")+IFERROR(Y511/H511,"0")</f>
        <v>19</v>
      </c>
      <c r="Z512" s="631">
        <f>IFERROR(IF(Z509="",0,Z509),"0")+IFERROR(IF(Z510="",0,Z510),"0")+IFERROR(IF(Z511="",0,Z511),"0")</f>
        <v>0.22724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96</v>
      </c>
      <c r="Y513" s="631">
        <f>IFERROR(SUM(Y509:Y511),"0")</f>
        <v>100.32000000000001</v>
      </c>
      <c r="Z513" s="37"/>
      <c r="AA513" s="632"/>
      <c r="AB513" s="632"/>
      <c r="AC513" s="632"/>
    </row>
    <row r="514" spans="1:68" ht="14.25" customHeight="1" x14ac:dyDescent="0.25">
      <c r="A514" s="653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13</v>
      </c>
      <c r="Y515" s="630">
        <f t="shared" ref="Y515:Y521" si="75">IFERROR(IF(X515="",0,CEILING((X515/$H515),1)*$H515),"")</f>
        <v>15.84</v>
      </c>
      <c r="Z515" s="36">
        <f>IFERROR(IF(Y515=0,"",ROUNDUP(Y515/H515,0)*0.01196),"")</f>
        <v>3.5880000000000002E-2</v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13.861742424242424</v>
      </c>
      <c r="BN515" s="64">
        <f t="shared" ref="BN515:BN521" si="77">IFERROR(Y515*I515/H515,"0")</f>
        <v>16.889999999999997</v>
      </c>
      <c r="BO515" s="64">
        <f t="shared" ref="BO515:BO521" si="78">IFERROR(1/J515*(X515/H515),"0")</f>
        <v>2.3674242424242424E-2</v>
      </c>
      <c r="BP515" s="64">
        <f t="shared" ref="BP515:BP521" si="79">IFERROR(1/J515*(Y515/H515),"0")</f>
        <v>2.8846153846153848E-2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173</v>
      </c>
      <c r="Y516" s="630">
        <f t="shared" si="75"/>
        <v>174.24</v>
      </c>
      <c r="Z516" s="36">
        <f>IFERROR(IF(Y516=0,"",ROUNDUP(Y516/H516,0)*0.01196),"")</f>
        <v>0.39468000000000003</v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184.46780303030303</v>
      </c>
      <c r="BN516" s="64">
        <f t="shared" si="77"/>
        <v>185.79</v>
      </c>
      <c r="BO516" s="64">
        <f t="shared" si="78"/>
        <v>0.31504953379953382</v>
      </c>
      <c r="BP516" s="64">
        <f t="shared" si="79"/>
        <v>0.31730769230769235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148</v>
      </c>
      <c r="Y517" s="630">
        <f t="shared" si="75"/>
        <v>153.12</v>
      </c>
      <c r="Z517" s="36">
        <f>IFERROR(IF(Y517=0,"",ROUNDUP(Y517/H517,0)*0.01196),"")</f>
        <v>0.34683999999999998</v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157.81060606060606</v>
      </c>
      <c r="BN517" s="64">
        <f t="shared" si="77"/>
        <v>163.26999999999998</v>
      </c>
      <c r="BO517" s="64">
        <f t="shared" si="78"/>
        <v>0.26952214452214451</v>
      </c>
      <c r="BP517" s="64">
        <f t="shared" si="79"/>
        <v>0.27884615384615385</v>
      </c>
    </row>
    <row r="518" spans="1:68" ht="27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69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63.257575757575751</v>
      </c>
      <c r="Y522" s="631">
        <f>IFERROR(Y515/H515,"0")+IFERROR(Y516/H516,"0")+IFERROR(Y517/H517,"0")+IFERROR(Y518/H518,"0")+IFERROR(Y519/H519,"0")+IFERROR(Y520/H520,"0")+IFERROR(Y521/H521,"0")</f>
        <v>65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0.77740000000000009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334</v>
      </c>
      <c r="Y523" s="631">
        <f>IFERROR(SUM(Y515:Y521),"0")</f>
        <v>343.20000000000005</v>
      </c>
      <c r="Z523" s="37"/>
      <c r="AA523" s="632"/>
      <c r="AB523" s="632"/>
      <c r="AC523" s="632"/>
    </row>
    <row r="524" spans="1:68" ht="27.75" customHeight="1" x14ac:dyDescent="0.2">
      <c r="A524" s="649" t="s">
        <v>830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48"/>
      <c r="AB524" s="48"/>
      <c r="AC524" s="48"/>
    </row>
    <row r="525" spans="1:68" ht="16.5" customHeight="1" x14ac:dyDescent="0.25">
      <c r="A525" s="677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customHeight="1" x14ac:dyDescent="0.25">
      <c r="A526" s="653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customHeight="1" x14ac:dyDescent="0.25">
      <c r="A530" s="653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customHeight="1" x14ac:dyDescent="0.25">
      <c r="A534" s="653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customHeight="1" x14ac:dyDescent="0.25">
      <c r="A538" s="653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7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27</v>
      </c>
      <c r="Y539" s="630">
        <f>IFERROR(IF(X539="",0,CEILING((X539/$H539),1)*$H539),"")</f>
        <v>27</v>
      </c>
      <c r="Z539" s="36">
        <f>IFERROR(IF(Y539=0,"",ROUNDUP(Y539/H539,0)*0.01898),"")</f>
        <v>5.6940000000000004E-2</v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28.481999999999996</v>
      </c>
      <c r="BN539" s="64">
        <f>IFERROR(Y539*I539/H539,"0")</f>
        <v>28.481999999999996</v>
      </c>
      <c r="BO539" s="64">
        <f>IFERROR(1/J539*(X539/H539),"0")</f>
        <v>4.6875E-2</v>
      </c>
      <c r="BP539" s="64">
        <f>IFERROR(1/J539*(Y539/H539),"0")</f>
        <v>4.6875E-2</v>
      </c>
    </row>
    <row r="540" spans="1:68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3</v>
      </c>
      <c r="Y540" s="631">
        <f>IFERROR(Y539/H539,"0")</f>
        <v>3</v>
      </c>
      <c r="Z540" s="631">
        <f>IFERROR(IF(Z539="",0,Z539),"0")</f>
        <v>5.6940000000000004E-2</v>
      </c>
      <c r="AA540" s="632"/>
      <c r="AB540" s="632"/>
      <c r="AC540" s="632"/>
    </row>
    <row r="541" spans="1:68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27</v>
      </c>
      <c r="Y541" s="631">
        <f>IFERROR(SUM(Y539:Y539),"0")</f>
        <v>27</v>
      </c>
      <c r="Z541" s="37"/>
      <c r="AA541" s="632"/>
      <c r="AB541" s="632"/>
      <c r="AC541" s="632"/>
    </row>
    <row r="542" spans="1:68" ht="14.25" customHeight="1" x14ac:dyDescent="0.25">
      <c r="A542" s="653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8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customHeight="1" x14ac:dyDescent="0.25">
      <c r="A547" s="677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customHeight="1" x14ac:dyDescent="0.25">
      <c r="A548" s="653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7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89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0"/>
      <c r="P552" s="736" t="s">
        <v>853</v>
      </c>
      <c r="Q552" s="737"/>
      <c r="R552" s="737"/>
      <c r="S552" s="737"/>
      <c r="T552" s="737"/>
      <c r="U552" s="737"/>
      <c r="V552" s="738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5923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6103.3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0"/>
      <c r="P553" s="736" t="s">
        <v>854</v>
      </c>
      <c r="Q553" s="737"/>
      <c r="R553" s="737"/>
      <c r="S553" s="737"/>
      <c r="T553" s="737"/>
      <c r="U553" s="737"/>
      <c r="V553" s="738"/>
      <c r="W553" s="37" t="s">
        <v>66</v>
      </c>
      <c r="X553" s="631">
        <f>IFERROR(SUM(BM22:BM549),"0")</f>
        <v>6324.1537438609948</v>
      </c>
      <c r="Y553" s="631">
        <f>IFERROR(SUM(BN22:BN549),"0")</f>
        <v>6516.7760000000017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0"/>
      <c r="P554" s="736" t="s">
        <v>855</v>
      </c>
      <c r="Q554" s="737"/>
      <c r="R554" s="737"/>
      <c r="S554" s="737"/>
      <c r="T554" s="737"/>
      <c r="U554" s="737"/>
      <c r="V554" s="738"/>
      <c r="W554" s="37" t="s">
        <v>856</v>
      </c>
      <c r="X554" s="38">
        <f>ROUNDUP(SUM(BO22:BO549),0)</f>
        <v>12</v>
      </c>
      <c r="Y554" s="38">
        <f>ROUNDUP(SUM(BP22:BP549),0)</f>
        <v>12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0"/>
      <c r="P555" s="736" t="s">
        <v>857</v>
      </c>
      <c r="Q555" s="737"/>
      <c r="R555" s="737"/>
      <c r="S555" s="737"/>
      <c r="T555" s="737"/>
      <c r="U555" s="737"/>
      <c r="V555" s="738"/>
      <c r="W555" s="37" t="s">
        <v>66</v>
      </c>
      <c r="X555" s="631">
        <f>GrossWeightTotal+PalletQtyTotal*25</f>
        <v>6624.1537438609948</v>
      </c>
      <c r="Y555" s="631">
        <f>GrossWeightTotalR+PalletQtyTotalR*25</f>
        <v>6816.7760000000017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0"/>
      <c r="P556" s="736" t="s">
        <v>858</v>
      </c>
      <c r="Q556" s="737"/>
      <c r="R556" s="737"/>
      <c r="S556" s="737"/>
      <c r="T556" s="737"/>
      <c r="U556" s="737"/>
      <c r="V556" s="738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1297.2651870078569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1336</v>
      </c>
      <c r="Z556" s="37"/>
      <c r="AA556" s="632"/>
      <c r="AB556" s="632"/>
      <c r="AC556" s="632"/>
    </row>
    <row r="557" spans="1:68" ht="14.25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0"/>
      <c r="P557" s="736" t="s">
        <v>859</v>
      </c>
      <c r="Q557" s="737"/>
      <c r="R557" s="737"/>
      <c r="S557" s="737"/>
      <c r="T557" s="737"/>
      <c r="U557" s="737"/>
      <c r="V557" s="738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13.83165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74" t="s">
        <v>110</v>
      </c>
      <c r="E559" s="704"/>
      <c r="F559" s="704"/>
      <c r="G559" s="704"/>
      <c r="H559" s="704"/>
      <c r="I559" s="704"/>
      <c r="J559" s="705"/>
      <c r="K559" s="674" t="s">
        <v>338</v>
      </c>
      <c r="L559" s="704"/>
      <c r="M559" s="704"/>
      <c r="N559" s="704"/>
      <c r="O559" s="704"/>
      <c r="P559" s="704"/>
      <c r="Q559" s="704"/>
      <c r="R559" s="704"/>
      <c r="S559" s="704"/>
      <c r="T559" s="704"/>
      <c r="U559" s="704"/>
      <c r="V559" s="705"/>
      <c r="W559" s="674" t="s">
        <v>681</v>
      </c>
      <c r="X559" s="705"/>
      <c r="Y559" s="674" t="s">
        <v>747</v>
      </c>
      <c r="Z559" s="705"/>
      <c r="AA559" s="626" t="s">
        <v>783</v>
      </c>
      <c r="AB559" s="674" t="s">
        <v>830</v>
      </c>
      <c r="AC559" s="705"/>
      <c r="AF559" s="627"/>
    </row>
    <row r="560" spans="1:68" ht="14.25" customHeight="1" thickTop="1" x14ac:dyDescent="0.2">
      <c r="A560" s="698" t="s">
        <v>862</v>
      </c>
      <c r="B560" s="674" t="s">
        <v>60</v>
      </c>
      <c r="C560" s="674" t="s">
        <v>92</v>
      </c>
      <c r="D560" s="674" t="s">
        <v>111</v>
      </c>
      <c r="E560" s="674" t="s">
        <v>127</v>
      </c>
      <c r="F560" s="674" t="s">
        <v>169</v>
      </c>
      <c r="G560" s="674" t="s">
        <v>190</v>
      </c>
      <c r="H560" s="674" t="s">
        <v>230</v>
      </c>
      <c r="I560" s="674" t="s">
        <v>254</v>
      </c>
      <c r="J560" s="674" t="s">
        <v>110</v>
      </c>
      <c r="K560" s="674" t="s">
        <v>339</v>
      </c>
      <c r="L560" s="674" t="s">
        <v>360</v>
      </c>
      <c r="M560" s="674" t="s">
        <v>427</v>
      </c>
      <c r="N560" s="627"/>
      <c r="O560" s="674" t="s">
        <v>495</v>
      </c>
      <c r="P560" s="674" t="s">
        <v>528</v>
      </c>
      <c r="Q560" s="674" t="s">
        <v>544</v>
      </c>
      <c r="R560" s="674" t="s">
        <v>553</v>
      </c>
      <c r="S560" s="674" t="s">
        <v>574</v>
      </c>
      <c r="T560" s="674" t="s">
        <v>583</v>
      </c>
      <c r="U560" s="674" t="s">
        <v>664</v>
      </c>
      <c r="V560" s="674" t="s">
        <v>671</v>
      </c>
      <c r="W560" s="674" t="s">
        <v>682</v>
      </c>
      <c r="X560" s="674" t="s">
        <v>731</v>
      </c>
      <c r="Y560" s="674" t="s">
        <v>748</v>
      </c>
      <c r="Z560" s="674" t="s">
        <v>771</v>
      </c>
      <c r="AA560" s="674" t="s">
        <v>783</v>
      </c>
      <c r="AB560" s="674" t="s">
        <v>830</v>
      </c>
      <c r="AC560" s="674" t="s">
        <v>849</v>
      </c>
      <c r="AF560" s="627"/>
    </row>
    <row r="561" spans="1:32" ht="13.5" customHeight="1" thickBot="1" x14ac:dyDescent="0.25">
      <c r="A561" s="699"/>
      <c r="B561" s="675"/>
      <c r="C561" s="675"/>
      <c r="D561" s="675"/>
      <c r="E561" s="675"/>
      <c r="F561" s="675"/>
      <c r="G561" s="675"/>
      <c r="H561" s="675"/>
      <c r="I561" s="675"/>
      <c r="J561" s="675"/>
      <c r="K561" s="675"/>
      <c r="L561" s="675"/>
      <c r="M561" s="675"/>
      <c r="N561" s="627"/>
      <c r="O561" s="675"/>
      <c r="P561" s="675"/>
      <c r="Q561" s="675"/>
      <c r="R561" s="675"/>
      <c r="S561" s="675"/>
      <c r="T561" s="675"/>
      <c r="U561" s="675"/>
      <c r="V561" s="675"/>
      <c r="W561" s="675"/>
      <c r="X561" s="675"/>
      <c r="Y561" s="675"/>
      <c r="Z561" s="675"/>
      <c r="AA561" s="675"/>
      <c r="AB561" s="675"/>
      <c r="AC561" s="675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184.10000000000002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90.4</v>
      </c>
      <c r="F562" s="46">
        <f>IFERROR(Y83*1,"0")+IFERROR(Y84*1,"0")+IFERROR(Y85*1,"0")+IFERROR(Y86*1,"0")+IFERROR(Y90*1,"0")+IFERROR(Y91*1,"0")+IFERROR(Y92*1,"0")+IFERROR(Y93*1,"0")</f>
        <v>670.5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1033.2</v>
      </c>
      <c r="H562" s="46">
        <f>IFERROR(Y128*1,"0")+IFERROR(Y129*1,"0")+IFERROR(Y130*1,"0")+IFERROR(Y134*1,"0")+IFERROR(Y135*1,"0")+IFERROR(Y136*1,"0")+IFERROR(Y137*1,"0")+IFERROR(Y141*1,"0")+IFERROR(Y142*1,"0")+IFERROR(Y143*1,"0")</f>
        <v>157.51999999999998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242.76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157.04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1166.0999999999999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18.8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38.4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475.79999999999995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506.73999999999995</v>
      </c>
      <c r="U562" s="46">
        <f>IFERROR(Y410*1,"0")+IFERROR(Y411*1,"0")</f>
        <v>0</v>
      </c>
      <c r="V562" s="46">
        <f>IFERROR(Y416*1,"0")+IFERROR(Y417*1,"0")+IFERROR(Y418*1,"0")</f>
        <v>6.3000000000000007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312</v>
      </c>
      <c r="X562" s="46">
        <f>IFERROR(Y453*1,"0")+IFERROR(Y454*1,"0")+IFERROR(Y458*1,"0")+IFERROR(Y462*1,"0")+IFERROR(Y463*1,"0")+IFERROR(Y464*1,"0")</f>
        <v>189.6</v>
      </c>
      <c r="Y562" s="46">
        <f>IFERROR(Y470*1,"0")+IFERROR(Y471*1,"0")+IFERROR(Y472*1,"0")+IFERROR(Y473*1,"0")+IFERROR(Y474*1,"0")+IFERROR(Y475*1,"0")+IFERROR(Y479*1,"0")+IFERROR(Y480*1,"0")</f>
        <v>10.8</v>
      </c>
      <c r="Z562" s="46">
        <f>IFERROR(Y485*1,"0")+IFERROR(Y489*1,"0")+IFERROR(Y490*1,"0")+IFERROR(Y491*1,"0")</f>
        <v>10.8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805.43999999999994</v>
      </c>
      <c r="AB562" s="46">
        <f>IFERROR(Y527*1,"0")+IFERROR(Y531*1,"0")+IFERROR(Y535*1,"0")+IFERROR(Y539*1,"0")+IFERROR(Y543*1,"0")+IFERROR(Y544*1,"0")</f>
        <v>27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9">
    <mergeCell ref="X17:X18"/>
    <mergeCell ref="D286:E286"/>
    <mergeCell ref="P216:V216"/>
    <mergeCell ref="D17:E18"/>
    <mergeCell ref="D471:E471"/>
    <mergeCell ref="A449:O450"/>
    <mergeCell ref="P373:T373"/>
    <mergeCell ref="P307:T307"/>
    <mergeCell ref="D123:E123"/>
    <mergeCell ref="D250:E250"/>
    <mergeCell ref="D50:E50"/>
    <mergeCell ref="P560:P561"/>
    <mergeCell ref="P58:T58"/>
    <mergeCell ref="O560:O561"/>
    <mergeCell ref="D331:E331"/>
    <mergeCell ref="D57:E57"/>
    <mergeCell ref="Q560:Q561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A484:Z484"/>
    <mergeCell ref="P69:V69"/>
    <mergeCell ref="A21:Z21"/>
    <mergeCell ref="P438:V438"/>
    <mergeCell ref="D184:E184"/>
    <mergeCell ref="P505:T505"/>
    <mergeCell ref="A355:O356"/>
    <mergeCell ref="A415:Z415"/>
    <mergeCell ref="P356:V356"/>
    <mergeCell ref="D42:E42"/>
    <mergeCell ref="P363:T363"/>
    <mergeCell ref="A35:Z35"/>
    <mergeCell ref="P510:T510"/>
    <mergeCell ref="P308:V308"/>
    <mergeCell ref="P185:V185"/>
    <mergeCell ref="P160:V160"/>
    <mergeCell ref="P83:T83"/>
    <mergeCell ref="D271:E271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P149:T149"/>
    <mergeCell ref="P74:V74"/>
    <mergeCell ref="P447:T447"/>
    <mergeCell ref="P410:T410"/>
    <mergeCell ref="N17:N18"/>
    <mergeCell ref="P370:T370"/>
    <mergeCell ref="F17:F18"/>
    <mergeCell ref="Q5:R5"/>
    <mergeCell ref="P497:T497"/>
    <mergeCell ref="P297:T297"/>
    <mergeCell ref="P435:T435"/>
    <mergeCell ref="D278:E278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Q6:R6"/>
    <mergeCell ref="P513:V513"/>
    <mergeCell ref="P134:T134"/>
    <mergeCell ref="A534:Z534"/>
    <mergeCell ref="A64:Z64"/>
    <mergeCell ref="P432:V432"/>
    <mergeCell ref="D276:E276"/>
    <mergeCell ref="A107:Z107"/>
    <mergeCell ref="D341:E341"/>
    <mergeCell ref="D170:E170"/>
    <mergeCell ref="P93:T93"/>
    <mergeCell ref="P132:V132"/>
    <mergeCell ref="P72:T72"/>
    <mergeCell ref="A124:O125"/>
    <mergeCell ref="P436:T436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515:E515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D223:E223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D462:E462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P192:V192"/>
    <mergeCell ref="D151:E151"/>
    <mergeCell ref="P49:T49"/>
    <mergeCell ref="A166:O167"/>
    <mergeCell ref="P278:T278"/>
    <mergeCell ref="D150:E150"/>
    <mergeCell ref="P101:T101"/>
    <mergeCell ref="P63:V63"/>
    <mergeCell ref="D386:E386"/>
    <mergeCell ref="D215:E215"/>
    <mergeCell ref="A364:O365"/>
    <mergeCell ref="P183:T183"/>
    <mergeCell ref="D164:E164"/>
    <mergeCell ref="P53:V53"/>
    <mergeCell ref="A314:Z314"/>
    <mergeCell ref="P289:V289"/>
    <mergeCell ref="D49:E49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A560:AA561"/>
    <mergeCell ref="P482:V482"/>
    <mergeCell ref="A412:O413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H560:H561"/>
    <mergeCell ref="P269:T269"/>
    <mergeCell ref="P462:T462"/>
    <mergeCell ref="D207:E207"/>
    <mergeCell ref="P164:T164"/>
    <mergeCell ref="P120:V120"/>
    <mergeCell ref="D299:E299"/>
    <mergeCell ref="D85:E85"/>
    <mergeCell ref="D370:E370"/>
    <mergeCell ref="P476:V476"/>
    <mergeCell ref="D222:E222"/>
    <mergeCell ref="P399:T399"/>
    <mergeCell ref="P333:T333"/>
    <mergeCell ref="A295:Z295"/>
    <mergeCell ref="P171:V171"/>
    <mergeCell ref="P413:V413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Z17:Z18"/>
    <mergeCell ref="AB17:AB18"/>
    <mergeCell ref="P550:V550"/>
    <mergeCell ref="A528:O529"/>
    <mergeCell ref="F560:F561"/>
    <mergeCell ref="D298:E298"/>
    <mergeCell ref="D181:E181"/>
    <mergeCell ref="P91:T91"/>
    <mergeCell ref="A351:Z351"/>
    <mergeCell ref="P252:V252"/>
    <mergeCell ref="P500:T500"/>
    <mergeCell ref="A444:O445"/>
    <mergeCell ref="P105:V105"/>
    <mergeCell ref="D39:E39"/>
    <mergeCell ref="P130:T130"/>
    <mergeCell ref="D136:E136"/>
    <mergeCell ref="P190:T190"/>
    <mergeCell ref="P61:T61"/>
    <mergeCell ref="A105:O106"/>
    <mergeCell ref="P48:T48"/>
    <mergeCell ref="A400:O401"/>
    <mergeCell ref="P270:T270"/>
    <mergeCell ref="D86:E86"/>
    <mergeCell ref="P463:T463"/>
    <mergeCell ref="D384:E384"/>
    <mergeCell ref="A457:Z457"/>
    <mergeCell ref="A387:O388"/>
    <mergeCell ref="P341:T341"/>
    <mergeCell ref="A191:O192"/>
    <mergeCell ref="P517:T517"/>
    <mergeCell ref="D267:E267"/>
    <mergeCell ref="D509:E509"/>
    <mergeCell ref="D425:E425"/>
    <mergeCell ref="D359:E359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D504:E504"/>
    <mergeCell ref="P241:V241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P260:T260"/>
    <mergeCell ref="D399:E399"/>
    <mergeCell ref="D59:E59"/>
    <mergeCell ref="D178:E178"/>
    <mergeCell ref="P51:T51"/>
    <mergeCell ref="P324:T324"/>
    <mergeCell ref="D463:E463"/>
    <mergeCell ref="P153:T153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82:Z82"/>
    <mergeCell ref="A275:Z275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6:Z126"/>
    <mergeCell ref="P501:T501"/>
    <mergeCell ref="A253:Z253"/>
    <mergeCell ref="A495:Z495"/>
    <mergeCell ref="P355:V355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A26:Z26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D527:E527"/>
    <mergeCell ref="P335:V335"/>
    <mergeCell ref="A45:Z45"/>
    <mergeCell ref="Y559:Z559"/>
    <mergeCell ref="A452:Z452"/>
    <mergeCell ref="P387:V387"/>
    <mergeCell ref="D316:E316"/>
    <mergeCell ref="A218:Z218"/>
    <mergeCell ref="D443:E443"/>
    <mergeCell ref="D272:E272"/>
    <mergeCell ref="A345:Z345"/>
    <mergeCell ref="D210:E210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P148:T148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2026-08-21T08:32:01Z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