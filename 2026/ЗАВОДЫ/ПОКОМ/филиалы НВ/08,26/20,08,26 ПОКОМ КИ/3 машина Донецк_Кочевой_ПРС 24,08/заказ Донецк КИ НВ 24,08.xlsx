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58E2E4C-BEBC-46A7-A20E-C104AA6713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62" i="1" l="1"/>
  <c r="P562" i="1"/>
  <c r="X551" i="1"/>
  <c r="Y550" i="1"/>
  <c r="X550" i="1"/>
  <c r="BP549" i="1"/>
  <c r="BO549" i="1"/>
  <c r="BN549" i="1"/>
  <c r="BM549" i="1"/>
  <c r="Z549" i="1"/>
  <c r="Z550" i="1" s="1"/>
  <c r="Y549" i="1"/>
  <c r="AC562" i="1" s="1"/>
  <c r="P549" i="1"/>
  <c r="X546" i="1"/>
  <c r="Y545" i="1"/>
  <c r="X545" i="1"/>
  <c r="BP544" i="1"/>
  <c r="BO544" i="1"/>
  <c r="BN544" i="1"/>
  <c r="BM544" i="1"/>
  <c r="Z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X413" i="1"/>
  <c r="Y412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Y348" i="1" s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Y308" i="1"/>
  <c r="X308" i="1"/>
  <c r="BP307" i="1"/>
  <c r="BO307" i="1"/>
  <c r="BN307" i="1"/>
  <c r="BM307" i="1"/>
  <c r="Z307" i="1"/>
  <c r="Z308" i="1" s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Y293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X263" i="1"/>
  <c r="X262" i="1"/>
  <c r="BP261" i="1"/>
  <c r="BO261" i="1"/>
  <c r="BN261" i="1"/>
  <c r="BM261" i="1"/>
  <c r="Z261" i="1"/>
  <c r="Y261" i="1"/>
  <c r="P261" i="1"/>
  <c r="BO260" i="1"/>
  <c r="BM260" i="1"/>
  <c r="Y260" i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Y248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Y242" i="1" s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P189" i="1"/>
  <c r="BO189" i="1"/>
  <c r="BN189" i="1"/>
  <c r="BM189" i="1"/>
  <c r="Z189" i="1"/>
  <c r="Y189" i="1"/>
  <c r="P189" i="1"/>
  <c r="BO188" i="1"/>
  <c r="BM188" i="1"/>
  <c r="Y188" i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Y171" i="1" s="1"/>
  <c r="P169" i="1"/>
  <c r="X167" i="1"/>
  <c r="X166" i="1"/>
  <c r="BP165" i="1"/>
  <c r="BO165" i="1"/>
  <c r="BN165" i="1"/>
  <c r="BM165" i="1"/>
  <c r="Z165" i="1"/>
  <c r="Y165" i="1"/>
  <c r="P165" i="1"/>
  <c r="BO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Y138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BP129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G562" i="1" s="1"/>
  <c r="P98" i="1"/>
  <c r="X95" i="1"/>
  <c r="X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P84" i="1"/>
  <c r="BO84" i="1"/>
  <c r="BN84" i="1"/>
  <c r="BM84" i="1"/>
  <c r="Z84" i="1"/>
  <c r="Y84" i="1"/>
  <c r="P84" i="1"/>
  <c r="BO83" i="1"/>
  <c r="BM83" i="1"/>
  <c r="Y83" i="1"/>
  <c r="F562" i="1" s="1"/>
  <c r="P83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E562" i="1" s="1"/>
  <c r="P56" i="1"/>
  <c r="X53" i="1"/>
  <c r="X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56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68" i="1"/>
  <c r="BN268" i="1"/>
  <c r="Z268" i="1"/>
  <c r="BP272" i="1"/>
  <c r="BN272" i="1"/>
  <c r="Z272" i="1"/>
  <c r="BP277" i="1"/>
  <c r="BN277" i="1"/>
  <c r="Z277" i="1"/>
  <c r="Z288" i="1" s="1"/>
  <c r="Y289" i="1"/>
  <c r="BP281" i="1"/>
  <c r="BN281" i="1"/>
  <c r="Z281" i="1"/>
  <c r="BP285" i="1"/>
  <c r="BN285" i="1"/>
  <c r="Z285" i="1"/>
  <c r="BP298" i="1"/>
  <c r="BN298" i="1"/>
  <c r="Z298" i="1"/>
  <c r="Y304" i="1"/>
  <c r="BP302" i="1"/>
  <c r="BN302" i="1"/>
  <c r="Z302" i="1"/>
  <c r="BP341" i="1"/>
  <c r="BN341" i="1"/>
  <c r="Z341" i="1"/>
  <c r="BP391" i="1"/>
  <c r="BN391" i="1"/>
  <c r="Z391" i="1"/>
  <c r="Y395" i="1"/>
  <c r="BP399" i="1"/>
  <c r="BN399" i="1"/>
  <c r="Z399" i="1"/>
  <c r="Y401" i="1"/>
  <c r="Y406" i="1"/>
  <c r="BP403" i="1"/>
  <c r="BN403" i="1"/>
  <c r="Z403" i="1"/>
  <c r="Y407" i="1"/>
  <c r="Z419" i="1"/>
  <c r="BP417" i="1"/>
  <c r="BN417" i="1"/>
  <c r="Z417" i="1"/>
  <c r="Y419" i="1"/>
  <c r="Y33" i="1"/>
  <c r="H9" i="1"/>
  <c r="B562" i="1"/>
  <c r="X553" i="1"/>
  <c r="X555" i="1" s="1"/>
  <c r="X554" i="1"/>
  <c r="Z23" i="1"/>
  <c r="Z24" i="1" s="1"/>
  <c r="BN23" i="1"/>
  <c r="Y553" i="1" s="1"/>
  <c r="Y555" i="1" s="1"/>
  <c r="Y24" i="1"/>
  <c r="X552" i="1"/>
  <c r="Z27" i="1"/>
  <c r="BN27" i="1"/>
  <c r="BP27" i="1"/>
  <c r="Y554" i="1" s="1"/>
  <c r="Z29" i="1"/>
  <c r="BN29" i="1"/>
  <c r="Z31" i="1"/>
  <c r="BN31" i="1"/>
  <c r="Z37" i="1"/>
  <c r="Z43" i="1" s="1"/>
  <c r="BN37" i="1"/>
  <c r="BP37" i="1"/>
  <c r="Z39" i="1"/>
  <c r="BN39" i="1"/>
  <c r="Z41" i="1"/>
  <c r="BN41" i="1"/>
  <c r="Y44" i="1"/>
  <c r="D562" i="1"/>
  <c r="Z49" i="1"/>
  <c r="Z52" i="1" s="1"/>
  <c r="BN49" i="1"/>
  <c r="Z51" i="1"/>
  <c r="BN51" i="1"/>
  <c r="Y52" i="1"/>
  <c r="Z56" i="1"/>
  <c r="Z62" i="1" s="1"/>
  <c r="BN56" i="1"/>
  <c r="BP56" i="1"/>
  <c r="Z58" i="1"/>
  <c r="BN58" i="1"/>
  <c r="Z60" i="1"/>
  <c r="BN60" i="1"/>
  <c r="Y63" i="1"/>
  <c r="Z66" i="1"/>
  <c r="Z69" i="1" s="1"/>
  <c r="BN66" i="1"/>
  <c r="Z68" i="1"/>
  <c r="BN68" i="1"/>
  <c r="Z72" i="1"/>
  <c r="Z74" i="1" s="1"/>
  <c r="BN72" i="1"/>
  <c r="BP72" i="1"/>
  <c r="Z78" i="1"/>
  <c r="Z79" i="1" s="1"/>
  <c r="BN78" i="1"/>
  <c r="Z83" i="1"/>
  <c r="BN83" i="1"/>
  <c r="BP83" i="1"/>
  <c r="Z85" i="1"/>
  <c r="BN85" i="1"/>
  <c r="Y88" i="1"/>
  <c r="Z91" i="1"/>
  <c r="Z94" i="1" s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Z116" i="1"/>
  <c r="Z120" i="1" s="1"/>
  <c r="BN116" i="1"/>
  <c r="BP116" i="1"/>
  <c r="Z118" i="1"/>
  <c r="BN118" i="1"/>
  <c r="H562" i="1"/>
  <c r="Z129" i="1"/>
  <c r="Z131" i="1" s="1"/>
  <c r="BN129" i="1"/>
  <c r="Y132" i="1"/>
  <c r="Z135" i="1"/>
  <c r="Z138" i="1" s="1"/>
  <c r="BN135" i="1"/>
  <c r="Z137" i="1"/>
  <c r="BN137" i="1"/>
  <c r="Z141" i="1"/>
  <c r="BN141" i="1"/>
  <c r="BP141" i="1"/>
  <c r="Z143" i="1"/>
  <c r="BN143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Z166" i="1" s="1"/>
  <c r="BN163" i="1"/>
  <c r="BP163" i="1"/>
  <c r="BP164" i="1"/>
  <c r="BN164" i="1"/>
  <c r="Y166" i="1"/>
  <c r="BP170" i="1"/>
  <c r="BN170" i="1"/>
  <c r="Z170" i="1"/>
  <c r="Z171" i="1" s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2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Z241" i="1" s="1"/>
  <c r="Y241" i="1"/>
  <c r="Z247" i="1"/>
  <c r="BP245" i="1"/>
  <c r="BN245" i="1"/>
  <c r="Z245" i="1"/>
  <c r="Y262" i="1"/>
  <c r="BP266" i="1"/>
  <c r="BN266" i="1"/>
  <c r="Z266" i="1"/>
  <c r="BP270" i="1"/>
  <c r="BN270" i="1"/>
  <c r="Z270" i="1"/>
  <c r="BP323" i="1"/>
  <c r="BN323" i="1"/>
  <c r="Z323" i="1"/>
  <c r="Z327" i="1" s="1"/>
  <c r="Y327" i="1"/>
  <c r="Z334" i="1"/>
  <c r="BP332" i="1"/>
  <c r="BN332" i="1"/>
  <c r="Z332" i="1"/>
  <c r="Y334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Y375" i="1"/>
  <c r="BP371" i="1"/>
  <c r="BN371" i="1"/>
  <c r="Z371" i="1"/>
  <c r="BP379" i="1"/>
  <c r="BN379" i="1"/>
  <c r="Z379" i="1"/>
  <c r="BP427" i="1"/>
  <c r="BN427" i="1"/>
  <c r="Z427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Z304" i="1" s="1"/>
  <c r="Z318" i="1"/>
  <c r="BP316" i="1"/>
  <c r="BN316" i="1"/>
  <c r="Z316" i="1"/>
  <c r="Y328" i="1"/>
  <c r="BP325" i="1"/>
  <c r="BN325" i="1"/>
  <c r="Z325" i="1"/>
  <c r="Z343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Z355" i="1" s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Z381" i="1" s="1"/>
  <c r="Y381" i="1"/>
  <c r="Z387" i="1"/>
  <c r="BP385" i="1"/>
  <c r="BN385" i="1"/>
  <c r="Z385" i="1"/>
  <c r="Y394" i="1"/>
  <c r="BP393" i="1"/>
  <c r="BN393" i="1"/>
  <c r="Z393" i="1"/>
  <c r="Z394" i="1" s="1"/>
  <c r="Y400" i="1"/>
  <c r="BP397" i="1"/>
  <c r="BN397" i="1"/>
  <c r="Z397" i="1"/>
  <c r="Z400" i="1" s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Z432" i="1" s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Z438" i="1" s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506" i="1" l="1"/>
  <c r="Z476" i="1"/>
  <c r="Z492" i="1"/>
  <c r="Z374" i="1"/>
  <c r="Z364" i="1"/>
  <c r="Z273" i="1"/>
  <c r="Z211" i="1"/>
  <c r="Z144" i="1"/>
  <c r="Z113" i="1"/>
  <c r="Z105" i="1"/>
  <c r="Z87" i="1"/>
  <c r="Z32" i="1"/>
  <c r="Z557" i="1" s="1"/>
  <c r="Y556" i="1"/>
  <c r="Z406" i="1"/>
  <c r="Z233" i="1"/>
  <c r="Z522" i="1"/>
  <c r="Z465" i="1"/>
  <c r="Z444" i="1"/>
  <c r="Z185" i="1"/>
  <c r="Z191" i="1"/>
  <c r="Y552" i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<sst xmlns="http://schemas.openxmlformats.org/spreadsheetml/2006/main" count="2497" uniqueCount="905">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</sst>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2"/>
  <sheetViews>
    <sheetView showGridLines="0" tabSelected="1" topLeftCell="A534" zoomScaleNormal="100" zoomScaleSheetLayoutView="100" workbookViewId="0">
      <selection activeCell="AA558" sqref="AA55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0</v>
      </c>
      <c r="Y59" s="630">
        <f t="shared" si="6"/>
        <v>0</v>
      </c>
      <c r="Z59" s="36" t="str">
        <f>IFERROR(IF(Y59=0,"",ROUNDUP(Y59/H59,0)*0.00902),"")</f>
        <v/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0</v>
      </c>
      <c r="BN59" s="64">
        <f t="shared" si="8"/>
        <v>0</v>
      </c>
      <c r="BO59" s="64">
        <f t="shared" si="9"/>
        <v>0</v>
      </c>
      <c r="BP59" s="64">
        <f t="shared" si="10"/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0</v>
      </c>
      <c r="Y62" s="631">
        <f>IFERROR(Y56/H56,"0")+IFERROR(Y57/H57,"0")+IFERROR(Y58/H58,"0")+IFERROR(Y59/H59,"0")+IFERROR(Y60/H60,"0")+IFERROR(Y61/H61,"0")</f>
        <v>0</v>
      </c>
      <c r="Z62" s="631">
        <f>IFERROR(IF(Z56="",0,Z56),"0")+IFERROR(IF(Z57="",0,Z57),"0")+IFERROR(IF(Z58="",0,Z58),"0")+IFERROR(IF(Z59="",0,Z59),"0")+IFERROR(IF(Z60="",0,Z60),"0")+IFERROR(IF(Z61="",0,Z61),"0")</f>
        <v>0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0</v>
      </c>
      <c r="Y63" s="631">
        <f>IFERROR(SUM(Y56:Y61),"0")</f>
        <v>0</v>
      </c>
      <c r="Z63" s="37"/>
      <c r="AA63" s="632"/>
      <c r="AB63" s="632"/>
      <c r="AC63" s="632"/>
    </row>
    <row r="64" spans="1:68" ht="14.25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0</v>
      </c>
      <c r="Y86" s="63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0</v>
      </c>
      <c r="Y87" s="631">
        <f>IFERROR(Y83/H83,"0")+IFERROR(Y84/H84,"0")+IFERROR(Y85/H85,"0")+IFERROR(Y86/H86,"0")</f>
        <v>0</v>
      </c>
      <c r="Z87" s="631">
        <f>IFERROR(IF(Z83="",0,Z83),"0")+IFERROR(IF(Z84="",0,Z84),"0")+IFERROR(IF(Z85="",0,Z85),"0")+IFERROR(IF(Z86="",0,Z86),"0")</f>
        <v>0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0</v>
      </c>
      <c r="Y88" s="631">
        <f>IFERROR(SUM(Y83:Y86),"0")</f>
        <v>0</v>
      </c>
      <c r="Z88" s="37"/>
      <c r="AA88" s="632"/>
      <c r="AB88" s="632"/>
      <c r="AC88" s="632"/>
    </row>
    <row r="89" spans="1:68" ht="14.25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0</v>
      </c>
      <c r="Y90" s="630">
        <f>IFERROR(IF(X90="",0,CEILING((X90/$H90),1)*$H90),"")</f>
        <v>0</v>
      </c>
      <c r="Z90" s="36" t="str">
        <f>IFERROR(IF(Y90=0,"",ROUNDUP(Y90/H90,0)*0.01898),"")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585</v>
      </c>
      <c r="Y92" s="630">
        <f>IFERROR(IF(X92="",0,CEILING((X92/$H92),1)*$H92),"")</f>
        <v>585.90000000000009</v>
      </c>
      <c r="Z92" s="36">
        <f>IFERROR(IF(Y92=0,"",ROUNDUP(Y92/H92,0)*0.00651),"")</f>
        <v>1.4126700000000001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639.6</v>
      </c>
      <c r="BN92" s="64">
        <f>IFERROR(Y92*I92/H92,"0")</f>
        <v>640.58400000000006</v>
      </c>
      <c r="BO92" s="64">
        <f>IFERROR(1/J92*(X92/H92),"0")</f>
        <v>1.1904761904761905</v>
      </c>
      <c r="BP92" s="64">
        <f>IFERROR(1/J92*(Y92/H92),"0")</f>
        <v>1.1923076923076925</v>
      </c>
    </row>
    <row r="93" spans="1:68" ht="16.5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216.66666666666666</v>
      </c>
      <c r="Y94" s="631">
        <f>IFERROR(Y90/H90,"0")+IFERROR(Y91/H91,"0")+IFERROR(Y92/H92,"0")+IFERROR(Y93/H93,"0")</f>
        <v>217.00000000000003</v>
      </c>
      <c r="Z94" s="631">
        <f>IFERROR(IF(Z90="",0,Z90),"0")+IFERROR(IF(Z91="",0,Z91),"0")+IFERROR(IF(Z92="",0,Z92),"0")+IFERROR(IF(Z93="",0,Z93),"0")</f>
        <v>1.4126700000000001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585</v>
      </c>
      <c r="Y95" s="631">
        <f>IFERROR(SUM(Y90:Y93),"0")</f>
        <v>585.90000000000009</v>
      </c>
      <c r="Z95" s="37"/>
      <c r="AA95" s="632"/>
      <c r="AB95" s="632"/>
      <c r="AC95" s="632"/>
    </row>
    <row r="96" spans="1:68" ht="16.5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360</v>
      </c>
      <c r="Y103" s="630">
        <f t="shared" si="11"/>
        <v>360</v>
      </c>
      <c r="Z103" s="36">
        <f>IFERROR(IF(Y103=0,"",ROUNDUP(Y103/H103,0)*0.00902),"")</f>
        <v>0.72160000000000002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375.20000000000005</v>
      </c>
      <c r="BN103" s="64">
        <f t="shared" si="13"/>
        <v>375.20000000000005</v>
      </c>
      <c r="BO103" s="64">
        <f t="shared" si="14"/>
        <v>0.60606060606060608</v>
      </c>
      <c r="BP103" s="64">
        <f t="shared" si="15"/>
        <v>0.60606060606060608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80</v>
      </c>
      <c r="Y105" s="631">
        <f>IFERROR(Y98/H98,"0")+IFERROR(Y99/H99,"0")+IFERROR(Y100/H100,"0")+IFERROR(Y101/H101,"0")+IFERROR(Y102/H102,"0")+IFERROR(Y103/H103,"0")+IFERROR(Y104/H104,"0")</f>
        <v>80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0.72160000000000002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360</v>
      </c>
      <c r="Y106" s="631">
        <f>IFERROR(SUM(Y98:Y104),"0")</f>
        <v>360</v>
      </c>
      <c r="Z106" s="37"/>
      <c r="AA106" s="632"/>
      <c r="AB106" s="632"/>
      <c r="AC106" s="632"/>
    </row>
    <row r="107" spans="1:68" ht="14.25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0</v>
      </c>
      <c r="Y113" s="631">
        <f>IFERROR(Y108/H108,"0")+IFERROR(Y109/H109,"0")+IFERROR(Y110/H110,"0")+IFERROR(Y111/H111,"0")+IFERROR(Y112/H112,"0")</f>
        <v>0</v>
      </c>
      <c r="Z113" s="631">
        <f>IFERROR(IF(Z108="",0,Z108),"0")+IFERROR(IF(Z109="",0,Z109),"0")+IFERROR(IF(Z110="",0,Z110),"0")+IFERROR(IF(Z111="",0,Z111),"0")+IFERROR(IF(Z112="",0,Z112),"0")</f>
        <v>0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0</v>
      </c>
      <c r="Y114" s="631">
        <f>IFERROR(SUM(Y108:Y112),"0")</f>
        <v>0</v>
      </c>
      <c r="Z114" s="37"/>
      <c r="AA114" s="632"/>
      <c r="AB114" s="632"/>
      <c r="AC114" s="632"/>
    </row>
    <row r="115" spans="1:68" ht="14.25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700</v>
      </c>
      <c r="Y116" s="630">
        <f>IFERROR(IF(X116="",0,CEILING((X116/$H116),1)*$H116),"")</f>
        <v>704.69999999999993</v>
      </c>
      <c r="Z116" s="36">
        <f>IFERROR(IF(Y116=0,"",ROUNDUP(Y116/H116,0)*0.01898),"")</f>
        <v>1.65126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742.17283950617275</v>
      </c>
      <c r="BN116" s="64">
        <f>IFERROR(Y116*I116/H116,"0")</f>
        <v>747.15599999999995</v>
      </c>
      <c r="BO116" s="64">
        <f>IFERROR(1/J116*(X116/H116),"0")</f>
        <v>1.3503086419753088</v>
      </c>
      <c r="BP116" s="64">
        <f>IFERROR(1/J116*(Y116/H116),"0")</f>
        <v>1.359375</v>
      </c>
    </row>
    <row r="117" spans="1:68" ht="27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1350</v>
      </c>
      <c r="Y118" s="630">
        <f>IFERROR(IF(X118="",0,CEILING((X118/$H118),1)*$H118),"")</f>
        <v>1350</v>
      </c>
      <c r="Z118" s="36">
        <f>IFERROR(IF(Y118=0,"",ROUNDUP(Y118/H118,0)*0.00651),"")</f>
        <v>3.2549999999999999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1475.9999999999998</v>
      </c>
      <c r="BN118" s="64">
        <f>IFERROR(Y118*I118/H118,"0")</f>
        <v>1475.9999999999998</v>
      </c>
      <c r="BO118" s="64">
        <f>IFERROR(1/J118*(X118/H118),"0")</f>
        <v>2.7472527472527473</v>
      </c>
      <c r="BP118" s="64">
        <f>IFERROR(1/J118*(Y118/H118),"0")</f>
        <v>2.7472527472527473</v>
      </c>
    </row>
    <row r="119" spans="1:68" ht="16.5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586.41975308641975</v>
      </c>
      <c r="Y120" s="631">
        <f>IFERROR(Y116/H116,"0")+IFERROR(Y117/H117,"0")+IFERROR(Y118/H118,"0")+IFERROR(Y119/H119,"0")</f>
        <v>587</v>
      </c>
      <c r="Z120" s="631">
        <f>IFERROR(IF(Z116="",0,Z116),"0")+IFERROR(IF(Z117="",0,Z117),"0")+IFERROR(IF(Z118="",0,Z118),"0")+IFERROR(IF(Z119="",0,Z119),"0")</f>
        <v>4.9062599999999996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2050</v>
      </c>
      <c r="Y121" s="631">
        <f>IFERROR(SUM(Y116:Y119),"0")</f>
        <v>2054.6999999999998</v>
      </c>
      <c r="Z121" s="37"/>
      <c r="AA121" s="632"/>
      <c r="AB121" s="632"/>
      <c r="AC121" s="632"/>
    </row>
    <row r="122" spans="1:68" ht="14.25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40</v>
      </c>
      <c r="Y174" s="630">
        <f t="shared" ref="Y174:Y184" si="22">IFERROR(IF(X174="",0,CEILING((X174/$H174),1)*$H174),"")</f>
        <v>42</v>
      </c>
      <c r="Z174" s="36">
        <f>IFERROR(IF(Y174=0,"",ROUNDUP(Y174/H174,0)*0.00902),"")</f>
        <v>0.10824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42.171428571428571</v>
      </c>
      <c r="BN174" s="64">
        <f t="shared" ref="BN174:BN184" si="24">IFERROR(Y174*I174/H174,"0")</f>
        <v>44.279999999999994</v>
      </c>
      <c r="BO174" s="64">
        <f t="shared" ref="BO174:BO184" si="25">IFERROR(1/J174*(X174/H174),"0")</f>
        <v>8.658008658008659E-2</v>
      </c>
      <c r="BP174" s="64">
        <f t="shared" ref="BP174:BP184" si="26">IFERROR(1/J174*(Y174/H174),"0")</f>
        <v>9.0909090909090912E-2</v>
      </c>
    </row>
    <row r="175" spans="1:68" ht="27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25</v>
      </c>
      <c r="Y176" s="630">
        <f t="shared" si="22"/>
        <v>28</v>
      </c>
      <c r="Z176" s="36">
        <f>IFERROR(IF(Y176=0,"",ROUNDUP(Y176/H176,0)*0.00902),"")</f>
        <v>7.2160000000000002E-2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26.357142857142858</v>
      </c>
      <c r="BN176" s="64">
        <f t="shared" si="24"/>
        <v>29.52</v>
      </c>
      <c r="BO176" s="64">
        <f t="shared" si="25"/>
        <v>5.4112554112554119E-2</v>
      </c>
      <c r="BP176" s="64">
        <f t="shared" si="26"/>
        <v>6.0606060606060608E-2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90</v>
      </c>
      <c r="Y177" s="630">
        <f t="shared" si="22"/>
        <v>91</v>
      </c>
      <c r="Z177" s="36">
        <f>IFERROR(IF(Y177=0,"",ROUNDUP(Y177/H177,0)*0.00902),"")</f>
        <v>0.23452000000000001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94.885714285714286</v>
      </c>
      <c r="BN177" s="64">
        <f t="shared" si="24"/>
        <v>95.940000000000012</v>
      </c>
      <c r="BO177" s="64">
        <f t="shared" si="25"/>
        <v>0.19480519480519481</v>
      </c>
      <c r="BP177" s="64">
        <f t="shared" si="26"/>
        <v>0.19696969696969696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43</v>
      </c>
      <c r="Y179" s="630">
        <f t="shared" si="22"/>
        <v>43.68</v>
      </c>
      <c r="Z179" s="36">
        <f>IFERROR(IF(Y179=0,"",ROUNDUP(Y179/H179,0)*0.00502),"")</f>
        <v>0.13052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45.559523809523817</v>
      </c>
      <c r="BN179" s="64">
        <f t="shared" si="24"/>
        <v>46.28</v>
      </c>
      <c r="BO179" s="64">
        <f t="shared" si="25"/>
        <v>0.10938135938135939</v>
      </c>
      <c r="BP179" s="64">
        <f t="shared" si="26"/>
        <v>0.11111111111111112</v>
      </c>
    </row>
    <row r="180" spans="1:68" ht="27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21</v>
      </c>
      <c r="Y182" s="630">
        <f t="shared" si="22"/>
        <v>21.84</v>
      </c>
      <c r="Z182" s="36">
        <f>IFERROR(IF(Y182=0,"",ROUNDUP(Y182/H182,0)*0.00502),"")</f>
        <v>6.5259999999999999E-2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22.250000000000004</v>
      </c>
      <c r="BN182" s="64">
        <f t="shared" si="24"/>
        <v>23.14</v>
      </c>
      <c r="BO182" s="64">
        <f t="shared" si="25"/>
        <v>5.3418803418803423E-2</v>
      </c>
      <c r="BP182" s="64">
        <f t="shared" si="26"/>
        <v>5.5555555555555559E-2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35</v>
      </c>
      <c r="Y184" s="630">
        <f t="shared" si="22"/>
        <v>35.28</v>
      </c>
      <c r="Z184" s="36">
        <f>IFERROR(IF(Y184=0,"",ROUNDUP(Y184/H184,0)*0.00502),"")</f>
        <v>0.10542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37.083333333333336</v>
      </c>
      <c r="BN184" s="64">
        <f t="shared" si="24"/>
        <v>37.380000000000003</v>
      </c>
      <c r="BO184" s="64">
        <f t="shared" si="25"/>
        <v>8.9031339031339057E-2</v>
      </c>
      <c r="BP184" s="64">
        <f t="shared" si="26"/>
        <v>8.9743589743589758E-2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103.21428571428572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106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0.71611999999999998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254</v>
      </c>
      <c r="Y186" s="631">
        <f>IFERROR(SUM(Y174:Y184),"0")</f>
        <v>261.8</v>
      </c>
      <c r="Z186" s="37"/>
      <c r="AA186" s="632"/>
      <c r="AB186" s="632"/>
      <c r="AC186" s="632"/>
    </row>
    <row r="187" spans="1:68" ht="14.25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0</v>
      </c>
      <c r="Y219" s="630">
        <f t="shared" ref="Y219:Y232" si="33">IFERROR(IF(X219="",0,CEILING((X219/$H219),1)*$H219),"")</f>
        <v>0</v>
      </c>
      <c r="Z219" s="36" t="str">
        <f>IFERROR(IF(Y219=0,"",ROUNDUP(Y219/H219,0)*0.00902),"")</f>
        <v/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0</v>
      </c>
      <c r="BN219" s="64">
        <f t="shared" ref="BN219:BN232" si="35">IFERROR(Y219*I219/H219,"0")</f>
        <v>0</v>
      </c>
      <c r="BO219" s="64">
        <f t="shared" ref="BO219:BO232" si="36">IFERROR(1/J219*(X219/H219),"0")</f>
        <v>0</v>
      </c>
      <c r="BP219" s="64">
        <f t="shared" ref="BP219:BP232" si="37">IFERROR(1/J219*(Y219/H219),"0")</f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9</v>
      </c>
      <c r="Y223" s="630">
        <f t="shared" si="33"/>
        <v>10.5</v>
      </c>
      <c r="Z223" s="36">
        <f t="shared" ref="Z223:Z228" si="38">IFERROR(IF(Y223=0,"",ROUNDUP(Y223/H223,0)*0.00502),"")</f>
        <v>2.5100000000000001E-2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9.5571428571428569</v>
      </c>
      <c r="BN223" s="64">
        <f t="shared" si="35"/>
        <v>11.149999999999999</v>
      </c>
      <c r="BO223" s="64">
        <f t="shared" si="36"/>
        <v>1.8315018315018316E-2</v>
      </c>
      <c r="BP223" s="64">
        <f t="shared" si="37"/>
        <v>2.1367521367521368E-2</v>
      </c>
    </row>
    <row r="224" spans="1:68" ht="27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5</v>
      </c>
      <c r="Y228" s="630">
        <f t="shared" si="33"/>
        <v>5.4</v>
      </c>
      <c r="Z228" s="36">
        <f t="shared" si="38"/>
        <v>1.506E-2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5.3611111111111116</v>
      </c>
      <c r="BN228" s="64">
        <f t="shared" si="35"/>
        <v>5.79</v>
      </c>
      <c r="BO228" s="64">
        <f t="shared" si="36"/>
        <v>1.1870845204178538E-2</v>
      </c>
      <c r="BP228" s="64">
        <f t="shared" si="37"/>
        <v>1.2820512820512822E-2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158</v>
      </c>
      <c r="Y230" s="630">
        <f t="shared" si="33"/>
        <v>159.6</v>
      </c>
      <c r="Z230" s="36">
        <f>IFERROR(IF(Y230=0,"",ROUNDUP(Y230/H230,0)*0.00502),"")</f>
        <v>0.38152000000000003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165.52380952380952</v>
      </c>
      <c r="BN230" s="64">
        <f t="shared" si="35"/>
        <v>167.2</v>
      </c>
      <c r="BO230" s="64">
        <f t="shared" si="36"/>
        <v>0.32153032153032157</v>
      </c>
      <c r="BP230" s="64">
        <f t="shared" si="37"/>
        <v>0.3247863247863248</v>
      </c>
    </row>
    <row r="231" spans="1:68" ht="27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82.301587301587304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84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0.42168000000000005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172</v>
      </c>
      <c r="Y234" s="631">
        <f>IFERROR(SUM(Y219:Y232),"0")</f>
        <v>175.5</v>
      </c>
      <c r="Z234" s="37"/>
      <c r="AA234" s="632"/>
      <c r="AB234" s="632"/>
      <c r="AC234" s="632"/>
    </row>
    <row r="235" spans="1:68" ht="14.25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0</v>
      </c>
      <c r="Y246" s="63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0</v>
      </c>
      <c r="Y247" s="631">
        <f>IFERROR(Y244/H244,"0")+IFERROR(Y245/H245,"0")+IFERROR(Y246/H246,"0")</f>
        <v>0</v>
      </c>
      <c r="Z247" s="631">
        <f>IFERROR(IF(Z244="",0,Z244),"0")+IFERROR(IF(Z245="",0,Z245),"0")+IFERROR(IF(Z246="",0,Z246),"0")</f>
        <v>0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0</v>
      </c>
      <c r="Y248" s="631">
        <f>IFERROR(SUM(Y244:Y246),"0")</f>
        <v>0</v>
      </c>
      <c r="Z248" s="37"/>
      <c r="AA248" s="632"/>
      <c r="AB248" s="632"/>
      <c r="AC248" s="632"/>
    </row>
    <row r="249" spans="1:68" ht="14.25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0</v>
      </c>
      <c r="Y265" s="630">
        <f t="shared" ref="Y265:Y272" si="39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0</v>
      </c>
      <c r="BN265" s="64">
        <f t="shared" ref="BN265:BN272" si="41">IFERROR(Y265*I265/H265,"0")</f>
        <v>0</v>
      </c>
      <c r="BO265" s="64">
        <f t="shared" ref="BO265:BO272" si="42">IFERROR(1/J265*(X265/H265),"0")</f>
        <v>0</v>
      </c>
      <c r="BP265" s="64">
        <f t="shared" ref="BP265:BP272" si="43">IFERROR(1/J265*(Y265/H265),"0")</f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0</v>
      </c>
      <c r="Y266" s="630">
        <f t="shared" si="39"/>
        <v>0</v>
      </c>
      <c r="Z266" s="36" t="str">
        <f>IFERROR(IF(Y266=0,"",ROUNDUP(Y266/H266,0)*0.00902),"")</f>
        <v/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0</v>
      </c>
      <c r="BN266" s="64">
        <f t="shared" si="41"/>
        <v>0</v>
      </c>
      <c r="BO266" s="64">
        <f t="shared" si="42"/>
        <v>0</v>
      </c>
      <c r="BP266" s="64">
        <f t="shared" si="43"/>
        <v>0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8</v>
      </c>
      <c r="Y269" s="630">
        <f t="shared" si="39"/>
        <v>9</v>
      </c>
      <c r="Z269" s="36">
        <f>IFERROR(IF(Y269=0,"",ROUNDUP(Y269/H269,0)*0.00502),"")</f>
        <v>2.5100000000000001E-2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8.5777777777777775</v>
      </c>
      <c r="BN269" s="64">
        <f t="shared" si="41"/>
        <v>9.65</v>
      </c>
      <c r="BO269" s="64">
        <f t="shared" si="42"/>
        <v>1.8993352326685663E-2</v>
      </c>
      <c r="BP269" s="64">
        <f t="shared" si="43"/>
        <v>2.1367521367521368E-2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8</v>
      </c>
      <c r="Y270" s="630">
        <f t="shared" si="39"/>
        <v>9</v>
      </c>
      <c r="Z270" s="36">
        <f>IFERROR(IF(Y270=0,"",ROUNDUP(Y270/H270,0)*0.00502),"")</f>
        <v>2.5100000000000001E-2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8.4444444444444446</v>
      </c>
      <c r="BN270" s="64">
        <f t="shared" si="41"/>
        <v>9.4999999999999982</v>
      </c>
      <c r="BO270" s="64">
        <f t="shared" si="42"/>
        <v>1.8993352326685663E-2</v>
      </c>
      <c r="BP270" s="64">
        <f t="shared" si="43"/>
        <v>2.1367521367521368E-2</v>
      </c>
    </row>
    <row r="271" spans="1:68" ht="27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8</v>
      </c>
      <c r="Y272" s="630">
        <f t="shared" si="39"/>
        <v>9</v>
      </c>
      <c r="Z272" s="36">
        <f>IFERROR(IF(Y272=0,"",ROUNDUP(Y272/H272,0)*0.00502),"")</f>
        <v>2.5100000000000001E-2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8.4444444444444446</v>
      </c>
      <c r="BN272" s="64">
        <f t="shared" si="41"/>
        <v>9.4999999999999982</v>
      </c>
      <c r="BO272" s="64">
        <f t="shared" si="42"/>
        <v>1.8993352326685663E-2</v>
      </c>
      <c r="BP272" s="64">
        <f t="shared" si="43"/>
        <v>2.1367521367521368E-2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13.333333333333334</v>
      </c>
      <c r="Y273" s="631">
        <f>IFERROR(Y265/H265,"0")+IFERROR(Y266/H266,"0")+IFERROR(Y267/H267,"0")+IFERROR(Y268/H268,"0")+IFERROR(Y269/H269,"0")+IFERROR(Y270/H270,"0")+IFERROR(Y271/H271,"0")+IFERROR(Y272/H272,"0")</f>
        <v>15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7.5300000000000006E-2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24</v>
      </c>
      <c r="Y274" s="631">
        <f>IFERROR(SUM(Y265:Y272),"0")</f>
        <v>27</v>
      </c>
      <c r="Z274" s="37"/>
      <c r="AA274" s="632"/>
      <c r="AB274" s="632"/>
      <c r="AC274" s="632"/>
    </row>
    <row r="275" spans="1:68" ht="14.25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25</v>
      </c>
      <c r="Y276" s="630">
        <f t="shared" ref="Y276:Y287" si="44">IFERROR(IF(X276="",0,CEILING((X276/$H276),1)*$H276),"")</f>
        <v>32.4</v>
      </c>
      <c r="Z276" s="36">
        <f>IFERROR(IF(Y276=0,"",ROUNDUP(Y276/H276,0)*0.01898),"")</f>
        <v>7.5920000000000001E-2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26.524691358024693</v>
      </c>
      <c r="BN276" s="64">
        <f t="shared" ref="BN276:BN287" si="46">IFERROR(Y276*I276/H276,"0")</f>
        <v>34.375999999999998</v>
      </c>
      <c r="BO276" s="64">
        <f t="shared" ref="BO276:BO287" si="47">IFERROR(1/J276*(X276/H276),"0")</f>
        <v>4.8225308641975308E-2</v>
      </c>
      <c r="BP276" s="64">
        <f t="shared" ref="BP276:BP287" si="48">IFERROR(1/J276*(Y276/H276),"0")</f>
        <v>6.25E-2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30</v>
      </c>
      <c r="Y277" s="630">
        <f t="shared" si="44"/>
        <v>32.4</v>
      </c>
      <c r="Z277" s="36">
        <f>IFERROR(IF(Y277=0,"",ROUNDUP(Y277/H277,0)*0.01898),"")</f>
        <v>7.5920000000000001E-2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31.76296296296297</v>
      </c>
      <c r="BN277" s="64">
        <f t="shared" si="46"/>
        <v>34.304000000000002</v>
      </c>
      <c r="BO277" s="64">
        <f t="shared" si="47"/>
        <v>5.7870370370370371E-2</v>
      </c>
      <c r="BP277" s="64">
        <f t="shared" si="48"/>
        <v>6.25E-2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0</v>
      </c>
      <c r="Y278" s="630">
        <f t="shared" si="44"/>
        <v>0</v>
      </c>
      <c r="Z278" s="36" t="str">
        <f>IFERROR(IF(Y278=0,"",ROUNDUP(Y278/H278,0)*0.01898),"")</f>
        <v/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0</v>
      </c>
      <c r="BN278" s="64">
        <f t="shared" si="46"/>
        <v>0</v>
      </c>
      <c r="BO278" s="64">
        <f t="shared" si="47"/>
        <v>0</v>
      </c>
      <c r="BP278" s="64">
        <f t="shared" si="48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888</v>
      </c>
      <c r="Y282" s="630">
        <f t="shared" si="44"/>
        <v>888</v>
      </c>
      <c r="Z282" s="36">
        <f>IFERROR(IF(Y282=0,"",ROUNDUP(Y282/H282,0)*0.00651),"")</f>
        <v>2.4087000000000001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981.24000000000012</v>
      </c>
      <c r="BN282" s="64">
        <f t="shared" si="46"/>
        <v>981.24000000000012</v>
      </c>
      <c r="BO282" s="64">
        <f t="shared" si="47"/>
        <v>2.0329670329670333</v>
      </c>
      <c r="BP282" s="64">
        <f t="shared" si="48"/>
        <v>2.0329670329670333</v>
      </c>
    </row>
    <row r="283" spans="1:68" ht="27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100</v>
      </c>
      <c r="Y284" s="630">
        <f t="shared" si="44"/>
        <v>100.8</v>
      </c>
      <c r="Z284" s="36">
        <f>IFERROR(IF(Y284=0,"",ROUNDUP(Y284/H284,0)*0.00651),"")</f>
        <v>0.27342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110.5</v>
      </c>
      <c r="BN284" s="64">
        <f t="shared" si="46"/>
        <v>111.384</v>
      </c>
      <c r="BO284" s="64">
        <f t="shared" si="47"/>
        <v>0.22893772893772898</v>
      </c>
      <c r="BP284" s="64">
        <f t="shared" si="48"/>
        <v>0.23076923076923078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10</v>
      </c>
      <c r="Y285" s="630">
        <f t="shared" si="44"/>
        <v>12</v>
      </c>
      <c r="Z285" s="36">
        <f>IFERROR(IF(Y285=0,"",ROUNDUP(Y285/H285,0)*0.00651),"")</f>
        <v>3.2550000000000003E-2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11.050000000000002</v>
      </c>
      <c r="BN285" s="64">
        <f t="shared" si="46"/>
        <v>13.260000000000002</v>
      </c>
      <c r="BO285" s="64">
        <f t="shared" si="47"/>
        <v>2.2893772893772896E-2</v>
      </c>
      <c r="BP285" s="64">
        <f t="shared" si="48"/>
        <v>2.7472527472527476E-2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40</v>
      </c>
      <c r="Y286" s="630">
        <f t="shared" si="44"/>
        <v>40.799999999999997</v>
      </c>
      <c r="Z286" s="36">
        <f>IFERROR(IF(Y286=0,"",ROUNDUP(Y286/H286,0)*0.00651),"")</f>
        <v>0.11067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44.3</v>
      </c>
      <c r="BN286" s="64">
        <f t="shared" si="46"/>
        <v>45.185999999999993</v>
      </c>
      <c r="BO286" s="64">
        <f t="shared" si="47"/>
        <v>9.1575091575091583E-2</v>
      </c>
      <c r="BP286" s="64">
        <f t="shared" si="48"/>
        <v>9.3406593406593408E-2</v>
      </c>
    </row>
    <row r="287" spans="1:68" ht="27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439.29012345679018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442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2.9771800000000002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1093</v>
      </c>
      <c r="Y289" s="631">
        <f>IFERROR(SUM(Y276:Y287),"0")</f>
        <v>1106.3999999999999</v>
      </c>
      <c r="Z289" s="37"/>
      <c r="AA289" s="632"/>
      <c r="AB289" s="632"/>
      <c r="AC289" s="632"/>
    </row>
    <row r="290" spans="1:68" ht="14.25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0</v>
      </c>
      <c r="Y291" s="630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0</v>
      </c>
      <c r="Y293" s="631">
        <f>IFERROR(Y291/H291,"0")+IFERROR(Y292/H292,"0")</f>
        <v>0</v>
      </c>
      <c r="Z293" s="631">
        <f>IFERROR(IF(Z291="",0,Z291),"0")+IFERROR(IF(Z292="",0,Z292),"0")</f>
        <v>0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0</v>
      </c>
      <c r="Y294" s="631">
        <f>IFERROR(SUM(Y291:Y292),"0")</f>
        <v>0</v>
      </c>
      <c r="Z294" s="37"/>
      <c r="AA294" s="632"/>
      <c r="AB294" s="632"/>
      <c r="AC294" s="632"/>
    </row>
    <row r="295" spans="1:68" ht="16.5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0</v>
      </c>
      <c r="Y311" s="630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0</v>
      </c>
      <c r="Y312" s="631">
        <f>IFERROR(Y311/H311,"0")</f>
        <v>0</v>
      </c>
      <c r="Z312" s="631">
        <f>IFERROR(IF(Z311="",0,Z311),"0")</f>
        <v>0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0</v>
      </c>
      <c r="Y313" s="631">
        <f>IFERROR(SUM(Y311:Y311),"0")</f>
        <v>0</v>
      </c>
      <c r="Z313" s="37"/>
      <c r="AA313" s="632"/>
      <c r="AB313" s="632"/>
      <c r="AC313" s="632"/>
    </row>
    <row r="314" spans="1:68" ht="14.25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20</v>
      </c>
      <c r="Y332" s="630">
        <f>IFERROR(IF(X332="",0,CEILING((X332/$H332),1)*$H332),"")</f>
        <v>21.599999999999998</v>
      </c>
      <c r="Z332" s="36">
        <f>IFERROR(IF(Y332=0,"",ROUNDUP(Y332/H332,0)*0.00651),"")</f>
        <v>5.8590000000000003E-2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22.100000000000005</v>
      </c>
      <c r="BN332" s="64">
        <f>IFERROR(Y332*I332/H332,"0")</f>
        <v>23.868000000000002</v>
      </c>
      <c r="BO332" s="64">
        <f>IFERROR(1/J332*(X332/H332),"0")</f>
        <v>4.5787545787545791E-2</v>
      </c>
      <c r="BP332" s="64">
        <f>IFERROR(1/J332*(Y332/H332),"0")</f>
        <v>4.9450549450549455E-2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20</v>
      </c>
      <c r="Y333" s="63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16.666666666666668</v>
      </c>
      <c r="Y334" s="631">
        <f>IFERROR(Y331/H331,"0")+IFERROR(Y332/H332,"0")+IFERROR(Y333/H333,"0")</f>
        <v>18</v>
      </c>
      <c r="Z334" s="631">
        <f>IFERROR(IF(Z331="",0,Z331),"0")+IFERROR(IF(Z332="",0,Z332),"0")+IFERROR(IF(Z333="",0,Z333),"0")</f>
        <v>0.11718000000000001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40</v>
      </c>
      <c r="Y335" s="631">
        <f>IFERROR(SUM(Y331:Y333),"0")</f>
        <v>43.199999999999996</v>
      </c>
      <c r="Z335" s="37"/>
      <c r="AA335" s="632"/>
      <c r="AB335" s="632"/>
      <c r="AC335" s="632"/>
    </row>
    <row r="336" spans="1:68" ht="16.5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0</v>
      </c>
      <c r="Y355" s="631">
        <f>IFERROR(Y352/H352,"0")+IFERROR(Y353/H353,"0")+IFERROR(Y354/H354,"0")</f>
        <v>0</v>
      </c>
      <c r="Z355" s="631">
        <f>IFERROR(IF(Z352="",0,Z352),"0")+IFERROR(IF(Z353="",0,Z353),"0")+IFERROR(IF(Z354="",0,Z354),"0")</f>
        <v>0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0</v>
      </c>
      <c r="Y356" s="631">
        <f>IFERROR(SUM(Y352:Y354),"0")</f>
        <v>0</v>
      </c>
      <c r="Z356" s="37"/>
      <c r="AA356" s="632"/>
      <c r="AB356" s="632"/>
      <c r="AC356" s="632"/>
    </row>
    <row r="357" spans="1:68" ht="16.5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0</v>
      </c>
      <c r="Y374" s="631">
        <f>IFERROR(Y367/H367,"0")+IFERROR(Y368/H368,"0")+IFERROR(Y369/H369,"0")+IFERROR(Y370/H370,"0")+IFERROR(Y371/H371,"0")+IFERROR(Y372/H372,"0")+IFERROR(Y373/H373,"0")</f>
        <v>0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0</v>
      </c>
      <c r="Y375" s="631">
        <f>IFERROR(SUM(Y367:Y373),"0")</f>
        <v>0</v>
      </c>
      <c r="Z375" s="37"/>
      <c r="AA375" s="632"/>
      <c r="AB375" s="632"/>
      <c r="AC375" s="632"/>
    </row>
    <row r="376" spans="1:68" ht="14.25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1372</v>
      </c>
      <c r="Y385" s="630">
        <f>IFERROR(IF(X385="",0,CEILING((X385/$H385),1)*$H385),"")</f>
        <v>1372.8</v>
      </c>
      <c r="Z385" s="36">
        <f>IFERROR(IF(Y385=0,"",ROUNDUP(Y385/H385,0)*0.01898),"")</f>
        <v>3.3404799999999999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1458.8933333333334</v>
      </c>
      <c r="BN385" s="64">
        <f>IFERROR(Y385*I385/H385,"0")</f>
        <v>1459.7440000000001</v>
      </c>
      <c r="BO385" s="64">
        <f>IFERROR(1/J385*(X385/H385),"0")</f>
        <v>2.7483974358974361</v>
      </c>
      <c r="BP385" s="64">
        <f>IFERROR(1/J385*(Y385/H385),"0")</f>
        <v>2.75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175.89743589743591</v>
      </c>
      <c r="Y387" s="631">
        <f>IFERROR(Y384/H384,"0")+IFERROR(Y385/H385,"0")+IFERROR(Y386/H386,"0")</f>
        <v>176</v>
      </c>
      <c r="Z387" s="631">
        <f>IFERROR(IF(Z384="",0,Z384),"0")+IFERROR(IF(Z385="",0,Z385),"0")+IFERROR(IF(Z386="",0,Z386),"0")</f>
        <v>3.3404799999999999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1372</v>
      </c>
      <c r="Y388" s="631">
        <f>IFERROR(SUM(Y384:Y386),"0")</f>
        <v>1372.8</v>
      </c>
      <c r="Z388" s="37"/>
      <c r="AA388" s="632"/>
      <c r="AB388" s="632"/>
      <c r="AC388" s="632"/>
    </row>
    <row r="389" spans="1:68" ht="14.25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3</v>
      </c>
      <c r="Y403" s="630">
        <f>IFERROR(IF(X403="",0,CEILING((X403/$H403),1)*$H403),"")</f>
        <v>3</v>
      </c>
      <c r="Z403" s="36">
        <f>IFERROR(IF(Y403=0,"",ROUNDUP(Y403/H403,0)*0.0045),"")</f>
        <v>4.4999999999999997E-3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3.22</v>
      </c>
      <c r="BN403" s="64">
        <f>IFERROR(Y403*I403/H403,"0")</f>
        <v>3.22</v>
      </c>
      <c r="BO403" s="64">
        <f>IFERROR(1/J403*(X403/H403),"0")</f>
        <v>4.464285714285714E-3</v>
      </c>
      <c r="BP403" s="64">
        <f>IFERROR(1/J403*(Y403/H403),"0")</f>
        <v>4.464285714285714E-3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1</v>
      </c>
      <c r="Y406" s="631">
        <f>IFERROR(Y403/H403,"0")+IFERROR(Y404/H404,"0")+IFERROR(Y405/H405,"0")</f>
        <v>1</v>
      </c>
      <c r="Z406" s="631">
        <f>IFERROR(IF(Z403="",0,Z403),"0")+IFERROR(IF(Z404="",0,Z404),"0")+IFERROR(IF(Z405="",0,Z405),"0")</f>
        <v>4.4999999999999997E-3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3</v>
      </c>
      <c r="Y407" s="631">
        <f>IFERROR(SUM(Y403:Y405),"0")</f>
        <v>3</v>
      </c>
      <c r="Z407" s="37"/>
      <c r="AA407" s="632"/>
      <c r="AB407" s="632"/>
      <c r="AC407" s="632"/>
    </row>
    <row r="408" spans="1:68" ht="16.5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18</v>
      </c>
      <c r="Y417" s="630">
        <f>IFERROR(IF(X417="",0,CEILING((X417/$H417),1)*$H417),"")</f>
        <v>18.900000000000002</v>
      </c>
      <c r="Z417" s="36">
        <f>IFERROR(IF(Y417=0,"",ROUNDUP(Y417/H417,0)*0.00651),"")</f>
        <v>5.8590000000000003E-2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20.16</v>
      </c>
      <c r="BN417" s="64">
        <f>IFERROR(Y417*I417/H417,"0")</f>
        <v>21.167999999999999</v>
      </c>
      <c r="BO417" s="64">
        <f>IFERROR(1/J417*(X417/H417),"0")</f>
        <v>4.709576138147567E-2</v>
      </c>
      <c r="BP417" s="64">
        <f>IFERROR(1/J417*(Y417/H417),"0")</f>
        <v>4.9450549450549455E-2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9</v>
      </c>
      <c r="Y418" s="630">
        <f>IFERROR(IF(X418="",0,CEILING((X418/$H418),1)*$H418),"")</f>
        <v>10.5</v>
      </c>
      <c r="Z418" s="36">
        <f>IFERROR(IF(Y418=0,"",ROUNDUP(Y418/H418,0)*0.00651),"")</f>
        <v>3.2550000000000003E-2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10.028571428571427</v>
      </c>
      <c r="BN418" s="64">
        <f>IFERROR(Y418*I418/H418,"0")</f>
        <v>11.7</v>
      </c>
      <c r="BO418" s="64">
        <f>IFERROR(1/J418*(X418/H418),"0")</f>
        <v>2.3547880690737835E-2</v>
      </c>
      <c r="BP418" s="64">
        <f>IFERROR(1/J418*(Y418/H418),"0")</f>
        <v>2.7472527472527476E-2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12.857142857142858</v>
      </c>
      <c r="Y419" s="631">
        <f>IFERROR(Y416/H416,"0")+IFERROR(Y417/H417,"0")+IFERROR(Y418/H418,"0")</f>
        <v>14</v>
      </c>
      <c r="Z419" s="631">
        <f>IFERROR(IF(Z416="",0,Z416),"0")+IFERROR(IF(Z417="",0,Z417),"0")+IFERROR(IF(Z418="",0,Z418),"0")</f>
        <v>9.1139999999999999E-2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27</v>
      </c>
      <c r="Y420" s="631">
        <f>IFERROR(SUM(Y416:Y418),"0")</f>
        <v>29.400000000000002</v>
      </c>
      <c r="Z420" s="37"/>
      <c r="AA420" s="632"/>
      <c r="AB420" s="632"/>
      <c r="AC420" s="632"/>
    </row>
    <row r="421" spans="1:68" ht="27.75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0</v>
      </c>
      <c r="Y428" s="630">
        <f t="shared" si="59"/>
        <v>0</v>
      </c>
      <c r="Z428" s="36" t="str">
        <f>IFERROR(IF(Y428=0,"",ROUNDUP(Y428/H428,0)*0.02175),"")</f>
        <v/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0</v>
      </c>
      <c r="BN428" s="64">
        <f t="shared" si="61"/>
        <v>0</v>
      </c>
      <c r="BO428" s="64">
        <f t="shared" si="62"/>
        <v>0</v>
      </c>
      <c r="BP428" s="64">
        <f t="shared" si="63"/>
        <v>0</v>
      </c>
    </row>
    <row r="429" spans="1:68" ht="27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0</v>
      </c>
      <c r="Y432" s="631">
        <f>IFERROR(Y424/H424,"0")+IFERROR(Y425/H425,"0")+IFERROR(Y426/H426,"0")+IFERROR(Y427/H427,"0")+IFERROR(Y428/H428,"0")+IFERROR(Y429/H429,"0")+IFERROR(Y430/H430,"0")+IFERROR(Y431/H431,"0")</f>
        <v>0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0</v>
      </c>
      <c r="Y433" s="631">
        <f>IFERROR(SUM(Y424:Y431),"0")</f>
        <v>0</v>
      </c>
      <c r="Z433" s="37"/>
      <c r="AA433" s="632"/>
      <c r="AB433" s="632"/>
      <c r="AC433" s="632"/>
    </row>
    <row r="434" spans="1:68" ht="14.25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0</v>
      </c>
      <c r="Y435" s="630">
        <f>IFERROR(IF(X435="",0,CEILING((X435/$H435),1)*$H435),"")</f>
        <v>0</v>
      </c>
      <c r="Z435" s="36" t="str">
        <f>IFERROR(IF(Y435=0,"",ROUNDUP(Y435/H435,0)*0.02175),"")</f>
        <v/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0</v>
      </c>
      <c r="Y438" s="631">
        <f>IFERROR(Y435/H435,"0")+IFERROR(Y436/H436,"0")+IFERROR(Y437/H437,"0")</f>
        <v>0</v>
      </c>
      <c r="Z438" s="631">
        <f>IFERROR(IF(Z435="",0,Z435),"0")+IFERROR(IF(Z436="",0,Z436),"0")+IFERROR(IF(Z437="",0,Z437),"0")</f>
        <v>0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0</v>
      </c>
      <c r="Y439" s="631">
        <f>IFERROR(SUM(Y435:Y437),"0")</f>
        <v>0</v>
      </c>
      <c r="Z439" s="37"/>
      <c r="AA439" s="632"/>
      <c r="AB439" s="632"/>
      <c r="AC439" s="632"/>
    </row>
    <row r="440" spans="1:68" ht="14.25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0</v>
      </c>
      <c r="Y448" s="630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0</v>
      </c>
      <c r="Y449" s="631">
        <f>IFERROR(Y447/H447,"0")+IFERROR(Y448/H448,"0")</f>
        <v>0</v>
      </c>
      <c r="Z449" s="631">
        <f>IFERROR(IF(Z447="",0,Z447),"0")+IFERROR(IF(Z448="",0,Z448),"0")</f>
        <v>0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0</v>
      </c>
      <c r="Y450" s="631">
        <f>IFERROR(SUM(Y447:Y448),"0")</f>
        <v>0</v>
      </c>
      <c r="Z450" s="37"/>
      <c r="AA450" s="632"/>
      <c r="AB450" s="632"/>
      <c r="AC450" s="632"/>
    </row>
    <row r="451" spans="1:68" ht="16.5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1100</v>
      </c>
      <c r="Y462" s="630">
        <f>IFERROR(IF(X462="",0,CEILING((X462/$H462),1)*$H462),"")</f>
        <v>1107</v>
      </c>
      <c r="Z462" s="36">
        <f>IFERROR(IF(Y462=0,"",ROUNDUP(Y462/H462,0)*0.01898),"")</f>
        <v>2.3345400000000001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1160.3777777777777</v>
      </c>
      <c r="BN462" s="64">
        <f>IFERROR(Y462*I462/H462,"0")</f>
        <v>1167.7619999999999</v>
      </c>
      <c r="BO462" s="64">
        <f>IFERROR(1/J462*(X462/H462),"0")</f>
        <v>1.9097222222222223</v>
      </c>
      <c r="BP462" s="64">
        <f>IFERROR(1/J462*(Y462/H462),"0")</f>
        <v>1.921875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40</v>
      </c>
      <c r="Y463" s="630">
        <f>IFERROR(IF(X463="",0,CEILING((X463/$H463),1)*$H463),"")</f>
        <v>40.799999999999997</v>
      </c>
      <c r="Z463" s="36">
        <f>IFERROR(IF(Y463=0,"",ROUNDUP(Y463/H463,0)*0.00651),"")</f>
        <v>0.11067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44.400000000000006</v>
      </c>
      <c r="BN463" s="64">
        <f>IFERROR(Y463*I463/H463,"0")</f>
        <v>45.287999999999997</v>
      </c>
      <c r="BO463" s="64">
        <f>IFERROR(1/J463*(X463/H463),"0")</f>
        <v>9.1575091575091583E-2</v>
      </c>
      <c r="BP463" s="64">
        <f>IFERROR(1/J463*(Y463/H463),"0")</f>
        <v>9.3406593406593408E-2</v>
      </c>
    </row>
    <row r="464" spans="1:68" ht="27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138.88888888888889</v>
      </c>
      <c r="Y465" s="631">
        <f>IFERROR(Y462/H462,"0")+IFERROR(Y463/H463,"0")+IFERROR(Y464/H464,"0")</f>
        <v>140</v>
      </c>
      <c r="Z465" s="631">
        <f>IFERROR(IF(Z462="",0,Z462),"0")+IFERROR(IF(Z463="",0,Z463),"0")+IFERROR(IF(Z464="",0,Z464),"0")</f>
        <v>2.4452099999999999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1140</v>
      </c>
      <c r="Y466" s="631">
        <f>IFERROR(SUM(Y462:Y464),"0")</f>
        <v>1147.8</v>
      </c>
      <c r="Z466" s="37"/>
      <c r="AA466" s="632"/>
      <c r="AB466" s="632"/>
      <c r="AC466" s="632"/>
    </row>
    <row r="467" spans="1:68" ht="27.75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0</v>
      </c>
      <c r="Y500" s="630">
        <f t="shared" si="69"/>
        <v>0</v>
      </c>
      <c r="Z500" s="36" t="str">
        <f t="shared" si="70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0</v>
      </c>
      <c r="BN500" s="64">
        <f t="shared" si="72"/>
        <v>0</v>
      </c>
      <c r="BO500" s="64">
        <f t="shared" si="73"/>
        <v>0</v>
      </c>
      <c r="BP500" s="64">
        <f t="shared" si="74"/>
        <v>0</v>
      </c>
    </row>
    <row r="501" spans="1:68" ht="16.5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0</v>
      </c>
      <c r="Y506" s="631">
        <f>IFERROR(Y497/H497,"0")+IFERROR(Y498/H498,"0")+IFERROR(Y499/H499,"0")+IFERROR(Y500/H500,"0")+IFERROR(Y501/H501,"0")+IFERROR(Y502/H502,"0")+IFERROR(Y503/H503,"0")+IFERROR(Y504/H504,"0")+IFERROR(Y505/H505,"0")</f>
        <v>0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0</v>
      </c>
      <c r="Y507" s="631">
        <f>IFERROR(SUM(Y497:Y505),"0")</f>
        <v>0</v>
      </c>
      <c r="Z507" s="37"/>
      <c r="AA507" s="632"/>
      <c r="AB507" s="632"/>
      <c r="AC507" s="632"/>
    </row>
    <row r="508" spans="1:68" ht="14.25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865</v>
      </c>
      <c r="Y509" s="630">
        <f>IFERROR(IF(X509="",0,CEILING((X509/$H509),1)*$H509),"")</f>
        <v>865.92000000000007</v>
      </c>
      <c r="Z509" s="36">
        <f>IFERROR(IF(Y509=0,"",ROUNDUP(Y509/H509,0)*0.01196),"")</f>
        <v>1.9614400000000001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922.33901515151513</v>
      </c>
      <c r="BN509" s="64">
        <f>IFERROR(Y509*I509/H509,"0")</f>
        <v>923.32</v>
      </c>
      <c r="BO509" s="64">
        <f>IFERROR(1/J509*(X509/H509),"0")</f>
        <v>1.5752476689976689</v>
      </c>
      <c r="BP509" s="64">
        <f>IFERROR(1/J509*(Y509/H509),"0")</f>
        <v>1.5769230769230771</v>
      </c>
    </row>
    <row r="510" spans="1:68" ht="16.5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163.82575757575756</v>
      </c>
      <c r="Y512" s="631">
        <f>IFERROR(Y509/H509,"0")+IFERROR(Y510/H510,"0")+IFERROR(Y511/H511,"0")</f>
        <v>164</v>
      </c>
      <c r="Z512" s="631">
        <f>IFERROR(IF(Z509="",0,Z509),"0")+IFERROR(IF(Z510="",0,Z510),"0")+IFERROR(IF(Z511="",0,Z511),"0")</f>
        <v>1.9614400000000001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865</v>
      </c>
      <c r="Y513" s="631">
        <f>IFERROR(SUM(Y509:Y511),"0")</f>
        <v>865.92000000000007</v>
      </c>
      <c r="Z513" s="37"/>
      <c r="AA513" s="632"/>
      <c r="AB513" s="632"/>
      <c r="AC513" s="632"/>
    </row>
    <row r="514" spans="1:68" ht="14.25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0</v>
      </c>
      <c r="Y516" s="630">
        <f t="shared" si="75"/>
        <v>0</v>
      </c>
      <c r="Z516" s="36" t="str">
        <f>IFERROR(IF(Y516=0,"",ROUNDUP(Y516/H516,0)*0.01196),"")</f>
        <v/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0</v>
      </c>
      <c r="Y517" s="630">
        <f t="shared" si="75"/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t="27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0</v>
      </c>
      <c r="Y522" s="631">
        <f>IFERROR(Y515/H515,"0")+IFERROR(Y516/H516,"0")+IFERROR(Y517/H517,"0")+IFERROR(Y518/H518,"0")+IFERROR(Y519/H519,"0")+IFERROR(Y520/H520,"0")+IFERROR(Y521/H521,"0")</f>
        <v>0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0</v>
      </c>
      <c r="Y523" s="631">
        <f>IFERROR(SUM(Y515:Y521),"0")</f>
        <v>0</v>
      </c>
      <c r="Z523" s="37"/>
      <c r="AA523" s="632"/>
      <c r="AB523" s="632"/>
      <c r="AC523" s="632"/>
    </row>
    <row r="524" spans="1:68" ht="27.75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0</v>
      </c>
      <c r="Y539" s="630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0</v>
      </c>
      <c r="Y540" s="631">
        <f>IFERROR(Y539/H539,"0")</f>
        <v>0</v>
      </c>
      <c r="Z540" s="631">
        <f>IFERROR(IF(Z539="",0,Z539),"0")</f>
        <v>0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0</v>
      </c>
      <c r="Y541" s="631">
        <f>IFERROR(SUM(Y539:Y539),"0")</f>
        <v>0</v>
      </c>
      <c r="Z541" s="37"/>
      <c r="AA541" s="632"/>
      <c r="AB541" s="632"/>
      <c r="AC541" s="632"/>
    </row>
    <row r="542" spans="1:68" ht="14.25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7985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8033.42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8575.5850645342307</v>
      </c>
      <c r="Y553" s="631">
        <f>IFERROR(SUM(BN22:BN549),"0")</f>
        <v>8627.31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16</v>
      </c>
      <c r="Y554" s="38">
        <f>ROUNDUP(SUM(BP22:BP549),0)</f>
        <v>16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8975.5850645342307</v>
      </c>
      <c r="Y555" s="631">
        <f>GrossWeightTotalR+PalletQtyTotalR*25</f>
        <v>9027.31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2030.3616414449748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2044</v>
      </c>
      <c r="Z556" s="37"/>
      <c r="AA556" s="632"/>
      <c r="AB556" s="632"/>
      <c r="AC556" s="632"/>
    </row>
    <row r="557" spans="1:68" ht="14.25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19.190759999999997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46">
        <f>IFERROR(Y83*1,"0")+IFERROR(Y84*1,"0")+IFERROR(Y85*1,"0")+IFERROR(Y86*1,"0")+IFERROR(Y90*1,"0")+IFERROR(Y91*1,"0")+IFERROR(Y92*1,"0")+IFERROR(Y93*1,"0")</f>
        <v>585.90000000000009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2414.6999999999998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261.8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175.5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1133.3999999999999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43.199999999999996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0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1375.8</v>
      </c>
      <c r="U562" s="46">
        <f>IFERROR(Y410*1,"0")+IFERROR(Y411*1,"0")</f>
        <v>0</v>
      </c>
      <c r="V562" s="46">
        <f>IFERROR(Y416*1,"0")+IFERROR(Y417*1,"0")+IFERROR(Y418*1,"0")</f>
        <v>29.400000000000002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0</v>
      </c>
      <c r="X562" s="46">
        <f>IFERROR(Y453*1,"0")+IFERROR(Y454*1,"0")+IFERROR(Y458*1,"0")+IFERROR(Y462*1,"0")+IFERROR(Y463*1,"0")+IFERROR(Y464*1,"0")</f>
        <v>1147.8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865.92000000000007</v>
      </c>
      <c r="AB562" s="46">
        <f>IFERROR(Y527*1,"0")+IFERROR(Y531*1,"0")+IFERROR(Y535*1,"0")+IFERROR(Y539*1,"0")+IFERROR(Y543*1,"0")+IFERROR(Y544*1,"0")</f>
        <v>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2026-08-21T09:35:11Z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