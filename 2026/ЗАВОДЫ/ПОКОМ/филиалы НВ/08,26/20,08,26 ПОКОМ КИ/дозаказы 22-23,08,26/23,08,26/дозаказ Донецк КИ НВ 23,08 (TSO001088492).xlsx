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дозаказы 22-23,08,26\"/>
    </mc:Choice>
  </mc:AlternateContent>
  <xr:revisionPtr revIDLastSave="0" documentId="13_ncr:1_{3790B8FC-A040-4974-B004-50082A00594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P549" i="2"/>
  <c r="BO549" i="2"/>
  <c r="BN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P531" i="2"/>
  <c r="BO531" i="2"/>
  <c r="BM531" i="2"/>
  <c r="Y531" i="2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P518" i="2"/>
  <c r="BO518" i="2"/>
  <c r="BM518" i="2"/>
  <c r="Y518" i="2"/>
  <c r="BN518" i="2" s="1"/>
  <c r="P518" i="2"/>
  <c r="BO517" i="2"/>
  <c r="BN517" i="2"/>
  <c r="BM517" i="2"/>
  <c r="Y517" i="2"/>
  <c r="BP517" i="2" s="1"/>
  <c r="P517" i="2"/>
  <c r="BP516" i="2"/>
  <c r="BO516" i="2"/>
  <c r="BM516" i="2"/>
  <c r="Z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N511" i="2"/>
  <c r="BM511" i="2"/>
  <c r="Y511" i="2"/>
  <c r="Z511" i="2" s="1"/>
  <c r="P511" i="2"/>
  <c r="BO510" i="2"/>
  <c r="BM510" i="2"/>
  <c r="Y510" i="2"/>
  <c r="P510" i="2"/>
  <c r="BO509" i="2"/>
  <c r="BM509" i="2"/>
  <c r="Z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N503" i="2"/>
  <c r="BM503" i="2"/>
  <c r="Y503" i="2"/>
  <c r="BP503" i="2" s="1"/>
  <c r="P503" i="2"/>
  <c r="BP502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P498" i="2"/>
  <c r="BO498" i="2"/>
  <c r="BM498" i="2"/>
  <c r="Y498" i="2"/>
  <c r="BN498" i="2" s="1"/>
  <c r="P498" i="2"/>
  <c r="BO497" i="2"/>
  <c r="BM497" i="2"/>
  <c r="Y497" i="2"/>
  <c r="BP497" i="2" s="1"/>
  <c r="P497" i="2"/>
  <c r="Y493" i="2"/>
  <c r="X493" i="2"/>
  <c r="Y492" i="2"/>
  <c r="X492" i="2"/>
  <c r="BO491" i="2"/>
  <c r="BM491" i="2"/>
  <c r="Y491" i="2"/>
  <c r="BP491" i="2" s="1"/>
  <c r="P491" i="2"/>
  <c r="BP490" i="2"/>
  <c r="BO490" i="2"/>
  <c r="BN490" i="2"/>
  <c r="BM490" i="2"/>
  <c r="Y490" i="2"/>
  <c r="Z490" i="2" s="1"/>
  <c r="P490" i="2"/>
  <c r="BO489" i="2"/>
  <c r="BN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N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N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Y460" i="2"/>
  <c r="X460" i="2"/>
  <c r="X459" i="2"/>
  <c r="BO458" i="2"/>
  <c r="BM458" i="2"/>
  <c r="Z458" i="2"/>
  <c r="Z459" i="2" s="1"/>
  <c r="Y458" i="2"/>
  <c r="P458" i="2"/>
  <c r="X456" i="2"/>
  <c r="X455" i="2"/>
  <c r="BP454" i="2"/>
  <c r="BO454" i="2"/>
  <c r="BN454" i="2"/>
  <c r="BM454" i="2"/>
  <c r="Y454" i="2"/>
  <c r="Z454" i="2" s="1"/>
  <c r="P454" i="2"/>
  <c r="BO453" i="2"/>
  <c r="BM453" i="2"/>
  <c r="Y453" i="2"/>
  <c r="Y455" i="2" s="1"/>
  <c r="P453" i="2"/>
  <c r="Y450" i="2"/>
  <c r="X450" i="2"/>
  <c r="X449" i="2"/>
  <c r="BO448" i="2"/>
  <c r="BM448" i="2"/>
  <c r="Y448" i="2"/>
  <c r="BN448" i="2" s="1"/>
  <c r="P448" i="2"/>
  <c r="BP447" i="2"/>
  <c r="BO447" i="2"/>
  <c r="BN447" i="2"/>
  <c r="BM447" i="2"/>
  <c r="Y447" i="2"/>
  <c r="Z447" i="2" s="1"/>
  <c r="P447" i="2"/>
  <c r="Y445" i="2"/>
  <c r="X445" i="2"/>
  <c r="Y444" i="2"/>
  <c r="X444" i="2"/>
  <c r="BO443" i="2"/>
  <c r="BM443" i="2"/>
  <c r="Y443" i="2"/>
  <c r="BP443" i="2" s="1"/>
  <c r="P443" i="2"/>
  <c r="BO442" i="2"/>
  <c r="BN442" i="2"/>
  <c r="BM442" i="2"/>
  <c r="Y442" i="2"/>
  <c r="Z442" i="2" s="1"/>
  <c r="P442" i="2"/>
  <c r="BP441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Z431" i="2"/>
  <c r="Y431" i="2"/>
  <c r="BN431" i="2" s="1"/>
  <c r="P431" i="2"/>
  <c r="BO430" i="2"/>
  <c r="BN430" i="2"/>
  <c r="BM430" i="2"/>
  <c r="Y430" i="2"/>
  <c r="BP430" i="2" s="1"/>
  <c r="P430" i="2"/>
  <c r="BO429" i="2"/>
  <c r="BN429" i="2"/>
  <c r="BM429" i="2"/>
  <c r="Y429" i="2"/>
  <c r="BP429" i="2" s="1"/>
  <c r="P429" i="2"/>
  <c r="BO428" i="2"/>
  <c r="BM428" i="2"/>
  <c r="Y428" i="2"/>
  <c r="BP428" i="2" s="1"/>
  <c r="P428" i="2"/>
  <c r="BP427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N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Z416" i="2"/>
  <c r="Y416" i="2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Z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N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P380" i="2"/>
  <c r="BO380" i="2"/>
  <c r="BM380" i="2"/>
  <c r="Y380" i="2"/>
  <c r="BN380" i="2" s="1"/>
  <c r="P380" i="2"/>
  <c r="BO379" i="2"/>
  <c r="BN379" i="2"/>
  <c r="BM379" i="2"/>
  <c r="Y379" i="2"/>
  <c r="BP379" i="2" s="1"/>
  <c r="P379" i="2"/>
  <c r="BP378" i="2"/>
  <c r="BO378" i="2"/>
  <c r="BM378" i="2"/>
  <c r="Z378" i="2"/>
  <c r="Y378" i="2"/>
  <c r="BN378" i="2" s="1"/>
  <c r="P378" i="2"/>
  <c r="BO377" i="2"/>
  <c r="BM377" i="2"/>
  <c r="Y377" i="2"/>
  <c r="P377" i="2"/>
  <c r="X375" i="2"/>
  <c r="X374" i="2"/>
  <c r="BO373" i="2"/>
  <c r="BN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P370" i="2"/>
  <c r="BO370" i="2"/>
  <c r="BM370" i="2"/>
  <c r="Y370" i="2"/>
  <c r="BN370" i="2" s="1"/>
  <c r="P370" i="2"/>
  <c r="BO369" i="2"/>
  <c r="BM369" i="2"/>
  <c r="Y369" i="2"/>
  <c r="BP369" i="2" s="1"/>
  <c r="P369" i="2"/>
  <c r="BP368" i="2"/>
  <c r="BO368" i="2"/>
  <c r="BM368" i="2"/>
  <c r="Z368" i="2"/>
  <c r="Y368" i="2"/>
  <c r="BN368" i="2" s="1"/>
  <c r="P368" i="2"/>
  <c r="BO367" i="2"/>
  <c r="BM367" i="2"/>
  <c r="Y367" i="2"/>
  <c r="P367" i="2"/>
  <c r="X365" i="2"/>
  <c r="X364" i="2"/>
  <c r="BP363" i="2"/>
  <c r="BO363" i="2"/>
  <c r="BN363" i="2"/>
  <c r="BM363" i="2"/>
  <c r="Z363" i="2"/>
  <c r="Y363" i="2"/>
  <c r="P363" i="2"/>
  <c r="BO362" i="2"/>
  <c r="BM362" i="2"/>
  <c r="Y362" i="2"/>
  <c r="P362" i="2"/>
  <c r="BO361" i="2"/>
  <c r="BM361" i="2"/>
  <c r="Y361" i="2"/>
  <c r="Z361" i="2" s="1"/>
  <c r="P361" i="2"/>
  <c r="BP360" i="2"/>
  <c r="BO360" i="2"/>
  <c r="BM360" i="2"/>
  <c r="Y360" i="2"/>
  <c r="BN360" i="2" s="1"/>
  <c r="P360" i="2"/>
  <c r="BO359" i="2"/>
  <c r="BM359" i="2"/>
  <c r="Y359" i="2"/>
  <c r="Y365" i="2" s="1"/>
  <c r="P359" i="2"/>
  <c r="X356" i="2"/>
  <c r="X355" i="2"/>
  <c r="BO354" i="2"/>
  <c r="BM354" i="2"/>
  <c r="Y354" i="2"/>
  <c r="Z354" i="2" s="1"/>
  <c r="P354" i="2"/>
  <c r="BO353" i="2"/>
  <c r="BN353" i="2"/>
  <c r="BM353" i="2"/>
  <c r="Y353" i="2"/>
  <c r="Z353" i="2" s="1"/>
  <c r="P353" i="2"/>
  <c r="BO352" i="2"/>
  <c r="BM352" i="2"/>
  <c r="Y352" i="2"/>
  <c r="S562" i="2" s="1"/>
  <c r="P352" i="2"/>
  <c r="X349" i="2"/>
  <c r="X348" i="2"/>
  <c r="BO347" i="2"/>
  <c r="BM347" i="2"/>
  <c r="Y347" i="2"/>
  <c r="Z347" i="2" s="1"/>
  <c r="P347" i="2"/>
  <c r="BO346" i="2"/>
  <c r="BN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P341" i="2"/>
  <c r="BO341" i="2"/>
  <c r="BN341" i="2"/>
  <c r="BM341" i="2"/>
  <c r="Z341" i="2"/>
  <c r="Y341" i="2"/>
  <c r="P341" i="2"/>
  <c r="BO340" i="2"/>
  <c r="BM340" i="2"/>
  <c r="Z340" i="2"/>
  <c r="Y340" i="2"/>
  <c r="BP340" i="2" s="1"/>
  <c r="P340" i="2"/>
  <c r="BO339" i="2"/>
  <c r="BN339" i="2"/>
  <c r="BM339" i="2"/>
  <c r="Y339" i="2"/>
  <c r="BP339" i="2" s="1"/>
  <c r="P339" i="2"/>
  <c r="BO338" i="2"/>
  <c r="BM338" i="2"/>
  <c r="Z338" i="2"/>
  <c r="Y338" i="2"/>
  <c r="BP338" i="2" s="1"/>
  <c r="P338" i="2"/>
  <c r="X335" i="2"/>
  <c r="X334" i="2"/>
  <c r="BP333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P331" i="2"/>
  <c r="Y328" i="2"/>
  <c r="X328" i="2"/>
  <c r="X327" i="2"/>
  <c r="BO326" i="2"/>
  <c r="BM326" i="2"/>
  <c r="Z326" i="2"/>
  <c r="Y326" i="2"/>
  <c r="P326" i="2"/>
  <c r="BO325" i="2"/>
  <c r="BM325" i="2"/>
  <c r="Y325" i="2"/>
  <c r="P325" i="2"/>
  <c r="BP324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7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Y313" i="2"/>
  <c r="X313" i="2"/>
  <c r="Z312" i="2"/>
  <c r="Y312" i="2"/>
  <c r="X312" i="2"/>
  <c r="BP311" i="2"/>
  <c r="BO311" i="2"/>
  <c r="BM311" i="2"/>
  <c r="Y311" i="2"/>
  <c r="Z311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N302" i="2" s="1"/>
  <c r="P302" i="2"/>
  <c r="BP301" i="2"/>
  <c r="BO301" i="2"/>
  <c r="BM301" i="2"/>
  <c r="Y301" i="2"/>
  <c r="BN301" i="2" s="1"/>
  <c r="P301" i="2"/>
  <c r="BP300" i="2"/>
  <c r="BO300" i="2"/>
  <c r="BM300" i="2"/>
  <c r="Z300" i="2"/>
  <c r="Y300" i="2"/>
  <c r="BN300" i="2" s="1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Z292" i="2"/>
  <c r="Y292" i="2"/>
  <c r="P292" i="2"/>
  <c r="BO291" i="2"/>
  <c r="BM291" i="2"/>
  <c r="Y291" i="2"/>
  <c r="BP291" i="2" s="1"/>
  <c r="P291" i="2"/>
  <c r="X289" i="2"/>
  <c r="X288" i="2"/>
  <c r="BO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Z285" i="2" s="1"/>
  <c r="P285" i="2"/>
  <c r="BO284" i="2"/>
  <c r="BM284" i="2"/>
  <c r="Y284" i="2"/>
  <c r="Z284" i="2" s="1"/>
  <c r="P284" i="2"/>
  <c r="BP283" i="2"/>
  <c r="BO283" i="2"/>
  <c r="BM283" i="2"/>
  <c r="Z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BP279" i="2"/>
  <c r="BO279" i="2"/>
  <c r="BM279" i="2"/>
  <c r="Z279" i="2"/>
  <c r="Y279" i="2"/>
  <c r="BN279" i="2" s="1"/>
  <c r="P279" i="2"/>
  <c r="BP278" i="2"/>
  <c r="BO278" i="2"/>
  <c r="BN278" i="2"/>
  <c r="BM278" i="2"/>
  <c r="Z278" i="2"/>
  <c r="Y278" i="2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M271" i="2"/>
  <c r="Y271" i="2"/>
  <c r="Z271" i="2" s="1"/>
  <c r="P271" i="2"/>
  <c r="BP270" i="2"/>
  <c r="BO270" i="2"/>
  <c r="BM270" i="2"/>
  <c r="Y270" i="2"/>
  <c r="BN270" i="2" s="1"/>
  <c r="P270" i="2"/>
  <c r="BP269" i="2"/>
  <c r="BO269" i="2"/>
  <c r="BM269" i="2"/>
  <c r="Z269" i="2"/>
  <c r="Y269" i="2"/>
  <c r="BN269" i="2" s="1"/>
  <c r="P269" i="2"/>
  <c r="BP268" i="2"/>
  <c r="BO268" i="2"/>
  <c r="BN268" i="2"/>
  <c r="BM268" i="2"/>
  <c r="Z268" i="2"/>
  <c r="Y268" i="2"/>
  <c r="P268" i="2"/>
  <c r="BO267" i="2"/>
  <c r="BM267" i="2"/>
  <c r="Y267" i="2"/>
  <c r="BP267" i="2" s="1"/>
  <c r="P267" i="2"/>
  <c r="BO266" i="2"/>
  <c r="BM266" i="2"/>
  <c r="Y266" i="2"/>
  <c r="Z266" i="2" s="1"/>
  <c r="P266" i="2"/>
  <c r="BP265" i="2"/>
  <c r="BO265" i="2"/>
  <c r="BN265" i="2"/>
  <c r="BM265" i="2"/>
  <c r="Z265" i="2"/>
  <c r="Y265" i="2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Y257" i="2" s="1"/>
  <c r="P256" i="2"/>
  <c r="BP255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O246" i="2"/>
  <c r="BN246" i="2"/>
  <c r="BM246" i="2"/>
  <c r="Y246" i="2"/>
  <c r="BP246" i="2" s="1"/>
  <c r="P246" i="2"/>
  <c r="BP245" i="2"/>
  <c r="BO245" i="2"/>
  <c r="BM245" i="2"/>
  <c r="Z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Z239" i="2"/>
  <c r="Y239" i="2"/>
  <c r="P239" i="2"/>
  <c r="BO238" i="2"/>
  <c r="BN238" i="2"/>
  <c r="BM238" i="2"/>
  <c r="Z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X234" i="2"/>
  <c r="X233" i="2"/>
  <c r="BP232" i="2"/>
  <c r="BO232" i="2"/>
  <c r="BN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Z229" i="2"/>
  <c r="Y229" i="2"/>
  <c r="P229" i="2"/>
  <c r="BO228" i="2"/>
  <c r="BM228" i="2"/>
  <c r="Y228" i="2"/>
  <c r="BN228" i="2" s="1"/>
  <c r="P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N223" i="2" s="1"/>
  <c r="P223" i="2"/>
  <c r="BP222" i="2"/>
  <c r="BO222" i="2"/>
  <c r="BN222" i="2"/>
  <c r="BM222" i="2"/>
  <c r="Z222" i="2"/>
  <c r="Y222" i="2"/>
  <c r="P222" i="2"/>
  <c r="BO221" i="2"/>
  <c r="BM221" i="2"/>
  <c r="Y221" i="2"/>
  <c r="BP221" i="2" s="1"/>
  <c r="P221" i="2"/>
  <c r="BO220" i="2"/>
  <c r="BM220" i="2"/>
  <c r="Z220" i="2"/>
  <c r="Y220" i="2"/>
  <c r="BP220" i="2" s="1"/>
  <c r="P220" i="2"/>
  <c r="BO219" i="2"/>
  <c r="BM219" i="2"/>
  <c r="Y219" i="2"/>
  <c r="BP219" i="2" s="1"/>
  <c r="P219" i="2"/>
  <c r="Y217" i="2"/>
  <c r="X217" i="2"/>
  <c r="X216" i="2"/>
  <c r="BO215" i="2"/>
  <c r="BM215" i="2"/>
  <c r="Y215" i="2"/>
  <c r="P215" i="2"/>
  <c r="X212" i="2"/>
  <c r="X211" i="2"/>
  <c r="BO210" i="2"/>
  <c r="BM210" i="2"/>
  <c r="Y210" i="2"/>
  <c r="Z210" i="2" s="1"/>
  <c r="P210" i="2"/>
  <c r="BP209" i="2"/>
  <c r="BO209" i="2"/>
  <c r="BM209" i="2"/>
  <c r="Z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P206" i="2"/>
  <c r="BO206" i="2"/>
  <c r="BN206" i="2"/>
  <c r="BM206" i="2"/>
  <c r="Y206" i="2"/>
  <c r="Z206" i="2" s="1"/>
  <c r="P206" i="2"/>
  <c r="BO205" i="2"/>
  <c r="BN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N198" i="2"/>
  <c r="BM198" i="2"/>
  <c r="Y198" i="2"/>
  <c r="P198" i="2"/>
  <c r="Y196" i="2"/>
  <c r="X196" i="2"/>
  <c r="X195" i="2"/>
  <c r="BO194" i="2"/>
  <c r="BM194" i="2"/>
  <c r="Y194" i="2"/>
  <c r="BP194" i="2" s="1"/>
  <c r="P194" i="2"/>
  <c r="X192" i="2"/>
  <c r="X191" i="2"/>
  <c r="BP190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Z184" i="2"/>
  <c r="Y184" i="2"/>
  <c r="P184" i="2"/>
  <c r="BP183" i="2"/>
  <c r="BO183" i="2"/>
  <c r="BN183" i="2"/>
  <c r="BM183" i="2"/>
  <c r="Y183" i="2"/>
  <c r="Z183" i="2" s="1"/>
  <c r="P183" i="2"/>
  <c r="BP182" i="2"/>
  <c r="BO182" i="2"/>
  <c r="BN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P177" i="2"/>
  <c r="BO177" i="2"/>
  <c r="BM177" i="2"/>
  <c r="Z177" i="2"/>
  <c r="Y177" i="2"/>
  <c r="BN177" i="2" s="1"/>
  <c r="P177" i="2"/>
  <c r="BO176" i="2"/>
  <c r="BM176" i="2"/>
  <c r="Y176" i="2"/>
  <c r="BP176" i="2" s="1"/>
  <c r="P176" i="2"/>
  <c r="BP175" i="2"/>
  <c r="BO175" i="2"/>
  <c r="BN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N170" i="2"/>
  <c r="BM170" i="2"/>
  <c r="Y170" i="2"/>
  <c r="BP170" i="2" s="1"/>
  <c r="P170" i="2"/>
  <c r="BP169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P154" i="2"/>
  <c r="BO154" i="2"/>
  <c r="BN154" i="2"/>
  <c r="BM154" i="2"/>
  <c r="Z154" i="2"/>
  <c r="Y154" i="2"/>
  <c r="P154" i="2"/>
  <c r="BO153" i="2"/>
  <c r="BN153" i="2"/>
  <c r="BM153" i="2"/>
  <c r="Y153" i="2"/>
  <c r="BP153" i="2" s="1"/>
  <c r="P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N142" i="2"/>
  <c r="BM142" i="2"/>
  <c r="Z142" i="2"/>
  <c r="Y142" i="2"/>
  <c r="BP142" i="2" s="1"/>
  <c r="P142" i="2"/>
  <c r="BO141" i="2"/>
  <c r="BN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P135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P128" i="2"/>
  <c r="BO128" i="2"/>
  <c r="BN128" i="2"/>
  <c r="BM128" i="2"/>
  <c r="Y128" i="2"/>
  <c r="P128" i="2"/>
  <c r="X125" i="2"/>
  <c r="Y124" i="2"/>
  <c r="X124" i="2"/>
  <c r="BO123" i="2"/>
  <c r="BN123" i="2"/>
  <c r="BM123" i="2"/>
  <c r="Y123" i="2"/>
  <c r="P123" i="2"/>
  <c r="X121" i="2"/>
  <c r="X120" i="2"/>
  <c r="BO119" i="2"/>
  <c r="BM119" i="2"/>
  <c r="Z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P116" i="2"/>
  <c r="BO116" i="2"/>
  <c r="BN116" i="2"/>
  <c r="BM116" i="2"/>
  <c r="Z116" i="2"/>
  <c r="Y116" i="2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P110" i="2"/>
  <c r="BO110" i="2"/>
  <c r="BN110" i="2"/>
  <c r="BM110" i="2"/>
  <c r="Z110" i="2"/>
  <c r="Y110" i="2"/>
  <c r="P110" i="2"/>
  <c r="BO109" i="2"/>
  <c r="BM109" i="2"/>
  <c r="Y109" i="2"/>
  <c r="BP109" i="2" s="1"/>
  <c r="P109" i="2"/>
  <c r="BO108" i="2"/>
  <c r="BN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Z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P100" i="2"/>
  <c r="BO100" i="2"/>
  <c r="BN100" i="2"/>
  <c r="BM100" i="2"/>
  <c r="Z100" i="2"/>
  <c r="Y100" i="2"/>
  <c r="P100" i="2"/>
  <c r="BO99" i="2"/>
  <c r="BN99" i="2"/>
  <c r="BM99" i="2"/>
  <c r="Y99" i="2"/>
  <c r="BP99" i="2" s="1"/>
  <c r="P99" i="2"/>
  <c r="BO98" i="2"/>
  <c r="BN98" i="2"/>
  <c r="BM98" i="2"/>
  <c r="Y98" i="2"/>
  <c r="P98" i="2"/>
  <c r="X95" i="2"/>
  <c r="X94" i="2"/>
  <c r="BP93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Z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O85" i="2"/>
  <c r="BM85" i="2"/>
  <c r="Y85" i="2"/>
  <c r="BP85" i="2" s="1"/>
  <c r="P85" i="2"/>
  <c r="BP84" i="2"/>
  <c r="BO84" i="2"/>
  <c r="BN84" i="2"/>
  <c r="BM84" i="2"/>
  <c r="Y84" i="2"/>
  <c r="Z84" i="2" s="1"/>
  <c r="P84" i="2"/>
  <c r="BP83" i="2"/>
  <c r="BO83" i="2"/>
  <c r="BN83" i="2"/>
  <c r="BM83" i="2"/>
  <c r="Z83" i="2"/>
  <c r="Y83" i="2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P66" i="2"/>
  <c r="BO66" i="2"/>
  <c r="BM66" i="2"/>
  <c r="Y66" i="2"/>
  <c r="Z66" i="2" s="1"/>
  <c r="P66" i="2"/>
  <c r="BP65" i="2"/>
  <c r="BO65" i="2"/>
  <c r="BN65" i="2"/>
  <c r="BM65" i="2"/>
  <c r="Y65" i="2"/>
  <c r="P65" i="2"/>
  <c r="X63" i="2"/>
  <c r="X62" i="2"/>
  <c r="BO61" i="2"/>
  <c r="BM61" i="2"/>
  <c r="Y61" i="2"/>
  <c r="Z61" i="2" s="1"/>
  <c r="P61" i="2"/>
  <c r="BP60" i="2"/>
  <c r="BO60" i="2"/>
  <c r="BM60" i="2"/>
  <c r="Z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M56" i="2"/>
  <c r="Z56" i="2"/>
  <c r="Y56" i="2"/>
  <c r="P56" i="2"/>
  <c r="X53" i="2"/>
  <c r="X52" i="2"/>
  <c r="BP51" i="2"/>
  <c r="BO51" i="2"/>
  <c r="BN51" i="2"/>
  <c r="BM51" i="2"/>
  <c r="Y51" i="2"/>
  <c r="Z51" i="2" s="1"/>
  <c r="P51" i="2"/>
  <c r="BO50" i="2"/>
  <c r="BM50" i="2"/>
  <c r="Y50" i="2"/>
  <c r="Z50" i="2" s="1"/>
  <c r="P50" i="2"/>
  <c r="BP49" i="2"/>
  <c r="BO49" i="2"/>
  <c r="BN49" i="2"/>
  <c r="BM49" i="2"/>
  <c r="Z49" i="2"/>
  <c r="Y49" i="2"/>
  <c r="P49" i="2"/>
  <c r="BO48" i="2"/>
  <c r="BM48" i="2"/>
  <c r="Y48" i="2"/>
  <c r="P48" i="2"/>
  <c r="X44" i="2"/>
  <c r="X43" i="2"/>
  <c r="BO42" i="2"/>
  <c r="BM42" i="2"/>
  <c r="Y42" i="2"/>
  <c r="Z42" i="2" s="1"/>
  <c r="P42" i="2"/>
  <c r="BP41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P37" i="2"/>
  <c r="BO37" i="2"/>
  <c r="BM37" i="2"/>
  <c r="Z37" i="2"/>
  <c r="Y37" i="2"/>
  <c r="BN37" i="2" s="1"/>
  <c r="P37" i="2"/>
  <c r="X33" i="2"/>
  <c r="X32" i="2"/>
  <c r="BO31" i="2"/>
  <c r="BM31" i="2"/>
  <c r="Y31" i="2"/>
  <c r="Z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23" i="2" l="1"/>
  <c r="BN66" i="2"/>
  <c r="BN93" i="2"/>
  <c r="Z104" i="2"/>
  <c r="BN176" i="2"/>
  <c r="Z180" i="2"/>
  <c r="BP230" i="2"/>
  <c r="BP236" i="2"/>
  <c r="Z240" i="2"/>
  <c r="BP302" i="2"/>
  <c r="Y343" i="2"/>
  <c r="BP352" i="2"/>
  <c r="Z359" i="2"/>
  <c r="Z385" i="2"/>
  <c r="BP471" i="2"/>
  <c r="BN405" i="2"/>
  <c r="BN104" i="2"/>
  <c r="BN240" i="2"/>
  <c r="Z246" i="2"/>
  <c r="Z286" i="2"/>
  <c r="BN359" i="2"/>
  <c r="Z369" i="2"/>
  <c r="Z379" i="2"/>
  <c r="Z517" i="2"/>
  <c r="BN521" i="2"/>
  <c r="BN50" i="2"/>
  <c r="BN38" i="2"/>
  <c r="BP50" i="2"/>
  <c r="BN61" i="2"/>
  <c r="Z90" i="2"/>
  <c r="Z137" i="2"/>
  <c r="Z143" i="2"/>
  <c r="Z165" i="2"/>
  <c r="BN210" i="2"/>
  <c r="BP385" i="2"/>
  <c r="Z392" i="2"/>
  <c r="Z394" i="2" s="1"/>
  <c r="BP405" i="2"/>
  <c r="Z472" i="2"/>
  <c r="Y212" i="2"/>
  <c r="BP359" i="2"/>
  <c r="BN369" i="2"/>
  <c r="Z497" i="2"/>
  <c r="BP521" i="2"/>
  <c r="BP38" i="2"/>
  <c r="Y43" i="2"/>
  <c r="Z79" i="2"/>
  <c r="BN137" i="2"/>
  <c r="BN143" i="2"/>
  <c r="BN165" i="2"/>
  <c r="Z181" i="2"/>
  <c r="Z204" i="2"/>
  <c r="BP231" i="2"/>
  <c r="BP237" i="2"/>
  <c r="Z322" i="2"/>
  <c r="BN535" i="2"/>
  <c r="Z544" i="2"/>
  <c r="Z545" i="2" s="1"/>
  <c r="BP61" i="2"/>
  <c r="BP30" i="2"/>
  <c r="Z117" i="2"/>
  <c r="Z120" i="2" s="1"/>
  <c r="BN207" i="2"/>
  <c r="Y241" i="2"/>
  <c r="BP353" i="2"/>
  <c r="BP373" i="2"/>
  <c r="BN436" i="2"/>
  <c r="BP442" i="2"/>
  <c r="BP489" i="2"/>
  <c r="BN497" i="2"/>
  <c r="BP511" i="2"/>
  <c r="Y62" i="2"/>
  <c r="BN181" i="2"/>
  <c r="BN204" i="2"/>
  <c r="BN221" i="2"/>
  <c r="BN322" i="2"/>
  <c r="BP346" i="2"/>
  <c r="BN426" i="2"/>
  <c r="BP448" i="2"/>
  <c r="BP464" i="2"/>
  <c r="BN501" i="2"/>
  <c r="Y523" i="2"/>
  <c r="BP535" i="2"/>
  <c r="D562" i="2"/>
  <c r="Y113" i="2"/>
  <c r="Z194" i="2"/>
  <c r="Z195" i="2" s="1"/>
  <c r="BP228" i="2"/>
  <c r="Y242" i="2"/>
  <c r="Y305" i="2"/>
  <c r="BP386" i="2"/>
  <c r="BP436" i="2"/>
  <c r="Y166" i="2"/>
  <c r="Y186" i="2"/>
  <c r="BP322" i="2"/>
  <c r="BP426" i="2"/>
  <c r="Y449" i="2"/>
  <c r="BP501" i="2"/>
  <c r="Y536" i="2"/>
  <c r="Y69" i="2"/>
  <c r="Z85" i="2"/>
  <c r="BN354" i="2"/>
  <c r="Y381" i="2"/>
  <c r="BN443" i="2"/>
  <c r="BN59" i="2"/>
  <c r="Z65" i="2"/>
  <c r="Y145" i="2"/>
  <c r="Y477" i="2"/>
  <c r="Y537" i="2"/>
  <c r="Z40" i="2"/>
  <c r="BN85" i="2"/>
  <c r="Z99" i="2"/>
  <c r="BN118" i="2"/>
  <c r="Y195" i="2"/>
  <c r="Z205" i="2"/>
  <c r="BP260" i="2"/>
  <c r="BN284" i="2"/>
  <c r="Z316" i="2"/>
  <c r="Z323" i="2"/>
  <c r="BP354" i="2"/>
  <c r="Z411" i="2"/>
  <c r="BP473" i="2"/>
  <c r="BN427" i="2"/>
  <c r="BN502" i="2"/>
  <c r="Z28" i="2"/>
  <c r="Z32" i="2" s="1"/>
  <c r="E562" i="2"/>
  <c r="Y74" i="2"/>
  <c r="Y80" i="2"/>
  <c r="Z109" i="2"/>
  <c r="BP118" i="2"/>
  <c r="Z226" i="2"/>
  <c r="Y263" i="2"/>
  <c r="Z291" i="2"/>
  <c r="Z293" i="2" s="1"/>
  <c r="BN316" i="2"/>
  <c r="BN323" i="2"/>
  <c r="Y355" i="2"/>
  <c r="BN411" i="2"/>
  <c r="Y529" i="2"/>
  <c r="BN22" i="2"/>
  <c r="BN109" i="2"/>
  <c r="Y114" i="2"/>
  <c r="Z219" i="2"/>
  <c r="BN226" i="2"/>
  <c r="Z230" i="2"/>
  <c r="Z236" i="2"/>
  <c r="BN291" i="2"/>
  <c r="Z302" i="2"/>
  <c r="Z352" i="2"/>
  <c r="Z355" i="2" s="1"/>
  <c r="BP390" i="2"/>
  <c r="BN397" i="2"/>
  <c r="BP431" i="2"/>
  <c r="Z471" i="2"/>
  <c r="BN491" i="2"/>
  <c r="X553" i="2"/>
  <c r="BN56" i="2"/>
  <c r="BN271" i="2"/>
  <c r="BN285" i="2"/>
  <c r="Y356" i="2"/>
  <c r="BP474" i="2"/>
  <c r="X554" i="2"/>
  <c r="Z136" i="2"/>
  <c r="Z176" i="2"/>
  <c r="BN255" i="2"/>
  <c r="BN311" i="2"/>
  <c r="Z339" i="2"/>
  <c r="BP342" i="2"/>
  <c r="BN352" i="2"/>
  <c r="Z428" i="2"/>
  <c r="BN441" i="2"/>
  <c r="Y541" i="2"/>
  <c r="Z257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44" i="2" s="1"/>
  <c r="Z153" i="2"/>
  <c r="Z170" i="2"/>
  <c r="Z178" i="2"/>
  <c r="Z207" i="2"/>
  <c r="Z211" i="2" s="1"/>
  <c r="BN298" i="2"/>
  <c r="Z298" i="2"/>
  <c r="BP410" i="2"/>
  <c r="BN410" i="2"/>
  <c r="Z410" i="2"/>
  <c r="Z412" i="2" s="1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Z69" i="2" s="1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Z43" i="2" s="1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Z304" i="2" s="1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Z233" i="2" s="1"/>
  <c r="BN224" i="2"/>
  <c r="Z224" i="2"/>
  <c r="BP276" i="2"/>
  <c r="Y293" i="2"/>
  <c r="BP326" i="2"/>
  <c r="BN326" i="2"/>
  <c r="Z342" i="2"/>
  <c r="Z343" i="2" s="1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41" i="2" s="1"/>
  <c r="Z260" i="2"/>
  <c r="Z262" i="2" s="1"/>
  <c r="Z270" i="2"/>
  <c r="Z280" i="2"/>
  <c r="Z301" i="2"/>
  <c r="Z324" i="2"/>
  <c r="Z327" i="2" s="1"/>
  <c r="BN338" i="2"/>
  <c r="Y349" i="2"/>
  <c r="Z360" i="2"/>
  <c r="Z364" i="2" s="1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X555" i="2" l="1"/>
  <c r="Y553" i="2"/>
  <c r="Z185" i="2"/>
  <c r="Z506" i="2"/>
  <c r="Z481" i="2"/>
  <c r="Z155" i="2"/>
  <c r="Z247" i="2"/>
  <c r="Z273" i="2"/>
  <c r="Y554" i="2"/>
  <c r="Z334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<sst xmlns="http://schemas.openxmlformats.org/spreadsheetml/2006/main" count="4234" uniqueCount="906">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</sst>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1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67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68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/>
      <c r="I5" s="638"/>
      <c r="J5" s="638"/>
      <c r="K5" s="638"/>
      <c r="L5" s="638"/>
      <c r="M5" s="638"/>
      <c r="N5" s="69"/>
      <c r="P5" s="26" t="s">
        <v>4</v>
      </c>
      <c r="Q5" s="640">
        <v>46258</v>
      </c>
      <c r="R5" s="640"/>
      <c r="T5" s="641" t="s">
        <v>3</v>
      </c>
      <c r="U5" s="642"/>
      <c r="V5" s="643" t="s">
        <v>866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/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58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55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61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59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66</v>
      </c>
      <c r="L17" s="679" t="s">
        <v>64</v>
      </c>
      <c r="M17" s="679" t="s">
        <v>2</v>
      </c>
      <c r="N17" s="679" t="s">
        <v>63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56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60</v>
      </c>
      <c r="AB17" s="693" t="s">
        <v>19</v>
      </c>
      <c r="AC17" s="693" t="s">
        <v>65</v>
      </c>
      <c r="AD17" s="695" t="s">
        <v>57</v>
      </c>
      <c r="AE17" s="696"/>
      <c r="AF17" s="697"/>
      <c r="AG17" s="77"/>
      <c r="BD17" s="76" t="s">
        <v>62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customHeight="1" x14ac:dyDescent="0.25">
      <c r="A35" s="702" t="s">
        <v>103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customHeight="1" x14ac:dyDescent="0.25">
      <c r="A36" s="703" t="s">
        <v>85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customHeight="1" x14ac:dyDescent="0.25">
      <c r="A37" s="60" t="s">
        <v>104</v>
      </c>
      <c r="B37" s="60" t="s">
        <v>105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67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customHeight="1" x14ac:dyDescent="0.25">
      <c r="A38" s="60" t="s">
        <v>107</v>
      </c>
      <c r="B38" s="60" t="s">
        <v>108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67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customHeight="1" x14ac:dyDescent="0.25">
      <c r="A39" s="60" t="s">
        <v>110</v>
      </c>
      <c r="B39" s="60" t="s">
        <v>111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67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customHeight="1" x14ac:dyDescent="0.25">
      <c r="A40" s="60" t="s">
        <v>113</v>
      </c>
      <c r="B40" s="60" t="s">
        <v>114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112</v>
      </c>
      <c r="AG40" s="75"/>
      <c r="AJ40" s="79" t="s">
        <v>46</v>
      </c>
      <c r="AK40" s="79">
        <v>0</v>
      </c>
      <c r="BB40" s="102" t="s">
        <v>67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customHeight="1" x14ac:dyDescent="0.25">
      <c r="A41" s="60" t="s">
        <v>115</v>
      </c>
      <c r="B41" s="60" t="s">
        <v>116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117</v>
      </c>
      <c r="AG41" s="75"/>
      <c r="AJ41" s="79" t="s">
        <v>46</v>
      </c>
      <c r="AK41" s="79">
        <v>0</v>
      </c>
      <c r="BB41" s="104" t="s">
        <v>67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customHeight="1" x14ac:dyDescent="0.25">
      <c r="A42" s="60" t="s">
        <v>118</v>
      </c>
      <c r="B42" s="60" t="s">
        <v>119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120</v>
      </c>
      <c r="AG42" s="75"/>
      <c r="AJ42" s="79" t="s">
        <v>46</v>
      </c>
      <c r="AK42" s="79">
        <v>0</v>
      </c>
      <c r="BB42" s="106" t="s">
        <v>67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customHeight="1" x14ac:dyDescent="0.2">
      <c r="A45" s="701" t="s">
        <v>121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customHeight="1" x14ac:dyDescent="0.25">
      <c r="A46" s="702" t="s">
        <v>122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customHeight="1" x14ac:dyDescent="0.25">
      <c r="A47" s="703" t="s">
        <v>123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customHeight="1" x14ac:dyDescent="0.25">
      <c r="A48" s="60" t="s">
        <v>124</v>
      </c>
      <c r="B48" s="60" t="s">
        <v>125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128</v>
      </c>
      <c r="L48" s="35" t="s">
        <v>46</v>
      </c>
      <c r="M48" s="36" t="s">
        <v>127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126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129</v>
      </c>
      <c r="B49" s="60" t="s">
        <v>130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132</v>
      </c>
      <c r="L49" s="35" t="s">
        <v>46</v>
      </c>
      <c r="M49" s="36" t="s">
        <v>80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131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135</v>
      </c>
      <c r="L50" s="35" t="s">
        <v>46</v>
      </c>
      <c r="M50" s="36" t="s">
        <v>89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126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customHeight="1" x14ac:dyDescent="0.25">
      <c r="A51" s="60" t="s">
        <v>136</v>
      </c>
      <c r="B51" s="60" t="s">
        <v>137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135</v>
      </c>
      <c r="L51" s="35" t="s">
        <v>46</v>
      </c>
      <c r="M51" s="36" t="s">
        <v>89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126</v>
      </c>
      <c r="AG51" s="75"/>
      <c r="AJ51" s="79" t="s">
        <v>46</v>
      </c>
      <c r="AK51" s="79">
        <v>0</v>
      </c>
      <c r="BB51" s="114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customHeight="1" x14ac:dyDescent="0.25">
      <c r="A54" s="702" t="s">
        <v>138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customHeight="1" x14ac:dyDescent="0.25">
      <c r="A55" s="703" t="s">
        <v>123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customHeight="1" x14ac:dyDescent="0.25">
      <c r="A56" s="60" t="s">
        <v>139</v>
      </c>
      <c r="B56" s="60" t="s">
        <v>140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128</v>
      </c>
      <c r="L56" s="35" t="s">
        <v>46</v>
      </c>
      <c r="M56" s="36" t="s">
        <v>127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141</v>
      </c>
      <c r="AG56" s="75"/>
      <c r="AJ56" s="79" t="s">
        <v>46</v>
      </c>
      <c r="AK56" s="79">
        <v>0</v>
      </c>
      <c r="BB56" s="116" t="s">
        <v>67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customHeight="1" x14ac:dyDescent="0.25">
      <c r="A57" s="60" t="s">
        <v>142</v>
      </c>
      <c r="B57" s="60" t="s">
        <v>143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128</v>
      </c>
      <c r="L57" s="35" t="s">
        <v>46</v>
      </c>
      <c r="M57" s="36" t="s">
        <v>127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67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customHeight="1" x14ac:dyDescent="0.25">
      <c r="A58" s="60" t="s">
        <v>145</v>
      </c>
      <c r="B58" s="60" t="s">
        <v>146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135</v>
      </c>
      <c r="L58" s="35" t="s">
        <v>46</v>
      </c>
      <c r="M58" s="36" t="s">
        <v>127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67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customHeight="1" x14ac:dyDescent="0.25">
      <c r="A59" s="60" t="s">
        <v>148</v>
      </c>
      <c r="B59" s="60" t="s">
        <v>149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135</v>
      </c>
      <c r="L59" s="35" t="s">
        <v>46</v>
      </c>
      <c r="M59" s="36" t="s">
        <v>127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67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customHeight="1" x14ac:dyDescent="0.25">
      <c r="A60" s="60" t="s">
        <v>151</v>
      </c>
      <c r="B60" s="60" t="s">
        <v>152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127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141</v>
      </c>
      <c r="AG60" s="75"/>
      <c r="AJ60" s="79" t="s">
        <v>46</v>
      </c>
      <c r="AK60" s="79">
        <v>0</v>
      </c>
      <c r="BB60" s="124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customHeight="1" x14ac:dyDescent="0.25">
      <c r="A61" s="60" t="s">
        <v>153</v>
      </c>
      <c r="B61" s="60" t="s">
        <v>154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135</v>
      </c>
      <c r="L61" s="35" t="s">
        <v>46</v>
      </c>
      <c r="M61" s="36" t="s">
        <v>127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customHeight="1" x14ac:dyDescent="0.25">
      <c r="A64" s="703" t="s">
        <v>156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customHeight="1" x14ac:dyDescent="0.25">
      <c r="A65" s="60" t="s">
        <v>157</v>
      </c>
      <c r="B65" s="60" t="s">
        <v>158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128</v>
      </c>
      <c r="L65" s="35" t="s">
        <v>46</v>
      </c>
      <c r="M65" s="36" t="s">
        <v>127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customHeight="1" x14ac:dyDescent="0.25">
      <c r="A66" s="60" t="s">
        <v>160</v>
      </c>
      <c r="B66" s="60" t="s">
        <v>161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162</v>
      </c>
      <c r="B67" s="60" t="s">
        <v>163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132</v>
      </c>
      <c r="L67" s="35" t="s">
        <v>46</v>
      </c>
      <c r="M67" s="36" t="s">
        <v>80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165</v>
      </c>
      <c r="B68" s="60" t="s">
        <v>166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127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customHeight="1" x14ac:dyDescent="0.25">
      <c r="A71" s="703" t="s">
        <v>85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customHeight="1" x14ac:dyDescent="0.25">
      <c r="A72" s="60" t="s">
        <v>167</v>
      </c>
      <c r="B72" s="60" t="s">
        <v>168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170</v>
      </c>
      <c r="B73" s="60" t="s">
        <v>171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customHeight="1" x14ac:dyDescent="0.25">
      <c r="A76" s="703" t="s">
        <v>173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128</v>
      </c>
      <c r="L77" s="35" t="s">
        <v>46</v>
      </c>
      <c r="M77" s="36" t="s">
        <v>96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177</v>
      </c>
      <c r="B78" s="60" t="s">
        <v>178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135</v>
      </c>
      <c r="L78" s="35" t="s">
        <v>46</v>
      </c>
      <c r="M78" s="36" t="s">
        <v>89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customHeight="1" x14ac:dyDescent="0.25">
      <c r="A81" s="702" t="s">
        <v>180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customHeight="1" x14ac:dyDescent="0.25">
      <c r="A82" s="703" t="s">
        <v>123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customHeight="1" x14ac:dyDescent="0.25">
      <c r="A83" s="60" t="s">
        <v>181</v>
      </c>
      <c r="B83" s="60" t="s">
        <v>182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128</v>
      </c>
      <c r="L83" s="35" t="s">
        <v>46</v>
      </c>
      <c r="M83" s="36" t="s">
        <v>96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183</v>
      </c>
      <c r="AG83" s="75"/>
      <c r="AJ83" s="79" t="s">
        <v>46</v>
      </c>
      <c r="AK83" s="79">
        <v>0</v>
      </c>
      <c r="BB83" s="144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customHeight="1" x14ac:dyDescent="0.25">
      <c r="A84" s="60" t="s">
        <v>184</v>
      </c>
      <c r="B84" s="60" t="s">
        <v>185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132</v>
      </c>
      <c r="L84" s="35" t="s">
        <v>46</v>
      </c>
      <c r="M84" s="36" t="s">
        <v>80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186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187</v>
      </c>
      <c r="B85" s="60" t="s">
        <v>188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135</v>
      </c>
      <c r="L85" s="35" t="s">
        <v>46</v>
      </c>
      <c r="M85" s="36" t="s">
        <v>89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189</v>
      </c>
      <c r="B86" s="60" t="s">
        <v>190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135</v>
      </c>
      <c r="L86" s="35" t="s">
        <v>46</v>
      </c>
      <c r="M86" s="36" t="s">
        <v>96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183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customHeight="1" x14ac:dyDescent="0.25">
      <c r="A89" s="703" t="s">
        <v>85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customHeight="1" x14ac:dyDescent="0.25">
      <c r="A90" s="60" t="s">
        <v>191</v>
      </c>
      <c r="B90" s="60" t="s">
        <v>192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128</v>
      </c>
      <c r="L90" s="35" t="s">
        <v>46</v>
      </c>
      <c r="M90" s="36" t="s">
        <v>96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194</v>
      </c>
      <c r="B91" s="60" t="s">
        <v>195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90</v>
      </c>
      <c r="L91" s="35" t="s">
        <v>46</v>
      </c>
      <c r="M91" s="36" t="s">
        <v>89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196</v>
      </c>
      <c r="B92" s="60" t="s">
        <v>197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90</v>
      </c>
      <c r="L92" s="35" t="s">
        <v>46</v>
      </c>
      <c r="M92" s="36" t="s">
        <v>96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193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customHeight="1" x14ac:dyDescent="0.25">
      <c r="A93" s="60" t="s">
        <v>198</v>
      </c>
      <c r="B93" s="60" t="s">
        <v>199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90</v>
      </c>
      <c r="L93" s="35" t="s">
        <v>46</v>
      </c>
      <c r="M93" s="36" t="s">
        <v>89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200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customHeight="1" x14ac:dyDescent="0.25">
      <c r="A96" s="702" t="s">
        <v>201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customHeight="1" x14ac:dyDescent="0.25">
      <c r="A97" s="703" t="s">
        <v>123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customHeight="1" x14ac:dyDescent="0.25">
      <c r="A98" s="60" t="s">
        <v>202</v>
      </c>
      <c r="B98" s="60" t="s">
        <v>203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128</v>
      </c>
      <c r="L98" s="35" t="s">
        <v>46</v>
      </c>
      <c r="M98" s="36" t="s">
        <v>127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204</v>
      </c>
      <c r="AG98" s="75"/>
      <c r="AJ98" s="79" t="s">
        <v>46</v>
      </c>
      <c r="AK98" s="79">
        <v>0</v>
      </c>
      <c r="BB98" s="160" t="s">
        <v>67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customHeight="1" x14ac:dyDescent="0.25">
      <c r="A99" s="60" t="s">
        <v>205</v>
      </c>
      <c r="B99" s="60" t="s">
        <v>206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132</v>
      </c>
      <c r="L99" s="35" t="s">
        <v>46</v>
      </c>
      <c r="M99" s="36" t="s">
        <v>80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207</v>
      </c>
      <c r="AG99" s="75"/>
      <c r="AJ99" s="79" t="s">
        <v>46</v>
      </c>
      <c r="AK99" s="79">
        <v>0</v>
      </c>
      <c r="BB99" s="162" t="s">
        <v>67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customHeight="1" x14ac:dyDescent="0.25">
      <c r="A100" s="60" t="s">
        <v>205</v>
      </c>
      <c r="B100" s="60" t="s">
        <v>208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132</v>
      </c>
      <c r="L100" s="35" t="s">
        <v>46</v>
      </c>
      <c r="M100" s="36" t="s">
        <v>80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207</v>
      </c>
      <c r="AG100" s="75"/>
      <c r="AJ100" s="79" t="s">
        <v>46</v>
      </c>
      <c r="AK100" s="79">
        <v>0</v>
      </c>
      <c r="BB100" s="164" t="s">
        <v>67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customHeight="1" x14ac:dyDescent="0.25">
      <c r="A101" s="60" t="s">
        <v>205</v>
      </c>
      <c r="B101" s="60" t="s">
        <v>209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132</v>
      </c>
      <c r="L101" s="35" t="s">
        <v>46</v>
      </c>
      <c r="M101" s="36" t="s">
        <v>80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customHeight="1" x14ac:dyDescent="0.25">
      <c r="A102" s="60" t="s">
        <v>210</v>
      </c>
      <c r="B102" s="60" t="s">
        <v>211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135</v>
      </c>
      <c r="L102" s="35" t="s">
        <v>46</v>
      </c>
      <c r="M102" s="36" t="s">
        <v>89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204</v>
      </c>
      <c r="AG102" s="75"/>
      <c r="AJ102" s="79" t="s">
        <v>46</v>
      </c>
      <c r="AK102" s="79">
        <v>0</v>
      </c>
      <c r="BB102" s="168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customHeight="1" x14ac:dyDescent="0.25">
      <c r="A103" s="60" t="s">
        <v>212</v>
      </c>
      <c r="B103" s="60" t="s">
        <v>213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135</v>
      </c>
      <c r="L103" s="35" t="s">
        <v>46</v>
      </c>
      <c r="M103" s="36" t="s">
        <v>89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204</v>
      </c>
      <c r="AG103" s="75"/>
      <c r="AJ103" s="79" t="s">
        <v>46</v>
      </c>
      <c r="AK103" s="79">
        <v>0</v>
      </c>
      <c r="BB103" s="170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135</v>
      </c>
      <c r="L104" s="35" t="s">
        <v>46</v>
      </c>
      <c r="M104" s="36" t="s">
        <v>89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204</v>
      </c>
      <c r="AG104" s="75"/>
      <c r="AJ104" s="79" t="s">
        <v>46</v>
      </c>
      <c r="AK104" s="79">
        <v>0</v>
      </c>
      <c r="BB104" s="172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customHeight="1" x14ac:dyDescent="0.25">
      <c r="A107" s="703" t="s">
        <v>156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customHeight="1" x14ac:dyDescent="0.25">
      <c r="A108" s="60" t="s">
        <v>216</v>
      </c>
      <c r="B108" s="60" t="s">
        <v>217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128</v>
      </c>
      <c r="L108" s="35" t="s">
        <v>46</v>
      </c>
      <c r="M108" s="36" t="s">
        <v>127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218</v>
      </c>
      <c r="AG108" s="75"/>
      <c r="AJ108" s="79" t="s">
        <v>46</v>
      </c>
      <c r="AK108" s="79">
        <v>0</v>
      </c>
      <c r="BB108" s="174" t="s">
        <v>67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customHeight="1" x14ac:dyDescent="0.25">
      <c r="A109" s="60" t="s">
        <v>219</v>
      </c>
      <c r="B109" s="60" t="s">
        <v>220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222</v>
      </c>
      <c r="L109" s="35" t="s">
        <v>46</v>
      </c>
      <c r="M109" s="36" t="s">
        <v>80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221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219</v>
      </c>
      <c r="B110" s="60" t="s">
        <v>223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222</v>
      </c>
      <c r="L110" s="35" t="s">
        <v>46</v>
      </c>
      <c r="M110" s="36" t="s">
        <v>80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221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224</v>
      </c>
      <c r="B111" s="60" t="s">
        <v>225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81</v>
      </c>
      <c r="L111" s="35" t="s">
        <v>46</v>
      </c>
      <c r="M111" s="36" t="s">
        <v>127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218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226</v>
      </c>
      <c r="B112" s="60" t="s">
        <v>227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90</v>
      </c>
      <c r="L112" s="35" t="s">
        <v>46</v>
      </c>
      <c r="M112" s="36" t="s">
        <v>127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customHeight="1" x14ac:dyDescent="0.25">
      <c r="A115" s="703" t="s">
        <v>85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customHeight="1" x14ac:dyDescent="0.25">
      <c r="A116" s="60" t="s">
        <v>228</v>
      </c>
      <c r="B116" s="60" t="s">
        <v>229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128</v>
      </c>
      <c r="L116" s="35" t="s">
        <v>46</v>
      </c>
      <c r="M116" s="36" t="s">
        <v>96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230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231</v>
      </c>
      <c r="B117" s="60" t="s">
        <v>232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90</v>
      </c>
      <c r="L117" s="35" t="s">
        <v>46</v>
      </c>
      <c r="M117" s="36" t="s">
        <v>96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230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233</v>
      </c>
      <c r="B118" s="60" t="s">
        <v>234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90</v>
      </c>
      <c r="L118" s="35" t="s">
        <v>46</v>
      </c>
      <c r="M118" s="36" t="s">
        <v>96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230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235</v>
      </c>
      <c r="B119" s="60" t="s">
        <v>236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90</v>
      </c>
      <c r="L119" s="35" t="s">
        <v>46</v>
      </c>
      <c r="M119" s="36" t="s">
        <v>89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customHeight="1" x14ac:dyDescent="0.25">
      <c r="A122" s="703" t="s">
        <v>173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customHeight="1" x14ac:dyDescent="0.25">
      <c r="A123" s="60" t="s">
        <v>238</v>
      </c>
      <c r="B123" s="60" t="s">
        <v>239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702" t="s">
        <v>241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customHeight="1" x14ac:dyDescent="0.25">
      <c r="A127" s="703" t="s">
        <v>123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customHeight="1" x14ac:dyDescent="0.25">
      <c r="A128" s="60" t="s">
        <v>242</v>
      </c>
      <c r="B128" s="60" t="s">
        <v>243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128</v>
      </c>
      <c r="L128" s="35" t="s">
        <v>46</v>
      </c>
      <c r="M128" s="36" t="s">
        <v>245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244</v>
      </c>
      <c r="AG128" s="75"/>
      <c r="AJ128" s="79" t="s">
        <v>46</v>
      </c>
      <c r="AK128" s="79">
        <v>0</v>
      </c>
      <c r="BB128" s="194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246</v>
      </c>
      <c r="B129" s="60" t="s">
        <v>247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90</v>
      </c>
      <c r="L129" s="35" t="s">
        <v>46</v>
      </c>
      <c r="M129" s="36" t="s">
        <v>249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248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246</v>
      </c>
      <c r="B130" s="60" t="s">
        <v>250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90</v>
      </c>
      <c r="L130" s="35" t="s">
        <v>46</v>
      </c>
      <c r="M130" s="36" t="s">
        <v>249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248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customHeight="1" x14ac:dyDescent="0.25">
      <c r="A133" s="703" t="s">
        <v>76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customHeight="1" x14ac:dyDescent="0.25">
      <c r="A134" s="60" t="s">
        <v>251</v>
      </c>
      <c r="B134" s="60" t="s">
        <v>252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128</v>
      </c>
      <c r="L134" s="35" t="s">
        <v>46</v>
      </c>
      <c r="M134" s="36" t="s">
        <v>245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253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254</v>
      </c>
      <c r="B135" s="60" t="s">
        <v>255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90</v>
      </c>
      <c r="L135" s="35" t="s">
        <v>46</v>
      </c>
      <c r="M135" s="36" t="s">
        <v>249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254</v>
      </c>
      <c r="B136" s="60" t="s">
        <v>257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249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customHeight="1" x14ac:dyDescent="0.25">
      <c r="A137" s="60" t="s">
        <v>258</v>
      </c>
      <c r="B137" s="60" t="s">
        <v>259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81</v>
      </c>
      <c r="L137" s="35" t="s">
        <v>46</v>
      </c>
      <c r="M137" s="36" t="s">
        <v>245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253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customHeight="1" x14ac:dyDescent="0.25">
      <c r="A140" s="703" t="s">
        <v>85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customHeight="1" x14ac:dyDescent="0.25">
      <c r="A141" s="60" t="s">
        <v>260</v>
      </c>
      <c r="B141" s="60" t="s">
        <v>261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90</v>
      </c>
      <c r="L141" s="35" t="s">
        <v>46</v>
      </c>
      <c r="M141" s="36" t="s">
        <v>245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244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customHeight="1" x14ac:dyDescent="0.25">
      <c r="A142" s="60" t="s">
        <v>262</v>
      </c>
      <c r="B142" s="60" t="s">
        <v>263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249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248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262</v>
      </c>
      <c r="B143" s="60" t="s">
        <v>264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249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248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customHeight="1" x14ac:dyDescent="0.25">
      <c r="A146" s="702" t="s">
        <v>265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customHeight="1" x14ac:dyDescent="0.25">
      <c r="A147" s="703" t="s">
        <v>85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customHeight="1" x14ac:dyDescent="0.25">
      <c r="A148" s="60" t="s">
        <v>266</v>
      </c>
      <c r="B148" s="60" t="s">
        <v>267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268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customHeight="1" x14ac:dyDescent="0.25">
      <c r="A149" s="60" t="s">
        <v>269</v>
      </c>
      <c r="B149" s="60" t="s">
        <v>270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271</v>
      </c>
      <c r="AG149" s="75"/>
      <c r="AJ149" s="79" t="s">
        <v>46</v>
      </c>
      <c r="AK149" s="79">
        <v>0</v>
      </c>
      <c r="BB149" s="216" t="s">
        <v>67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customHeight="1" x14ac:dyDescent="0.25">
      <c r="A150" s="60" t="s">
        <v>269</v>
      </c>
      <c r="B150" s="60" t="s">
        <v>272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271</v>
      </c>
      <c r="AG150" s="75"/>
      <c r="AJ150" s="79" t="s">
        <v>46</v>
      </c>
      <c r="AK150" s="79">
        <v>0</v>
      </c>
      <c r="BB150" s="218" t="s">
        <v>67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customHeight="1" x14ac:dyDescent="0.25">
      <c r="A151" s="60" t="s">
        <v>273</v>
      </c>
      <c r="B151" s="60" t="s">
        <v>274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275</v>
      </c>
      <c r="AG151" s="75"/>
      <c r="AJ151" s="79" t="s">
        <v>46</v>
      </c>
      <c r="AK151" s="79">
        <v>0</v>
      </c>
      <c r="BB151" s="220" t="s">
        <v>67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customHeight="1" x14ac:dyDescent="0.25">
      <c r="A152" s="60" t="s">
        <v>273</v>
      </c>
      <c r="B152" s="60" t="s">
        <v>276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275</v>
      </c>
      <c r="AG152" s="75"/>
      <c r="AJ152" s="79" t="s">
        <v>46</v>
      </c>
      <c r="AK152" s="79">
        <v>0</v>
      </c>
      <c r="BB152" s="222" t="s">
        <v>67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customHeight="1" x14ac:dyDescent="0.25">
      <c r="A153" s="60" t="s">
        <v>277</v>
      </c>
      <c r="B153" s="60" t="s">
        <v>278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279</v>
      </c>
      <c r="AG153" s="75"/>
      <c r="AJ153" s="79" t="s">
        <v>46</v>
      </c>
      <c r="AK153" s="79">
        <v>0</v>
      </c>
      <c r="BB153" s="224" t="s">
        <v>67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customHeight="1" x14ac:dyDescent="0.25">
      <c r="A154" s="60" t="s">
        <v>277</v>
      </c>
      <c r="B154" s="60" t="s">
        <v>280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279</v>
      </c>
      <c r="AG154" s="75"/>
      <c r="AJ154" s="79" t="s">
        <v>46</v>
      </c>
      <c r="AK154" s="79">
        <v>0</v>
      </c>
      <c r="BB154" s="226" t="s">
        <v>67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customHeight="1" x14ac:dyDescent="0.25">
      <c r="A157" s="703" t="s">
        <v>281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customHeight="1" x14ac:dyDescent="0.25">
      <c r="A158" s="60" t="s">
        <v>282</v>
      </c>
      <c r="B158" s="60" t="s">
        <v>283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287</v>
      </c>
      <c r="L158" s="35" t="s">
        <v>46</v>
      </c>
      <c r="M158" s="36" t="s">
        <v>286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284</v>
      </c>
      <c r="AG158" s="75"/>
      <c r="AJ158" s="79" t="s">
        <v>46</v>
      </c>
      <c r="AK158" s="79">
        <v>0</v>
      </c>
      <c r="BB158" s="228" t="s">
        <v>285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customHeight="1" x14ac:dyDescent="0.25">
      <c r="A161" s="702" t="s">
        <v>121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customHeight="1" x14ac:dyDescent="0.25">
      <c r="A162" s="703" t="s">
        <v>123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customHeight="1" x14ac:dyDescent="0.25">
      <c r="A163" s="60" t="s">
        <v>288</v>
      </c>
      <c r="B163" s="60" t="s">
        <v>289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128</v>
      </c>
      <c r="L163" s="35" t="s">
        <v>46</v>
      </c>
      <c r="M163" s="36" t="s">
        <v>127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customHeight="1" x14ac:dyDescent="0.25">
      <c r="A164" s="60" t="s">
        <v>291</v>
      </c>
      <c r="B164" s="60" t="s">
        <v>292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135</v>
      </c>
      <c r="L164" s="35" t="s">
        <v>46</v>
      </c>
      <c r="M164" s="36" t="s">
        <v>127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customHeight="1" x14ac:dyDescent="0.25">
      <c r="A165" s="60" t="s">
        <v>294</v>
      </c>
      <c r="B165" s="60" t="s">
        <v>295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90</v>
      </c>
      <c r="L165" s="35" t="s">
        <v>46</v>
      </c>
      <c r="M165" s="36" t="s">
        <v>89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296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customHeight="1" x14ac:dyDescent="0.25">
      <c r="A168" s="703" t="s">
        <v>156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customHeight="1" x14ac:dyDescent="0.25">
      <c r="A169" s="60" t="s">
        <v>297</v>
      </c>
      <c r="B169" s="60" t="s">
        <v>298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81</v>
      </c>
      <c r="L169" s="35" t="s">
        <v>46</v>
      </c>
      <c r="M169" s="36" t="s">
        <v>80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customHeight="1" x14ac:dyDescent="0.25">
      <c r="A170" s="60" t="s">
        <v>300</v>
      </c>
      <c r="B170" s="60" t="s">
        <v>301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81</v>
      </c>
      <c r="L170" s="35" t="s">
        <v>46</v>
      </c>
      <c r="M170" s="36" t="s">
        <v>127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302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customHeight="1" x14ac:dyDescent="0.25">
      <c r="A173" s="703" t="s">
        <v>76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customHeight="1" x14ac:dyDescent="0.25">
      <c r="A174" s="60" t="s">
        <v>303</v>
      </c>
      <c r="B174" s="60" t="s">
        <v>304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135</v>
      </c>
      <c r="L174" s="35" t="s">
        <v>46</v>
      </c>
      <c r="M174" s="36" t="s">
        <v>80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customHeight="1" x14ac:dyDescent="0.25">
      <c r="A175" s="60" t="s">
        <v>306</v>
      </c>
      <c r="B175" s="60" t="s">
        <v>307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135</v>
      </c>
      <c r="L175" s="35" t="s">
        <v>46</v>
      </c>
      <c r="M175" s="36" t="s">
        <v>80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customHeight="1" x14ac:dyDescent="0.25">
      <c r="A176" s="60" t="s">
        <v>309</v>
      </c>
      <c r="B176" s="60" t="s">
        <v>310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135</v>
      </c>
      <c r="L176" s="35" t="s">
        <v>46</v>
      </c>
      <c r="M176" s="36" t="s">
        <v>80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311</v>
      </c>
      <c r="AG176" s="75"/>
      <c r="AJ176" s="79" t="s">
        <v>46</v>
      </c>
      <c r="AK176" s="79">
        <v>0</v>
      </c>
      <c r="BB176" s="244" t="s">
        <v>67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customHeight="1" x14ac:dyDescent="0.25">
      <c r="A177" s="60" t="s">
        <v>312</v>
      </c>
      <c r="B177" s="60" t="s">
        <v>313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135</v>
      </c>
      <c r="L177" s="35" t="s">
        <v>46</v>
      </c>
      <c r="M177" s="36" t="s">
        <v>80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314</v>
      </c>
      <c r="AG177" s="75"/>
      <c r="AJ177" s="79" t="s">
        <v>46</v>
      </c>
      <c r="AK177" s="79">
        <v>0</v>
      </c>
      <c r="BB177" s="246" t="s">
        <v>67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customHeight="1" x14ac:dyDescent="0.25">
      <c r="A178" s="60" t="s">
        <v>315</v>
      </c>
      <c r="B178" s="60" t="s">
        <v>316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132</v>
      </c>
      <c r="L178" s="35" t="s">
        <v>46</v>
      </c>
      <c r="M178" s="36" t="s">
        <v>80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317</v>
      </c>
      <c r="AG178" s="75"/>
      <c r="AJ178" s="79" t="s">
        <v>46</v>
      </c>
      <c r="AK178" s="79">
        <v>0</v>
      </c>
      <c r="BB178" s="248" t="s">
        <v>67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customHeight="1" x14ac:dyDescent="0.25">
      <c r="A179" s="60" t="s">
        <v>318</v>
      </c>
      <c r="B179" s="60" t="s">
        <v>319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305</v>
      </c>
      <c r="AG179" s="75"/>
      <c r="AJ179" s="79" t="s">
        <v>46</v>
      </c>
      <c r="AK179" s="79">
        <v>0</v>
      </c>
      <c r="BB179" s="250" t="s">
        <v>67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customHeight="1" x14ac:dyDescent="0.25">
      <c r="A180" s="60" t="s">
        <v>320</v>
      </c>
      <c r="B180" s="60" t="s">
        <v>321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132</v>
      </c>
      <c r="L180" s="35" t="s">
        <v>46</v>
      </c>
      <c r="M180" s="36" t="s">
        <v>80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322</v>
      </c>
      <c r="AG180" s="75"/>
      <c r="AJ180" s="79" t="s">
        <v>46</v>
      </c>
      <c r="AK180" s="79">
        <v>0</v>
      </c>
      <c r="BB180" s="252" t="s">
        <v>67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customHeight="1" x14ac:dyDescent="0.25">
      <c r="A181" s="60" t="s">
        <v>320</v>
      </c>
      <c r="B181" s="60" t="s">
        <v>323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132</v>
      </c>
      <c r="L181" s="35" t="s">
        <v>46</v>
      </c>
      <c r="M181" s="36" t="s">
        <v>80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customHeight="1" x14ac:dyDescent="0.25">
      <c r="A182" s="60" t="s">
        <v>324</v>
      </c>
      <c r="B182" s="60" t="s">
        <v>325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311</v>
      </c>
      <c r="AG182" s="75"/>
      <c r="AJ182" s="79" t="s">
        <v>46</v>
      </c>
      <c r="AK182" s="79">
        <v>0</v>
      </c>
      <c r="BB182" s="256" t="s">
        <v>67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132</v>
      </c>
      <c r="L183" s="35" t="s">
        <v>46</v>
      </c>
      <c r="M183" s="36" t="s">
        <v>80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328</v>
      </c>
      <c r="AG183" s="75"/>
      <c r="AJ183" s="79" t="s">
        <v>46</v>
      </c>
      <c r="AK183" s="79">
        <v>0</v>
      </c>
      <c r="BB183" s="258" t="s">
        <v>67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customHeight="1" x14ac:dyDescent="0.25">
      <c r="A184" s="60" t="s">
        <v>329</v>
      </c>
      <c r="B184" s="60" t="s">
        <v>330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81</v>
      </c>
      <c r="L184" s="35" t="s">
        <v>46</v>
      </c>
      <c r="M184" s="36" t="s">
        <v>80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331</v>
      </c>
      <c r="AG184" s="75"/>
      <c r="AJ184" s="79" t="s">
        <v>46</v>
      </c>
      <c r="AK184" s="79">
        <v>0</v>
      </c>
      <c r="BB184" s="260" t="s">
        <v>67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customHeight="1" x14ac:dyDescent="0.25">
      <c r="A187" s="703" t="s">
        <v>85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customHeight="1" x14ac:dyDescent="0.25">
      <c r="A188" s="60" t="s">
        <v>332</v>
      </c>
      <c r="B188" s="60" t="s">
        <v>333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334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customHeight="1" x14ac:dyDescent="0.25">
      <c r="A189" s="60" t="s">
        <v>335</v>
      </c>
      <c r="B189" s="60" t="s">
        <v>336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337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customHeight="1" x14ac:dyDescent="0.25">
      <c r="A190" s="60" t="s">
        <v>338</v>
      </c>
      <c r="B190" s="60" t="s">
        <v>339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90</v>
      </c>
      <c r="L190" s="35" t="s">
        <v>46</v>
      </c>
      <c r="M190" s="36" t="s">
        <v>89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340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customHeight="1" x14ac:dyDescent="0.25">
      <c r="A193" s="703" t="s">
        <v>281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customHeight="1" x14ac:dyDescent="0.25">
      <c r="A194" s="60" t="s">
        <v>341</v>
      </c>
      <c r="B194" s="60" t="s">
        <v>342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344</v>
      </c>
      <c r="L194" s="35" t="s">
        <v>46</v>
      </c>
      <c r="M194" s="36" t="s">
        <v>286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343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customHeight="1" x14ac:dyDescent="0.25">
      <c r="A197" s="703" t="s">
        <v>345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customHeight="1" x14ac:dyDescent="0.25">
      <c r="A198" s="60" t="s">
        <v>346</v>
      </c>
      <c r="B198" s="60" t="s">
        <v>347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344</v>
      </c>
      <c r="L198" s="35" t="s">
        <v>46</v>
      </c>
      <c r="M198" s="36" t="s">
        <v>286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348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customHeight="1" x14ac:dyDescent="0.2">
      <c r="A201" s="701" t="s">
        <v>349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customHeight="1" x14ac:dyDescent="0.25">
      <c r="A202" s="702" t="s">
        <v>350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customHeight="1" x14ac:dyDescent="0.25">
      <c r="A203" s="703" t="s">
        <v>123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customHeight="1" x14ac:dyDescent="0.25">
      <c r="A204" s="60" t="s">
        <v>351</v>
      </c>
      <c r="B204" s="60" t="s">
        <v>352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128</v>
      </c>
      <c r="L204" s="35" t="s">
        <v>46</v>
      </c>
      <c r="M204" s="36" t="s">
        <v>89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126</v>
      </c>
      <c r="AG204" s="75"/>
      <c r="AJ204" s="79" t="s">
        <v>46</v>
      </c>
      <c r="AK204" s="79">
        <v>0</v>
      </c>
      <c r="BB204" s="272" t="s">
        <v>67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customHeight="1" x14ac:dyDescent="0.25">
      <c r="A205" s="60" t="s">
        <v>353</v>
      </c>
      <c r="B205" s="60" t="s">
        <v>354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128</v>
      </c>
      <c r="L205" s="35" t="s">
        <v>46</v>
      </c>
      <c r="M205" s="36" t="s">
        <v>89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355</v>
      </c>
      <c r="AG205" s="75"/>
      <c r="AJ205" s="79" t="s">
        <v>46</v>
      </c>
      <c r="AK205" s="79">
        <v>0</v>
      </c>
      <c r="BB205" s="274" t="s">
        <v>67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customHeight="1" x14ac:dyDescent="0.25">
      <c r="A206" s="60" t="s">
        <v>356</v>
      </c>
      <c r="B206" s="60" t="s">
        <v>357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128</v>
      </c>
      <c r="L206" s="35" t="s">
        <v>46</v>
      </c>
      <c r="M206" s="36" t="s">
        <v>89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358</v>
      </c>
      <c r="AG206" s="75"/>
      <c r="AJ206" s="79" t="s">
        <v>46</v>
      </c>
      <c r="AK206" s="79">
        <v>0</v>
      </c>
      <c r="BB206" s="276" t="s">
        <v>67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customHeight="1" x14ac:dyDescent="0.25">
      <c r="A207" s="60" t="s">
        <v>359</v>
      </c>
      <c r="B207" s="60" t="s">
        <v>360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128</v>
      </c>
      <c r="L207" s="35" t="s">
        <v>46</v>
      </c>
      <c r="M207" s="36" t="s">
        <v>89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361</v>
      </c>
      <c r="AG207" s="75"/>
      <c r="AJ207" s="79" t="s">
        <v>46</v>
      </c>
      <c r="AK207" s="79">
        <v>0</v>
      </c>
      <c r="BB207" s="278" t="s">
        <v>67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customHeight="1" x14ac:dyDescent="0.25">
      <c r="A208" s="60" t="s">
        <v>362</v>
      </c>
      <c r="B208" s="60" t="s">
        <v>363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128</v>
      </c>
      <c r="L208" s="35" t="s">
        <v>46</v>
      </c>
      <c r="M208" s="36" t="s">
        <v>89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364</v>
      </c>
      <c r="AG208" s="75"/>
      <c r="AJ208" s="79" t="s">
        <v>46</v>
      </c>
      <c r="AK208" s="79">
        <v>0</v>
      </c>
      <c r="BB208" s="280" t="s">
        <v>67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customHeight="1" x14ac:dyDescent="0.25">
      <c r="A209" s="60" t="s">
        <v>365</v>
      </c>
      <c r="B209" s="60" t="s">
        <v>366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128</v>
      </c>
      <c r="L209" s="35" t="s">
        <v>46</v>
      </c>
      <c r="M209" s="36" t="s">
        <v>89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367</v>
      </c>
      <c r="AG209" s="75"/>
      <c r="AJ209" s="79" t="s">
        <v>46</v>
      </c>
      <c r="AK209" s="79">
        <v>0</v>
      </c>
      <c r="BB209" s="282" t="s">
        <v>67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customHeight="1" x14ac:dyDescent="0.25">
      <c r="A210" s="60" t="s">
        <v>368</v>
      </c>
      <c r="B210" s="60" t="s">
        <v>369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128</v>
      </c>
      <c r="L210" s="35" t="s">
        <v>46</v>
      </c>
      <c r="M210" s="36" t="s">
        <v>89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370</v>
      </c>
      <c r="AG210" s="75"/>
      <c r="AJ210" s="79" t="s">
        <v>46</v>
      </c>
      <c r="AK210" s="79">
        <v>0</v>
      </c>
      <c r="BB210" s="284" t="s">
        <v>67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customHeight="1" x14ac:dyDescent="0.25">
      <c r="A213" s="702" t="s">
        <v>371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customHeight="1" x14ac:dyDescent="0.25">
      <c r="A214" s="703" t="s">
        <v>156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customHeight="1" x14ac:dyDescent="0.25">
      <c r="A215" s="60" t="s">
        <v>372</v>
      </c>
      <c r="B215" s="60" t="s">
        <v>373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81</v>
      </c>
      <c r="L215" s="35" t="s">
        <v>46</v>
      </c>
      <c r="M215" s="36" t="s">
        <v>80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374</v>
      </c>
      <c r="AG215" s="75"/>
      <c r="AJ215" s="79" t="s">
        <v>46</v>
      </c>
      <c r="AK215" s="79">
        <v>0</v>
      </c>
      <c r="BB215" s="286" t="s">
        <v>67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customHeight="1" x14ac:dyDescent="0.25">
      <c r="A218" s="703" t="s">
        <v>76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customHeight="1" x14ac:dyDescent="0.25">
      <c r="A219" s="60" t="s">
        <v>375</v>
      </c>
      <c r="B219" s="60" t="s">
        <v>376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135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377</v>
      </c>
      <c r="AG219" s="75"/>
      <c r="AJ219" s="79" t="s">
        <v>46</v>
      </c>
      <c r="AK219" s="79">
        <v>0</v>
      </c>
      <c r="BB219" s="288" t="s">
        <v>67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customHeight="1" x14ac:dyDescent="0.25">
      <c r="A220" s="60" t="s">
        <v>378</v>
      </c>
      <c r="B220" s="60" t="s">
        <v>379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135</v>
      </c>
      <c r="L220" s="35" t="s">
        <v>46</v>
      </c>
      <c r="M220" s="36" t="s">
        <v>80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380</v>
      </c>
      <c r="AG220" s="75"/>
      <c r="AJ220" s="79" t="s">
        <v>46</v>
      </c>
      <c r="AK220" s="79">
        <v>0</v>
      </c>
      <c r="BB220" s="290" t="s">
        <v>67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customHeight="1" x14ac:dyDescent="0.25">
      <c r="A221" s="60" t="s">
        <v>381</v>
      </c>
      <c r="B221" s="60" t="s">
        <v>382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135</v>
      </c>
      <c r="L221" s="35" t="s">
        <v>46</v>
      </c>
      <c r="M221" s="36" t="s">
        <v>80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383</v>
      </c>
      <c r="AG221" s="75"/>
      <c r="AJ221" s="79" t="s">
        <v>46</v>
      </c>
      <c r="AK221" s="79">
        <v>0</v>
      </c>
      <c r="BB221" s="292" t="s">
        <v>67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customHeight="1" x14ac:dyDescent="0.25">
      <c r="A222" s="60" t="s">
        <v>384</v>
      </c>
      <c r="B222" s="60" t="s">
        <v>385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81</v>
      </c>
      <c r="L222" s="35" t="s">
        <v>46</v>
      </c>
      <c r="M222" s="36" t="s">
        <v>80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386</v>
      </c>
      <c r="AG222" s="75"/>
      <c r="AJ222" s="79" t="s">
        <v>46</v>
      </c>
      <c r="AK222" s="79">
        <v>0</v>
      </c>
      <c r="BB222" s="294" t="s">
        <v>67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customHeight="1" x14ac:dyDescent="0.25">
      <c r="A223" s="60" t="s">
        <v>387</v>
      </c>
      <c r="B223" s="60" t="s">
        <v>388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377</v>
      </c>
      <c r="AG223" s="75"/>
      <c r="AJ223" s="79" t="s">
        <v>46</v>
      </c>
      <c r="AK223" s="79">
        <v>0</v>
      </c>
      <c r="BB223" s="296" t="s">
        <v>67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customHeight="1" x14ac:dyDescent="0.25">
      <c r="A224" s="60" t="s">
        <v>389</v>
      </c>
      <c r="B224" s="60" t="s">
        <v>390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391</v>
      </c>
      <c r="AG224" s="75"/>
      <c r="AJ224" s="79" t="s">
        <v>46</v>
      </c>
      <c r="AK224" s="79">
        <v>0</v>
      </c>
      <c r="BB224" s="298" t="s">
        <v>67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customHeight="1" x14ac:dyDescent="0.25">
      <c r="A225" s="60" t="s">
        <v>392</v>
      </c>
      <c r="B225" s="60" t="s">
        <v>393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380</v>
      </c>
      <c r="AG225" s="75"/>
      <c r="AJ225" s="79" t="s">
        <v>46</v>
      </c>
      <c r="AK225" s="79">
        <v>0</v>
      </c>
      <c r="BB225" s="300" t="s">
        <v>67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customHeight="1" x14ac:dyDescent="0.25">
      <c r="A226" s="60" t="s">
        <v>394</v>
      </c>
      <c r="B226" s="60" t="s">
        <v>395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396</v>
      </c>
      <c r="AG226" s="75"/>
      <c r="AJ226" s="79" t="s">
        <v>46</v>
      </c>
      <c r="AK226" s="79">
        <v>0</v>
      </c>
      <c r="BB226" s="302" t="s">
        <v>67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customHeight="1" x14ac:dyDescent="0.25">
      <c r="A227" s="60" t="s">
        <v>397</v>
      </c>
      <c r="B227" s="60" t="s">
        <v>398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399</v>
      </c>
      <c r="AG227" s="75"/>
      <c r="AJ227" s="79" t="s">
        <v>46</v>
      </c>
      <c r="AK227" s="79">
        <v>0</v>
      </c>
      <c r="BB227" s="304" t="s">
        <v>67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customHeight="1" x14ac:dyDescent="0.25">
      <c r="A228" s="60" t="s">
        <v>400</v>
      </c>
      <c r="B228" s="60" t="s">
        <v>401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402</v>
      </c>
      <c r="AG228" s="75"/>
      <c r="AJ228" s="79" t="s">
        <v>46</v>
      </c>
      <c r="AK228" s="79">
        <v>0</v>
      </c>
      <c r="BB228" s="306" t="s">
        <v>67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customHeight="1" x14ac:dyDescent="0.25">
      <c r="A229" s="60" t="s">
        <v>403</v>
      </c>
      <c r="B229" s="60" t="s">
        <v>404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132</v>
      </c>
      <c r="L229" s="35" t="s">
        <v>46</v>
      </c>
      <c r="M229" s="36" t="s">
        <v>80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405</v>
      </c>
      <c r="AG229" s="75"/>
      <c r="AJ229" s="79" t="s">
        <v>46</v>
      </c>
      <c r="AK229" s="79">
        <v>0</v>
      </c>
      <c r="BB229" s="308" t="s">
        <v>67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customHeight="1" x14ac:dyDescent="0.25">
      <c r="A230" s="60" t="s">
        <v>406</v>
      </c>
      <c r="B230" s="60" t="s">
        <v>407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383</v>
      </c>
      <c r="AG230" s="75"/>
      <c r="AJ230" s="79" t="s">
        <v>46</v>
      </c>
      <c r="AK230" s="79">
        <v>0</v>
      </c>
      <c r="BB230" s="310" t="s">
        <v>67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customHeight="1" x14ac:dyDescent="0.25">
      <c r="A231" s="60" t="s">
        <v>408</v>
      </c>
      <c r="B231" s="60" t="s">
        <v>409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383</v>
      </c>
      <c r="AG231" s="75"/>
      <c r="AJ231" s="79" t="s">
        <v>46</v>
      </c>
      <c r="AK231" s="79">
        <v>0</v>
      </c>
      <c r="BB231" s="312" t="s">
        <v>67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customHeight="1" x14ac:dyDescent="0.25">
      <c r="A232" s="60" t="s">
        <v>410</v>
      </c>
      <c r="B232" s="60" t="s">
        <v>411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412</v>
      </c>
      <c r="AG232" s="75"/>
      <c r="AJ232" s="79" t="s">
        <v>46</v>
      </c>
      <c r="AK232" s="79">
        <v>0</v>
      </c>
      <c r="BB232" s="314" t="s">
        <v>67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customHeight="1" x14ac:dyDescent="0.25">
      <c r="A235" s="703" t="s">
        <v>85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customHeight="1" x14ac:dyDescent="0.25">
      <c r="A236" s="60" t="s">
        <v>413</v>
      </c>
      <c r="B236" s="60" t="s">
        <v>414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128</v>
      </c>
      <c r="L236" s="35" t="s">
        <v>46</v>
      </c>
      <c r="M236" s="36" t="s">
        <v>96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415</v>
      </c>
      <c r="AG236" s="75"/>
      <c r="AJ236" s="79" t="s">
        <v>46</v>
      </c>
      <c r="AK236" s="79">
        <v>0</v>
      </c>
      <c r="BB236" s="316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customHeight="1" x14ac:dyDescent="0.25">
      <c r="A237" s="60" t="s">
        <v>416</v>
      </c>
      <c r="B237" s="60" t="s">
        <v>417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128</v>
      </c>
      <c r="L237" s="35" t="s">
        <v>46</v>
      </c>
      <c r="M237" s="36" t="s">
        <v>96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418</v>
      </c>
      <c r="AG237" s="75"/>
      <c r="AJ237" s="79" t="s">
        <v>46</v>
      </c>
      <c r="AK237" s="79">
        <v>0</v>
      </c>
      <c r="BB237" s="318" t="s">
        <v>67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customHeight="1" x14ac:dyDescent="0.25">
      <c r="A238" s="60" t="s">
        <v>419</v>
      </c>
      <c r="B238" s="60" t="s">
        <v>420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135</v>
      </c>
      <c r="L238" s="35" t="s">
        <v>46</v>
      </c>
      <c r="M238" s="36" t="s">
        <v>96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421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422</v>
      </c>
      <c r="B239" s="60" t="s">
        <v>423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135</v>
      </c>
      <c r="L239" s="35" t="s">
        <v>46</v>
      </c>
      <c r="M239" s="36" t="s">
        <v>96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424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425</v>
      </c>
      <c r="B240" s="60" t="s">
        <v>426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135</v>
      </c>
      <c r="L240" s="35" t="s">
        <v>46</v>
      </c>
      <c r="M240" s="36" t="s">
        <v>96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418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customHeight="1" x14ac:dyDescent="0.25">
      <c r="A243" s="703" t="s">
        <v>281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customHeight="1" x14ac:dyDescent="0.25">
      <c r="A244" s="60" t="s">
        <v>427</v>
      </c>
      <c r="B244" s="60" t="s">
        <v>428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344</v>
      </c>
      <c r="L244" s="35" t="s">
        <v>46</v>
      </c>
      <c r="M244" s="36" t="s">
        <v>286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429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customHeight="1" x14ac:dyDescent="0.25">
      <c r="A245" s="60" t="s">
        <v>430</v>
      </c>
      <c r="B245" s="60" t="s">
        <v>431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344</v>
      </c>
      <c r="L245" s="35" t="s">
        <v>46</v>
      </c>
      <c r="M245" s="36" t="s">
        <v>286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432</v>
      </c>
      <c r="AG245" s="75"/>
      <c r="AJ245" s="79" t="s">
        <v>46</v>
      </c>
      <c r="AK245" s="79">
        <v>0</v>
      </c>
      <c r="BB245" s="328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customHeight="1" x14ac:dyDescent="0.25">
      <c r="A246" s="60" t="s">
        <v>433</v>
      </c>
      <c r="B246" s="60" t="s">
        <v>434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344</v>
      </c>
      <c r="L246" s="35" t="s">
        <v>46</v>
      </c>
      <c r="M246" s="36" t="s">
        <v>286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432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customHeight="1" x14ac:dyDescent="0.25">
      <c r="A249" s="703" t="s">
        <v>435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customHeight="1" x14ac:dyDescent="0.25">
      <c r="A250" s="60" t="s">
        <v>436</v>
      </c>
      <c r="B250" s="60" t="s">
        <v>437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344</v>
      </c>
      <c r="L250" s="35" t="s">
        <v>46</v>
      </c>
      <c r="M250" s="36" t="s">
        <v>286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432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702" t="s">
        <v>438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customHeight="1" x14ac:dyDescent="0.25">
      <c r="A254" s="703" t="s">
        <v>123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customHeight="1" x14ac:dyDescent="0.25">
      <c r="A255" s="60" t="s">
        <v>439</v>
      </c>
      <c r="B255" s="60" t="s">
        <v>440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128</v>
      </c>
      <c r="L255" s="35" t="s">
        <v>46</v>
      </c>
      <c r="M255" s="36" t="s">
        <v>127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441</v>
      </c>
      <c r="AG255" s="75"/>
      <c r="AJ255" s="79" t="s">
        <v>46</v>
      </c>
      <c r="AK255" s="79">
        <v>0</v>
      </c>
      <c r="BB255" s="334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442</v>
      </c>
      <c r="B256" s="60" t="s">
        <v>443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90</v>
      </c>
      <c r="L256" s="35" t="s">
        <v>46</v>
      </c>
      <c r="M256" s="36" t="s">
        <v>127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441</v>
      </c>
      <c r="AG256" s="75"/>
      <c r="AJ256" s="79" t="s">
        <v>46</v>
      </c>
      <c r="AK256" s="79">
        <v>0</v>
      </c>
      <c r="BB256" s="336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customHeight="1" x14ac:dyDescent="0.25">
      <c r="A259" s="703" t="s">
        <v>156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customHeight="1" x14ac:dyDescent="0.25">
      <c r="A260" s="60" t="s">
        <v>444</v>
      </c>
      <c r="B260" s="60" t="s">
        <v>445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128</v>
      </c>
      <c r="L260" s="35" t="s">
        <v>46</v>
      </c>
      <c r="M260" s="36" t="s">
        <v>127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446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customHeight="1" x14ac:dyDescent="0.25">
      <c r="A261" s="60" t="s">
        <v>447</v>
      </c>
      <c r="B261" s="60" t="s">
        <v>448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90</v>
      </c>
      <c r="L261" s="35" t="s">
        <v>46</v>
      </c>
      <c r="M261" s="36" t="s">
        <v>127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446</v>
      </c>
      <c r="AG261" s="75"/>
      <c r="AJ261" s="79" t="s">
        <v>46</v>
      </c>
      <c r="AK261" s="79">
        <v>0</v>
      </c>
      <c r="BB261" s="340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customHeight="1" x14ac:dyDescent="0.25">
      <c r="A264" s="703" t="s">
        <v>76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customHeight="1" x14ac:dyDescent="0.25">
      <c r="A265" s="60" t="s">
        <v>449</v>
      </c>
      <c r="B265" s="60" t="s">
        <v>450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135</v>
      </c>
      <c r="L265" s="35" t="s">
        <v>46</v>
      </c>
      <c r="M265" s="36" t="s">
        <v>80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451</v>
      </c>
      <c r="AG265" s="75"/>
      <c r="AJ265" s="79" t="s">
        <v>46</v>
      </c>
      <c r="AK265" s="79">
        <v>0</v>
      </c>
      <c r="BB265" s="342" t="s">
        <v>67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customHeight="1" x14ac:dyDescent="0.25">
      <c r="A266" s="60" t="s">
        <v>452</v>
      </c>
      <c r="B266" s="60" t="s">
        <v>453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135</v>
      </c>
      <c r="L266" s="35" t="s">
        <v>46</v>
      </c>
      <c r="M266" s="36" t="s">
        <v>80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454</v>
      </c>
      <c r="AG266" s="75"/>
      <c r="AJ266" s="79" t="s">
        <v>46</v>
      </c>
      <c r="AK266" s="79">
        <v>0</v>
      </c>
      <c r="BB266" s="344" t="s">
        <v>67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135</v>
      </c>
      <c r="L267" s="35" t="s">
        <v>46</v>
      </c>
      <c r="M267" s="36" t="s">
        <v>80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457</v>
      </c>
      <c r="AG267" s="75"/>
      <c r="AJ267" s="79" t="s">
        <v>46</v>
      </c>
      <c r="AK267" s="79">
        <v>0</v>
      </c>
      <c r="BB267" s="346" t="s">
        <v>67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customHeight="1" x14ac:dyDescent="0.25">
      <c r="A268" s="60" t="s">
        <v>458</v>
      </c>
      <c r="B268" s="60" t="s">
        <v>459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135</v>
      </c>
      <c r="L268" s="35" t="s">
        <v>46</v>
      </c>
      <c r="M268" s="36" t="s">
        <v>80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460</v>
      </c>
      <c r="AG268" s="75"/>
      <c r="AJ268" s="79" t="s">
        <v>46</v>
      </c>
      <c r="AK268" s="79">
        <v>0</v>
      </c>
      <c r="BB268" s="348" t="s">
        <v>67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customHeight="1" x14ac:dyDescent="0.25">
      <c r="A269" s="60" t="s">
        <v>461</v>
      </c>
      <c r="B269" s="60" t="s">
        <v>462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81</v>
      </c>
      <c r="L269" s="35" t="s">
        <v>46</v>
      </c>
      <c r="M269" s="36" t="s">
        <v>80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451</v>
      </c>
      <c r="AG269" s="75"/>
      <c r="AJ269" s="79" t="s">
        <v>46</v>
      </c>
      <c r="AK269" s="79">
        <v>0</v>
      </c>
      <c r="BB269" s="350" t="s">
        <v>67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customHeight="1" x14ac:dyDescent="0.25">
      <c r="A270" s="60" t="s">
        <v>463</v>
      </c>
      <c r="B270" s="60" t="s">
        <v>464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81</v>
      </c>
      <c r="L270" s="35" t="s">
        <v>46</v>
      </c>
      <c r="M270" s="36" t="s">
        <v>80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454</v>
      </c>
      <c r="AG270" s="75"/>
      <c r="AJ270" s="79" t="s">
        <v>46</v>
      </c>
      <c r="AK270" s="79">
        <v>0</v>
      </c>
      <c r="BB270" s="352" t="s">
        <v>67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customHeight="1" x14ac:dyDescent="0.25">
      <c r="A271" s="60" t="s">
        <v>465</v>
      </c>
      <c r="B271" s="60" t="s">
        <v>466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81</v>
      </c>
      <c r="L271" s="35" t="s">
        <v>46</v>
      </c>
      <c r="M271" s="36" t="s">
        <v>80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457</v>
      </c>
      <c r="AG271" s="75"/>
      <c r="AJ271" s="79" t="s">
        <v>46</v>
      </c>
      <c r="AK271" s="79">
        <v>0</v>
      </c>
      <c r="BB271" s="354" t="s">
        <v>67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81</v>
      </c>
      <c r="L272" s="35" t="s">
        <v>46</v>
      </c>
      <c r="M272" s="36" t="s">
        <v>80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460</v>
      </c>
      <c r="AG272" s="75"/>
      <c r="AJ272" s="79" t="s">
        <v>46</v>
      </c>
      <c r="AK272" s="79">
        <v>0</v>
      </c>
      <c r="BB272" s="356" t="s">
        <v>67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customHeight="1" x14ac:dyDescent="0.25">
      <c r="A275" s="703" t="s">
        <v>85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customHeight="1" x14ac:dyDescent="0.25">
      <c r="A276" s="60" t="s">
        <v>469</v>
      </c>
      <c r="B276" s="60" t="s">
        <v>470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128</v>
      </c>
      <c r="L276" s="35" t="s">
        <v>46</v>
      </c>
      <c r="M276" s="36" t="s">
        <v>89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471</v>
      </c>
      <c r="AG276" s="75"/>
      <c r="AJ276" s="79" t="s">
        <v>46</v>
      </c>
      <c r="AK276" s="79">
        <v>0</v>
      </c>
      <c r="BB276" s="358" t="s">
        <v>67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customHeight="1" x14ac:dyDescent="0.25">
      <c r="A277" s="60" t="s">
        <v>472</v>
      </c>
      <c r="B277" s="60" t="s">
        <v>473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128</v>
      </c>
      <c r="L277" s="35" t="s">
        <v>46</v>
      </c>
      <c r="M277" s="36" t="s">
        <v>89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474</v>
      </c>
      <c r="AG277" s="75"/>
      <c r="AJ277" s="79" t="s">
        <v>46</v>
      </c>
      <c r="AK277" s="79">
        <v>0</v>
      </c>
      <c r="BB277" s="360" t="s">
        <v>67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customHeight="1" x14ac:dyDescent="0.25">
      <c r="A278" s="60" t="s">
        <v>475</v>
      </c>
      <c r="B278" s="60" t="s">
        <v>476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128</v>
      </c>
      <c r="L278" s="35" t="s">
        <v>46</v>
      </c>
      <c r="M278" s="36" t="s">
        <v>89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477</v>
      </c>
      <c r="AG278" s="75"/>
      <c r="AJ278" s="79" t="s">
        <v>46</v>
      </c>
      <c r="AK278" s="79">
        <v>0</v>
      </c>
      <c r="BB278" s="362" t="s">
        <v>67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customHeight="1" x14ac:dyDescent="0.25">
      <c r="A279" s="60" t="s">
        <v>478</v>
      </c>
      <c r="B279" s="60" t="s">
        <v>479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90</v>
      </c>
      <c r="L279" s="35" t="s">
        <v>46</v>
      </c>
      <c r="M279" s="36" t="s">
        <v>89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471</v>
      </c>
      <c r="AG279" s="75"/>
      <c r="AJ279" s="79" t="s">
        <v>46</v>
      </c>
      <c r="AK279" s="79">
        <v>0</v>
      </c>
      <c r="BB279" s="364" t="s">
        <v>67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customHeight="1" x14ac:dyDescent="0.25">
      <c r="A280" s="60" t="s">
        <v>480</v>
      </c>
      <c r="B280" s="60" t="s">
        <v>481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90</v>
      </c>
      <c r="L280" s="35" t="s">
        <v>46</v>
      </c>
      <c r="M280" s="36" t="s">
        <v>96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477</v>
      </c>
      <c r="AG280" s="75"/>
      <c r="AJ280" s="79" t="s">
        <v>46</v>
      </c>
      <c r="AK280" s="79">
        <v>0</v>
      </c>
      <c r="BB280" s="366" t="s">
        <v>67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customHeight="1" x14ac:dyDescent="0.25">
      <c r="A281" s="60" t="s">
        <v>482</v>
      </c>
      <c r="B281" s="60" t="s">
        <v>483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135</v>
      </c>
      <c r="L281" s="35" t="s">
        <v>46</v>
      </c>
      <c r="M281" s="36" t="s">
        <v>89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customHeight="1" x14ac:dyDescent="0.25">
      <c r="A282" s="60" t="s">
        <v>485</v>
      </c>
      <c r="B282" s="60" t="s">
        <v>486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90</v>
      </c>
      <c r="L282" s="35" t="s">
        <v>46</v>
      </c>
      <c r="M282" s="36" t="s">
        <v>89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477</v>
      </c>
      <c r="AG282" s="75"/>
      <c r="AJ282" s="79" t="s">
        <v>46</v>
      </c>
      <c r="AK282" s="79">
        <v>0</v>
      </c>
      <c r="BB282" s="370" t="s">
        <v>67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128</v>
      </c>
      <c r="L283" s="35" t="s">
        <v>46</v>
      </c>
      <c r="M283" s="36" t="s">
        <v>89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484</v>
      </c>
      <c r="AG283" s="75"/>
      <c r="AJ283" s="79" t="s">
        <v>46</v>
      </c>
      <c r="AK283" s="79">
        <v>0</v>
      </c>
      <c r="BB283" s="372" t="s">
        <v>67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90</v>
      </c>
      <c r="L284" s="35" t="s">
        <v>46</v>
      </c>
      <c r="M284" s="36" t="s">
        <v>89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477</v>
      </c>
      <c r="AG284" s="75"/>
      <c r="AJ284" s="79" t="s">
        <v>46</v>
      </c>
      <c r="AK284" s="79">
        <v>0</v>
      </c>
      <c r="BB284" s="374" t="s">
        <v>67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493</v>
      </c>
      <c r="AG285" s="75"/>
      <c r="AJ285" s="79" t="s">
        <v>46</v>
      </c>
      <c r="AK285" s="79">
        <v>0</v>
      </c>
      <c r="BB285" s="376" t="s">
        <v>67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496</v>
      </c>
      <c r="AG286" s="75"/>
      <c r="AJ286" s="79" t="s">
        <v>46</v>
      </c>
      <c r="AK286" s="79">
        <v>0</v>
      </c>
      <c r="BB286" s="378" t="s">
        <v>67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customHeight="1" x14ac:dyDescent="0.25">
      <c r="A287" s="60" t="s">
        <v>497</v>
      </c>
      <c r="B287" s="60" t="s">
        <v>498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90</v>
      </c>
      <c r="L287" s="35" t="s">
        <v>46</v>
      </c>
      <c r="M287" s="36" t="s">
        <v>89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499</v>
      </c>
      <c r="AG287" s="75"/>
      <c r="AJ287" s="79" t="s">
        <v>46</v>
      </c>
      <c r="AK287" s="79">
        <v>0</v>
      </c>
      <c r="BB287" s="380" t="s">
        <v>67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customHeight="1" x14ac:dyDescent="0.25">
      <c r="A290" s="703" t="s">
        <v>173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customHeight="1" x14ac:dyDescent="0.25">
      <c r="A291" s="60" t="s">
        <v>500</v>
      </c>
      <c r="B291" s="60" t="s">
        <v>501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502</v>
      </c>
      <c r="AG291" s="75"/>
      <c r="AJ291" s="79" t="s">
        <v>46</v>
      </c>
      <c r="AK291" s="79">
        <v>0</v>
      </c>
      <c r="BB291" s="382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503</v>
      </c>
      <c r="B292" s="60" t="s">
        <v>504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505</v>
      </c>
      <c r="AG292" s="75"/>
      <c r="AJ292" s="79" t="s">
        <v>46</v>
      </c>
      <c r="AK292" s="79">
        <v>0</v>
      </c>
      <c r="BB292" s="384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702" t="s">
        <v>506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customHeight="1" x14ac:dyDescent="0.25">
      <c r="A296" s="703" t="s">
        <v>123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customHeight="1" x14ac:dyDescent="0.25">
      <c r="A297" s="60" t="s">
        <v>507</v>
      </c>
      <c r="B297" s="60" t="s">
        <v>508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128</v>
      </c>
      <c r="L297" s="35" t="s">
        <v>46</v>
      </c>
      <c r="M297" s="36" t="s">
        <v>127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509</v>
      </c>
      <c r="AG297" s="75"/>
      <c r="AJ297" s="79" t="s">
        <v>46</v>
      </c>
      <c r="AK297" s="79">
        <v>0</v>
      </c>
      <c r="BB297" s="386" t="s">
        <v>67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customHeight="1" x14ac:dyDescent="0.25">
      <c r="A298" s="60" t="s">
        <v>510</v>
      </c>
      <c r="B298" s="60" t="s">
        <v>511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128</v>
      </c>
      <c r="L298" s="35" t="s">
        <v>46</v>
      </c>
      <c r="M298" s="36" t="s">
        <v>127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512</v>
      </c>
      <c r="AG298" s="75"/>
      <c r="AJ298" s="79" t="s">
        <v>46</v>
      </c>
      <c r="AK298" s="79">
        <v>0</v>
      </c>
      <c r="BB298" s="388" t="s">
        <v>67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customHeight="1" x14ac:dyDescent="0.25">
      <c r="A299" s="60" t="s">
        <v>513</v>
      </c>
      <c r="B299" s="60" t="s">
        <v>514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128</v>
      </c>
      <c r="L299" s="35" t="s">
        <v>46</v>
      </c>
      <c r="M299" s="36" t="s">
        <v>127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367</v>
      </c>
      <c r="AG299" s="75"/>
      <c r="AJ299" s="79" t="s">
        <v>46</v>
      </c>
      <c r="AK299" s="79">
        <v>0</v>
      </c>
      <c r="BB299" s="390" t="s">
        <v>67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customHeight="1" x14ac:dyDescent="0.25">
      <c r="A300" s="60" t="s">
        <v>515</v>
      </c>
      <c r="B300" s="60" t="s">
        <v>516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135</v>
      </c>
      <c r="L300" s="35" t="s">
        <v>46</v>
      </c>
      <c r="M300" s="36" t="s">
        <v>127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509</v>
      </c>
      <c r="AG300" s="75"/>
      <c r="AJ300" s="79" t="s">
        <v>46</v>
      </c>
      <c r="AK300" s="79">
        <v>0</v>
      </c>
      <c r="BB300" s="392" t="s">
        <v>67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135</v>
      </c>
      <c r="L301" s="35" t="s">
        <v>46</v>
      </c>
      <c r="M301" s="36" t="s">
        <v>127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519</v>
      </c>
      <c r="AG301" s="75"/>
      <c r="AJ301" s="79" t="s">
        <v>46</v>
      </c>
      <c r="AK301" s="79">
        <v>0</v>
      </c>
      <c r="BB301" s="394" t="s">
        <v>67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customHeight="1" x14ac:dyDescent="0.25">
      <c r="A302" s="60" t="s">
        <v>520</v>
      </c>
      <c r="B302" s="60" t="s">
        <v>521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90</v>
      </c>
      <c r="L302" s="35" t="s">
        <v>46</v>
      </c>
      <c r="M302" s="36" t="s">
        <v>127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522</v>
      </c>
      <c r="AG302" s="75"/>
      <c r="AJ302" s="79" t="s">
        <v>46</v>
      </c>
      <c r="AK302" s="79">
        <v>0</v>
      </c>
      <c r="BB302" s="396" t="s">
        <v>67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customHeight="1" x14ac:dyDescent="0.25">
      <c r="A303" s="60" t="s">
        <v>523</v>
      </c>
      <c r="B303" s="60" t="s">
        <v>524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135</v>
      </c>
      <c r="L303" s="35" t="s">
        <v>46</v>
      </c>
      <c r="M303" s="36" t="s">
        <v>127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367</v>
      </c>
      <c r="AG303" s="75"/>
      <c r="AJ303" s="79" t="s">
        <v>46</v>
      </c>
      <c r="AK303" s="79">
        <v>0</v>
      </c>
      <c r="BB303" s="398" t="s">
        <v>67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703" t="s">
        <v>156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customHeight="1" x14ac:dyDescent="0.25">
      <c r="A307" s="60" t="s">
        <v>525</v>
      </c>
      <c r="B307" s="60" t="s">
        <v>526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81</v>
      </c>
      <c r="L307" s="35" t="s">
        <v>46</v>
      </c>
      <c r="M307" s="36" t="s">
        <v>89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527</v>
      </c>
      <c r="AG307" s="75"/>
      <c r="AJ307" s="79" t="s">
        <v>46</v>
      </c>
      <c r="AK307" s="79">
        <v>0</v>
      </c>
      <c r="BB307" s="400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customHeight="1" x14ac:dyDescent="0.25">
      <c r="A310" s="703" t="s">
        <v>528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customHeight="1" x14ac:dyDescent="0.25">
      <c r="A311" s="60" t="s">
        <v>529</v>
      </c>
      <c r="B311" s="60" t="s">
        <v>530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344</v>
      </c>
      <c r="L311" s="35" t="s">
        <v>46</v>
      </c>
      <c r="M311" s="36" t="s">
        <v>286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531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703" t="s">
        <v>345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customHeight="1" x14ac:dyDescent="0.25">
      <c r="A315" s="60" t="s">
        <v>532</v>
      </c>
      <c r="B315" s="60" t="s">
        <v>533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344</v>
      </c>
      <c r="L315" s="35" t="s">
        <v>46</v>
      </c>
      <c r="M315" s="36" t="s">
        <v>286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534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535</v>
      </c>
      <c r="B316" s="60" t="s">
        <v>536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344</v>
      </c>
      <c r="L316" s="35" t="s">
        <v>46</v>
      </c>
      <c r="M316" s="36" t="s">
        <v>286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534</v>
      </c>
      <c r="AG316" s="75"/>
      <c r="AJ316" s="79" t="s">
        <v>46</v>
      </c>
      <c r="AK316" s="79">
        <v>0</v>
      </c>
      <c r="BB316" s="406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537</v>
      </c>
      <c r="B317" s="60" t="s">
        <v>538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344</v>
      </c>
      <c r="L317" s="35" t="s">
        <v>46</v>
      </c>
      <c r="M317" s="36" t="s">
        <v>286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534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customHeight="1" x14ac:dyDescent="0.25">
      <c r="A320" s="702" t="s">
        <v>539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customHeight="1" x14ac:dyDescent="0.25">
      <c r="A321" s="703" t="s">
        <v>123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customHeight="1" x14ac:dyDescent="0.25">
      <c r="A322" s="60" t="s">
        <v>540</v>
      </c>
      <c r="B322" s="60" t="s">
        <v>541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128</v>
      </c>
      <c r="L322" s="35" t="s">
        <v>46</v>
      </c>
      <c r="M322" s="36" t="s">
        <v>127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542</v>
      </c>
      <c r="AG322" s="75"/>
      <c r="AJ322" s="79" t="s">
        <v>46</v>
      </c>
      <c r="AK322" s="79">
        <v>0</v>
      </c>
      <c r="BB322" s="410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customHeight="1" x14ac:dyDescent="0.25">
      <c r="A323" s="60" t="s">
        <v>543</v>
      </c>
      <c r="B323" s="60" t="s">
        <v>544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128</v>
      </c>
      <c r="L323" s="35" t="s">
        <v>46</v>
      </c>
      <c r="M323" s="36" t="s">
        <v>127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545</v>
      </c>
      <c r="AG323" s="75"/>
      <c r="AJ323" s="79" t="s">
        <v>46</v>
      </c>
      <c r="AK323" s="79">
        <v>0</v>
      </c>
      <c r="BB323" s="412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546</v>
      </c>
      <c r="B324" s="60" t="s">
        <v>547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128</v>
      </c>
      <c r="L324" s="35" t="s">
        <v>46</v>
      </c>
      <c r="M324" s="36" t="s">
        <v>127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548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549</v>
      </c>
      <c r="B325" s="60" t="s">
        <v>550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135</v>
      </c>
      <c r="L325" s="35" t="s">
        <v>46</v>
      </c>
      <c r="M325" s="36" t="s">
        <v>127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551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customHeight="1" x14ac:dyDescent="0.25">
      <c r="A326" s="60" t="s">
        <v>552</v>
      </c>
      <c r="B326" s="60" t="s">
        <v>553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135</v>
      </c>
      <c r="L326" s="35" t="s">
        <v>46</v>
      </c>
      <c r="M326" s="36" t="s">
        <v>127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554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customHeight="1" x14ac:dyDescent="0.25">
      <c r="A329" s="702" t="s">
        <v>555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customHeight="1" x14ac:dyDescent="0.25">
      <c r="A330" s="703" t="s">
        <v>85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customHeight="1" x14ac:dyDescent="0.25">
      <c r="A331" s="60" t="s">
        <v>556</v>
      </c>
      <c r="B331" s="60" t="s">
        <v>557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90</v>
      </c>
      <c r="L331" s="35" t="s">
        <v>46</v>
      </c>
      <c r="M331" s="36" t="s">
        <v>89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558</v>
      </c>
      <c r="AG331" s="75"/>
      <c r="AJ331" s="79" t="s">
        <v>46</v>
      </c>
      <c r="AK331" s="79">
        <v>0</v>
      </c>
      <c r="BB331" s="420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customHeight="1" x14ac:dyDescent="0.25">
      <c r="A332" s="60" t="s">
        <v>559</v>
      </c>
      <c r="B332" s="60" t="s">
        <v>560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90</v>
      </c>
      <c r="L332" s="35" t="s">
        <v>46</v>
      </c>
      <c r="M332" s="36" t="s">
        <v>96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561</v>
      </c>
      <c r="AG332" s="75"/>
      <c r="AJ332" s="79" t="s">
        <v>46</v>
      </c>
      <c r="AK332" s="79">
        <v>0</v>
      </c>
      <c r="BB332" s="422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562</v>
      </c>
      <c r="B333" s="60" t="s">
        <v>563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90</v>
      </c>
      <c r="L333" s="35" t="s">
        <v>46</v>
      </c>
      <c r="M333" s="36" t="s">
        <v>89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558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customHeight="1" x14ac:dyDescent="0.25">
      <c r="A336" s="702" t="s">
        <v>564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customHeight="1" x14ac:dyDescent="0.25">
      <c r="A337" s="703" t="s">
        <v>76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customHeight="1" x14ac:dyDescent="0.25">
      <c r="A338" s="60" t="s">
        <v>565</v>
      </c>
      <c r="B338" s="60" t="s">
        <v>566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81</v>
      </c>
      <c r="L338" s="35" t="s">
        <v>46</v>
      </c>
      <c r="M338" s="36" t="s">
        <v>80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399</v>
      </c>
      <c r="AG338" s="75"/>
      <c r="AJ338" s="79" t="s">
        <v>46</v>
      </c>
      <c r="AK338" s="79">
        <v>0</v>
      </c>
      <c r="BB338" s="426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567</v>
      </c>
      <c r="B339" s="60" t="s">
        <v>568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81</v>
      </c>
      <c r="L339" s="35" t="s">
        <v>46</v>
      </c>
      <c r="M339" s="36" t="s">
        <v>80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569</v>
      </c>
      <c r="AG339" s="75"/>
      <c r="AJ339" s="79" t="s">
        <v>46</v>
      </c>
      <c r="AK339" s="79">
        <v>0</v>
      </c>
      <c r="BB339" s="428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570</v>
      </c>
      <c r="B340" s="60" t="s">
        <v>571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81</v>
      </c>
      <c r="L340" s="35" t="s">
        <v>46</v>
      </c>
      <c r="M340" s="36" t="s">
        <v>80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572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573</v>
      </c>
      <c r="B341" s="60" t="s">
        <v>574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90</v>
      </c>
      <c r="L341" s="35" t="s">
        <v>46</v>
      </c>
      <c r="M341" s="36" t="s">
        <v>80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575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576</v>
      </c>
      <c r="B342" s="60" t="s">
        <v>577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578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customHeight="1" x14ac:dyDescent="0.25">
      <c r="A345" s="703" t="s">
        <v>85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customHeight="1" x14ac:dyDescent="0.25">
      <c r="A346" s="60" t="s">
        <v>579</v>
      </c>
      <c r="B346" s="60" t="s">
        <v>580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135</v>
      </c>
      <c r="L346" s="35" t="s">
        <v>46</v>
      </c>
      <c r="M346" s="36" t="s">
        <v>89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581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582</v>
      </c>
      <c r="B347" s="60" t="s">
        <v>583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135</v>
      </c>
      <c r="L347" s="35" t="s">
        <v>46</v>
      </c>
      <c r="M347" s="36" t="s">
        <v>89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584</v>
      </c>
      <c r="AG347" s="75"/>
      <c r="AJ347" s="79" t="s">
        <v>46</v>
      </c>
      <c r="AK347" s="79">
        <v>0</v>
      </c>
      <c r="BB347" s="438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customHeight="1" x14ac:dyDescent="0.25">
      <c r="A350" s="702" t="s">
        <v>585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customHeight="1" x14ac:dyDescent="0.25">
      <c r="A351" s="703" t="s">
        <v>123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customHeight="1" x14ac:dyDescent="0.25">
      <c r="A352" s="60" t="s">
        <v>586</v>
      </c>
      <c r="B352" s="60" t="s">
        <v>587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128</v>
      </c>
      <c r="L352" s="35" t="s">
        <v>46</v>
      </c>
      <c r="M352" s="36" t="s">
        <v>89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358</v>
      </c>
      <c r="AG352" s="75"/>
      <c r="AJ352" s="79" t="s">
        <v>46</v>
      </c>
      <c r="AK352" s="79">
        <v>0</v>
      </c>
      <c r="BB352" s="440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customHeight="1" x14ac:dyDescent="0.25">
      <c r="A353" s="60" t="s">
        <v>588</v>
      </c>
      <c r="B353" s="60" t="s">
        <v>589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128</v>
      </c>
      <c r="L353" s="35" t="s">
        <v>46</v>
      </c>
      <c r="M353" s="36" t="s">
        <v>89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590</v>
      </c>
      <c r="AG353" s="75"/>
      <c r="AJ353" s="79" t="s">
        <v>46</v>
      </c>
      <c r="AK353" s="79">
        <v>0</v>
      </c>
      <c r="BB353" s="442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customHeight="1" x14ac:dyDescent="0.25">
      <c r="A354" s="60" t="s">
        <v>591</v>
      </c>
      <c r="B354" s="60" t="s">
        <v>592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128</v>
      </c>
      <c r="L354" s="35" t="s">
        <v>46</v>
      </c>
      <c r="M354" s="36" t="s">
        <v>89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593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customHeight="1" x14ac:dyDescent="0.25">
      <c r="A357" s="702" t="s">
        <v>594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customHeight="1" x14ac:dyDescent="0.25">
      <c r="A358" s="703" t="s">
        <v>123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customHeight="1" x14ac:dyDescent="0.25">
      <c r="A359" s="60" t="s">
        <v>595</v>
      </c>
      <c r="B359" s="60" t="s">
        <v>596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128</v>
      </c>
      <c r="L359" s="35" t="s">
        <v>46</v>
      </c>
      <c r="M359" s="36" t="s">
        <v>127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597</v>
      </c>
      <c r="AG359" s="75"/>
      <c r="AJ359" s="79" t="s">
        <v>46</v>
      </c>
      <c r="AK359" s="79">
        <v>0</v>
      </c>
      <c r="BB359" s="446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customHeight="1" x14ac:dyDescent="0.25">
      <c r="A360" s="60" t="s">
        <v>598</v>
      </c>
      <c r="B360" s="60" t="s">
        <v>599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128</v>
      </c>
      <c r="L360" s="35" t="s">
        <v>46</v>
      </c>
      <c r="M360" s="36" t="s">
        <v>127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600</v>
      </c>
      <c r="AG360" s="75"/>
      <c r="AJ360" s="79" t="s">
        <v>46</v>
      </c>
      <c r="AK360" s="79">
        <v>0</v>
      </c>
      <c r="BB360" s="448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customHeight="1" x14ac:dyDescent="0.25">
      <c r="A361" s="60" t="s">
        <v>601</v>
      </c>
      <c r="B361" s="60" t="s">
        <v>602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128</v>
      </c>
      <c r="L361" s="35" t="s">
        <v>46</v>
      </c>
      <c r="M361" s="36" t="s">
        <v>89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603</v>
      </c>
      <c r="AG361" s="75"/>
      <c r="AJ361" s="79" t="s">
        <v>46</v>
      </c>
      <c r="AK361" s="79">
        <v>0</v>
      </c>
      <c r="BB361" s="450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customHeight="1" x14ac:dyDescent="0.25">
      <c r="A362" s="60" t="s">
        <v>604</v>
      </c>
      <c r="B362" s="60" t="s">
        <v>605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135</v>
      </c>
      <c r="L362" s="35" t="s">
        <v>46</v>
      </c>
      <c r="M362" s="36" t="s">
        <v>127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597</v>
      </c>
      <c r="AG362" s="75"/>
      <c r="AJ362" s="79" t="s">
        <v>46</v>
      </c>
      <c r="AK362" s="79">
        <v>0</v>
      </c>
      <c r="BB362" s="452" t="s">
        <v>67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606</v>
      </c>
      <c r="B363" s="60" t="s">
        <v>607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135</v>
      </c>
      <c r="L363" s="35" t="s">
        <v>46</v>
      </c>
      <c r="M363" s="36" t="s">
        <v>127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608</v>
      </c>
      <c r="AG363" s="75"/>
      <c r="AJ363" s="79" t="s">
        <v>46</v>
      </c>
      <c r="AK363" s="79">
        <v>0</v>
      </c>
      <c r="BB363" s="454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customHeight="1" x14ac:dyDescent="0.25">
      <c r="A366" s="703" t="s">
        <v>76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customHeight="1" x14ac:dyDescent="0.25">
      <c r="A367" s="60" t="s">
        <v>609</v>
      </c>
      <c r="B367" s="60" t="s">
        <v>610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135</v>
      </c>
      <c r="L367" s="35" t="s">
        <v>46</v>
      </c>
      <c r="M367" s="36" t="s">
        <v>80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611</v>
      </c>
      <c r="AG367" s="75"/>
      <c r="AJ367" s="79" t="s">
        <v>46</v>
      </c>
      <c r="AK367" s="79">
        <v>0</v>
      </c>
      <c r="BB367" s="456" t="s">
        <v>67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customHeight="1" x14ac:dyDescent="0.25">
      <c r="A368" s="60" t="s">
        <v>612</v>
      </c>
      <c r="B368" s="60" t="s">
        <v>613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135</v>
      </c>
      <c r="L368" s="35" t="s">
        <v>46</v>
      </c>
      <c r="M368" s="36" t="s">
        <v>80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614</v>
      </c>
      <c r="AG368" s="75"/>
      <c r="AJ368" s="79" t="s">
        <v>46</v>
      </c>
      <c r="AK368" s="79">
        <v>0</v>
      </c>
      <c r="BB368" s="458" t="s">
        <v>67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customHeight="1" x14ac:dyDescent="0.25">
      <c r="A369" s="60" t="s">
        <v>615</v>
      </c>
      <c r="B369" s="60" t="s">
        <v>616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135</v>
      </c>
      <c r="L369" s="35" t="s">
        <v>46</v>
      </c>
      <c r="M369" s="36" t="s">
        <v>80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617</v>
      </c>
      <c r="AG369" s="75"/>
      <c r="AJ369" s="79" t="s">
        <v>46</v>
      </c>
      <c r="AK369" s="79">
        <v>0</v>
      </c>
      <c r="BB369" s="460" t="s">
        <v>67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customHeight="1" x14ac:dyDescent="0.25">
      <c r="A370" s="60" t="s">
        <v>618</v>
      </c>
      <c r="B370" s="60" t="s">
        <v>619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81</v>
      </c>
      <c r="L370" s="35" t="s">
        <v>46</v>
      </c>
      <c r="M370" s="36" t="s">
        <v>80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614</v>
      </c>
      <c r="AG370" s="75"/>
      <c r="AJ370" s="79" t="s">
        <v>46</v>
      </c>
      <c r="AK370" s="79">
        <v>0</v>
      </c>
      <c r="BB370" s="462" t="s">
        <v>67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customHeight="1" x14ac:dyDescent="0.25">
      <c r="A371" s="60" t="s">
        <v>620</v>
      </c>
      <c r="B371" s="60" t="s">
        <v>621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81</v>
      </c>
      <c r="L371" s="35" t="s">
        <v>46</v>
      </c>
      <c r="M371" s="36" t="s">
        <v>80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622</v>
      </c>
      <c r="AG371" s="75"/>
      <c r="AJ371" s="79" t="s">
        <v>46</v>
      </c>
      <c r="AK371" s="79">
        <v>0</v>
      </c>
      <c r="BB371" s="464" t="s">
        <v>67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customHeight="1" x14ac:dyDescent="0.25">
      <c r="A372" s="60" t="s">
        <v>623</v>
      </c>
      <c r="B372" s="60" t="s">
        <v>624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135</v>
      </c>
      <c r="L372" s="35" t="s">
        <v>46</v>
      </c>
      <c r="M372" s="36" t="s">
        <v>80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617</v>
      </c>
      <c r="AG372" s="75"/>
      <c r="AJ372" s="79" t="s">
        <v>46</v>
      </c>
      <c r="AK372" s="79">
        <v>0</v>
      </c>
      <c r="BB372" s="466" t="s">
        <v>67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customHeight="1" x14ac:dyDescent="0.25">
      <c r="A373" s="60" t="s">
        <v>625</v>
      </c>
      <c r="B373" s="60" t="s">
        <v>626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90</v>
      </c>
      <c r="L373" s="35" t="s">
        <v>46</v>
      </c>
      <c r="M373" s="36" t="s">
        <v>80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627</v>
      </c>
      <c r="AG373" s="75"/>
      <c r="AJ373" s="79" t="s">
        <v>46</v>
      </c>
      <c r="AK373" s="79">
        <v>0</v>
      </c>
      <c r="BB373" s="468" t="s">
        <v>67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customHeight="1" x14ac:dyDescent="0.25">
      <c r="A376" s="703" t="s">
        <v>85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customHeight="1" x14ac:dyDescent="0.25">
      <c r="A377" s="60" t="s">
        <v>628</v>
      </c>
      <c r="B377" s="60" t="s">
        <v>629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128</v>
      </c>
      <c r="L377" s="35" t="s">
        <v>46</v>
      </c>
      <c r="M377" s="36" t="s">
        <v>89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630</v>
      </c>
      <c r="AG377" s="75"/>
      <c r="AJ377" s="79" t="s">
        <v>46</v>
      </c>
      <c r="AK377" s="79">
        <v>0</v>
      </c>
      <c r="BB377" s="470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631</v>
      </c>
      <c r="B378" s="60" t="s">
        <v>632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128</v>
      </c>
      <c r="L378" s="35" t="s">
        <v>46</v>
      </c>
      <c r="M378" s="36" t="s">
        <v>89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633</v>
      </c>
      <c r="AG378" s="75"/>
      <c r="AJ378" s="79" t="s">
        <v>46</v>
      </c>
      <c r="AK378" s="79">
        <v>0</v>
      </c>
      <c r="BB378" s="472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128</v>
      </c>
      <c r="L379" s="35" t="s">
        <v>46</v>
      </c>
      <c r="M379" s="36" t="s">
        <v>89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636</v>
      </c>
      <c r="AG379" s="75"/>
      <c r="AJ379" s="79" t="s">
        <v>46</v>
      </c>
      <c r="AK379" s="79">
        <v>0</v>
      </c>
      <c r="BB379" s="474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637</v>
      </c>
      <c r="B380" s="60" t="s">
        <v>638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90</v>
      </c>
      <c r="L380" s="35" t="s">
        <v>46</v>
      </c>
      <c r="M380" s="36" t="s">
        <v>89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630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703" t="s">
        <v>173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customHeight="1" x14ac:dyDescent="0.25">
      <c r="A384" s="60" t="s">
        <v>639</v>
      </c>
      <c r="B384" s="60" t="s">
        <v>640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128</v>
      </c>
      <c r="L384" s="35" t="s">
        <v>46</v>
      </c>
      <c r="M384" s="36" t="s">
        <v>89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641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642</v>
      </c>
      <c r="B385" s="60" t="s">
        <v>643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128</v>
      </c>
      <c r="L385" s="35" t="s">
        <v>46</v>
      </c>
      <c r="M385" s="36" t="s">
        <v>89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644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645</v>
      </c>
      <c r="B386" s="60" t="s">
        <v>646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128</v>
      </c>
      <c r="L386" s="35" t="s">
        <v>46</v>
      </c>
      <c r="M386" s="36" t="s">
        <v>96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647</v>
      </c>
      <c r="AG386" s="75"/>
      <c r="AJ386" s="79" t="s">
        <v>46</v>
      </c>
      <c r="AK386" s="79">
        <v>0</v>
      </c>
      <c r="BB386" s="482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customHeight="1" x14ac:dyDescent="0.25">
      <c r="A389" s="703" t="s">
        <v>281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customHeight="1" x14ac:dyDescent="0.25">
      <c r="A390" s="60" t="s">
        <v>648</v>
      </c>
      <c r="B390" s="60" t="s">
        <v>649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135</v>
      </c>
      <c r="L390" s="35" t="s">
        <v>46</v>
      </c>
      <c r="M390" s="36" t="s">
        <v>249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650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customHeight="1" x14ac:dyDescent="0.25">
      <c r="A391" s="60" t="s">
        <v>651</v>
      </c>
      <c r="B391" s="60" t="s">
        <v>652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135</v>
      </c>
      <c r="L391" s="35" t="s">
        <v>46</v>
      </c>
      <c r="M391" s="36" t="s">
        <v>249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650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653</v>
      </c>
      <c r="B392" s="60" t="s">
        <v>654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90</v>
      </c>
      <c r="L392" s="35" t="s">
        <v>46</v>
      </c>
      <c r="M392" s="36" t="s">
        <v>249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650</v>
      </c>
      <c r="AG392" s="75"/>
      <c r="AJ392" s="79" t="s">
        <v>46</v>
      </c>
      <c r="AK392" s="79">
        <v>0</v>
      </c>
      <c r="BB392" s="488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655</v>
      </c>
      <c r="B393" s="60" t="s">
        <v>656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90</v>
      </c>
      <c r="L393" s="35" t="s">
        <v>46</v>
      </c>
      <c r="M393" s="36" t="s">
        <v>249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650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customHeight="1" x14ac:dyDescent="0.25">
      <c r="A396" s="703" t="s">
        <v>657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customHeight="1" x14ac:dyDescent="0.25">
      <c r="A397" s="60" t="s">
        <v>658</v>
      </c>
      <c r="B397" s="60" t="s">
        <v>659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90</v>
      </c>
      <c r="L397" s="35" t="s">
        <v>46</v>
      </c>
      <c r="M397" s="36" t="s">
        <v>661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660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662</v>
      </c>
      <c r="B398" s="60" t="s">
        <v>663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90</v>
      </c>
      <c r="L398" s="35" t="s">
        <v>46</v>
      </c>
      <c r="M398" s="36" t="s">
        <v>661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660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664</v>
      </c>
      <c r="B399" s="60" t="s">
        <v>665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90</v>
      </c>
      <c r="L399" s="35" t="s">
        <v>46</v>
      </c>
      <c r="M399" s="36" t="s">
        <v>661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660</v>
      </c>
      <c r="AG399" s="75"/>
      <c r="AJ399" s="79" t="s">
        <v>46</v>
      </c>
      <c r="AK399" s="79">
        <v>0</v>
      </c>
      <c r="BB399" s="496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customHeight="1" x14ac:dyDescent="0.25">
      <c r="A402" s="703" t="s">
        <v>666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customHeight="1" x14ac:dyDescent="0.25">
      <c r="A403" s="60" t="s">
        <v>667</v>
      </c>
      <c r="B403" s="60" t="s">
        <v>668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90</v>
      </c>
      <c r="L403" s="35" t="s">
        <v>46</v>
      </c>
      <c r="M403" s="36" t="s">
        <v>661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670</v>
      </c>
      <c r="B404" s="60" t="s">
        <v>671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135</v>
      </c>
      <c r="L404" s="35" t="s">
        <v>46</v>
      </c>
      <c r="M404" s="36" t="s">
        <v>661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673</v>
      </c>
      <c r="B405" s="60" t="s">
        <v>674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90</v>
      </c>
      <c r="L405" s="35" t="s">
        <v>46</v>
      </c>
      <c r="M405" s="36" t="s">
        <v>661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669</v>
      </c>
      <c r="AG405" s="75"/>
      <c r="AJ405" s="79" t="s">
        <v>46</v>
      </c>
      <c r="AK405" s="79">
        <v>0</v>
      </c>
      <c r="BB405" s="502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customHeight="1" x14ac:dyDescent="0.25">
      <c r="A408" s="702" t="s">
        <v>675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customHeight="1" x14ac:dyDescent="0.25">
      <c r="A409" s="703" t="s">
        <v>85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customHeight="1" x14ac:dyDescent="0.25">
      <c r="A410" s="60" t="s">
        <v>676</v>
      </c>
      <c r="B410" s="60" t="s">
        <v>677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128</v>
      </c>
      <c r="L410" s="35" t="s">
        <v>46</v>
      </c>
      <c r="M410" s="36" t="s">
        <v>89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678</v>
      </c>
      <c r="AG410" s="75"/>
      <c r="AJ410" s="79" t="s">
        <v>46</v>
      </c>
      <c r="AK410" s="79">
        <v>0</v>
      </c>
      <c r="BB410" s="50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customHeight="1" x14ac:dyDescent="0.25">
      <c r="A411" s="60" t="s">
        <v>679</v>
      </c>
      <c r="B411" s="60" t="s">
        <v>680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128</v>
      </c>
      <c r="L411" s="35" t="s">
        <v>46</v>
      </c>
      <c r="M411" s="36" t="s">
        <v>89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681</v>
      </c>
      <c r="AG411" s="75"/>
      <c r="AJ411" s="79" t="s">
        <v>46</v>
      </c>
      <c r="AK411" s="79">
        <v>0</v>
      </c>
      <c r="BB411" s="50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customHeight="1" x14ac:dyDescent="0.25">
      <c r="A414" s="702" t="s">
        <v>682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customHeight="1" x14ac:dyDescent="0.25">
      <c r="A415" s="703" t="s">
        <v>85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customHeight="1" x14ac:dyDescent="0.25">
      <c r="A416" s="60" t="s">
        <v>683</v>
      </c>
      <c r="B416" s="60" t="s">
        <v>684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128</v>
      </c>
      <c r="L416" s="35" t="s">
        <v>46</v>
      </c>
      <c r="M416" s="36" t="s">
        <v>96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685</v>
      </c>
      <c r="AG416" s="75"/>
      <c r="AJ416" s="79" t="s">
        <v>46</v>
      </c>
      <c r="AK416" s="79">
        <v>0</v>
      </c>
      <c r="BB416" s="508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customHeight="1" x14ac:dyDescent="0.25">
      <c r="A417" s="60" t="s">
        <v>686</v>
      </c>
      <c r="B417" s="60" t="s">
        <v>687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90</v>
      </c>
      <c r="L417" s="35" t="s">
        <v>46</v>
      </c>
      <c r="M417" s="36" t="s">
        <v>89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688</v>
      </c>
      <c r="AG417" s="75"/>
      <c r="AJ417" s="79" t="s">
        <v>46</v>
      </c>
      <c r="AK417" s="79">
        <v>0</v>
      </c>
      <c r="BB417" s="510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689</v>
      </c>
      <c r="B418" s="60" t="s">
        <v>690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90</v>
      </c>
      <c r="L418" s="35" t="s">
        <v>46</v>
      </c>
      <c r="M418" s="36" t="s">
        <v>96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691</v>
      </c>
      <c r="AG418" s="75"/>
      <c r="AJ418" s="79" t="s">
        <v>46</v>
      </c>
      <c r="AK418" s="79">
        <v>0</v>
      </c>
      <c r="BB418" s="512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customHeight="1" x14ac:dyDescent="0.2">
      <c r="A421" s="701" t="s">
        <v>692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customHeight="1" x14ac:dyDescent="0.25">
      <c r="A422" s="702" t="s">
        <v>693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customHeight="1" x14ac:dyDescent="0.25">
      <c r="A423" s="703" t="s">
        <v>123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customHeight="1" x14ac:dyDescent="0.25">
      <c r="A424" s="60" t="s">
        <v>694</v>
      </c>
      <c r="B424" s="60" t="s">
        <v>695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128</v>
      </c>
      <c r="L424" s="35" t="s">
        <v>46</v>
      </c>
      <c r="M424" s="36" t="s">
        <v>96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696</v>
      </c>
      <c r="AG424" s="75"/>
      <c r="AJ424" s="79" t="s">
        <v>46</v>
      </c>
      <c r="AK424" s="79">
        <v>0</v>
      </c>
      <c r="BB424" s="514" t="s">
        <v>67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customHeight="1" x14ac:dyDescent="0.25">
      <c r="A425" s="60" t="s">
        <v>697</v>
      </c>
      <c r="B425" s="60" t="s">
        <v>698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128</v>
      </c>
      <c r="L425" s="35" t="s">
        <v>46</v>
      </c>
      <c r="M425" s="36" t="s">
        <v>80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400</v>
      </c>
      <c r="Y425" s="53">
        <f t="shared" si="59"/>
        <v>405</v>
      </c>
      <c r="Z425" s="39">
        <f>IFERROR(IF(Y425=0,"",ROUNDUP(Y425/H425,0)*0.02175),"")</f>
        <v>0.58724999999999994</v>
      </c>
      <c r="AA425" s="65" t="s">
        <v>46</v>
      </c>
      <c r="AB425" s="66" t="s">
        <v>46</v>
      </c>
      <c r="AC425" s="515" t="s">
        <v>699</v>
      </c>
      <c r="AG425" s="75"/>
      <c r="AJ425" s="79" t="s">
        <v>46</v>
      </c>
      <c r="AK425" s="79">
        <v>0</v>
      </c>
      <c r="BB425" s="516" t="s">
        <v>67</v>
      </c>
      <c r="BM425" s="75">
        <f t="shared" si="60"/>
        <v>412.53333333333336</v>
      </c>
      <c r="BN425" s="75">
        <f t="shared" si="61"/>
        <v>417.69</v>
      </c>
      <c r="BO425" s="75">
        <f t="shared" si="62"/>
        <v>0.55555555555555558</v>
      </c>
      <c r="BP425" s="75">
        <f t="shared" si="63"/>
        <v>0.5625</v>
      </c>
    </row>
    <row r="426" spans="1:68" ht="27" customHeight="1" x14ac:dyDescent="0.25">
      <c r="A426" s="60" t="s">
        <v>700</v>
      </c>
      <c r="B426" s="60" t="s">
        <v>701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128</v>
      </c>
      <c r="L426" s="35" t="s">
        <v>46</v>
      </c>
      <c r="M426" s="36" t="s">
        <v>127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702</v>
      </c>
      <c r="AG426" s="75"/>
      <c r="AJ426" s="79" t="s">
        <v>46</v>
      </c>
      <c r="AK426" s="79">
        <v>0</v>
      </c>
      <c r="BB426" s="518" t="s">
        <v>67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customHeight="1" x14ac:dyDescent="0.25">
      <c r="A427" s="60" t="s">
        <v>703</v>
      </c>
      <c r="B427" s="60" t="s">
        <v>704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128</v>
      </c>
      <c r="L427" s="35" t="s">
        <v>46</v>
      </c>
      <c r="M427" s="36" t="s">
        <v>80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si="59"/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19" t="s">
        <v>705</v>
      </c>
      <c r="AG427" s="75"/>
      <c r="AJ427" s="79" t="s">
        <v>46</v>
      </c>
      <c r="AK427" s="79">
        <v>0</v>
      </c>
      <c r="BB427" s="520" t="s">
        <v>67</v>
      </c>
      <c r="BM427" s="75">
        <f t="shared" si="60"/>
        <v>309.39999999999998</v>
      </c>
      <c r="BN427" s="75">
        <f t="shared" si="61"/>
        <v>309.39999999999998</v>
      </c>
      <c r="BO427" s="75">
        <f t="shared" si="62"/>
        <v>0.41666666666666663</v>
      </c>
      <c r="BP427" s="75">
        <f t="shared" si="63"/>
        <v>0.41666666666666663</v>
      </c>
    </row>
    <row r="428" spans="1:68" ht="27" customHeight="1" x14ac:dyDescent="0.25">
      <c r="A428" s="60" t="s">
        <v>706</v>
      </c>
      <c r="B428" s="60" t="s">
        <v>707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128</v>
      </c>
      <c r="L428" s="35" t="s">
        <v>46</v>
      </c>
      <c r="M428" s="36" t="s">
        <v>96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200</v>
      </c>
      <c r="Y428" s="53">
        <f t="shared" si="59"/>
        <v>210</v>
      </c>
      <c r="Z428" s="39">
        <f>IFERROR(IF(Y428=0,"",ROUNDUP(Y428/H428,0)*0.02175),"")</f>
        <v>0.30449999999999999</v>
      </c>
      <c r="AA428" s="65" t="s">
        <v>46</v>
      </c>
      <c r="AB428" s="66" t="s">
        <v>46</v>
      </c>
      <c r="AC428" s="521" t="s">
        <v>708</v>
      </c>
      <c r="AG428" s="75"/>
      <c r="AJ428" s="79" t="s">
        <v>46</v>
      </c>
      <c r="AK428" s="79">
        <v>0</v>
      </c>
      <c r="BB428" s="522" t="s">
        <v>67</v>
      </c>
      <c r="BM428" s="75">
        <f t="shared" si="60"/>
        <v>206.26666666666668</v>
      </c>
      <c r="BN428" s="75">
        <f t="shared" si="61"/>
        <v>216.58</v>
      </c>
      <c r="BO428" s="75">
        <f t="shared" si="62"/>
        <v>0.27777777777777779</v>
      </c>
      <c r="BP428" s="75">
        <f t="shared" si="63"/>
        <v>0.29166666666666663</v>
      </c>
    </row>
    <row r="429" spans="1:68" ht="27" customHeight="1" x14ac:dyDescent="0.25">
      <c r="A429" s="60" t="s">
        <v>709</v>
      </c>
      <c r="B429" s="60" t="s">
        <v>710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135</v>
      </c>
      <c r="L429" s="35" t="s">
        <v>46</v>
      </c>
      <c r="M429" s="36" t="s">
        <v>127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711</v>
      </c>
      <c r="AG429" s="75"/>
      <c r="AJ429" s="79" t="s">
        <v>46</v>
      </c>
      <c r="AK429" s="79">
        <v>0</v>
      </c>
      <c r="BB429" s="524" t="s">
        <v>67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customHeight="1" x14ac:dyDescent="0.25">
      <c r="A430" s="60" t="s">
        <v>712</v>
      </c>
      <c r="B430" s="60" t="s">
        <v>713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135</v>
      </c>
      <c r="L430" s="35" t="s">
        <v>46</v>
      </c>
      <c r="M430" s="36" t="s">
        <v>80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714</v>
      </c>
      <c r="AG430" s="75"/>
      <c r="AJ430" s="79" t="s">
        <v>46</v>
      </c>
      <c r="AK430" s="79">
        <v>0</v>
      </c>
      <c r="BB430" s="526" t="s">
        <v>67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customHeight="1" x14ac:dyDescent="0.25">
      <c r="A431" s="60" t="s">
        <v>715</v>
      </c>
      <c r="B431" s="60" t="s">
        <v>716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135</v>
      </c>
      <c r="L431" s="35" t="s">
        <v>46</v>
      </c>
      <c r="M431" s="36" t="s">
        <v>80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717</v>
      </c>
      <c r="AG431" s="75"/>
      <c r="AJ431" s="79" t="s">
        <v>46</v>
      </c>
      <c r="AK431" s="79">
        <v>0</v>
      </c>
      <c r="BB431" s="528" t="s">
        <v>67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60.000000000000007</v>
      </c>
      <c r="Y432" s="41">
        <f>IFERROR(Y424/H424,"0")+IFERROR(Y425/H425,"0")+IFERROR(Y426/H426,"0")+IFERROR(Y427/H427,"0")+IFERROR(Y428/H428,"0")+IFERROR(Y429/H429,"0")+IFERROR(Y430/H430,"0")+IFERROR(Y431/H431,"0")</f>
        <v>61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1.3267499999999999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900</v>
      </c>
      <c r="Y433" s="41">
        <f>IFERROR(SUM(Y424:Y431),"0")</f>
        <v>915</v>
      </c>
      <c r="Z433" s="40"/>
      <c r="AA433" s="64"/>
      <c r="AB433" s="64"/>
      <c r="AC433" s="64"/>
    </row>
    <row r="434" spans="1:68" ht="14.25" customHeight="1" x14ac:dyDescent="0.25">
      <c r="A434" s="703" t="s">
        <v>156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customHeight="1" x14ac:dyDescent="0.25">
      <c r="A435" s="60" t="s">
        <v>718</v>
      </c>
      <c r="B435" s="60" t="s">
        <v>719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128</v>
      </c>
      <c r="L435" s="35" t="s">
        <v>46</v>
      </c>
      <c r="M435" s="36" t="s">
        <v>127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300</v>
      </c>
      <c r="Y435" s="53">
        <f>IFERROR(IF(X435="",0,CEILING((X435/$H435),1)*$H435),"")</f>
        <v>300</v>
      </c>
      <c r="Z435" s="39">
        <f>IFERROR(IF(Y435=0,"",ROUNDUP(Y435/H435,0)*0.02175),"")</f>
        <v>0.43499999999999994</v>
      </c>
      <c r="AA435" s="65" t="s">
        <v>46</v>
      </c>
      <c r="AB435" s="66" t="s">
        <v>46</v>
      </c>
      <c r="AC435" s="529" t="s">
        <v>720</v>
      </c>
      <c r="AG435" s="75"/>
      <c r="AJ435" s="79" t="s">
        <v>46</v>
      </c>
      <c r="AK435" s="79">
        <v>0</v>
      </c>
      <c r="BB435" s="530" t="s">
        <v>67</v>
      </c>
      <c r="BM435" s="75">
        <f>IFERROR(X435*I435/H435,"0")</f>
        <v>309.39999999999998</v>
      </c>
      <c r="BN435" s="75">
        <f>IFERROR(Y435*I435/H435,"0")</f>
        <v>309.39999999999998</v>
      </c>
      <c r="BO435" s="75">
        <f>IFERROR(1/J435*(X435/H435),"0")</f>
        <v>0.41666666666666663</v>
      </c>
      <c r="BP435" s="75">
        <f>IFERROR(1/J435*(Y435/H435),"0")</f>
        <v>0.41666666666666663</v>
      </c>
    </row>
    <row r="436" spans="1:68" ht="27" customHeight="1" x14ac:dyDescent="0.25">
      <c r="A436" s="60" t="s">
        <v>721</v>
      </c>
      <c r="B436" s="60" t="s">
        <v>722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128</v>
      </c>
      <c r="L436" s="35" t="s">
        <v>46</v>
      </c>
      <c r="M436" s="36" t="s">
        <v>127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723</v>
      </c>
      <c r="AG436" s="75"/>
      <c r="AJ436" s="79" t="s">
        <v>46</v>
      </c>
      <c r="AK436" s="79">
        <v>0</v>
      </c>
      <c r="BB436" s="532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724</v>
      </c>
      <c r="B437" s="60" t="s">
        <v>725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135</v>
      </c>
      <c r="L437" s="35" t="s">
        <v>46</v>
      </c>
      <c r="M437" s="36" t="s">
        <v>127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726</v>
      </c>
      <c r="AG437" s="75"/>
      <c r="AJ437" s="79" t="s">
        <v>46</v>
      </c>
      <c r="AK437" s="79">
        <v>0</v>
      </c>
      <c r="BB437" s="534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20</v>
      </c>
      <c r="Y438" s="41">
        <f>IFERROR(Y435/H435,"0")+IFERROR(Y436/H436,"0")+IFERROR(Y437/H437,"0")</f>
        <v>20</v>
      </c>
      <c r="Z438" s="41">
        <f>IFERROR(IF(Z435="",0,Z435),"0")+IFERROR(IF(Z436="",0,Z436),"0")+IFERROR(IF(Z437="",0,Z437),"0")</f>
        <v>0.43499999999999994</v>
      </c>
      <c r="AA438" s="64"/>
      <c r="AB438" s="64"/>
      <c r="AC438" s="64"/>
    </row>
    <row r="439" spans="1:68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300</v>
      </c>
      <c r="Y439" s="41">
        <f>IFERROR(SUM(Y435:Y437),"0")</f>
        <v>300</v>
      </c>
      <c r="Z439" s="40"/>
      <c r="AA439" s="64"/>
      <c r="AB439" s="64"/>
      <c r="AC439" s="64"/>
    </row>
    <row r="440" spans="1:68" ht="14.25" customHeight="1" x14ac:dyDescent="0.25">
      <c r="A440" s="703" t="s">
        <v>85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customHeight="1" x14ac:dyDescent="0.25">
      <c r="A441" s="60" t="s">
        <v>727</v>
      </c>
      <c r="B441" s="60" t="s">
        <v>728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128</v>
      </c>
      <c r="L441" s="35" t="s">
        <v>46</v>
      </c>
      <c r="M441" s="36" t="s">
        <v>89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729</v>
      </c>
      <c r="AG441" s="75"/>
      <c r="AJ441" s="79" t="s">
        <v>46</v>
      </c>
      <c r="AK441" s="79">
        <v>0</v>
      </c>
      <c r="BB441" s="536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customHeight="1" x14ac:dyDescent="0.25">
      <c r="A442" s="60" t="s">
        <v>730</v>
      </c>
      <c r="B442" s="60" t="s">
        <v>731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128</v>
      </c>
      <c r="L442" s="35" t="s">
        <v>46</v>
      </c>
      <c r="M442" s="36" t="s">
        <v>89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732</v>
      </c>
      <c r="AG442" s="75"/>
      <c r="AJ442" s="79" t="s">
        <v>46</v>
      </c>
      <c r="AK442" s="79">
        <v>0</v>
      </c>
      <c r="BB442" s="538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customHeight="1" x14ac:dyDescent="0.25">
      <c r="A443" s="60" t="s">
        <v>733</v>
      </c>
      <c r="B443" s="60" t="s">
        <v>734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128</v>
      </c>
      <c r="L443" s="35" t="s">
        <v>46</v>
      </c>
      <c r="M443" s="36" t="s">
        <v>89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735</v>
      </c>
      <c r="AG443" s="75"/>
      <c r="AJ443" s="79" t="s">
        <v>46</v>
      </c>
      <c r="AK443" s="79">
        <v>0</v>
      </c>
      <c r="BB443" s="540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customHeight="1" x14ac:dyDescent="0.25">
      <c r="A446" s="703" t="s">
        <v>173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customHeight="1" x14ac:dyDescent="0.25">
      <c r="A447" s="60" t="s">
        <v>736</v>
      </c>
      <c r="B447" s="60" t="s">
        <v>737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128</v>
      </c>
      <c r="L447" s="35" t="s">
        <v>46</v>
      </c>
      <c r="M447" s="36" t="s">
        <v>89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738</v>
      </c>
      <c r="AG447" s="75"/>
      <c r="AJ447" s="79" t="s">
        <v>46</v>
      </c>
      <c r="AK447" s="79">
        <v>0</v>
      </c>
      <c r="BB447" s="542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customHeight="1" x14ac:dyDescent="0.25">
      <c r="A448" s="60" t="s">
        <v>739</v>
      </c>
      <c r="B448" s="60" t="s">
        <v>740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128</v>
      </c>
      <c r="L448" s="35" t="s">
        <v>46</v>
      </c>
      <c r="M448" s="36" t="s">
        <v>89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741</v>
      </c>
      <c r="AG448" s="75"/>
      <c r="AJ448" s="79" t="s">
        <v>46</v>
      </c>
      <c r="AK448" s="79">
        <v>0</v>
      </c>
      <c r="BB448" s="544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customHeight="1" x14ac:dyDescent="0.25">
      <c r="A451" s="702" t="s">
        <v>742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customHeight="1" x14ac:dyDescent="0.25">
      <c r="A452" s="703" t="s">
        <v>123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customHeight="1" x14ac:dyDescent="0.25">
      <c r="A453" s="60" t="s">
        <v>743</v>
      </c>
      <c r="B453" s="60" t="s">
        <v>744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128</v>
      </c>
      <c r="L453" s="35" t="s">
        <v>46</v>
      </c>
      <c r="M453" s="36" t="s">
        <v>80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745</v>
      </c>
      <c r="AG453" s="75"/>
      <c r="AJ453" s="79" t="s">
        <v>46</v>
      </c>
      <c r="AK453" s="79">
        <v>0</v>
      </c>
      <c r="BB453" s="546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customHeight="1" x14ac:dyDescent="0.25">
      <c r="A454" s="60" t="s">
        <v>746</v>
      </c>
      <c r="B454" s="60" t="s">
        <v>747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135</v>
      </c>
      <c r="L454" s="35" t="s">
        <v>46</v>
      </c>
      <c r="M454" s="36" t="s">
        <v>80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745</v>
      </c>
      <c r="AG454" s="75"/>
      <c r="AJ454" s="79" t="s">
        <v>46</v>
      </c>
      <c r="AK454" s="79">
        <v>0</v>
      </c>
      <c r="BB454" s="548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customHeight="1" x14ac:dyDescent="0.25">
      <c r="A457" s="703" t="s">
        <v>76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customHeight="1" x14ac:dyDescent="0.25">
      <c r="A458" s="60" t="s">
        <v>748</v>
      </c>
      <c r="B458" s="60" t="s">
        <v>749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135</v>
      </c>
      <c r="L458" s="35" t="s">
        <v>46</v>
      </c>
      <c r="M458" s="36" t="s">
        <v>80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750</v>
      </c>
      <c r="AG458" s="75"/>
      <c r="AJ458" s="79" t="s">
        <v>46</v>
      </c>
      <c r="AK458" s="79">
        <v>0</v>
      </c>
      <c r="BB458" s="550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customHeight="1" x14ac:dyDescent="0.25">
      <c r="A461" s="703" t="s">
        <v>85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customHeight="1" x14ac:dyDescent="0.25">
      <c r="A462" s="60" t="s">
        <v>751</v>
      </c>
      <c r="B462" s="60" t="s">
        <v>752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128</v>
      </c>
      <c r="L462" s="35" t="s">
        <v>46</v>
      </c>
      <c r="M462" s="36" t="s">
        <v>89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753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754</v>
      </c>
      <c r="B463" s="60" t="s">
        <v>755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753</v>
      </c>
      <c r="AG463" s="75"/>
      <c r="AJ463" s="79" t="s">
        <v>46</v>
      </c>
      <c r="AK463" s="79">
        <v>0</v>
      </c>
      <c r="BB463" s="554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754</v>
      </c>
      <c r="B464" s="60" t="s">
        <v>756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90</v>
      </c>
      <c r="L464" s="35" t="s">
        <v>46</v>
      </c>
      <c r="M464" s="36" t="s">
        <v>89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757</v>
      </c>
      <c r="AG464" s="75"/>
      <c r="AJ464" s="79" t="s">
        <v>46</v>
      </c>
      <c r="AK464" s="79">
        <v>0</v>
      </c>
      <c r="BB464" s="556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customHeight="1" x14ac:dyDescent="0.2">
      <c r="A467" s="701" t="s">
        <v>758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customHeight="1" x14ac:dyDescent="0.25">
      <c r="A468" s="702" t="s">
        <v>759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customHeight="1" x14ac:dyDescent="0.25">
      <c r="A469" s="703" t="s">
        <v>76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customHeight="1" x14ac:dyDescent="0.25">
      <c r="A470" s="60" t="s">
        <v>760</v>
      </c>
      <c r="B470" s="60" t="s">
        <v>761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135</v>
      </c>
      <c r="L470" s="35" t="s">
        <v>46</v>
      </c>
      <c r="M470" s="36" t="s">
        <v>80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762</v>
      </c>
      <c r="AG470" s="75"/>
      <c r="AJ470" s="79" t="s">
        <v>46</v>
      </c>
      <c r="AK470" s="79">
        <v>0</v>
      </c>
      <c r="BB470" s="558" t="s">
        <v>67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customHeight="1" x14ac:dyDescent="0.25">
      <c r="A471" s="60" t="s">
        <v>763</v>
      </c>
      <c r="B471" s="60" t="s">
        <v>764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135</v>
      </c>
      <c r="L471" s="35" t="s">
        <v>46</v>
      </c>
      <c r="M471" s="36" t="s">
        <v>80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765</v>
      </c>
      <c r="AG471" s="75"/>
      <c r="AJ471" s="79" t="s">
        <v>46</v>
      </c>
      <c r="AK471" s="79">
        <v>0</v>
      </c>
      <c r="BB471" s="560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766</v>
      </c>
      <c r="B472" s="60" t="s">
        <v>767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762</v>
      </c>
      <c r="AG472" s="75"/>
      <c r="AJ472" s="79" t="s">
        <v>46</v>
      </c>
      <c r="AK472" s="79">
        <v>0</v>
      </c>
      <c r="BB472" s="562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768</v>
      </c>
      <c r="B473" s="60" t="s">
        <v>769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770</v>
      </c>
      <c r="AG473" s="75"/>
      <c r="AJ473" s="79" t="s">
        <v>46</v>
      </c>
      <c r="AK473" s="79">
        <v>0</v>
      </c>
      <c r="BB473" s="564" t="s">
        <v>67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customHeight="1" x14ac:dyDescent="0.25">
      <c r="A474" s="60" t="s">
        <v>771</v>
      </c>
      <c r="B474" s="60" t="s">
        <v>772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773</v>
      </c>
      <c r="AG474" s="75"/>
      <c r="AJ474" s="79" t="s">
        <v>46</v>
      </c>
      <c r="AK474" s="79">
        <v>0</v>
      </c>
      <c r="BB474" s="566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customHeight="1" x14ac:dyDescent="0.25">
      <c r="A475" s="60" t="s">
        <v>774</v>
      </c>
      <c r="B475" s="60" t="s">
        <v>775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81</v>
      </c>
      <c r="L475" s="35" t="s">
        <v>46</v>
      </c>
      <c r="M475" s="36" t="s">
        <v>80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770</v>
      </c>
      <c r="AG475" s="75"/>
      <c r="AJ475" s="79" t="s">
        <v>46</v>
      </c>
      <c r="AK475" s="79">
        <v>0</v>
      </c>
      <c r="BB475" s="568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customHeight="1" x14ac:dyDescent="0.25">
      <c r="A478" s="703" t="s">
        <v>85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customHeight="1" x14ac:dyDescent="0.25">
      <c r="A479" s="60" t="s">
        <v>776</v>
      </c>
      <c r="B479" s="60" t="s">
        <v>777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135</v>
      </c>
      <c r="L479" s="35" t="s">
        <v>46</v>
      </c>
      <c r="M479" s="36" t="s">
        <v>89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778</v>
      </c>
      <c r="AG479" s="75"/>
      <c r="AJ479" s="79" t="s">
        <v>46</v>
      </c>
      <c r="AK479" s="79">
        <v>0</v>
      </c>
      <c r="BB479" s="570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779</v>
      </c>
      <c r="B480" s="60" t="s">
        <v>780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90</v>
      </c>
      <c r="L480" s="35" t="s">
        <v>46</v>
      </c>
      <c r="M480" s="36" t="s">
        <v>89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781</v>
      </c>
      <c r="AG480" s="75"/>
      <c r="AJ480" s="79" t="s">
        <v>46</v>
      </c>
      <c r="AK480" s="79">
        <v>0</v>
      </c>
      <c r="BB480" s="572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702" t="s">
        <v>782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customHeight="1" x14ac:dyDescent="0.25">
      <c r="A484" s="703" t="s">
        <v>156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customHeight="1" x14ac:dyDescent="0.25">
      <c r="A485" s="60" t="s">
        <v>783</v>
      </c>
      <c r="B485" s="60" t="s">
        <v>784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90</v>
      </c>
      <c r="L485" s="35" t="s">
        <v>46</v>
      </c>
      <c r="M485" s="36" t="s">
        <v>80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785</v>
      </c>
      <c r="AG485" s="75"/>
      <c r="AJ485" s="79" t="s">
        <v>46</v>
      </c>
      <c r="AK485" s="79">
        <v>0</v>
      </c>
      <c r="BB485" s="574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customHeight="1" x14ac:dyDescent="0.25">
      <c r="A488" s="703" t="s">
        <v>76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customHeight="1" x14ac:dyDescent="0.25">
      <c r="A489" s="60" t="s">
        <v>786</v>
      </c>
      <c r="B489" s="60" t="s">
        <v>787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135</v>
      </c>
      <c r="L489" s="35" t="s">
        <v>46</v>
      </c>
      <c r="M489" s="36" t="s">
        <v>80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788</v>
      </c>
      <c r="AG489" s="75"/>
      <c r="AJ489" s="79" t="s">
        <v>46</v>
      </c>
      <c r="AK489" s="79">
        <v>0</v>
      </c>
      <c r="BB489" s="576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customHeight="1" x14ac:dyDescent="0.25">
      <c r="A490" s="60" t="s">
        <v>789</v>
      </c>
      <c r="B490" s="60" t="s">
        <v>790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791</v>
      </c>
      <c r="AG490" s="75"/>
      <c r="AJ490" s="79" t="s">
        <v>46</v>
      </c>
      <c r="AK490" s="79">
        <v>0</v>
      </c>
      <c r="BB490" s="578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customHeight="1" x14ac:dyDescent="0.25">
      <c r="A491" s="60" t="s">
        <v>792</v>
      </c>
      <c r="B491" s="60" t="s">
        <v>793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81</v>
      </c>
      <c r="L491" s="35" t="s">
        <v>46</v>
      </c>
      <c r="M491" s="36" t="s">
        <v>80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791</v>
      </c>
      <c r="AG491" s="75"/>
      <c r="AJ491" s="79" t="s">
        <v>46</v>
      </c>
      <c r="AK491" s="79">
        <v>0</v>
      </c>
      <c r="BB491" s="580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customHeight="1" x14ac:dyDescent="0.2">
      <c r="A494" s="701" t="s">
        <v>794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customHeight="1" x14ac:dyDescent="0.25">
      <c r="A495" s="702" t="s">
        <v>794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customHeight="1" x14ac:dyDescent="0.25">
      <c r="A496" s="703" t="s">
        <v>123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customHeight="1" x14ac:dyDescent="0.25">
      <c r="A497" s="60" t="s">
        <v>795</v>
      </c>
      <c r="B497" s="60" t="s">
        <v>796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128</v>
      </c>
      <c r="L497" s="35" t="s">
        <v>46</v>
      </c>
      <c r="M497" s="36" t="s">
        <v>89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126</v>
      </c>
      <c r="AG497" s="75"/>
      <c r="AJ497" s="79" t="s">
        <v>46</v>
      </c>
      <c r="AK497" s="79">
        <v>0</v>
      </c>
      <c r="BB497" s="582" t="s">
        <v>67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customHeight="1" x14ac:dyDescent="0.25">
      <c r="A498" s="60" t="s">
        <v>797</v>
      </c>
      <c r="B498" s="60" t="s">
        <v>798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128</v>
      </c>
      <c r="L498" s="35" t="s">
        <v>46</v>
      </c>
      <c r="M498" s="36" t="s">
        <v>127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799</v>
      </c>
      <c r="AG498" s="75"/>
      <c r="AJ498" s="79" t="s">
        <v>46</v>
      </c>
      <c r="AK498" s="79">
        <v>0</v>
      </c>
      <c r="BB498" s="584" t="s">
        <v>67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customHeight="1" x14ac:dyDescent="0.25">
      <c r="A499" s="60" t="s">
        <v>800</v>
      </c>
      <c r="B499" s="60" t="s">
        <v>801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128</v>
      </c>
      <c r="L499" s="35" t="s">
        <v>46</v>
      </c>
      <c r="M499" s="36" t="s">
        <v>127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802</v>
      </c>
      <c r="AG499" s="75"/>
      <c r="AJ499" s="79" t="s">
        <v>46</v>
      </c>
      <c r="AK499" s="79">
        <v>0</v>
      </c>
      <c r="BB499" s="586" t="s">
        <v>67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customHeight="1" x14ac:dyDescent="0.25">
      <c r="A500" s="60" t="s">
        <v>803</v>
      </c>
      <c r="B500" s="60" t="s">
        <v>804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128</v>
      </c>
      <c r="L500" s="35" t="s">
        <v>46</v>
      </c>
      <c r="M500" s="36" t="s">
        <v>127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805</v>
      </c>
      <c r="AG500" s="75"/>
      <c r="AJ500" s="79" t="s">
        <v>46</v>
      </c>
      <c r="AK500" s="79">
        <v>0</v>
      </c>
      <c r="BB500" s="588" t="s">
        <v>67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customHeight="1" x14ac:dyDescent="0.25">
      <c r="A501" s="60" t="s">
        <v>806</v>
      </c>
      <c r="B501" s="60" t="s">
        <v>807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128</v>
      </c>
      <c r="L501" s="35" t="s">
        <v>46</v>
      </c>
      <c r="M501" s="36" t="s">
        <v>89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808</v>
      </c>
      <c r="AG501" s="75"/>
      <c r="AJ501" s="79" t="s">
        <v>46</v>
      </c>
      <c r="AK501" s="79">
        <v>0</v>
      </c>
      <c r="BB501" s="590" t="s">
        <v>67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customHeight="1" x14ac:dyDescent="0.25">
      <c r="A502" s="60" t="s">
        <v>809</v>
      </c>
      <c r="B502" s="60" t="s">
        <v>810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128</v>
      </c>
      <c r="L502" s="35" t="s">
        <v>46</v>
      </c>
      <c r="M502" s="36" t="s">
        <v>127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811</v>
      </c>
      <c r="AG502" s="75"/>
      <c r="AJ502" s="79" t="s">
        <v>46</v>
      </c>
      <c r="AK502" s="79">
        <v>0</v>
      </c>
      <c r="BB502" s="592" t="s">
        <v>67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customHeight="1" x14ac:dyDescent="0.25">
      <c r="A503" s="60" t="s">
        <v>812</v>
      </c>
      <c r="B503" s="60" t="s">
        <v>813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90</v>
      </c>
      <c r="L503" s="35" t="s">
        <v>46</v>
      </c>
      <c r="M503" s="36" t="s">
        <v>89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126</v>
      </c>
      <c r="AG503" s="75"/>
      <c r="AJ503" s="79" t="s">
        <v>46</v>
      </c>
      <c r="AK503" s="79">
        <v>0</v>
      </c>
      <c r="BB503" s="594" t="s">
        <v>67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customHeight="1" x14ac:dyDescent="0.25">
      <c r="A504" s="60" t="s">
        <v>814</v>
      </c>
      <c r="B504" s="60" t="s">
        <v>815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135</v>
      </c>
      <c r="L504" s="35" t="s">
        <v>46</v>
      </c>
      <c r="M504" s="36" t="s">
        <v>89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126</v>
      </c>
      <c r="AG504" s="75"/>
      <c r="AJ504" s="79" t="s">
        <v>46</v>
      </c>
      <c r="AK504" s="79">
        <v>0</v>
      </c>
      <c r="BB504" s="596" t="s">
        <v>67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customHeight="1" x14ac:dyDescent="0.25">
      <c r="A505" s="60" t="s">
        <v>816</v>
      </c>
      <c r="B505" s="60" t="s">
        <v>817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135</v>
      </c>
      <c r="L505" s="35" t="s">
        <v>46</v>
      </c>
      <c r="M505" s="36" t="s">
        <v>127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811</v>
      </c>
      <c r="AG505" s="75"/>
      <c r="AJ505" s="79" t="s">
        <v>46</v>
      </c>
      <c r="AK505" s="79">
        <v>0</v>
      </c>
      <c r="BB505" s="598" t="s">
        <v>67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customHeight="1" x14ac:dyDescent="0.25">
      <c r="A508" s="703" t="s">
        <v>156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customHeight="1" x14ac:dyDescent="0.25">
      <c r="A509" s="60" t="s">
        <v>818</v>
      </c>
      <c r="B509" s="60" t="s">
        <v>819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128</v>
      </c>
      <c r="L509" s="35" t="s">
        <v>46</v>
      </c>
      <c r="M509" s="36" t="s">
        <v>89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820</v>
      </c>
      <c r="AG509" s="75"/>
      <c r="AJ509" s="79" t="s">
        <v>46</v>
      </c>
      <c r="AK509" s="79">
        <v>0</v>
      </c>
      <c r="BB509" s="600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821</v>
      </c>
      <c r="B510" s="60" t="s">
        <v>822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127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820</v>
      </c>
      <c r="AG510" s="75"/>
      <c r="AJ510" s="79" t="s">
        <v>46</v>
      </c>
      <c r="AK510" s="79">
        <v>0</v>
      </c>
      <c r="BB510" s="602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customHeight="1" x14ac:dyDescent="0.25">
      <c r="A511" s="60" t="s">
        <v>823</v>
      </c>
      <c r="B511" s="60" t="s">
        <v>824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135</v>
      </c>
      <c r="L511" s="35" t="s">
        <v>46</v>
      </c>
      <c r="M511" s="36" t="s">
        <v>127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820</v>
      </c>
      <c r="AG511" s="75"/>
      <c r="AJ511" s="79" t="s">
        <v>46</v>
      </c>
      <c r="AK511" s="79">
        <v>0</v>
      </c>
      <c r="BB511" s="604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customHeight="1" x14ac:dyDescent="0.25">
      <c r="A514" s="703" t="s">
        <v>76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customHeight="1" x14ac:dyDescent="0.25">
      <c r="A515" s="60" t="s">
        <v>825</v>
      </c>
      <c r="B515" s="60" t="s">
        <v>826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128</v>
      </c>
      <c r="L515" s="35" t="s">
        <v>46</v>
      </c>
      <c r="M515" s="36" t="s">
        <v>127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827</v>
      </c>
      <c r="AG515" s="75"/>
      <c r="AJ515" s="79" t="s">
        <v>46</v>
      </c>
      <c r="AK515" s="79">
        <v>0</v>
      </c>
      <c r="BB515" s="606" t="s">
        <v>67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customHeight="1" x14ac:dyDescent="0.25">
      <c r="A516" s="60" t="s">
        <v>828</v>
      </c>
      <c r="B516" s="60" t="s">
        <v>829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128</v>
      </c>
      <c r="L516" s="35" t="s">
        <v>46</v>
      </c>
      <c r="M516" s="36" t="s">
        <v>80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830</v>
      </c>
      <c r="AG516" s="75"/>
      <c r="AJ516" s="79" t="s">
        <v>46</v>
      </c>
      <c r="AK516" s="79">
        <v>0</v>
      </c>
      <c r="BB516" s="608" t="s">
        <v>67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customHeight="1" x14ac:dyDescent="0.25">
      <c r="A517" s="60" t="s">
        <v>831</v>
      </c>
      <c r="B517" s="60" t="s">
        <v>832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128</v>
      </c>
      <c r="L517" s="35" t="s">
        <v>46</v>
      </c>
      <c r="M517" s="36" t="s">
        <v>80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833</v>
      </c>
      <c r="AG517" s="75"/>
      <c r="AJ517" s="79" t="s">
        <v>46</v>
      </c>
      <c r="AK517" s="79">
        <v>0</v>
      </c>
      <c r="BB517" s="610" t="s">
        <v>67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customHeight="1" x14ac:dyDescent="0.25">
      <c r="A518" s="60" t="s">
        <v>834</v>
      </c>
      <c r="B518" s="60" t="s">
        <v>835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135</v>
      </c>
      <c r="L518" s="35" t="s">
        <v>46</v>
      </c>
      <c r="M518" s="36" t="s">
        <v>127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827</v>
      </c>
      <c r="AG518" s="75"/>
      <c r="AJ518" s="79" t="s">
        <v>46</v>
      </c>
      <c r="AK518" s="79">
        <v>0</v>
      </c>
      <c r="BB518" s="612" t="s">
        <v>67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customHeight="1" x14ac:dyDescent="0.25">
      <c r="A519" s="60" t="s">
        <v>836</v>
      </c>
      <c r="B519" s="60" t="s">
        <v>837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135</v>
      </c>
      <c r="L519" s="35" t="s">
        <v>46</v>
      </c>
      <c r="M519" s="36" t="s">
        <v>80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830</v>
      </c>
      <c r="AG519" s="75"/>
      <c r="AJ519" s="79" t="s">
        <v>46</v>
      </c>
      <c r="AK519" s="79">
        <v>0</v>
      </c>
      <c r="BB519" s="614" t="s">
        <v>67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customHeight="1" x14ac:dyDescent="0.25">
      <c r="A520" s="60" t="s">
        <v>836</v>
      </c>
      <c r="B520" s="60" t="s">
        <v>838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135</v>
      </c>
      <c r="L520" s="35" t="s">
        <v>46</v>
      </c>
      <c r="M520" s="36" t="s">
        <v>80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830</v>
      </c>
      <c r="AG520" s="75"/>
      <c r="AJ520" s="79" t="s">
        <v>46</v>
      </c>
      <c r="AK520" s="79">
        <v>0</v>
      </c>
      <c r="BB520" s="616" t="s">
        <v>67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customHeight="1" x14ac:dyDescent="0.25">
      <c r="A521" s="60" t="s">
        <v>839</v>
      </c>
      <c r="B521" s="60" t="s">
        <v>840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135</v>
      </c>
      <c r="L521" s="35" t="s">
        <v>46</v>
      </c>
      <c r="M521" s="36" t="s">
        <v>80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833</v>
      </c>
      <c r="AG521" s="75"/>
      <c r="AJ521" s="79" t="s">
        <v>46</v>
      </c>
      <c r="AK521" s="79">
        <v>0</v>
      </c>
      <c r="BB521" s="618" t="s">
        <v>67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customHeight="1" x14ac:dyDescent="0.2">
      <c r="A524" s="701" t="s">
        <v>841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customHeight="1" x14ac:dyDescent="0.25">
      <c r="A525" s="702" t="s">
        <v>841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customHeight="1" x14ac:dyDescent="0.25">
      <c r="A526" s="703" t="s">
        <v>123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customHeight="1" x14ac:dyDescent="0.25">
      <c r="A527" s="60" t="s">
        <v>842</v>
      </c>
      <c r="B527" s="60" t="s">
        <v>843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128</v>
      </c>
      <c r="L527" s="35" t="s">
        <v>46</v>
      </c>
      <c r="M527" s="36" t="s">
        <v>127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844</v>
      </c>
      <c r="AG527" s="75"/>
      <c r="AJ527" s="79" t="s">
        <v>46</v>
      </c>
      <c r="AK527" s="79">
        <v>0</v>
      </c>
      <c r="BB527" s="620" t="s">
        <v>67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customHeight="1" x14ac:dyDescent="0.25">
      <c r="A530" s="703" t="s">
        <v>156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customHeight="1" x14ac:dyDescent="0.25">
      <c r="A531" s="60" t="s">
        <v>845</v>
      </c>
      <c r="B531" s="60" t="s">
        <v>846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128</v>
      </c>
      <c r="L531" s="35" t="s">
        <v>46</v>
      </c>
      <c r="M531" s="36" t="s">
        <v>127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847</v>
      </c>
      <c r="AG531" s="75"/>
      <c r="AJ531" s="79" t="s">
        <v>46</v>
      </c>
      <c r="AK531" s="79">
        <v>0</v>
      </c>
      <c r="BB531" s="622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customHeight="1" x14ac:dyDescent="0.25">
      <c r="A534" s="703" t="s">
        <v>76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customHeight="1" x14ac:dyDescent="0.25">
      <c r="A535" s="60" t="s">
        <v>848</v>
      </c>
      <c r="B535" s="60" t="s">
        <v>849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135</v>
      </c>
      <c r="L535" s="35" t="s">
        <v>46</v>
      </c>
      <c r="M535" s="36" t="s">
        <v>80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850</v>
      </c>
      <c r="AG535" s="75"/>
      <c r="AJ535" s="79" t="s">
        <v>46</v>
      </c>
      <c r="AK535" s="79">
        <v>0</v>
      </c>
      <c r="BB535" s="624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customHeight="1" x14ac:dyDescent="0.25">
      <c r="A538" s="703" t="s">
        <v>85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128</v>
      </c>
      <c r="L539" s="35" t="s">
        <v>46</v>
      </c>
      <c r="M539" s="36" t="s">
        <v>89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853</v>
      </c>
      <c r="AG539" s="75"/>
      <c r="AJ539" s="79" t="s">
        <v>46</v>
      </c>
      <c r="AK539" s="79">
        <v>0</v>
      </c>
      <c r="BB539" s="626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customHeight="1" x14ac:dyDescent="0.25">
      <c r="A542" s="703" t="s">
        <v>173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customHeight="1" x14ac:dyDescent="0.25">
      <c r="A543" s="60" t="s">
        <v>854</v>
      </c>
      <c r="B543" s="60" t="s">
        <v>855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128</v>
      </c>
      <c r="L543" s="35" t="s">
        <v>46</v>
      </c>
      <c r="M543" s="36" t="s">
        <v>89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856</v>
      </c>
      <c r="AG543" s="75"/>
      <c r="AJ543" s="79" t="s">
        <v>46</v>
      </c>
      <c r="AK543" s="79">
        <v>0</v>
      </c>
      <c r="BB543" s="628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857</v>
      </c>
      <c r="B544" s="60" t="s">
        <v>858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128</v>
      </c>
      <c r="L544" s="35" t="s">
        <v>46</v>
      </c>
      <c r="M544" s="36" t="s">
        <v>89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859</v>
      </c>
      <c r="AG544" s="75"/>
      <c r="AJ544" s="79" t="s">
        <v>46</v>
      </c>
      <c r="AK544" s="79">
        <v>0</v>
      </c>
      <c r="BB544" s="630" t="s">
        <v>67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customHeight="1" x14ac:dyDescent="0.25">
      <c r="A547" s="702" t="s">
        <v>860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customHeight="1" x14ac:dyDescent="0.25">
      <c r="A548" s="703" t="s">
        <v>156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customHeight="1" x14ac:dyDescent="0.25">
      <c r="A549" s="60" t="s">
        <v>861</v>
      </c>
      <c r="B549" s="60" t="s">
        <v>862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128</v>
      </c>
      <c r="L549" s="35" t="s">
        <v>46</v>
      </c>
      <c r="M549" s="36" t="s">
        <v>127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863</v>
      </c>
      <c r="AG549" s="75"/>
      <c r="AJ549" s="79" t="s">
        <v>46</v>
      </c>
      <c r="AK549" s="79">
        <v>0</v>
      </c>
      <c r="BB549" s="632" t="s">
        <v>67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1200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1215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1237.5999999999999</v>
      </c>
      <c r="Y553" s="41">
        <f>IFERROR(SUM(BN22:BN549),"0")</f>
        <v>1253.07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2</v>
      </c>
      <c r="Y554" s="42">
        <f>ROUNDUP(SUM(BP22:BP549),0)</f>
        <v>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1287.5999999999999</v>
      </c>
      <c r="Y555" s="41">
        <f>GrossWeightTotalR+PalletQtyTotalR*25</f>
        <v>1303.07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80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81</v>
      </c>
      <c r="Z556" s="40"/>
      <c r="AA556" s="64"/>
      <c r="AB556" s="64"/>
      <c r="AC556" s="64"/>
    </row>
    <row r="557" spans="1:68" ht="14.25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1.7617499999999997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75</v>
      </c>
      <c r="C559" s="80" t="s">
        <v>45</v>
      </c>
      <c r="D559" s="992" t="s">
        <v>121</v>
      </c>
      <c r="E559" s="992" t="s">
        <v>121</v>
      </c>
      <c r="F559" s="992" t="s">
        <v>121</v>
      </c>
      <c r="G559" s="992" t="s">
        <v>121</v>
      </c>
      <c r="H559" s="992" t="s">
        <v>121</v>
      </c>
      <c r="I559" s="992" t="s">
        <v>121</v>
      </c>
      <c r="J559" s="992" t="s">
        <v>121</v>
      </c>
      <c r="K559" s="992" t="s">
        <v>349</v>
      </c>
      <c r="L559" s="992" t="s">
        <v>349</v>
      </c>
      <c r="M559" s="992" t="s">
        <v>349</v>
      </c>
      <c r="N559" s="993"/>
      <c r="O559" s="992" t="s">
        <v>349</v>
      </c>
      <c r="P559" s="992" t="s">
        <v>349</v>
      </c>
      <c r="Q559" s="992" t="s">
        <v>349</v>
      </c>
      <c r="R559" s="992" t="s">
        <v>349</v>
      </c>
      <c r="S559" s="992" t="s">
        <v>349</v>
      </c>
      <c r="T559" s="992" t="s">
        <v>349</v>
      </c>
      <c r="U559" s="992" t="s">
        <v>349</v>
      </c>
      <c r="V559" s="992" t="s">
        <v>349</v>
      </c>
      <c r="W559" s="992" t="s">
        <v>692</v>
      </c>
      <c r="X559" s="992" t="s">
        <v>692</v>
      </c>
      <c r="Y559" s="992" t="s">
        <v>758</v>
      </c>
      <c r="Z559" s="992" t="s">
        <v>758</v>
      </c>
      <c r="AA559" s="80" t="s">
        <v>794</v>
      </c>
      <c r="AB559" s="992" t="s">
        <v>841</v>
      </c>
      <c r="AC559" s="992" t="s">
        <v>841</v>
      </c>
      <c r="AF559" s="1"/>
    </row>
    <row r="560" spans="1:68" ht="14.25" customHeight="1" thickTop="1" x14ac:dyDescent="0.2">
      <c r="A560" s="994" t="s">
        <v>10</v>
      </c>
      <c r="B560" s="992" t="s">
        <v>75</v>
      </c>
      <c r="C560" s="992" t="s">
        <v>103</v>
      </c>
      <c r="D560" s="992" t="s">
        <v>122</v>
      </c>
      <c r="E560" s="992" t="s">
        <v>138</v>
      </c>
      <c r="F560" s="992" t="s">
        <v>180</v>
      </c>
      <c r="G560" s="992" t="s">
        <v>201</v>
      </c>
      <c r="H560" s="992" t="s">
        <v>241</v>
      </c>
      <c r="I560" s="992" t="s">
        <v>265</v>
      </c>
      <c r="J560" s="992" t="s">
        <v>121</v>
      </c>
      <c r="K560" s="992" t="s">
        <v>350</v>
      </c>
      <c r="L560" s="992" t="s">
        <v>371</v>
      </c>
      <c r="M560" s="992" t="s">
        <v>438</v>
      </c>
      <c r="N560" s="1"/>
      <c r="O560" s="992" t="s">
        <v>506</v>
      </c>
      <c r="P560" s="992" t="s">
        <v>539</v>
      </c>
      <c r="Q560" s="992" t="s">
        <v>555</v>
      </c>
      <c r="R560" s="992" t="s">
        <v>564</v>
      </c>
      <c r="S560" s="992" t="s">
        <v>585</v>
      </c>
      <c r="T560" s="992" t="s">
        <v>594</v>
      </c>
      <c r="U560" s="992" t="s">
        <v>675</v>
      </c>
      <c r="V560" s="992" t="s">
        <v>682</v>
      </c>
      <c r="W560" s="992" t="s">
        <v>693</v>
      </c>
      <c r="X560" s="992" t="s">
        <v>742</v>
      </c>
      <c r="Y560" s="992" t="s">
        <v>759</v>
      </c>
      <c r="Z560" s="992" t="s">
        <v>782</v>
      </c>
      <c r="AA560" s="992" t="s">
        <v>794</v>
      </c>
      <c r="AB560" s="992" t="s">
        <v>841</v>
      </c>
      <c r="AC560" s="992" t="s">
        <v>860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1215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9"/>
    </row>
    <row r="3" spans="2:8" x14ac:dyDescent="0.2">
      <c r="B3" s="51" t="s">
        <v>865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867</v>
      </c>
      <c r="C6" s="51" t="s">
        <v>868</v>
      </c>
      <c r="D6" s="51" t="s">
        <v>869</v>
      </c>
      <c r="E6" s="51" t="s">
        <v>46</v>
      </c>
    </row>
    <row r="7" spans="2:8" x14ac:dyDescent="0.2">
      <c r="B7" s="51" t="s">
        <v>870</v>
      </c>
      <c r="C7" s="51" t="s">
        <v>871</v>
      </c>
      <c r="D7" s="51" t="s">
        <v>872</v>
      </c>
      <c r="E7" s="51" t="s">
        <v>46</v>
      </c>
    </row>
    <row r="8" spans="2:8" x14ac:dyDescent="0.2">
      <c r="B8" s="51" t="s">
        <v>873</v>
      </c>
      <c r="C8" s="51" t="s">
        <v>874</v>
      </c>
      <c r="D8" s="51" t="s">
        <v>875</v>
      </c>
      <c r="E8" s="51" t="s">
        <v>46</v>
      </c>
    </row>
    <row r="9" spans="2:8" x14ac:dyDescent="0.2">
      <c r="B9" s="51" t="s">
        <v>876</v>
      </c>
      <c r="C9" s="51" t="s">
        <v>877</v>
      </c>
      <c r="D9" s="51" t="s">
        <v>878</v>
      </c>
      <c r="E9" s="51" t="s">
        <v>46</v>
      </c>
    </row>
    <row r="10" spans="2:8" x14ac:dyDescent="0.2">
      <c r="B10" s="51" t="s">
        <v>879</v>
      </c>
      <c r="C10" s="51" t="s">
        <v>880</v>
      </c>
      <c r="D10" s="51" t="s">
        <v>881</v>
      </c>
      <c r="E10" s="51" t="s">
        <v>46</v>
      </c>
    </row>
    <row r="11" spans="2:8" x14ac:dyDescent="0.2">
      <c r="B11" s="51" t="s">
        <v>882</v>
      </c>
      <c r="C11" s="51" t="s">
        <v>883</v>
      </c>
      <c r="D11" s="51" t="s">
        <v>884</v>
      </c>
      <c r="E11" s="51" t="s">
        <v>46</v>
      </c>
    </row>
    <row r="12" spans="2:8" x14ac:dyDescent="0.2">
      <c r="B12" s="51" t="s">
        <v>885</v>
      </c>
      <c r="C12" s="51" t="s">
        <v>886</v>
      </c>
      <c r="D12" s="51" t="s">
        <v>887</v>
      </c>
      <c r="E12" s="51" t="s">
        <v>46</v>
      </c>
    </row>
    <row r="14" spans="2:8" x14ac:dyDescent="0.2">
      <c r="B14" s="51" t="s">
        <v>888</v>
      </c>
      <c r="C14" s="51" t="s">
        <v>868</v>
      </c>
      <c r="D14" s="51" t="s">
        <v>46</v>
      </c>
      <c r="E14" s="51" t="s">
        <v>46</v>
      </c>
    </row>
    <row r="16" spans="2:8" x14ac:dyDescent="0.2">
      <c r="B16" s="51" t="s">
        <v>889</v>
      </c>
      <c r="C16" s="51" t="s">
        <v>871</v>
      </c>
      <c r="D16" s="51" t="s">
        <v>46</v>
      </c>
      <c r="E16" s="51" t="s">
        <v>46</v>
      </c>
    </row>
    <row r="18" spans="2:5" x14ac:dyDescent="0.2">
      <c r="B18" s="51" t="s">
        <v>890</v>
      </c>
      <c r="C18" s="51" t="s">
        <v>874</v>
      </c>
      <c r="D18" s="51" t="s">
        <v>46</v>
      </c>
      <c r="E18" s="51" t="s">
        <v>46</v>
      </c>
    </row>
    <row r="20" spans="2:5" x14ac:dyDescent="0.2">
      <c r="B20" s="51" t="s">
        <v>891</v>
      </c>
      <c r="C20" s="51" t="s">
        <v>877</v>
      </c>
      <c r="D20" s="51" t="s">
        <v>46</v>
      </c>
      <c r="E20" s="51" t="s">
        <v>46</v>
      </c>
    </row>
    <row r="22" spans="2:5" x14ac:dyDescent="0.2">
      <c r="B22" s="51" t="s">
        <v>892</v>
      </c>
      <c r="C22" s="51" t="s">
        <v>880</v>
      </c>
      <c r="D22" s="51" t="s">
        <v>46</v>
      </c>
      <c r="E22" s="51" t="s">
        <v>46</v>
      </c>
    </row>
    <row r="24" spans="2:5" x14ac:dyDescent="0.2">
      <c r="B24" s="51" t="s">
        <v>893</v>
      </c>
      <c r="C24" s="51" t="s">
        <v>883</v>
      </c>
      <c r="D24" s="51" t="s">
        <v>46</v>
      </c>
      <c r="E24" s="51" t="s">
        <v>46</v>
      </c>
    </row>
    <row r="26" spans="2:5" x14ac:dyDescent="0.2">
      <c r="B26" s="51" t="s">
        <v>894</v>
      </c>
      <c r="C26" s="51" t="s">
        <v>886</v>
      </c>
      <c r="D26" s="51" t="s">
        <v>46</v>
      </c>
      <c r="E26" s="51" t="s">
        <v>46</v>
      </c>
    </row>
    <row r="28" spans="2:5" x14ac:dyDescent="0.2">
      <c r="B28" s="51" t="s">
        <v>895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905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2026-08-22T14:54:29Z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