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1-11.08.26_Г+Л\"/>
    </mc:Choice>
  </mc:AlternateContent>
  <xr:revisionPtr revIDLastSave="0" documentId="8_{048D624F-D075-4317-B947-E18D62F906D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<sst xmlns="http://schemas.openxmlformats.org/spreadsheetml/2006/main" count="3643" uniqueCount="787">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</sst>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>
        <v>46245</v>
      </c>
      <c r="R5" s="556"/>
      <c r="T5" s="557" t="s">
        <v>3</v>
      </c>
      <c r="U5" s="558"/>
      <c r="V5" s="559" t="s">
        <v>750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>Вторник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/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>
        <v>46245</v>
      </c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>
        <v>0.54166666666666663</v>
      </c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777.6</v>
      </c>
      <c r="Y42" s="53">
        <f>IFERROR(IF(X42="",0,CEILING((X42/$H42),1)*$H42),"")</f>
        <v>777.6</v>
      </c>
      <c r="Z42" s="39">
        <f>IFERROR(IF(Y42=0,"",ROUNDUP(Y42/H42,0)*0.01898),"")</f>
        <v>1.36656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807.12</v>
      </c>
      <c r="BN42" s="75">
        <f>IFERROR(Y42*I42/H42,"0")</f>
        <v>807.12</v>
      </c>
      <c r="BO42" s="75">
        <f>IFERROR(1/J42*(X42/H42),"0")</f>
        <v>1.125</v>
      </c>
      <c r="BP42" s="75">
        <f>IFERROR(1/J42*(Y42/H42),"0")</f>
        <v>1.125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72</v>
      </c>
      <c r="Y45" s="41">
        <f>IFERROR(Y42/H42,"0")+IFERROR(Y43/H43,"0")+IFERROR(Y44/H44,"0")</f>
        <v>72</v>
      </c>
      <c r="Z45" s="41">
        <f>IFERROR(IF(Z42="",0,Z42),"0")+IFERROR(IF(Z43="",0,Z43),"0")+IFERROR(IF(Z44="",0,Z44),"0")</f>
        <v>1.36656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777.6</v>
      </c>
      <c r="Y46" s="41">
        <f>IFERROR(SUM(Y42:Y44),"0")</f>
        <v>777.6</v>
      </c>
      <c r="Z46" s="40"/>
      <c r="AA46" s="64"/>
      <c r="AB46" s="64"/>
      <c r="AC46" s="64"/>
    </row>
    <row r="47" spans="1:68" ht="14.25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432</v>
      </c>
      <c r="Y54" s="53">
        <f t="shared" si="6"/>
        <v>432</v>
      </c>
      <c r="Z54" s="39">
        <f>IFERROR(IF(Y54=0,"",ROUNDUP(Y54/H54,0)*0.01898),"")</f>
        <v>0.75919999999999999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448.4</v>
      </c>
      <c r="BN54" s="75">
        <f t="shared" si="8"/>
        <v>448.4</v>
      </c>
      <c r="BO54" s="75">
        <f t="shared" si="9"/>
        <v>0.625</v>
      </c>
      <c r="BP54" s="75">
        <f t="shared" si="10"/>
        <v>0.625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56</v>
      </c>
      <c r="Y59" s="41">
        <f>IFERROR(Y53/H53,"0")+IFERROR(Y54/H54,"0")+IFERROR(Y55/H55,"0")+IFERROR(Y56/H56,"0")+IFERROR(Y57/H57,"0")+IFERROR(Y58/H58,"0")</f>
        <v>56</v>
      </c>
      <c r="Z59" s="41">
        <f>IFERROR(IF(Z53="",0,Z53),"0")+IFERROR(IF(Z54="",0,Z54),"0")+IFERROR(IF(Z55="",0,Z55),"0")+IFERROR(IF(Z56="",0,Z56),"0")+IFERROR(IF(Z57="",0,Z57),"0")+IFERROR(IF(Z58="",0,Z58),"0")</f>
        <v>1.06288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611.20000000000005</v>
      </c>
      <c r="Y60" s="41">
        <f>IFERROR(SUM(Y53:Y58),"0")</f>
        <v>611.20000000000005</v>
      </c>
      <c r="Z60" s="40"/>
      <c r="AA60" s="64"/>
      <c r="AB60" s="64"/>
      <c r="AC60" s="64"/>
    </row>
    <row r="61" spans="1:68" ht="14.25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345.6</v>
      </c>
      <c r="Y86" s="53">
        <f>IFERROR(IF(X86="",0,CEILING((X86/$H86),1)*$H86),"")</f>
        <v>345.6</v>
      </c>
      <c r="Z86" s="39">
        <f>IFERROR(IF(Y86=0,"",ROUNDUP(Y86/H86,0)*0.01898),"")</f>
        <v>0.60736000000000001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358.72</v>
      </c>
      <c r="BN86" s="75">
        <f>IFERROR(Y86*I86/H86,"0")</f>
        <v>358.72</v>
      </c>
      <c r="BO86" s="75">
        <f>IFERROR(1/J86*(X86/H86),"0")</f>
        <v>0.5</v>
      </c>
      <c r="BP86" s="75">
        <f>IFERROR(1/J86*(Y86/H86),"0")</f>
        <v>0.5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32</v>
      </c>
      <c r="Y90" s="41">
        <f>IFERROR(Y86/H86,"0")+IFERROR(Y87/H87,"0")+IFERROR(Y88/H88,"0")+IFERROR(Y89/H89,"0")</f>
        <v>32</v>
      </c>
      <c r="Z90" s="41">
        <f>IFERROR(IF(Z86="",0,Z86),"0")+IFERROR(IF(Z87="",0,Z87),"0")+IFERROR(IF(Z88="",0,Z88),"0")+IFERROR(IF(Z89="",0,Z89),"0")</f>
        <v>0.60736000000000001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345.6</v>
      </c>
      <c r="Y91" s="41">
        <f>IFERROR(SUM(Y86:Y89),"0")</f>
        <v>345.6</v>
      </c>
      <c r="Z91" s="40"/>
      <c r="AA91" s="64"/>
      <c r="AB91" s="64"/>
      <c r="AC91" s="64"/>
    </row>
    <row r="92" spans="1:68" ht="14.25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259.2</v>
      </c>
      <c r="Y93" s="53">
        <f>IFERROR(IF(X93="",0,CEILING((X93/$H93),1)*$H93),"")</f>
        <v>259.2</v>
      </c>
      <c r="Z93" s="39">
        <f>IFERROR(IF(Y93=0,"",ROUNDUP(Y93/H93,0)*0.01898),"")</f>
        <v>0.60736000000000001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275.00799999999998</v>
      </c>
      <c r="BN93" s="75">
        <f>IFERROR(Y93*I93/H93,"0")</f>
        <v>275.00799999999998</v>
      </c>
      <c r="BO93" s="75">
        <f>IFERROR(1/J93*(X93/H93),"0")</f>
        <v>0.5</v>
      </c>
      <c r="BP93" s="75">
        <f>IFERROR(1/J93*(Y93/H93),"0")</f>
        <v>0.5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60</v>
      </c>
      <c r="Y97" s="41">
        <f>IFERROR(Y93/H93,"0")+IFERROR(Y94/H94,"0")+IFERROR(Y95/H95,"0")+IFERROR(Y96/H96,"0")</f>
        <v>60</v>
      </c>
      <c r="Z97" s="41">
        <f>IFERROR(IF(Z93="",0,Z93),"0")+IFERROR(IF(Z94="",0,Z94),"0")+IFERROR(IF(Z95="",0,Z95),"0")+IFERROR(IF(Z96="",0,Z96),"0")</f>
        <v>0.78964000000000001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334.79999999999995</v>
      </c>
      <c r="Y98" s="41">
        <f>IFERROR(SUM(Y93:Y96),"0")</f>
        <v>334.8</v>
      </c>
      <c r="Z98" s="40"/>
      <c r="AA98" s="64"/>
      <c r="AB98" s="64"/>
      <c r="AC98" s="64"/>
    </row>
    <row r="99" spans="1:68" ht="16.5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1036.8</v>
      </c>
      <c r="Y101" s="53">
        <f>IFERROR(IF(X101="",0,CEILING((X101/$H101),1)*$H101),"")</f>
        <v>1036.8000000000002</v>
      </c>
      <c r="Z101" s="39">
        <f>IFERROR(IF(Y101=0,"",ROUNDUP(Y101/H101,0)*0.01898),"")</f>
        <v>1.8220800000000001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1076.1599999999999</v>
      </c>
      <c r="BN101" s="75">
        <f>IFERROR(Y101*I101/H101,"0")</f>
        <v>1076.1600000000001</v>
      </c>
      <c r="BO101" s="75">
        <f>IFERROR(1/J101*(X101/H101),"0")</f>
        <v>1.4999999999999998</v>
      </c>
      <c r="BP101" s="75">
        <f>IFERROR(1/J101*(Y101/H101),"0")</f>
        <v>1.5000000000000002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95.999999999999986</v>
      </c>
      <c r="Y106" s="41">
        <f>IFERROR(Y101/H101,"0")+IFERROR(Y102/H102,"0")+IFERROR(Y103/H103,"0")+IFERROR(Y104/H104,"0")+IFERROR(Y105/H105,"0")</f>
        <v>96.000000000000014</v>
      </c>
      <c r="Z106" s="41">
        <f>IFERROR(IF(Z101="",0,Z101),"0")+IFERROR(IF(Z102="",0,Z102),"0")+IFERROR(IF(Z103="",0,Z103),"0")+IFERROR(IF(Z104="",0,Z104),"0")+IFERROR(IF(Z105="",0,Z105),"0")</f>
        <v>1.8220800000000001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1036.8</v>
      </c>
      <c r="Y107" s="41">
        <f>IFERROR(SUM(Y101:Y105),"0")</f>
        <v>1036.8000000000002</v>
      </c>
      <c r="Z107" s="40"/>
      <c r="AA107" s="64"/>
      <c r="AB107" s="64"/>
      <c r="AC107" s="64"/>
    </row>
    <row r="108" spans="1:68" ht="14.25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64</v>
      </c>
      <c r="Y120" s="41">
        <f>IFERROR(Y116/H116,"0")+IFERROR(Y117/H117,"0")+IFERROR(Y118/H118,"0")+IFERROR(Y119/H119,"0")</f>
        <v>64</v>
      </c>
      <c r="Z120" s="41">
        <f>IFERROR(IF(Z116="",0,Z116),"0")+IFERROR(IF(Z117="",0,Z117),"0")+IFERROR(IF(Z118="",0,Z118),"0")+IFERROR(IF(Z119="",0,Z119),"0")</f>
        <v>0.91544000000000003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388.8</v>
      </c>
      <c r="Y121" s="41">
        <f>IFERROR(SUM(Y116:Y119),"0")</f>
        <v>388.8</v>
      </c>
      <c r="Z121" s="40"/>
      <c r="AA121" s="64"/>
      <c r="AB121" s="64"/>
      <c r="AC121" s="64"/>
    </row>
    <row r="122" spans="1:68" ht="14.25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101.99999999999997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102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0.70404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315</v>
      </c>
      <c r="Y183" s="41">
        <f>IFERROR(SUM(Y167:Y181),"0")</f>
        <v>315.00000000000006</v>
      </c>
      <c r="Z183" s="40"/>
      <c r="AA183" s="64"/>
      <c r="AB183" s="64"/>
      <c r="AC183" s="64"/>
    </row>
    <row r="184" spans="1:68" ht="14.25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324</v>
      </c>
      <c r="Y206" s="53">
        <f t="shared" ref="Y206:Y213" si="16">IFERROR(IF(X206="",0,CEILING((X206/$H206),1)*$H206),"")</f>
        <v>324</v>
      </c>
      <c r="Z206" s="39">
        <f>IFERROR(IF(Y206=0,"",ROUNDUP(Y206/H206,0)*0.00902),"")</f>
        <v>0.54120000000000001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335.4</v>
      </c>
      <c r="BN206" s="75">
        <f t="shared" ref="BN206:BN213" si="18">IFERROR(Y206*I206/H206,"0")</f>
        <v>335.4</v>
      </c>
      <c r="BO206" s="75">
        <f t="shared" ref="BO206:BO213" si="19">IFERROR(1/J206*(X206/H206),"0")</f>
        <v>0.45454545454545453</v>
      </c>
      <c r="BP206" s="75">
        <f t="shared" ref="BP206:BP213" si="20">IFERROR(1/J206*(Y206/H206),"0")</f>
        <v>0.45454545454545453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64.8</v>
      </c>
      <c r="Y207" s="53">
        <f t="shared" si="16"/>
        <v>64.800000000000011</v>
      </c>
      <c r="Z207" s="39">
        <f>IFERROR(IF(Y207=0,"",ROUNDUP(Y207/H207,0)*0.00902),"")</f>
        <v>0.10824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67.079999999999984</v>
      </c>
      <c r="BN207" s="75">
        <f t="shared" si="18"/>
        <v>67.08</v>
      </c>
      <c r="BO207" s="75">
        <f t="shared" si="19"/>
        <v>9.0909090909090898E-2</v>
      </c>
      <c r="BP207" s="75">
        <f t="shared" si="20"/>
        <v>9.0909090909090925E-2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95.999999999999986</v>
      </c>
      <c r="Y214" s="41">
        <f>IFERROR(Y206/H206,"0")+IFERROR(Y207/H207,"0")+IFERROR(Y208/H208,"0")+IFERROR(Y209/H209,"0")+IFERROR(Y210/H210,"0")+IFERROR(Y211/H211,"0")+IFERROR(Y212/H212,"0")+IFERROR(Y213/H213,"0")</f>
        <v>96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0.86592000000000002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518.4</v>
      </c>
      <c r="Y215" s="41">
        <f>IFERROR(SUM(Y206:Y213),"0")</f>
        <v>518.40000000000009</v>
      </c>
      <c r="Z215" s="40"/>
      <c r="AA215" s="64"/>
      <c r="AB215" s="64"/>
      <c r="AC215" s="64"/>
    </row>
    <row r="216" spans="1:68" ht="14.25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626.4</v>
      </c>
      <c r="Y219" s="53">
        <f t="shared" si="21"/>
        <v>626.4</v>
      </c>
      <c r="Z219" s="39">
        <f>IFERROR(IF(Y219=0,"",ROUNDUP(Y219/H219,0)*0.01898),"")</f>
        <v>1.36656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661.96800000000007</v>
      </c>
      <c r="BN219" s="75">
        <f t="shared" si="23"/>
        <v>661.96800000000007</v>
      </c>
      <c r="BO219" s="75">
        <f t="shared" si="24"/>
        <v>1.125</v>
      </c>
      <c r="BP219" s="75">
        <f t="shared" si="25"/>
        <v>1.125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86.4</v>
      </c>
      <c r="Y220" s="53">
        <f t="shared" si="21"/>
        <v>86.399999999999991</v>
      </c>
      <c r="Z220" s="39">
        <f t="shared" ref="Z220:Z225" si="26">IFERROR(IF(Y220=0,"",ROUNDUP(Y220/H220,0)*0.00651),"")</f>
        <v>0.23436000000000001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96.12</v>
      </c>
      <c r="BN220" s="75">
        <f t="shared" si="23"/>
        <v>96.11999999999999</v>
      </c>
      <c r="BO220" s="75">
        <f t="shared" si="24"/>
        <v>0.19780219780219785</v>
      </c>
      <c r="BP220" s="75">
        <f t="shared" si="25"/>
        <v>0.19780219780219782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144</v>
      </c>
      <c r="Y222" s="53">
        <f t="shared" si="21"/>
        <v>144</v>
      </c>
      <c r="Z222" s="39">
        <f t="shared" si="26"/>
        <v>0.3906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159.12000000000003</v>
      </c>
      <c r="BN222" s="75">
        <f t="shared" si="23"/>
        <v>159.12000000000003</v>
      </c>
      <c r="BO222" s="75">
        <f t="shared" si="24"/>
        <v>0.32967032967032972</v>
      </c>
      <c r="BP222" s="75">
        <f t="shared" si="25"/>
        <v>0.32967032967032972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172.8</v>
      </c>
      <c r="Y223" s="53">
        <f t="shared" si="21"/>
        <v>172.79999999999998</v>
      </c>
      <c r="Z223" s="39">
        <f t="shared" si="26"/>
        <v>0.46872000000000003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190.94400000000005</v>
      </c>
      <c r="BN223" s="75">
        <f t="shared" si="23"/>
        <v>190.94400000000002</v>
      </c>
      <c r="BO223" s="75">
        <f t="shared" si="24"/>
        <v>0.3956043956043957</v>
      </c>
      <c r="BP223" s="75">
        <f t="shared" si="25"/>
        <v>0.39560439560439564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276</v>
      </c>
      <c r="Y226" s="41">
        <f>IFERROR(Y217/H217,"0")+IFERROR(Y218/H218,"0")+IFERROR(Y219/H219,"0")+IFERROR(Y220/H220,"0")+IFERROR(Y221/H221,"0")+IFERROR(Y222/H222,"0")+IFERROR(Y223/H223,"0")+IFERROR(Y224/H224,"0")+IFERROR(Y225/H225,"0")</f>
        <v>276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2.6945999999999999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1116</v>
      </c>
      <c r="Y227" s="41">
        <f>IFERROR(SUM(Y217:Y225),"0")</f>
        <v>1116</v>
      </c>
      <c r="Z227" s="40"/>
      <c r="AA227" s="64"/>
      <c r="AB227" s="64"/>
      <c r="AC227" s="64"/>
    </row>
    <row r="228" spans="1:68" ht="14.25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86.4</v>
      </c>
      <c r="Y281" s="53">
        <f>IFERROR(IF(X281="",0,CEILING((X281/$H281),1)*$H281),"")</f>
        <v>86.399999999999991</v>
      </c>
      <c r="Z281" s="39">
        <f>IFERROR(IF(Y281=0,"",ROUNDUP(Y281/H281,0)*0.00651),"")</f>
        <v>0.23436000000000001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92.880000000000024</v>
      </c>
      <c r="BN281" s="75">
        <f>IFERROR(Y281*I281/H281,"0")</f>
        <v>92.88</v>
      </c>
      <c r="BO281" s="75">
        <f>IFERROR(1/J281*(X281/H281),"0")</f>
        <v>0.19780219780219785</v>
      </c>
      <c r="BP281" s="75">
        <f>IFERROR(1/J281*(Y281/H281),"0")</f>
        <v>0.19780219780219782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72.000000000000014</v>
      </c>
      <c r="Y282" s="41">
        <f>IFERROR(Y279/H279,"0")+IFERROR(Y280/H280,"0")+IFERROR(Y281/H281,"0")</f>
        <v>72</v>
      </c>
      <c r="Z282" s="41">
        <f>IFERROR(IF(Z279="",0,Z279),"0")+IFERROR(IF(Z280="",0,Z280),"0")+IFERROR(IF(Z281="",0,Z281),"0")</f>
        <v>0.46872000000000003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172.8</v>
      </c>
      <c r="Y283" s="41">
        <f>IFERROR(SUM(Y279:Y281),"0")</f>
        <v>172.79999999999998</v>
      </c>
      <c r="Z283" s="40"/>
      <c r="AA283" s="64"/>
      <c r="AB283" s="64"/>
      <c r="AC283" s="64"/>
    </row>
    <row r="284" spans="1:68" ht="16.5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112</v>
      </c>
      <c r="Y325" s="41">
        <f>IFERROR(Y322/H322,"0")+IFERROR(Y323/H323,"0")+IFERROR(Y324/H324,"0")</f>
        <v>112</v>
      </c>
      <c r="Z325" s="41">
        <f>IFERROR(IF(Z322="",0,Z322),"0")+IFERROR(IF(Z323="",0,Z323),"0")+IFERROR(IF(Z324="",0,Z324),"0")</f>
        <v>2.1257600000000001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902.4</v>
      </c>
      <c r="Y326" s="41">
        <f>IFERROR(SUM(Y322:Y324),"0")</f>
        <v>902.4</v>
      </c>
      <c r="Z326" s="40"/>
      <c r="AA326" s="64"/>
      <c r="AB326" s="64"/>
      <c r="AC326" s="64"/>
    </row>
    <row r="327" spans="1:68" ht="14.25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840</v>
      </c>
      <c r="Y350" s="53">
        <f t="shared" ref="Y350:Y356" si="37">IFERROR(IF(X350="",0,CEILING((X350/$H350),1)*$H350),"")</f>
        <v>840</v>
      </c>
      <c r="Z350" s="39">
        <f>IFERROR(IF(Y350=0,"",ROUNDUP(Y350/H350,0)*0.02175),"")</f>
        <v>1.218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866.32</v>
      </c>
      <c r="BN350" s="75">
        <f t="shared" ref="BN350:BN356" si="39">IFERROR(Y350*I350/H350,"0")</f>
        <v>866.32</v>
      </c>
      <c r="BO350" s="75">
        <f t="shared" ref="BO350:BO356" si="40">IFERROR(1/J350*(X350/H350),"0")</f>
        <v>1.1666666666666665</v>
      </c>
      <c r="BP350" s="75">
        <f t="shared" ref="BP350:BP356" si="41">IFERROR(1/J350*(Y350/H350),"0")</f>
        <v>1.1666666666666665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945</v>
      </c>
      <c r="Y352" s="53">
        <f t="shared" si="37"/>
        <v>945</v>
      </c>
      <c r="Z352" s="39">
        <f>IFERROR(IF(Y352=0,"",ROUNDUP(Y352/H352,0)*0.02175),"")</f>
        <v>1.37025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974.61000000000013</v>
      </c>
      <c r="BN352" s="75">
        <f t="shared" si="39"/>
        <v>974.61000000000013</v>
      </c>
      <c r="BO352" s="75">
        <f t="shared" si="40"/>
        <v>1.3125</v>
      </c>
      <c r="BP352" s="75">
        <f t="shared" si="41"/>
        <v>1.3125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135</v>
      </c>
      <c r="Y357" s="41">
        <f>IFERROR(Y350/H350,"0")+IFERROR(Y351/H351,"0")+IFERROR(Y352/H352,"0")+IFERROR(Y353/H353,"0")+IFERROR(Y354/H354,"0")+IFERROR(Y355/H355,"0")+IFERROR(Y356/H356,"0")</f>
        <v>135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2.9362499999999998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2025</v>
      </c>
      <c r="Y358" s="41">
        <f>IFERROR(SUM(Y350:Y356),"0")</f>
        <v>2025</v>
      </c>
      <c r="Z358" s="40"/>
      <c r="AA358" s="64"/>
      <c r="AB358" s="64"/>
      <c r="AC358" s="64"/>
    </row>
    <row r="359" spans="1:68" ht="14.25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432</v>
      </c>
      <c r="Y384" s="53">
        <f>IFERROR(IF(X384="",0,CEILING((X384/$H384),1)*$H384),"")</f>
        <v>432</v>
      </c>
      <c r="Z384" s="39">
        <f>IFERROR(IF(Y384=0,"",ROUNDUP(Y384/H384,0)*0.01898),"")</f>
        <v>0.91104000000000007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455.71199999999993</v>
      </c>
      <c r="BN384" s="75">
        <f>IFERROR(Y384*I384/H384,"0")</f>
        <v>455.71199999999993</v>
      </c>
      <c r="BO384" s="75">
        <f>IFERROR(1/J384*(X384/H384),"0")</f>
        <v>0.75</v>
      </c>
      <c r="BP384" s="75">
        <f>IFERROR(1/J384*(Y384/H384),"0")</f>
        <v>0.75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115.2</v>
      </c>
      <c r="Y385" s="53">
        <f>IFERROR(IF(X385="",0,CEILING((X385/$H385),1)*$H385),"")</f>
        <v>115.19999999999999</v>
      </c>
      <c r="Z385" s="39">
        <f>IFERROR(IF(Y385=0,"",ROUNDUP(Y385/H385,0)*0.00651),"")</f>
        <v>0.31247999999999998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127.87200000000001</v>
      </c>
      <c r="BN385" s="75">
        <f>IFERROR(Y385*I385/H385,"0")</f>
        <v>127.87199999999999</v>
      </c>
      <c r="BO385" s="75">
        <f>IFERROR(1/J385*(X385/H385),"0")</f>
        <v>0.26373626373626374</v>
      </c>
      <c r="BP385" s="75">
        <f>IFERROR(1/J385*(Y385/H385),"0")</f>
        <v>0.26373626373626374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96</v>
      </c>
      <c r="Y387" s="41">
        <f>IFERROR(Y384/H384,"0")+IFERROR(Y385/H385,"0")+IFERROR(Y386/H386,"0")</f>
        <v>96</v>
      </c>
      <c r="Z387" s="41">
        <f>IFERROR(IF(Z384="",0,Z384),"0")+IFERROR(IF(Z385="",0,Z385),"0")+IFERROR(IF(Z386="",0,Z386),"0")</f>
        <v>1.2235200000000002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547.20000000000005</v>
      </c>
      <c r="Y388" s="41">
        <f>IFERROR(SUM(Y384:Y386),"0")</f>
        <v>547.20000000000005</v>
      </c>
      <c r="Z388" s="40"/>
      <c r="AA388" s="64"/>
      <c r="AB388" s="64"/>
      <c r="AC388" s="64"/>
    </row>
    <row r="389" spans="1:68" ht="27.75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380.16</v>
      </c>
      <c r="Y433" s="53">
        <f t="shared" si="48"/>
        <v>380.16</v>
      </c>
      <c r="Z433" s="39">
        <f t="shared" si="49"/>
        <v>0.86112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405.35999999999996</v>
      </c>
      <c r="BN433" s="75">
        <f t="shared" si="51"/>
        <v>405.35999999999996</v>
      </c>
      <c r="BO433" s="75">
        <f t="shared" si="52"/>
        <v>0.69230769230769229</v>
      </c>
      <c r="BP433" s="75">
        <f t="shared" si="53"/>
        <v>0.69230769230769229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464.64000000000004</v>
      </c>
      <c r="Y440" s="41">
        <f>IFERROR(SUM(Y427:Y438),"0")</f>
        <v>464.64000000000004</v>
      </c>
      <c r="Z440" s="40"/>
      <c r="AA440" s="64"/>
      <c r="AB440" s="64"/>
      <c r="AC440" s="64"/>
    </row>
    <row r="441" spans="1:68" ht="14.25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168.96</v>
      </c>
      <c r="Y448" s="53">
        <f t="shared" ref="Y448:Y454" si="54">IFERROR(IF(X448="",0,CEILING((X448/$H448),1)*$H448),"")</f>
        <v>168.96</v>
      </c>
      <c r="Z448" s="39">
        <f>IFERROR(IF(Y448=0,"",ROUNDUP(Y448/H448,0)*0.01196),"")</f>
        <v>0.38272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180.16</v>
      </c>
      <c r="BN448" s="75">
        <f t="shared" ref="BN448:BN454" si="56">IFERROR(Y448*I448/H448,"0")</f>
        <v>180.16</v>
      </c>
      <c r="BO448" s="75">
        <f t="shared" ref="BO448:BO454" si="57">IFERROR(1/J448*(X448/H448),"0")</f>
        <v>0.30769230769230771</v>
      </c>
      <c r="BP448" s="75">
        <f t="shared" ref="BP448:BP454" si="58">IFERROR(1/J448*(Y448/H448),"0")</f>
        <v>0.30769230769230771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56</v>
      </c>
      <c r="Y455" s="41">
        <f>IFERROR(Y448/H448,"0")+IFERROR(Y449/H449,"0")+IFERROR(Y450/H450,"0")+IFERROR(Y451/H451,"0")+IFERROR(Y452/H452,"0")+IFERROR(Y453/H453,"0")+IFERROR(Y454/H454,"0")</f>
        <v>56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0.66976000000000002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295.68</v>
      </c>
      <c r="Y456" s="41">
        <f>IFERROR(SUM(Y448:Y454),"0")</f>
        <v>295.68</v>
      </c>
      <c r="Z456" s="40"/>
      <c r="AA456" s="64"/>
      <c r="AB456" s="64"/>
      <c r="AC456" s="64"/>
    </row>
    <row r="457" spans="1:68" ht="27.75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10718.32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10718.320000000002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11250.942000000001</v>
      </c>
      <c r="Y489" s="41">
        <f>IFERROR(SUM(BN22:BN485),"0")</f>
        <v>11250.942000000001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18</v>
      </c>
      <c r="Y490" s="42">
        <f>ROUNDUP(SUM(BP22:BP485),0)</f>
        <v>18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11700.942000000001</v>
      </c>
      <c r="Y491" s="41">
        <f>GrossWeightTotalR+PalletQtyTotalR*25</f>
        <v>11700.942000000001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1493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1493</v>
      </c>
      <c r="Z492" s="40"/>
      <c r="AA492" s="64"/>
      <c r="AB492" s="64"/>
      <c r="AC492" s="64"/>
    </row>
    <row r="493" spans="1:68" ht="14.25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20.889889999999998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777.6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908.8</v>
      </c>
      <c r="E498" s="50">
        <f>IFERROR(Y86*1,"0")+IFERROR(Y87*1,"0")+IFERROR(Y88*1,"0")+IFERROR(Y89*1,"0")+IFERROR(Y93*1,"0")+IFERROR(Y94*1,"0")+IFERROR(Y95*1,"0")+IFERROR(Y96*1,"0")</f>
        <v>680.4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1425.6000000000001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315.00000000000006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1634.4000000000003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172.79999999999998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902.4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2529</v>
      </c>
      <c r="T498" s="50">
        <f>IFERROR(Y375*1,"0")+IFERROR(Y376*1,"0")+IFERROR(Y380*1,"0")+IFERROR(Y384*1,"0")+IFERROR(Y385*1,"0")+IFERROR(Y386*1,"0")</f>
        <v>547.20000000000005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760.32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cp:lastPrinted>2026-05-07T10:03:18Z</cp:lastPrinted>
  <dcterms:created xsi:type="dcterms:W3CDTF">2021-11-12T12:13:19Z</dcterms:created>
  <dcterms:modified xsi:type="dcterms:W3CDTF">2026-08-03T12:58:46Z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