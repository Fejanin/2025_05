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921C69B6-C2A6-466C-B8C5-0FFBDAFCE54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11" i="1" l="1"/>
  <c r="AN42" i="1"/>
  <c r="AN64" i="1"/>
  <c r="AN65" i="1"/>
  <c r="AN74" i="1"/>
  <c r="AN75" i="1"/>
  <c r="AN80" i="1"/>
  <c r="AN98" i="1"/>
  <c r="AN99" i="1"/>
  <c r="AN100" i="1"/>
  <c r="AN104" i="1"/>
  <c r="AN106" i="1"/>
  <c r="AN107" i="1"/>
  <c r="AN108" i="1"/>
  <c r="AN121" i="1"/>
  <c r="AN122" i="1"/>
  <c r="AA7" i="1"/>
  <c r="AN7" i="1" s="1"/>
  <c r="AA9" i="1"/>
  <c r="AN9" i="1" s="1"/>
  <c r="AA10" i="1"/>
  <c r="AN10" i="1" s="1"/>
  <c r="AA12" i="1"/>
  <c r="AN12" i="1" s="1"/>
  <c r="AA14" i="1"/>
  <c r="AN14" i="1" s="1"/>
  <c r="AA15" i="1"/>
  <c r="AN15" i="1" s="1"/>
  <c r="AA18" i="1"/>
  <c r="AN18" i="1" s="1"/>
  <c r="AA19" i="1"/>
  <c r="AN19" i="1" s="1"/>
  <c r="AA20" i="1"/>
  <c r="AN20" i="1" s="1"/>
  <c r="AA21" i="1"/>
  <c r="AN21" i="1" s="1"/>
  <c r="AA23" i="1"/>
  <c r="AN23" i="1" s="1"/>
  <c r="AA24" i="1"/>
  <c r="AN24" i="1" s="1"/>
  <c r="AA26" i="1"/>
  <c r="AN26" i="1" s="1"/>
  <c r="AA28" i="1"/>
  <c r="AN28" i="1" s="1"/>
  <c r="AA29" i="1"/>
  <c r="AN29" i="1" s="1"/>
  <c r="AA30" i="1"/>
  <c r="AN30" i="1" s="1"/>
  <c r="AA31" i="1"/>
  <c r="AN31" i="1" s="1"/>
  <c r="AA32" i="1"/>
  <c r="AN32" i="1" s="1"/>
  <c r="AA33" i="1"/>
  <c r="AN33" i="1" s="1"/>
  <c r="AA34" i="1"/>
  <c r="AN34" i="1" s="1"/>
  <c r="AA35" i="1"/>
  <c r="AN35" i="1" s="1"/>
  <c r="AA36" i="1"/>
  <c r="AN36" i="1" s="1"/>
  <c r="AA37" i="1"/>
  <c r="AN37" i="1" s="1"/>
  <c r="AA38" i="1"/>
  <c r="AN38" i="1" s="1"/>
  <c r="AA39" i="1"/>
  <c r="AN39" i="1" s="1"/>
  <c r="AA40" i="1"/>
  <c r="AN40" i="1" s="1"/>
  <c r="AA41" i="1"/>
  <c r="AN41" i="1" s="1"/>
  <c r="AA43" i="1"/>
  <c r="AN43" i="1" s="1"/>
  <c r="AA47" i="1"/>
  <c r="AN47" i="1" s="1"/>
  <c r="AA48" i="1"/>
  <c r="AN48" i="1" s="1"/>
  <c r="AA49" i="1"/>
  <c r="AN49" i="1" s="1"/>
  <c r="AA50" i="1"/>
  <c r="AN50" i="1" s="1"/>
  <c r="AA53" i="1"/>
  <c r="AN53" i="1" s="1"/>
  <c r="AA54" i="1"/>
  <c r="AN54" i="1" s="1"/>
  <c r="AA55" i="1"/>
  <c r="AN55" i="1" s="1"/>
  <c r="AA56" i="1"/>
  <c r="AN56" i="1" s="1"/>
  <c r="AA57" i="1"/>
  <c r="AN57" i="1" s="1"/>
  <c r="AA58" i="1"/>
  <c r="AN58" i="1" s="1"/>
  <c r="AA60" i="1"/>
  <c r="AN60" i="1" s="1"/>
  <c r="AA61" i="1"/>
  <c r="AN61" i="1" s="1"/>
  <c r="AA63" i="1"/>
  <c r="AN63" i="1" s="1"/>
  <c r="AA67" i="1"/>
  <c r="AN67" i="1" s="1"/>
  <c r="AA72" i="1"/>
  <c r="AN72" i="1" s="1"/>
  <c r="AA73" i="1"/>
  <c r="AN73" i="1" s="1"/>
  <c r="AA76" i="1"/>
  <c r="AN76" i="1" s="1"/>
  <c r="AA77" i="1"/>
  <c r="AN77" i="1" s="1"/>
  <c r="AA79" i="1"/>
  <c r="AN79" i="1" s="1"/>
  <c r="AA82" i="1"/>
  <c r="AN82" i="1" s="1"/>
  <c r="AA83" i="1"/>
  <c r="AN83" i="1" s="1"/>
  <c r="AA86" i="1"/>
  <c r="AN86" i="1" s="1"/>
  <c r="AA87" i="1"/>
  <c r="AN87" i="1" s="1"/>
  <c r="AA89" i="1"/>
  <c r="AN89" i="1" s="1"/>
  <c r="AA91" i="1"/>
  <c r="AN91" i="1" s="1"/>
  <c r="AA92" i="1"/>
  <c r="AN92" i="1" s="1"/>
  <c r="AA93" i="1"/>
  <c r="AN93" i="1" s="1"/>
  <c r="AA94" i="1"/>
  <c r="AN94" i="1" s="1"/>
  <c r="AA95" i="1"/>
  <c r="AN95" i="1" s="1"/>
  <c r="AA101" i="1"/>
  <c r="AN101" i="1" s="1"/>
  <c r="AA103" i="1"/>
  <c r="AN103" i="1" s="1"/>
  <c r="AA105" i="1"/>
  <c r="AN105" i="1" s="1"/>
  <c r="AA109" i="1"/>
  <c r="AN109" i="1" s="1"/>
  <c r="AA110" i="1"/>
  <c r="AN110" i="1" s="1"/>
  <c r="AA111" i="1"/>
  <c r="AN111" i="1" s="1"/>
  <c r="AA112" i="1"/>
  <c r="AN112" i="1" s="1"/>
  <c r="AA113" i="1"/>
  <c r="AN113" i="1" s="1"/>
  <c r="AA115" i="1"/>
  <c r="AN115" i="1" s="1"/>
  <c r="AA116" i="1"/>
  <c r="AN116" i="1" s="1"/>
  <c r="AA118" i="1"/>
  <c r="AN118" i="1" s="1"/>
  <c r="AA119" i="1"/>
  <c r="AN119" i="1" s="1"/>
  <c r="AA120" i="1"/>
  <c r="AN120" i="1" s="1"/>
  <c r="AA123" i="1"/>
  <c r="AN123" i="1" s="1"/>
  <c r="AA124" i="1"/>
  <c r="AN124" i="1" s="1"/>
  <c r="AA125" i="1"/>
  <c r="AN125" i="1" s="1"/>
  <c r="AA126" i="1"/>
  <c r="AN126" i="1" s="1"/>
  <c r="AA128" i="1"/>
  <c r="AN128" i="1" s="1"/>
  <c r="AA130" i="1"/>
  <c r="AN130" i="1" s="1"/>
  <c r="AA132" i="1"/>
  <c r="AN132" i="1" s="1"/>
  <c r="AA133" i="1"/>
  <c r="AN133" i="1" s="1"/>
  <c r="AA134" i="1"/>
  <c r="AN134" i="1" s="1"/>
  <c r="AA6" i="1"/>
  <c r="AN6" i="1" s="1"/>
  <c r="AB11" i="1"/>
  <c r="AB74" i="1"/>
  <c r="AB75" i="1"/>
  <c r="AB80" i="1"/>
  <c r="AB98" i="1"/>
  <c r="AB99" i="1"/>
  <c r="AB100" i="1"/>
  <c r="AB101" i="1"/>
  <c r="AB104" i="1"/>
  <c r="AB106" i="1"/>
  <c r="AB107" i="1"/>
  <c r="AB108" i="1"/>
  <c r="AB121" i="1"/>
  <c r="AB122" i="1"/>
  <c r="M134" i="1" l="1"/>
  <c r="Y134" i="1" s="1"/>
  <c r="L134" i="1"/>
  <c r="M133" i="1"/>
  <c r="Y133" i="1" s="1"/>
  <c r="L133" i="1"/>
  <c r="M132" i="1"/>
  <c r="Y132" i="1" s="1"/>
  <c r="AC132" i="1" s="1"/>
  <c r="L132" i="1"/>
  <c r="M131" i="1"/>
  <c r="Y131" i="1" s="1"/>
  <c r="L131" i="1"/>
  <c r="M130" i="1"/>
  <c r="Y130" i="1" s="1"/>
  <c r="AC130" i="1" s="1"/>
  <c r="L130" i="1"/>
  <c r="M129" i="1"/>
  <c r="Y129" i="1" s="1"/>
  <c r="Z129" i="1" s="1"/>
  <c r="L129" i="1"/>
  <c r="M128" i="1"/>
  <c r="Y128" i="1" s="1"/>
  <c r="AC128" i="1" s="1"/>
  <c r="L128" i="1"/>
  <c r="M127" i="1"/>
  <c r="Y127" i="1" s="1"/>
  <c r="L127" i="1"/>
  <c r="M126" i="1"/>
  <c r="Y126" i="1" s="1"/>
  <c r="L126" i="1"/>
  <c r="F126" i="1"/>
  <c r="AC126" i="1" s="1"/>
  <c r="M125" i="1"/>
  <c r="Y125" i="1" s="1"/>
  <c r="L125" i="1"/>
  <c r="M124" i="1"/>
  <c r="Y124" i="1" s="1"/>
  <c r="AC124" i="1" s="1"/>
  <c r="L124" i="1"/>
  <c r="M123" i="1"/>
  <c r="Y123" i="1" s="1"/>
  <c r="L123" i="1"/>
  <c r="M122" i="1"/>
  <c r="Y122" i="1" s="1"/>
  <c r="L122" i="1"/>
  <c r="M121" i="1"/>
  <c r="Y121" i="1" s="1"/>
  <c r="AD121" i="1" s="1"/>
  <c r="L121" i="1"/>
  <c r="M120" i="1"/>
  <c r="Y120" i="1" s="1"/>
  <c r="AC120" i="1" s="1"/>
  <c r="L120" i="1"/>
  <c r="M119" i="1"/>
  <c r="Y119" i="1" s="1"/>
  <c r="L119" i="1"/>
  <c r="M118" i="1"/>
  <c r="Y118" i="1" s="1"/>
  <c r="AC118" i="1" s="1"/>
  <c r="L118" i="1"/>
  <c r="M117" i="1"/>
  <c r="Y117" i="1" s="1"/>
  <c r="L117" i="1"/>
  <c r="M116" i="1"/>
  <c r="Y116" i="1" s="1"/>
  <c r="AC116" i="1" s="1"/>
  <c r="L116" i="1"/>
  <c r="M115" i="1"/>
  <c r="Y115" i="1" s="1"/>
  <c r="AC115" i="1" s="1"/>
  <c r="L115" i="1"/>
  <c r="M114" i="1"/>
  <c r="Y114" i="1" s="1"/>
  <c r="Z114" i="1" s="1"/>
  <c r="L114" i="1"/>
  <c r="M113" i="1"/>
  <c r="Y113" i="1" s="1"/>
  <c r="AC113" i="1" s="1"/>
  <c r="L113" i="1"/>
  <c r="M112" i="1"/>
  <c r="Y112" i="1" s="1"/>
  <c r="AC112" i="1" s="1"/>
  <c r="L112" i="1"/>
  <c r="M111" i="1"/>
  <c r="Y111" i="1" s="1"/>
  <c r="L111" i="1"/>
  <c r="M110" i="1"/>
  <c r="Y110" i="1" s="1"/>
  <c r="AC110" i="1" s="1"/>
  <c r="L110" i="1"/>
  <c r="M109" i="1"/>
  <c r="Y109" i="1" s="1"/>
  <c r="AC109" i="1" s="1"/>
  <c r="L109" i="1"/>
  <c r="M108" i="1"/>
  <c r="Y108" i="1" s="1"/>
  <c r="AC108" i="1" s="1"/>
  <c r="L108" i="1"/>
  <c r="M107" i="1"/>
  <c r="Y107" i="1" s="1"/>
  <c r="Z107" i="1" s="1"/>
  <c r="L107" i="1"/>
  <c r="M106" i="1"/>
  <c r="Y106" i="1" s="1"/>
  <c r="L106" i="1"/>
  <c r="M105" i="1"/>
  <c r="Y105" i="1" s="1"/>
  <c r="L105" i="1"/>
  <c r="M104" i="1"/>
  <c r="Y104" i="1" s="1"/>
  <c r="AD104" i="1" s="1"/>
  <c r="L104" i="1"/>
  <c r="M103" i="1"/>
  <c r="Y103" i="1" s="1"/>
  <c r="L103" i="1"/>
  <c r="M102" i="1"/>
  <c r="Y102" i="1" s="1"/>
  <c r="AD102" i="1" s="1"/>
  <c r="L102" i="1"/>
  <c r="M101" i="1"/>
  <c r="Y101" i="1" s="1"/>
  <c r="AC101" i="1" s="1"/>
  <c r="L101" i="1"/>
  <c r="M100" i="1"/>
  <c r="Y100" i="1" s="1"/>
  <c r="L100" i="1"/>
  <c r="M99" i="1"/>
  <c r="Y99" i="1" s="1"/>
  <c r="Z99" i="1" s="1"/>
  <c r="L99" i="1"/>
  <c r="M98" i="1"/>
  <c r="Y98" i="1" s="1"/>
  <c r="Z98" i="1" s="1"/>
  <c r="L98" i="1"/>
  <c r="M97" i="1"/>
  <c r="Y97" i="1" s="1"/>
  <c r="L97" i="1"/>
  <c r="M96" i="1"/>
  <c r="Y96" i="1" s="1"/>
  <c r="Z96" i="1" s="1"/>
  <c r="L96" i="1"/>
  <c r="M95" i="1"/>
  <c r="Y95" i="1" s="1"/>
  <c r="L95" i="1"/>
  <c r="M94" i="1"/>
  <c r="Y94" i="1" s="1"/>
  <c r="AC94" i="1" s="1"/>
  <c r="L94" i="1"/>
  <c r="M93" i="1"/>
  <c r="Y93" i="1" s="1"/>
  <c r="AC93" i="1" s="1"/>
  <c r="L93" i="1"/>
  <c r="M92" i="1"/>
  <c r="Y92" i="1" s="1"/>
  <c r="L92" i="1"/>
  <c r="F92" i="1"/>
  <c r="M91" i="1"/>
  <c r="Y91" i="1" s="1"/>
  <c r="AC91" i="1" s="1"/>
  <c r="L91" i="1"/>
  <c r="M90" i="1"/>
  <c r="Y90" i="1" s="1"/>
  <c r="AD90" i="1" s="1"/>
  <c r="L90" i="1"/>
  <c r="M89" i="1"/>
  <c r="Y89" i="1" s="1"/>
  <c r="L89" i="1"/>
  <c r="M88" i="1"/>
  <c r="Y88" i="1" s="1"/>
  <c r="AD88" i="1" s="1"/>
  <c r="L88" i="1"/>
  <c r="M87" i="1"/>
  <c r="Y87" i="1" s="1"/>
  <c r="AC87" i="1" s="1"/>
  <c r="L87" i="1"/>
  <c r="M86" i="1"/>
  <c r="Y86" i="1" s="1"/>
  <c r="AC86" i="1" s="1"/>
  <c r="L86" i="1"/>
  <c r="M85" i="1"/>
  <c r="Y85" i="1" s="1"/>
  <c r="Z85" i="1" s="1"/>
  <c r="AA85" i="1" s="1"/>
  <c r="L85" i="1"/>
  <c r="M84" i="1"/>
  <c r="Y84" i="1" s="1"/>
  <c r="L84" i="1"/>
  <c r="M83" i="1"/>
  <c r="Y83" i="1" s="1"/>
  <c r="AC83" i="1" s="1"/>
  <c r="L83" i="1"/>
  <c r="M82" i="1"/>
  <c r="Y82" i="1" s="1"/>
  <c r="AC82" i="1" s="1"/>
  <c r="L82" i="1"/>
  <c r="M81" i="1"/>
  <c r="Y81" i="1" s="1"/>
  <c r="Z81" i="1" s="1"/>
  <c r="AA81" i="1" s="1"/>
  <c r="L81" i="1"/>
  <c r="M80" i="1"/>
  <c r="Y80" i="1" s="1"/>
  <c r="Z80" i="1" s="1"/>
  <c r="AC80" i="1" s="1"/>
  <c r="L80" i="1"/>
  <c r="M79" i="1"/>
  <c r="Y79" i="1" s="1"/>
  <c r="AC79" i="1" s="1"/>
  <c r="L79" i="1"/>
  <c r="M78" i="1"/>
  <c r="Y78" i="1" s="1"/>
  <c r="L78" i="1"/>
  <c r="M77" i="1"/>
  <c r="Y77" i="1" s="1"/>
  <c r="L77" i="1"/>
  <c r="M76" i="1"/>
  <c r="Y76" i="1" s="1"/>
  <c r="AC76" i="1" s="1"/>
  <c r="L76" i="1"/>
  <c r="M75" i="1"/>
  <c r="Y75" i="1" s="1"/>
  <c r="L75" i="1"/>
  <c r="M74" i="1"/>
  <c r="Y74" i="1" s="1"/>
  <c r="AC74" i="1" s="1"/>
  <c r="L74" i="1"/>
  <c r="M73" i="1"/>
  <c r="Y73" i="1" s="1"/>
  <c r="L73" i="1"/>
  <c r="M72" i="1"/>
  <c r="Y72" i="1" s="1"/>
  <c r="L72" i="1"/>
  <c r="M71" i="1"/>
  <c r="Y71" i="1" s="1"/>
  <c r="Z71" i="1" s="1"/>
  <c r="AA71" i="1" s="1"/>
  <c r="L71" i="1"/>
  <c r="M70" i="1"/>
  <c r="Y70" i="1" s="1"/>
  <c r="AD70" i="1" s="1"/>
  <c r="L70" i="1"/>
  <c r="M69" i="1"/>
  <c r="Y69" i="1" s="1"/>
  <c r="L69" i="1"/>
  <c r="M68" i="1"/>
  <c r="Y68" i="1" s="1"/>
  <c r="L68" i="1"/>
  <c r="M67" i="1"/>
  <c r="Y67" i="1" s="1"/>
  <c r="AC67" i="1" s="1"/>
  <c r="L67" i="1"/>
  <c r="M66" i="1"/>
  <c r="Y66" i="1" s="1"/>
  <c r="L66" i="1"/>
  <c r="M65" i="1"/>
  <c r="Y65" i="1" s="1"/>
  <c r="AC65" i="1" s="1"/>
  <c r="L65" i="1"/>
  <c r="M64" i="1"/>
  <c r="Y64" i="1" s="1"/>
  <c r="AC64" i="1" s="1"/>
  <c r="L64" i="1"/>
  <c r="M63" i="1"/>
  <c r="Y63" i="1" s="1"/>
  <c r="AC63" i="1" s="1"/>
  <c r="L63" i="1"/>
  <c r="M62" i="1"/>
  <c r="Y62" i="1" s="1"/>
  <c r="L62" i="1"/>
  <c r="M61" i="1"/>
  <c r="Y61" i="1" s="1"/>
  <c r="AC61" i="1" s="1"/>
  <c r="L61" i="1"/>
  <c r="M60" i="1"/>
  <c r="Y60" i="1" s="1"/>
  <c r="AC60" i="1" s="1"/>
  <c r="L60" i="1"/>
  <c r="M59" i="1"/>
  <c r="Y59" i="1" s="1"/>
  <c r="L59" i="1"/>
  <c r="M58" i="1"/>
  <c r="Y58" i="1" s="1"/>
  <c r="AC58" i="1" s="1"/>
  <c r="L58" i="1"/>
  <c r="M57" i="1"/>
  <c r="Y57" i="1" s="1"/>
  <c r="AC57" i="1" s="1"/>
  <c r="L57" i="1"/>
  <c r="M56" i="1"/>
  <c r="Y56" i="1" s="1"/>
  <c r="AC56" i="1" s="1"/>
  <c r="L56" i="1"/>
  <c r="M55" i="1"/>
  <c r="Y55" i="1" s="1"/>
  <c r="L55" i="1"/>
  <c r="M54" i="1"/>
  <c r="Y54" i="1" s="1"/>
  <c r="L54" i="1"/>
  <c r="M53" i="1"/>
  <c r="Y53" i="1" s="1"/>
  <c r="AC53" i="1" s="1"/>
  <c r="L53" i="1"/>
  <c r="M52" i="1"/>
  <c r="Y52" i="1" s="1"/>
  <c r="Z52" i="1" s="1"/>
  <c r="AA52" i="1" s="1"/>
  <c r="L52" i="1"/>
  <c r="M51" i="1"/>
  <c r="Y51" i="1" s="1"/>
  <c r="L51" i="1"/>
  <c r="M50" i="1"/>
  <c r="Y50" i="1" s="1"/>
  <c r="L50" i="1"/>
  <c r="M49" i="1"/>
  <c r="Y49" i="1" s="1"/>
  <c r="AC49" i="1" s="1"/>
  <c r="L49" i="1"/>
  <c r="M48" i="1"/>
  <c r="Y48" i="1" s="1"/>
  <c r="L48" i="1"/>
  <c r="M47" i="1"/>
  <c r="Y47" i="1" s="1"/>
  <c r="AC47" i="1" s="1"/>
  <c r="L47" i="1"/>
  <c r="M46" i="1"/>
  <c r="Y46" i="1" s="1"/>
  <c r="Z46" i="1" s="1"/>
  <c r="L46" i="1"/>
  <c r="M45" i="1"/>
  <c r="Y45" i="1" s="1"/>
  <c r="L45" i="1"/>
  <c r="M44" i="1"/>
  <c r="Y44" i="1" s="1"/>
  <c r="Z44" i="1" s="1"/>
  <c r="L44" i="1"/>
  <c r="M43" i="1"/>
  <c r="Y43" i="1" s="1"/>
  <c r="AC43" i="1" s="1"/>
  <c r="L43" i="1"/>
  <c r="M42" i="1"/>
  <c r="Y42" i="1" s="1"/>
  <c r="L42" i="1"/>
  <c r="M41" i="1"/>
  <c r="Y41" i="1" s="1"/>
  <c r="AC41" i="1" s="1"/>
  <c r="L41" i="1"/>
  <c r="M40" i="1"/>
  <c r="Y40" i="1" s="1"/>
  <c r="L40" i="1"/>
  <c r="M39" i="1"/>
  <c r="Y39" i="1" s="1"/>
  <c r="AC39" i="1" s="1"/>
  <c r="L39" i="1"/>
  <c r="M38" i="1"/>
  <c r="Y38" i="1" s="1"/>
  <c r="L38" i="1"/>
  <c r="M37" i="1"/>
  <c r="Y37" i="1" s="1"/>
  <c r="AC37" i="1" s="1"/>
  <c r="L37" i="1"/>
  <c r="M36" i="1"/>
  <c r="Y36" i="1" s="1"/>
  <c r="AC36" i="1" s="1"/>
  <c r="L36" i="1"/>
  <c r="M35" i="1"/>
  <c r="Y35" i="1" s="1"/>
  <c r="AC35" i="1" s="1"/>
  <c r="L35" i="1"/>
  <c r="M34" i="1"/>
  <c r="Y34" i="1" s="1"/>
  <c r="AC34" i="1" s="1"/>
  <c r="L34" i="1"/>
  <c r="M33" i="1"/>
  <c r="Y33" i="1" s="1"/>
  <c r="AC33" i="1" s="1"/>
  <c r="L33" i="1"/>
  <c r="M32" i="1"/>
  <c r="Y32" i="1" s="1"/>
  <c r="AC32" i="1" s="1"/>
  <c r="L32" i="1"/>
  <c r="M31" i="1"/>
  <c r="Y31" i="1" s="1"/>
  <c r="L31" i="1"/>
  <c r="M30" i="1"/>
  <c r="Y30" i="1" s="1"/>
  <c r="AC30" i="1" s="1"/>
  <c r="L30" i="1"/>
  <c r="M29" i="1"/>
  <c r="Y29" i="1" s="1"/>
  <c r="AC29" i="1" s="1"/>
  <c r="L29" i="1"/>
  <c r="M28" i="1"/>
  <c r="Y28" i="1" s="1"/>
  <c r="AC28" i="1" s="1"/>
  <c r="L28" i="1"/>
  <c r="M27" i="1"/>
  <c r="Y27" i="1" s="1"/>
  <c r="Z27" i="1" s="1"/>
  <c r="AA27" i="1" s="1"/>
  <c r="L27" i="1"/>
  <c r="M26" i="1"/>
  <c r="Y26" i="1" s="1"/>
  <c r="AC26" i="1" s="1"/>
  <c r="L26" i="1"/>
  <c r="M25" i="1"/>
  <c r="Y25" i="1" s="1"/>
  <c r="L25" i="1"/>
  <c r="M24" i="1"/>
  <c r="Y24" i="1" s="1"/>
  <c r="AC24" i="1" s="1"/>
  <c r="L24" i="1"/>
  <c r="M23" i="1"/>
  <c r="Y23" i="1" s="1"/>
  <c r="AC23" i="1" s="1"/>
  <c r="L23" i="1"/>
  <c r="M22" i="1"/>
  <c r="Y22" i="1" s="1"/>
  <c r="Z22" i="1" s="1"/>
  <c r="AA22" i="1" s="1"/>
  <c r="L22" i="1"/>
  <c r="M21" i="1"/>
  <c r="Y21" i="1" s="1"/>
  <c r="L21" i="1"/>
  <c r="M20" i="1"/>
  <c r="Y20" i="1" s="1"/>
  <c r="AC20" i="1" s="1"/>
  <c r="L20" i="1"/>
  <c r="M19" i="1"/>
  <c r="Y19" i="1" s="1"/>
  <c r="AC19" i="1" s="1"/>
  <c r="L19" i="1"/>
  <c r="M18" i="1"/>
  <c r="Y18" i="1" s="1"/>
  <c r="L18" i="1"/>
  <c r="M17" i="1"/>
  <c r="Y17" i="1" s="1"/>
  <c r="Z17" i="1" s="1"/>
  <c r="AA17" i="1" s="1"/>
  <c r="L17" i="1"/>
  <c r="M16" i="1"/>
  <c r="Y16" i="1" s="1"/>
  <c r="L16" i="1"/>
  <c r="M15" i="1"/>
  <c r="Y15" i="1" s="1"/>
  <c r="AC15" i="1" s="1"/>
  <c r="L15" i="1"/>
  <c r="M14" i="1"/>
  <c r="Y14" i="1" s="1"/>
  <c r="AC14" i="1" s="1"/>
  <c r="L14" i="1"/>
  <c r="M13" i="1"/>
  <c r="Y13" i="1" s="1"/>
  <c r="L13" i="1"/>
  <c r="M12" i="1"/>
  <c r="Y12" i="1" s="1"/>
  <c r="AC12" i="1" s="1"/>
  <c r="L12" i="1"/>
  <c r="M11" i="1"/>
  <c r="Y11" i="1" s="1"/>
  <c r="L11" i="1"/>
  <c r="M10" i="1"/>
  <c r="Y10" i="1" s="1"/>
  <c r="AC10" i="1" s="1"/>
  <c r="L10" i="1"/>
  <c r="M9" i="1"/>
  <c r="Y9" i="1" s="1"/>
  <c r="L9" i="1"/>
  <c r="M8" i="1"/>
  <c r="Y8" i="1" s="1"/>
  <c r="Z8" i="1" s="1"/>
  <c r="AA8" i="1" s="1"/>
  <c r="L8" i="1"/>
  <c r="M7" i="1"/>
  <c r="Y7" i="1" s="1"/>
  <c r="AC7" i="1" s="1"/>
  <c r="L7" i="1"/>
  <c r="M6" i="1"/>
  <c r="Y6" i="1" s="1"/>
  <c r="L6" i="1"/>
  <c r="AL5" i="1"/>
  <c r="AK5" i="1"/>
  <c r="AJ5" i="1"/>
  <c r="AI5" i="1"/>
  <c r="AH5" i="1"/>
  <c r="AG5" i="1"/>
  <c r="AF5" i="1"/>
  <c r="AE5" i="1"/>
  <c r="X5" i="1"/>
  <c r="W5" i="1"/>
  <c r="V5" i="1"/>
  <c r="U5" i="1"/>
  <c r="T5" i="1"/>
  <c r="S5" i="1"/>
  <c r="R5" i="1"/>
  <c r="Q5" i="1"/>
  <c r="P5" i="1"/>
  <c r="O5" i="1"/>
  <c r="N5" i="1"/>
  <c r="K5" i="1"/>
  <c r="E5" i="1"/>
  <c r="AA16" i="1" l="1"/>
  <c r="AN16" i="1" s="1"/>
  <c r="AC71" i="1"/>
  <c r="AN71" i="1"/>
  <c r="AC81" i="1"/>
  <c r="AN81" i="1"/>
  <c r="AC85" i="1"/>
  <c r="AN85" i="1"/>
  <c r="AC6" i="1"/>
  <c r="AC9" i="1"/>
  <c r="AC11" i="1"/>
  <c r="AC31" i="1"/>
  <c r="AC38" i="1"/>
  <c r="AC40" i="1"/>
  <c r="AC42" i="1"/>
  <c r="AC48" i="1"/>
  <c r="AC50" i="1"/>
  <c r="AC54" i="1"/>
  <c r="AC55" i="1"/>
  <c r="AD72" i="1"/>
  <c r="AC72" i="1"/>
  <c r="AC73" i="1"/>
  <c r="AC75" i="1"/>
  <c r="AD77" i="1"/>
  <c r="AC77" i="1"/>
  <c r="AD89" i="1"/>
  <c r="AC89" i="1"/>
  <c r="AD119" i="1"/>
  <c r="AC119" i="1"/>
  <c r="AD122" i="1"/>
  <c r="AC122" i="1"/>
  <c r="AD123" i="1"/>
  <c r="AC123" i="1"/>
  <c r="AD125" i="1"/>
  <c r="AC125" i="1"/>
  <c r="AC133" i="1"/>
  <c r="AC134" i="1"/>
  <c r="AC18" i="1"/>
  <c r="AC21" i="1"/>
  <c r="F5" i="1"/>
  <c r="AC92" i="1"/>
  <c r="AD95" i="1"/>
  <c r="AC95" i="1"/>
  <c r="AD103" i="1"/>
  <c r="AC103" i="1"/>
  <c r="AD105" i="1"/>
  <c r="AC105" i="1"/>
  <c r="AC106" i="1"/>
  <c r="AC111" i="1"/>
  <c r="AA44" i="1"/>
  <c r="AA46" i="1"/>
  <c r="AA96" i="1"/>
  <c r="AC98" i="1"/>
  <c r="AC99" i="1"/>
  <c r="AC107" i="1"/>
  <c r="AA114" i="1"/>
  <c r="AA129" i="1"/>
  <c r="Z102" i="1"/>
  <c r="Z84" i="1"/>
  <c r="Z90" i="1"/>
  <c r="AA90" i="1" s="1"/>
  <c r="Z88" i="1"/>
  <c r="AA88" i="1" s="1"/>
  <c r="Z13" i="1"/>
  <c r="Z25" i="1"/>
  <c r="AA25" i="1" s="1"/>
  <c r="Z45" i="1"/>
  <c r="Z51" i="1"/>
  <c r="Z59" i="1"/>
  <c r="AD71" i="1"/>
  <c r="Z78" i="1"/>
  <c r="Z97" i="1"/>
  <c r="AD120" i="1"/>
  <c r="Z62" i="1"/>
  <c r="Z66" i="1"/>
  <c r="AA66" i="1" s="1"/>
  <c r="Z70" i="1"/>
  <c r="AA70" i="1" s="1"/>
  <c r="Z100" i="1"/>
  <c r="Z127" i="1"/>
  <c r="Z131" i="1"/>
  <c r="Z69" i="1"/>
  <c r="AD91" i="1"/>
  <c r="Z117" i="1"/>
  <c r="AD124" i="1"/>
  <c r="Z68" i="1"/>
  <c r="Z121" i="1"/>
  <c r="AC121" i="1" s="1"/>
  <c r="Z104" i="1"/>
  <c r="AD80" i="1"/>
  <c r="AD84" i="1"/>
  <c r="AD9" i="1"/>
  <c r="AD75" i="1"/>
  <c r="AD99" i="1"/>
  <c r="AD107" i="1"/>
  <c r="AD111" i="1"/>
  <c r="AD115" i="1"/>
  <c r="AD130" i="1"/>
  <c r="AD134" i="1"/>
  <c r="L5" i="1"/>
  <c r="AD92" i="1"/>
  <c r="AD126" i="1"/>
  <c r="AD7" i="1"/>
  <c r="AD73" i="1"/>
  <c r="AD78" i="1"/>
  <c r="AD82" i="1"/>
  <c r="AD86" i="1"/>
  <c r="AD94" i="1"/>
  <c r="AD97" i="1"/>
  <c r="AD101" i="1"/>
  <c r="AD109" i="1"/>
  <c r="AD113" i="1"/>
  <c r="AD117" i="1"/>
  <c r="AD128" i="1"/>
  <c r="AD132" i="1"/>
  <c r="Y5" i="1"/>
  <c r="AD17" i="1"/>
  <c r="AD19" i="1"/>
  <c r="AD22" i="1"/>
  <c r="AD27" i="1"/>
  <c r="AD29" i="1"/>
  <c r="AD32" i="1"/>
  <c r="AD37" i="1"/>
  <c r="AD55" i="1"/>
  <c r="AD6" i="1"/>
  <c r="AD8" i="1"/>
  <c r="AD10" i="1"/>
  <c r="AD11" i="1"/>
  <c r="AD16" i="1"/>
  <c r="AD18" i="1"/>
  <c r="AD21" i="1"/>
  <c r="AD23" i="1"/>
  <c r="AD28" i="1"/>
  <c r="AD31" i="1"/>
  <c r="AD35" i="1"/>
  <c r="AD54" i="1"/>
  <c r="AD56" i="1"/>
  <c r="AD12" i="1"/>
  <c r="AD13" i="1"/>
  <c r="AD14" i="1"/>
  <c r="AD15" i="1"/>
  <c r="AD20" i="1"/>
  <c r="AD24" i="1"/>
  <c r="AD25" i="1"/>
  <c r="AD26" i="1"/>
  <c r="AD30" i="1"/>
  <c r="AD33" i="1"/>
  <c r="AD34" i="1"/>
  <c r="AD36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M5" i="1"/>
  <c r="AD74" i="1"/>
  <c r="AD76" i="1"/>
  <c r="AD79" i="1"/>
  <c r="AD81" i="1"/>
  <c r="AD83" i="1"/>
  <c r="AD85" i="1"/>
  <c r="AD87" i="1"/>
  <c r="AD93" i="1"/>
  <c r="AD96" i="1"/>
  <c r="AD98" i="1"/>
  <c r="AD100" i="1"/>
  <c r="AD106" i="1"/>
  <c r="AD108" i="1"/>
  <c r="AD110" i="1"/>
  <c r="AD112" i="1"/>
  <c r="AD114" i="1"/>
  <c r="AD116" i="1"/>
  <c r="AD118" i="1"/>
  <c r="AD127" i="1"/>
  <c r="AD129" i="1"/>
  <c r="AD131" i="1"/>
  <c r="AD133" i="1"/>
  <c r="AC16" i="1" l="1"/>
  <c r="AC129" i="1"/>
  <c r="AN129" i="1"/>
  <c r="AC27" i="1"/>
  <c r="AN27" i="1"/>
  <c r="AC17" i="1"/>
  <c r="AN17" i="1"/>
  <c r="AC46" i="1"/>
  <c r="AN46" i="1"/>
  <c r="AC8" i="1"/>
  <c r="AN8" i="1"/>
  <c r="AC114" i="1"/>
  <c r="AN114" i="1"/>
  <c r="AC96" i="1"/>
  <c r="AN96" i="1"/>
  <c r="AC22" i="1"/>
  <c r="AN22" i="1"/>
  <c r="AC52" i="1"/>
  <c r="AN52" i="1"/>
  <c r="AC44" i="1"/>
  <c r="AN44" i="1"/>
  <c r="AC104" i="1"/>
  <c r="AA68" i="1"/>
  <c r="AA117" i="1"/>
  <c r="AA69" i="1"/>
  <c r="AA131" i="1"/>
  <c r="AC100" i="1"/>
  <c r="AA62" i="1"/>
  <c r="AA97" i="1"/>
  <c r="AA51" i="1"/>
  <c r="AA45" i="1"/>
  <c r="AA84" i="1"/>
  <c r="AA127" i="1"/>
  <c r="AA78" i="1"/>
  <c r="AA59" i="1"/>
  <c r="AA13" i="1"/>
  <c r="AA102" i="1"/>
  <c r="Z5" i="1"/>
  <c r="AC13" i="1" l="1"/>
  <c r="AN13" i="1"/>
  <c r="AC59" i="1"/>
  <c r="AN59" i="1"/>
  <c r="AC66" i="1"/>
  <c r="AN66" i="1"/>
  <c r="AC84" i="1"/>
  <c r="AN84" i="1"/>
  <c r="AC88" i="1"/>
  <c r="AN88" i="1"/>
  <c r="AC51" i="1"/>
  <c r="AN51" i="1"/>
  <c r="AC62" i="1"/>
  <c r="AN62" i="1"/>
  <c r="AC69" i="1"/>
  <c r="AN69" i="1"/>
  <c r="AC68" i="1"/>
  <c r="AN68" i="1"/>
  <c r="AC102" i="1"/>
  <c r="AN102" i="1"/>
  <c r="AC25" i="1"/>
  <c r="AN25" i="1"/>
  <c r="AC78" i="1"/>
  <c r="AN78" i="1"/>
  <c r="AC127" i="1"/>
  <c r="AN127" i="1"/>
  <c r="AC90" i="1"/>
  <c r="AN90" i="1"/>
  <c r="AC45" i="1"/>
  <c r="AN45" i="1"/>
  <c r="AC97" i="1"/>
  <c r="AN97" i="1"/>
  <c r="AC70" i="1"/>
  <c r="AN70" i="1"/>
  <c r="AC131" i="1"/>
  <c r="AN131" i="1"/>
  <c r="AC117" i="1"/>
  <c r="AN117" i="1"/>
  <c r="AA5" i="1"/>
  <c r="AN5" i="1"/>
</calcChain>
</file>

<file path=xl/sharedStrings.xml><?xml version="1.0" encoding="utf-8"?>
<sst xmlns="http://schemas.openxmlformats.org/spreadsheetml/2006/main" count="497" uniqueCount="195">
  <si>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</si>
  <si>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</si>
  <si>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</si>
  <si>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</si>
  <si>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</si>
  <si>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</si>
  <si>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</si>
  <si>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</si>
  <si>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</si>
  <si>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</si>
  <si>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</si>
  <si>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</si>
  <si>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</si>
  <si>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</si>
  <si>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</si>
  <si>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</si>
  <si>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</si>
  <si>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</si>
  <si>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</si>
  <si>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</si>
  <si>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</si>
  <si>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</si>
  <si>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</si>
  <si>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01,09,предзаказ</t>
  </si>
  <si>
    <t>02,09,</t>
  </si>
  <si>
    <t>02,09,доз</t>
  </si>
  <si>
    <t>02,09,доз2</t>
  </si>
  <si>
    <t>02,09,(2)</t>
  </si>
  <si>
    <t>02,09,(2)доз</t>
  </si>
  <si>
    <t>03,08,</t>
  </si>
  <si>
    <t>04,08,</t>
  </si>
  <si>
    <t>04,08,доз</t>
  </si>
  <si>
    <t>30,07,</t>
  </si>
  <si>
    <t>28,07,</t>
  </si>
  <si>
    <t>23,07,</t>
  </si>
  <si>
    <t>21,07,</t>
  </si>
  <si>
    <t>20,07,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</si>
  <si>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</si>
  <si>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</si>
  <si>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</si>
  <si>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</si>
  <si>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</si>
  <si>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</si>
  <si>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</si>
  <si>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</si>
  <si>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</si>
  <si>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</si>
  <si>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</si>
  <si>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</si>
  <si>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</si>
  <si>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</si>
  <si>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</si>
  <si>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</si>
  <si>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</si>
  <si>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</si>
  <si>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</si>
  <si>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</si>
  <si>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перемещение ЛП???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</si>
  <si>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</si>
  <si>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</si>
  <si>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</si>
  <si>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</si>
  <si>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</si>
  <si>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</si>
  <si>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</si>
  <si>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</si>
  <si>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</si>
  <si>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</si>
  <si>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</si>
  <si>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</si>
  <si>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</si>
  <si>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</si>
  <si>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</si>
  <si>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</si>
  <si>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</si>
  <si>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</si>
  <si>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</si>
  <si>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</si>
  <si>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</si>
  <si>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</si>
  <si>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</si>
  <si>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</si>
  <si>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</si>
  <si>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</si>
  <si>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</si>
  <si>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</si>
  <si>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</si>
  <si>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</si>
  <si>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</si>
  <si>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</si>
  <si>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</si>
  <si>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</si>
  <si>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</si>
  <si>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</si>
  <si>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</si>
  <si>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</si>
  <si>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</si>
  <si>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</si>
  <si>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</si>
  <si>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</si>
  <si>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</si>
  <si>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</si>
  <si>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</si>
  <si>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</si>
  <si>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</si>
  <si>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</si>
  <si>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</si>
  <si>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</si>
  <si>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</si>
  <si>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</si>
  <si>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</si>
  <si>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</si>
  <si>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</si>
  <si>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</si>
  <si>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</si>
  <si>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</si>
  <si>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</si>
  <si>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</si>
  <si>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</si>
  <si>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</si>
  <si>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</si>
  <si>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</si>
  <si>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</si>
  <si>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</si>
  <si>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</si>
  <si>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</si>
  <si>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</si>
  <si>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</si>
  <si>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</si>
  <si>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</si>
  <si>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</si>
  <si>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</si>
  <si>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</si>
  <si>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</si>
  <si>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</si>
  <si>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</si>
  <si>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</si>
  <si>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</si>
  <si>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</si>
  <si>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</si>
  <si>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</si>
  <si>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</si>
  <si>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</si>
  <si>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</si>
  <si>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</si>
  <si>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</si>
  <si>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</si>
  <si>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</si>
  <si>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</si>
  <si>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</si>
  <si>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</si>
  <si>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</si>
  <si>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</si>
  <si>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</si>
  <si>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</si>
  <si>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</si>
  <si>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</si>
  <si>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</si>
  <si>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</si>
  <si>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</si>
  <si>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</si>
  <si>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</si>
  <si>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</si>
  <si>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</si>
  <si>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</si>
  <si>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</si>
  <si>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</si>
  <si>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</si>
  <si>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</si>
  <si>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</si>
  <si>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</si>
  <si>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</si>
  <si>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</si>
  <si>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</si>
  <si>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</si>
  <si>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</si>
  <si>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</si>
  <si>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</si>
  <si>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</si>
  <si>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</si>
  <si>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</si>
  <si>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</si>
  <si>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</si>
  <si>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</si>
  <si>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</si>
  <si>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</si>
  <si>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ТК</t>
  </si>
  <si>
    <t>Хмель</t>
  </si>
  <si>
    <t>1000 сеть МКД (05,08,26)</t>
  </si>
  <si>
    <t>плюсом 300шт сеть Молоко (05,08,26)</t>
  </si>
  <si>
    <t>300кг под задачи ТК (05,08,26) / 150кг под задачи ТК (31,07,26)</t>
  </si>
  <si>
    <t>300кг под задачи ТК (05,08,26) / 31,07,26 начали заказывать</t>
  </si>
  <si>
    <t>дн</t>
  </si>
  <si>
    <t>заказ</t>
  </si>
  <si>
    <t>09,08,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</si>
</sst>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/>
    <xf numFmtId="164" fontId="4" fillId="7" borderId="1" xfId="1" applyNumberFormat="1" applyFont="1" applyFill="1"/>
    <xf numFmtId="164" fontId="1" fillId="7" borderId="1" xfId="1" applyNumberFormat="1" applyFill="1"/>
    <xf numFmtId="164" fontId="6" fillId="8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1" fillId="9" borderId="2" xfId="1" applyNumberFormat="1" applyFill="1" applyBorder="1"/>
    <xf numFmtId="164" fontId="1" fillId="10" borderId="2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1" fillId="11" borderId="1" xfId="1" applyNumberFormat="1" applyFill="1" applyBorder="1"/>
    <xf numFmtId="164" fontId="1" fillId="12" borderId="2" xfId="1" applyNumberFormat="1" applyFill="1" applyBorder="1"/>
    <xf numFmtId="164" fontId="1" fillId="12" borderId="1" xfId="1" applyNumberFormat="1" applyFill="1"/>
    <xf numFmtId="164" fontId="1" fillId="12" borderId="1" xfId="1" applyNumberFormat="1" applyFont="1" applyFill="1"/>
    <xf numFmtId="165" fontId="1" fillId="0" borderId="1" xfId="1" applyNumberFormat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040826%20&#1076;&#1085;&#1088;&#1089;&#1095;%20&#1087;&#1086;&#1082;%20&#1082;&#1080;%20&#1061;&#1084;&#1077;&#1083;&#11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заказ в пути</v>
          </cell>
          <cell r="W3" t="str">
            <v>заказ в пути</v>
          </cell>
          <cell r="X3" t="str">
            <v>заказ в пути</v>
          </cell>
          <cell r="Y3" t="str">
            <v>ср нов</v>
          </cell>
          <cell r="Z3" t="str">
            <v>расчет</v>
          </cell>
        </row>
        <row r="4">
          <cell r="O4" t="str">
            <v>01,09,</v>
          </cell>
          <cell r="P4" t="str">
            <v>01,09,предзаказ</v>
          </cell>
          <cell r="Q4" t="str">
            <v>02,09,</v>
          </cell>
          <cell r="R4" t="str">
            <v>02,09,доз</v>
          </cell>
          <cell r="S4" t="str">
            <v>02,09,доз2</v>
          </cell>
          <cell r="T4" t="str">
            <v>02,09,(2)</v>
          </cell>
          <cell r="U4" t="str">
            <v>02,09,(2)доз</v>
          </cell>
          <cell r="V4" t="str">
            <v>03,08,</v>
          </cell>
          <cell r="W4" t="str">
            <v>04,08,</v>
          </cell>
          <cell r="X4" t="str">
            <v>04,08,доз</v>
          </cell>
          <cell r="Y4" t="str">
            <v>04,08,</v>
          </cell>
        </row>
        <row r="5">
          <cell r="E5">
            <v>56642.257000000012</v>
          </cell>
          <cell r="F5">
            <v>27816.794000000005</v>
          </cell>
          <cell r="K5">
            <v>68699.194999999992</v>
          </cell>
          <cell r="L5">
            <v>-12056.938000000006</v>
          </cell>
          <cell r="M5">
            <v>55868.686000000016</v>
          </cell>
          <cell r="N5">
            <v>773.57099999999991</v>
          </cell>
          <cell r="O5">
            <v>21067.260562399999</v>
          </cell>
          <cell r="P5">
            <v>5350</v>
          </cell>
          <cell r="Q5">
            <v>1600</v>
          </cell>
          <cell r="R5">
            <v>4100</v>
          </cell>
          <cell r="S5">
            <v>3500</v>
          </cell>
          <cell r="T5">
            <v>19500</v>
          </cell>
          <cell r="U5">
            <v>1540</v>
          </cell>
          <cell r="V5">
            <v>13458.599258912795</v>
          </cell>
          <cell r="W5">
            <v>21727.185372103198</v>
          </cell>
          <cell r="X5">
            <v>1000</v>
          </cell>
          <cell r="Y5">
            <v>11173.737200000001</v>
          </cell>
          <cell r="Z5">
            <v>9811.3964440000054</v>
          </cell>
          <cell r="AA5" t="str">
            <v xml:space="preserve">ТРЕБУЕТСЯ 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2260.1480000000001</v>
          </cell>
          <cell r="D6">
            <v>880.798</v>
          </cell>
          <cell r="E6">
            <v>1743.963</v>
          </cell>
          <cell r="F6">
            <v>1354.02</v>
          </cell>
          <cell r="G6">
            <v>1</v>
          </cell>
          <cell r="H6">
            <v>50</v>
          </cell>
          <cell r="I6" t="str">
            <v>матрица</v>
          </cell>
          <cell r="K6">
            <v>1756.55</v>
          </cell>
          <cell r="L6">
            <v>-12.586999999999989</v>
          </cell>
          <cell r="M6">
            <v>1743.963</v>
          </cell>
          <cell r="O6">
            <v>725.0862823999978</v>
          </cell>
          <cell r="Q6">
            <v>800</v>
          </cell>
          <cell r="V6">
            <v>361.01789634480059</v>
          </cell>
          <cell r="W6">
            <v>774.25850725520149</v>
          </cell>
          <cell r="Y6">
            <v>348.79259999999999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588.32100000000003</v>
          </cell>
          <cell r="D7">
            <v>338.69400000000002</v>
          </cell>
          <cell r="E7">
            <v>878.37400000000002</v>
          </cell>
          <cell r="F7">
            <v>-9.7590000000000003</v>
          </cell>
          <cell r="G7">
            <v>1</v>
          </cell>
          <cell r="H7">
            <v>45</v>
          </cell>
          <cell r="I7" t="str">
            <v>матрица</v>
          </cell>
          <cell r="K7">
            <v>1134.5160000000001</v>
          </cell>
          <cell r="L7">
            <v>-256.14200000000005</v>
          </cell>
          <cell r="M7">
            <v>878.37400000000002</v>
          </cell>
          <cell r="O7">
            <v>284.72726200000028</v>
          </cell>
          <cell r="P7">
            <v>800</v>
          </cell>
          <cell r="V7">
            <v>496.76597433599949</v>
          </cell>
          <cell r="W7">
            <v>1065.391177664</v>
          </cell>
          <cell r="Y7">
            <v>175.6748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2895.4059999999999</v>
          </cell>
          <cell r="D8">
            <v>614.74</v>
          </cell>
          <cell r="E8">
            <v>3067.8180000000002</v>
          </cell>
          <cell r="F8">
            <v>-53.558999999999997</v>
          </cell>
          <cell r="G8">
            <v>1</v>
          </cell>
          <cell r="H8">
            <v>45</v>
          </cell>
          <cell r="I8" t="str">
            <v>матрица</v>
          </cell>
          <cell r="K8">
            <v>3785.2139999999999</v>
          </cell>
          <cell r="L8">
            <v>-717.39599999999973</v>
          </cell>
          <cell r="M8">
            <v>3067.8180000000002</v>
          </cell>
          <cell r="O8">
            <v>800</v>
          </cell>
          <cell r="P8">
            <v>2300</v>
          </cell>
          <cell r="T8">
            <v>500</v>
          </cell>
          <cell r="V8">
            <v>943.87382423999952</v>
          </cell>
          <cell r="W8">
            <v>2024.2828557600001</v>
          </cell>
          <cell r="Y8">
            <v>613.56360000000006</v>
          </cell>
          <cell r="Z8">
            <v>234.60192000000168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9</v>
          </cell>
          <cell r="D9">
            <v>2</v>
          </cell>
          <cell r="E9">
            <v>6</v>
          </cell>
          <cell r="F9">
            <v>5</v>
          </cell>
          <cell r="G9">
            <v>0.4</v>
          </cell>
          <cell r="H9">
            <v>50</v>
          </cell>
          <cell r="I9" t="str">
            <v>матрица</v>
          </cell>
          <cell r="K9">
            <v>8</v>
          </cell>
          <cell r="L9">
            <v>-2</v>
          </cell>
          <cell r="M9">
            <v>6</v>
          </cell>
          <cell r="O9">
            <v>13</v>
          </cell>
          <cell r="V9">
            <v>10.9</v>
          </cell>
          <cell r="Y9">
            <v>1.2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1559.444</v>
          </cell>
          <cell r="D10">
            <v>230.20099999999999</v>
          </cell>
          <cell r="E10">
            <v>1695</v>
          </cell>
          <cell r="F10">
            <v>34.645000000000003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2214</v>
          </cell>
          <cell r="L10">
            <v>-519</v>
          </cell>
          <cell r="M10">
            <v>1695</v>
          </cell>
          <cell r="O10">
            <v>1000</v>
          </cell>
          <cell r="T10">
            <v>1000</v>
          </cell>
          <cell r="V10">
            <v>953.99999999999977</v>
          </cell>
          <cell r="W10">
            <v>2046</v>
          </cell>
          <cell r="Y10">
            <v>339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2728.1709999999998</v>
          </cell>
          <cell r="D11">
            <v>204</v>
          </cell>
          <cell r="E11">
            <v>2684</v>
          </cell>
          <cell r="F11">
            <v>121.17100000000001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2907</v>
          </cell>
          <cell r="L11">
            <v>-223</v>
          </cell>
          <cell r="M11">
            <v>2684</v>
          </cell>
          <cell r="O11">
            <v>1989.4869999999989</v>
          </cell>
          <cell r="T11">
            <v>3000</v>
          </cell>
          <cell r="V11">
            <v>817.98453692400017</v>
          </cell>
          <cell r="W11">
            <v>1754.2938810760011</v>
          </cell>
          <cell r="Y11">
            <v>536.79999999999995</v>
          </cell>
          <cell r="AA11" t="str">
            <v>1000 сеть МКД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120</v>
          </cell>
          <cell r="D12">
            <v>5</v>
          </cell>
          <cell r="E12">
            <v>118</v>
          </cell>
          <cell r="F12">
            <v>4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130</v>
          </cell>
          <cell r="L12">
            <v>-12</v>
          </cell>
          <cell r="M12">
            <v>118</v>
          </cell>
          <cell r="O12">
            <v>150.6</v>
          </cell>
          <cell r="V12">
            <v>234.9</v>
          </cell>
          <cell r="Y12">
            <v>23.6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102</v>
          </cell>
          <cell r="D13">
            <v>6</v>
          </cell>
          <cell r="E13">
            <v>59</v>
          </cell>
          <cell r="F13">
            <v>40</v>
          </cell>
          <cell r="G13">
            <v>0.3</v>
          </cell>
          <cell r="H13">
            <v>40</v>
          </cell>
          <cell r="I13" t="str">
            <v>матрица</v>
          </cell>
          <cell r="K13">
            <v>65</v>
          </cell>
          <cell r="L13">
            <v>-6</v>
          </cell>
          <cell r="M13">
            <v>59</v>
          </cell>
          <cell r="O13">
            <v>0</v>
          </cell>
          <cell r="V13">
            <v>43.600000000000009</v>
          </cell>
          <cell r="Y13">
            <v>11.8</v>
          </cell>
          <cell r="Z13">
            <v>46.2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333</v>
          </cell>
          <cell r="D14">
            <v>14</v>
          </cell>
          <cell r="E14">
            <v>184</v>
          </cell>
          <cell r="F14">
            <v>157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192</v>
          </cell>
          <cell r="L14">
            <v>-8</v>
          </cell>
          <cell r="M14">
            <v>184</v>
          </cell>
          <cell r="O14">
            <v>384.2</v>
          </cell>
          <cell r="V14">
            <v>78.10000000000008</v>
          </cell>
          <cell r="Y14">
            <v>36.799999999999997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264</v>
          </cell>
          <cell r="D15">
            <v>120</v>
          </cell>
          <cell r="E15">
            <v>22</v>
          </cell>
          <cell r="F15">
            <v>362</v>
          </cell>
          <cell r="G15">
            <v>0</v>
          </cell>
          <cell r="I15" t="str">
            <v>не в матрице</v>
          </cell>
          <cell r="K15">
            <v>30</v>
          </cell>
          <cell r="L15">
            <v>-8</v>
          </cell>
          <cell r="M15">
            <v>22</v>
          </cell>
          <cell r="O15">
            <v>0</v>
          </cell>
          <cell r="V15">
            <v>0</v>
          </cell>
          <cell r="Y15">
            <v>4.4000000000000004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3560.2449999999999</v>
          </cell>
          <cell r="D16">
            <v>134.06899999999999</v>
          </cell>
          <cell r="E16">
            <v>3465.5790000000002</v>
          </cell>
          <cell r="F16">
            <v>161.76</v>
          </cell>
          <cell r="G16">
            <v>1</v>
          </cell>
          <cell r="H16">
            <v>70</v>
          </cell>
          <cell r="I16" t="str">
            <v>матрица</v>
          </cell>
          <cell r="K16">
            <v>3383.45</v>
          </cell>
          <cell r="L16">
            <v>82.12900000000036</v>
          </cell>
          <cell r="M16">
            <v>3465.5790000000002</v>
          </cell>
          <cell r="O16">
            <v>1737</v>
          </cell>
          <cell r="Q16">
            <v>800</v>
          </cell>
          <cell r="T16">
            <v>2000</v>
          </cell>
          <cell r="V16">
            <v>965.51377321199971</v>
          </cell>
          <cell r="W16">
            <v>2070.6930607879999</v>
          </cell>
          <cell r="Y16">
            <v>693.11580000000004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2384.7370000000001</v>
          </cell>
          <cell r="D17">
            <v>3538.567</v>
          </cell>
          <cell r="E17">
            <v>2650.616</v>
          </cell>
          <cell r="F17">
            <v>2909.6909999999998</v>
          </cell>
          <cell r="G17">
            <v>1</v>
          </cell>
          <cell r="H17">
            <v>50</v>
          </cell>
          <cell r="I17" t="str">
            <v>матрица</v>
          </cell>
          <cell r="K17">
            <v>2744.8069999999998</v>
          </cell>
          <cell r="L17">
            <v>-94.190999999999804</v>
          </cell>
          <cell r="M17">
            <v>2650.616</v>
          </cell>
          <cell r="O17">
            <v>0</v>
          </cell>
          <cell r="P17">
            <v>1400</v>
          </cell>
          <cell r="V17">
            <v>366.58436753999979</v>
          </cell>
          <cell r="W17">
            <v>786.19666245999986</v>
          </cell>
          <cell r="Y17">
            <v>530.1232</v>
          </cell>
          <cell r="Z17">
            <v>368.88317000000006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283.87799999999999</v>
          </cell>
          <cell r="D18">
            <v>151.453</v>
          </cell>
          <cell r="E18">
            <v>139.58500000000001</v>
          </cell>
          <cell r="F18">
            <v>288.24</v>
          </cell>
          <cell r="G18">
            <v>1</v>
          </cell>
          <cell r="H18">
            <v>60</v>
          </cell>
          <cell r="I18" t="str">
            <v>матрица</v>
          </cell>
          <cell r="K18">
            <v>328.75</v>
          </cell>
          <cell r="L18">
            <v>-189.16499999999999</v>
          </cell>
          <cell r="M18">
            <v>139.58500000000001</v>
          </cell>
          <cell r="O18">
            <v>0</v>
          </cell>
          <cell r="V18">
            <v>0</v>
          </cell>
          <cell r="Y18">
            <v>27.917000000000002</v>
          </cell>
          <cell r="Z18">
            <v>18.84699999999998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F19">
            <v>-4.9740000000000002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L19">
            <v>0</v>
          </cell>
          <cell r="M19">
            <v>0</v>
          </cell>
          <cell r="O19">
            <v>0</v>
          </cell>
          <cell r="V19">
            <v>0</v>
          </cell>
          <cell r="Y19">
            <v>0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  <cell r="I20" t="str">
            <v>матрица</v>
          </cell>
          <cell r="L20">
            <v>0</v>
          </cell>
          <cell r="M20">
            <v>0</v>
          </cell>
          <cell r="O20">
            <v>0</v>
          </cell>
          <cell r="V20">
            <v>0</v>
          </cell>
          <cell r="Y20">
            <v>0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17.986000000000001</v>
          </cell>
          <cell r="E21">
            <v>2.145</v>
          </cell>
          <cell r="F21">
            <v>15.840999999999999</v>
          </cell>
          <cell r="G21">
            <v>1</v>
          </cell>
          <cell r="H21">
            <v>180</v>
          </cell>
          <cell r="I21" t="str">
            <v>матрица</v>
          </cell>
          <cell r="K21">
            <v>2.1</v>
          </cell>
          <cell r="L21">
            <v>4.4999999999999929E-2</v>
          </cell>
          <cell r="M21">
            <v>2.145</v>
          </cell>
          <cell r="O21">
            <v>0</v>
          </cell>
          <cell r="V21">
            <v>0</v>
          </cell>
          <cell r="Y21">
            <v>0.42899999999999999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2773.7280000000001</v>
          </cell>
          <cell r="D22">
            <v>1558.2470000000001</v>
          </cell>
          <cell r="E22">
            <v>4296.8670000000002</v>
          </cell>
          <cell r="F22">
            <v>-63.572000000000003</v>
          </cell>
          <cell r="G22">
            <v>1</v>
          </cell>
          <cell r="H22">
            <v>60</v>
          </cell>
          <cell r="I22" t="str">
            <v>матрица</v>
          </cell>
          <cell r="K22">
            <v>5225.1000000000004</v>
          </cell>
          <cell r="L22">
            <v>-928.23300000000017</v>
          </cell>
          <cell r="M22">
            <v>4296.8670000000002</v>
          </cell>
          <cell r="O22">
            <v>1901.5915999999991</v>
          </cell>
          <cell r="T22">
            <v>3500</v>
          </cell>
          <cell r="V22">
            <v>836.20269586800055</v>
          </cell>
          <cell r="W22">
            <v>1793.365530132002</v>
          </cell>
          <cell r="Y22">
            <v>859.37340000000006</v>
          </cell>
          <cell r="Z22">
            <v>1485.5195739999986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F23">
            <v>-7.4930000000000003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L23">
            <v>0</v>
          </cell>
          <cell r="M23">
            <v>0</v>
          </cell>
          <cell r="O23">
            <v>0</v>
          </cell>
          <cell r="V23">
            <v>0</v>
          </cell>
          <cell r="Y23">
            <v>0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353.27</v>
          </cell>
          <cell r="D24">
            <v>183.124</v>
          </cell>
          <cell r="E24">
            <v>198.83600000000001</v>
          </cell>
          <cell r="F24">
            <v>279.899</v>
          </cell>
          <cell r="G24">
            <v>1</v>
          </cell>
          <cell r="H24">
            <v>70</v>
          </cell>
          <cell r="I24" t="str">
            <v>матрица</v>
          </cell>
          <cell r="K24">
            <v>491.21</v>
          </cell>
          <cell r="L24">
            <v>-292.37399999999997</v>
          </cell>
          <cell r="M24">
            <v>146.27600000000001</v>
          </cell>
          <cell r="N24">
            <v>52.56</v>
          </cell>
          <cell r="O24">
            <v>343.26725999999991</v>
          </cell>
          <cell r="T24">
            <v>300</v>
          </cell>
          <cell r="V24">
            <v>50.635340000000269</v>
          </cell>
          <cell r="Y24">
            <v>29.255200000000002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1292.693</v>
          </cell>
          <cell r="D25">
            <v>187.327</v>
          </cell>
          <cell r="E25">
            <v>1241.856</v>
          </cell>
          <cell r="F25">
            <v>67.034999999999997</v>
          </cell>
          <cell r="G25">
            <v>1</v>
          </cell>
          <cell r="H25">
            <v>70</v>
          </cell>
          <cell r="I25" t="str">
            <v>матрица</v>
          </cell>
          <cell r="K25">
            <v>1380.37</v>
          </cell>
          <cell r="L25">
            <v>-138.5139999999999</v>
          </cell>
          <cell r="M25">
            <v>1241.856</v>
          </cell>
          <cell r="O25">
            <v>723.06279999999992</v>
          </cell>
          <cell r="T25">
            <v>800</v>
          </cell>
          <cell r="V25">
            <v>328.6417885919999</v>
          </cell>
          <cell r="W25">
            <v>704.82295540799998</v>
          </cell>
          <cell r="Y25">
            <v>248.37119999999999</v>
          </cell>
          <cell r="Z25">
            <v>108.52065600000023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O26">
            <v>0</v>
          </cell>
          <cell r="V26">
            <v>0</v>
          </cell>
          <cell r="Y26">
            <v>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2163.6039999999998</v>
          </cell>
          <cell r="D27">
            <v>197.53200000000001</v>
          </cell>
          <cell r="E27">
            <v>2268.3980000000001</v>
          </cell>
          <cell r="F27">
            <v>5.24</v>
          </cell>
          <cell r="G27">
            <v>1</v>
          </cell>
          <cell r="H27">
            <v>70</v>
          </cell>
          <cell r="I27" t="str">
            <v>матрица</v>
          </cell>
          <cell r="K27">
            <v>2671.01</v>
          </cell>
          <cell r="L27">
            <v>-402.61200000000008</v>
          </cell>
          <cell r="M27">
            <v>2268.3980000000001</v>
          </cell>
          <cell r="O27">
            <v>784.08680000000049</v>
          </cell>
          <cell r="T27">
            <v>2000</v>
          </cell>
          <cell r="V27">
            <v>417.79198449599983</v>
          </cell>
          <cell r="W27">
            <v>896.01928750399986</v>
          </cell>
          <cell r="Y27">
            <v>453.67960000000005</v>
          </cell>
          <cell r="Z27">
            <v>887.3375280000007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11.545</v>
          </cell>
          <cell r="E28">
            <v>6.5730000000000004</v>
          </cell>
          <cell r="F28">
            <v>-0.10299999999999999</v>
          </cell>
          <cell r="G28">
            <v>1</v>
          </cell>
          <cell r="H28">
            <v>40</v>
          </cell>
          <cell r="I28" t="str">
            <v>матрица</v>
          </cell>
          <cell r="K28">
            <v>57</v>
          </cell>
          <cell r="L28">
            <v>-50.427</v>
          </cell>
          <cell r="M28">
            <v>6.5730000000000004</v>
          </cell>
          <cell r="O28">
            <v>49.604200000000013</v>
          </cell>
          <cell r="V28">
            <v>36.403599999999997</v>
          </cell>
          <cell r="Y28">
            <v>1.3146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M29">
            <v>0</v>
          </cell>
          <cell r="O29">
            <v>0</v>
          </cell>
          <cell r="V29">
            <v>0</v>
          </cell>
          <cell r="Y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0</v>
          </cell>
          <cell r="I30" t="str">
            <v>НЕДОГРУЗ / матрица</v>
          </cell>
          <cell r="L30">
            <v>0</v>
          </cell>
          <cell r="M30">
            <v>0</v>
          </cell>
          <cell r="O30">
            <v>0</v>
          </cell>
          <cell r="V30">
            <v>0</v>
          </cell>
          <cell r="Y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-46.098999999999997</v>
          </cell>
          <cell r="D31">
            <v>4399.93</v>
          </cell>
          <cell r="E31">
            <v>2843.6219999999998</v>
          </cell>
          <cell r="F31">
            <v>388.90100000000001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3962.4650000000001</v>
          </cell>
          <cell r="L31">
            <v>-1118.8430000000003</v>
          </cell>
          <cell r="M31">
            <v>2843.6219999999998</v>
          </cell>
          <cell r="O31">
            <v>316.48535800000042</v>
          </cell>
          <cell r="T31">
            <v>0</v>
          </cell>
          <cell r="V31">
            <v>0</v>
          </cell>
          <cell r="W31">
            <v>602.32070421600031</v>
          </cell>
          <cell r="Y31">
            <v>568.72439999999995</v>
          </cell>
          <cell r="Z31">
            <v>600</v>
          </cell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E32">
            <v>-0.49</v>
          </cell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K32">
            <v>65</v>
          </cell>
          <cell r="L32">
            <v>-65.489999999999995</v>
          </cell>
          <cell r="M32">
            <v>-0.49</v>
          </cell>
          <cell r="O32">
            <v>0</v>
          </cell>
          <cell r="V32">
            <v>0</v>
          </cell>
          <cell r="Y32">
            <v>-9.8000000000000004E-2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-69.924999999999997</v>
          </cell>
          <cell r="D33">
            <v>38.22</v>
          </cell>
          <cell r="E33">
            <v>49.277999999999999</v>
          </cell>
          <cell r="F33">
            <v>-112.038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2141.1999999999998</v>
          </cell>
          <cell r="L33">
            <v>-2091.922</v>
          </cell>
          <cell r="M33">
            <v>49.277999999999999</v>
          </cell>
          <cell r="O33">
            <v>0</v>
          </cell>
          <cell r="P33">
            <v>0</v>
          </cell>
          <cell r="T33">
            <v>0</v>
          </cell>
          <cell r="V33">
            <v>0</v>
          </cell>
          <cell r="Y33">
            <v>9.855599999999999</v>
          </cell>
          <cell r="Z33">
            <v>800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M34">
            <v>0</v>
          </cell>
          <cell r="O34">
            <v>0</v>
          </cell>
          <cell r="V34">
            <v>0</v>
          </cell>
          <cell r="Y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M35">
            <v>0</v>
          </cell>
          <cell r="O35">
            <v>0</v>
          </cell>
          <cell r="V35">
            <v>0</v>
          </cell>
          <cell r="Y35">
            <v>0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M36">
            <v>0</v>
          </cell>
          <cell r="O36">
            <v>0</v>
          </cell>
          <cell r="V36">
            <v>0</v>
          </cell>
          <cell r="Y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G37">
            <v>0</v>
          </cell>
          <cell r="I37" t="str">
            <v>матрица</v>
          </cell>
          <cell r="L37">
            <v>0</v>
          </cell>
          <cell r="M37">
            <v>0</v>
          </cell>
          <cell r="O37">
            <v>0</v>
          </cell>
          <cell r="V37">
            <v>0</v>
          </cell>
          <cell r="Y37">
            <v>0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2723</v>
          </cell>
          <cell r="D38">
            <v>1683</v>
          </cell>
          <cell r="E38">
            <v>4056</v>
          </cell>
          <cell r="F38">
            <v>92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4389</v>
          </cell>
          <cell r="L38">
            <v>-333</v>
          </cell>
          <cell r="M38">
            <v>4056</v>
          </cell>
          <cell r="O38">
            <v>0</v>
          </cell>
          <cell r="P38">
            <v>0</v>
          </cell>
          <cell r="T38">
            <v>0</v>
          </cell>
          <cell r="V38">
            <v>0</v>
          </cell>
          <cell r="W38">
            <v>2484.6187519999999</v>
          </cell>
          <cell r="Y38">
            <v>811.2</v>
          </cell>
          <cell r="Z38">
            <v>800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1490.75</v>
          </cell>
          <cell r="D39">
            <v>140</v>
          </cell>
          <cell r="E39">
            <v>492</v>
          </cell>
          <cell r="F39">
            <v>1030.75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619</v>
          </cell>
          <cell r="L39">
            <v>-127</v>
          </cell>
          <cell r="M39">
            <v>492</v>
          </cell>
          <cell r="O39">
            <v>0</v>
          </cell>
          <cell r="V39">
            <v>471.47800000000012</v>
          </cell>
          <cell r="Y39">
            <v>98.4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157</v>
          </cell>
          <cell r="D40">
            <v>1151</v>
          </cell>
          <cell r="E40">
            <v>834</v>
          </cell>
          <cell r="F40">
            <v>424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1281</v>
          </cell>
          <cell r="L40">
            <v>-447</v>
          </cell>
          <cell r="M40">
            <v>834</v>
          </cell>
          <cell r="O40">
            <v>0</v>
          </cell>
          <cell r="T40">
            <v>0</v>
          </cell>
          <cell r="V40">
            <v>0</v>
          </cell>
          <cell r="Y40">
            <v>166.8</v>
          </cell>
          <cell r="Z40">
            <v>300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96</v>
          </cell>
          <cell r="D41">
            <v>488</v>
          </cell>
          <cell r="E41">
            <v>581</v>
          </cell>
          <cell r="F41">
            <v>-2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907</v>
          </cell>
          <cell r="L41">
            <v>-326</v>
          </cell>
          <cell r="M41">
            <v>581</v>
          </cell>
          <cell r="O41">
            <v>320.14</v>
          </cell>
          <cell r="T41">
            <v>0</v>
          </cell>
          <cell r="V41">
            <v>0</v>
          </cell>
          <cell r="Y41">
            <v>116.2</v>
          </cell>
          <cell r="Z41">
            <v>200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G42">
            <v>1</v>
          </cell>
          <cell r="I42" t="str">
            <v>матрица</v>
          </cell>
          <cell r="L42">
            <v>0</v>
          </cell>
          <cell r="M42">
            <v>0</v>
          </cell>
          <cell r="O42">
            <v>0</v>
          </cell>
          <cell r="V42">
            <v>0</v>
          </cell>
          <cell r="Y42">
            <v>0</v>
          </cell>
          <cell r="Z42">
            <v>50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255</v>
          </cell>
          <cell r="D43">
            <v>28</v>
          </cell>
          <cell r="E43">
            <v>187</v>
          </cell>
          <cell r="F43">
            <v>95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211</v>
          </cell>
          <cell r="L43">
            <v>-24</v>
          </cell>
          <cell r="M43">
            <v>187</v>
          </cell>
          <cell r="O43">
            <v>236.2</v>
          </cell>
          <cell r="T43">
            <v>100</v>
          </cell>
          <cell r="V43">
            <v>156.9</v>
          </cell>
          <cell r="Y43">
            <v>37.4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169</v>
          </cell>
          <cell r="D44">
            <v>3</v>
          </cell>
          <cell r="E44">
            <v>94</v>
          </cell>
          <cell r="F44">
            <v>65</v>
          </cell>
          <cell r="G44">
            <v>0.35</v>
          </cell>
          <cell r="H44">
            <v>40</v>
          </cell>
          <cell r="I44" t="str">
            <v>матрица</v>
          </cell>
          <cell r="K44">
            <v>113</v>
          </cell>
          <cell r="L44">
            <v>-19</v>
          </cell>
          <cell r="M44">
            <v>94</v>
          </cell>
          <cell r="O44">
            <v>60</v>
          </cell>
          <cell r="V44">
            <v>0</v>
          </cell>
          <cell r="Y44">
            <v>18.8</v>
          </cell>
          <cell r="Z44">
            <v>81.800000000000011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9.9760000000000009</v>
          </cell>
          <cell r="D45">
            <v>34.883000000000003</v>
          </cell>
          <cell r="E45">
            <v>16.532</v>
          </cell>
          <cell r="F45">
            <v>27.303000000000001</v>
          </cell>
          <cell r="G45">
            <v>1</v>
          </cell>
          <cell r="H45">
            <v>40</v>
          </cell>
          <cell r="I45" t="str">
            <v>матрица</v>
          </cell>
          <cell r="K45">
            <v>20.6</v>
          </cell>
          <cell r="L45">
            <v>-4.0680000000000014</v>
          </cell>
          <cell r="M45">
            <v>16.532</v>
          </cell>
          <cell r="O45">
            <v>0</v>
          </cell>
          <cell r="V45">
            <v>0</v>
          </cell>
          <cell r="Y45">
            <v>3.3064</v>
          </cell>
          <cell r="Z45">
            <v>9.0674000000000028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-25</v>
          </cell>
          <cell r="E46">
            <v>-4</v>
          </cell>
          <cell r="F46">
            <v>-29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268</v>
          </cell>
          <cell r="L46">
            <v>-272</v>
          </cell>
          <cell r="M46">
            <v>-4</v>
          </cell>
          <cell r="O46">
            <v>0</v>
          </cell>
          <cell r="V46">
            <v>0</v>
          </cell>
          <cell r="Y46">
            <v>-0.8</v>
          </cell>
          <cell r="Z46">
            <v>20.2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118</v>
          </cell>
          <cell r="D47">
            <v>24</v>
          </cell>
          <cell r="E47">
            <v>130</v>
          </cell>
          <cell r="F47">
            <v>2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321</v>
          </cell>
          <cell r="L47">
            <v>-191</v>
          </cell>
          <cell r="M47">
            <v>130</v>
          </cell>
          <cell r="O47">
            <v>0</v>
          </cell>
          <cell r="P47">
            <v>0</v>
          </cell>
          <cell r="V47">
            <v>0</v>
          </cell>
          <cell r="Y47">
            <v>26</v>
          </cell>
          <cell r="Z47">
            <v>50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18.347999999999999</v>
          </cell>
          <cell r="D48">
            <v>1.4550000000000001</v>
          </cell>
          <cell r="E48">
            <v>9.1059999999999999</v>
          </cell>
          <cell r="F48">
            <v>10.696999999999999</v>
          </cell>
          <cell r="G48">
            <v>1</v>
          </cell>
          <cell r="H48">
            <v>40</v>
          </cell>
          <cell r="I48" t="str">
            <v>матрица</v>
          </cell>
          <cell r="K48">
            <v>49.5</v>
          </cell>
          <cell r="L48">
            <v>-40.393999999999998</v>
          </cell>
          <cell r="M48">
            <v>9.1059999999999999</v>
          </cell>
          <cell r="O48">
            <v>53.349600000000002</v>
          </cell>
          <cell r="V48">
            <v>14.80909999999999</v>
          </cell>
          <cell r="Y48">
            <v>1.8211999999999999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499</v>
          </cell>
          <cell r="D49">
            <v>95</v>
          </cell>
          <cell r="E49">
            <v>464</v>
          </cell>
          <cell r="F49">
            <v>97</v>
          </cell>
          <cell r="G49">
            <v>0.35</v>
          </cell>
          <cell r="H49">
            <v>40</v>
          </cell>
          <cell r="I49" t="str">
            <v>ВНИМАНИЕ / матрица</v>
          </cell>
          <cell r="K49">
            <v>495</v>
          </cell>
          <cell r="L49">
            <v>-31</v>
          </cell>
          <cell r="M49">
            <v>464</v>
          </cell>
          <cell r="O49">
            <v>200</v>
          </cell>
          <cell r="P49">
            <v>400</v>
          </cell>
          <cell r="V49">
            <v>159.73140000000001</v>
          </cell>
          <cell r="W49">
            <v>342.5686</v>
          </cell>
          <cell r="Y49">
            <v>92.8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301</v>
          </cell>
          <cell r="D50">
            <v>30</v>
          </cell>
          <cell r="E50">
            <v>243</v>
          </cell>
          <cell r="F50">
            <v>68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566</v>
          </cell>
          <cell r="L50">
            <v>-323</v>
          </cell>
          <cell r="M50">
            <v>243</v>
          </cell>
          <cell r="O50">
            <v>0</v>
          </cell>
          <cell r="P50">
            <v>200</v>
          </cell>
          <cell r="V50">
            <v>0</v>
          </cell>
          <cell r="W50">
            <v>371.82639999999998</v>
          </cell>
          <cell r="Y50">
            <v>48.6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96.043000000000006</v>
          </cell>
          <cell r="D51">
            <v>111.98699999999999</v>
          </cell>
          <cell r="E51">
            <v>84.010999999999996</v>
          </cell>
          <cell r="F51">
            <v>99.578999999999994</v>
          </cell>
          <cell r="G51">
            <v>1</v>
          </cell>
          <cell r="H51">
            <v>50</v>
          </cell>
          <cell r="I51" t="str">
            <v>матрица</v>
          </cell>
          <cell r="K51">
            <v>108.4</v>
          </cell>
          <cell r="L51">
            <v>-24.38900000000001</v>
          </cell>
          <cell r="M51">
            <v>84.010999999999996</v>
          </cell>
          <cell r="O51">
            <v>33.113399999999963</v>
          </cell>
          <cell r="V51">
            <v>0</v>
          </cell>
          <cell r="Y51">
            <v>16.802199999999999</v>
          </cell>
          <cell r="Z51">
            <v>52.131800000000041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629.99599999999998</v>
          </cell>
          <cell r="D52">
            <v>315.036</v>
          </cell>
          <cell r="E52">
            <v>543.10299999999995</v>
          </cell>
          <cell r="F52">
            <v>370.92599999999999</v>
          </cell>
          <cell r="G52">
            <v>1</v>
          </cell>
          <cell r="H52">
            <v>50</v>
          </cell>
          <cell r="I52" t="str">
            <v>матрица</v>
          </cell>
          <cell r="K52">
            <v>578.75</v>
          </cell>
          <cell r="L52">
            <v>-35.647000000000048</v>
          </cell>
          <cell r="M52">
            <v>543.10299999999995</v>
          </cell>
          <cell r="O52">
            <v>0</v>
          </cell>
          <cell r="V52">
            <v>322.07690000000002</v>
          </cell>
          <cell r="Y52">
            <v>108.6206</v>
          </cell>
          <cell r="Z52">
            <v>501.82369999999986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G53">
            <v>0</v>
          </cell>
          <cell r="I53" t="str">
            <v>матрица</v>
          </cell>
          <cell r="L53">
            <v>0</v>
          </cell>
          <cell r="M53">
            <v>0</v>
          </cell>
          <cell r="O53">
            <v>0</v>
          </cell>
          <cell r="V53">
            <v>0</v>
          </cell>
          <cell r="Y53">
            <v>0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521</v>
          </cell>
          <cell r="D54">
            <v>101</v>
          </cell>
          <cell r="E54">
            <v>397</v>
          </cell>
          <cell r="F54">
            <v>196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435</v>
          </cell>
          <cell r="L54">
            <v>-38</v>
          </cell>
          <cell r="M54">
            <v>397</v>
          </cell>
          <cell r="O54">
            <v>231.1999999999999</v>
          </cell>
          <cell r="T54">
            <v>100</v>
          </cell>
          <cell r="V54">
            <v>357.10000000000008</v>
          </cell>
          <cell r="Y54">
            <v>79.400000000000006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712</v>
          </cell>
          <cell r="D55">
            <v>107</v>
          </cell>
          <cell r="E55">
            <v>430</v>
          </cell>
          <cell r="F55">
            <v>358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497</v>
          </cell>
          <cell r="L55">
            <v>-67</v>
          </cell>
          <cell r="M55">
            <v>430</v>
          </cell>
          <cell r="O55">
            <v>406</v>
          </cell>
          <cell r="T55">
            <v>500</v>
          </cell>
          <cell r="V55">
            <v>0</v>
          </cell>
          <cell r="Y55">
            <v>86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M56">
            <v>0</v>
          </cell>
          <cell r="O56">
            <v>0</v>
          </cell>
          <cell r="V56">
            <v>0</v>
          </cell>
          <cell r="Y56">
            <v>0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9</v>
          </cell>
          <cell r="D57">
            <v>22</v>
          </cell>
          <cell r="E57">
            <v>14</v>
          </cell>
          <cell r="F57">
            <v>6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28</v>
          </cell>
          <cell r="L57">
            <v>-14</v>
          </cell>
          <cell r="M57">
            <v>14</v>
          </cell>
          <cell r="O57">
            <v>32.020000000000003</v>
          </cell>
          <cell r="V57">
            <v>0</v>
          </cell>
          <cell r="Y57">
            <v>2.8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403.16800000000001</v>
          </cell>
          <cell r="D58">
            <v>681.28200000000004</v>
          </cell>
          <cell r="E58">
            <v>344.20499999999998</v>
          </cell>
          <cell r="F58">
            <v>728.30600000000004</v>
          </cell>
          <cell r="G58">
            <v>1</v>
          </cell>
          <cell r="H58">
            <v>50</v>
          </cell>
          <cell r="I58" t="str">
            <v>матрица</v>
          </cell>
          <cell r="K58">
            <v>357.85</v>
          </cell>
          <cell r="L58">
            <v>-13.645000000000039</v>
          </cell>
          <cell r="M58">
            <v>344.20499999999998</v>
          </cell>
          <cell r="O58">
            <v>43.43853600000017</v>
          </cell>
          <cell r="V58">
            <v>0</v>
          </cell>
          <cell r="Y58">
            <v>68.840999999999994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174</v>
          </cell>
          <cell r="D59">
            <v>8</v>
          </cell>
          <cell r="E59">
            <v>122</v>
          </cell>
          <cell r="F59">
            <v>59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123</v>
          </cell>
          <cell r="L59">
            <v>-1</v>
          </cell>
          <cell r="M59">
            <v>122</v>
          </cell>
          <cell r="O59">
            <v>118.6</v>
          </cell>
          <cell r="V59">
            <v>72.999999999999972</v>
          </cell>
          <cell r="Y59">
            <v>24.4</v>
          </cell>
          <cell r="Z59">
            <v>17.800000000000011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308.19499999999999</v>
          </cell>
          <cell r="D60">
            <v>189.42099999999999</v>
          </cell>
          <cell r="E60">
            <v>396.30099999999999</v>
          </cell>
          <cell r="F60">
            <v>-17.873000000000001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760.72299999999996</v>
          </cell>
          <cell r="L60">
            <v>-364.42199999999997</v>
          </cell>
          <cell r="M60">
            <v>288.97800000000001</v>
          </cell>
          <cell r="N60">
            <v>107.32299999999999</v>
          </cell>
          <cell r="O60">
            <v>650.53757800000017</v>
          </cell>
          <cell r="V60">
            <v>277.54262199999971</v>
          </cell>
          <cell r="Y60">
            <v>57.7956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24.315000000000001</v>
          </cell>
          <cell r="E61">
            <v>18.901</v>
          </cell>
          <cell r="F61">
            <v>5.4139999999999997</v>
          </cell>
          <cell r="G61">
            <v>1</v>
          </cell>
          <cell r="H61">
            <v>55</v>
          </cell>
          <cell r="I61" t="str">
            <v>матрица</v>
          </cell>
          <cell r="K61">
            <v>19.600000000000001</v>
          </cell>
          <cell r="L61">
            <v>-0.69900000000000162</v>
          </cell>
          <cell r="M61">
            <v>18.901</v>
          </cell>
          <cell r="O61">
            <v>51.130200000000002</v>
          </cell>
          <cell r="V61">
            <v>25.131799999999998</v>
          </cell>
          <cell r="Y61">
            <v>3.7801999999999998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154</v>
          </cell>
          <cell r="D62">
            <v>7</v>
          </cell>
          <cell r="E62">
            <v>118</v>
          </cell>
          <cell r="F62">
            <v>42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119</v>
          </cell>
          <cell r="L62">
            <v>-1</v>
          </cell>
          <cell r="M62">
            <v>118</v>
          </cell>
          <cell r="O62">
            <v>112.2</v>
          </cell>
          <cell r="V62">
            <v>55.300000000000011</v>
          </cell>
          <cell r="Y62">
            <v>23.6</v>
          </cell>
          <cell r="Z62">
            <v>50.100000000000009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16</v>
          </cell>
          <cell r="D63">
            <v>20</v>
          </cell>
          <cell r="E63">
            <v>11</v>
          </cell>
          <cell r="F63">
            <v>25</v>
          </cell>
          <cell r="G63">
            <v>0.4</v>
          </cell>
          <cell r="H63">
            <v>50</v>
          </cell>
          <cell r="I63" t="str">
            <v>матрица</v>
          </cell>
          <cell r="K63">
            <v>12</v>
          </cell>
          <cell r="L63">
            <v>-1</v>
          </cell>
          <cell r="M63">
            <v>11</v>
          </cell>
          <cell r="O63">
            <v>0</v>
          </cell>
          <cell r="V63">
            <v>0</v>
          </cell>
          <cell r="Y63">
            <v>2.2000000000000002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78.546000000000006</v>
          </cell>
          <cell r="E64">
            <v>64.349000000000004</v>
          </cell>
          <cell r="F64">
            <v>-1.1850000000000001</v>
          </cell>
          <cell r="G64">
            <v>1</v>
          </cell>
          <cell r="H64">
            <v>40</v>
          </cell>
          <cell r="I64" t="str">
            <v>матрица</v>
          </cell>
          <cell r="K64">
            <v>64.900000000000006</v>
          </cell>
          <cell r="L64">
            <v>-0.55100000000000193</v>
          </cell>
          <cell r="M64">
            <v>64.349000000000004</v>
          </cell>
          <cell r="O64">
            <v>0</v>
          </cell>
          <cell r="V64">
            <v>150</v>
          </cell>
          <cell r="Y64">
            <v>12.869800000000001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1.4119999999999999</v>
          </cell>
          <cell r="D65">
            <v>48.613999999999997</v>
          </cell>
          <cell r="E65">
            <v>1.3440000000000001</v>
          </cell>
          <cell r="F65">
            <v>-12.244999999999999</v>
          </cell>
          <cell r="G65">
            <v>1</v>
          </cell>
          <cell r="H65">
            <v>40</v>
          </cell>
          <cell r="I65" t="str">
            <v>матрица</v>
          </cell>
          <cell r="K65">
            <v>90.3</v>
          </cell>
          <cell r="L65">
            <v>-88.956000000000003</v>
          </cell>
          <cell r="M65">
            <v>1.3440000000000001</v>
          </cell>
          <cell r="O65">
            <v>43.06019999999998</v>
          </cell>
          <cell r="V65">
            <v>150</v>
          </cell>
          <cell r="Y65">
            <v>0.26880000000000004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-18</v>
          </cell>
          <cell r="D66">
            <v>892</v>
          </cell>
          <cell r="E66">
            <v>448</v>
          </cell>
          <cell r="F66">
            <v>405</v>
          </cell>
          <cell r="G66">
            <v>0.4</v>
          </cell>
          <cell r="H66">
            <v>40</v>
          </cell>
          <cell r="I66" t="str">
            <v>матрица</v>
          </cell>
          <cell r="K66">
            <v>519</v>
          </cell>
          <cell r="L66">
            <v>-71</v>
          </cell>
          <cell r="M66">
            <v>448</v>
          </cell>
          <cell r="O66">
            <v>188.46799999999999</v>
          </cell>
          <cell r="V66">
            <v>0</v>
          </cell>
          <cell r="Y66">
            <v>89.6</v>
          </cell>
          <cell r="Z66">
            <v>392.13199999999995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-3</v>
          </cell>
          <cell r="D67">
            <v>2</v>
          </cell>
          <cell r="E67">
            <v>4</v>
          </cell>
          <cell r="F67">
            <v>-7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41</v>
          </cell>
          <cell r="L67">
            <v>-37</v>
          </cell>
          <cell r="M67">
            <v>4</v>
          </cell>
          <cell r="O67">
            <v>0</v>
          </cell>
          <cell r="P67">
            <v>0</v>
          </cell>
          <cell r="V67">
            <v>0</v>
          </cell>
          <cell r="Y67">
            <v>0.8</v>
          </cell>
          <cell r="Z67">
            <v>90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63.354999999999997</v>
          </cell>
          <cell r="D68">
            <v>1.8280000000000001</v>
          </cell>
          <cell r="E68">
            <v>61.328000000000003</v>
          </cell>
          <cell r="F68">
            <v>2.9540000000000002</v>
          </cell>
          <cell r="G68">
            <v>1</v>
          </cell>
          <cell r="H68">
            <v>40</v>
          </cell>
          <cell r="I68" t="str">
            <v>матрица</v>
          </cell>
          <cell r="K68">
            <v>110.417</v>
          </cell>
          <cell r="L68">
            <v>-49.088999999999999</v>
          </cell>
          <cell r="M68">
            <v>61.328000000000003</v>
          </cell>
          <cell r="O68">
            <v>67.822200000000009</v>
          </cell>
          <cell r="V68">
            <v>0</v>
          </cell>
          <cell r="Y68">
            <v>12.265600000000001</v>
          </cell>
          <cell r="Z68">
            <v>64.145400000000009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10.946</v>
          </cell>
          <cell r="D69">
            <v>124.992</v>
          </cell>
          <cell r="E69">
            <v>83.411000000000001</v>
          </cell>
          <cell r="F69">
            <v>-3.6259999999999999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116.342</v>
          </cell>
          <cell r="L69">
            <v>-32.930999999999997</v>
          </cell>
          <cell r="M69">
            <v>83.411000000000001</v>
          </cell>
          <cell r="O69">
            <v>133.93400000000011</v>
          </cell>
          <cell r="V69">
            <v>0</v>
          </cell>
          <cell r="Y69">
            <v>16.682200000000002</v>
          </cell>
          <cell r="Z69">
            <v>53.196199999999912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1147.441</v>
          </cell>
          <cell r="D70">
            <v>349.40300000000002</v>
          </cell>
          <cell r="E70">
            <v>550.71400000000006</v>
          </cell>
          <cell r="F70">
            <v>932.66300000000001</v>
          </cell>
          <cell r="G70">
            <v>1</v>
          </cell>
          <cell r="H70">
            <v>40</v>
          </cell>
          <cell r="I70" t="str">
            <v>матрица</v>
          </cell>
          <cell r="K70">
            <v>527</v>
          </cell>
          <cell r="L70">
            <v>23.714000000000055</v>
          </cell>
          <cell r="M70">
            <v>550.71400000000006</v>
          </cell>
          <cell r="O70">
            <v>0</v>
          </cell>
          <cell r="V70">
            <v>95.19388000000005</v>
          </cell>
          <cell r="Y70">
            <v>110.14280000000001</v>
          </cell>
          <cell r="Z70">
            <v>183.71392000000014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91.436000000000007</v>
          </cell>
          <cell r="E71">
            <v>94.454999999999998</v>
          </cell>
          <cell r="F71">
            <v>-5.7409999999999997</v>
          </cell>
          <cell r="G71">
            <v>1</v>
          </cell>
          <cell r="H71">
            <v>40</v>
          </cell>
          <cell r="I71" t="str">
            <v>матрица</v>
          </cell>
          <cell r="K71">
            <v>102.5</v>
          </cell>
          <cell r="L71">
            <v>-8.0450000000000017</v>
          </cell>
          <cell r="M71">
            <v>94.454999999999998</v>
          </cell>
          <cell r="O71">
            <v>20.392199999999988</v>
          </cell>
          <cell r="V71">
            <v>0</v>
          </cell>
          <cell r="Y71">
            <v>18.890999999999998</v>
          </cell>
          <cell r="Z71">
            <v>117.58580000000001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M72">
            <v>0</v>
          </cell>
          <cell r="O72">
            <v>0</v>
          </cell>
          <cell r="V72">
            <v>0</v>
          </cell>
          <cell r="Y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736.77</v>
          </cell>
          <cell r="D73">
            <v>26.802</v>
          </cell>
          <cell r="E73">
            <v>499.17</v>
          </cell>
          <cell r="F73">
            <v>205.40299999999999</v>
          </cell>
          <cell r="G73">
            <v>1</v>
          </cell>
          <cell r="H73">
            <v>30</v>
          </cell>
          <cell r="I73" t="str">
            <v>матрица</v>
          </cell>
          <cell r="K73">
            <v>544.20000000000005</v>
          </cell>
          <cell r="L73">
            <v>-45.03000000000003</v>
          </cell>
          <cell r="M73">
            <v>499.17</v>
          </cell>
          <cell r="O73">
            <v>119.3578000000001</v>
          </cell>
          <cell r="V73">
            <v>277.23999447599999</v>
          </cell>
          <cell r="W73">
            <v>594.58388752400003</v>
          </cell>
          <cell r="Y73">
            <v>99.834000000000003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417</v>
          </cell>
          <cell r="D74">
            <v>26</v>
          </cell>
          <cell r="E74">
            <v>397</v>
          </cell>
          <cell r="F74">
            <v>8</v>
          </cell>
          <cell r="G74">
            <v>0.6</v>
          </cell>
          <cell r="H74">
            <v>60</v>
          </cell>
          <cell r="I74" t="str">
            <v>матрица</v>
          </cell>
          <cell r="K74">
            <v>586</v>
          </cell>
          <cell r="L74">
            <v>-189</v>
          </cell>
          <cell r="M74">
            <v>397</v>
          </cell>
          <cell r="O74">
            <v>272.8</v>
          </cell>
          <cell r="T74">
            <v>500</v>
          </cell>
          <cell r="V74">
            <v>303.43814400000002</v>
          </cell>
          <cell r="W74">
            <v>650.76985600000012</v>
          </cell>
          <cell r="Y74">
            <v>79.400000000000006</v>
          </cell>
          <cell r="AA74" t="str">
            <v>300 увеличить запас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342</v>
          </cell>
          <cell r="D75">
            <v>196</v>
          </cell>
          <cell r="E75">
            <v>484</v>
          </cell>
          <cell r="F75">
            <v>36</v>
          </cell>
          <cell r="G75">
            <v>0.6</v>
          </cell>
          <cell r="H75">
            <v>60</v>
          </cell>
          <cell r="I75" t="str">
            <v>матрица</v>
          </cell>
          <cell r="K75">
            <v>569</v>
          </cell>
          <cell r="L75">
            <v>-85</v>
          </cell>
          <cell r="M75">
            <v>484</v>
          </cell>
          <cell r="O75">
            <v>384.05599999999981</v>
          </cell>
          <cell r="T75">
            <v>300</v>
          </cell>
          <cell r="V75">
            <v>253.012248</v>
          </cell>
          <cell r="W75">
            <v>542.6237520000002</v>
          </cell>
          <cell r="Y75">
            <v>96.8</v>
          </cell>
          <cell r="AA75" t="str">
            <v>300  увеличить запас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M76">
            <v>0</v>
          </cell>
          <cell r="O76">
            <v>0</v>
          </cell>
          <cell r="V76">
            <v>0</v>
          </cell>
          <cell r="Y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</v>
          </cell>
          <cell r="F77">
            <v>2</v>
          </cell>
          <cell r="G77">
            <v>0</v>
          </cell>
          <cell r="I77" t="str">
            <v>матрица</v>
          </cell>
          <cell r="K77">
            <v>3</v>
          </cell>
          <cell r="L77">
            <v>-3</v>
          </cell>
          <cell r="M77">
            <v>0</v>
          </cell>
          <cell r="O77">
            <v>0</v>
          </cell>
          <cell r="V77">
            <v>0</v>
          </cell>
          <cell r="Y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119</v>
          </cell>
          <cell r="D78">
            <v>3</v>
          </cell>
          <cell r="E78">
            <v>52</v>
          </cell>
          <cell r="F78">
            <v>69</v>
          </cell>
          <cell r="G78">
            <v>0.35</v>
          </cell>
          <cell r="H78">
            <v>90</v>
          </cell>
          <cell r="I78" t="str">
            <v>матрица</v>
          </cell>
          <cell r="K78">
            <v>62</v>
          </cell>
          <cell r="L78">
            <v>-10</v>
          </cell>
          <cell r="M78">
            <v>52</v>
          </cell>
          <cell r="O78">
            <v>0</v>
          </cell>
          <cell r="V78">
            <v>0</v>
          </cell>
          <cell r="Y78">
            <v>10.4</v>
          </cell>
          <cell r="Z78">
            <v>45.400000000000006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217</v>
          </cell>
          <cell r="D79">
            <v>43</v>
          </cell>
          <cell r="E79">
            <v>81</v>
          </cell>
          <cell r="F79">
            <v>175</v>
          </cell>
          <cell r="G79">
            <v>0.37</v>
          </cell>
          <cell r="H79">
            <v>50</v>
          </cell>
          <cell r="I79" t="str">
            <v>матрица</v>
          </cell>
          <cell r="K79">
            <v>121</v>
          </cell>
          <cell r="L79">
            <v>-40</v>
          </cell>
          <cell r="M79">
            <v>81</v>
          </cell>
          <cell r="O79">
            <v>62.560000000000123</v>
          </cell>
          <cell r="V79">
            <v>60.639999999999873</v>
          </cell>
          <cell r="Y79">
            <v>16.2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480</v>
          </cell>
          <cell r="D80">
            <v>13</v>
          </cell>
          <cell r="E80">
            <v>418</v>
          </cell>
          <cell r="F80">
            <v>45</v>
          </cell>
          <cell r="G80">
            <v>0.6</v>
          </cell>
          <cell r="H80">
            <v>70</v>
          </cell>
          <cell r="I80" t="str">
            <v>ВНИМАНИЕ / матрица</v>
          </cell>
          <cell r="K80">
            <v>649</v>
          </cell>
          <cell r="L80">
            <v>-231</v>
          </cell>
          <cell r="M80">
            <v>418</v>
          </cell>
          <cell r="O80">
            <v>100</v>
          </cell>
          <cell r="V80">
            <v>159</v>
          </cell>
          <cell r="W80">
            <v>341</v>
          </cell>
          <cell r="Y80">
            <v>83.6</v>
          </cell>
          <cell r="Z80">
            <v>191</v>
          </cell>
          <cell r="AA80" t="str">
            <v xml:space="preserve">300 увеличить запас 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117</v>
          </cell>
          <cell r="D81">
            <v>177</v>
          </cell>
          <cell r="E81">
            <v>255</v>
          </cell>
          <cell r="F81">
            <v>18</v>
          </cell>
          <cell r="G81">
            <v>0.33</v>
          </cell>
          <cell r="H81">
            <v>40</v>
          </cell>
          <cell r="I81" t="str">
            <v>матрица</v>
          </cell>
          <cell r="K81">
            <v>284</v>
          </cell>
          <cell r="L81">
            <v>-29</v>
          </cell>
          <cell r="M81">
            <v>255</v>
          </cell>
          <cell r="O81">
            <v>132.13999999999999</v>
          </cell>
          <cell r="T81">
            <v>0</v>
          </cell>
          <cell r="V81">
            <v>0</v>
          </cell>
          <cell r="Y81">
            <v>51</v>
          </cell>
          <cell r="Z81">
            <v>206.86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112</v>
          </cell>
          <cell r="D82">
            <v>7</v>
          </cell>
          <cell r="E82">
            <v>54</v>
          </cell>
          <cell r="F82">
            <v>65</v>
          </cell>
          <cell r="G82">
            <v>0.4</v>
          </cell>
          <cell r="H82">
            <v>55</v>
          </cell>
          <cell r="I82" t="str">
            <v>матрица</v>
          </cell>
          <cell r="K82">
            <v>58</v>
          </cell>
          <cell r="L82">
            <v>-4</v>
          </cell>
          <cell r="M82">
            <v>54</v>
          </cell>
          <cell r="O82">
            <v>0</v>
          </cell>
          <cell r="V82">
            <v>63.299999999999983</v>
          </cell>
          <cell r="Y82">
            <v>10.8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-8</v>
          </cell>
          <cell r="D83">
            <v>1</v>
          </cell>
          <cell r="E83">
            <v>-5</v>
          </cell>
          <cell r="F83">
            <v>-7</v>
          </cell>
          <cell r="G83">
            <v>0.35</v>
          </cell>
          <cell r="H83">
            <v>40</v>
          </cell>
          <cell r="I83" t="str">
            <v>матрица</v>
          </cell>
          <cell r="K83">
            <v>30</v>
          </cell>
          <cell r="L83">
            <v>-35</v>
          </cell>
          <cell r="M83">
            <v>-5</v>
          </cell>
          <cell r="O83">
            <v>50</v>
          </cell>
          <cell r="P83">
            <v>250</v>
          </cell>
          <cell r="V83">
            <v>0</v>
          </cell>
          <cell r="Y83">
            <v>-1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D84">
            <v>408</v>
          </cell>
          <cell r="E84">
            <v>386</v>
          </cell>
          <cell r="G84">
            <v>0.35</v>
          </cell>
          <cell r="H84">
            <v>45</v>
          </cell>
          <cell r="I84" t="str">
            <v>матрица</v>
          </cell>
          <cell r="K84">
            <v>451</v>
          </cell>
          <cell r="L84">
            <v>-65</v>
          </cell>
          <cell r="M84">
            <v>386</v>
          </cell>
          <cell r="O84">
            <v>0</v>
          </cell>
          <cell r="T84">
            <v>0</v>
          </cell>
          <cell r="V84">
            <v>0</v>
          </cell>
          <cell r="Y84">
            <v>77.2</v>
          </cell>
          <cell r="Z84">
            <v>463.20000000000005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36</v>
          </cell>
          <cell r="D85">
            <v>2</v>
          </cell>
          <cell r="E85">
            <v>38</v>
          </cell>
          <cell r="G85">
            <v>0.4</v>
          </cell>
          <cell r="H85">
            <v>55</v>
          </cell>
          <cell r="I85" t="str">
            <v>матрица</v>
          </cell>
          <cell r="K85">
            <v>40</v>
          </cell>
          <cell r="L85">
            <v>-2</v>
          </cell>
          <cell r="M85">
            <v>38</v>
          </cell>
          <cell r="O85">
            <v>8</v>
          </cell>
          <cell r="V85">
            <v>20</v>
          </cell>
          <cell r="Y85">
            <v>7.6</v>
          </cell>
          <cell r="Z85">
            <v>48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52.274000000000001</v>
          </cell>
          <cell r="D86">
            <v>1.4470000000000001</v>
          </cell>
          <cell r="E86">
            <v>8.5920000000000005</v>
          </cell>
          <cell r="F86">
            <v>45.128999999999998</v>
          </cell>
          <cell r="G86">
            <v>1</v>
          </cell>
          <cell r="H86">
            <v>55</v>
          </cell>
          <cell r="I86" t="str">
            <v>матрица</v>
          </cell>
          <cell r="K86">
            <v>7.9</v>
          </cell>
          <cell r="L86">
            <v>0.69200000000000017</v>
          </cell>
          <cell r="M86">
            <v>8.5920000000000005</v>
          </cell>
          <cell r="O86">
            <v>0</v>
          </cell>
          <cell r="V86">
            <v>0</v>
          </cell>
          <cell r="Y86">
            <v>1.7184000000000001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G87">
            <v>0</v>
          </cell>
          <cell r="I87" t="str">
            <v>матрица</v>
          </cell>
          <cell r="L87">
            <v>0</v>
          </cell>
          <cell r="M87">
            <v>0</v>
          </cell>
          <cell r="O87">
            <v>0</v>
          </cell>
          <cell r="V87">
            <v>0</v>
          </cell>
          <cell r="Y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2182.473</v>
          </cell>
          <cell r="D88">
            <v>1124.1959999999999</v>
          </cell>
          <cell r="E88">
            <v>2623.3</v>
          </cell>
          <cell r="F88">
            <v>642.61</v>
          </cell>
          <cell r="G88">
            <v>1</v>
          </cell>
          <cell r="H88">
            <v>60</v>
          </cell>
          <cell r="I88" t="str">
            <v>матрица</v>
          </cell>
          <cell r="K88">
            <v>2614.9499999999998</v>
          </cell>
          <cell r="L88">
            <v>8.3500000000003638</v>
          </cell>
          <cell r="M88">
            <v>2623.3</v>
          </cell>
          <cell r="O88">
            <v>1445.727508000002</v>
          </cell>
          <cell r="T88">
            <v>2300</v>
          </cell>
          <cell r="V88">
            <v>307.56029150399911</v>
          </cell>
          <cell r="W88">
            <v>659.61043649599821</v>
          </cell>
          <cell r="Y88">
            <v>524.66000000000008</v>
          </cell>
          <cell r="Z88">
            <v>415.7517640000018</v>
          </cell>
        </row>
        <row r="89">
          <cell r="A89" t="str">
            <v xml:space="preserve"> 451 Сосиски Филейские ТМ Вязанка в оболочке целлофан 0,3 кг. ПОКОМ</v>
          </cell>
          <cell r="B89" t="str">
            <v>шт</v>
          </cell>
          <cell r="C89">
            <v>114</v>
          </cell>
          <cell r="D89">
            <v>108</v>
          </cell>
          <cell r="E89">
            <v>179</v>
          </cell>
          <cell r="F89">
            <v>28</v>
          </cell>
          <cell r="G89">
            <v>0.3</v>
          </cell>
          <cell r="H89">
            <v>40</v>
          </cell>
          <cell r="I89" t="str">
            <v>матрица</v>
          </cell>
          <cell r="K89">
            <v>207</v>
          </cell>
          <cell r="L89">
            <v>-28</v>
          </cell>
          <cell r="M89">
            <v>179</v>
          </cell>
          <cell r="O89">
            <v>150.77799999999999</v>
          </cell>
          <cell r="T89">
            <v>200</v>
          </cell>
          <cell r="V89">
            <v>118.22199999999999</v>
          </cell>
          <cell r="Y89">
            <v>35.799999999999997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641.20899999999995</v>
          </cell>
          <cell r="D90">
            <v>567.404</v>
          </cell>
          <cell r="E90">
            <v>1177.2059999999999</v>
          </cell>
          <cell r="F90">
            <v>-5.5190000000000001</v>
          </cell>
          <cell r="G90">
            <v>1</v>
          </cell>
          <cell r="H90">
            <v>60</v>
          </cell>
          <cell r="I90" t="str">
            <v>матрица</v>
          </cell>
          <cell r="K90">
            <v>1236</v>
          </cell>
          <cell r="L90">
            <v>-58.794000000000096</v>
          </cell>
          <cell r="M90">
            <v>1177.2059999999999</v>
          </cell>
          <cell r="O90">
            <v>570.81967800000075</v>
          </cell>
          <cell r="T90">
            <v>900</v>
          </cell>
          <cell r="V90">
            <v>337.3591753799999</v>
          </cell>
          <cell r="W90">
            <v>723.5187346199998</v>
          </cell>
          <cell r="Y90">
            <v>235.44119999999998</v>
          </cell>
          <cell r="Z90">
            <v>63.674611999999108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5866.6390000000001</v>
          </cell>
          <cell r="D91">
            <v>1818.6089999999999</v>
          </cell>
          <cell r="E91">
            <v>2540.5219999999999</v>
          </cell>
          <cell r="F91">
            <v>4778.527</v>
          </cell>
          <cell r="G91">
            <v>1</v>
          </cell>
          <cell r="H91">
            <v>60</v>
          </cell>
          <cell r="I91" t="str">
            <v>матрица</v>
          </cell>
          <cell r="K91">
            <v>2643.2840000000001</v>
          </cell>
          <cell r="L91">
            <v>-102.76200000000017</v>
          </cell>
          <cell r="M91">
            <v>2239.538</v>
          </cell>
          <cell r="N91">
            <v>300.98399999999998</v>
          </cell>
          <cell r="O91">
            <v>0</v>
          </cell>
          <cell r="R91">
            <v>1600</v>
          </cell>
          <cell r="S91">
            <v>1200</v>
          </cell>
          <cell r="U91">
            <v>510</v>
          </cell>
          <cell r="V91">
            <v>0</v>
          </cell>
          <cell r="X91">
            <v>1000</v>
          </cell>
          <cell r="Y91">
            <v>447.9076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3544.2040000000002</v>
          </cell>
          <cell r="D92">
            <v>6955.1729999999998</v>
          </cell>
          <cell r="E92">
            <v>3902.114</v>
          </cell>
          <cell r="F92">
            <v>6183.1019999999999</v>
          </cell>
          <cell r="G92">
            <v>1</v>
          </cell>
          <cell r="H92">
            <v>60</v>
          </cell>
          <cell r="I92" t="str">
            <v>матрица</v>
          </cell>
          <cell r="K92">
            <v>4002.904</v>
          </cell>
          <cell r="L92">
            <v>-100.78999999999996</v>
          </cell>
          <cell r="M92">
            <v>3589.41</v>
          </cell>
          <cell r="N92">
            <v>312.70400000000001</v>
          </cell>
          <cell r="O92">
            <v>0</v>
          </cell>
          <cell r="R92">
            <v>2500</v>
          </cell>
          <cell r="S92">
            <v>1400</v>
          </cell>
          <cell r="U92">
            <v>630</v>
          </cell>
          <cell r="V92">
            <v>151</v>
          </cell>
          <cell r="Y92">
            <v>717.88199999999995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C93">
            <v>59.155999999999999</v>
          </cell>
          <cell r="D93">
            <v>55.128999999999998</v>
          </cell>
          <cell r="E93">
            <v>24.044</v>
          </cell>
          <cell r="F93">
            <v>90.241</v>
          </cell>
          <cell r="G93">
            <v>1</v>
          </cell>
          <cell r="H93">
            <v>55</v>
          </cell>
          <cell r="I93" t="str">
            <v>матрица</v>
          </cell>
          <cell r="K93">
            <v>39</v>
          </cell>
          <cell r="L93">
            <v>-14.956</v>
          </cell>
          <cell r="M93">
            <v>24.044</v>
          </cell>
          <cell r="O93">
            <v>0</v>
          </cell>
          <cell r="V93">
            <v>0</v>
          </cell>
          <cell r="Y93">
            <v>4.8087999999999997</v>
          </cell>
        </row>
        <row r="94">
          <cell r="A94" t="str">
            <v xml:space="preserve"> 463  Колбаса Молочная Традиционнаяв оболочке полиамид.ТМ Стародворье. ВЕС ПОКОМ</v>
          </cell>
          <cell r="B94" t="str">
            <v>кг</v>
          </cell>
          <cell r="C94">
            <v>-1.36</v>
          </cell>
          <cell r="F94">
            <v>-1.36</v>
          </cell>
          <cell r="G94">
            <v>0</v>
          </cell>
          <cell r="I94" t="str">
            <v>не в матрице</v>
          </cell>
          <cell r="L94">
            <v>0</v>
          </cell>
          <cell r="M94">
            <v>0</v>
          </cell>
          <cell r="O94">
            <v>0</v>
          </cell>
          <cell r="V94">
            <v>0</v>
          </cell>
          <cell r="Y94">
            <v>0</v>
          </cell>
        </row>
        <row r="95">
          <cell r="A95" t="str">
            <v xml:space="preserve"> 485  Колбаса Молочная по-стародворски ТМ Стародворье в оболочке полиамид. ВЕС ПОКОМ </v>
          </cell>
          <cell r="B95" t="str">
            <v>кг</v>
          </cell>
          <cell r="C95">
            <v>544.97199999999998</v>
          </cell>
          <cell r="D95">
            <v>1.3360000000000001</v>
          </cell>
          <cell r="E95">
            <v>26.891999999999999</v>
          </cell>
          <cell r="F95">
            <v>402.20600000000002</v>
          </cell>
          <cell r="G95">
            <v>0</v>
          </cell>
          <cell r="I95" t="str">
            <v>не в матрице</v>
          </cell>
          <cell r="K95">
            <v>26</v>
          </cell>
          <cell r="L95">
            <v>0.89199999999999946</v>
          </cell>
          <cell r="M95">
            <v>26.891999999999999</v>
          </cell>
          <cell r="O95">
            <v>0</v>
          </cell>
          <cell r="V95">
            <v>0</v>
          </cell>
          <cell r="Y95">
            <v>5.3784000000000001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B96" t="str">
            <v>шт</v>
          </cell>
          <cell r="C96">
            <v>122</v>
          </cell>
          <cell r="D96">
            <v>33</v>
          </cell>
          <cell r="E96">
            <v>76</v>
          </cell>
          <cell r="F96">
            <v>58</v>
          </cell>
          <cell r="G96">
            <v>0.3</v>
          </cell>
          <cell r="H96">
            <v>40</v>
          </cell>
          <cell r="I96" t="str">
            <v>матрица</v>
          </cell>
          <cell r="K96">
            <v>183</v>
          </cell>
          <cell r="L96">
            <v>-107</v>
          </cell>
          <cell r="M96">
            <v>76</v>
          </cell>
          <cell r="O96">
            <v>0</v>
          </cell>
          <cell r="V96">
            <v>40.299999999999983</v>
          </cell>
          <cell r="Y96">
            <v>15.2</v>
          </cell>
          <cell r="Z96">
            <v>68.900000000000006</v>
          </cell>
        </row>
        <row r="97">
          <cell r="A97" t="str">
            <v xml:space="preserve"> 517  Сосиски С сыром ТМ Ядрена копоть 0,3кг  ПОКОМ</v>
          </cell>
          <cell r="B97" t="str">
            <v>шт</v>
          </cell>
          <cell r="C97">
            <v>-3</v>
          </cell>
          <cell r="D97">
            <v>36</v>
          </cell>
          <cell r="E97">
            <v>48</v>
          </cell>
          <cell r="F97">
            <v>-16</v>
          </cell>
          <cell r="G97">
            <v>0.3</v>
          </cell>
          <cell r="H97">
            <v>40</v>
          </cell>
          <cell r="I97" t="str">
            <v>матрица</v>
          </cell>
          <cell r="K97">
            <v>51</v>
          </cell>
          <cell r="L97">
            <v>-3</v>
          </cell>
          <cell r="M97">
            <v>48</v>
          </cell>
          <cell r="O97">
            <v>75.600000000000009</v>
          </cell>
          <cell r="V97">
            <v>0</v>
          </cell>
          <cell r="Y97">
            <v>9.6</v>
          </cell>
          <cell r="Z97">
            <v>45.999999999999986</v>
          </cell>
        </row>
        <row r="98">
          <cell r="A98" t="str">
            <v xml:space="preserve"> 523  Колбаса Сальчичон нарезка 0,07кг ТМ Стародворье  ПОКОМ </v>
          </cell>
          <cell r="B98" t="str">
            <v>шт</v>
          </cell>
          <cell r="C98">
            <v>176</v>
          </cell>
          <cell r="D98">
            <v>24</v>
          </cell>
          <cell r="E98">
            <v>162</v>
          </cell>
          <cell r="F98">
            <v>26</v>
          </cell>
          <cell r="G98">
            <v>7.0000000000000007E-2</v>
          </cell>
          <cell r="H98">
            <v>90</v>
          </cell>
          <cell r="I98" t="str">
            <v>матрица</v>
          </cell>
          <cell r="K98">
            <v>184</v>
          </cell>
          <cell r="L98">
            <v>-22</v>
          </cell>
          <cell r="M98">
            <v>162</v>
          </cell>
          <cell r="O98">
            <v>106.8</v>
          </cell>
          <cell r="T98">
            <v>100</v>
          </cell>
          <cell r="V98">
            <v>90.299999999999955</v>
          </cell>
          <cell r="Y98">
            <v>32.4</v>
          </cell>
          <cell r="Z98">
            <v>33.300000000000026</v>
          </cell>
          <cell r="AA98" t="str">
            <v xml:space="preserve">300 увеличить сеть Молоко 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 t="str">
            <v>шт</v>
          </cell>
          <cell r="C99">
            <v>59</v>
          </cell>
          <cell r="D99">
            <v>153</v>
          </cell>
          <cell r="E99">
            <v>141</v>
          </cell>
          <cell r="F99">
            <v>68</v>
          </cell>
          <cell r="G99">
            <v>7.0000000000000007E-2</v>
          </cell>
          <cell r="H99">
            <v>90</v>
          </cell>
          <cell r="I99" t="str">
            <v>матрица</v>
          </cell>
          <cell r="K99">
            <v>150</v>
          </cell>
          <cell r="L99">
            <v>-9</v>
          </cell>
          <cell r="M99">
            <v>141</v>
          </cell>
          <cell r="O99">
            <v>156.22</v>
          </cell>
          <cell r="V99">
            <v>0</v>
          </cell>
          <cell r="Y99">
            <v>28.2</v>
          </cell>
          <cell r="Z99">
            <v>85.97999999999999</v>
          </cell>
          <cell r="AA99" t="str">
            <v xml:space="preserve">300 увеличить сеть Молоко </v>
          </cell>
        </row>
        <row r="100">
          <cell r="A100" t="str">
            <v xml:space="preserve"> 525  Колбаса Фуэт нарезка 0,07кг ТМ Стародворье  ПОКОМ</v>
          </cell>
          <cell r="B100" t="str">
            <v>шт</v>
          </cell>
          <cell r="C100">
            <v>139</v>
          </cell>
          <cell r="D100">
            <v>28</v>
          </cell>
          <cell r="E100">
            <v>116</v>
          </cell>
          <cell r="F100">
            <v>45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128</v>
          </cell>
          <cell r="L100">
            <v>-12</v>
          </cell>
          <cell r="M100">
            <v>116</v>
          </cell>
          <cell r="O100">
            <v>152.80000000000001</v>
          </cell>
          <cell r="V100">
            <v>36.100000000000023</v>
          </cell>
          <cell r="Y100">
            <v>23.2</v>
          </cell>
          <cell r="Z100">
            <v>21.299999999999955</v>
          </cell>
          <cell r="AA100" t="str">
            <v xml:space="preserve">300 увеличить сеть Молоко 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 t="str">
            <v>шт</v>
          </cell>
          <cell r="C101">
            <v>78</v>
          </cell>
          <cell r="D101">
            <v>9</v>
          </cell>
          <cell r="E101">
            <v>77</v>
          </cell>
          <cell r="F101">
            <v>6</v>
          </cell>
          <cell r="G101">
            <v>0</v>
          </cell>
          <cell r="H101">
            <v>90</v>
          </cell>
          <cell r="I101" t="str">
            <v>не в матрице</v>
          </cell>
          <cell r="K101">
            <v>122</v>
          </cell>
          <cell r="L101">
            <v>-45</v>
          </cell>
          <cell r="M101">
            <v>77</v>
          </cell>
          <cell r="O101">
            <v>0</v>
          </cell>
          <cell r="V101">
            <v>0</v>
          </cell>
          <cell r="Y101">
            <v>15.4</v>
          </cell>
          <cell r="AA101" t="str">
            <v xml:space="preserve">300 увеличить сеть Молоко 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C102">
            <v>30</v>
          </cell>
          <cell r="E102">
            <v>22</v>
          </cell>
          <cell r="F102">
            <v>8</v>
          </cell>
          <cell r="G102">
            <v>0.3</v>
          </cell>
          <cell r="H102">
            <v>40</v>
          </cell>
          <cell r="I102" t="str">
            <v>матрица</v>
          </cell>
          <cell r="K102">
            <v>27</v>
          </cell>
          <cell r="L102">
            <v>-5</v>
          </cell>
          <cell r="M102">
            <v>22</v>
          </cell>
          <cell r="O102">
            <v>0</v>
          </cell>
          <cell r="V102">
            <v>0</v>
          </cell>
          <cell r="Y102">
            <v>4.4000000000000004</v>
          </cell>
          <cell r="Z102">
            <v>27.200000000000003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C103">
            <v>3.9980000000000002</v>
          </cell>
          <cell r="D103">
            <v>38.36</v>
          </cell>
          <cell r="E103">
            <v>10.944000000000001</v>
          </cell>
          <cell r="F103">
            <v>31.414000000000001</v>
          </cell>
          <cell r="G103">
            <v>1</v>
          </cell>
          <cell r="H103">
            <v>55</v>
          </cell>
          <cell r="I103" t="str">
            <v>матрица</v>
          </cell>
          <cell r="K103">
            <v>10.6</v>
          </cell>
          <cell r="L103">
            <v>0.34400000000000119</v>
          </cell>
          <cell r="M103">
            <v>10.944000000000001</v>
          </cell>
          <cell r="O103">
            <v>7.6183000000000023</v>
          </cell>
          <cell r="V103">
            <v>0</v>
          </cell>
          <cell r="Y103">
            <v>2.1888000000000001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 t="str">
            <v>шт</v>
          </cell>
          <cell r="C104">
            <v>-4</v>
          </cell>
          <cell r="D104">
            <v>16</v>
          </cell>
          <cell r="F104">
            <v>-13</v>
          </cell>
          <cell r="G104">
            <v>0.11</v>
          </cell>
          <cell r="H104">
            <v>30</v>
          </cell>
          <cell r="I104" t="str">
            <v>матрица</v>
          </cell>
          <cell r="K104">
            <v>132</v>
          </cell>
          <cell r="L104">
            <v>-132</v>
          </cell>
          <cell r="M104">
            <v>0</v>
          </cell>
          <cell r="O104">
            <v>0</v>
          </cell>
          <cell r="V104">
            <v>0</v>
          </cell>
          <cell r="Y104">
            <v>0</v>
          </cell>
          <cell r="Z104">
            <v>13</v>
          </cell>
          <cell r="AA104" t="str">
            <v xml:space="preserve">300 увеличить сеть Молоко 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M105">
            <v>0</v>
          </cell>
          <cell r="O105">
            <v>0</v>
          </cell>
          <cell r="V105">
            <v>0</v>
          </cell>
          <cell r="Y105">
            <v>0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 t="str">
            <v>шт</v>
          </cell>
          <cell r="C106">
            <v>286</v>
          </cell>
          <cell r="D106">
            <v>39</v>
          </cell>
          <cell r="E106">
            <v>232</v>
          </cell>
          <cell r="F106">
            <v>59</v>
          </cell>
          <cell r="G106">
            <v>0.08</v>
          </cell>
          <cell r="H106">
            <v>45</v>
          </cell>
          <cell r="I106" t="str">
            <v>матрица</v>
          </cell>
          <cell r="K106">
            <v>276</v>
          </cell>
          <cell r="L106">
            <v>-44</v>
          </cell>
          <cell r="M106">
            <v>232</v>
          </cell>
          <cell r="O106">
            <v>158.6</v>
          </cell>
          <cell r="T106">
            <v>200</v>
          </cell>
          <cell r="V106">
            <v>182.9</v>
          </cell>
          <cell r="Y106">
            <v>46.4</v>
          </cell>
          <cell r="AA106" t="str">
            <v xml:space="preserve">300 увеличить сеть Молоко 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 t="str">
            <v>шт</v>
          </cell>
          <cell r="C107">
            <v>37</v>
          </cell>
          <cell r="D107">
            <v>145</v>
          </cell>
          <cell r="E107">
            <v>129</v>
          </cell>
          <cell r="F107">
            <v>36</v>
          </cell>
          <cell r="G107">
            <v>0.08</v>
          </cell>
          <cell r="H107">
            <v>45</v>
          </cell>
          <cell r="I107" t="str">
            <v>матрица</v>
          </cell>
          <cell r="K107">
            <v>259</v>
          </cell>
          <cell r="L107">
            <v>-130</v>
          </cell>
          <cell r="M107">
            <v>129</v>
          </cell>
          <cell r="O107">
            <v>0</v>
          </cell>
          <cell r="V107">
            <v>141.80000000000001</v>
          </cell>
          <cell r="Y107">
            <v>25.8</v>
          </cell>
          <cell r="Z107">
            <v>106</v>
          </cell>
          <cell r="AA107" t="str">
            <v xml:space="preserve">300 увеличить сеть Молоко </v>
          </cell>
        </row>
        <row r="108">
          <cell r="A108" t="str">
            <v xml:space="preserve"> 555  Колбаса Молокуша ТМ Вязанка в модифицированной газовой среде 0,17 кг нарезка  ПОКОМ</v>
          </cell>
          <cell r="B108" t="str">
            <v>шт</v>
          </cell>
          <cell r="C108">
            <v>46</v>
          </cell>
          <cell r="D108">
            <v>21</v>
          </cell>
          <cell r="E108">
            <v>54</v>
          </cell>
          <cell r="F108">
            <v>-19</v>
          </cell>
          <cell r="G108">
            <v>0.17</v>
          </cell>
          <cell r="H108">
            <v>30</v>
          </cell>
          <cell r="I108" t="str">
            <v>матрица</v>
          </cell>
          <cell r="K108">
            <v>103</v>
          </cell>
          <cell r="L108">
            <v>-49</v>
          </cell>
          <cell r="M108">
            <v>54</v>
          </cell>
          <cell r="O108">
            <v>80</v>
          </cell>
          <cell r="V108">
            <v>106.6</v>
          </cell>
          <cell r="Y108">
            <v>10.8</v>
          </cell>
          <cell r="AA108" t="str">
            <v xml:space="preserve">300 увеличить сеть Молоко </v>
          </cell>
        </row>
        <row r="109">
          <cell r="A109" t="str">
            <v xml:space="preserve"> 556  Колбаса Сервелат Ореховый ТМ Вязанка в оболочке фиброуз в вакуумной упаковке, ВЕС  ПОКОМ</v>
          </cell>
          <cell r="B109" t="str">
            <v>кг</v>
          </cell>
          <cell r="C109">
            <v>312.20600000000002</v>
          </cell>
          <cell r="D109">
            <v>12.425000000000001</v>
          </cell>
          <cell r="E109">
            <v>195.01900000000001</v>
          </cell>
          <cell r="F109">
            <v>120.952</v>
          </cell>
          <cell r="G109">
            <v>1</v>
          </cell>
          <cell r="H109">
            <v>40</v>
          </cell>
          <cell r="I109" t="str">
            <v>матрица</v>
          </cell>
          <cell r="K109">
            <v>198.2</v>
          </cell>
          <cell r="L109">
            <v>-3.1809999999999832</v>
          </cell>
          <cell r="M109">
            <v>195.01900000000001</v>
          </cell>
          <cell r="O109">
            <v>241.33160000000001</v>
          </cell>
          <cell r="V109">
            <v>79.633900000000011</v>
          </cell>
          <cell r="Y109">
            <v>39.003799999999998</v>
          </cell>
        </row>
        <row r="110">
          <cell r="A110" t="str">
            <v xml:space="preserve"> 557  Колбаса Сервелат Финский ТМ Вязанка в оболочке фиброуз в вакуумной упаковке, ВЕС  ПОКОМ</v>
          </cell>
          <cell r="B110" t="str">
            <v>кг</v>
          </cell>
          <cell r="C110">
            <v>68.227000000000004</v>
          </cell>
          <cell r="D110">
            <v>8.6310000000000002</v>
          </cell>
          <cell r="E110">
            <v>71.076999999999998</v>
          </cell>
          <cell r="F110">
            <v>6.8000000000000005E-2</v>
          </cell>
          <cell r="G110">
            <v>1</v>
          </cell>
          <cell r="H110">
            <v>40</v>
          </cell>
          <cell r="I110" t="str">
            <v>матрица</v>
          </cell>
          <cell r="K110">
            <v>82</v>
          </cell>
          <cell r="L110">
            <v>-10.923000000000002</v>
          </cell>
          <cell r="M110">
            <v>71.076999999999998</v>
          </cell>
          <cell r="O110">
            <v>80.849400000000003</v>
          </cell>
          <cell r="V110">
            <v>147.78360000000001</v>
          </cell>
          <cell r="Y110">
            <v>14.215399999999999</v>
          </cell>
        </row>
        <row r="111">
          <cell r="A111" t="str">
            <v xml:space="preserve"> 558  Колбаса Балыковая НОВАЯ ВЕС Вязанка фиброуз в/у ПОКОМ</v>
          </cell>
          <cell r="B111" t="str">
            <v>кг</v>
          </cell>
          <cell r="C111">
            <v>195.495</v>
          </cell>
          <cell r="D111">
            <v>15.548</v>
          </cell>
          <cell r="E111">
            <v>179.92699999999999</v>
          </cell>
          <cell r="F111">
            <v>20.56</v>
          </cell>
          <cell r="G111">
            <v>1</v>
          </cell>
          <cell r="H111">
            <v>40</v>
          </cell>
          <cell r="I111" t="str">
            <v>матрица</v>
          </cell>
          <cell r="K111">
            <v>183.1</v>
          </cell>
          <cell r="L111">
            <v>-3.1730000000000018</v>
          </cell>
          <cell r="M111">
            <v>179.92699999999999</v>
          </cell>
          <cell r="O111">
            <v>130.21379999999999</v>
          </cell>
          <cell r="T111">
            <v>100</v>
          </cell>
          <cell r="V111">
            <v>160.9256</v>
          </cell>
          <cell r="Y111">
            <v>35.985399999999998</v>
          </cell>
        </row>
        <row r="112">
          <cell r="A112" t="str">
            <v xml:space="preserve"> 564  Сосиски Сочные 0,3 кг ТМ Вязанка  ПОКОМ</v>
          </cell>
          <cell r="B112" t="str">
            <v>шт</v>
          </cell>
          <cell r="C112">
            <v>62</v>
          </cell>
          <cell r="E112">
            <v>37</v>
          </cell>
          <cell r="F112">
            <v>25</v>
          </cell>
          <cell r="G112">
            <v>0.3</v>
          </cell>
          <cell r="H112">
            <v>45</v>
          </cell>
          <cell r="I112" t="str">
            <v>матрица</v>
          </cell>
          <cell r="K112">
            <v>49</v>
          </cell>
          <cell r="L112">
            <v>-12</v>
          </cell>
          <cell r="M112">
            <v>37</v>
          </cell>
          <cell r="O112">
            <v>0</v>
          </cell>
          <cell r="V112">
            <v>53.099999999999987</v>
          </cell>
          <cell r="Y112">
            <v>7.4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20.387</v>
          </cell>
          <cell r="E113">
            <v>4.1459999999999999</v>
          </cell>
          <cell r="F113">
            <v>0.55600000000000005</v>
          </cell>
          <cell r="G113">
            <v>1</v>
          </cell>
          <cell r="H113">
            <v>55</v>
          </cell>
          <cell r="I113" t="str">
            <v>матрица</v>
          </cell>
          <cell r="K113">
            <v>4.0659999999999998</v>
          </cell>
          <cell r="L113">
            <v>8.0000000000000071E-2</v>
          </cell>
          <cell r="M113">
            <v>4.1459999999999999</v>
          </cell>
          <cell r="O113">
            <v>0</v>
          </cell>
          <cell r="V113">
            <v>7.1803999999999997</v>
          </cell>
          <cell r="Y113">
            <v>0.82919999999999994</v>
          </cell>
          <cell r="Z113">
            <v>4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346</v>
          </cell>
          <cell r="D114">
            <v>61</v>
          </cell>
          <cell r="E114">
            <v>291</v>
          </cell>
          <cell r="F114">
            <v>69</v>
          </cell>
          <cell r="G114">
            <v>0.28000000000000003</v>
          </cell>
          <cell r="H114">
            <v>40</v>
          </cell>
          <cell r="I114" t="str">
            <v>матрица</v>
          </cell>
          <cell r="K114">
            <v>366</v>
          </cell>
          <cell r="L114">
            <v>-75</v>
          </cell>
          <cell r="M114">
            <v>291</v>
          </cell>
          <cell r="O114">
            <v>496.19600000000003</v>
          </cell>
          <cell r="V114">
            <v>0</v>
          </cell>
          <cell r="Y114">
            <v>58.2</v>
          </cell>
          <cell r="Z114">
            <v>75.004000000000019</v>
          </cell>
        </row>
        <row r="115">
          <cell r="A115" t="str">
            <v xml:space="preserve"> 570  Колбаса Сервелат Финский ТМ Вязанка в оболочке фиброуз в вак. упаковке 0,28 кг срез  ПОКОМ</v>
          </cell>
          <cell r="B115" t="str">
            <v>шт</v>
          </cell>
          <cell r="C115">
            <v>302.726</v>
          </cell>
          <cell r="D115">
            <v>27</v>
          </cell>
          <cell r="E115">
            <v>318</v>
          </cell>
          <cell r="F115">
            <v>-5.274</v>
          </cell>
          <cell r="G115">
            <v>0.28000000000000003</v>
          </cell>
          <cell r="H115">
            <v>40</v>
          </cell>
          <cell r="I115" t="str">
            <v>матрица</v>
          </cell>
          <cell r="K115">
            <v>387</v>
          </cell>
          <cell r="L115">
            <v>-69</v>
          </cell>
          <cell r="M115">
            <v>318</v>
          </cell>
          <cell r="O115">
            <v>293.3424</v>
          </cell>
          <cell r="T115">
            <v>300</v>
          </cell>
          <cell r="V115">
            <v>0</v>
          </cell>
          <cell r="W115">
            <v>498.42033120000002</v>
          </cell>
          <cell r="Y115">
            <v>63.6</v>
          </cell>
        </row>
        <row r="116">
          <cell r="A116" t="str">
            <v xml:space="preserve"> 571  Колбаса Сервелат Ореховый ТМ Вязанка в оболочке фиброуз в вак. упаковке 0,28 кг срез  ПОКОМ</v>
          </cell>
          <cell r="B116" t="str">
            <v>шт</v>
          </cell>
          <cell r="C116">
            <v>408.5</v>
          </cell>
          <cell r="D116">
            <v>184</v>
          </cell>
          <cell r="E116">
            <v>478</v>
          </cell>
          <cell r="F116">
            <v>80.5</v>
          </cell>
          <cell r="G116">
            <v>0.28000000000000003</v>
          </cell>
          <cell r="H116">
            <v>40</v>
          </cell>
          <cell r="I116" t="str">
            <v>матрица</v>
          </cell>
          <cell r="K116">
            <v>507</v>
          </cell>
          <cell r="L116">
            <v>-29</v>
          </cell>
          <cell r="M116">
            <v>478</v>
          </cell>
          <cell r="O116">
            <v>393.57900000000018</v>
          </cell>
          <cell r="T116">
            <v>400</v>
          </cell>
          <cell r="V116">
            <v>477.19299999999981</v>
          </cell>
          <cell r="Y116">
            <v>95.6</v>
          </cell>
        </row>
        <row r="117">
          <cell r="A117" t="str">
            <v xml:space="preserve"> 574  Колбаса Сервелат Финский ТМ Вязанка в упаковке скин 0,09 кг нарезка  ПОКОМ</v>
          </cell>
          <cell r="B117" t="str">
            <v>шт</v>
          </cell>
          <cell r="C117">
            <v>20</v>
          </cell>
          <cell r="D117">
            <v>76</v>
          </cell>
          <cell r="E117">
            <v>71</v>
          </cell>
          <cell r="F117">
            <v>19</v>
          </cell>
          <cell r="G117">
            <v>0.09</v>
          </cell>
          <cell r="H117">
            <v>45</v>
          </cell>
          <cell r="I117" t="str">
            <v>матрица</v>
          </cell>
          <cell r="K117">
            <v>94</v>
          </cell>
          <cell r="L117">
            <v>-23</v>
          </cell>
          <cell r="M117">
            <v>71</v>
          </cell>
          <cell r="O117">
            <v>71.179999999999978</v>
          </cell>
          <cell r="V117">
            <v>14</v>
          </cell>
          <cell r="Y117">
            <v>14.2</v>
          </cell>
          <cell r="Z117">
            <v>52.02000000000001</v>
          </cell>
        </row>
        <row r="118">
          <cell r="A118" t="str">
            <v xml:space="preserve"> 577  Колбаса Молочная Стародворская ТМ Стародворье в оболочке полиамид НД ВЕС.  ПОКОМ</v>
          </cell>
          <cell r="B118" t="str">
            <v>кг</v>
          </cell>
          <cell r="C118">
            <v>60.683999999999997</v>
          </cell>
          <cell r="E118">
            <v>6.7560000000000002</v>
          </cell>
          <cell r="F118">
            <v>53.927999999999997</v>
          </cell>
          <cell r="G118">
            <v>0</v>
          </cell>
          <cell r="H118">
            <v>55</v>
          </cell>
          <cell r="I118" t="str">
            <v>не в матрице</v>
          </cell>
          <cell r="K118">
            <v>6.6</v>
          </cell>
          <cell r="L118">
            <v>0.15600000000000058</v>
          </cell>
          <cell r="M118">
            <v>6.7560000000000002</v>
          </cell>
          <cell r="O118">
            <v>0</v>
          </cell>
          <cell r="V118">
            <v>0</v>
          </cell>
          <cell r="Y118">
            <v>1.3512</v>
          </cell>
        </row>
        <row r="119">
          <cell r="A119" t="str">
            <v xml:space="preserve"> 579  Колбаса Ветчинно-рубленая ТМ Особый рецепт в оболочке полиамид.ВЕС  ПОКОМ</v>
          </cell>
          <cell r="B119" t="str">
            <v>кг</v>
          </cell>
          <cell r="C119">
            <v>69.912000000000006</v>
          </cell>
          <cell r="E119">
            <v>51.357999999999997</v>
          </cell>
          <cell r="F119">
            <v>17.629000000000001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52.5</v>
          </cell>
          <cell r="L119">
            <v>-1.142000000000003</v>
          </cell>
          <cell r="M119">
            <v>51.357999999999997</v>
          </cell>
          <cell r="O119">
            <v>89.631999999999977</v>
          </cell>
          <cell r="V119">
            <v>60.118000000000031</v>
          </cell>
          <cell r="Y119">
            <v>10.271599999999999</v>
          </cell>
        </row>
        <row r="120">
          <cell r="A120" t="str">
            <v xml:space="preserve"> 580  Ветчина Нежная с индейкой ТМ Особый рецепт в оболочке полиамид.ВЕС  ПОКОМ</v>
          </cell>
          <cell r="B120" t="str">
            <v>кг</v>
          </cell>
          <cell r="C120">
            <v>-20.844000000000001</v>
          </cell>
          <cell r="D120">
            <v>29.844999999999999</v>
          </cell>
          <cell r="E120">
            <v>14.605</v>
          </cell>
          <cell r="F120">
            <v>-5.9390000000000001</v>
          </cell>
          <cell r="G120">
            <v>1</v>
          </cell>
          <cell r="H120">
            <v>50</v>
          </cell>
          <cell r="I120" t="str">
            <v>матрица</v>
          </cell>
          <cell r="K120">
            <v>15</v>
          </cell>
          <cell r="L120">
            <v>-0.39499999999999957</v>
          </cell>
          <cell r="M120">
            <v>14.605</v>
          </cell>
          <cell r="O120">
            <v>63.256000000000007</v>
          </cell>
          <cell r="V120">
            <v>0</v>
          </cell>
          <cell r="Y120">
            <v>2.9210000000000003</v>
          </cell>
        </row>
        <row r="121">
          <cell r="A121" t="str">
            <v xml:space="preserve"> 583  Колбаса Балыковая ТМ Вязанка в упаковке скин 0,09 кг нарезка  ПОКОМ</v>
          </cell>
          <cell r="B121" t="str">
            <v>шт</v>
          </cell>
          <cell r="C121">
            <v>19</v>
          </cell>
          <cell r="D121">
            <v>75</v>
          </cell>
          <cell r="E121">
            <v>72</v>
          </cell>
          <cell r="F121">
            <v>21</v>
          </cell>
          <cell r="G121">
            <v>0.09</v>
          </cell>
          <cell r="H121">
            <v>45</v>
          </cell>
          <cell r="I121" t="str">
            <v>матрица</v>
          </cell>
          <cell r="K121">
            <v>79</v>
          </cell>
          <cell r="L121">
            <v>-7</v>
          </cell>
          <cell r="M121">
            <v>72</v>
          </cell>
          <cell r="O121">
            <v>78.199999999999989</v>
          </cell>
          <cell r="V121">
            <v>0</v>
          </cell>
          <cell r="Y121">
            <v>14.4</v>
          </cell>
          <cell r="Z121">
            <v>59.200000000000017</v>
          </cell>
          <cell r="AA121" t="str">
            <v xml:space="preserve">300 увеличить сеть Молоко </v>
          </cell>
        </row>
        <row r="122">
          <cell r="A122" t="str">
            <v xml:space="preserve"> 584  Колбаса Сервелат Ореховый ТМ Вязанка в упаковке скин 0,09 кг нарезка  ПОКОМ</v>
          </cell>
          <cell r="B122" t="str">
            <v>шт</v>
          </cell>
          <cell r="C122">
            <v>25</v>
          </cell>
          <cell r="D122">
            <v>65</v>
          </cell>
          <cell r="E122">
            <v>45</v>
          </cell>
          <cell r="F122">
            <v>33</v>
          </cell>
          <cell r="G122">
            <v>0.09</v>
          </cell>
          <cell r="H122">
            <v>45</v>
          </cell>
          <cell r="I122" t="str">
            <v>матрица</v>
          </cell>
          <cell r="K122">
            <v>62</v>
          </cell>
          <cell r="L122">
            <v>-17</v>
          </cell>
          <cell r="M122">
            <v>45</v>
          </cell>
          <cell r="O122">
            <v>103.4</v>
          </cell>
          <cell r="V122">
            <v>0</v>
          </cell>
          <cell r="Y122">
            <v>9</v>
          </cell>
          <cell r="AA122" t="str">
            <v xml:space="preserve">300 увеличить сеть Молоко </v>
          </cell>
        </row>
        <row r="123">
          <cell r="A123" t="str">
            <v xml:space="preserve"> 585  Колбаса Молочная ТМ Стародворье в оболочке вектор НД ВЕС.  ПОКОМ</v>
          </cell>
          <cell r="B123" t="str">
            <v>кг</v>
          </cell>
          <cell r="C123">
            <v>18.713000000000001</v>
          </cell>
          <cell r="D123">
            <v>77.263999999999996</v>
          </cell>
          <cell r="E123">
            <v>34.488999999999997</v>
          </cell>
          <cell r="F123">
            <v>61.488</v>
          </cell>
          <cell r="G123">
            <v>1</v>
          </cell>
          <cell r="H123">
            <v>60</v>
          </cell>
          <cell r="I123" t="str">
            <v>матрица</v>
          </cell>
          <cell r="K123">
            <v>30.332999999999998</v>
          </cell>
          <cell r="L123">
            <v>4.1559999999999988</v>
          </cell>
          <cell r="M123">
            <v>34.488999999999997</v>
          </cell>
          <cell r="O123">
            <v>83.946400000000068</v>
          </cell>
          <cell r="V123">
            <v>0</v>
          </cell>
          <cell r="Y123">
            <v>6.8977999999999993</v>
          </cell>
        </row>
        <row r="124">
          <cell r="A124" t="str">
            <v xml:space="preserve"> 586  Колбаса Мясная ТМ Стародворье в оболочке вектор НД ВЕС.  ПОКОМ</v>
          </cell>
          <cell r="B124" t="str">
            <v>кг</v>
          </cell>
          <cell r="C124">
            <v>551.69899999999996</v>
          </cell>
          <cell r="D124">
            <v>122.91200000000001</v>
          </cell>
          <cell r="E124">
            <v>463.41899999999998</v>
          </cell>
          <cell r="F124">
            <v>184.751</v>
          </cell>
          <cell r="G124">
            <v>1</v>
          </cell>
          <cell r="H124">
            <v>60</v>
          </cell>
          <cell r="I124" t="str">
            <v>матрица</v>
          </cell>
          <cell r="K124">
            <v>482.084</v>
          </cell>
          <cell r="L124">
            <v>-18.66500000000002</v>
          </cell>
          <cell r="M124">
            <v>463.41899999999998</v>
          </cell>
          <cell r="O124">
            <v>324.38959999999992</v>
          </cell>
          <cell r="T124">
            <v>400</v>
          </cell>
          <cell r="V124">
            <v>387.87812200000008</v>
          </cell>
          <cell r="Y124">
            <v>92.683799999999991</v>
          </cell>
        </row>
        <row r="125">
          <cell r="A125" t="str">
            <v xml:space="preserve"> 588 Колбаса Со шпиком ТМ Стародворье в оболочке вектор ВЕС  ПОКОМ</v>
          </cell>
          <cell r="B125" t="str">
            <v>кг</v>
          </cell>
          <cell r="C125">
            <v>343.62200000000001</v>
          </cell>
          <cell r="D125">
            <v>9.7279999999999998</v>
          </cell>
          <cell r="E125">
            <v>47.094999999999999</v>
          </cell>
          <cell r="F125">
            <v>297.90199999999999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58.6</v>
          </cell>
          <cell r="L125">
            <v>-11.505000000000003</v>
          </cell>
          <cell r="M125">
            <v>47.094999999999999</v>
          </cell>
          <cell r="O125">
            <v>0</v>
          </cell>
          <cell r="V125">
            <v>0</v>
          </cell>
          <cell r="Y125">
            <v>9.4190000000000005</v>
          </cell>
        </row>
        <row r="126">
          <cell r="A126" t="str">
            <v xml:space="preserve"> 597  Колбаса Классическая ТМ Особый рецепт в оболочке полиамид ВЕС. ПОКОМ</v>
          </cell>
          <cell r="B126" t="str">
            <v>кг</v>
          </cell>
          <cell r="C126">
            <v>2824.9609999999998</v>
          </cell>
          <cell r="D126">
            <v>259.76100000000002</v>
          </cell>
          <cell r="E126">
            <v>982.19600000000003</v>
          </cell>
          <cell r="F126">
            <v>2069.8579999999997</v>
          </cell>
          <cell r="G126">
            <v>1</v>
          </cell>
          <cell r="H126">
            <v>60</v>
          </cell>
          <cell r="I126" t="str">
            <v>матрица</v>
          </cell>
          <cell r="K126">
            <v>1026.5</v>
          </cell>
          <cell r="L126">
            <v>-44.303999999999974</v>
          </cell>
          <cell r="M126">
            <v>982.19600000000003</v>
          </cell>
          <cell r="O126">
            <v>0</v>
          </cell>
          <cell r="S126">
            <v>900</v>
          </cell>
          <cell r="U126">
            <v>400</v>
          </cell>
          <cell r="V126">
            <v>0</v>
          </cell>
          <cell r="Y126">
            <v>196.4392</v>
          </cell>
        </row>
        <row r="127">
          <cell r="A127" t="str">
            <v xml:space="preserve"> 614  Буженина в пряном маринаде 0,25 кг консервы из мяса индейки ТМ Стародворье  ПОКОМ</v>
          </cell>
          <cell r="B127" t="str">
            <v>шт</v>
          </cell>
          <cell r="D127">
            <v>205</v>
          </cell>
          <cell r="E127">
            <v>81</v>
          </cell>
          <cell r="F127">
            <v>123</v>
          </cell>
          <cell r="G127">
            <v>0.25</v>
          </cell>
          <cell r="I127" t="str">
            <v>матрица</v>
          </cell>
          <cell r="K127">
            <v>82</v>
          </cell>
          <cell r="L127">
            <v>-1</v>
          </cell>
          <cell r="M127">
            <v>81</v>
          </cell>
          <cell r="O127">
            <v>0</v>
          </cell>
          <cell r="V127">
            <v>0</v>
          </cell>
          <cell r="Y127">
            <v>16.2</v>
          </cell>
          <cell r="Z127">
            <v>55.199999999999989</v>
          </cell>
        </row>
        <row r="128">
          <cell r="A128" t="str">
            <v xml:space="preserve"> 615  Гречка по-купечески с говядиной и овощами 0,325кг ТМ Стародворье  ПОКОМ</v>
          </cell>
          <cell r="B128" t="str">
            <v>шт</v>
          </cell>
          <cell r="D128">
            <v>204</v>
          </cell>
          <cell r="E128">
            <v>49</v>
          </cell>
          <cell r="F128">
            <v>155</v>
          </cell>
          <cell r="G128">
            <v>0.32500000000000001</v>
          </cell>
          <cell r="I128" t="str">
            <v>матрица</v>
          </cell>
          <cell r="K128">
            <v>49</v>
          </cell>
          <cell r="L128">
            <v>0</v>
          </cell>
          <cell r="M128">
            <v>49</v>
          </cell>
          <cell r="O128">
            <v>0</v>
          </cell>
          <cell r="V128">
            <v>0</v>
          </cell>
          <cell r="Y128">
            <v>9.8000000000000007</v>
          </cell>
        </row>
        <row r="129">
          <cell r="A129" t="str">
            <v xml:space="preserve"> 616  Индейка томлёная в собственном соку 0,25кг ТМ Стародлворье Консервый из мяс.птицы  ПОКОМ</v>
          </cell>
          <cell r="B129" t="str">
            <v>шт</v>
          </cell>
          <cell r="D129">
            <v>204</v>
          </cell>
          <cell r="E129">
            <v>66</v>
          </cell>
          <cell r="F129">
            <v>138</v>
          </cell>
          <cell r="G129">
            <v>0.25</v>
          </cell>
          <cell r="I129" t="str">
            <v>матрица</v>
          </cell>
          <cell r="K129">
            <v>66</v>
          </cell>
          <cell r="L129">
            <v>0</v>
          </cell>
          <cell r="M129">
            <v>66</v>
          </cell>
          <cell r="O129">
            <v>0</v>
          </cell>
          <cell r="V129">
            <v>0</v>
          </cell>
          <cell r="Y129">
            <v>13.2</v>
          </cell>
          <cell r="Z129">
            <v>7.1999999999999886</v>
          </cell>
        </row>
        <row r="130">
          <cell r="A130" t="str">
            <v>495  Колбаса Сочинка по-европейски с сочной грудинкой 0,3кг ТМ Стародворье  ПОКОМ</v>
          </cell>
          <cell r="B130" t="str">
            <v>шт</v>
          </cell>
          <cell r="C130">
            <v>132</v>
          </cell>
          <cell r="D130">
            <v>22</v>
          </cell>
          <cell r="E130">
            <v>95</v>
          </cell>
          <cell r="F130">
            <v>40</v>
          </cell>
          <cell r="G130">
            <v>0.3</v>
          </cell>
          <cell r="H130">
            <v>40</v>
          </cell>
          <cell r="I130" t="str">
            <v>матрица</v>
          </cell>
          <cell r="K130">
            <v>191</v>
          </cell>
          <cell r="L130">
            <v>-96</v>
          </cell>
          <cell r="M130">
            <v>95</v>
          </cell>
          <cell r="O130">
            <v>222.99399999999989</v>
          </cell>
          <cell r="V130">
            <v>105.40600000000011</v>
          </cell>
          <cell r="Y130">
            <v>19</v>
          </cell>
        </row>
        <row r="131">
          <cell r="A131" t="str">
            <v>496  Колбаса Сочинка по-фински с сочным окроком 0,3кг ТМ Стародворье  ПОКОМ</v>
          </cell>
          <cell r="B131" t="str">
            <v>шт</v>
          </cell>
          <cell r="C131">
            <v>138</v>
          </cell>
          <cell r="D131">
            <v>91</v>
          </cell>
          <cell r="E131">
            <v>129</v>
          </cell>
          <cell r="F131">
            <v>86</v>
          </cell>
          <cell r="G131">
            <v>0.3</v>
          </cell>
          <cell r="H131">
            <v>40</v>
          </cell>
          <cell r="I131" t="str">
            <v>матрица</v>
          </cell>
          <cell r="K131">
            <v>147</v>
          </cell>
          <cell r="L131">
            <v>-18</v>
          </cell>
          <cell r="M131">
            <v>129</v>
          </cell>
          <cell r="O131">
            <v>47.399999999999977</v>
          </cell>
          <cell r="V131">
            <v>30.80000000000004</v>
          </cell>
          <cell r="Y131">
            <v>25.8</v>
          </cell>
          <cell r="Z131">
            <v>119.6</v>
          </cell>
        </row>
        <row r="132">
          <cell r="A132" t="str">
            <v>503 Колбаса Филейская со шпиком ТМ Вязанка в оболочке полиамид.ПОКОМ</v>
          </cell>
          <cell r="B132" t="str">
            <v>кг</v>
          </cell>
          <cell r="C132">
            <v>53.161000000000001</v>
          </cell>
          <cell r="D132">
            <v>22.87</v>
          </cell>
          <cell r="E132">
            <v>48.606000000000002</v>
          </cell>
          <cell r="F132">
            <v>27.425000000000001</v>
          </cell>
          <cell r="G132">
            <v>1</v>
          </cell>
          <cell r="H132">
            <v>50</v>
          </cell>
          <cell r="I132" t="str">
            <v>матрица</v>
          </cell>
          <cell r="K132">
            <v>45.75</v>
          </cell>
          <cell r="L132">
            <v>2.8560000000000016</v>
          </cell>
          <cell r="M132">
            <v>48.606000000000002</v>
          </cell>
          <cell r="O132">
            <v>92.068600000000004</v>
          </cell>
          <cell r="V132">
            <v>34.629300000000022</v>
          </cell>
          <cell r="Y132">
            <v>9.7211999999999996</v>
          </cell>
        </row>
        <row r="133">
          <cell r="A133" t="str">
            <v>515  Колбаса Сервелат Мясорубский Делюкс 0,3кг ТМ Стародворье  ПОКОМ</v>
          </cell>
          <cell r="B133" t="str">
            <v>шт</v>
          </cell>
          <cell r="C133">
            <v>61</v>
          </cell>
          <cell r="D133">
            <v>28</v>
          </cell>
          <cell r="E133">
            <v>60</v>
          </cell>
          <cell r="F133">
            <v>22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K133">
            <v>67</v>
          </cell>
          <cell r="L133">
            <v>-7</v>
          </cell>
          <cell r="M133">
            <v>60</v>
          </cell>
          <cell r="O133">
            <v>0</v>
          </cell>
          <cell r="V133">
            <v>0</v>
          </cell>
          <cell r="Y133">
            <v>12</v>
          </cell>
          <cell r="Z133">
            <v>20</v>
          </cell>
        </row>
        <row r="134">
          <cell r="A134" t="str">
            <v>519  Грудинка 0,12 кг нарезка ТМ Стародворье  ПОКОМ</v>
          </cell>
          <cell r="B134" t="str">
            <v>шт</v>
          </cell>
          <cell r="C134">
            <v>61</v>
          </cell>
          <cell r="D134">
            <v>62</v>
          </cell>
          <cell r="E134">
            <v>33</v>
          </cell>
          <cell r="F134">
            <v>86</v>
          </cell>
          <cell r="G134">
            <v>0.12</v>
          </cell>
          <cell r="H134">
            <v>45</v>
          </cell>
          <cell r="I134" t="str">
            <v>матрица</v>
          </cell>
          <cell r="K134">
            <v>43</v>
          </cell>
          <cell r="L134">
            <v>-10</v>
          </cell>
          <cell r="M134">
            <v>33</v>
          </cell>
          <cell r="O134">
            <v>17.599999999999991</v>
          </cell>
          <cell r="V134">
            <v>0</v>
          </cell>
          <cell r="Y134">
            <v>6.6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Q6" sqref="AQ6"/>
    </sheetView>
  </sheetViews>
  <sheetFormatPr defaultRowHeight="15" x14ac:dyDescent="0.25"/>
  <cols>
    <col min="1" max="1" width="48.710937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3" width="7" customWidth="1"/>
    <col min="14" max="14" width="5.140625" customWidth="1"/>
    <col min="15" max="16" width="7" customWidth="1"/>
    <col min="17" max="19" width="6" customWidth="1"/>
    <col min="20" max="20" width="7" customWidth="1"/>
    <col min="21" max="21" width="5.7109375" customWidth="1"/>
    <col min="22" max="23" width="7" customWidth="1"/>
    <col min="24" max="24" width="5.85546875" customWidth="1"/>
    <col min="25" max="27" width="7" customWidth="1"/>
    <col min="28" max="28" width="21.85546875" style="25" customWidth="1"/>
    <col min="29" max="30" width="5" customWidth="1"/>
    <col min="31" max="31" width="6.7109375" customWidth="1"/>
    <col min="32" max="37" width="6.7109375" hidden="1" customWidth="1"/>
    <col min="38" max="38" width="6.7109375" customWidth="1"/>
    <col min="39" max="39" width="41.42578125" customWidth="1"/>
    <col min="40" max="40" width="7" customWidth="1"/>
    <col min="41" max="47" width="3" customWidth="1"/>
  </cols>
  <sheetData>
    <row r="1" spans="1:47" x14ac:dyDescent="0.25">
      <c r="A1" s="16"/>
      <c r="B1" s="16"/>
      <c r="C1" s="16"/>
      <c r="D1" s="16"/>
      <c r="E1" s="16"/>
      <c r="F1" s="16"/>
      <c r="G1" s="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30">
        <v>1.9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</row>
    <row r="2" spans="1:47" x14ac:dyDescent="0.25">
      <c r="A2" s="16"/>
      <c r="B2" s="16"/>
      <c r="C2" s="16"/>
      <c r="D2" s="16"/>
      <c r="E2" s="16"/>
      <c r="F2" s="16"/>
      <c r="G2" s="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 t="s">
        <v>192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14</v>
      </c>
      <c r="V3" s="1" t="s">
        <v>14</v>
      </c>
      <c r="W3" s="1" t="s">
        <v>14</v>
      </c>
      <c r="X3" s="1" t="s">
        <v>14</v>
      </c>
      <c r="Y3" s="1" t="s">
        <v>15</v>
      </c>
      <c r="Z3" s="2" t="s">
        <v>16</v>
      </c>
      <c r="AA3" s="2" t="s">
        <v>193</v>
      </c>
      <c r="AB3" s="2" t="s">
        <v>186</v>
      </c>
      <c r="AC3" s="1" t="s">
        <v>17</v>
      </c>
      <c r="AD3" s="1" t="s">
        <v>18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20</v>
      </c>
      <c r="AN3" s="1" t="s">
        <v>21</v>
      </c>
      <c r="AO3" s="16"/>
      <c r="AP3" s="16"/>
      <c r="AQ3" s="16"/>
      <c r="AR3" s="16"/>
      <c r="AS3" s="16"/>
      <c r="AT3" s="16"/>
      <c r="AU3" s="16"/>
    </row>
    <row r="4" spans="1:47" x14ac:dyDescent="0.25">
      <c r="A4" s="16"/>
      <c r="B4" s="16"/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6" t="s">
        <v>22</v>
      </c>
      <c r="P4" s="16" t="s">
        <v>23</v>
      </c>
      <c r="Q4" s="16" t="s">
        <v>24</v>
      </c>
      <c r="R4" s="16" t="s">
        <v>25</v>
      </c>
      <c r="S4" s="16" t="s">
        <v>26</v>
      </c>
      <c r="T4" s="16" t="s">
        <v>27</v>
      </c>
      <c r="U4" s="16" t="s">
        <v>28</v>
      </c>
      <c r="V4" s="16" t="s">
        <v>29</v>
      </c>
      <c r="W4" s="16" t="s">
        <v>30</v>
      </c>
      <c r="X4" s="16" t="s">
        <v>31</v>
      </c>
      <c r="Y4" s="16" t="s">
        <v>30</v>
      </c>
      <c r="Z4" s="16"/>
      <c r="AA4" s="16" t="s">
        <v>194</v>
      </c>
      <c r="AB4" s="16" t="s">
        <v>187</v>
      </c>
      <c r="AC4" s="16"/>
      <c r="AD4" s="16"/>
      <c r="AE4" s="16" t="s">
        <v>32</v>
      </c>
      <c r="AF4" s="16" t="s">
        <v>33</v>
      </c>
      <c r="AG4" s="16" t="s">
        <v>34</v>
      </c>
      <c r="AH4" s="16" t="s">
        <v>35</v>
      </c>
      <c r="AI4" s="16" t="s">
        <v>36</v>
      </c>
      <c r="AJ4" s="16" t="s">
        <v>37</v>
      </c>
      <c r="AK4" s="16" t="s">
        <v>38</v>
      </c>
      <c r="AL4" s="16" t="s">
        <v>39</v>
      </c>
      <c r="AM4" s="16"/>
      <c r="AN4" s="16"/>
      <c r="AO4" s="16"/>
      <c r="AP4" s="16"/>
      <c r="AQ4" s="16"/>
      <c r="AR4" s="16"/>
      <c r="AS4" s="16"/>
      <c r="AT4" s="16"/>
      <c r="AU4" s="16"/>
    </row>
    <row r="5" spans="1:47" x14ac:dyDescent="0.25">
      <c r="A5" s="16"/>
      <c r="B5" s="16"/>
      <c r="C5" s="16"/>
      <c r="D5" s="16"/>
      <c r="E5" s="3">
        <f>SUM(E6:E500)</f>
        <v>56642.257000000012</v>
      </c>
      <c r="F5" s="3">
        <f>SUM(F6:F500)</f>
        <v>27816.794000000005</v>
      </c>
      <c r="G5" s="6"/>
      <c r="H5" s="16"/>
      <c r="I5" s="16"/>
      <c r="J5" s="16"/>
      <c r="K5" s="3">
        <f t="shared" ref="K5:AA5" si="0">SUM(K6:K500)</f>
        <v>68699.194999999992</v>
      </c>
      <c r="L5" s="3">
        <f t="shared" si="0"/>
        <v>-12056.938000000006</v>
      </c>
      <c r="M5" s="3">
        <f t="shared" si="0"/>
        <v>55868.686000000016</v>
      </c>
      <c r="N5" s="3">
        <f t="shared" si="0"/>
        <v>773.57099999999991</v>
      </c>
      <c r="O5" s="3">
        <f t="shared" si="0"/>
        <v>21067.260562399999</v>
      </c>
      <c r="P5" s="3">
        <f t="shared" si="0"/>
        <v>5350</v>
      </c>
      <c r="Q5" s="3">
        <f t="shared" si="0"/>
        <v>1600</v>
      </c>
      <c r="R5" s="3">
        <f t="shared" si="0"/>
        <v>4100</v>
      </c>
      <c r="S5" s="3">
        <f t="shared" si="0"/>
        <v>3500</v>
      </c>
      <c r="T5" s="3">
        <f t="shared" si="0"/>
        <v>19500</v>
      </c>
      <c r="U5" s="3">
        <f t="shared" si="0"/>
        <v>1540</v>
      </c>
      <c r="V5" s="3">
        <f t="shared" si="0"/>
        <v>13458.599258912795</v>
      </c>
      <c r="W5" s="3">
        <f t="shared" si="0"/>
        <v>21727.185372103198</v>
      </c>
      <c r="X5" s="3">
        <f t="shared" si="0"/>
        <v>1000</v>
      </c>
      <c r="Y5" s="3">
        <f t="shared" si="0"/>
        <v>11173.737200000001</v>
      </c>
      <c r="Z5" s="3">
        <f t="shared" si="0"/>
        <v>9942.5494440000057</v>
      </c>
      <c r="AA5" s="3">
        <f t="shared" si="0"/>
        <v>23284.48310400001</v>
      </c>
      <c r="AB5" s="3"/>
      <c r="AC5" s="16"/>
      <c r="AD5" s="16"/>
      <c r="AE5" s="3">
        <f t="shared" ref="AE5:AL5" si="1">SUM(AE6:AE500)</f>
        <v>12763.749600000005</v>
      </c>
      <c r="AF5" s="3">
        <f t="shared" si="1"/>
        <v>14118.473</v>
      </c>
      <c r="AG5" s="3">
        <f t="shared" si="1"/>
        <v>10392.847799999996</v>
      </c>
      <c r="AH5" s="3">
        <f t="shared" si="1"/>
        <v>11560.837400000002</v>
      </c>
      <c r="AI5" s="3">
        <f t="shared" si="1"/>
        <v>11734.1994</v>
      </c>
      <c r="AJ5" s="3">
        <f t="shared" si="1"/>
        <v>14138.868400000007</v>
      </c>
      <c r="AK5" s="3">
        <f t="shared" si="1"/>
        <v>14537.335200000001</v>
      </c>
      <c r="AL5" s="3">
        <f t="shared" si="1"/>
        <v>14045.6934</v>
      </c>
      <c r="AM5" s="16"/>
      <c r="AN5" s="3">
        <f>SUM(AN6:AN500)</f>
        <v>17589</v>
      </c>
      <c r="AO5" s="16"/>
      <c r="AP5" s="16"/>
      <c r="AQ5" s="16"/>
      <c r="AR5" s="16"/>
      <c r="AS5" s="16"/>
      <c r="AT5" s="16"/>
      <c r="AU5" s="16"/>
    </row>
    <row r="6" spans="1:47" x14ac:dyDescent="0.25">
      <c r="A6" s="16" t="s">
        <v>40</v>
      </c>
      <c r="B6" s="16" t="s">
        <v>41</v>
      </c>
      <c r="C6" s="16">
        <v>2260.1480000000001</v>
      </c>
      <c r="D6" s="16">
        <v>880.798</v>
      </c>
      <c r="E6" s="16">
        <v>1743.963</v>
      </c>
      <c r="F6" s="16">
        <v>1354.02</v>
      </c>
      <c r="G6" s="6">
        <v>1</v>
      </c>
      <c r="H6" s="16">
        <v>50</v>
      </c>
      <c r="I6" s="9" t="s">
        <v>42</v>
      </c>
      <c r="J6" s="16"/>
      <c r="K6" s="16">
        <v>1756.55</v>
      </c>
      <c r="L6" s="16">
        <f t="shared" ref="L6:L37" si="2">E6-K6</f>
        <v>-12.586999999999989</v>
      </c>
      <c r="M6" s="16">
        <f t="shared" ref="M6:M37" si="3">E6-N6</f>
        <v>1743.963</v>
      </c>
      <c r="N6" s="16"/>
      <c r="O6" s="16">
        <v>725.0862823999978</v>
      </c>
      <c r="P6" s="16"/>
      <c r="Q6" s="16">
        <v>800</v>
      </c>
      <c r="R6" s="16"/>
      <c r="S6" s="16"/>
      <c r="T6" s="16"/>
      <c r="U6" s="16"/>
      <c r="V6" s="16">
        <v>361.01789634480059</v>
      </c>
      <c r="W6" s="16">
        <v>774.25850725520149</v>
      </c>
      <c r="X6" s="16"/>
      <c r="Y6" s="16">
        <f t="shared" ref="Y6:Y37" si="4">M6/5</f>
        <v>348.79259999999999</v>
      </c>
      <c r="Z6" s="4"/>
      <c r="AA6" s="4">
        <f>Z6</f>
        <v>0</v>
      </c>
      <c r="AB6" s="24"/>
      <c r="AC6" s="16">
        <f>(F6+O6+P6+Q6+R6+S6+T6+U6+V6+W6+X6+AA6)/Y6</f>
        <v>11.509368851288702</v>
      </c>
      <c r="AD6" s="16">
        <f t="shared" ref="AD6:AD37" si="5">(F6+O6+P6+Q6+R6+S6+T6+U6+V6+W6+X6)/Y6</f>
        <v>11.509368851288702</v>
      </c>
      <c r="AE6" s="16">
        <v>383.91660000000002</v>
      </c>
      <c r="AF6" s="16">
        <v>414.53539999999992</v>
      </c>
      <c r="AG6" s="16">
        <v>309.1234</v>
      </c>
      <c r="AH6" s="16">
        <v>397.22059999999999</v>
      </c>
      <c r="AI6" s="16">
        <v>387.44979999999998</v>
      </c>
      <c r="AJ6" s="16">
        <v>475.30520000000001</v>
      </c>
      <c r="AK6" s="16">
        <v>548.64239999999995</v>
      </c>
      <c r="AL6" s="16">
        <v>471.7946</v>
      </c>
      <c r="AM6" s="16"/>
      <c r="AN6" s="16">
        <f>ROUND(G6*AA6,0)</f>
        <v>0</v>
      </c>
      <c r="AO6" s="16"/>
      <c r="AP6" s="16"/>
      <c r="AQ6" s="16"/>
      <c r="AR6" s="16"/>
      <c r="AS6" s="16"/>
      <c r="AT6" s="16"/>
      <c r="AU6" s="16"/>
    </row>
    <row r="7" spans="1:47" x14ac:dyDescent="0.25">
      <c r="A7" s="16" t="s">
        <v>43</v>
      </c>
      <c r="B7" s="16" t="s">
        <v>41</v>
      </c>
      <c r="C7" s="16">
        <v>588.32100000000003</v>
      </c>
      <c r="D7" s="16">
        <v>338.69400000000002</v>
      </c>
      <c r="E7" s="16">
        <v>878.37400000000002</v>
      </c>
      <c r="F7" s="16">
        <v>-9.7590000000000003</v>
      </c>
      <c r="G7" s="6">
        <v>1</v>
      </c>
      <c r="H7" s="16">
        <v>45</v>
      </c>
      <c r="I7" s="9" t="s">
        <v>42</v>
      </c>
      <c r="J7" s="16"/>
      <c r="K7" s="16">
        <v>1134.5160000000001</v>
      </c>
      <c r="L7" s="16">
        <f t="shared" si="2"/>
        <v>-256.14200000000005</v>
      </c>
      <c r="M7" s="16">
        <f t="shared" si="3"/>
        <v>878.37400000000002</v>
      </c>
      <c r="N7" s="16"/>
      <c r="O7" s="16">
        <v>284.72726200000028</v>
      </c>
      <c r="P7" s="16">
        <v>800</v>
      </c>
      <c r="Q7" s="16"/>
      <c r="R7" s="16"/>
      <c r="S7" s="16"/>
      <c r="T7" s="16"/>
      <c r="U7" s="16"/>
      <c r="V7" s="16">
        <v>496.76597433599949</v>
      </c>
      <c r="W7" s="16">
        <v>1065.391177664</v>
      </c>
      <c r="X7" s="16"/>
      <c r="Y7" s="16">
        <f t="shared" si="4"/>
        <v>175.6748</v>
      </c>
      <c r="Z7" s="4"/>
      <c r="AA7" s="4">
        <f t="shared" ref="AA7:AA70" si="6">Z7</f>
        <v>0</v>
      </c>
      <c r="AB7" s="24"/>
      <c r="AC7" s="16">
        <f t="shared" ref="AC7:AC70" si="7">(F7+O7+P7+Q7+R7+S7+T7+U7+V7+W7+X7+AA7)/Y7</f>
        <v>15.011404105768158</v>
      </c>
      <c r="AD7" s="16">
        <f t="shared" si="5"/>
        <v>15.011404105768158</v>
      </c>
      <c r="AE7" s="16">
        <v>232.39340000000001</v>
      </c>
      <c r="AF7" s="16">
        <v>194.2758</v>
      </c>
      <c r="AG7" s="16">
        <v>139.5838</v>
      </c>
      <c r="AH7" s="16">
        <v>139.13839999999999</v>
      </c>
      <c r="AI7" s="16">
        <v>153.54400000000001</v>
      </c>
      <c r="AJ7" s="16">
        <v>198.9838</v>
      </c>
      <c r="AK7" s="16">
        <v>211.20099999999999</v>
      </c>
      <c r="AL7" s="16">
        <v>193.32560000000001</v>
      </c>
      <c r="AM7" s="16"/>
      <c r="AN7" s="16">
        <f t="shared" ref="AN7:AN70" si="8">ROUND(G7*AA7,0)</f>
        <v>0</v>
      </c>
      <c r="AO7" s="16"/>
      <c r="AP7" s="16"/>
      <c r="AQ7" s="16"/>
      <c r="AR7" s="16"/>
      <c r="AS7" s="16"/>
      <c r="AT7" s="16"/>
      <c r="AU7" s="16"/>
    </row>
    <row r="8" spans="1:47" x14ac:dyDescent="0.25">
      <c r="A8" s="16" t="s">
        <v>44</v>
      </c>
      <c r="B8" s="16" t="s">
        <v>41</v>
      </c>
      <c r="C8" s="16">
        <v>2895.4059999999999</v>
      </c>
      <c r="D8" s="16">
        <v>614.74</v>
      </c>
      <c r="E8" s="16">
        <v>3067.8180000000002</v>
      </c>
      <c r="F8" s="16">
        <v>-53.558999999999997</v>
      </c>
      <c r="G8" s="6">
        <v>1</v>
      </c>
      <c r="H8" s="16">
        <v>45</v>
      </c>
      <c r="I8" s="9" t="s">
        <v>42</v>
      </c>
      <c r="J8" s="16"/>
      <c r="K8" s="16">
        <v>3785.2139999999999</v>
      </c>
      <c r="L8" s="16">
        <f t="shared" si="2"/>
        <v>-717.39599999999973</v>
      </c>
      <c r="M8" s="16">
        <f t="shared" si="3"/>
        <v>3067.8180000000002</v>
      </c>
      <c r="N8" s="16"/>
      <c r="O8" s="16">
        <v>800</v>
      </c>
      <c r="P8" s="16">
        <v>2300</v>
      </c>
      <c r="Q8" s="16"/>
      <c r="R8" s="16"/>
      <c r="S8" s="16"/>
      <c r="T8" s="16">
        <v>500</v>
      </c>
      <c r="U8" s="16"/>
      <c r="V8" s="16">
        <v>943.87382423999952</v>
      </c>
      <c r="W8" s="16">
        <v>2024.2828557600001</v>
      </c>
      <c r="X8" s="16"/>
      <c r="Y8" s="16">
        <f t="shared" si="4"/>
        <v>613.56360000000006</v>
      </c>
      <c r="Z8" s="4">
        <f t="shared" ref="Z8:Z13" si="9">11*Y8-X8-W8-V8-U8-T8-S8-R8-Q8-P8-O8-F8</f>
        <v>234.60192000000168</v>
      </c>
      <c r="AA8" s="31">
        <f>Z8+$AA$1*Y8</f>
        <v>1400.3727600000018</v>
      </c>
      <c r="AB8" s="24"/>
      <c r="AC8" s="16">
        <f t="shared" si="7"/>
        <v>12.9</v>
      </c>
      <c r="AD8" s="16">
        <f t="shared" si="5"/>
        <v>10.617640420650766</v>
      </c>
      <c r="AE8" s="16">
        <v>603.60799999999995</v>
      </c>
      <c r="AF8" s="16">
        <v>601.60220000000004</v>
      </c>
      <c r="AG8" s="16">
        <v>449.45300000000009</v>
      </c>
      <c r="AH8" s="16">
        <v>483.47179999999997</v>
      </c>
      <c r="AI8" s="16">
        <v>504.71640000000002</v>
      </c>
      <c r="AJ8" s="16">
        <v>603.90640000000008</v>
      </c>
      <c r="AK8" s="16">
        <v>611.28559999999993</v>
      </c>
      <c r="AL8" s="16">
        <v>564.65660000000003</v>
      </c>
      <c r="AM8" s="16"/>
      <c r="AN8" s="16">
        <f t="shared" si="8"/>
        <v>1400</v>
      </c>
      <c r="AO8" s="16"/>
      <c r="AP8" s="16"/>
      <c r="AQ8" s="16"/>
      <c r="AR8" s="16"/>
      <c r="AS8" s="16"/>
      <c r="AT8" s="16"/>
      <c r="AU8" s="16"/>
    </row>
    <row r="9" spans="1:47" x14ac:dyDescent="0.25">
      <c r="A9" s="16" t="s">
        <v>45</v>
      </c>
      <c r="B9" s="16" t="s">
        <v>46</v>
      </c>
      <c r="C9" s="16">
        <v>9</v>
      </c>
      <c r="D9" s="16">
        <v>2</v>
      </c>
      <c r="E9" s="16">
        <v>6</v>
      </c>
      <c r="F9" s="16">
        <v>5</v>
      </c>
      <c r="G9" s="6">
        <v>0.4</v>
      </c>
      <c r="H9" s="16">
        <v>50</v>
      </c>
      <c r="I9" s="16" t="s">
        <v>42</v>
      </c>
      <c r="J9" s="16"/>
      <c r="K9" s="16">
        <v>8</v>
      </c>
      <c r="L9" s="16">
        <f t="shared" si="2"/>
        <v>-2</v>
      </c>
      <c r="M9" s="16">
        <f t="shared" si="3"/>
        <v>6</v>
      </c>
      <c r="N9" s="16"/>
      <c r="O9" s="16">
        <v>13</v>
      </c>
      <c r="P9" s="16"/>
      <c r="Q9" s="16"/>
      <c r="R9" s="16"/>
      <c r="S9" s="16"/>
      <c r="T9" s="16"/>
      <c r="U9" s="16"/>
      <c r="V9" s="16">
        <v>10.9</v>
      </c>
      <c r="W9" s="16"/>
      <c r="X9" s="16"/>
      <c r="Y9" s="16">
        <f t="shared" si="4"/>
        <v>1.2</v>
      </c>
      <c r="Z9" s="4"/>
      <c r="AA9" s="4">
        <f t="shared" si="6"/>
        <v>0</v>
      </c>
      <c r="AB9" s="24"/>
      <c r="AC9" s="16">
        <f t="shared" si="7"/>
        <v>24.083333333333332</v>
      </c>
      <c r="AD9" s="16">
        <f t="shared" si="5"/>
        <v>24.083333333333332</v>
      </c>
      <c r="AE9" s="16">
        <v>2.6</v>
      </c>
      <c r="AF9" s="16">
        <v>2.2000000000000002</v>
      </c>
      <c r="AG9" s="16">
        <v>0</v>
      </c>
      <c r="AH9" s="16">
        <v>0</v>
      </c>
      <c r="AI9" s="16">
        <v>0</v>
      </c>
      <c r="AJ9" s="16">
        <v>0</v>
      </c>
      <c r="AK9" s="16">
        <v>0.6</v>
      </c>
      <c r="AL9" s="16">
        <v>0.6</v>
      </c>
      <c r="AM9" s="16" t="s">
        <v>47</v>
      </c>
      <c r="AN9" s="16">
        <f t="shared" si="8"/>
        <v>0</v>
      </c>
      <c r="AO9" s="16"/>
      <c r="AP9" s="16"/>
      <c r="AQ9" s="16"/>
      <c r="AR9" s="16"/>
      <c r="AS9" s="16"/>
      <c r="AT9" s="16"/>
      <c r="AU9" s="16"/>
    </row>
    <row r="10" spans="1:47" x14ac:dyDescent="0.25">
      <c r="A10" s="16" t="s">
        <v>48</v>
      </c>
      <c r="B10" s="16" t="s">
        <v>46</v>
      </c>
      <c r="C10" s="16">
        <v>1559.444</v>
      </c>
      <c r="D10" s="16">
        <v>230.20099999999999</v>
      </c>
      <c r="E10" s="16">
        <v>1695</v>
      </c>
      <c r="F10" s="16">
        <v>34.645000000000003</v>
      </c>
      <c r="G10" s="6">
        <v>0.45</v>
      </c>
      <c r="H10" s="16">
        <v>45</v>
      </c>
      <c r="I10" s="8" t="s">
        <v>49</v>
      </c>
      <c r="J10" s="16"/>
      <c r="K10" s="16">
        <v>2214</v>
      </c>
      <c r="L10" s="16">
        <f t="shared" si="2"/>
        <v>-519</v>
      </c>
      <c r="M10" s="16">
        <f t="shared" si="3"/>
        <v>1695</v>
      </c>
      <c r="N10" s="16"/>
      <c r="O10" s="16">
        <v>1000</v>
      </c>
      <c r="P10" s="16"/>
      <c r="Q10" s="16"/>
      <c r="R10" s="16"/>
      <c r="S10" s="16"/>
      <c r="T10" s="16">
        <v>1000</v>
      </c>
      <c r="U10" s="16"/>
      <c r="V10" s="16">
        <v>953.99999999999977</v>
      </c>
      <c r="W10" s="16">
        <v>2046</v>
      </c>
      <c r="X10" s="16"/>
      <c r="Y10" s="16">
        <f t="shared" si="4"/>
        <v>339</v>
      </c>
      <c r="Z10" s="4"/>
      <c r="AA10" s="4">
        <f t="shared" si="6"/>
        <v>0</v>
      </c>
      <c r="AB10" s="24"/>
      <c r="AC10" s="16">
        <f t="shared" si="7"/>
        <v>14.851460176991148</v>
      </c>
      <c r="AD10" s="16">
        <f t="shared" si="5"/>
        <v>14.851460176991148</v>
      </c>
      <c r="AE10" s="16">
        <v>705.87099999999998</v>
      </c>
      <c r="AF10" s="16">
        <v>624.67100000000005</v>
      </c>
      <c r="AG10" s="16">
        <v>265.39999999999998</v>
      </c>
      <c r="AH10" s="16">
        <v>547.20000000000005</v>
      </c>
      <c r="AI10" s="16">
        <v>563.6</v>
      </c>
      <c r="AJ10" s="16">
        <v>673.6</v>
      </c>
      <c r="AK10" s="16">
        <v>380.8</v>
      </c>
      <c r="AL10" s="16">
        <v>376.4</v>
      </c>
      <c r="AM10" s="16" t="s">
        <v>50</v>
      </c>
      <c r="AN10" s="16">
        <f t="shared" si="8"/>
        <v>0</v>
      </c>
      <c r="AO10" s="16"/>
      <c r="AP10" s="16"/>
      <c r="AQ10" s="16"/>
      <c r="AR10" s="16"/>
      <c r="AS10" s="16"/>
      <c r="AT10" s="16"/>
      <c r="AU10" s="16"/>
    </row>
    <row r="11" spans="1:47" x14ac:dyDescent="0.25">
      <c r="A11" s="16" t="s">
        <v>51</v>
      </c>
      <c r="B11" s="16" t="s">
        <v>46</v>
      </c>
      <c r="C11" s="16">
        <v>2728.1709999999998</v>
      </c>
      <c r="D11" s="16">
        <v>204</v>
      </c>
      <c r="E11" s="16">
        <v>2684</v>
      </c>
      <c r="F11" s="16">
        <v>121.17100000000001</v>
      </c>
      <c r="G11" s="6">
        <v>0.45</v>
      </c>
      <c r="H11" s="16">
        <v>45</v>
      </c>
      <c r="I11" s="8" t="s">
        <v>49</v>
      </c>
      <c r="J11" s="16"/>
      <c r="K11" s="16">
        <v>2907</v>
      </c>
      <c r="L11" s="16">
        <f t="shared" si="2"/>
        <v>-223</v>
      </c>
      <c r="M11" s="16">
        <f t="shared" si="3"/>
        <v>2684</v>
      </c>
      <c r="N11" s="16"/>
      <c r="O11" s="16">
        <v>1989.4869999999989</v>
      </c>
      <c r="P11" s="16"/>
      <c r="Q11" s="16"/>
      <c r="R11" s="16"/>
      <c r="S11" s="16"/>
      <c r="T11" s="16">
        <v>3000</v>
      </c>
      <c r="U11" s="16"/>
      <c r="V11" s="16">
        <v>817.98453692400017</v>
      </c>
      <c r="W11" s="16">
        <v>1754.2938810760011</v>
      </c>
      <c r="X11" s="16"/>
      <c r="Y11" s="16">
        <f t="shared" si="4"/>
        <v>536.79999999999995</v>
      </c>
      <c r="Z11" s="4"/>
      <c r="AA11" s="4">
        <v>1000</v>
      </c>
      <c r="AB11" s="24" t="str">
        <f>VLOOKUP(A11,[1]Sheet!$A:$AA,27,0)</f>
        <v>1000 сеть МКД</v>
      </c>
      <c r="AC11" s="16">
        <f t="shared" si="7"/>
        <v>16.17536590536513</v>
      </c>
      <c r="AD11" s="16">
        <f t="shared" si="5"/>
        <v>14.312474698211627</v>
      </c>
      <c r="AE11" s="16">
        <v>707.36580000000004</v>
      </c>
      <c r="AF11" s="16">
        <v>771.7657999999999</v>
      </c>
      <c r="AG11" s="16">
        <v>431.2</v>
      </c>
      <c r="AH11" s="16">
        <v>445.4</v>
      </c>
      <c r="AI11" s="16">
        <v>495.2</v>
      </c>
      <c r="AJ11" s="16">
        <v>660.46</v>
      </c>
      <c r="AK11" s="16">
        <v>717.66000000000008</v>
      </c>
      <c r="AL11" s="16">
        <v>698.8</v>
      </c>
      <c r="AM11" s="16" t="s">
        <v>188</v>
      </c>
      <c r="AN11" s="16">
        <f t="shared" si="8"/>
        <v>450</v>
      </c>
      <c r="AO11" s="16"/>
      <c r="AP11" s="16"/>
      <c r="AQ11" s="16"/>
      <c r="AR11" s="16"/>
      <c r="AS11" s="16"/>
      <c r="AT11" s="16"/>
      <c r="AU11" s="16"/>
    </row>
    <row r="12" spans="1:47" x14ac:dyDescent="0.25">
      <c r="A12" s="16" t="s">
        <v>52</v>
      </c>
      <c r="B12" s="16" t="s">
        <v>46</v>
      </c>
      <c r="C12" s="16">
        <v>120</v>
      </c>
      <c r="D12" s="16">
        <v>5</v>
      </c>
      <c r="E12" s="16">
        <v>118</v>
      </c>
      <c r="F12" s="16">
        <v>4</v>
      </c>
      <c r="G12" s="6">
        <v>0.17</v>
      </c>
      <c r="H12" s="16">
        <v>180</v>
      </c>
      <c r="I12" s="16" t="s">
        <v>42</v>
      </c>
      <c r="J12" s="16"/>
      <c r="K12" s="16">
        <v>130</v>
      </c>
      <c r="L12" s="16">
        <f t="shared" si="2"/>
        <v>-12</v>
      </c>
      <c r="M12" s="16">
        <f t="shared" si="3"/>
        <v>118</v>
      </c>
      <c r="N12" s="16"/>
      <c r="O12" s="16">
        <v>150.6</v>
      </c>
      <c r="P12" s="16"/>
      <c r="Q12" s="16"/>
      <c r="R12" s="16"/>
      <c r="S12" s="16"/>
      <c r="T12" s="16"/>
      <c r="U12" s="16"/>
      <c r="V12" s="16">
        <v>234.9</v>
      </c>
      <c r="W12" s="16"/>
      <c r="X12" s="16"/>
      <c r="Y12" s="16">
        <f t="shared" si="4"/>
        <v>23.6</v>
      </c>
      <c r="Z12" s="4"/>
      <c r="AA12" s="4">
        <f t="shared" si="6"/>
        <v>0</v>
      </c>
      <c r="AB12" s="24"/>
      <c r="AC12" s="16">
        <f t="shared" si="7"/>
        <v>16.504237288135592</v>
      </c>
      <c r="AD12" s="16">
        <f t="shared" si="5"/>
        <v>16.504237288135592</v>
      </c>
      <c r="AE12" s="16">
        <v>35</v>
      </c>
      <c r="AF12" s="16">
        <v>24.6</v>
      </c>
      <c r="AG12" s="16">
        <v>9</v>
      </c>
      <c r="AH12" s="16">
        <v>5.4</v>
      </c>
      <c r="AI12" s="16">
        <v>12.6</v>
      </c>
      <c r="AJ12" s="16">
        <v>17.2</v>
      </c>
      <c r="AK12" s="16">
        <v>21</v>
      </c>
      <c r="AL12" s="16">
        <v>14.4</v>
      </c>
      <c r="AM12" s="16"/>
      <c r="AN12" s="16">
        <f t="shared" si="8"/>
        <v>0</v>
      </c>
      <c r="AO12" s="16"/>
      <c r="AP12" s="16"/>
      <c r="AQ12" s="16"/>
      <c r="AR12" s="16"/>
      <c r="AS12" s="16"/>
      <c r="AT12" s="16"/>
      <c r="AU12" s="16"/>
    </row>
    <row r="13" spans="1:47" x14ac:dyDescent="0.25">
      <c r="A13" s="16" t="s">
        <v>53</v>
      </c>
      <c r="B13" s="16" t="s">
        <v>46</v>
      </c>
      <c r="C13" s="16">
        <v>102</v>
      </c>
      <c r="D13" s="16">
        <v>6</v>
      </c>
      <c r="E13" s="16">
        <v>59</v>
      </c>
      <c r="F13" s="16">
        <v>40</v>
      </c>
      <c r="G13" s="6">
        <v>0.3</v>
      </c>
      <c r="H13" s="16">
        <v>40</v>
      </c>
      <c r="I13" s="16" t="s">
        <v>42</v>
      </c>
      <c r="J13" s="16"/>
      <c r="K13" s="16">
        <v>65</v>
      </c>
      <c r="L13" s="16">
        <f t="shared" si="2"/>
        <v>-6</v>
      </c>
      <c r="M13" s="16">
        <f t="shared" si="3"/>
        <v>59</v>
      </c>
      <c r="N13" s="16"/>
      <c r="O13" s="16">
        <v>0</v>
      </c>
      <c r="P13" s="16"/>
      <c r="Q13" s="16"/>
      <c r="R13" s="16"/>
      <c r="S13" s="16"/>
      <c r="T13" s="16"/>
      <c r="U13" s="16"/>
      <c r="V13" s="16">
        <v>43.600000000000009</v>
      </c>
      <c r="W13" s="16"/>
      <c r="X13" s="16"/>
      <c r="Y13" s="16">
        <f t="shared" si="4"/>
        <v>11.8</v>
      </c>
      <c r="Z13" s="4">
        <f t="shared" si="9"/>
        <v>46.2</v>
      </c>
      <c r="AA13" s="4">
        <f t="shared" si="6"/>
        <v>46.2</v>
      </c>
      <c r="AB13" s="24"/>
      <c r="AC13" s="16">
        <f t="shared" si="7"/>
        <v>11</v>
      </c>
      <c r="AD13" s="16">
        <f t="shared" si="5"/>
        <v>7.0847457627118651</v>
      </c>
      <c r="AE13" s="16">
        <v>8.4</v>
      </c>
      <c r="AF13" s="16">
        <v>3.2</v>
      </c>
      <c r="AG13" s="16">
        <v>1</v>
      </c>
      <c r="AH13" s="16">
        <v>0.8</v>
      </c>
      <c r="AI13" s="16">
        <v>2.6</v>
      </c>
      <c r="AJ13" s="16">
        <v>9.4</v>
      </c>
      <c r="AK13" s="16">
        <v>13.4</v>
      </c>
      <c r="AL13" s="16">
        <v>4.4000000000000004</v>
      </c>
      <c r="AM13" s="16"/>
      <c r="AN13" s="16">
        <f t="shared" si="8"/>
        <v>14</v>
      </c>
      <c r="AO13" s="16"/>
      <c r="AP13" s="16"/>
      <c r="AQ13" s="16"/>
      <c r="AR13" s="16"/>
      <c r="AS13" s="16"/>
      <c r="AT13" s="16"/>
      <c r="AU13" s="16"/>
    </row>
    <row r="14" spans="1:47" x14ac:dyDescent="0.25">
      <c r="A14" s="16" t="s">
        <v>54</v>
      </c>
      <c r="B14" s="16" t="s">
        <v>46</v>
      </c>
      <c r="C14" s="16">
        <v>333</v>
      </c>
      <c r="D14" s="16">
        <v>14</v>
      </c>
      <c r="E14" s="16">
        <v>184</v>
      </c>
      <c r="F14" s="16">
        <v>157</v>
      </c>
      <c r="G14" s="6">
        <v>0.17</v>
      </c>
      <c r="H14" s="16">
        <v>180</v>
      </c>
      <c r="I14" s="16" t="s">
        <v>42</v>
      </c>
      <c r="J14" s="16"/>
      <c r="K14" s="16">
        <v>192</v>
      </c>
      <c r="L14" s="16">
        <f t="shared" si="2"/>
        <v>-8</v>
      </c>
      <c r="M14" s="16">
        <f t="shared" si="3"/>
        <v>184</v>
      </c>
      <c r="N14" s="16"/>
      <c r="O14" s="16">
        <v>384.2</v>
      </c>
      <c r="P14" s="16"/>
      <c r="Q14" s="16"/>
      <c r="R14" s="16"/>
      <c r="S14" s="16"/>
      <c r="T14" s="16"/>
      <c r="U14" s="16"/>
      <c r="V14" s="16">
        <v>78.10000000000008</v>
      </c>
      <c r="W14" s="16"/>
      <c r="X14" s="16"/>
      <c r="Y14" s="16">
        <f t="shared" si="4"/>
        <v>36.799999999999997</v>
      </c>
      <c r="Z14" s="4"/>
      <c r="AA14" s="4">
        <f t="shared" si="6"/>
        <v>0</v>
      </c>
      <c r="AB14" s="24"/>
      <c r="AC14" s="16">
        <f t="shared" si="7"/>
        <v>16.828804347826093</v>
      </c>
      <c r="AD14" s="16">
        <f t="shared" si="5"/>
        <v>16.828804347826093</v>
      </c>
      <c r="AE14" s="16">
        <v>60.2</v>
      </c>
      <c r="AF14" s="16">
        <v>65.2</v>
      </c>
      <c r="AG14" s="16">
        <v>36.6</v>
      </c>
      <c r="AH14" s="16">
        <v>21.4</v>
      </c>
      <c r="AI14" s="16">
        <v>16.2</v>
      </c>
      <c r="AJ14" s="16">
        <v>29.4</v>
      </c>
      <c r="AK14" s="16">
        <v>74.2</v>
      </c>
      <c r="AL14" s="16">
        <v>73.8</v>
      </c>
      <c r="AM14" s="16"/>
      <c r="AN14" s="16">
        <f t="shared" si="8"/>
        <v>0</v>
      </c>
      <c r="AO14" s="16"/>
      <c r="AP14" s="16"/>
      <c r="AQ14" s="16"/>
      <c r="AR14" s="16"/>
      <c r="AS14" s="16"/>
      <c r="AT14" s="16"/>
      <c r="AU14" s="16"/>
    </row>
    <row r="15" spans="1:47" x14ac:dyDescent="0.25">
      <c r="A15" s="13" t="s">
        <v>55</v>
      </c>
      <c r="B15" s="10" t="s">
        <v>46</v>
      </c>
      <c r="C15" s="10">
        <v>264</v>
      </c>
      <c r="D15" s="10">
        <v>120</v>
      </c>
      <c r="E15" s="10">
        <v>22</v>
      </c>
      <c r="F15" s="10">
        <v>362</v>
      </c>
      <c r="G15" s="11">
        <v>0</v>
      </c>
      <c r="H15" s="10"/>
      <c r="I15" s="10" t="s">
        <v>56</v>
      </c>
      <c r="J15" s="10"/>
      <c r="K15" s="10">
        <v>30</v>
      </c>
      <c r="L15" s="10">
        <f t="shared" si="2"/>
        <v>-8</v>
      </c>
      <c r="M15" s="10">
        <f t="shared" si="3"/>
        <v>22</v>
      </c>
      <c r="N15" s="10"/>
      <c r="O15" s="10">
        <v>0</v>
      </c>
      <c r="P15" s="10"/>
      <c r="Q15" s="10"/>
      <c r="R15" s="10"/>
      <c r="S15" s="10"/>
      <c r="T15" s="10"/>
      <c r="U15" s="10"/>
      <c r="V15" s="10">
        <v>0</v>
      </c>
      <c r="W15" s="10"/>
      <c r="X15" s="10"/>
      <c r="Y15" s="10">
        <f t="shared" si="4"/>
        <v>4.4000000000000004</v>
      </c>
      <c r="Z15" s="12"/>
      <c r="AA15" s="4">
        <f t="shared" si="6"/>
        <v>0</v>
      </c>
      <c r="AB15" s="24"/>
      <c r="AC15" s="16">
        <f t="shared" si="7"/>
        <v>82.272727272727266</v>
      </c>
      <c r="AD15" s="10">
        <f t="shared" si="5"/>
        <v>82.272727272727266</v>
      </c>
      <c r="AE15" s="10">
        <v>4.2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5" t="s">
        <v>57</v>
      </c>
      <c r="AN15" s="16">
        <f t="shared" si="8"/>
        <v>0</v>
      </c>
      <c r="AO15" s="16"/>
      <c r="AP15" s="16"/>
      <c r="AQ15" s="16"/>
      <c r="AR15" s="16"/>
      <c r="AS15" s="16"/>
      <c r="AT15" s="16"/>
      <c r="AU15" s="16"/>
    </row>
    <row r="16" spans="1:47" x14ac:dyDescent="0.25">
      <c r="A16" s="16" t="s">
        <v>58</v>
      </c>
      <c r="B16" s="16" t="s">
        <v>41</v>
      </c>
      <c r="C16" s="16">
        <v>3560.2449999999999</v>
      </c>
      <c r="D16" s="16">
        <v>134.06899999999999</v>
      </c>
      <c r="E16" s="16">
        <v>3465.5790000000002</v>
      </c>
      <c r="F16" s="16">
        <v>161.76</v>
      </c>
      <c r="G16" s="6">
        <v>1</v>
      </c>
      <c r="H16" s="16">
        <v>70</v>
      </c>
      <c r="I16" s="9" t="s">
        <v>42</v>
      </c>
      <c r="J16" s="16"/>
      <c r="K16" s="16">
        <v>3383.45</v>
      </c>
      <c r="L16" s="16">
        <f t="shared" si="2"/>
        <v>82.12900000000036</v>
      </c>
      <c r="M16" s="16">
        <f t="shared" si="3"/>
        <v>3465.5790000000002</v>
      </c>
      <c r="N16" s="16"/>
      <c r="O16" s="16">
        <v>1737</v>
      </c>
      <c r="P16" s="16"/>
      <c r="Q16" s="16">
        <v>800</v>
      </c>
      <c r="R16" s="16"/>
      <c r="S16" s="16"/>
      <c r="T16" s="16">
        <v>2000</v>
      </c>
      <c r="U16" s="16"/>
      <c r="V16" s="16">
        <v>965.51377321199971</v>
      </c>
      <c r="W16" s="16">
        <v>2070.6930607879999</v>
      </c>
      <c r="X16" s="16"/>
      <c r="Y16" s="16">
        <f t="shared" si="4"/>
        <v>693.11580000000004</v>
      </c>
      <c r="Z16" s="4"/>
      <c r="AA16" s="31">
        <f t="shared" ref="AA16:AA17" si="10">Z16+$AA$1*Y16</f>
        <v>1316.92002</v>
      </c>
      <c r="AB16" s="24"/>
      <c r="AC16" s="16">
        <f t="shared" si="7"/>
        <v>13.059703521402916</v>
      </c>
      <c r="AD16" s="16">
        <f t="shared" si="5"/>
        <v>11.159703521402918</v>
      </c>
      <c r="AE16" s="16">
        <v>746.79539999999997</v>
      </c>
      <c r="AF16" s="16">
        <v>794.77139999999997</v>
      </c>
      <c r="AG16" s="16">
        <v>554.79759999999999</v>
      </c>
      <c r="AH16" s="16">
        <v>546.93779999999992</v>
      </c>
      <c r="AI16" s="16">
        <v>609.09219999999993</v>
      </c>
      <c r="AJ16" s="16">
        <v>717.98599999999999</v>
      </c>
      <c r="AK16" s="16">
        <v>729.06079999999997</v>
      </c>
      <c r="AL16" s="16">
        <v>733.47640000000001</v>
      </c>
      <c r="AM16" s="16"/>
      <c r="AN16" s="16">
        <f t="shared" si="8"/>
        <v>1317</v>
      </c>
      <c r="AO16" s="16"/>
      <c r="AP16" s="16"/>
      <c r="AQ16" s="16"/>
      <c r="AR16" s="16"/>
      <c r="AS16" s="16"/>
      <c r="AT16" s="16"/>
      <c r="AU16" s="16"/>
    </row>
    <row r="17" spans="1:47" x14ac:dyDescent="0.25">
      <c r="A17" s="16" t="s">
        <v>59</v>
      </c>
      <c r="B17" s="16" t="s">
        <v>41</v>
      </c>
      <c r="C17" s="16">
        <v>2384.7370000000001</v>
      </c>
      <c r="D17" s="16">
        <v>3538.567</v>
      </c>
      <c r="E17" s="16">
        <v>2650.616</v>
      </c>
      <c r="F17" s="16">
        <v>2909.6909999999998</v>
      </c>
      <c r="G17" s="6">
        <v>1</v>
      </c>
      <c r="H17" s="16">
        <v>50</v>
      </c>
      <c r="I17" s="9" t="s">
        <v>42</v>
      </c>
      <c r="J17" s="16"/>
      <c r="K17" s="16">
        <v>2744.8069999999998</v>
      </c>
      <c r="L17" s="16">
        <f t="shared" si="2"/>
        <v>-94.190999999999804</v>
      </c>
      <c r="M17" s="16">
        <f t="shared" si="3"/>
        <v>2650.616</v>
      </c>
      <c r="N17" s="16"/>
      <c r="O17" s="16">
        <v>0</v>
      </c>
      <c r="P17" s="16">
        <v>1400</v>
      </c>
      <c r="Q17" s="16"/>
      <c r="R17" s="16"/>
      <c r="S17" s="16"/>
      <c r="T17" s="16"/>
      <c r="U17" s="16"/>
      <c r="V17" s="16">
        <v>366.58436753999979</v>
      </c>
      <c r="W17" s="16">
        <v>786.19666245999986</v>
      </c>
      <c r="X17" s="16"/>
      <c r="Y17" s="16">
        <f t="shared" si="4"/>
        <v>530.1232</v>
      </c>
      <c r="Z17" s="4">
        <f t="shared" ref="Z17" si="11">11*Y17-X17-W17-V17-U17-T17-S17-R17-Q17-P17-O17-F17</f>
        <v>368.88317000000006</v>
      </c>
      <c r="AA17" s="31">
        <f t="shared" si="10"/>
        <v>1376.11725</v>
      </c>
      <c r="AB17" s="24"/>
      <c r="AC17" s="16">
        <f t="shared" si="7"/>
        <v>12.9</v>
      </c>
      <c r="AD17" s="16">
        <f t="shared" si="5"/>
        <v>10.304155769828599</v>
      </c>
      <c r="AE17" s="16">
        <v>537.54300000000001</v>
      </c>
      <c r="AF17" s="16">
        <v>623.73239999999998</v>
      </c>
      <c r="AG17" s="16">
        <v>623.553</v>
      </c>
      <c r="AH17" s="16">
        <v>655.59559999999999</v>
      </c>
      <c r="AI17" s="16">
        <v>514.53160000000003</v>
      </c>
      <c r="AJ17" s="16">
        <v>650.99779999999998</v>
      </c>
      <c r="AK17" s="16">
        <v>665.4226000000001</v>
      </c>
      <c r="AL17" s="16">
        <v>618.9745999999999</v>
      </c>
      <c r="AM17" s="16"/>
      <c r="AN17" s="16">
        <f t="shared" si="8"/>
        <v>1376</v>
      </c>
      <c r="AO17" s="16"/>
      <c r="AP17" s="16"/>
      <c r="AQ17" s="16"/>
      <c r="AR17" s="16"/>
      <c r="AS17" s="16"/>
      <c r="AT17" s="16"/>
      <c r="AU17" s="16"/>
    </row>
    <row r="18" spans="1:47" x14ac:dyDescent="0.25">
      <c r="A18" s="16" t="s">
        <v>60</v>
      </c>
      <c r="B18" s="16" t="s">
        <v>41</v>
      </c>
      <c r="C18" s="16">
        <v>283.87799999999999</v>
      </c>
      <c r="D18" s="16">
        <v>151.453</v>
      </c>
      <c r="E18" s="16">
        <v>139.58500000000001</v>
      </c>
      <c r="F18" s="16">
        <v>288.24</v>
      </c>
      <c r="G18" s="6">
        <v>1</v>
      </c>
      <c r="H18" s="16">
        <v>60</v>
      </c>
      <c r="I18" s="16" t="s">
        <v>42</v>
      </c>
      <c r="J18" s="16"/>
      <c r="K18" s="16">
        <v>328.75</v>
      </c>
      <c r="L18" s="16">
        <f t="shared" si="2"/>
        <v>-189.16499999999999</v>
      </c>
      <c r="M18" s="16">
        <f t="shared" si="3"/>
        <v>139.58500000000001</v>
      </c>
      <c r="N18" s="16"/>
      <c r="O18" s="16">
        <v>0</v>
      </c>
      <c r="P18" s="16"/>
      <c r="Q18" s="16"/>
      <c r="R18" s="16"/>
      <c r="S18" s="16"/>
      <c r="T18" s="16"/>
      <c r="U18" s="16"/>
      <c r="V18" s="16">
        <v>0</v>
      </c>
      <c r="W18" s="16"/>
      <c r="X18" s="16"/>
      <c r="Y18" s="16">
        <f t="shared" si="4"/>
        <v>27.917000000000002</v>
      </c>
      <c r="Z18" s="23">
        <v>150</v>
      </c>
      <c r="AA18" s="4">
        <f t="shared" si="6"/>
        <v>150</v>
      </c>
      <c r="AB18" s="24"/>
      <c r="AC18" s="16">
        <f t="shared" si="7"/>
        <v>15.697961815381309</v>
      </c>
      <c r="AD18" s="16">
        <f t="shared" si="5"/>
        <v>10.324891643084859</v>
      </c>
      <c r="AE18" s="16">
        <v>18.902000000000001</v>
      </c>
      <c r="AF18" s="16">
        <v>36.507800000000003</v>
      </c>
      <c r="AG18" s="16">
        <v>45.231999999999992</v>
      </c>
      <c r="AH18" s="16">
        <v>39.912599999999998</v>
      </c>
      <c r="AI18" s="16">
        <v>46.755800000000001</v>
      </c>
      <c r="AJ18" s="16">
        <v>52.686199999999999</v>
      </c>
      <c r="AK18" s="16">
        <v>53.1126</v>
      </c>
      <c r="AL18" s="16">
        <v>49.364400000000003</v>
      </c>
      <c r="AM18" s="16"/>
      <c r="AN18" s="16">
        <f t="shared" si="8"/>
        <v>150</v>
      </c>
      <c r="AO18" s="16"/>
      <c r="AP18" s="16"/>
      <c r="AQ18" s="16"/>
      <c r="AR18" s="16"/>
      <c r="AS18" s="16"/>
      <c r="AT18" s="16"/>
      <c r="AU18" s="16"/>
    </row>
    <row r="19" spans="1:47" x14ac:dyDescent="0.25">
      <c r="A19" s="10" t="s">
        <v>61</v>
      </c>
      <c r="B19" s="10" t="s">
        <v>41</v>
      </c>
      <c r="C19" s="10">
        <v>-4.9740000000000002</v>
      </c>
      <c r="D19" s="10"/>
      <c r="E19" s="10"/>
      <c r="F19" s="19">
        <v>-4.9740000000000002</v>
      </c>
      <c r="G19" s="11">
        <v>0</v>
      </c>
      <c r="H19" s="10"/>
      <c r="I19" s="10" t="s">
        <v>56</v>
      </c>
      <c r="J19" s="10" t="s">
        <v>62</v>
      </c>
      <c r="K19" s="10"/>
      <c r="L19" s="10">
        <f t="shared" si="2"/>
        <v>0</v>
      </c>
      <c r="M19" s="10">
        <f t="shared" si="3"/>
        <v>0</v>
      </c>
      <c r="N19" s="10"/>
      <c r="O19" s="10">
        <v>0</v>
      </c>
      <c r="P19" s="10"/>
      <c r="Q19" s="10"/>
      <c r="R19" s="10"/>
      <c r="S19" s="10"/>
      <c r="T19" s="10"/>
      <c r="U19" s="10"/>
      <c r="V19" s="10">
        <v>0</v>
      </c>
      <c r="W19" s="10"/>
      <c r="X19" s="10"/>
      <c r="Y19" s="10">
        <f t="shared" si="4"/>
        <v>0</v>
      </c>
      <c r="Z19" s="12"/>
      <c r="AA19" s="4">
        <f t="shared" si="6"/>
        <v>0</v>
      </c>
      <c r="AB19" s="24"/>
      <c r="AC19" s="16" t="e">
        <f t="shared" si="7"/>
        <v>#DIV/0!</v>
      </c>
      <c r="AD19" s="10" t="e">
        <f t="shared" si="5"/>
        <v>#DIV/0!</v>
      </c>
      <c r="AE19" s="10">
        <v>0.49480000000000002</v>
      </c>
      <c r="AF19" s="10">
        <v>0.49480000000000002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/>
      <c r="AN19" s="16">
        <f t="shared" si="8"/>
        <v>0</v>
      </c>
      <c r="AO19" s="16"/>
      <c r="AP19" s="16"/>
      <c r="AQ19" s="16"/>
      <c r="AR19" s="16"/>
      <c r="AS19" s="16"/>
      <c r="AT19" s="16"/>
      <c r="AU19" s="16"/>
    </row>
    <row r="20" spans="1:47" x14ac:dyDescent="0.25">
      <c r="A20" s="10" t="s">
        <v>63</v>
      </c>
      <c r="B20" s="10" t="s">
        <v>41</v>
      </c>
      <c r="C20" s="10"/>
      <c r="D20" s="10"/>
      <c r="E20" s="10"/>
      <c r="F20" s="10"/>
      <c r="G20" s="11">
        <v>0</v>
      </c>
      <c r="H20" s="10"/>
      <c r="I20" s="10" t="s">
        <v>42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>
        <v>0</v>
      </c>
      <c r="P20" s="10"/>
      <c r="Q20" s="10"/>
      <c r="R20" s="10"/>
      <c r="S20" s="10"/>
      <c r="T20" s="10"/>
      <c r="U20" s="10"/>
      <c r="V20" s="10">
        <v>0</v>
      </c>
      <c r="W20" s="10"/>
      <c r="X20" s="10"/>
      <c r="Y20" s="10">
        <f t="shared" si="4"/>
        <v>0</v>
      </c>
      <c r="Z20" s="12"/>
      <c r="AA20" s="4">
        <f t="shared" si="6"/>
        <v>0</v>
      </c>
      <c r="AB20" s="24"/>
      <c r="AC20" s="16" t="e">
        <f t="shared" si="7"/>
        <v>#DIV/0!</v>
      </c>
      <c r="AD20" s="10" t="e">
        <f t="shared" si="5"/>
        <v>#DIV/0!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 t="s">
        <v>64</v>
      </c>
      <c r="AN20" s="16">
        <f t="shared" si="8"/>
        <v>0</v>
      </c>
      <c r="AO20" s="16"/>
      <c r="AP20" s="16"/>
      <c r="AQ20" s="16"/>
      <c r="AR20" s="16"/>
      <c r="AS20" s="16"/>
      <c r="AT20" s="16"/>
      <c r="AU20" s="16"/>
    </row>
    <row r="21" spans="1:47" x14ac:dyDescent="0.25">
      <c r="A21" s="16" t="s">
        <v>65</v>
      </c>
      <c r="B21" s="16" t="s">
        <v>41</v>
      </c>
      <c r="C21" s="16">
        <v>17.986000000000001</v>
      </c>
      <c r="D21" s="16"/>
      <c r="E21" s="16">
        <v>2.145</v>
      </c>
      <c r="F21" s="16">
        <v>15.840999999999999</v>
      </c>
      <c r="G21" s="6">
        <v>1</v>
      </c>
      <c r="H21" s="16">
        <v>180</v>
      </c>
      <c r="I21" s="16" t="s">
        <v>42</v>
      </c>
      <c r="J21" s="16"/>
      <c r="K21" s="16">
        <v>2.1</v>
      </c>
      <c r="L21" s="16">
        <f t="shared" si="2"/>
        <v>4.4999999999999929E-2</v>
      </c>
      <c r="M21" s="16">
        <f t="shared" si="3"/>
        <v>2.145</v>
      </c>
      <c r="N21" s="16"/>
      <c r="O21" s="16">
        <v>0</v>
      </c>
      <c r="P21" s="16"/>
      <c r="Q21" s="16"/>
      <c r="R21" s="16"/>
      <c r="S21" s="16"/>
      <c r="T21" s="16"/>
      <c r="U21" s="16"/>
      <c r="V21" s="16">
        <v>0</v>
      </c>
      <c r="W21" s="16"/>
      <c r="X21" s="16"/>
      <c r="Y21" s="16">
        <f t="shared" si="4"/>
        <v>0.42899999999999999</v>
      </c>
      <c r="Z21" s="4"/>
      <c r="AA21" s="4">
        <f t="shared" si="6"/>
        <v>0</v>
      </c>
      <c r="AB21" s="24"/>
      <c r="AC21" s="16">
        <f t="shared" si="7"/>
        <v>36.925407925407924</v>
      </c>
      <c r="AD21" s="16">
        <f t="shared" si="5"/>
        <v>36.925407925407924</v>
      </c>
      <c r="AE21" s="16">
        <v>1.0448</v>
      </c>
      <c r="AF21" s="16">
        <v>1.1863999999999999</v>
      </c>
      <c r="AG21" s="16">
        <v>0.42980000000000002</v>
      </c>
      <c r="AH21" s="16">
        <v>0.57140000000000002</v>
      </c>
      <c r="AI21" s="16">
        <v>0.63460000000000005</v>
      </c>
      <c r="AJ21" s="16">
        <v>1.0533999999999999</v>
      </c>
      <c r="AK21" s="16">
        <v>1.054</v>
      </c>
      <c r="AL21" s="16">
        <v>0.2838</v>
      </c>
      <c r="AM21" s="20" t="s">
        <v>92</v>
      </c>
      <c r="AN21" s="16">
        <f t="shared" si="8"/>
        <v>0</v>
      </c>
      <c r="AO21" s="16"/>
      <c r="AP21" s="16"/>
      <c r="AQ21" s="16"/>
      <c r="AR21" s="16"/>
      <c r="AS21" s="16"/>
      <c r="AT21" s="16"/>
      <c r="AU21" s="16"/>
    </row>
    <row r="22" spans="1:47" x14ac:dyDescent="0.25">
      <c r="A22" s="16" t="s">
        <v>66</v>
      </c>
      <c r="B22" s="16" t="s">
        <v>41</v>
      </c>
      <c r="C22" s="16">
        <v>2773.7280000000001</v>
      </c>
      <c r="D22" s="16">
        <v>1558.2470000000001</v>
      </c>
      <c r="E22" s="16">
        <v>4296.8670000000002</v>
      </c>
      <c r="F22" s="16">
        <v>-63.572000000000003</v>
      </c>
      <c r="G22" s="6">
        <v>1</v>
      </c>
      <c r="H22" s="16">
        <v>60</v>
      </c>
      <c r="I22" s="9" t="s">
        <v>42</v>
      </c>
      <c r="J22" s="16"/>
      <c r="K22" s="16">
        <v>5225.1000000000004</v>
      </c>
      <c r="L22" s="16">
        <f t="shared" si="2"/>
        <v>-928.23300000000017</v>
      </c>
      <c r="M22" s="16">
        <f t="shared" si="3"/>
        <v>4296.8670000000002</v>
      </c>
      <c r="N22" s="16"/>
      <c r="O22" s="16">
        <v>1901.5915999999991</v>
      </c>
      <c r="P22" s="16"/>
      <c r="Q22" s="16"/>
      <c r="R22" s="16"/>
      <c r="S22" s="16"/>
      <c r="T22" s="16">
        <v>3500</v>
      </c>
      <c r="U22" s="16"/>
      <c r="V22" s="16">
        <v>836.20269586800055</v>
      </c>
      <c r="W22" s="16">
        <v>1793.365530132002</v>
      </c>
      <c r="X22" s="16"/>
      <c r="Y22" s="16">
        <f t="shared" si="4"/>
        <v>859.37340000000006</v>
      </c>
      <c r="Z22" s="4">
        <f t="shared" ref="Z22" si="12">11*Y22-X22-W22-V22-U22-T22-S22-R22-Q22-P22-O22-F22</f>
        <v>1485.5195739999986</v>
      </c>
      <c r="AA22" s="31">
        <f>Z22+$AA$1*Y22</f>
        <v>3118.3290339999985</v>
      </c>
      <c r="AB22" s="24"/>
      <c r="AC22" s="16">
        <f t="shared" si="7"/>
        <v>12.9</v>
      </c>
      <c r="AD22" s="16">
        <f t="shared" si="5"/>
        <v>9.2713921864465458</v>
      </c>
      <c r="AE22" s="16">
        <v>796.55060000000003</v>
      </c>
      <c r="AF22" s="16">
        <v>870.48359999999991</v>
      </c>
      <c r="AG22" s="16">
        <v>625.42460000000005</v>
      </c>
      <c r="AH22" s="16">
        <v>675.56319999999994</v>
      </c>
      <c r="AI22" s="16">
        <v>724.81880000000001</v>
      </c>
      <c r="AJ22" s="16">
        <v>877.02520000000004</v>
      </c>
      <c r="AK22" s="16">
        <v>881.83860000000004</v>
      </c>
      <c r="AL22" s="16">
        <v>955.75059999999996</v>
      </c>
      <c r="AM22" s="16"/>
      <c r="AN22" s="16">
        <f t="shared" si="8"/>
        <v>3118</v>
      </c>
      <c r="AO22" s="16"/>
      <c r="AP22" s="16"/>
      <c r="AQ22" s="16"/>
      <c r="AR22" s="16"/>
      <c r="AS22" s="16"/>
      <c r="AT22" s="16"/>
      <c r="AU22" s="16"/>
    </row>
    <row r="23" spans="1:47" x14ac:dyDescent="0.25">
      <c r="A23" s="10" t="s">
        <v>67</v>
      </c>
      <c r="B23" s="10" t="s">
        <v>41</v>
      </c>
      <c r="C23" s="10">
        <v>-7.4930000000000003</v>
      </c>
      <c r="D23" s="10"/>
      <c r="E23" s="10"/>
      <c r="F23" s="19">
        <v>-7.4930000000000003</v>
      </c>
      <c r="G23" s="11">
        <v>0</v>
      </c>
      <c r="H23" s="10"/>
      <c r="I23" s="10" t="s">
        <v>56</v>
      </c>
      <c r="J23" s="10" t="s">
        <v>68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/>
      <c r="R23" s="10"/>
      <c r="S23" s="10"/>
      <c r="T23" s="10"/>
      <c r="U23" s="10"/>
      <c r="V23" s="10">
        <v>0</v>
      </c>
      <c r="W23" s="10"/>
      <c r="X23" s="10"/>
      <c r="Y23" s="10">
        <f t="shared" si="4"/>
        <v>0</v>
      </c>
      <c r="Z23" s="12"/>
      <c r="AA23" s="4">
        <f t="shared" si="6"/>
        <v>0</v>
      </c>
      <c r="AB23" s="24"/>
      <c r="AC23" s="16" t="e">
        <f t="shared" si="7"/>
        <v>#DIV/0!</v>
      </c>
      <c r="AD23" s="10" t="e">
        <f t="shared" si="5"/>
        <v>#DIV/0!</v>
      </c>
      <c r="AE23" s="10">
        <v>1.4985999999999999</v>
      </c>
      <c r="AF23" s="10">
        <v>1.4985999999999999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/>
      <c r="AN23" s="16">
        <f t="shared" si="8"/>
        <v>0</v>
      </c>
      <c r="AO23" s="16"/>
      <c r="AP23" s="16"/>
      <c r="AQ23" s="16"/>
      <c r="AR23" s="16"/>
      <c r="AS23" s="16"/>
      <c r="AT23" s="16"/>
      <c r="AU23" s="16"/>
    </row>
    <row r="24" spans="1:47" x14ac:dyDescent="0.25">
      <c r="A24" s="16" t="s">
        <v>69</v>
      </c>
      <c r="B24" s="16" t="s">
        <v>41</v>
      </c>
      <c r="C24" s="16">
        <v>353.27</v>
      </c>
      <c r="D24" s="16">
        <v>183.124</v>
      </c>
      <c r="E24" s="16">
        <v>198.83600000000001</v>
      </c>
      <c r="F24" s="16">
        <v>279.899</v>
      </c>
      <c r="G24" s="6">
        <v>1</v>
      </c>
      <c r="H24" s="16">
        <v>70</v>
      </c>
      <c r="I24" s="16" t="s">
        <v>42</v>
      </c>
      <c r="J24" s="16"/>
      <c r="K24" s="16">
        <v>491.21</v>
      </c>
      <c r="L24" s="16">
        <f t="shared" si="2"/>
        <v>-292.37399999999997</v>
      </c>
      <c r="M24" s="16">
        <f t="shared" si="3"/>
        <v>146.27600000000001</v>
      </c>
      <c r="N24" s="16">
        <v>52.56</v>
      </c>
      <c r="O24" s="16">
        <v>343.26725999999991</v>
      </c>
      <c r="P24" s="16"/>
      <c r="Q24" s="16"/>
      <c r="R24" s="16"/>
      <c r="S24" s="16"/>
      <c r="T24" s="16">
        <v>300</v>
      </c>
      <c r="U24" s="16"/>
      <c r="V24" s="16">
        <v>50.635340000000269</v>
      </c>
      <c r="W24" s="16"/>
      <c r="X24" s="16"/>
      <c r="Y24" s="16">
        <f t="shared" si="4"/>
        <v>29.255200000000002</v>
      </c>
      <c r="Z24" s="4"/>
      <c r="AA24" s="4">
        <f t="shared" si="6"/>
        <v>0</v>
      </c>
      <c r="AB24" s="24"/>
      <c r="AC24" s="16">
        <f t="shared" si="7"/>
        <v>33.286444802975204</v>
      </c>
      <c r="AD24" s="16">
        <f t="shared" si="5"/>
        <v>33.286444802975204</v>
      </c>
      <c r="AE24" s="16">
        <v>86.518400000000014</v>
      </c>
      <c r="AF24" s="16">
        <v>112.26900000000001</v>
      </c>
      <c r="AG24" s="16">
        <v>80.832799999999992</v>
      </c>
      <c r="AH24" s="16">
        <v>82.780600000000007</v>
      </c>
      <c r="AI24" s="16">
        <v>84.445999999999998</v>
      </c>
      <c r="AJ24" s="16">
        <v>87.766999999999996</v>
      </c>
      <c r="AK24" s="16">
        <v>81.984399999999994</v>
      </c>
      <c r="AL24" s="16">
        <v>105.79219999999999</v>
      </c>
      <c r="AM24" s="20" t="s">
        <v>92</v>
      </c>
      <c r="AN24" s="16">
        <f t="shared" si="8"/>
        <v>0</v>
      </c>
      <c r="AO24" s="16"/>
      <c r="AP24" s="16"/>
      <c r="AQ24" s="16"/>
      <c r="AR24" s="16"/>
      <c r="AS24" s="16"/>
      <c r="AT24" s="16"/>
      <c r="AU24" s="16"/>
    </row>
    <row r="25" spans="1:47" x14ac:dyDescent="0.25">
      <c r="A25" s="16" t="s">
        <v>70</v>
      </c>
      <c r="B25" s="16" t="s">
        <v>41</v>
      </c>
      <c r="C25" s="16">
        <v>1292.693</v>
      </c>
      <c r="D25" s="16">
        <v>187.327</v>
      </c>
      <c r="E25" s="16">
        <v>1241.856</v>
      </c>
      <c r="F25" s="16">
        <v>67.034999999999997</v>
      </c>
      <c r="G25" s="6">
        <v>1</v>
      </c>
      <c r="H25" s="16">
        <v>70</v>
      </c>
      <c r="I25" s="9" t="s">
        <v>42</v>
      </c>
      <c r="J25" s="16"/>
      <c r="K25" s="16">
        <v>1380.37</v>
      </c>
      <c r="L25" s="16">
        <f t="shared" si="2"/>
        <v>-138.5139999999999</v>
      </c>
      <c r="M25" s="16">
        <f t="shared" si="3"/>
        <v>1241.856</v>
      </c>
      <c r="N25" s="16"/>
      <c r="O25" s="16">
        <v>723.06279999999992</v>
      </c>
      <c r="P25" s="16"/>
      <c r="Q25" s="16"/>
      <c r="R25" s="16"/>
      <c r="S25" s="16"/>
      <c r="T25" s="16">
        <v>800</v>
      </c>
      <c r="U25" s="16"/>
      <c r="V25" s="16">
        <v>328.6417885919999</v>
      </c>
      <c r="W25" s="16">
        <v>704.82295540799998</v>
      </c>
      <c r="X25" s="16"/>
      <c r="Y25" s="16">
        <f t="shared" si="4"/>
        <v>248.37119999999999</v>
      </c>
      <c r="Z25" s="4">
        <f t="shared" ref="Z25" si="13">11*Y25-X25-W25-V25-U25-T25-S25-R25-Q25-P25-O25-F25</f>
        <v>108.52065600000023</v>
      </c>
      <c r="AA25" s="31">
        <f>Z25+$AA$1*Y25</f>
        <v>580.42593600000021</v>
      </c>
      <c r="AB25" s="24"/>
      <c r="AC25" s="16">
        <f t="shared" si="7"/>
        <v>12.9</v>
      </c>
      <c r="AD25" s="16">
        <f t="shared" si="5"/>
        <v>10.563070694186766</v>
      </c>
      <c r="AE25" s="16">
        <v>254.24639999999999</v>
      </c>
      <c r="AF25" s="16">
        <v>255.9778</v>
      </c>
      <c r="AG25" s="16">
        <v>183.00020000000001</v>
      </c>
      <c r="AH25" s="16">
        <v>190.50559999999999</v>
      </c>
      <c r="AI25" s="16">
        <v>210.42779999999999</v>
      </c>
      <c r="AJ25" s="16">
        <v>235.95099999999999</v>
      </c>
      <c r="AK25" s="16">
        <v>225.54</v>
      </c>
      <c r="AL25" s="16">
        <v>220.38339999999999</v>
      </c>
      <c r="AM25" s="16"/>
      <c r="AN25" s="16">
        <f t="shared" si="8"/>
        <v>580</v>
      </c>
      <c r="AO25" s="16"/>
      <c r="AP25" s="16"/>
      <c r="AQ25" s="16"/>
      <c r="AR25" s="16"/>
      <c r="AS25" s="16"/>
      <c r="AT25" s="16"/>
      <c r="AU25" s="16"/>
    </row>
    <row r="26" spans="1:47" x14ac:dyDescent="0.25">
      <c r="A26" s="10" t="s">
        <v>71</v>
      </c>
      <c r="B26" s="10" t="s">
        <v>41</v>
      </c>
      <c r="C26" s="10"/>
      <c r="D26" s="10"/>
      <c r="E26" s="10"/>
      <c r="F26" s="10"/>
      <c r="G26" s="11">
        <v>0</v>
      </c>
      <c r="H26" s="10"/>
      <c r="I26" s="10" t="s">
        <v>42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/>
      <c r="R26" s="10"/>
      <c r="S26" s="10"/>
      <c r="T26" s="10"/>
      <c r="U26" s="10"/>
      <c r="V26" s="10">
        <v>0</v>
      </c>
      <c r="W26" s="10"/>
      <c r="X26" s="10"/>
      <c r="Y26" s="10">
        <f t="shared" si="4"/>
        <v>0</v>
      </c>
      <c r="Z26" s="12"/>
      <c r="AA26" s="4">
        <f t="shared" si="6"/>
        <v>0</v>
      </c>
      <c r="AB26" s="24"/>
      <c r="AC26" s="16" t="e">
        <f t="shared" si="7"/>
        <v>#DIV/0!</v>
      </c>
      <c r="AD26" s="10" t="e">
        <f t="shared" si="5"/>
        <v>#DIV/0!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 t="s">
        <v>64</v>
      </c>
      <c r="AN26" s="16">
        <f t="shared" si="8"/>
        <v>0</v>
      </c>
      <c r="AO26" s="16"/>
      <c r="AP26" s="16"/>
      <c r="AQ26" s="16"/>
      <c r="AR26" s="16"/>
      <c r="AS26" s="16"/>
      <c r="AT26" s="16"/>
      <c r="AU26" s="16"/>
    </row>
    <row r="27" spans="1:47" x14ac:dyDescent="0.25">
      <c r="A27" s="16" t="s">
        <v>72</v>
      </c>
      <c r="B27" s="16" t="s">
        <v>41</v>
      </c>
      <c r="C27" s="16">
        <v>2163.6039999999998</v>
      </c>
      <c r="D27" s="16">
        <v>197.53200000000001</v>
      </c>
      <c r="E27" s="16">
        <v>2268.3980000000001</v>
      </c>
      <c r="F27" s="16">
        <v>5.24</v>
      </c>
      <c r="G27" s="6">
        <v>1</v>
      </c>
      <c r="H27" s="16">
        <v>70</v>
      </c>
      <c r="I27" s="9" t="s">
        <v>42</v>
      </c>
      <c r="J27" s="16"/>
      <c r="K27" s="16">
        <v>2671.01</v>
      </c>
      <c r="L27" s="16">
        <f t="shared" si="2"/>
        <v>-402.61200000000008</v>
      </c>
      <c r="M27" s="16">
        <f t="shared" si="3"/>
        <v>2268.3980000000001</v>
      </c>
      <c r="N27" s="16"/>
      <c r="O27" s="16">
        <v>784.08680000000049</v>
      </c>
      <c r="P27" s="16"/>
      <c r="Q27" s="16"/>
      <c r="R27" s="16"/>
      <c r="S27" s="16"/>
      <c r="T27" s="16">
        <v>2000</v>
      </c>
      <c r="U27" s="16"/>
      <c r="V27" s="16">
        <v>417.79198449599983</v>
      </c>
      <c r="W27" s="16">
        <v>896.01928750399986</v>
      </c>
      <c r="X27" s="16"/>
      <c r="Y27" s="16">
        <f t="shared" si="4"/>
        <v>453.67960000000005</v>
      </c>
      <c r="Z27" s="4">
        <f t="shared" ref="Z27" si="14">11*Y27-X27-W27-V27-U27-T27-S27-R27-Q27-P27-O27-F27</f>
        <v>887.3375280000007</v>
      </c>
      <c r="AA27" s="31">
        <f>Z27+$AA$1*Y27</f>
        <v>1749.3287680000008</v>
      </c>
      <c r="AB27" s="24"/>
      <c r="AC27" s="16">
        <f t="shared" si="7"/>
        <v>12.9</v>
      </c>
      <c r="AD27" s="16">
        <f t="shared" si="5"/>
        <v>9.0441317440766564</v>
      </c>
      <c r="AE27" s="16">
        <v>417.40320000000003</v>
      </c>
      <c r="AF27" s="16">
        <v>457.06279999999998</v>
      </c>
      <c r="AG27" s="16">
        <v>304.71480000000003</v>
      </c>
      <c r="AH27" s="16">
        <v>332.03960000000001</v>
      </c>
      <c r="AI27" s="16">
        <v>377.9864</v>
      </c>
      <c r="AJ27" s="16">
        <v>429.1764</v>
      </c>
      <c r="AK27" s="16">
        <v>423.87560000000002</v>
      </c>
      <c r="AL27" s="16">
        <v>418.34640000000002</v>
      </c>
      <c r="AM27" s="16"/>
      <c r="AN27" s="16">
        <f t="shared" si="8"/>
        <v>1749</v>
      </c>
      <c r="AO27" s="16"/>
      <c r="AP27" s="16"/>
      <c r="AQ27" s="16"/>
      <c r="AR27" s="16"/>
      <c r="AS27" s="16"/>
      <c r="AT27" s="16"/>
      <c r="AU27" s="16"/>
    </row>
    <row r="28" spans="1:47" x14ac:dyDescent="0.25">
      <c r="A28" s="16" t="s">
        <v>73</v>
      </c>
      <c r="B28" s="16" t="s">
        <v>41</v>
      </c>
      <c r="C28" s="16">
        <v>11.545</v>
      </c>
      <c r="D28" s="16"/>
      <c r="E28" s="16">
        <v>6.5730000000000004</v>
      </c>
      <c r="F28" s="16">
        <v>-0.10299999999999999</v>
      </c>
      <c r="G28" s="6">
        <v>1</v>
      </c>
      <c r="H28" s="16">
        <v>40</v>
      </c>
      <c r="I28" s="16" t="s">
        <v>42</v>
      </c>
      <c r="J28" s="16"/>
      <c r="K28" s="16">
        <v>57</v>
      </c>
      <c r="L28" s="16">
        <f t="shared" si="2"/>
        <v>-50.427</v>
      </c>
      <c r="M28" s="16">
        <f t="shared" si="3"/>
        <v>6.5730000000000004</v>
      </c>
      <c r="N28" s="16"/>
      <c r="O28" s="16">
        <v>49.604200000000013</v>
      </c>
      <c r="P28" s="16"/>
      <c r="Q28" s="16"/>
      <c r="R28" s="16"/>
      <c r="S28" s="16"/>
      <c r="T28" s="16"/>
      <c r="U28" s="16"/>
      <c r="V28" s="16">
        <v>36.403599999999997</v>
      </c>
      <c r="W28" s="16"/>
      <c r="X28" s="16"/>
      <c r="Y28" s="16">
        <f t="shared" si="4"/>
        <v>1.3146</v>
      </c>
      <c r="Z28" s="4"/>
      <c r="AA28" s="4">
        <f t="shared" si="6"/>
        <v>0</v>
      </c>
      <c r="AB28" s="24"/>
      <c r="AC28" s="16">
        <f t="shared" si="7"/>
        <v>65.346721436178314</v>
      </c>
      <c r="AD28" s="16">
        <f t="shared" si="5"/>
        <v>65.346721436178314</v>
      </c>
      <c r="AE28" s="16">
        <v>7.8512000000000004</v>
      </c>
      <c r="AF28" s="16">
        <v>8.7356000000000016</v>
      </c>
      <c r="AG28" s="16">
        <v>3.5047999999999999</v>
      </c>
      <c r="AH28" s="16">
        <v>4.6479999999999997</v>
      </c>
      <c r="AI28" s="16">
        <v>5.9480000000000004</v>
      </c>
      <c r="AJ28" s="16">
        <v>7.4024000000000001</v>
      </c>
      <c r="AK28" s="16">
        <v>6.2479999999999993</v>
      </c>
      <c r="AL28" s="16">
        <v>11.03</v>
      </c>
      <c r="AM28" s="16"/>
      <c r="AN28" s="16">
        <f t="shared" si="8"/>
        <v>0</v>
      </c>
      <c r="AO28" s="16"/>
      <c r="AP28" s="16"/>
      <c r="AQ28" s="16"/>
      <c r="AR28" s="16"/>
      <c r="AS28" s="16"/>
      <c r="AT28" s="16"/>
      <c r="AU28" s="16"/>
    </row>
    <row r="29" spans="1:47" x14ac:dyDescent="0.25">
      <c r="A29" s="10" t="s">
        <v>74</v>
      </c>
      <c r="B29" s="10" t="s">
        <v>41</v>
      </c>
      <c r="C29" s="10"/>
      <c r="D29" s="10"/>
      <c r="E29" s="10"/>
      <c r="F29" s="10"/>
      <c r="G29" s="11">
        <v>0</v>
      </c>
      <c r="H29" s="10"/>
      <c r="I29" s="10" t="s">
        <v>42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/>
      <c r="R29" s="10"/>
      <c r="S29" s="10"/>
      <c r="T29" s="10"/>
      <c r="U29" s="10"/>
      <c r="V29" s="10">
        <v>0</v>
      </c>
      <c r="W29" s="10"/>
      <c r="X29" s="10"/>
      <c r="Y29" s="10">
        <f t="shared" si="4"/>
        <v>0</v>
      </c>
      <c r="Z29" s="12"/>
      <c r="AA29" s="4">
        <f t="shared" si="6"/>
        <v>0</v>
      </c>
      <c r="AB29" s="24"/>
      <c r="AC29" s="16" t="e">
        <f t="shared" si="7"/>
        <v>#DIV/0!</v>
      </c>
      <c r="AD29" s="10" t="e">
        <f t="shared" si="5"/>
        <v>#DIV/0!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 t="s">
        <v>64</v>
      </c>
      <c r="AN29" s="16">
        <f t="shared" si="8"/>
        <v>0</v>
      </c>
      <c r="AO29" s="16"/>
      <c r="AP29" s="16"/>
      <c r="AQ29" s="16"/>
      <c r="AR29" s="16"/>
      <c r="AS29" s="16"/>
      <c r="AT29" s="16"/>
      <c r="AU29" s="16"/>
    </row>
    <row r="30" spans="1:47" x14ac:dyDescent="0.25">
      <c r="A30" s="10" t="s">
        <v>75</v>
      </c>
      <c r="B30" s="10" t="s">
        <v>41</v>
      </c>
      <c r="C30" s="10"/>
      <c r="D30" s="10"/>
      <c r="E30" s="10"/>
      <c r="F30" s="10"/>
      <c r="G30" s="11">
        <v>0</v>
      </c>
      <c r="H30" s="10"/>
      <c r="I30" s="10" t="s">
        <v>76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/>
      <c r="R30" s="10"/>
      <c r="S30" s="10"/>
      <c r="T30" s="10"/>
      <c r="U30" s="10"/>
      <c r="V30" s="10">
        <v>0</v>
      </c>
      <c r="W30" s="10"/>
      <c r="X30" s="10"/>
      <c r="Y30" s="10">
        <f t="shared" si="4"/>
        <v>0</v>
      </c>
      <c r="Z30" s="12"/>
      <c r="AA30" s="4">
        <f t="shared" si="6"/>
        <v>0</v>
      </c>
      <c r="AB30" s="24"/>
      <c r="AC30" s="16" t="e">
        <f t="shared" si="7"/>
        <v>#DIV/0!</v>
      </c>
      <c r="AD30" s="10" t="e">
        <f t="shared" si="5"/>
        <v>#DIV/0!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 t="s">
        <v>64</v>
      </c>
      <c r="AN30" s="16">
        <f t="shared" si="8"/>
        <v>0</v>
      </c>
      <c r="AO30" s="16"/>
      <c r="AP30" s="16"/>
      <c r="AQ30" s="16"/>
      <c r="AR30" s="16"/>
      <c r="AS30" s="16"/>
      <c r="AT30" s="16"/>
      <c r="AU30" s="16"/>
    </row>
    <row r="31" spans="1:47" x14ac:dyDescent="0.25">
      <c r="A31" s="16" t="s">
        <v>77</v>
      </c>
      <c r="B31" s="16" t="s">
        <v>41</v>
      </c>
      <c r="C31" s="16">
        <v>-46.098999999999997</v>
      </c>
      <c r="D31" s="16">
        <v>4399.93</v>
      </c>
      <c r="E31" s="16">
        <v>2843.6219999999998</v>
      </c>
      <c r="F31" s="16">
        <v>388.90100000000001</v>
      </c>
      <c r="G31" s="6">
        <v>1</v>
      </c>
      <c r="H31" s="16">
        <v>30</v>
      </c>
      <c r="I31" s="17" t="s">
        <v>76</v>
      </c>
      <c r="J31" s="16"/>
      <c r="K31" s="16">
        <v>3962.4650000000001</v>
      </c>
      <c r="L31" s="16">
        <f t="shared" si="2"/>
        <v>-1118.8430000000003</v>
      </c>
      <c r="M31" s="16">
        <f t="shared" si="3"/>
        <v>2843.6219999999998</v>
      </c>
      <c r="N31" s="16"/>
      <c r="O31" s="16">
        <v>316.48535800000042</v>
      </c>
      <c r="P31" s="16"/>
      <c r="Q31" s="16"/>
      <c r="R31" s="16"/>
      <c r="S31" s="16"/>
      <c r="T31" s="8">
        <v>0</v>
      </c>
      <c r="U31" s="16"/>
      <c r="V31" s="8">
        <v>0</v>
      </c>
      <c r="W31" s="16">
        <v>602.32070421600031</v>
      </c>
      <c r="X31" s="16"/>
      <c r="Y31" s="16">
        <f t="shared" si="4"/>
        <v>568.72439999999995</v>
      </c>
      <c r="Z31" s="22">
        <v>600</v>
      </c>
      <c r="AA31" s="4">
        <f t="shared" si="6"/>
        <v>600</v>
      </c>
      <c r="AB31" s="24"/>
      <c r="AC31" s="16">
        <f t="shared" si="7"/>
        <v>3.3543612023961007</v>
      </c>
      <c r="AD31" s="16">
        <f t="shared" si="5"/>
        <v>2.299368661193367</v>
      </c>
      <c r="AE31" s="16">
        <v>251.48259999999999</v>
      </c>
      <c r="AF31" s="16">
        <v>368.85539999999997</v>
      </c>
      <c r="AG31" s="16">
        <v>396.49419999999998</v>
      </c>
      <c r="AH31" s="16">
        <v>440.45499999999998</v>
      </c>
      <c r="AI31" s="16">
        <v>413.21019999999999</v>
      </c>
      <c r="AJ31" s="16">
        <v>344.91699999999997</v>
      </c>
      <c r="AK31" s="16">
        <v>256.0514</v>
      </c>
      <c r="AL31" s="16">
        <v>349.7722</v>
      </c>
      <c r="AM31" s="16"/>
      <c r="AN31" s="16">
        <f t="shared" si="8"/>
        <v>600</v>
      </c>
      <c r="AO31" s="16"/>
      <c r="AP31" s="16"/>
      <c r="AQ31" s="16"/>
      <c r="AR31" s="16"/>
      <c r="AS31" s="16"/>
      <c r="AT31" s="16"/>
      <c r="AU31" s="16"/>
    </row>
    <row r="32" spans="1:47" x14ac:dyDescent="0.25">
      <c r="A32" s="10" t="s">
        <v>78</v>
      </c>
      <c r="B32" s="10" t="s">
        <v>41</v>
      </c>
      <c r="C32" s="10">
        <v>-0.23</v>
      </c>
      <c r="D32" s="10"/>
      <c r="E32" s="10">
        <v>-0.49</v>
      </c>
      <c r="F32" s="10">
        <v>-0.23</v>
      </c>
      <c r="G32" s="11">
        <v>0</v>
      </c>
      <c r="H32" s="10">
        <v>40</v>
      </c>
      <c r="I32" s="10" t="s">
        <v>56</v>
      </c>
      <c r="J32" s="10"/>
      <c r="K32" s="10">
        <v>65</v>
      </c>
      <c r="L32" s="10">
        <f t="shared" si="2"/>
        <v>-65.489999999999995</v>
      </c>
      <c r="M32" s="10">
        <f t="shared" si="3"/>
        <v>-0.49</v>
      </c>
      <c r="N32" s="10"/>
      <c r="O32" s="10">
        <v>0</v>
      </c>
      <c r="P32" s="10"/>
      <c r="Q32" s="10"/>
      <c r="R32" s="10"/>
      <c r="S32" s="10"/>
      <c r="T32" s="10"/>
      <c r="U32" s="10"/>
      <c r="V32" s="10">
        <v>0</v>
      </c>
      <c r="W32" s="10"/>
      <c r="X32" s="10"/>
      <c r="Y32" s="10">
        <f t="shared" si="4"/>
        <v>-9.8000000000000004E-2</v>
      </c>
      <c r="Z32" s="12"/>
      <c r="AA32" s="4">
        <f t="shared" si="6"/>
        <v>0</v>
      </c>
      <c r="AB32" s="24"/>
      <c r="AC32" s="16">
        <f t="shared" si="7"/>
        <v>2.3469387755102042</v>
      </c>
      <c r="AD32" s="10">
        <f t="shared" si="5"/>
        <v>2.3469387755102042</v>
      </c>
      <c r="AE32" s="10">
        <v>12.5518</v>
      </c>
      <c r="AF32" s="10">
        <v>13.9894</v>
      </c>
      <c r="AG32" s="10">
        <v>4.5703999999999994</v>
      </c>
      <c r="AH32" s="10">
        <v>4.0182000000000002</v>
      </c>
      <c r="AI32" s="10">
        <v>1.0573999999999999</v>
      </c>
      <c r="AJ32" s="10">
        <v>8.8558000000000003</v>
      </c>
      <c r="AK32" s="10">
        <v>9.4266000000000005</v>
      </c>
      <c r="AL32" s="10">
        <v>13.422000000000001</v>
      </c>
      <c r="AM32" s="10"/>
      <c r="AN32" s="16">
        <f t="shared" si="8"/>
        <v>0</v>
      </c>
      <c r="AO32" s="16"/>
      <c r="AP32" s="16"/>
      <c r="AQ32" s="16"/>
      <c r="AR32" s="16"/>
      <c r="AS32" s="16"/>
      <c r="AT32" s="16"/>
      <c r="AU32" s="16"/>
    </row>
    <row r="33" spans="1:47" x14ac:dyDescent="0.25">
      <c r="A33" s="16" t="s">
        <v>79</v>
      </c>
      <c r="B33" s="16" t="s">
        <v>41</v>
      </c>
      <c r="C33" s="16">
        <v>-69.924999999999997</v>
      </c>
      <c r="D33" s="16">
        <v>38.22</v>
      </c>
      <c r="E33" s="16">
        <v>49.277999999999999</v>
      </c>
      <c r="F33" s="16">
        <v>-112.038</v>
      </c>
      <c r="G33" s="6">
        <v>1</v>
      </c>
      <c r="H33" s="16">
        <v>40</v>
      </c>
      <c r="I33" s="17" t="s">
        <v>76</v>
      </c>
      <c r="J33" s="16"/>
      <c r="K33" s="16">
        <v>2141.1999999999998</v>
      </c>
      <c r="L33" s="16">
        <f t="shared" si="2"/>
        <v>-2091.922</v>
      </c>
      <c r="M33" s="8">
        <f t="shared" si="3"/>
        <v>49.277999999999999</v>
      </c>
      <c r="N33" s="16"/>
      <c r="O33" s="8">
        <v>0</v>
      </c>
      <c r="P33" s="8">
        <v>0</v>
      </c>
      <c r="Q33" s="16"/>
      <c r="R33" s="16"/>
      <c r="S33" s="16"/>
      <c r="T33" s="8">
        <v>0</v>
      </c>
      <c r="U33" s="16"/>
      <c r="V33" s="8">
        <v>0</v>
      </c>
      <c r="W33" s="16"/>
      <c r="X33" s="16"/>
      <c r="Y33" s="16">
        <f t="shared" si="4"/>
        <v>9.855599999999999</v>
      </c>
      <c r="Z33" s="22">
        <v>800</v>
      </c>
      <c r="AA33" s="4">
        <f t="shared" si="6"/>
        <v>800</v>
      </c>
      <c r="AB33" s="24"/>
      <c r="AC33" s="16">
        <f t="shared" si="7"/>
        <v>69.804172247250307</v>
      </c>
      <c r="AD33" s="16">
        <f t="shared" si="5"/>
        <v>-11.367953244855718</v>
      </c>
      <c r="AE33" s="16">
        <v>688.04320000000007</v>
      </c>
      <c r="AF33" s="16">
        <v>1184.2532000000001</v>
      </c>
      <c r="AG33" s="16">
        <v>1031.4698000000001</v>
      </c>
      <c r="AH33" s="16">
        <v>1271.6156000000001</v>
      </c>
      <c r="AI33" s="16">
        <v>1208.7454</v>
      </c>
      <c r="AJ33" s="16">
        <v>1373.8782000000001</v>
      </c>
      <c r="AK33" s="16">
        <v>1608.1394</v>
      </c>
      <c r="AL33" s="16">
        <v>1503.0753999999999</v>
      </c>
      <c r="AM33" s="16"/>
      <c r="AN33" s="16">
        <f t="shared" si="8"/>
        <v>800</v>
      </c>
      <c r="AO33" s="16"/>
      <c r="AP33" s="16"/>
      <c r="AQ33" s="16"/>
      <c r="AR33" s="16"/>
      <c r="AS33" s="16"/>
      <c r="AT33" s="16"/>
      <c r="AU33" s="16"/>
    </row>
    <row r="34" spans="1:47" x14ac:dyDescent="0.25">
      <c r="A34" s="10" t="s">
        <v>80</v>
      </c>
      <c r="B34" s="10" t="s">
        <v>41</v>
      </c>
      <c r="C34" s="10"/>
      <c r="D34" s="10"/>
      <c r="E34" s="10"/>
      <c r="F34" s="10"/>
      <c r="G34" s="11">
        <v>0</v>
      </c>
      <c r="H34" s="10"/>
      <c r="I34" s="10" t="s">
        <v>42</v>
      </c>
      <c r="J34" s="10"/>
      <c r="K34" s="10"/>
      <c r="L34" s="10">
        <f t="shared" si="2"/>
        <v>0</v>
      </c>
      <c r="M34" s="10">
        <f t="shared" si="3"/>
        <v>0</v>
      </c>
      <c r="N34" s="10"/>
      <c r="O34" s="10">
        <v>0</v>
      </c>
      <c r="P34" s="10"/>
      <c r="Q34" s="10"/>
      <c r="R34" s="10"/>
      <c r="S34" s="10"/>
      <c r="T34" s="10"/>
      <c r="U34" s="10"/>
      <c r="V34" s="10">
        <v>0</v>
      </c>
      <c r="W34" s="10"/>
      <c r="X34" s="10"/>
      <c r="Y34" s="10">
        <f t="shared" si="4"/>
        <v>0</v>
      </c>
      <c r="Z34" s="12"/>
      <c r="AA34" s="4">
        <f t="shared" si="6"/>
        <v>0</v>
      </c>
      <c r="AB34" s="24"/>
      <c r="AC34" s="16" t="e">
        <f t="shared" si="7"/>
        <v>#DIV/0!</v>
      </c>
      <c r="AD34" s="10" t="e">
        <f t="shared" si="5"/>
        <v>#DIV/0!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 t="s">
        <v>64</v>
      </c>
      <c r="AN34" s="16">
        <f t="shared" si="8"/>
        <v>0</v>
      </c>
      <c r="AO34" s="16"/>
      <c r="AP34" s="16"/>
      <c r="AQ34" s="16"/>
      <c r="AR34" s="16"/>
      <c r="AS34" s="16"/>
      <c r="AT34" s="16"/>
      <c r="AU34" s="16"/>
    </row>
    <row r="35" spans="1:47" x14ac:dyDescent="0.25">
      <c r="A35" s="10" t="s">
        <v>81</v>
      </c>
      <c r="B35" s="10" t="s">
        <v>41</v>
      </c>
      <c r="C35" s="10"/>
      <c r="D35" s="10"/>
      <c r="E35" s="10"/>
      <c r="F35" s="10"/>
      <c r="G35" s="11">
        <v>0</v>
      </c>
      <c r="H35" s="10"/>
      <c r="I35" s="10" t="s">
        <v>42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/>
      <c r="R35" s="10"/>
      <c r="S35" s="10"/>
      <c r="T35" s="10"/>
      <c r="U35" s="10"/>
      <c r="V35" s="10">
        <v>0</v>
      </c>
      <c r="W35" s="10"/>
      <c r="X35" s="10"/>
      <c r="Y35" s="10">
        <f t="shared" si="4"/>
        <v>0</v>
      </c>
      <c r="Z35" s="12"/>
      <c r="AA35" s="4">
        <f t="shared" si="6"/>
        <v>0</v>
      </c>
      <c r="AB35" s="24"/>
      <c r="AC35" s="16" t="e">
        <f t="shared" si="7"/>
        <v>#DIV/0!</v>
      </c>
      <c r="AD35" s="10" t="e">
        <f t="shared" si="5"/>
        <v>#DIV/0!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 t="s">
        <v>64</v>
      </c>
      <c r="AN35" s="16">
        <f t="shared" si="8"/>
        <v>0</v>
      </c>
      <c r="AO35" s="16"/>
      <c r="AP35" s="16"/>
      <c r="AQ35" s="16"/>
      <c r="AR35" s="16"/>
      <c r="AS35" s="16"/>
      <c r="AT35" s="16"/>
      <c r="AU35" s="16"/>
    </row>
    <row r="36" spans="1:47" x14ac:dyDescent="0.25">
      <c r="A36" s="10" t="s">
        <v>82</v>
      </c>
      <c r="B36" s="10" t="s">
        <v>41</v>
      </c>
      <c r="C36" s="10"/>
      <c r="D36" s="10"/>
      <c r="E36" s="10"/>
      <c r="F36" s="10"/>
      <c r="G36" s="11">
        <v>0</v>
      </c>
      <c r="H36" s="10"/>
      <c r="I36" s="10" t="s">
        <v>42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/>
      <c r="R36" s="10"/>
      <c r="S36" s="10"/>
      <c r="T36" s="10"/>
      <c r="U36" s="10"/>
      <c r="V36" s="10">
        <v>0</v>
      </c>
      <c r="W36" s="10"/>
      <c r="X36" s="10"/>
      <c r="Y36" s="10">
        <f t="shared" si="4"/>
        <v>0</v>
      </c>
      <c r="Z36" s="12"/>
      <c r="AA36" s="4">
        <f t="shared" si="6"/>
        <v>0</v>
      </c>
      <c r="AB36" s="24"/>
      <c r="AC36" s="16" t="e">
        <f t="shared" si="7"/>
        <v>#DIV/0!</v>
      </c>
      <c r="AD36" s="10" t="e">
        <f t="shared" si="5"/>
        <v>#DIV/0!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 t="s">
        <v>64</v>
      </c>
      <c r="AN36" s="16">
        <f t="shared" si="8"/>
        <v>0</v>
      </c>
      <c r="AO36" s="16"/>
      <c r="AP36" s="16"/>
      <c r="AQ36" s="16"/>
      <c r="AR36" s="16"/>
      <c r="AS36" s="16"/>
      <c r="AT36" s="16"/>
      <c r="AU36" s="16"/>
    </row>
    <row r="37" spans="1:47" x14ac:dyDescent="0.25">
      <c r="A37" s="10" t="s">
        <v>83</v>
      </c>
      <c r="B37" s="10" t="s">
        <v>41</v>
      </c>
      <c r="C37" s="10"/>
      <c r="D37" s="10"/>
      <c r="E37" s="10"/>
      <c r="F37" s="10"/>
      <c r="G37" s="11">
        <v>0</v>
      </c>
      <c r="H37" s="10"/>
      <c r="I37" s="10" t="s">
        <v>42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/>
      <c r="R37" s="10"/>
      <c r="S37" s="10"/>
      <c r="T37" s="10"/>
      <c r="U37" s="10"/>
      <c r="V37" s="10">
        <v>0</v>
      </c>
      <c r="W37" s="10"/>
      <c r="X37" s="10"/>
      <c r="Y37" s="10">
        <f t="shared" si="4"/>
        <v>0</v>
      </c>
      <c r="Z37" s="12"/>
      <c r="AA37" s="4">
        <f t="shared" si="6"/>
        <v>0</v>
      </c>
      <c r="AB37" s="24"/>
      <c r="AC37" s="16" t="e">
        <f t="shared" si="7"/>
        <v>#DIV/0!</v>
      </c>
      <c r="AD37" s="10" t="e">
        <f t="shared" si="5"/>
        <v>#DIV/0!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 t="s">
        <v>64</v>
      </c>
      <c r="AN37" s="16">
        <f t="shared" si="8"/>
        <v>0</v>
      </c>
      <c r="AO37" s="16"/>
      <c r="AP37" s="16"/>
      <c r="AQ37" s="16"/>
      <c r="AR37" s="16"/>
      <c r="AS37" s="16"/>
      <c r="AT37" s="16"/>
      <c r="AU37" s="16"/>
    </row>
    <row r="38" spans="1:47" x14ac:dyDescent="0.25">
      <c r="A38" s="16" t="s">
        <v>84</v>
      </c>
      <c r="B38" s="16" t="s">
        <v>46</v>
      </c>
      <c r="C38" s="16">
        <v>2723</v>
      </c>
      <c r="D38" s="16">
        <v>1683</v>
      </c>
      <c r="E38" s="16">
        <v>4056</v>
      </c>
      <c r="F38" s="16">
        <v>92</v>
      </c>
      <c r="G38" s="6">
        <v>0.4</v>
      </c>
      <c r="H38" s="16">
        <v>45</v>
      </c>
      <c r="I38" s="18" t="s">
        <v>76</v>
      </c>
      <c r="J38" s="16"/>
      <c r="K38" s="16">
        <v>4389</v>
      </c>
      <c r="L38" s="16">
        <f t="shared" ref="L38:L69" si="15">E38-K38</f>
        <v>-333</v>
      </c>
      <c r="M38" s="8">
        <f t="shared" ref="M38:M69" si="16">E38-N38</f>
        <v>4056</v>
      </c>
      <c r="N38" s="16"/>
      <c r="O38" s="8">
        <v>0</v>
      </c>
      <c r="P38" s="8">
        <v>0</v>
      </c>
      <c r="Q38" s="16"/>
      <c r="R38" s="16"/>
      <c r="S38" s="16"/>
      <c r="T38" s="8">
        <v>0</v>
      </c>
      <c r="U38" s="16"/>
      <c r="V38" s="8">
        <v>0</v>
      </c>
      <c r="W38" s="16">
        <v>2484.6187519999999</v>
      </c>
      <c r="X38" s="16"/>
      <c r="Y38" s="16">
        <f t="shared" ref="Y38:Y69" si="17">M38/5</f>
        <v>811.2</v>
      </c>
      <c r="Z38" s="22">
        <v>800</v>
      </c>
      <c r="AA38" s="4">
        <f t="shared" si="6"/>
        <v>800</v>
      </c>
      <c r="AB38" s="24"/>
      <c r="AC38" s="16">
        <f t="shared" si="7"/>
        <v>4.162498461538461</v>
      </c>
      <c r="AD38" s="16">
        <f t="shared" ref="AD38:AD69" si="18">(F38+O38+P38+Q38+R38+S38+T38+U38+V38+W38+X38)/Y38</f>
        <v>3.1763051676528598</v>
      </c>
      <c r="AE38" s="16">
        <v>861.6</v>
      </c>
      <c r="AF38" s="16">
        <v>877.4</v>
      </c>
      <c r="AG38" s="16">
        <v>623.4</v>
      </c>
      <c r="AH38" s="16">
        <v>584.79999999999995</v>
      </c>
      <c r="AI38" s="16">
        <v>637.6</v>
      </c>
      <c r="AJ38" s="16">
        <v>816</v>
      </c>
      <c r="AK38" s="16">
        <v>898.6</v>
      </c>
      <c r="AL38" s="16">
        <v>865</v>
      </c>
      <c r="AM38" s="16"/>
      <c r="AN38" s="16">
        <f t="shared" si="8"/>
        <v>320</v>
      </c>
      <c r="AO38" s="16"/>
      <c r="AP38" s="16"/>
      <c r="AQ38" s="16"/>
      <c r="AR38" s="16"/>
      <c r="AS38" s="16"/>
      <c r="AT38" s="16"/>
      <c r="AU38" s="16"/>
    </row>
    <row r="39" spans="1:47" x14ac:dyDescent="0.25">
      <c r="A39" s="16" t="s">
        <v>85</v>
      </c>
      <c r="B39" s="16" t="s">
        <v>46</v>
      </c>
      <c r="C39" s="16">
        <v>1490.75</v>
      </c>
      <c r="D39" s="16">
        <v>140</v>
      </c>
      <c r="E39" s="16">
        <v>492</v>
      </c>
      <c r="F39" s="16">
        <v>1030.75</v>
      </c>
      <c r="G39" s="6">
        <v>0.45</v>
      </c>
      <c r="H39" s="16">
        <v>50</v>
      </c>
      <c r="I39" s="16" t="s">
        <v>42</v>
      </c>
      <c r="J39" s="16"/>
      <c r="K39" s="16">
        <v>619</v>
      </c>
      <c r="L39" s="16">
        <f t="shared" si="15"/>
        <v>-127</v>
      </c>
      <c r="M39" s="16">
        <f t="shared" si="16"/>
        <v>492</v>
      </c>
      <c r="N39" s="16"/>
      <c r="O39" s="16">
        <v>0</v>
      </c>
      <c r="P39" s="16"/>
      <c r="Q39" s="16"/>
      <c r="R39" s="16"/>
      <c r="S39" s="16"/>
      <c r="T39" s="16"/>
      <c r="U39" s="16"/>
      <c r="V39" s="16">
        <v>471.47800000000012</v>
      </c>
      <c r="W39" s="16"/>
      <c r="X39" s="16"/>
      <c r="Y39" s="16">
        <f t="shared" si="17"/>
        <v>98.4</v>
      </c>
      <c r="Z39" s="4"/>
      <c r="AA39" s="4">
        <f t="shared" si="6"/>
        <v>0</v>
      </c>
      <c r="AB39" s="24"/>
      <c r="AC39" s="16">
        <f t="shared" si="7"/>
        <v>15.266544715447154</v>
      </c>
      <c r="AD39" s="16">
        <f t="shared" si="18"/>
        <v>15.266544715447154</v>
      </c>
      <c r="AE39" s="16">
        <v>126.8</v>
      </c>
      <c r="AF39" s="16">
        <v>127.8</v>
      </c>
      <c r="AG39" s="16">
        <v>67.2</v>
      </c>
      <c r="AH39" s="16">
        <v>118.2</v>
      </c>
      <c r="AI39" s="16">
        <v>109.4</v>
      </c>
      <c r="AJ39" s="16">
        <v>109.6</v>
      </c>
      <c r="AK39" s="16">
        <v>174.8</v>
      </c>
      <c r="AL39" s="16">
        <v>277.8</v>
      </c>
      <c r="AM39" s="16"/>
      <c r="AN39" s="16">
        <f t="shared" si="8"/>
        <v>0</v>
      </c>
      <c r="AO39" s="16"/>
      <c r="AP39" s="16"/>
      <c r="AQ39" s="16"/>
      <c r="AR39" s="16"/>
      <c r="AS39" s="16"/>
      <c r="AT39" s="16"/>
      <c r="AU39" s="16"/>
    </row>
    <row r="40" spans="1:47" x14ac:dyDescent="0.25">
      <c r="A40" s="16" t="s">
        <v>86</v>
      </c>
      <c r="B40" s="16" t="s">
        <v>46</v>
      </c>
      <c r="C40" s="16">
        <v>157</v>
      </c>
      <c r="D40" s="16">
        <v>1151</v>
      </c>
      <c r="E40" s="16">
        <v>834</v>
      </c>
      <c r="F40" s="16">
        <v>424</v>
      </c>
      <c r="G40" s="6">
        <v>0.4</v>
      </c>
      <c r="H40" s="16">
        <v>45</v>
      </c>
      <c r="I40" s="18" t="s">
        <v>76</v>
      </c>
      <c r="J40" s="16"/>
      <c r="K40" s="16">
        <v>1281</v>
      </c>
      <c r="L40" s="16">
        <f t="shared" si="15"/>
        <v>-447</v>
      </c>
      <c r="M40" s="8">
        <f t="shared" si="16"/>
        <v>834</v>
      </c>
      <c r="N40" s="16"/>
      <c r="O40" s="8">
        <v>0</v>
      </c>
      <c r="P40" s="16"/>
      <c r="Q40" s="16"/>
      <c r="R40" s="16"/>
      <c r="S40" s="16"/>
      <c r="T40" s="8">
        <v>0</v>
      </c>
      <c r="U40" s="16"/>
      <c r="V40" s="16">
        <v>0</v>
      </c>
      <c r="W40" s="16"/>
      <c r="X40" s="16"/>
      <c r="Y40" s="16">
        <f t="shared" si="17"/>
        <v>166.8</v>
      </c>
      <c r="Z40" s="22">
        <v>300</v>
      </c>
      <c r="AA40" s="4">
        <f t="shared" si="6"/>
        <v>300</v>
      </c>
      <c r="AB40" s="24"/>
      <c r="AC40" s="16">
        <f t="shared" si="7"/>
        <v>4.3405275779376495</v>
      </c>
      <c r="AD40" s="16">
        <f t="shared" si="18"/>
        <v>2.5419664268585129</v>
      </c>
      <c r="AE40" s="16">
        <v>188.8</v>
      </c>
      <c r="AF40" s="16">
        <v>301.60000000000002</v>
      </c>
      <c r="AG40" s="16">
        <v>192.2</v>
      </c>
      <c r="AH40" s="16">
        <v>141.6</v>
      </c>
      <c r="AI40" s="16">
        <v>149</v>
      </c>
      <c r="AJ40" s="16">
        <v>204.2</v>
      </c>
      <c r="AK40" s="16">
        <v>235.2</v>
      </c>
      <c r="AL40" s="16">
        <v>211</v>
      </c>
      <c r="AM40" s="16"/>
      <c r="AN40" s="16">
        <f t="shared" si="8"/>
        <v>120</v>
      </c>
      <c r="AO40" s="16"/>
      <c r="AP40" s="16"/>
      <c r="AQ40" s="16"/>
      <c r="AR40" s="16"/>
      <c r="AS40" s="16"/>
      <c r="AT40" s="16"/>
      <c r="AU40" s="16"/>
    </row>
    <row r="41" spans="1:47" x14ac:dyDescent="0.25">
      <c r="A41" s="16" t="s">
        <v>87</v>
      </c>
      <c r="B41" s="16" t="s">
        <v>46</v>
      </c>
      <c r="C41" s="16">
        <v>96</v>
      </c>
      <c r="D41" s="16">
        <v>488</v>
      </c>
      <c r="E41" s="16">
        <v>581</v>
      </c>
      <c r="F41" s="16">
        <v>-2</v>
      </c>
      <c r="G41" s="6">
        <v>0.4</v>
      </c>
      <c r="H41" s="16">
        <v>40</v>
      </c>
      <c r="I41" s="18" t="s">
        <v>76</v>
      </c>
      <c r="J41" s="16"/>
      <c r="K41" s="16">
        <v>907</v>
      </c>
      <c r="L41" s="16">
        <f t="shared" si="15"/>
        <v>-326</v>
      </c>
      <c r="M41" s="16">
        <f t="shared" si="16"/>
        <v>581</v>
      </c>
      <c r="N41" s="16"/>
      <c r="O41" s="16">
        <v>320.14</v>
      </c>
      <c r="P41" s="16"/>
      <c r="Q41" s="16"/>
      <c r="R41" s="16"/>
      <c r="S41" s="16"/>
      <c r="T41" s="8">
        <v>0</v>
      </c>
      <c r="U41" s="16"/>
      <c r="V41" s="8">
        <v>0</v>
      </c>
      <c r="W41" s="16"/>
      <c r="X41" s="16"/>
      <c r="Y41" s="16">
        <f t="shared" si="17"/>
        <v>116.2</v>
      </c>
      <c r="Z41" s="22">
        <v>200</v>
      </c>
      <c r="AA41" s="4">
        <f t="shared" si="6"/>
        <v>200</v>
      </c>
      <c r="AB41" s="24"/>
      <c r="AC41" s="16">
        <f t="shared" si="7"/>
        <v>4.4590361445783131</v>
      </c>
      <c r="AD41" s="16">
        <f t="shared" si="18"/>
        <v>2.737865748709122</v>
      </c>
      <c r="AE41" s="16">
        <v>86.8</v>
      </c>
      <c r="AF41" s="16">
        <v>126.8</v>
      </c>
      <c r="AG41" s="16">
        <v>86</v>
      </c>
      <c r="AH41" s="16">
        <v>78.400000000000006</v>
      </c>
      <c r="AI41" s="16">
        <v>89</v>
      </c>
      <c r="AJ41" s="16">
        <v>117.4</v>
      </c>
      <c r="AK41" s="16">
        <v>80.400000000000006</v>
      </c>
      <c r="AL41" s="16">
        <v>83.2</v>
      </c>
      <c r="AM41" s="16"/>
      <c r="AN41" s="16">
        <f t="shared" si="8"/>
        <v>80</v>
      </c>
      <c r="AO41" s="16"/>
      <c r="AP41" s="16"/>
      <c r="AQ41" s="16"/>
      <c r="AR41" s="16"/>
      <c r="AS41" s="16"/>
      <c r="AT41" s="16"/>
      <c r="AU41" s="16"/>
    </row>
    <row r="42" spans="1:47" x14ac:dyDescent="0.25">
      <c r="A42" s="16" t="s">
        <v>88</v>
      </c>
      <c r="B42" s="16" t="s">
        <v>41</v>
      </c>
      <c r="C42" s="16"/>
      <c r="D42" s="16"/>
      <c r="E42" s="16"/>
      <c r="F42" s="16"/>
      <c r="G42" s="6">
        <v>1</v>
      </c>
      <c r="H42" s="16"/>
      <c r="I42" s="16" t="s">
        <v>42</v>
      </c>
      <c r="J42" s="16"/>
      <c r="K42" s="16"/>
      <c r="L42" s="16">
        <f t="shared" si="15"/>
        <v>0</v>
      </c>
      <c r="M42" s="16">
        <f t="shared" si="16"/>
        <v>0</v>
      </c>
      <c r="N42" s="16"/>
      <c r="O42" s="16">
        <v>0</v>
      </c>
      <c r="P42" s="16"/>
      <c r="Q42" s="16"/>
      <c r="R42" s="16"/>
      <c r="S42" s="16"/>
      <c r="T42" s="16"/>
      <c r="U42" s="16"/>
      <c r="V42" s="8">
        <v>0</v>
      </c>
      <c r="W42" s="16"/>
      <c r="X42" s="16"/>
      <c r="Y42" s="16">
        <f t="shared" si="17"/>
        <v>0</v>
      </c>
      <c r="Z42" s="4">
        <v>50</v>
      </c>
      <c r="AA42" s="27">
        <v>300</v>
      </c>
      <c r="AB42" s="24"/>
      <c r="AC42" s="16" t="e">
        <f t="shared" si="7"/>
        <v>#DIV/0!</v>
      </c>
      <c r="AD42" s="16" t="e">
        <f t="shared" si="18"/>
        <v>#DIV/0!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9" t="s">
        <v>191</v>
      </c>
      <c r="AN42" s="16">
        <f t="shared" si="8"/>
        <v>300</v>
      </c>
      <c r="AO42" s="16"/>
      <c r="AP42" s="16"/>
      <c r="AQ42" s="16"/>
      <c r="AR42" s="16"/>
      <c r="AS42" s="16"/>
      <c r="AT42" s="16"/>
      <c r="AU42" s="16"/>
    </row>
    <row r="43" spans="1:47" x14ac:dyDescent="0.25">
      <c r="A43" s="16" t="s">
        <v>89</v>
      </c>
      <c r="B43" s="16" t="s">
        <v>46</v>
      </c>
      <c r="C43" s="16">
        <v>255</v>
      </c>
      <c r="D43" s="16">
        <v>28</v>
      </c>
      <c r="E43" s="16">
        <v>187</v>
      </c>
      <c r="F43" s="16">
        <v>95</v>
      </c>
      <c r="G43" s="6">
        <v>0.1</v>
      </c>
      <c r="H43" s="16">
        <v>731</v>
      </c>
      <c r="I43" s="16" t="s">
        <v>42</v>
      </c>
      <c r="J43" s="16"/>
      <c r="K43" s="16">
        <v>211</v>
      </c>
      <c r="L43" s="16">
        <f t="shared" si="15"/>
        <v>-24</v>
      </c>
      <c r="M43" s="16">
        <f t="shared" si="16"/>
        <v>187</v>
      </c>
      <c r="N43" s="16"/>
      <c r="O43" s="16">
        <v>236.2</v>
      </c>
      <c r="P43" s="16"/>
      <c r="Q43" s="16"/>
      <c r="R43" s="16"/>
      <c r="S43" s="16"/>
      <c r="T43" s="16">
        <v>100</v>
      </c>
      <c r="U43" s="16"/>
      <c r="V43" s="16">
        <v>156.9</v>
      </c>
      <c r="W43" s="16"/>
      <c r="X43" s="16"/>
      <c r="Y43" s="16">
        <f t="shared" si="17"/>
        <v>37.4</v>
      </c>
      <c r="Z43" s="4"/>
      <c r="AA43" s="4">
        <f t="shared" si="6"/>
        <v>0</v>
      </c>
      <c r="AB43" s="24"/>
      <c r="AC43" s="16">
        <f t="shared" si="7"/>
        <v>15.724598930481285</v>
      </c>
      <c r="AD43" s="16">
        <f t="shared" si="18"/>
        <v>15.724598930481285</v>
      </c>
      <c r="AE43" s="16">
        <v>57.4</v>
      </c>
      <c r="AF43" s="16">
        <v>55.2</v>
      </c>
      <c r="AG43" s="16">
        <v>30.6</v>
      </c>
      <c r="AH43" s="16">
        <v>40</v>
      </c>
      <c r="AI43" s="16">
        <v>46</v>
      </c>
      <c r="AJ43" s="16">
        <v>46</v>
      </c>
      <c r="AK43" s="16">
        <v>42</v>
      </c>
      <c r="AL43" s="16">
        <v>46</v>
      </c>
      <c r="AM43" s="16"/>
      <c r="AN43" s="16">
        <f t="shared" si="8"/>
        <v>0</v>
      </c>
      <c r="AO43" s="16"/>
      <c r="AP43" s="16"/>
      <c r="AQ43" s="16"/>
      <c r="AR43" s="16"/>
      <c r="AS43" s="16"/>
      <c r="AT43" s="16"/>
      <c r="AU43" s="16"/>
    </row>
    <row r="44" spans="1:47" x14ac:dyDescent="0.25">
      <c r="A44" s="16" t="s">
        <v>90</v>
      </c>
      <c r="B44" s="16" t="s">
        <v>46</v>
      </c>
      <c r="C44" s="16">
        <v>169</v>
      </c>
      <c r="D44" s="16">
        <v>3</v>
      </c>
      <c r="E44" s="16">
        <v>94</v>
      </c>
      <c r="F44" s="16">
        <v>65</v>
      </c>
      <c r="G44" s="6">
        <v>0.35</v>
      </c>
      <c r="H44" s="16">
        <v>40</v>
      </c>
      <c r="I44" s="16" t="s">
        <v>42</v>
      </c>
      <c r="J44" s="16"/>
      <c r="K44" s="16">
        <v>113</v>
      </c>
      <c r="L44" s="16">
        <f t="shared" si="15"/>
        <v>-19</v>
      </c>
      <c r="M44" s="8">
        <f t="shared" si="16"/>
        <v>94</v>
      </c>
      <c r="N44" s="16"/>
      <c r="O44" s="8">
        <v>60</v>
      </c>
      <c r="P44" s="16"/>
      <c r="Q44" s="16"/>
      <c r="R44" s="16"/>
      <c r="S44" s="16"/>
      <c r="T44" s="16"/>
      <c r="U44" s="16"/>
      <c r="V44" s="8">
        <v>0</v>
      </c>
      <c r="W44" s="16"/>
      <c r="X44" s="16"/>
      <c r="Y44" s="16">
        <f t="shared" si="17"/>
        <v>18.8</v>
      </c>
      <c r="Z44" s="4">
        <f t="shared" ref="Z44:Z52" si="19">11*Y44-X44-W44-V44-U44-T44-S44-R44-Q44-P44-O44-F44</f>
        <v>81.800000000000011</v>
      </c>
      <c r="AA44" s="4">
        <f t="shared" si="6"/>
        <v>81.800000000000011</v>
      </c>
      <c r="AB44" s="24"/>
      <c r="AC44" s="16">
        <f t="shared" si="7"/>
        <v>11</v>
      </c>
      <c r="AD44" s="16">
        <f t="shared" si="18"/>
        <v>6.6489361702127656</v>
      </c>
      <c r="AE44" s="16">
        <v>28.4</v>
      </c>
      <c r="AF44" s="16">
        <v>24.4</v>
      </c>
      <c r="AG44" s="16">
        <v>10.199999999999999</v>
      </c>
      <c r="AH44" s="16">
        <v>3.8</v>
      </c>
      <c r="AI44" s="16">
        <v>4.8</v>
      </c>
      <c r="AJ44" s="16">
        <v>13</v>
      </c>
      <c r="AK44" s="16">
        <v>28.4</v>
      </c>
      <c r="AL44" s="16">
        <v>24.2</v>
      </c>
      <c r="AM44" s="16"/>
      <c r="AN44" s="16">
        <f t="shared" si="8"/>
        <v>29</v>
      </c>
      <c r="AO44" s="16"/>
      <c r="AP44" s="16"/>
      <c r="AQ44" s="16"/>
      <c r="AR44" s="16"/>
      <c r="AS44" s="16"/>
      <c r="AT44" s="16"/>
      <c r="AU44" s="16"/>
    </row>
    <row r="45" spans="1:47" x14ac:dyDescent="0.25">
      <c r="A45" s="16" t="s">
        <v>91</v>
      </c>
      <c r="B45" s="16" t="s">
        <v>41</v>
      </c>
      <c r="C45" s="16">
        <v>9.9760000000000009</v>
      </c>
      <c r="D45" s="16">
        <v>34.883000000000003</v>
      </c>
      <c r="E45" s="16">
        <v>16.532</v>
      </c>
      <c r="F45" s="16">
        <v>27.303000000000001</v>
      </c>
      <c r="G45" s="6">
        <v>1</v>
      </c>
      <c r="H45" s="16">
        <v>40</v>
      </c>
      <c r="I45" s="16" t="s">
        <v>42</v>
      </c>
      <c r="J45" s="16"/>
      <c r="K45" s="16">
        <v>20.6</v>
      </c>
      <c r="L45" s="16">
        <f t="shared" si="15"/>
        <v>-4.0680000000000014</v>
      </c>
      <c r="M45" s="16">
        <f t="shared" si="16"/>
        <v>16.532</v>
      </c>
      <c r="N45" s="16"/>
      <c r="O45" s="16">
        <v>0</v>
      </c>
      <c r="P45" s="16"/>
      <c r="Q45" s="16"/>
      <c r="R45" s="16"/>
      <c r="S45" s="16"/>
      <c r="T45" s="16"/>
      <c r="U45" s="16"/>
      <c r="V45" s="16">
        <v>0</v>
      </c>
      <c r="W45" s="16"/>
      <c r="X45" s="16"/>
      <c r="Y45" s="16">
        <f t="shared" si="17"/>
        <v>3.3064</v>
      </c>
      <c r="Z45" s="4">
        <f t="shared" si="19"/>
        <v>9.0674000000000028</v>
      </c>
      <c r="AA45" s="4">
        <f t="shared" si="6"/>
        <v>9.0674000000000028</v>
      </c>
      <c r="AB45" s="24"/>
      <c r="AC45" s="16">
        <f t="shared" si="7"/>
        <v>11.000000000000002</v>
      </c>
      <c r="AD45" s="16">
        <f t="shared" si="18"/>
        <v>8.257621582385676</v>
      </c>
      <c r="AE45" s="16">
        <v>1.6506000000000001</v>
      </c>
      <c r="AF45" s="16">
        <v>2.6989999999999998</v>
      </c>
      <c r="AG45" s="16">
        <v>4.2096</v>
      </c>
      <c r="AH45" s="16">
        <v>3.2993999999999999</v>
      </c>
      <c r="AI45" s="16">
        <v>1.956</v>
      </c>
      <c r="AJ45" s="16">
        <v>1.4396</v>
      </c>
      <c r="AK45" s="16">
        <v>2.4447999999999999</v>
      </c>
      <c r="AL45" s="16">
        <v>3.2065999999999999</v>
      </c>
      <c r="AM45" s="16"/>
      <c r="AN45" s="16">
        <f t="shared" si="8"/>
        <v>9</v>
      </c>
      <c r="AO45" s="16"/>
      <c r="AP45" s="16"/>
      <c r="AQ45" s="16"/>
      <c r="AR45" s="16"/>
      <c r="AS45" s="16"/>
      <c r="AT45" s="16"/>
      <c r="AU45" s="16"/>
    </row>
    <row r="46" spans="1:47" x14ac:dyDescent="0.25">
      <c r="A46" s="16" t="s">
        <v>93</v>
      </c>
      <c r="B46" s="16" t="s">
        <v>46</v>
      </c>
      <c r="C46" s="16">
        <v>-25</v>
      </c>
      <c r="D46" s="16"/>
      <c r="E46" s="16">
        <v>-4</v>
      </c>
      <c r="F46" s="16">
        <v>-29</v>
      </c>
      <c r="G46" s="6">
        <v>0.4</v>
      </c>
      <c r="H46" s="16">
        <v>40</v>
      </c>
      <c r="I46" s="18" t="s">
        <v>76</v>
      </c>
      <c r="J46" s="16"/>
      <c r="K46" s="16">
        <v>268</v>
      </c>
      <c r="L46" s="16">
        <f t="shared" si="15"/>
        <v>-272</v>
      </c>
      <c r="M46" s="16">
        <f t="shared" si="16"/>
        <v>-4</v>
      </c>
      <c r="N46" s="16"/>
      <c r="O46" s="16">
        <v>0</v>
      </c>
      <c r="P46" s="16"/>
      <c r="Q46" s="16"/>
      <c r="R46" s="16"/>
      <c r="S46" s="16"/>
      <c r="T46" s="16"/>
      <c r="U46" s="16"/>
      <c r="V46" s="8">
        <v>0</v>
      </c>
      <c r="W46" s="16"/>
      <c r="X46" s="16"/>
      <c r="Y46" s="16">
        <f t="shared" si="17"/>
        <v>-0.8</v>
      </c>
      <c r="Z46" s="22">
        <f t="shared" si="19"/>
        <v>20.2</v>
      </c>
      <c r="AA46" s="4">
        <f t="shared" si="6"/>
        <v>20.2</v>
      </c>
      <c r="AB46" s="24"/>
      <c r="AC46" s="16">
        <f t="shared" si="7"/>
        <v>11</v>
      </c>
      <c r="AD46" s="16">
        <f t="shared" si="18"/>
        <v>36.25</v>
      </c>
      <c r="AE46" s="16">
        <v>0.6</v>
      </c>
      <c r="AF46" s="16">
        <v>1.4</v>
      </c>
      <c r="AG46" s="16">
        <v>0.2</v>
      </c>
      <c r="AH46" s="16">
        <v>-1</v>
      </c>
      <c r="AI46" s="16">
        <v>-1.2</v>
      </c>
      <c r="AJ46" s="16">
        <v>-1</v>
      </c>
      <c r="AK46" s="16">
        <v>-1</v>
      </c>
      <c r="AL46" s="16">
        <v>12</v>
      </c>
      <c r="AM46" s="16"/>
      <c r="AN46" s="16">
        <f t="shared" si="8"/>
        <v>8</v>
      </c>
      <c r="AO46" s="16"/>
      <c r="AP46" s="16"/>
      <c r="AQ46" s="16"/>
      <c r="AR46" s="16"/>
      <c r="AS46" s="16"/>
      <c r="AT46" s="16"/>
      <c r="AU46" s="16"/>
    </row>
    <row r="47" spans="1:47" x14ac:dyDescent="0.25">
      <c r="A47" s="16" t="s">
        <v>94</v>
      </c>
      <c r="B47" s="16" t="s">
        <v>46</v>
      </c>
      <c r="C47" s="16">
        <v>118</v>
      </c>
      <c r="D47" s="16">
        <v>24</v>
      </c>
      <c r="E47" s="16">
        <v>130</v>
      </c>
      <c r="F47" s="16">
        <v>2</v>
      </c>
      <c r="G47" s="6">
        <v>0.4</v>
      </c>
      <c r="H47" s="16">
        <v>45</v>
      </c>
      <c r="I47" s="18" t="s">
        <v>76</v>
      </c>
      <c r="J47" s="16"/>
      <c r="K47" s="16">
        <v>321</v>
      </c>
      <c r="L47" s="16">
        <f t="shared" si="15"/>
        <v>-191</v>
      </c>
      <c r="M47" s="16">
        <f t="shared" si="16"/>
        <v>130</v>
      </c>
      <c r="N47" s="16"/>
      <c r="O47" s="16">
        <v>0</v>
      </c>
      <c r="P47" s="8">
        <v>0</v>
      </c>
      <c r="Q47" s="16"/>
      <c r="R47" s="16"/>
      <c r="S47" s="16"/>
      <c r="T47" s="16"/>
      <c r="U47" s="16"/>
      <c r="V47" s="8">
        <v>0</v>
      </c>
      <c r="W47" s="16"/>
      <c r="X47" s="16"/>
      <c r="Y47" s="16">
        <f t="shared" si="17"/>
        <v>26</v>
      </c>
      <c r="Z47" s="22">
        <v>50</v>
      </c>
      <c r="AA47" s="4">
        <f t="shared" si="6"/>
        <v>50</v>
      </c>
      <c r="AB47" s="24"/>
      <c r="AC47" s="16">
        <f t="shared" si="7"/>
        <v>2</v>
      </c>
      <c r="AD47" s="16">
        <f t="shared" si="18"/>
        <v>7.6923076923076927E-2</v>
      </c>
      <c r="AE47" s="16">
        <v>58.6</v>
      </c>
      <c r="AF47" s="16">
        <v>50</v>
      </c>
      <c r="AG47" s="16">
        <v>30.6</v>
      </c>
      <c r="AH47" s="16">
        <v>40.799999999999997</v>
      </c>
      <c r="AI47" s="16">
        <v>47</v>
      </c>
      <c r="AJ47" s="16">
        <v>52.2</v>
      </c>
      <c r="AK47" s="16">
        <v>48.4</v>
      </c>
      <c r="AL47" s="16">
        <v>56.4</v>
      </c>
      <c r="AM47" s="16"/>
      <c r="AN47" s="16">
        <f t="shared" si="8"/>
        <v>20</v>
      </c>
      <c r="AO47" s="16"/>
      <c r="AP47" s="16"/>
      <c r="AQ47" s="16"/>
      <c r="AR47" s="16"/>
      <c r="AS47" s="16"/>
      <c r="AT47" s="16"/>
      <c r="AU47" s="16"/>
    </row>
    <row r="48" spans="1:47" x14ac:dyDescent="0.25">
      <c r="A48" s="16" t="s">
        <v>95</v>
      </c>
      <c r="B48" s="16" t="s">
        <v>41</v>
      </c>
      <c r="C48" s="16">
        <v>18.347999999999999</v>
      </c>
      <c r="D48" s="16">
        <v>1.4550000000000001</v>
      </c>
      <c r="E48" s="16">
        <v>9.1059999999999999</v>
      </c>
      <c r="F48" s="16">
        <v>10.696999999999999</v>
      </c>
      <c r="G48" s="6">
        <v>1</v>
      </c>
      <c r="H48" s="16">
        <v>40</v>
      </c>
      <c r="I48" s="16" t="s">
        <v>42</v>
      </c>
      <c r="J48" s="16"/>
      <c r="K48" s="16">
        <v>49.5</v>
      </c>
      <c r="L48" s="16">
        <f t="shared" si="15"/>
        <v>-40.393999999999998</v>
      </c>
      <c r="M48" s="16">
        <f t="shared" si="16"/>
        <v>9.1059999999999999</v>
      </c>
      <c r="N48" s="16"/>
      <c r="O48" s="16">
        <v>53.349600000000002</v>
      </c>
      <c r="P48" s="16"/>
      <c r="Q48" s="16"/>
      <c r="R48" s="16"/>
      <c r="S48" s="16"/>
      <c r="T48" s="16"/>
      <c r="U48" s="16"/>
      <c r="V48" s="16">
        <v>14.80909999999999</v>
      </c>
      <c r="W48" s="16"/>
      <c r="X48" s="16"/>
      <c r="Y48" s="16">
        <f t="shared" si="17"/>
        <v>1.8211999999999999</v>
      </c>
      <c r="Z48" s="4"/>
      <c r="AA48" s="4">
        <f t="shared" si="6"/>
        <v>0</v>
      </c>
      <c r="AB48" s="24"/>
      <c r="AC48" s="16">
        <f t="shared" si="7"/>
        <v>43.29875905996046</v>
      </c>
      <c r="AD48" s="16">
        <f t="shared" si="18"/>
        <v>43.29875905996046</v>
      </c>
      <c r="AE48" s="16">
        <v>7.1238000000000001</v>
      </c>
      <c r="AF48" s="16">
        <v>8.9621999999999993</v>
      </c>
      <c r="AG48" s="16">
        <v>4.3483999999999998</v>
      </c>
      <c r="AH48" s="16">
        <v>3.9114</v>
      </c>
      <c r="AI48" s="16">
        <v>4.0561999999999996</v>
      </c>
      <c r="AJ48" s="16">
        <v>5.2270000000000003</v>
      </c>
      <c r="AK48" s="16">
        <v>5.5009999999999986</v>
      </c>
      <c r="AL48" s="16">
        <v>4.4914000000000014</v>
      </c>
      <c r="AM48" s="20" t="s">
        <v>92</v>
      </c>
      <c r="AN48" s="16">
        <f t="shared" si="8"/>
        <v>0</v>
      </c>
      <c r="AO48" s="16"/>
      <c r="AP48" s="16"/>
      <c r="AQ48" s="16"/>
      <c r="AR48" s="16"/>
      <c r="AS48" s="16"/>
      <c r="AT48" s="16"/>
      <c r="AU48" s="16"/>
    </row>
    <row r="49" spans="1:47" x14ac:dyDescent="0.25">
      <c r="A49" s="16" t="s">
        <v>96</v>
      </c>
      <c r="B49" s="16" t="s">
        <v>46</v>
      </c>
      <c r="C49" s="16">
        <v>499</v>
      </c>
      <c r="D49" s="16">
        <v>95</v>
      </c>
      <c r="E49" s="16">
        <v>464</v>
      </c>
      <c r="F49" s="16">
        <v>97</v>
      </c>
      <c r="G49" s="6">
        <v>0.35</v>
      </c>
      <c r="H49" s="16">
        <v>40</v>
      </c>
      <c r="I49" s="8" t="s">
        <v>49</v>
      </c>
      <c r="J49" s="16"/>
      <c r="K49" s="16">
        <v>495</v>
      </c>
      <c r="L49" s="16">
        <f t="shared" si="15"/>
        <v>-31</v>
      </c>
      <c r="M49" s="16">
        <f t="shared" si="16"/>
        <v>464</v>
      </c>
      <c r="N49" s="16"/>
      <c r="O49" s="16">
        <v>200</v>
      </c>
      <c r="P49" s="16">
        <v>400</v>
      </c>
      <c r="Q49" s="16"/>
      <c r="R49" s="16"/>
      <c r="S49" s="16"/>
      <c r="T49" s="16"/>
      <c r="U49" s="16"/>
      <c r="V49" s="16">
        <v>159.73140000000001</v>
      </c>
      <c r="W49" s="16">
        <v>342.5686</v>
      </c>
      <c r="X49" s="16"/>
      <c r="Y49" s="16">
        <f t="shared" si="17"/>
        <v>92.8</v>
      </c>
      <c r="Z49" s="4"/>
      <c r="AA49" s="4">
        <f t="shared" si="6"/>
        <v>0</v>
      </c>
      <c r="AB49" s="24"/>
      <c r="AC49" s="16">
        <f t="shared" si="7"/>
        <v>12.923491379310345</v>
      </c>
      <c r="AD49" s="16">
        <f t="shared" si="18"/>
        <v>12.923491379310345</v>
      </c>
      <c r="AE49" s="16">
        <v>120.2</v>
      </c>
      <c r="AF49" s="16">
        <v>117.4</v>
      </c>
      <c r="AG49" s="16">
        <v>88</v>
      </c>
      <c r="AH49" s="16">
        <v>80.8</v>
      </c>
      <c r="AI49" s="16">
        <v>89.4</v>
      </c>
      <c r="AJ49" s="16">
        <v>110</v>
      </c>
      <c r="AK49" s="16">
        <v>269.2</v>
      </c>
      <c r="AL49" s="16">
        <v>266.39999999999998</v>
      </c>
      <c r="AM49" s="16" t="s">
        <v>97</v>
      </c>
      <c r="AN49" s="16">
        <f t="shared" si="8"/>
        <v>0</v>
      </c>
      <c r="AO49" s="16"/>
      <c r="AP49" s="16"/>
      <c r="AQ49" s="16"/>
      <c r="AR49" s="16"/>
      <c r="AS49" s="16"/>
      <c r="AT49" s="16"/>
      <c r="AU49" s="16"/>
    </row>
    <row r="50" spans="1:47" x14ac:dyDescent="0.25">
      <c r="A50" s="16" t="s">
        <v>98</v>
      </c>
      <c r="B50" s="16" t="s">
        <v>46</v>
      </c>
      <c r="C50" s="16">
        <v>301</v>
      </c>
      <c r="D50" s="16">
        <v>30</v>
      </c>
      <c r="E50" s="16">
        <v>243</v>
      </c>
      <c r="F50" s="16">
        <v>68</v>
      </c>
      <c r="G50" s="6">
        <v>0.4</v>
      </c>
      <c r="H50" s="16">
        <v>40</v>
      </c>
      <c r="I50" s="18" t="s">
        <v>76</v>
      </c>
      <c r="J50" s="16"/>
      <c r="K50" s="16">
        <v>566</v>
      </c>
      <c r="L50" s="16">
        <f t="shared" si="15"/>
        <v>-323</v>
      </c>
      <c r="M50" s="8">
        <f t="shared" si="16"/>
        <v>243</v>
      </c>
      <c r="N50" s="16"/>
      <c r="O50" s="8">
        <v>0</v>
      </c>
      <c r="P50" s="16">
        <v>200</v>
      </c>
      <c r="Q50" s="16"/>
      <c r="R50" s="16"/>
      <c r="S50" s="16"/>
      <c r="T50" s="16"/>
      <c r="U50" s="16"/>
      <c r="V50" s="8">
        <v>0</v>
      </c>
      <c r="W50" s="16">
        <v>371.82639999999998</v>
      </c>
      <c r="X50" s="16"/>
      <c r="Y50" s="16">
        <f t="shared" si="17"/>
        <v>48.6</v>
      </c>
      <c r="Z50" s="4"/>
      <c r="AA50" s="4">
        <f t="shared" si="6"/>
        <v>0</v>
      </c>
      <c r="AB50" s="24"/>
      <c r="AC50" s="16">
        <f t="shared" si="7"/>
        <v>13.165152263374484</v>
      </c>
      <c r="AD50" s="16">
        <f t="shared" si="18"/>
        <v>13.165152263374484</v>
      </c>
      <c r="AE50" s="16">
        <v>78.8</v>
      </c>
      <c r="AF50" s="16">
        <v>51</v>
      </c>
      <c r="AG50" s="16">
        <v>35.799999999999997</v>
      </c>
      <c r="AH50" s="16">
        <v>61</v>
      </c>
      <c r="AI50" s="16">
        <v>63.8</v>
      </c>
      <c r="AJ50" s="16">
        <v>76</v>
      </c>
      <c r="AK50" s="16">
        <v>54.6</v>
      </c>
      <c r="AL50" s="16">
        <v>57.4</v>
      </c>
      <c r="AM50" s="16"/>
      <c r="AN50" s="16">
        <f t="shared" si="8"/>
        <v>0</v>
      </c>
      <c r="AO50" s="16"/>
      <c r="AP50" s="16"/>
      <c r="AQ50" s="16"/>
      <c r="AR50" s="16"/>
      <c r="AS50" s="16"/>
      <c r="AT50" s="16"/>
      <c r="AU50" s="16"/>
    </row>
    <row r="51" spans="1:47" x14ac:dyDescent="0.25">
      <c r="A51" s="16" t="s">
        <v>99</v>
      </c>
      <c r="B51" s="16" t="s">
        <v>41</v>
      </c>
      <c r="C51" s="16">
        <v>96.043000000000006</v>
      </c>
      <c r="D51" s="16">
        <v>111.98699999999999</v>
      </c>
      <c r="E51" s="16">
        <v>84.010999999999996</v>
      </c>
      <c r="F51" s="16">
        <v>99.578999999999994</v>
      </c>
      <c r="G51" s="6">
        <v>1</v>
      </c>
      <c r="H51" s="16">
        <v>50</v>
      </c>
      <c r="I51" s="16" t="s">
        <v>42</v>
      </c>
      <c r="J51" s="16"/>
      <c r="K51" s="16">
        <v>108.4</v>
      </c>
      <c r="L51" s="16">
        <f t="shared" si="15"/>
        <v>-24.38900000000001</v>
      </c>
      <c r="M51" s="16">
        <f t="shared" si="16"/>
        <v>84.010999999999996</v>
      </c>
      <c r="N51" s="16"/>
      <c r="O51" s="16">
        <v>33.113399999999963</v>
      </c>
      <c r="P51" s="16"/>
      <c r="Q51" s="16"/>
      <c r="R51" s="16"/>
      <c r="S51" s="16"/>
      <c r="T51" s="16"/>
      <c r="U51" s="16"/>
      <c r="V51" s="16">
        <v>0</v>
      </c>
      <c r="W51" s="16"/>
      <c r="X51" s="16"/>
      <c r="Y51" s="16">
        <f t="shared" si="17"/>
        <v>16.802199999999999</v>
      </c>
      <c r="Z51" s="4">
        <f t="shared" si="19"/>
        <v>52.131800000000041</v>
      </c>
      <c r="AA51" s="4">
        <f t="shared" si="6"/>
        <v>52.131800000000041</v>
      </c>
      <c r="AB51" s="24"/>
      <c r="AC51" s="16">
        <f t="shared" si="7"/>
        <v>11.000000000000002</v>
      </c>
      <c r="AD51" s="16">
        <f t="shared" si="18"/>
        <v>7.8973229696111202</v>
      </c>
      <c r="AE51" s="16">
        <v>14.042400000000001</v>
      </c>
      <c r="AF51" s="16">
        <v>19.11</v>
      </c>
      <c r="AG51" s="16">
        <v>17.2288</v>
      </c>
      <c r="AH51" s="16">
        <v>15.883800000000001</v>
      </c>
      <c r="AI51" s="16">
        <v>16.6876</v>
      </c>
      <c r="AJ51" s="16">
        <v>20.451000000000001</v>
      </c>
      <c r="AK51" s="16">
        <v>20.7852</v>
      </c>
      <c r="AL51" s="16">
        <v>18.385200000000001</v>
      </c>
      <c r="AM51" s="16"/>
      <c r="AN51" s="16">
        <f t="shared" si="8"/>
        <v>52</v>
      </c>
      <c r="AO51" s="16"/>
      <c r="AP51" s="16"/>
      <c r="AQ51" s="16"/>
      <c r="AR51" s="16"/>
      <c r="AS51" s="16"/>
      <c r="AT51" s="16"/>
      <c r="AU51" s="16"/>
    </row>
    <row r="52" spans="1:47" x14ac:dyDescent="0.25">
      <c r="A52" s="16" t="s">
        <v>100</v>
      </c>
      <c r="B52" s="16" t="s">
        <v>41</v>
      </c>
      <c r="C52" s="16">
        <v>629.99599999999998</v>
      </c>
      <c r="D52" s="16">
        <v>315.036</v>
      </c>
      <c r="E52" s="16">
        <v>543.10299999999995</v>
      </c>
      <c r="F52" s="16">
        <v>370.92599999999999</v>
      </c>
      <c r="G52" s="6">
        <v>1</v>
      </c>
      <c r="H52" s="16">
        <v>50</v>
      </c>
      <c r="I52" s="16" t="s">
        <v>42</v>
      </c>
      <c r="J52" s="16"/>
      <c r="K52" s="16">
        <v>578.75</v>
      </c>
      <c r="L52" s="16">
        <f t="shared" si="15"/>
        <v>-35.647000000000048</v>
      </c>
      <c r="M52" s="16">
        <f t="shared" si="16"/>
        <v>543.10299999999995</v>
      </c>
      <c r="N52" s="16"/>
      <c r="O52" s="16">
        <v>0</v>
      </c>
      <c r="P52" s="16"/>
      <c r="Q52" s="16"/>
      <c r="R52" s="16"/>
      <c r="S52" s="16"/>
      <c r="T52" s="16"/>
      <c r="U52" s="16"/>
      <c r="V52" s="16">
        <v>322.07690000000002</v>
      </c>
      <c r="W52" s="16"/>
      <c r="X52" s="16"/>
      <c r="Y52" s="16">
        <f t="shared" si="17"/>
        <v>108.6206</v>
      </c>
      <c r="Z52" s="4">
        <f t="shared" si="19"/>
        <v>501.82369999999986</v>
      </c>
      <c r="AA52" s="31">
        <f>Z52+$AA$1*Y52</f>
        <v>708.20283999999981</v>
      </c>
      <c r="AB52" s="24"/>
      <c r="AC52" s="16">
        <f t="shared" si="7"/>
        <v>12.899999999999999</v>
      </c>
      <c r="AD52" s="16">
        <f t="shared" si="18"/>
        <v>6.3800319644708274</v>
      </c>
      <c r="AE52" s="16">
        <v>78.2346</v>
      </c>
      <c r="AF52" s="16">
        <v>79.395399999999995</v>
      </c>
      <c r="AG52" s="16">
        <v>52.078800000000022</v>
      </c>
      <c r="AH52" s="16">
        <v>97.671800000000005</v>
      </c>
      <c r="AI52" s="16">
        <v>62.823599999999999</v>
      </c>
      <c r="AJ52" s="16">
        <v>78.122199999999992</v>
      </c>
      <c r="AK52" s="16">
        <v>85.384200000000007</v>
      </c>
      <c r="AL52" s="16">
        <v>84.619600000000005</v>
      </c>
      <c r="AM52" s="16"/>
      <c r="AN52" s="16">
        <f t="shared" si="8"/>
        <v>708</v>
      </c>
      <c r="AO52" s="16"/>
      <c r="AP52" s="16"/>
      <c r="AQ52" s="16"/>
      <c r="AR52" s="16"/>
      <c r="AS52" s="16"/>
      <c r="AT52" s="16"/>
      <c r="AU52" s="16"/>
    </row>
    <row r="53" spans="1:47" x14ac:dyDescent="0.25">
      <c r="A53" s="10" t="s">
        <v>101</v>
      </c>
      <c r="B53" s="10" t="s">
        <v>41</v>
      </c>
      <c r="C53" s="10"/>
      <c r="D53" s="10"/>
      <c r="E53" s="10"/>
      <c r="F53" s="10"/>
      <c r="G53" s="11">
        <v>0</v>
      </c>
      <c r="H53" s="10"/>
      <c r="I53" s="10" t="s">
        <v>42</v>
      </c>
      <c r="J53" s="10"/>
      <c r="K53" s="10"/>
      <c r="L53" s="10">
        <f t="shared" si="15"/>
        <v>0</v>
      </c>
      <c r="M53" s="10">
        <f t="shared" si="16"/>
        <v>0</v>
      </c>
      <c r="N53" s="10"/>
      <c r="O53" s="10">
        <v>0</v>
      </c>
      <c r="P53" s="10"/>
      <c r="Q53" s="10"/>
      <c r="R53" s="10"/>
      <c r="S53" s="10"/>
      <c r="T53" s="10"/>
      <c r="U53" s="10"/>
      <c r="V53" s="10">
        <v>0</v>
      </c>
      <c r="W53" s="10"/>
      <c r="X53" s="10"/>
      <c r="Y53" s="10">
        <f t="shared" si="17"/>
        <v>0</v>
      </c>
      <c r="Z53" s="12"/>
      <c r="AA53" s="4">
        <f t="shared" si="6"/>
        <v>0</v>
      </c>
      <c r="AB53" s="24"/>
      <c r="AC53" s="16" t="e">
        <f t="shared" si="7"/>
        <v>#DIV/0!</v>
      </c>
      <c r="AD53" s="10" t="e">
        <f t="shared" si="18"/>
        <v>#DIV/0!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 t="s">
        <v>64</v>
      </c>
      <c r="AN53" s="16">
        <f t="shared" si="8"/>
        <v>0</v>
      </c>
      <c r="AO53" s="16"/>
      <c r="AP53" s="16"/>
      <c r="AQ53" s="16"/>
      <c r="AR53" s="16"/>
      <c r="AS53" s="16"/>
      <c r="AT53" s="16"/>
      <c r="AU53" s="16"/>
    </row>
    <row r="54" spans="1:47" x14ac:dyDescent="0.25">
      <c r="A54" s="16" t="s">
        <v>102</v>
      </c>
      <c r="B54" s="16" t="s">
        <v>46</v>
      </c>
      <c r="C54" s="16">
        <v>521</v>
      </c>
      <c r="D54" s="16">
        <v>101</v>
      </c>
      <c r="E54" s="16">
        <v>397</v>
      </c>
      <c r="F54" s="16">
        <v>196</v>
      </c>
      <c r="G54" s="6">
        <v>0.45</v>
      </c>
      <c r="H54" s="16">
        <v>50</v>
      </c>
      <c r="I54" s="16" t="s">
        <v>42</v>
      </c>
      <c r="J54" s="16"/>
      <c r="K54" s="16">
        <v>435</v>
      </c>
      <c r="L54" s="16">
        <f t="shared" si="15"/>
        <v>-38</v>
      </c>
      <c r="M54" s="16">
        <f t="shared" si="16"/>
        <v>397</v>
      </c>
      <c r="N54" s="16"/>
      <c r="O54" s="16">
        <v>231.1999999999999</v>
      </c>
      <c r="P54" s="16"/>
      <c r="Q54" s="16"/>
      <c r="R54" s="16"/>
      <c r="S54" s="16"/>
      <c r="T54" s="16">
        <v>100</v>
      </c>
      <c r="U54" s="16"/>
      <c r="V54" s="16">
        <v>357.10000000000008</v>
      </c>
      <c r="W54" s="16"/>
      <c r="X54" s="16"/>
      <c r="Y54" s="16">
        <f t="shared" si="17"/>
        <v>79.400000000000006</v>
      </c>
      <c r="Z54" s="4"/>
      <c r="AA54" s="4">
        <f t="shared" si="6"/>
        <v>0</v>
      </c>
      <c r="AB54" s="24"/>
      <c r="AC54" s="16">
        <f t="shared" si="7"/>
        <v>11.137279596977329</v>
      </c>
      <c r="AD54" s="16">
        <f t="shared" si="18"/>
        <v>11.137279596977329</v>
      </c>
      <c r="AE54" s="16">
        <v>86.2</v>
      </c>
      <c r="AF54" s="16">
        <v>84</v>
      </c>
      <c r="AG54" s="16">
        <v>66.400000000000006</v>
      </c>
      <c r="AH54" s="16">
        <v>64.8</v>
      </c>
      <c r="AI54" s="16">
        <v>74.2</v>
      </c>
      <c r="AJ54" s="16">
        <v>96</v>
      </c>
      <c r="AK54" s="16">
        <v>96.8</v>
      </c>
      <c r="AL54" s="16">
        <v>97.4</v>
      </c>
      <c r="AM54" s="16"/>
      <c r="AN54" s="16">
        <f t="shared" si="8"/>
        <v>0</v>
      </c>
      <c r="AO54" s="16"/>
      <c r="AP54" s="16"/>
      <c r="AQ54" s="16"/>
      <c r="AR54" s="16"/>
      <c r="AS54" s="16"/>
      <c r="AT54" s="16"/>
      <c r="AU54" s="16"/>
    </row>
    <row r="55" spans="1:47" x14ac:dyDescent="0.25">
      <c r="A55" s="16" t="s">
        <v>103</v>
      </c>
      <c r="B55" s="16" t="s">
        <v>46</v>
      </c>
      <c r="C55" s="16">
        <v>712</v>
      </c>
      <c r="D55" s="16">
        <v>107</v>
      </c>
      <c r="E55" s="16">
        <v>430</v>
      </c>
      <c r="F55" s="16">
        <v>358</v>
      </c>
      <c r="G55" s="6">
        <v>0.45</v>
      </c>
      <c r="H55" s="16">
        <v>50</v>
      </c>
      <c r="I55" s="16" t="s">
        <v>42</v>
      </c>
      <c r="J55" s="16"/>
      <c r="K55" s="16">
        <v>497</v>
      </c>
      <c r="L55" s="16">
        <f t="shared" si="15"/>
        <v>-67</v>
      </c>
      <c r="M55" s="16">
        <f t="shared" si="16"/>
        <v>430</v>
      </c>
      <c r="N55" s="16"/>
      <c r="O55" s="16">
        <v>406</v>
      </c>
      <c r="P55" s="16"/>
      <c r="Q55" s="16"/>
      <c r="R55" s="16"/>
      <c r="S55" s="16"/>
      <c r="T55" s="16">
        <v>500</v>
      </c>
      <c r="U55" s="16"/>
      <c r="V55" s="16">
        <v>0</v>
      </c>
      <c r="W55" s="16"/>
      <c r="X55" s="16"/>
      <c r="Y55" s="16">
        <f t="shared" si="17"/>
        <v>86</v>
      </c>
      <c r="Z55" s="4"/>
      <c r="AA55" s="4">
        <f t="shared" si="6"/>
        <v>0</v>
      </c>
      <c r="AB55" s="24"/>
      <c r="AC55" s="16">
        <f t="shared" si="7"/>
        <v>14.697674418604651</v>
      </c>
      <c r="AD55" s="16">
        <f t="shared" si="18"/>
        <v>14.697674418604651</v>
      </c>
      <c r="AE55" s="16">
        <v>112.8</v>
      </c>
      <c r="AF55" s="16">
        <v>148.19999999999999</v>
      </c>
      <c r="AG55" s="16">
        <v>93.6</v>
      </c>
      <c r="AH55" s="16">
        <v>89.2</v>
      </c>
      <c r="AI55" s="16">
        <v>95.2</v>
      </c>
      <c r="AJ55" s="16">
        <v>128.6</v>
      </c>
      <c r="AK55" s="16">
        <v>132</v>
      </c>
      <c r="AL55" s="16">
        <v>114.6</v>
      </c>
      <c r="AM55" s="16"/>
      <c r="AN55" s="16">
        <f t="shared" si="8"/>
        <v>0</v>
      </c>
      <c r="AO55" s="16"/>
      <c r="AP55" s="16"/>
      <c r="AQ55" s="16"/>
      <c r="AR55" s="16"/>
      <c r="AS55" s="16"/>
      <c r="AT55" s="16"/>
      <c r="AU55" s="16"/>
    </row>
    <row r="56" spans="1:47" x14ac:dyDescent="0.25">
      <c r="A56" s="10" t="s">
        <v>104</v>
      </c>
      <c r="B56" s="10" t="s">
        <v>46</v>
      </c>
      <c r="C56" s="10"/>
      <c r="D56" s="10"/>
      <c r="E56" s="10"/>
      <c r="F56" s="10"/>
      <c r="G56" s="11">
        <v>0</v>
      </c>
      <c r="H56" s="10"/>
      <c r="I56" s="10" t="s">
        <v>42</v>
      </c>
      <c r="J56" s="10"/>
      <c r="K56" s="10"/>
      <c r="L56" s="10">
        <f t="shared" si="15"/>
        <v>0</v>
      </c>
      <c r="M56" s="10">
        <f t="shared" si="16"/>
        <v>0</v>
      </c>
      <c r="N56" s="10"/>
      <c r="O56" s="10">
        <v>0</v>
      </c>
      <c r="P56" s="10"/>
      <c r="Q56" s="10"/>
      <c r="R56" s="10"/>
      <c r="S56" s="10"/>
      <c r="T56" s="10"/>
      <c r="U56" s="10"/>
      <c r="V56" s="10">
        <v>0</v>
      </c>
      <c r="W56" s="10"/>
      <c r="X56" s="10"/>
      <c r="Y56" s="10">
        <f t="shared" si="17"/>
        <v>0</v>
      </c>
      <c r="Z56" s="12"/>
      <c r="AA56" s="4">
        <f t="shared" si="6"/>
        <v>0</v>
      </c>
      <c r="AB56" s="24"/>
      <c r="AC56" s="16" t="e">
        <f t="shared" si="7"/>
        <v>#DIV/0!</v>
      </c>
      <c r="AD56" s="10" t="e">
        <f t="shared" si="18"/>
        <v>#DIV/0!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 t="s">
        <v>64</v>
      </c>
      <c r="AN56" s="16">
        <f t="shared" si="8"/>
        <v>0</v>
      </c>
      <c r="AO56" s="16"/>
      <c r="AP56" s="16"/>
      <c r="AQ56" s="16"/>
      <c r="AR56" s="16"/>
      <c r="AS56" s="16"/>
      <c r="AT56" s="16"/>
      <c r="AU56" s="16"/>
    </row>
    <row r="57" spans="1:47" x14ac:dyDescent="0.25">
      <c r="A57" s="16" t="s">
        <v>105</v>
      </c>
      <c r="B57" s="16" t="s">
        <v>46</v>
      </c>
      <c r="C57" s="16">
        <v>9</v>
      </c>
      <c r="D57" s="16">
        <v>22</v>
      </c>
      <c r="E57" s="16">
        <v>14</v>
      </c>
      <c r="F57" s="16">
        <v>6</v>
      </c>
      <c r="G57" s="6">
        <v>0.4</v>
      </c>
      <c r="H57" s="16">
        <v>40</v>
      </c>
      <c r="I57" s="18" t="s">
        <v>76</v>
      </c>
      <c r="J57" s="16"/>
      <c r="K57" s="16">
        <v>28</v>
      </c>
      <c r="L57" s="16">
        <f t="shared" si="15"/>
        <v>-14</v>
      </c>
      <c r="M57" s="16">
        <f t="shared" si="16"/>
        <v>14</v>
      </c>
      <c r="N57" s="16"/>
      <c r="O57" s="16">
        <v>32.020000000000003</v>
      </c>
      <c r="P57" s="16"/>
      <c r="Q57" s="16"/>
      <c r="R57" s="16"/>
      <c r="S57" s="16"/>
      <c r="T57" s="16"/>
      <c r="U57" s="16"/>
      <c r="V57" s="8">
        <v>0</v>
      </c>
      <c r="W57" s="16"/>
      <c r="X57" s="16"/>
      <c r="Y57" s="16">
        <f t="shared" si="17"/>
        <v>2.8</v>
      </c>
      <c r="Z57" s="4"/>
      <c r="AA57" s="4">
        <f t="shared" si="6"/>
        <v>0</v>
      </c>
      <c r="AB57" s="24"/>
      <c r="AC57" s="16">
        <f t="shared" si="7"/>
        <v>13.578571428571431</v>
      </c>
      <c r="AD57" s="16">
        <f t="shared" si="18"/>
        <v>13.578571428571431</v>
      </c>
      <c r="AE57" s="16">
        <v>4.8</v>
      </c>
      <c r="AF57" s="16">
        <v>5.6</v>
      </c>
      <c r="AG57" s="16">
        <v>3</v>
      </c>
      <c r="AH57" s="16">
        <v>3.2</v>
      </c>
      <c r="AI57" s="16">
        <v>3.8</v>
      </c>
      <c r="AJ57" s="16">
        <v>3.8</v>
      </c>
      <c r="AK57" s="16">
        <v>-0.6</v>
      </c>
      <c r="AL57" s="16">
        <v>0.8</v>
      </c>
      <c r="AM57" s="16"/>
      <c r="AN57" s="16">
        <f t="shared" si="8"/>
        <v>0</v>
      </c>
      <c r="AO57" s="16"/>
      <c r="AP57" s="16"/>
      <c r="AQ57" s="16"/>
      <c r="AR57" s="16"/>
      <c r="AS57" s="16"/>
      <c r="AT57" s="16"/>
      <c r="AU57" s="16"/>
    </row>
    <row r="58" spans="1:47" x14ac:dyDescent="0.25">
      <c r="A58" s="16" t="s">
        <v>106</v>
      </c>
      <c r="B58" s="16" t="s">
        <v>41</v>
      </c>
      <c r="C58" s="16">
        <v>403.16800000000001</v>
      </c>
      <c r="D58" s="16">
        <v>681.28200000000004</v>
      </c>
      <c r="E58" s="16">
        <v>344.20499999999998</v>
      </c>
      <c r="F58" s="16">
        <v>728.30600000000004</v>
      </c>
      <c r="G58" s="6">
        <v>1</v>
      </c>
      <c r="H58" s="16">
        <v>50</v>
      </c>
      <c r="I58" s="9" t="s">
        <v>42</v>
      </c>
      <c r="J58" s="16"/>
      <c r="K58" s="16">
        <v>357.85</v>
      </c>
      <c r="L58" s="16">
        <f t="shared" si="15"/>
        <v>-13.645000000000039</v>
      </c>
      <c r="M58" s="16">
        <f t="shared" si="16"/>
        <v>344.20499999999998</v>
      </c>
      <c r="N58" s="16"/>
      <c r="O58" s="16">
        <v>43.43853600000017</v>
      </c>
      <c r="P58" s="16"/>
      <c r="Q58" s="16"/>
      <c r="R58" s="16"/>
      <c r="S58" s="16"/>
      <c r="T58" s="16"/>
      <c r="U58" s="16"/>
      <c r="V58" s="16">
        <v>0</v>
      </c>
      <c r="W58" s="16"/>
      <c r="X58" s="16"/>
      <c r="Y58" s="16">
        <f t="shared" si="17"/>
        <v>68.840999999999994</v>
      </c>
      <c r="Z58" s="4"/>
      <c r="AA58" s="4">
        <f t="shared" si="6"/>
        <v>0</v>
      </c>
      <c r="AB58" s="24"/>
      <c r="AC58" s="16">
        <f t="shared" si="7"/>
        <v>11.210536395462009</v>
      </c>
      <c r="AD58" s="16">
        <f t="shared" si="18"/>
        <v>11.210536395462009</v>
      </c>
      <c r="AE58" s="16">
        <v>74.638599999999997</v>
      </c>
      <c r="AF58" s="16">
        <v>99.823999999999998</v>
      </c>
      <c r="AG58" s="16">
        <v>124.6264</v>
      </c>
      <c r="AH58" s="16">
        <v>103.889</v>
      </c>
      <c r="AI58" s="16">
        <v>63.091200000000001</v>
      </c>
      <c r="AJ58" s="16">
        <v>69.980199999999996</v>
      </c>
      <c r="AK58" s="16">
        <v>120.0566</v>
      </c>
      <c r="AL58" s="16">
        <v>112.971</v>
      </c>
      <c r="AM58" s="16"/>
      <c r="AN58" s="16">
        <f t="shared" si="8"/>
        <v>0</v>
      </c>
      <c r="AO58" s="16"/>
      <c r="AP58" s="16"/>
      <c r="AQ58" s="16"/>
      <c r="AR58" s="16"/>
      <c r="AS58" s="16"/>
      <c r="AT58" s="16"/>
      <c r="AU58" s="16"/>
    </row>
    <row r="59" spans="1:47" x14ac:dyDescent="0.25">
      <c r="A59" s="16" t="s">
        <v>107</v>
      </c>
      <c r="B59" s="16" t="s">
        <v>46</v>
      </c>
      <c r="C59" s="16">
        <v>174</v>
      </c>
      <c r="D59" s="16">
        <v>8</v>
      </c>
      <c r="E59" s="16">
        <v>122</v>
      </c>
      <c r="F59" s="16">
        <v>59</v>
      </c>
      <c r="G59" s="6">
        <v>0.1</v>
      </c>
      <c r="H59" s="16">
        <v>731</v>
      </c>
      <c r="I59" s="16" t="s">
        <v>42</v>
      </c>
      <c r="J59" s="16"/>
      <c r="K59" s="16">
        <v>123</v>
      </c>
      <c r="L59" s="16">
        <f t="shared" si="15"/>
        <v>-1</v>
      </c>
      <c r="M59" s="16">
        <f t="shared" si="16"/>
        <v>122</v>
      </c>
      <c r="N59" s="16"/>
      <c r="O59" s="16">
        <v>118.6</v>
      </c>
      <c r="P59" s="16"/>
      <c r="Q59" s="16"/>
      <c r="R59" s="16"/>
      <c r="S59" s="16"/>
      <c r="T59" s="16"/>
      <c r="U59" s="16"/>
      <c r="V59" s="16">
        <v>72.999999999999972</v>
      </c>
      <c r="W59" s="16"/>
      <c r="X59" s="16"/>
      <c r="Y59" s="16">
        <f t="shared" si="17"/>
        <v>24.4</v>
      </c>
      <c r="Z59" s="4">
        <f t="shared" ref="Z59:Z70" si="20">11*Y59-X59-W59-V59-U59-T59-S59-R59-Q59-P59-O59-F59</f>
        <v>17.800000000000011</v>
      </c>
      <c r="AA59" s="4">
        <f t="shared" si="6"/>
        <v>17.800000000000011</v>
      </c>
      <c r="AB59" s="24"/>
      <c r="AC59" s="16">
        <f t="shared" si="7"/>
        <v>11</v>
      </c>
      <c r="AD59" s="16">
        <f t="shared" si="18"/>
        <v>10.270491803278688</v>
      </c>
      <c r="AE59" s="16">
        <v>26.4</v>
      </c>
      <c r="AF59" s="16">
        <v>26.6</v>
      </c>
      <c r="AG59" s="16">
        <v>17.600000000000001</v>
      </c>
      <c r="AH59" s="16">
        <v>20.2</v>
      </c>
      <c r="AI59" s="16">
        <v>21.8</v>
      </c>
      <c r="AJ59" s="16">
        <v>26.4</v>
      </c>
      <c r="AK59" s="16">
        <v>29.2</v>
      </c>
      <c r="AL59" s="16">
        <v>30</v>
      </c>
      <c r="AM59" s="16"/>
      <c r="AN59" s="16">
        <f t="shared" si="8"/>
        <v>2</v>
      </c>
      <c r="AO59" s="16"/>
      <c r="AP59" s="16"/>
      <c r="AQ59" s="16"/>
      <c r="AR59" s="16"/>
      <c r="AS59" s="16"/>
      <c r="AT59" s="16"/>
      <c r="AU59" s="16"/>
    </row>
    <row r="60" spans="1:47" x14ac:dyDescent="0.25">
      <c r="A60" s="16" t="s">
        <v>108</v>
      </c>
      <c r="B60" s="16" t="s">
        <v>41</v>
      </c>
      <c r="C60" s="16">
        <v>308.19499999999999</v>
      </c>
      <c r="D60" s="16">
        <v>189.42099999999999</v>
      </c>
      <c r="E60" s="16">
        <v>396.30099999999999</v>
      </c>
      <c r="F60" s="16">
        <v>-17.873000000000001</v>
      </c>
      <c r="G60" s="6">
        <v>1</v>
      </c>
      <c r="H60" s="16">
        <v>50</v>
      </c>
      <c r="I60" s="9" t="s">
        <v>42</v>
      </c>
      <c r="J60" s="16"/>
      <c r="K60" s="16">
        <v>760.72299999999996</v>
      </c>
      <c r="L60" s="16">
        <f t="shared" si="15"/>
        <v>-364.42199999999997</v>
      </c>
      <c r="M60" s="16">
        <f t="shared" si="16"/>
        <v>288.97800000000001</v>
      </c>
      <c r="N60" s="16">
        <v>107.32299999999999</v>
      </c>
      <c r="O60" s="16">
        <v>650.53757800000017</v>
      </c>
      <c r="P60" s="16"/>
      <c r="Q60" s="16"/>
      <c r="R60" s="16"/>
      <c r="S60" s="16"/>
      <c r="T60" s="16"/>
      <c r="U60" s="16"/>
      <c r="V60" s="16">
        <v>277.54262199999971</v>
      </c>
      <c r="W60" s="16"/>
      <c r="X60" s="16"/>
      <c r="Y60" s="16">
        <f t="shared" si="17"/>
        <v>57.7956</v>
      </c>
      <c r="Z60" s="4"/>
      <c r="AA60" s="4">
        <f t="shared" si="6"/>
        <v>0</v>
      </c>
      <c r="AB60" s="24"/>
      <c r="AC60" s="16">
        <f t="shared" si="7"/>
        <v>15.748728276893047</v>
      </c>
      <c r="AD60" s="16">
        <f t="shared" si="18"/>
        <v>15.748728276893047</v>
      </c>
      <c r="AE60" s="16">
        <v>86.590799999999987</v>
      </c>
      <c r="AF60" s="16">
        <v>102.032</v>
      </c>
      <c r="AG60" s="16">
        <v>70.132199999999997</v>
      </c>
      <c r="AH60" s="16">
        <v>63.280999999999992</v>
      </c>
      <c r="AI60" s="16">
        <v>79.756600000000006</v>
      </c>
      <c r="AJ60" s="16">
        <v>81.925600000000003</v>
      </c>
      <c r="AK60" s="16">
        <v>86.080600000000004</v>
      </c>
      <c r="AL60" s="16">
        <v>92.588999999999999</v>
      </c>
      <c r="AM60" s="16"/>
      <c r="AN60" s="16">
        <f t="shared" si="8"/>
        <v>0</v>
      </c>
      <c r="AO60" s="16"/>
      <c r="AP60" s="16"/>
      <c r="AQ60" s="16"/>
      <c r="AR60" s="16"/>
      <c r="AS60" s="16"/>
      <c r="AT60" s="16"/>
      <c r="AU60" s="16"/>
    </row>
    <row r="61" spans="1:47" x14ac:dyDescent="0.25">
      <c r="A61" s="16" t="s">
        <v>109</v>
      </c>
      <c r="B61" s="16" t="s">
        <v>41</v>
      </c>
      <c r="C61" s="16">
        <v>24.315000000000001</v>
      </c>
      <c r="D61" s="16"/>
      <c r="E61" s="16">
        <v>18.901</v>
      </c>
      <c r="F61" s="16">
        <v>5.4139999999999997</v>
      </c>
      <c r="G61" s="6">
        <v>1</v>
      </c>
      <c r="H61" s="16">
        <v>55</v>
      </c>
      <c r="I61" s="16" t="s">
        <v>42</v>
      </c>
      <c r="J61" s="16"/>
      <c r="K61" s="16">
        <v>19.600000000000001</v>
      </c>
      <c r="L61" s="16">
        <f t="shared" si="15"/>
        <v>-0.69900000000000162</v>
      </c>
      <c r="M61" s="16">
        <f t="shared" si="16"/>
        <v>18.901</v>
      </c>
      <c r="N61" s="16"/>
      <c r="O61" s="16">
        <v>51.130200000000002</v>
      </c>
      <c r="P61" s="16"/>
      <c r="Q61" s="16"/>
      <c r="R61" s="16"/>
      <c r="S61" s="16"/>
      <c r="T61" s="16"/>
      <c r="U61" s="16"/>
      <c r="V61" s="16">
        <v>25.131799999999998</v>
      </c>
      <c r="W61" s="16"/>
      <c r="X61" s="16"/>
      <c r="Y61" s="16">
        <f t="shared" si="17"/>
        <v>3.7801999999999998</v>
      </c>
      <c r="Z61" s="4"/>
      <c r="AA61" s="4">
        <f t="shared" si="6"/>
        <v>0</v>
      </c>
      <c r="AB61" s="24"/>
      <c r="AC61" s="16">
        <f t="shared" si="7"/>
        <v>21.606264218824403</v>
      </c>
      <c r="AD61" s="16">
        <f t="shared" si="18"/>
        <v>21.606264218824403</v>
      </c>
      <c r="AE61" s="16">
        <v>7.5739999999999998</v>
      </c>
      <c r="AF61" s="16">
        <v>8.3827999999999996</v>
      </c>
      <c r="AG61" s="16">
        <v>3.4996</v>
      </c>
      <c r="AH61" s="16">
        <v>4.0301999999999998</v>
      </c>
      <c r="AI61" s="16">
        <v>4.2412000000000001</v>
      </c>
      <c r="AJ61" s="16">
        <v>5.3171999999999997</v>
      </c>
      <c r="AK61" s="16">
        <v>3.4356</v>
      </c>
      <c r="AL61" s="16">
        <v>4.8685999999999998</v>
      </c>
      <c r="AM61" s="16"/>
      <c r="AN61" s="16">
        <f t="shared" si="8"/>
        <v>0</v>
      </c>
      <c r="AO61" s="16"/>
      <c r="AP61" s="16"/>
      <c r="AQ61" s="16"/>
      <c r="AR61" s="16"/>
      <c r="AS61" s="16"/>
      <c r="AT61" s="16"/>
      <c r="AU61" s="16"/>
    </row>
    <row r="62" spans="1:47" x14ac:dyDescent="0.25">
      <c r="A62" s="16" t="s">
        <v>110</v>
      </c>
      <c r="B62" s="16" t="s">
        <v>46</v>
      </c>
      <c r="C62" s="16">
        <v>154</v>
      </c>
      <c r="D62" s="16">
        <v>7</v>
      </c>
      <c r="E62" s="16">
        <v>118</v>
      </c>
      <c r="F62" s="16">
        <v>42</v>
      </c>
      <c r="G62" s="6">
        <v>0.1</v>
      </c>
      <c r="H62" s="16">
        <v>731</v>
      </c>
      <c r="I62" s="16" t="s">
        <v>42</v>
      </c>
      <c r="J62" s="16"/>
      <c r="K62" s="16">
        <v>119</v>
      </c>
      <c r="L62" s="16">
        <f t="shared" si="15"/>
        <v>-1</v>
      </c>
      <c r="M62" s="16">
        <f t="shared" si="16"/>
        <v>118</v>
      </c>
      <c r="N62" s="16"/>
      <c r="O62" s="16">
        <v>112.2</v>
      </c>
      <c r="P62" s="16"/>
      <c r="Q62" s="16"/>
      <c r="R62" s="16"/>
      <c r="S62" s="16"/>
      <c r="T62" s="16"/>
      <c r="U62" s="16"/>
      <c r="V62" s="16">
        <v>55.300000000000011</v>
      </c>
      <c r="W62" s="16"/>
      <c r="X62" s="16"/>
      <c r="Y62" s="16">
        <f t="shared" si="17"/>
        <v>23.6</v>
      </c>
      <c r="Z62" s="4">
        <f t="shared" si="20"/>
        <v>50.100000000000009</v>
      </c>
      <c r="AA62" s="4">
        <f t="shared" si="6"/>
        <v>50.100000000000009</v>
      </c>
      <c r="AB62" s="24"/>
      <c r="AC62" s="16">
        <f t="shared" si="7"/>
        <v>11</v>
      </c>
      <c r="AD62" s="16">
        <f t="shared" si="18"/>
        <v>8.8771186440677958</v>
      </c>
      <c r="AE62" s="16">
        <v>23</v>
      </c>
      <c r="AF62" s="16">
        <v>24.2</v>
      </c>
      <c r="AG62" s="16">
        <v>17.600000000000001</v>
      </c>
      <c r="AH62" s="16">
        <v>17.600000000000001</v>
      </c>
      <c r="AI62" s="16">
        <v>20.8</v>
      </c>
      <c r="AJ62" s="16">
        <v>23.6</v>
      </c>
      <c r="AK62" s="16">
        <v>27.2</v>
      </c>
      <c r="AL62" s="16">
        <v>30.4</v>
      </c>
      <c r="AM62" s="16"/>
      <c r="AN62" s="16">
        <f t="shared" si="8"/>
        <v>5</v>
      </c>
      <c r="AO62" s="16"/>
      <c r="AP62" s="16"/>
      <c r="AQ62" s="16"/>
      <c r="AR62" s="16"/>
      <c r="AS62" s="16"/>
      <c r="AT62" s="16"/>
      <c r="AU62" s="16"/>
    </row>
    <row r="63" spans="1:47" x14ac:dyDescent="0.25">
      <c r="A63" s="16" t="s">
        <v>111</v>
      </c>
      <c r="B63" s="16" t="s">
        <v>46</v>
      </c>
      <c r="C63" s="16">
        <v>16</v>
      </c>
      <c r="D63" s="16">
        <v>20</v>
      </c>
      <c r="E63" s="16">
        <v>11</v>
      </c>
      <c r="F63" s="16">
        <v>25</v>
      </c>
      <c r="G63" s="6">
        <v>0.4</v>
      </c>
      <c r="H63" s="16">
        <v>50</v>
      </c>
      <c r="I63" s="16" t="s">
        <v>42</v>
      </c>
      <c r="J63" s="16"/>
      <c r="K63" s="16">
        <v>12</v>
      </c>
      <c r="L63" s="16">
        <f t="shared" si="15"/>
        <v>-1</v>
      </c>
      <c r="M63" s="16">
        <f t="shared" si="16"/>
        <v>11</v>
      </c>
      <c r="N63" s="16"/>
      <c r="O63" s="16">
        <v>0</v>
      </c>
      <c r="P63" s="16"/>
      <c r="Q63" s="16"/>
      <c r="R63" s="16"/>
      <c r="S63" s="16"/>
      <c r="T63" s="16"/>
      <c r="U63" s="16"/>
      <c r="V63" s="16">
        <v>0</v>
      </c>
      <c r="W63" s="16"/>
      <c r="X63" s="16"/>
      <c r="Y63" s="16">
        <f t="shared" si="17"/>
        <v>2.2000000000000002</v>
      </c>
      <c r="Z63" s="4"/>
      <c r="AA63" s="4">
        <f t="shared" si="6"/>
        <v>0</v>
      </c>
      <c r="AB63" s="24"/>
      <c r="AC63" s="16">
        <f t="shared" si="7"/>
        <v>11.363636363636363</v>
      </c>
      <c r="AD63" s="16">
        <f t="shared" si="18"/>
        <v>11.363636363636363</v>
      </c>
      <c r="AE63" s="16">
        <v>1</v>
      </c>
      <c r="AF63" s="16">
        <v>1.6</v>
      </c>
      <c r="AG63" s="16">
        <v>2.8</v>
      </c>
      <c r="AH63" s="16">
        <v>1.2</v>
      </c>
      <c r="AI63" s="16">
        <v>0.2</v>
      </c>
      <c r="AJ63" s="16">
        <v>1.6</v>
      </c>
      <c r="AK63" s="16">
        <v>2.8</v>
      </c>
      <c r="AL63" s="16">
        <v>1.2</v>
      </c>
      <c r="AM63" s="16"/>
      <c r="AN63" s="16">
        <f t="shared" si="8"/>
        <v>0</v>
      </c>
      <c r="AO63" s="16"/>
      <c r="AP63" s="16"/>
      <c r="AQ63" s="16"/>
      <c r="AR63" s="16"/>
      <c r="AS63" s="16"/>
      <c r="AT63" s="16"/>
      <c r="AU63" s="16"/>
    </row>
    <row r="64" spans="1:47" x14ac:dyDescent="0.25">
      <c r="A64" s="16" t="s">
        <v>112</v>
      </c>
      <c r="B64" s="16" t="s">
        <v>41</v>
      </c>
      <c r="C64" s="16">
        <v>78.546000000000006</v>
      </c>
      <c r="D64" s="16"/>
      <c r="E64" s="16">
        <v>64.349000000000004</v>
      </c>
      <c r="F64" s="16">
        <v>-1.1850000000000001</v>
      </c>
      <c r="G64" s="6">
        <v>1</v>
      </c>
      <c r="H64" s="16">
        <v>40</v>
      </c>
      <c r="I64" s="16" t="s">
        <v>42</v>
      </c>
      <c r="J64" s="16"/>
      <c r="K64" s="16">
        <v>64.900000000000006</v>
      </c>
      <c r="L64" s="16">
        <f t="shared" si="15"/>
        <v>-0.55100000000000193</v>
      </c>
      <c r="M64" s="16">
        <f t="shared" si="16"/>
        <v>64.349000000000004</v>
      </c>
      <c r="N64" s="16"/>
      <c r="O64" s="16">
        <v>0</v>
      </c>
      <c r="P64" s="16"/>
      <c r="Q64" s="16"/>
      <c r="R64" s="16"/>
      <c r="S64" s="16"/>
      <c r="T64" s="16"/>
      <c r="U64" s="16"/>
      <c r="V64" s="16">
        <v>150</v>
      </c>
      <c r="W64" s="16"/>
      <c r="X64" s="16"/>
      <c r="Y64" s="16">
        <f t="shared" si="17"/>
        <v>12.869800000000001</v>
      </c>
      <c r="Z64" s="4"/>
      <c r="AA64" s="27">
        <v>300</v>
      </c>
      <c r="AB64" s="24"/>
      <c r="AC64" s="16">
        <f t="shared" si="7"/>
        <v>34.873502307728167</v>
      </c>
      <c r="AD64" s="16">
        <f t="shared" si="18"/>
        <v>11.563116753951109</v>
      </c>
      <c r="AE64" s="16">
        <v>11.319000000000001</v>
      </c>
      <c r="AF64" s="16">
        <v>7.4388000000000014</v>
      </c>
      <c r="AG64" s="16">
        <v>8.8168000000000006</v>
      </c>
      <c r="AH64" s="16">
        <v>9.9623999999999988</v>
      </c>
      <c r="AI64" s="16">
        <v>9.6790000000000003</v>
      </c>
      <c r="AJ64" s="16">
        <v>10.668799999999999</v>
      </c>
      <c r="AK64" s="16">
        <v>14.4322</v>
      </c>
      <c r="AL64" s="16">
        <v>12.6326</v>
      </c>
      <c r="AM64" s="28" t="s">
        <v>190</v>
      </c>
      <c r="AN64" s="16">
        <f t="shared" si="8"/>
        <v>300</v>
      </c>
      <c r="AO64" s="16"/>
      <c r="AP64" s="16"/>
      <c r="AQ64" s="16"/>
      <c r="AR64" s="16"/>
      <c r="AS64" s="16"/>
      <c r="AT64" s="16"/>
      <c r="AU64" s="16"/>
    </row>
    <row r="65" spans="1:47" x14ac:dyDescent="0.25">
      <c r="A65" s="16" t="s">
        <v>113</v>
      </c>
      <c r="B65" s="16" t="s">
        <v>41</v>
      </c>
      <c r="C65" s="16">
        <v>1.4119999999999999</v>
      </c>
      <c r="D65" s="16">
        <v>48.613999999999997</v>
      </c>
      <c r="E65" s="16">
        <v>1.3440000000000001</v>
      </c>
      <c r="F65" s="16">
        <v>-12.244999999999999</v>
      </c>
      <c r="G65" s="6">
        <v>1</v>
      </c>
      <c r="H65" s="16">
        <v>40</v>
      </c>
      <c r="I65" s="16" t="s">
        <v>42</v>
      </c>
      <c r="J65" s="16"/>
      <c r="K65" s="16">
        <v>90.3</v>
      </c>
      <c r="L65" s="16">
        <f t="shared" si="15"/>
        <v>-88.956000000000003</v>
      </c>
      <c r="M65" s="16">
        <f t="shared" si="16"/>
        <v>1.3440000000000001</v>
      </c>
      <c r="N65" s="16"/>
      <c r="O65" s="16">
        <v>43.06019999999998</v>
      </c>
      <c r="P65" s="16"/>
      <c r="Q65" s="16"/>
      <c r="R65" s="16"/>
      <c r="S65" s="16"/>
      <c r="T65" s="16"/>
      <c r="U65" s="16"/>
      <c r="V65" s="16">
        <v>150</v>
      </c>
      <c r="W65" s="16"/>
      <c r="X65" s="16"/>
      <c r="Y65" s="16">
        <f t="shared" si="17"/>
        <v>0.26880000000000004</v>
      </c>
      <c r="Z65" s="4"/>
      <c r="AA65" s="27">
        <v>300</v>
      </c>
      <c r="AB65" s="24"/>
      <c r="AC65" s="16">
        <f t="shared" si="7"/>
        <v>1788.7470238095236</v>
      </c>
      <c r="AD65" s="16">
        <f t="shared" si="18"/>
        <v>672.67559523809507</v>
      </c>
      <c r="AE65" s="16">
        <v>0.55599999999999994</v>
      </c>
      <c r="AF65" s="16">
        <v>8.0599999999999987</v>
      </c>
      <c r="AG65" s="16">
        <v>8.0434000000000001</v>
      </c>
      <c r="AH65" s="16">
        <v>1.6077999999999999</v>
      </c>
      <c r="AI65" s="16">
        <v>1.6077999999999999</v>
      </c>
      <c r="AJ65" s="16">
        <v>1.6292</v>
      </c>
      <c r="AK65" s="16">
        <v>1.1017999999999999</v>
      </c>
      <c r="AL65" s="16">
        <v>0.30680000000000002</v>
      </c>
      <c r="AM65" s="28" t="s">
        <v>190</v>
      </c>
      <c r="AN65" s="16">
        <f t="shared" si="8"/>
        <v>300</v>
      </c>
      <c r="AO65" s="16"/>
      <c r="AP65" s="16"/>
      <c r="AQ65" s="16"/>
      <c r="AR65" s="16"/>
      <c r="AS65" s="16"/>
      <c r="AT65" s="16"/>
      <c r="AU65" s="16"/>
    </row>
    <row r="66" spans="1:47" x14ac:dyDescent="0.25">
      <c r="A66" s="16" t="s">
        <v>114</v>
      </c>
      <c r="B66" s="16" t="s">
        <v>46</v>
      </c>
      <c r="C66" s="16">
        <v>-18</v>
      </c>
      <c r="D66" s="16">
        <v>892</v>
      </c>
      <c r="E66" s="16">
        <v>448</v>
      </c>
      <c r="F66" s="16">
        <v>405</v>
      </c>
      <c r="G66" s="6">
        <v>0.4</v>
      </c>
      <c r="H66" s="16">
        <v>40</v>
      </c>
      <c r="I66" s="16" t="s">
        <v>42</v>
      </c>
      <c r="J66" s="16"/>
      <c r="K66" s="16">
        <v>519</v>
      </c>
      <c r="L66" s="16">
        <f t="shared" si="15"/>
        <v>-71</v>
      </c>
      <c r="M66" s="16">
        <f t="shared" si="16"/>
        <v>448</v>
      </c>
      <c r="N66" s="16"/>
      <c r="O66" s="16">
        <v>188.46799999999999</v>
      </c>
      <c r="P66" s="16"/>
      <c r="Q66" s="16"/>
      <c r="R66" s="16"/>
      <c r="S66" s="16"/>
      <c r="T66" s="16"/>
      <c r="U66" s="16"/>
      <c r="V66" s="16">
        <v>0</v>
      </c>
      <c r="W66" s="16"/>
      <c r="X66" s="16"/>
      <c r="Y66" s="16">
        <f t="shared" si="17"/>
        <v>89.6</v>
      </c>
      <c r="Z66" s="4">
        <f t="shared" si="20"/>
        <v>392.13199999999995</v>
      </c>
      <c r="AA66" s="31">
        <f>Z66+$AA$1*Y66</f>
        <v>562.37199999999996</v>
      </c>
      <c r="AB66" s="24"/>
      <c r="AC66" s="16">
        <f t="shared" si="7"/>
        <v>12.9</v>
      </c>
      <c r="AD66" s="16">
        <f t="shared" si="18"/>
        <v>6.6235267857142857</v>
      </c>
      <c r="AE66" s="16">
        <v>26.4</v>
      </c>
      <c r="AF66" s="16">
        <v>94.8</v>
      </c>
      <c r="AG66" s="16">
        <v>113.2</v>
      </c>
      <c r="AH66" s="16">
        <v>99</v>
      </c>
      <c r="AI66" s="16">
        <v>107.8</v>
      </c>
      <c r="AJ66" s="16">
        <v>129.19999999999999</v>
      </c>
      <c r="AK66" s="16">
        <v>139.4</v>
      </c>
      <c r="AL66" s="16">
        <v>108.2</v>
      </c>
      <c r="AM66" s="16"/>
      <c r="AN66" s="16">
        <f t="shared" si="8"/>
        <v>225</v>
      </c>
      <c r="AO66" s="16"/>
      <c r="AP66" s="16"/>
      <c r="AQ66" s="16"/>
      <c r="AR66" s="16"/>
      <c r="AS66" s="16"/>
      <c r="AT66" s="16"/>
      <c r="AU66" s="16"/>
    </row>
    <row r="67" spans="1:47" x14ac:dyDescent="0.25">
      <c r="A67" s="16" t="s">
        <v>115</v>
      </c>
      <c r="B67" s="16" t="s">
        <v>46</v>
      </c>
      <c r="C67" s="16">
        <v>-3</v>
      </c>
      <c r="D67" s="16">
        <v>2</v>
      </c>
      <c r="E67" s="16">
        <v>4</v>
      </c>
      <c r="F67" s="16">
        <v>-7</v>
      </c>
      <c r="G67" s="6">
        <v>0.4</v>
      </c>
      <c r="H67" s="16">
        <v>40</v>
      </c>
      <c r="I67" s="18" t="s">
        <v>76</v>
      </c>
      <c r="J67" s="16"/>
      <c r="K67" s="16">
        <v>41</v>
      </c>
      <c r="L67" s="16">
        <f t="shared" si="15"/>
        <v>-37</v>
      </c>
      <c r="M67" s="8">
        <f t="shared" si="16"/>
        <v>4</v>
      </c>
      <c r="N67" s="16"/>
      <c r="O67" s="8">
        <v>0</v>
      </c>
      <c r="P67" s="8">
        <v>0</v>
      </c>
      <c r="Q67" s="16"/>
      <c r="R67" s="16"/>
      <c r="S67" s="16"/>
      <c r="T67" s="16"/>
      <c r="U67" s="16"/>
      <c r="V67" s="16">
        <v>0</v>
      </c>
      <c r="W67" s="16"/>
      <c r="X67" s="16"/>
      <c r="Y67" s="16">
        <f t="shared" si="17"/>
        <v>0.8</v>
      </c>
      <c r="Z67" s="22">
        <v>90</v>
      </c>
      <c r="AA67" s="4">
        <f t="shared" si="6"/>
        <v>90</v>
      </c>
      <c r="AB67" s="24"/>
      <c r="AC67" s="16">
        <f t="shared" si="7"/>
        <v>103.75</v>
      </c>
      <c r="AD67" s="16">
        <f t="shared" si="18"/>
        <v>-8.75</v>
      </c>
      <c r="AE67" s="16">
        <v>45.6</v>
      </c>
      <c r="AF67" s="16">
        <v>95.8</v>
      </c>
      <c r="AG67" s="16">
        <v>80.400000000000006</v>
      </c>
      <c r="AH67" s="16">
        <v>83.4</v>
      </c>
      <c r="AI67" s="16">
        <v>95.6</v>
      </c>
      <c r="AJ67" s="16">
        <v>103.6</v>
      </c>
      <c r="AK67" s="16">
        <v>96.2</v>
      </c>
      <c r="AL67" s="16">
        <v>93</v>
      </c>
      <c r="AM67" s="16"/>
      <c r="AN67" s="16">
        <f t="shared" si="8"/>
        <v>36</v>
      </c>
      <c r="AO67" s="16"/>
      <c r="AP67" s="16"/>
      <c r="AQ67" s="16"/>
      <c r="AR67" s="16"/>
      <c r="AS67" s="16"/>
      <c r="AT67" s="16"/>
      <c r="AU67" s="16"/>
    </row>
    <row r="68" spans="1:47" x14ac:dyDescent="0.25">
      <c r="A68" s="16" t="s">
        <v>116</v>
      </c>
      <c r="B68" s="16" t="s">
        <v>41</v>
      </c>
      <c r="C68" s="16">
        <v>63.354999999999997</v>
      </c>
      <c r="D68" s="16">
        <v>1.8280000000000001</v>
      </c>
      <c r="E68" s="16">
        <v>61.328000000000003</v>
      </c>
      <c r="F68" s="16">
        <v>2.9540000000000002</v>
      </c>
      <c r="G68" s="6">
        <v>1</v>
      </c>
      <c r="H68" s="16">
        <v>40</v>
      </c>
      <c r="I68" s="16" t="s">
        <v>42</v>
      </c>
      <c r="J68" s="16"/>
      <c r="K68" s="16">
        <v>110.417</v>
      </c>
      <c r="L68" s="16">
        <f t="shared" si="15"/>
        <v>-49.088999999999999</v>
      </c>
      <c r="M68" s="16">
        <f t="shared" si="16"/>
        <v>61.328000000000003</v>
      </c>
      <c r="N68" s="16"/>
      <c r="O68" s="16">
        <v>67.822200000000009</v>
      </c>
      <c r="P68" s="16"/>
      <c r="Q68" s="16"/>
      <c r="R68" s="16"/>
      <c r="S68" s="16"/>
      <c r="T68" s="16"/>
      <c r="U68" s="16"/>
      <c r="V68" s="8">
        <v>0</v>
      </c>
      <c r="W68" s="16"/>
      <c r="X68" s="16"/>
      <c r="Y68" s="16">
        <f t="shared" si="17"/>
        <v>12.265600000000001</v>
      </c>
      <c r="Z68" s="4">
        <f t="shared" si="20"/>
        <v>64.145400000000009</v>
      </c>
      <c r="AA68" s="4">
        <f t="shared" si="6"/>
        <v>64.145400000000009</v>
      </c>
      <c r="AB68" s="24"/>
      <c r="AC68" s="16">
        <f t="shared" si="7"/>
        <v>11</v>
      </c>
      <c r="AD68" s="16">
        <f t="shared" si="18"/>
        <v>5.7703006783198534</v>
      </c>
      <c r="AE68" s="16">
        <v>17.055599999999998</v>
      </c>
      <c r="AF68" s="16">
        <v>11.9252</v>
      </c>
      <c r="AG68" s="16">
        <v>7.8718000000000004</v>
      </c>
      <c r="AH68" s="16">
        <v>7.6943999999999999</v>
      </c>
      <c r="AI68" s="16">
        <v>8.5982000000000003</v>
      </c>
      <c r="AJ68" s="16">
        <v>10.3788</v>
      </c>
      <c r="AK68" s="16">
        <v>10.9048</v>
      </c>
      <c r="AL68" s="16">
        <v>10.0128</v>
      </c>
      <c r="AM68" s="16"/>
      <c r="AN68" s="16">
        <f t="shared" si="8"/>
        <v>64</v>
      </c>
      <c r="AO68" s="16"/>
      <c r="AP68" s="16"/>
      <c r="AQ68" s="16"/>
      <c r="AR68" s="16"/>
      <c r="AS68" s="16"/>
      <c r="AT68" s="16"/>
      <c r="AU68" s="16"/>
    </row>
    <row r="69" spans="1:47" x14ac:dyDescent="0.25">
      <c r="A69" s="16" t="s">
        <v>117</v>
      </c>
      <c r="B69" s="16" t="s">
        <v>41</v>
      </c>
      <c r="C69" s="16">
        <v>10.946</v>
      </c>
      <c r="D69" s="16">
        <v>124.992</v>
      </c>
      <c r="E69" s="16">
        <v>83.411000000000001</v>
      </c>
      <c r="F69" s="16">
        <v>-3.6259999999999999</v>
      </c>
      <c r="G69" s="6">
        <v>1</v>
      </c>
      <c r="H69" s="16">
        <v>40</v>
      </c>
      <c r="I69" s="16" t="s">
        <v>42</v>
      </c>
      <c r="J69" s="16"/>
      <c r="K69" s="16">
        <v>116.342</v>
      </c>
      <c r="L69" s="16">
        <f t="shared" si="15"/>
        <v>-32.930999999999997</v>
      </c>
      <c r="M69" s="16">
        <f t="shared" si="16"/>
        <v>83.411000000000001</v>
      </c>
      <c r="N69" s="16"/>
      <c r="O69" s="16">
        <v>133.93400000000011</v>
      </c>
      <c r="P69" s="16"/>
      <c r="Q69" s="16"/>
      <c r="R69" s="16"/>
      <c r="S69" s="16"/>
      <c r="T69" s="16"/>
      <c r="U69" s="16"/>
      <c r="V69" s="8">
        <v>0</v>
      </c>
      <c r="W69" s="16"/>
      <c r="X69" s="16"/>
      <c r="Y69" s="16">
        <f t="shared" si="17"/>
        <v>16.682200000000002</v>
      </c>
      <c r="Z69" s="4">
        <f t="shared" si="20"/>
        <v>53.196199999999912</v>
      </c>
      <c r="AA69" s="4">
        <f t="shared" si="6"/>
        <v>53.196199999999912</v>
      </c>
      <c r="AB69" s="24"/>
      <c r="AC69" s="16">
        <f t="shared" si="7"/>
        <v>11</v>
      </c>
      <c r="AD69" s="16">
        <f t="shared" si="18"/>
        <v>7.8111999616357615</v>
      </c>
      <c r="AE69" s="16">
        <v>20.416399999999999</v>
      </c>
      <c r="AF69" s="16">
        <v>21.869800000000001</v>
      </c>
      <c r="AG69" s="16">
        <v>14.438000000000001</v>
      </c>
      <c r="AH69" s="16">
        <v>14.6104</v>
      </c>
      <c r="AI69" s="16">
        <v>11.178800000000001</v>
      </c>
      <c r="AJ69" s="16">
        <v>12.990399999999999</v>
      </c>
      <c r="AK69" s="16">
        <v>13.3424</v>
      </c>
      <c r="AL69" s="16">
        <v>17.515799999999999</v>
      </c>
      <c r="AM69" s="16"/>
      <c r="AN69" s="16">
        <f t="shared" si="8"/>
        <v>53</v>
      </c>
      <c r="AO69" s="16"/>
      <c r="AP69" s="16"/>
      <c r="AQ69" s="16"/>
      <c r="AR69" s="16"/>
      <c r="AS69" s="16"/>
      <c r="AT69" s="16"/>
      <c r="AU69" s="16"/>
    </row>
    <row r="70" spans="1:47" x14ac:dyDescent="0.25">
      <c r="A70" s="16" t="s">
        <v>118</v>
      </c>
      <c r="B70" s="16" t="s">
        <v>41</v>
      </c>
      <c r="C70" s="16">
        <v>1147.441</v>
      </c>
      <c r="D70" s="16">
        <v>349.40300000000002</v>
      </c>
      <c r="E70" s="16">
        <v>550.71400000000006</v>
      </c>
      <c r="F70" s="16">
        <v>932.66300000000001</v>
      </c>
      <c r="G70" s="6">
        <v>1</v>
      </c>
      <c r="H70" s="16">
        <v>40</v>
      </c>
      <c r="I70" s="9" t="s">
        <v>42</v>
      </c>
      <c r="J70" s="16"/>
      <c r="K70" s="16">
        <v>527</v>
      </c>
      <c r="L70" s="16">
        <f t="shared" ref="L70:L101" si="21">E70-K70</f>
        <v>23.714000000000055</v>
      </c>
      <c r="M70" s="16">
        <f t="shared" ref="M70:M101" si="22">E70-N70</f>
        <v>550.71400000000006</v>
      </c>
      <c r="N70" s="16"/>
      <c r="O70" s="16">
        <v>0</v>
      </c>
      <c r="P70" s="16"/>
      <c r="Q70" s="16"/>
      <c r="R70" s="16"/>
      <c r="S70" s="16"/>
      <c r="T70" s="16"/>
      <c r="U70" s="16"/>
      <c r="V70" s="16">
        <v>95.19388000000005</v>
      </c>
      <c r="W70" s="16"/>
      <c r="X70" s="16"/>
      <c r="Y70" s="16">
        <f t="shared" ref="Y70:Y101" si="23">M70/5</f>
        <v>110.14280000000001</v>
      </c>
      <c r="Z70" s="4">
        <f t="shared" si="20"/>
        <v>183.71392000000014</v>
      </c>
      <c r="AA70" s="31">
        <f>Z70+$AA$1*Y70</f>
        <v>392.98524000000015</v>
      </c>
      <c r="AB70" s="24"/>
      <c r="AC70" s="16">
        <f t="shared" si="7"/>
        <v>12.900000000000002</v>
      </c>
      <c r="AD70" s="16">
        <f t="shared" ref="AD70:AD101" si="24">(F70+O70+P70+Q70+R70+S70+T70+U70+V70+W70+X70)/Y70</f>
        <v>9.3320387714857436</v>
      </c>
      <c r="AE70" s="16">
        <v>106.628</v>
      </c>
      <c r="AF70" s="16">
        <v>119.44499999999999</v>
      </c>
      <c r="AG70" s="16">
        <v>150.35599999999999</v>
      </c>
      <c r="AH70" s="16">
        <v>156.10319999999999</v>
      </c>
      <c r="AI70" s="16">
        <v>121.55540000000001</v>
      </c>
      <c r="AJ70" s="16">
        <v>176.9426</v>
      </c>
      <c r="AK70" s="16">
        <v>160.39500000000001</v>
      </c>
      <c r="AL70" s="16">
        <v>105.7924</v>
      </c>
      <c r="AM70" s="16"/>
      <c r="AN70" s="16">
        <f t="shared" si="8"/>
        <v>393</v>
      </c>
      <c r="AO70" s="16"/>
      <c r="AP70" s="16"/>
      <c r="AQ70" s="16"/>
      <c r="AR70" s="16"/>
      <c r="AS70" s="16"/>
      <c r="AT70" s="16"/>
      <c r="AU70" s="16"/>
    </row>
    <row r="71" spans="1:47" x14ac:dyDescent="0.25">
      <c r="A71" s="16" t="s">
        <v>119</v>
      </c>
      <c r="B71" s="16" t="s">
        <v>41</v>
      </c>
      <c r="C71" s="16">
        <v>91.436000000000007</v>
      </c>
      <c r="D71" s="16"/>
      <c r="E71" s="16">
        <v>94.454999999999998</v>
      </c>
      <c r="F71" s="16">
        <v>-5.7409999999999997</v>
      </c>
      <c r="G71" s="6">
        <v>1</v>
      </c>
      <c r="H71" s="16">
        <v>40</v>
      </c>
      <c r="I71" s="16" t="s">
        <v>42</v>
      </c>
      <c r="J71" s="16"/>
      <c r="K71" s="16">
        <v>102.5</v>
      </c>
      <c r="L71" s="16">
        <f t="shared" si="21"/>
        <v>-8.0450000000000017</v>
      </c>
      <c r="M71" s="16">
        <f t="shared" si="22"/>
        <v>94.454999999999998</v>
      </c>
      <c r="N71" s="16"/>
      <c r="O71" s="16">
        <v>20.392199999999988</v>
      </c>
      <c r="P71" s="16"/>
      <c r="Q71" s="16"/>
      <c r="R71" s="16"/>
      <c r="S71" s="16"/>
      <c r="T71" s="16"/>
      <c r="U71" s="16"/>
      <c r="V71" s="8">
        <v>0</v>
      </c>
      <c r="W71" s="16"/>
      <c r="X71" s="16"/>
      <c r="Y71" s="16">
        <f t="shared" si="23"/>
        <v>18.890999999999998</v>
      </c>
      <c r="Z71" s="4">
        <f>7*Y71-X71-W71-V71-U71-T71-S71-R71-Q71-P71-O71-F71</f>
        <v>117.58580000000001</v>
      </c>
      <c r="AA71" s="4">
        <f t="shared" ref="AA71:AA134" si="25">Z71</f>
        <v>117.58580000000001</v>
      </c>
      <c r="AB71" s="24"/>
      <c r="AC71" s="16">
        <f t="shared" ref="AC71:AC134" si="26">(F71+O71+P71+Q71+R71+S71+T71+U71+V71+W71+X71+AA71)/Y71</f>
        <v>7</v>
      </c>
      <c r="AD71" s="16">
        <f t="shared" si="24"/>
        <v>0.77556508390238688</v>
      </c>
      <c r="AE71" s="16">
        <v>10.531000000000001</v>
      </c>
      <c r="AF71" s="16">
        <v>10.1662</v>
      </c>
      <c r="AG71" s="16">
        <v>7.0498000000000003</v>
      </c>
      <c r="AH71" s="16">
        <v>8.1069999999999993</v>
      </c>
      <c r="AI71" s="16">
        <v>10.646599999999999</v>
      </c>
      <c r="AJ71" s="16">
        <v>11.2418</v>
      </c>
      <c r="AK71" s="16">
        <v>12.716799999999999</v>
      </c>
      <c r="AL71" s="16">
        <v>8.7721999999999998</v>
      </c>
      <c r="AM71" s="16"/>
      <c r="AN71" s="16">
        <f t="shared" ref="AN71:AN134" si="27">ROUND(G71*AA71,0)</f>
        <v>118</v>
      </c>
      <c r="AO71" s="16"/>
      <c r="AP71" s="16"/>
      <c r="AQ71" s="16"/>
      <c r="AR71" s="16"/>
      <c r="AS71" s="16"/>
      <c r="AT71" s="16"/>
      <c r="AU71" s="16"/>
    </row>
    <row r="72" spans="1:47" x14ac:dyDescent="0.25">
      <c r="A72" s="10" t="s">
        <v>120</v>
      </c>
      <c r="B72" s="10" t="s">
        <v>46</v>
      </c>
      <c r="C72" s="10"/>
      <c r="D72" s="10"/>
      <c r="E72" s="10"/>
      <c r="F72" s="10"/>
      <c r="G72" s="11">
        <v>0</v>
      </c>
      <c r="H72" s="10"/>
      <c r="I72" s="10" t="s">
        <v>42</v>
      </c>
      <c r="J72" s="10"/>
      <c r="K72" s="10"/>
      <c r="L72" s="10">
        <f t="shared" si="21"/>
        <v>0</v>
      </c>
      <c r="M72" s="10">
        <f t="shared" si="22"/>
        <v>0</v>
      </c>
      <c r="N72" s="10"/>
      <c r="O72" s="10">
        <v>0</v>
      </c>
      <c r="P72" s="10"/>
      <c r="Q72" s="10"/>
      <c r="R72" s="10"/>
      <c r="S72" s="10"/>
      <c r="T72" s="10"/>
      <c r="U72" s="10"/>
      <c r="V72" s="10">
        <v>0</v>
      </c>
      <c r="W72" s="10"/>
      <c r="X72" s="10"/>
      <c r="Y72" s="10">
        <f t="shared" si="23"/>
        <v>0</v>
      </c>
      <c r="Z72" s="12"/>
      <c r="AA72" s="4">
        <f t="shared" si="25"/>
        <v>0</v>
      </c>
      <c r="AB72" s="24"/>
      <c r="AC72" s="16" t="e">
        <f t="shared" si="26"/>
        <v>#DIV/0!</v>
      </c>
      <c r="AD72" s="10" t="e">
        <f t="shared" si="24"/>
        <v>#DIV/0!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 t="s">
        <v>64</v>
      </c>
      <c r="AN72" s="16">
        <f t="shared" si="27"/>
        <v>0</v>
      </c>
      <c r="AO72" s="16"/>
      <c r="AP72" s="16"/>
      <c r="AQ72" s="16"/>
      <c r="AR72" s="16"/>
      <c r="AS72" s="16"/>
      <c r="AT72" s="16"/>
      <c r="AU72" s="16"/>
    </row>
    <row r="73" spans="1:47" x14ac:dyDescent="0.25">
      <c r="A73" s="16" t="s">
        <v>121</v>
      </c>
      <c r="B73" s="16" t="s">
        <v>41</v>
      </c>
      <c r="C73" s="16">
        <v>736.77</v>
      </c>
      <c r="D73" s="16">
        <v>26.802</v>
      </c>
      <c r="E73" s="16">
        <v>499.17</v>
      </c>
      <c r="F73" s="16">
        <v>205.40299999999999</v>
      </c>
      <c r="G73" s="6">
        <v>1</v>
      </c>
      <c r="H73" s="16">
        <v>30</v>
      </c>
      <c r="I73" s="16" t="s">
        <v>42</v>
      </c>
      <c r="J73" s="16"/>
      <c r="K73" s="16">
        <v>544.20000000000005</v>
      </c>
      <c r="L73" s="16">
        <f t="shared" si="21"/>
        <v>-45.03000000000003</v>
      </c>
      <c r="M73" s="16">
        <f t="shared" si="22"/>
        <v>499.17</v>
      </c>
      <c r="N73" s="16"/>
      <c r="O73" s="16">
        <v>119.3578000000001</v>
      </c>
      <c r="P73" s="16"/>
      <c r="Q73" s="16"/>
      <c r="R73" s="16"/>
      <c r="S73" s="16"/>
      <c r="T73" s="16"/>
      <c r="U73" s="16"/>
      <c r="V73" s="16">
        <v>277.23999447599999</v>
      </c>
      <c r="W73" s="16">
        <v>594.58388752400003</v>
      </c>
      <c r="X73" s="16"/>
      <c r="Y73" s="16">
        <f t="shared" si="23"/>
        <v>99.834000000000003</v>
      </c>
      <c r="Z73" s="4"/>
      <c r="AA73" s="4">
        <f t="shared" si="25"/>
        <v>0</v>
      </c>
      <c r="AB73" s="24"/>
      <c r="AC73" s="16">
        <f t="shared" si="26"/>
        <v>11.985743153635035</v>
      </c>
      <c r="AD73" s="16">
        <f t="shared" si="24"/>
        <v>11.985743153635035</v>
      </c>
      <c r="AE73" s="16">
        <v>113.3442</v>
      </c>
      <c r="AF73" s="16">
        <v>77.829800000000006</v>
      </c>
      <c r="AG73" s="16">
        <v>48.958399999999997</v>
      </c>
      <c r="AH73" s="16">
        <v>62.925199999999997</v>
      </c>
      <c r="AI73" s="16">
        <v>91.303799999999995</v>
      </c>
      <c r="AJ73" s="16">
        <v>116.23739999999999</v>
      </c>
      <c r="AK73" s="16">
        <v>91.614599999999996</v>
      </c>
      <c r="AL73" s="16">
        <v>122.62739999999999</v>
      </c>
      <c r="AM73" s="16"/>
      <c r="AN73" s="16">
        <f t="shared" si="27"/>
        <v>0</v>
      </c>
      <c r="AO73" s="16"/>
      <c r="AP73" s="16"/>
      <c r="AQ73" s="16"/>
      <c r="AR73" s="16"/>
      <c r="AS73" s="16"/>
      <c r="AT73" s="16"/>
      <c r="AU73" s="16"/>
    </row>
    <row r="74" spans="1:47" x14ac:dyDescent="0.25">
      <c r="A74" s="16" t="s">
        <v>122</v>
      </c>
      <c r="B74" s="16" t="s">
        <v>46</v>
      </c>
      <c r="C74" s="16">
        <v>417</v>
      </c>
      <c r="D74" s="16">
        <v>26</v>
      </c>
      <c r="E74" s="16">
        <v>397</v>
      </c>
      <c r="F74" s="16">
        <v>8</v>
      </c>
      <c r="G74" s="6">
        <v>0.6</v>
      </c>
      <c r="H74" s="16">
        <v>60</v>
      </c>
      <c r="I74" s="16" t="s">
        <v>42</v>
      </c>
      <c r="J74" s="16"/>
      <c r="K74" s="16">
        <v>586</v>
      </c>
      <c r="L74" s="16">
        <f t="shared" si="21"/>
        <v>-189</v>
      </c>
      <c r="M74" s="16">
        <f t="shared" si="22"/>
        <v>397</v>
      </c>
      <c r="N74" s="16"/>
      <c r="O74" s="16">
        <v>272.8</v>
      </c>
      <c r="P74" s="16"/>
      <c r="Q74" s="16"/>
      <c r="R74" s="16"/>
      <c r="S74" s="16"/>
      <c r="T74" s="16">
        <v>500</v>
      </c>
      <c r="U74" s="16"/>
      <c r="V74" s="16">
        <v>303.43814400000002</v>
      </c>
      <c r="W74" s="16">
        <v>650.76985600000012</v>
      </c>
      <c r="X74" s="16"/>
      <c r="Y74" s="16">
        <f t="shared" si="23"/>
        <v>79.400000000000006</v>
      </c>
      <c r="Z74" s="4"/>
      <c r="AA74" s="4">
        <v>100</v>
      </c>
      <c r="AB74" s="24" t="str">
        <f>VLOOKUP(A74,[1]Sheet!$A:$AA,27,0)</f>
        <v>300 увеличить запас</v>
      </c>
      <c r="AC74" s="16">
        <f t="shared" si="26"/>
        <v>23.110931989924431</v>
      </c>
      <c r="AD74" s="16">
        <f t="shared" si="24"/>
        <v>21.851486146095716</v>
      </c>
      <c r="AE74" s="16">
        <v>144.80000000000001</v>
      </c>
      <c r="AF74" s="16">
        <v>132.19999999999999</v>
      </c>
      <c r="AG74" s="16">
        <v>65.599999999999994</v>
      </c>
      <c r="AH74" s="16">
        <v>71</v>
      </c>
      <c r="AI74" s="16">
        <v>74</v>
      </c>
      <c r="AJ74" s="16">
        <v>122</v>
      </c>
      <c r="AK74" s="16">
        <v>127.6</v>
      </c>
      <c r="AL74" s="16">
        <v>96.2</v>
      </c>
      <c r="AM74" s="16"/>
      <c r="AN74" s="16">
        <f t="shared" si="27"/>
        <v>60</v>
      </c>
      <c r="AO74" s="16"/>
      <c r="AP74" s="16"/>
      <c r="AQ74" s="16"/>
      <c r="AR74" s="16"/>
      <c r="AS74" s="16"/>
      <c r="AT74" s="16"/>
      <c r="AU74" s="16"/>
    </row>
    <row r="75" spans="1:47" x14ac:dyDescent="0.25">
      <c r="A75" s="16" t="s">
        <v>123</v>
      </c>
      <c r="B75" s="16" t="s">
        <v>46</v>
      </c>
      <c r="C75" s="16">
        <v>342</v>
      </c>
      <c r="D75" s="16">
        <v>196</v>
      </c>
      <c r="E75" s="16">
        <v>484</v>
      </c>
      <c r="F75" s="16">
        <v>36</v>
      </c>
      <c r="G75" s="6">
        <v>0.6</v>
      </c>
      <c r="H75" s="16">
        <v>60</v>
      </c>
      <c r="I75" s="16" t="s">
        <v>42</v>
      </c>
      <c r="J75" s="16"/>
      <c r="K75" s="16">
        <v>569</v>
      </c>
      <c r="L75" s="16">
        <f t="shared" si="21"/>
        <v>-85</v>
      </c>
      <c r="M75" s="16">
        <f t="shared" si="22"/>
        <v>484</v>
      </c>
      <c r="N75" s="16"/>
      <c r="O75" s="16">
        <v>384.05599999999981</v>
      </c>
      <c r="P75" s="16"/>
      <c r="Q75" s="16"/>
      <c r="R75" s="16"/>
      <c r="S75" s="16"/>
      <c r="T75" s="16">
        <v>300</v>
      </c>
      <c r="U75" s="16"/>
      <c r="V75" s="16">
        <v>253.012248</v>
      </c>
      <c r="W75" s="16">
        <v>542.6237520000002</v>
      </c>
      <c r="X75" s="16"/>
      <c r="Y75" s="16">
        <f t="shared" si="23"/>
        <v>96.8</v>
      </c>
      <c r="Z75" s="4"/>
      <c r="AA75" s="4">
        <v>100</v>
      </c>
      <c r="AB75" s="24" t="str">
        <f>VLOOKUP(A75,[1]Sheet!$A:$AA,27,0)</f>
        <v>300  увеличить запас</v>
      </c>
      <c r="AC75" s="16">
        <f t="shared" si="26"/>
        <v>16.691033057851239</v>
      </c>
      <c r="AD75" s="16">
        <f t="shared" si="24"/>
        <v>15.657975206611571</v>
      </c>
      <c r="AE75" s="16">
        <v>125.2</v>
      </c>
      <c r="AF75" s="16">
        <v>118.6</v>
      </c>
      <c r="AG75" s="16">
        <v>74.400000000000006</v>
      </c>
      <c r="AH75" s="16">
        <v>64.8</v>
      </c>
      <c r="AI75" s="16">
        <v>68.599999999999994</v>
      </c>
      <c r="AJ75" s="16">
        <v>104.6</v>
      </c>
      <c r="AK75" s="16">
        <v>112.2</v>
      </c>
      <c r="AL75" s="16">
        <v>95.2</v>
      </c>
      <c r="AM75" s="16"/>
      <c r="AN75" s="16">
        <f t="shared" si="27"/>
        <v>60</v>
      </c>
      <c r="AO75" s="16"/>
      <c r="AP75" s="16"/>
      <c r="AQ75" s="16"/>
      <c r="AR75" s="16"/>
      <c r="AS75" s="16"/>
      <c r="AT75" s="16"/>
      <c r="AU75" s="16"/>
    </row>
    <row r="76" spans="1:47" x14ac:dyDescent="0.25">
      <c r="A76" s="10" t="s">
        <v>124</v>
      </c>
      <c r="B76" s="10" t="s">
        <v>46</v>
      </c>
      <c r="C76" s="10"/>
      <c r="D76" s="10"/>
      <c r="E76" s="10"/>
      <c r="F76" s="10"/>
      <c r="G76" s="11">
        <v>0</v>
      </c>
      <c r="H76" s="10"/>
      <c r="I76" s="10" t="s">
        <v>42</v>
      </c>
      <c r="J76" s="10"/>
      <c r="K76" s="10"/>
      <c r="L76" s="10">
        <f t="shared" si="21"/>
        <v>0</v>
      </c>
      <c r="M76" s="10">
        <f t="shared" si="22"/>
        <v>0</v>
      </c>
      <c r="N76" s="10"/>
      <c r="O76" s="10">
        <v>0</v>
      </c>
      <c r="P76" s="10"/>
      <c r="Q76" s="10"/>
      <c r="R76" s="10"/>
      <c r="S76" s="10"/>
      <c r="T76" s="10"/>
      <c r="U76" s="10"/>
      <c r="V76" s="10">
        <v>0</v>
      </c>
      <c r="W76" s="10"/>
      <c r="X76" s="10"/>
      <c r="Y76" s="10">
        <f t="shared" si="23"/>
        <v>0</v>
      </c>
      <c r="Z76" s="12"/>
      <c r="AA76" s="4">
        <f t="shared" si="25"/>
        <v>0</v>
      </c>
      <c r="AB76" s="24"/>
      <c r="AC76" s="16" t="e">
        <f t="shared" si="26"/>
        <v>#DIV/0!</v>
      </c>
      <c r="AD76" s="10" t="e">
        <f t="shared" si="24"/>
        <v>#DIV/0!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 t="s">
        <v>64</v>
      </c>
      <c r="AN76" s="16">
        <f t="shared" si="27"/>
        <v>0</v>
      </c>
      <c r="AO76" s="16"/>
      <c r="AP76" s="16"/>
      <c r="AQ76" s="16"/>
      <c r="AR76" s="16"/>
      <c r="AS76" s="16"/>
      <c r="AT76" s="16"/>
      <c r="AU76" s="16"/>
    </row>
    <row r="77" spans="1:47" x14ac:dyDescent="0.25">
      <c r="A77" s="10" t="s">
        <v>125</v>
      </c>
      <c r="B77" s="10" t="s">
        <v>46</v>
      </c>
      <c r="C77" s="10">
        <v>2</v>
      </c>
      <c r="D77" s="10"/>
      <c r="E77" s="10"/>
      <c r="F77" s="10">
        <v>2</v>
      </c>
      <c r="G77" s="11">
        <v>0</v>
      </c>
      <c r="H77" s="10"/>
      <c r="I77" s="10" t="s">
        <v>42</v>
      </c>
      <c r="J77" s="10"/>
      <c r="K77" s="10">
        <v>3</v>
      </c>
      <c r="L77" s="10">
        <f t="shared" si="21"/>
        <v>-3</v>
      </c>
      <c r="M77" s="10">
        <f t="shared" si="22"/>
        <v>0</v>
      </c>
      <c r="N77" s="10"/>
      <c r="O77" s="10">
        <v>0</v>
      </c>
      <c r="P77" s="10"/>
      <c r="Q77" s="10"/>
      <c r="R77" s="10"/>
      <c r="S77" s="10"/>
      <c r="T77" s="10"/>
      <c r="U77" s="10"/>
      <c r="V77" s="10">
        <v>0</v>
      </c>
      <c r="W77" s="10"/>
      <c r="X77" s="10"/>
      <c r="Y77" s="10">
        <f t="shared" si="23"/>
        <v>0</v>
      </c>
      <c r="Z77" s="12"/>
      <c r="AA77" s="4">
        <f t="shared" si="25"/>
        <v>0</v>
      </c>
      <c r="AB77" s="24"/>
      <c r="AC77" s="16" t="e">
        <f t="shared" si="26"/>
        <v>#DIV/0!</v>
      </c>
      <c r="AD77" s="10" t="e">
        <f t="shared" si="24"/>
        <v>#DIV/0!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 t="s">
        <v>64</v>
      </c>
      <c r="AN77" s="16">
        <f t="shared" si="27"/>
        <v>0</v>
      </c>
      <c r="AO77" s="16"/>
      <c r="AP77" s="16"/>
      <c r="AQ77" s="16"/>
      <c r="AR77" s="16"/>
      <c r="AS77" s="16"/>
      <c r="AT77" s="16"/>
      <c r="AU77" s="16"/>
    </row>
    <row r="78" spans="1:47" x14ac:dyDescent="0.25">
      <c r="A78" s="16" t="s">
        <v>126</v>
      </c>
      <c r="B78" s="16" t="s">
        <v>46</v>
      </c>
      <c r="C78" s="16">
        <v>119</v>
      </c>
      <c r="D78" s="16">
        <v>3</v>
      </c>
      <c r="E78" s="16">
        <v>52</v>
      </c>
      <c r="F78" s="16">
        <v>69</v>
      </c>
      <c r="G78" s="6">
        <v>0.35</v>
      </c>
      <c r="H78" s="16">
        <v>90</v>
      </c>
      <c r="I78" s="16" t="s">
        <v>42</v>
      </c>
      <c r="J78" s="16"/>
      <c r="K78" s="16">
        <v>62</v>
      </c>
      <c r="L78" s="16">
        <f t="shared" si="21"/>
        <v>-10</v>
      </c>
      <c r="M78" s="16">
        <f t="shared" si="22"/>
        <v>52</v>
      </c>
      <c r="N78" s="16"/>
      <c r="O78" s="16">
        <v>0</v>
      </c>
      <c r="P78" s="16"/>
      <c r="Q78" s="16"/>
      <c r="R78" s="16"/>
      <c r="S78" s="16"/>
      <c r="T78" s="16"/>
      <c r="U78" s="16"/>
      <c r="V78" s="16">
        <v>0</v>
      </c>
      <c r="W78" s="16"/>
      <c r="X78" s="16"/>
      <c r="Y78" s="16">
        <f t="shared" si="23"/>
        <v>10.4</v>
      </c>
      <c r="Z78" s="4">
        <f t="shared" ref="Z78" si="28">11*Y78-X78-W78-V78-U78-T78-S78-R78-Q78-P78-O78-F78</f>
        <v>45.400000000000006</v>
      </c>
      <c r="AA78" s="4">
        <f t="shared" si="25"/>
        <v>45.400000000000006</v>
      </c>
      <c r="AB78" s="24"/>
      <c r="AC78" s="16">
        <f t="shared" si="26"/>
        <v>11</v>
      </c>
      <c r="AD78" s="16">
        <f t="shared" si="24"/>
        <v>6.6346153846153841</v>
      </c>
      <c r="AE78" s="16">
        <v>6.2</v>
      </c>
      <c r="AF78" s="16">
        <v>9.4</v>
      </c>
      <c r="AG78" s="16">
        <v>9.4</v>
      </c>
      <c r="AH78" s="16">
        <v>5.2</v>
      </c>
      <c r="AI78" s="16">
        <v>8.1999999999999993</v>
      </c>
      <c r="AJ78" s="16">
        <v>11.2</v>
      </c>
      <c r="AK78" s="16">
        <v>17.399999999999999</v>
      </c>
      <c r="AL78" s="16">
        <v>13.8</v>
      </c>
      <c r="AM78" s="16"/>
      <c r="AN78" s="16">
        <f t="shared" si="27"/>
        <v>16</v>
      </c>
      <c r="AO78" s="16"/>
      <c r="AP78" s="16"/>
      <c r="AQ78" s="16"/>
      <c r="AR78" s="16"/>
      <c r="AS78" s="16"/>
      <c r="AT78" s="16"/>
      <c r="AU78" s="16"/>
    </row>
    <row r="79" spans="1:47" x14ac:dyDescent="0.25">
      <c r="A79" s="16" t="s">
        <v>127</v>
      </c>
      <c r="B79" s="16" t="s">
        <v>46</v>
      </c>
      <c r="C79" s="16">
        <v>217</v>
      </c>
      <c r="D79" s="16">
        <v>43</v>
      </c>
      <c r="E79" s="16">
        <v>81</v>
      </c>
      <c r="F79" s="16">
        <v>175</v>
      </c>
      <c r="G79" s="6">
        <v>0.37</v>
      </c>
      <c r="H79" s="16">
        <v>50</v>
      </c>
      <c r="I79" s="16" t="s">
        <v>42</v>
      </c>
      <c r="J79" s="16"/>
      <c r="K79" s="16">
        <v>121</v>
      </c>
      <c r="L79" s="16">
        <f t="shared" si="21"/>
        <v>-40</v>
      </c>
      <c r="M79" s="16">
        <f t="shared" si="22"/>
        <v>81</v>
      </c>
      <c r="N79" s="16"/>
      <c r="O79" s="16">
        <v>62.560000000000123</v>
      </c>
      <c r="P79" s="16"/>
      <c r="Q79" s="16"/>
      <c r="R79" s="16"/>
      <c r="S79" s="16"/>
      <c r="T79" s="16"/>
      <c r="U79" s="16"/>
      <c r="V79" s="16">
        <v>60.639999999999873</v>
      </c>
      <c r="W79" s="16"/>
      <c r="X79" s="16"/>
      <c r="Y79" s="16">
        <f t="shared" si="23"/>
        <v>16.2</v>
      </c>
      <c r="Z79" s="4"/>
      <c r="AA79" s="4">
        <f t="shared" si="25"/>
        <v>0</v>
      </c>
      <c r="AB79" s="24"/>
      <c r="AC79" s="16">
        <f t="shared" si="26"/>
        <v>18.407407407407408</v>
      </c>
      <c r="AD79" s="16">
        <f t="shared" si="24"/>
        <v>18.407407407407408</v>
      </c>
      <c r="AE79" s="16">
        <v>28.8</v>
      </c>
      <c r="AF79" s="16">
        <v>28.8</v>
      </c>
      <c r="AG79" s="16">
        <v>18.2</v>
      </c>
      <c r="AH79" s="16">
        <v>30.6</v>
      </c>
      <c r="AI79" s="16">
        <v>29</v>
      </c>
      <c r="AJ79" s="16">
        <v>32.200000000000003</v>
      </c>
      <c r="AK79" s="16">
        <v>29.2</v>
      </c>
      <c r="AL79" s="16">
        <v>33</v>
      </c>
      <c r="AM79" s="16"/>
      <c r="AN79" s="16">
        <f t="shared" si="27"/>
        <v>0</v>
      </c>
      <c r="AO79" s="16"/>
      <c r="AP79" s="16"/>
      <c r="AQ79" s="16"/>
      <c r="AR79" s="16"/>
      <c r="AS79" s="16"/>
      <c r="AT79" s="16"/>
      <c r="AU79" s="16"/>
    </row>
    <row r="80" spans="1:47" x14ac:dyDescent="0.25">
      <c r="A80" s="16" t="s">
        <v>128</v>
      </c>
      <c r="B80" s="16" t="s">
        <v>46</v>
      </c>
      <c r="C80" s="16">
        <v>480</v>
      </c>
      <c r="D80" s="16">
        <v>13</v>
      </c>
      <c r="E80" s="16">
        <v>418</v>
      </c>
      <c r="F80" s="16">
        <v>45</v>
      </c>
      <c r="G80" s="6">
        <v>0.6</v>
      </c>
      <c r="H80" s="16">
        <v>70</v>
      </c>
      <c r="I80" s="8" t="s">
        <v>49</v>
      </c>
      <c r="J80" s="16"/>
      <c r="K80" s="16">
        <v>649</v>
      </c>
      <c r="L80" s="16">
        <f t="shared" si="21"/>
        <v>-231</v>
      </c>
      <c r="M80" s="16">
        <f t="shared" si="22"/>
        <v>418</v>
      </c>
      <c r="N80" s="16"/>
      <c r="O80" s="16">
        <v>100</v>
      </c>
      <c r="P80" s="16"/>
      <c r="Q80" s="16"/>
      <c r="R80" s="16"/>
      <c r="S80" s="16"/>
      <c r="T80" s="16"/>
      <c r="U80" s="16"/>
      <c r="V80" s="16">
        <v>159</v>
      </c>
      <c r="W80" s="16">
        <v>341</v>
      </c>
      <c r="X80" s="16"/>
      <c r="Y80" s="16">
        <f t="shared" si="23"/>
        <v>83.6</v>
      </c>
      <c r="Z80" s="4">
        <f>10*Y80-X80-W80-V80-U80-T80-S80-R80-Q80-P80-O80-F80</f>
        <v>191</v>
      </c>
      <c r="AA80" s="4">
        <v>300</v>
      </c>
      <c r="AB80" s="24" t="str">
        <f>VLOOKUP(A80,[1]Sheet!$A:$AA,27,0)</f>
        <v xml:space="preserve">300 увеличить запас </v>
      </c>
      <c r="AC80" s="16">
        <f t="shared" si="26"/>
        <v>11.303827751196174</v>
      </c>
      <c r="AD80" s="16">
        <f t="shared" si="24"/>
        <v>7.7153110047846898</v>
      </c>
      <c r="AE80" s="16">
        <v>196.6</v>
      </c>
      <c r="AF80" s="16">
        <v>134</v>
      </c>
      <c r="AG80" s="16">
        <v>33.200000000000003</v>
      </c>
      <c r="AH80" s="16">
        <v>267.8</v>
      </c>
      <c r="AI80" s="16">
        <v>269</v>
      </c>
      <c r="AJ80" s="16">
        <v>267.2</v>
      </c>
      <c r="AK80" s="16">
        <v>46.4</v>
      </c>
      <c r="AL80" s="16">
        <v>45.849400000000003</v>
      </c>
      <c r="AM80" s="16" t="s">
        <v>129</v>
      </c>
      <c r="AN80" s="16">
        <f t="shared" si="27"/>
        <v>180</v>
      </c>
      <c r="AO80" s="16"/>
      <c r="AP80" s="16"/>
      <c r="AQ80" s="16"/>
      <c r="AR80" s="16"/>
      <c r="AS80" s="16"/>
      <c r="AT80" s="16"/>
      <c r="AU80" s="16"/>
    </row>
    <row r="81" spans="1:47" x14ac:dyDescent="0.25">
      <c r="A81" s="16" t="s">
        <v>130</v>
      </c>
      <c r="B81" s="16" t="s">
        <v>46</v>
      </c>
      <c r="C81" s="16">
        <v>117</v>
      </c>
      <c r="D81" s="16">
        <v>177</v>
      </c>
      <c r="E81" s="16">
        <v>255</v>
      </c>
      <c r="F81" s="16">
        <v>18</v>
      </c>
      <c r="G81" s="6">
        <v>0.33</v>
      </c>
      <c r="H81" s="16">
        <v>40</v>
      </c>
      <c r="I81" s="16" t="s">
        <v>42</v>
      </c>
      <c r="J81" s="16"/>
      <c r="K81" s="16">
        <v>284</v>
      </c>
      <c r="L81" s="16">
        <f t="shared" si="21"/>
        <v>-29</v>
      </c>
      <c r="M81" s="16">
        <f t="shared" si="22"/>
        <v>255</v>
      </c>
      <c r="N81" s="16"/>
      <c r="O81" s="16">
        <v>132.13999999999999</v>
      </c>
      <c r="P81" s="16"/>
      <c r="Q81" s="16"/>
      <c r="R81" s="16"/>
      <c r="S81" s="16"/>
      <c r="T81" s="8">
        <v>0</v>
      </c>
      <c r="U81" s="16"/>
      <c r="V81" s="8">
        <v>0</v>
      </c>
      <c r="W81" s="16"/>
      <c r="X81" s="16"/>
      <c r="Y81" s="16">
        <f t="shared" si="23"/>
        <v>51</v>
      </c>
      <c r="Z81" s="4">
        <f>7*Y81-X81-W81-V81-U81-T81-S81-R81-Q81-P81-O81-F81</f>
        <v>206.86</v>
      </c>
      <c r="AA81" s="4">
        <f t="shared" si="25"/>
        <v>206.86</v>
      </c>
      <c r="AB81" s="24"/>
      <c r="AC81" s="16">
        <f t="shared" si="26"/>
        <v>7</v>
      </c>
      <c r="AD81" s="16">
        <f t="shared" si="24"/>
        <v>2.9439215686274509</v>
      </c>
      <c r="AE81" s="16">
        <v>66.400000000000006</v>
      </c>
      <c r="AF81" s="16">
        <v>43.8</v>
      </c>
      <c r="AG81" s="16">
        <v>14</v>
      </c>
      <c r="AH81" s="16">
        <v>35.4</v>
      </c>
      <c r="AI81" s="16">
        <v>34.799999999999997</v>
      </c>
      <c r="AJ81" s="16">
        <v>35.6</v>
      </c>
      <c r="AK81" s="16">
        <v>19.8</v>
      </c>
      <c r="AL81" s="16">
        <v>12.8</v>
      </c>
      <c r="AM81" s="16"/>
      <c r="AN81" s="16">
        <f t="shared" si="27"/>
        <v>68</v>
      </c>
      <c r="AO81" s="16"/>
      <c r="AP81" s="16"/>
      <c r="AQ81" s="16"/>
      <c r="AR81" s="16"/>
      <c r="AS81" s="16"/>
      <c r="AT81" s="16"/>
      <c r="AU81" s="16"/>
    </row>
    <row r="82" spans="1:47" x14ac:dyDescent="0.25">
      <c r="A82" s="16" t="s">
        <v>131</v>
      </c>
      <c r="B82" s="16" t="s">
        <v>46</v>
      </c>
      <c r="C82" s="16">
        <v>112</v>
      </c>
      <c r="D82" s="16">
        <v>7</v>
      </c>
      <c r="E82" s="16">
        <v>54</v>
      </c>
      <c r="F82" s="16">
        <v>65</v>
      </c>
      <c r="G82" s="6">
        <v>0.4</v>
      </c>
      <c r="H82" s="16">
        <v>55</v>
      </c>
      <c r="I82" s="16" t="s">
        <v>42</v>
      </c>
      <c r="J82" s="16"/>
      <c r="K82" s="16">
        <v>58</v>
      </c>
      <c r="L82" s="16">
        <f t="shared" si="21"/>
        <v>-4</v>
      </c>
      <c r="M82" s="16">
        <f t="shared" si="22"/>
        <v>54</v>
      </c>
      <c r="N82" s="16"/>
      <c r="O82" s="16">
        <v>0</v>
      </c>
      <c r="P82" s="16"/>
      <c r="Q82" s="16"/>
      <c r="R82" s="16"/>
      <c r="S82" s="16"/>
      <c r="T82" s="16"/>
      <c r="U82" s="16"/>
      <c r="V82" s="16">
        <v>63.299999999999983</v>
      </c>
      <c r="W82" s="16"/>
      <c r="X82" s="16"/>
      <c r="Y82" s="16">
        <f t="shared" si="23"/>
        <v>10.8</v>
      </c>
      <c r="Z82" s="4"/>
      <c r="AA82" s="4">
        <f t="shared" si="25"/>
        <v>0</v>
      </c>
      <c r="AB82" s="24"/>
      <c r="AC82" s="16">
        <f t="shared" si="26"/>
        <v>11.879629629629628</v>
      </c>
      <c r="AD82" s="16">
        <f t="shared" si="24"/>
        <v>11.879629629629628</v>
      </c>
      <c r="AE82" s="16">
        <v>12.2</v>
      </c>
      <c r="AF82" s="16">
        <v>8.4</v>
      </c>
      <c r="AG82" s="16">
        <v>8.4</v>
      </c>
      <c r="AH82" s="16">
        <v>12</v>
      </c>
      <c r="AI82" s="16">
        <v>8.4</v>
      </c>
      <c r="AJ82" s="16">
        <v>7.2</v>
      </c>
      <c r="AK82" s="16">
        <v>5.8</v>
      </c>
      <c r="AL82" s="16">
        <v>17.2</v>
      </c>
      <c r="AM82" s="16"/>
      <c r="AN82" s="16">
        <f t="shared" si="27"/>
        <v>0</v>
      </c>
      <c r="AO82" s="16"/>
      <c r="AP82" s="16"/>
      <c r="AQ82" s="16"/>
      <c r="AR82" s="16"/>
      <c r="AS82" s="16"/>
      <c r="AT82" s="16"/>
      <c r="AU82" s="16"/>
    </row>
    <row r="83" spans="1:47" x14ac:dyDescent="0.25">
      <c r="A83" s="16" t="s">
        <v>132</v>
      </c>
      <c r="B83" s="16" t="s">
        <v>46</v>
      </c>
      <c r="C83" s="16">
        <v>-8</v>
      </c>
      <c r="D83" s="16">
        <v>1</v>
      </c>
      <c r="E83" s="16">
        <v>-5</v>
      </c>
      <c r="F83" s="16">
        <v>-7</v>
      </c>
      <c r="G83" s="6">
        <v>0.35</v>
      </c>
      <c r="H83" s="16">
        <v>40</v>
      </c>
      <c r="I83" s="16" t="s">
        <v>42</v>
      </c>
      <c r="J83" s="16"/>
      <c r="K83" s="16">
        <v>30</v>
      </c>
      <c r="L83" s="16">
        <f t="shared" si="21"/>
        <v>-35</v>
      </c>
      <c r="M83" s="16">
        <f t="shared" si="22"/>
        <v>-5</v>
      </c>
      <c r="N83" s="16"/>
      <c r="O83" s="16">
        <v>50</v>
      </c>
      <c r="P83" s="16">
        <v>250</v>
      </c>
      <c r="Q83" s="16"/>
      <c r="R83" s="16"/>
      <c r="S83" s="16"/>
      <c r="T83" s="16"/>
      <c r="U83" s="16"/>
      <c r="V83" s="8">
        <v>0</v>
      </c>
      <c r="W83" s="16"/>
      <c r="X83" s="16"/>
      <c r="Y83" s="16">
        <f t="shared" si="23"/>
        <v>-1</v>
      </c>
      <c r="Z83" s="4"/>
      <c r="AA83" s="4">
        <f t="shared" si="25"/>
        <v>0</v>
      </c>
      <c r="AB83" s="24"/>
      <c r="AC83" s="16">
        <f t="shared" si="26"/>
        <v>-293</v>
      </c>
      <c r="AD83" s="16">
        <f t="shared" si="24"/>
        <v>-293</v>
      </c>
      <c r="AE83" s="16">
        <v>8.8000000000000007</v>
      </c>
      <c r="AF83" s="16">
        <v>26.2</v>
      </c>
      <c r="AG83" s="16">
        <v>35.799999999999997</v>
      </c>
      <c r="AH83" s="16">
        <v>40.6</v>
      </c>
      <c r="AI83" s="16">
        <v>41.6</v>
      </c>
      <c r="AJ83" s="16">
        <v>46.2</v>
      </c>
      <c r="AK83" s="16">
        <v>34.4</v>
      </c>
      <c r="AL83" s="16">
        <v>36.6</v>
      </c>
      <c r="AM83" s="16"/>
      <c r="AN83" s="16">
        <f t="shared" si="27"/>
        <v>0</v>
      </c>
      <c r="AO83" s="16"/>
      <c r="AP83" s="16"/>
      <c r="AQ83" s="16"/>
      <c r="AR83" s="16"/>
      <c r="AS83" s="16"/>
      <c r="AT83" s="16"/>
      <c r="AU83" s="16"/>
    </row>
    <row r="84" spans="1:47" x14ac:dyDescent="0.25">
      <c r="A84" s="16" t="s">
        <v>133</v>
      </c>
      <c r="B84" s="16" t="s">
        <v>46</v>
      </c>
      <c r="C84" s="16"/>
      <c r="D84" s="16">
        <v>408</v>
      </c>
      <c r="E84" s="16">
        <v>386</v>
      </c>
      <c r="F84" s="16"/>
      <c r="G84" s="6">
        <v>0.35</v>
      </c>
      <c r="H84" s="16">
        <v>45</v>
      </c>
      <c r="I84" s="16" t="s">
        <v>42</v>
      </c>
      <c r="J84" s="16"/>
      <c r="K84" s="16">
        <v>451</v>
      </c>
      <c r="L84" s="16">
        <f t="shared" si="21"/>
        <v>-65</v>
      </c>
      <c r="M84" s="8">
        <f t="shared" si="22"/>
        <v>386</v>
      </c>
      <c r="N84" s="16"/>
      <c r="O84" s="8">
        <v>0</v>
      </c>
      <c r="P84" s="16"/>
      <c r="Q84" s="16"/>
      <c r="R84" s="16"/>
      <c r="S84" s="16"/>
      <c r="T84" s="8">
        <v>0</v>
      </c>
      <c r="U84" s="16"/>
      <c r="V84" s="8">
        <v>0</v>
      </c>
      <c r="W84" s="16"/>
      <c r="X84" s="16"/>
      <c r="Y84" s="16">
        <f t="shared" si="23"/>
        <v>77.2</v>
      </c>
      <c r="Z84" s="4">
        <f>6*Y84-X84-W84-V84-U84-T84-S84-R84-Q84-P84-O84-F84</f>
        <v>463.20000000000005</v>
      </c>
      <c r="AA84" s="4">
        <f t="shared" si="25"/>
        <v>463.20000000000005</v>
      </c>
      <c r="AB84" s="24"/>
      <c r="AC84" s="16">
        <f t="shared" si="26"/>
        <v>6</v>
      </c>
      <c r="AD84" s="16">
        <f t="shared" si="24"/>
        <v>0</v>
      </c>
      <c r="AE84" s="16">
        <v>16.600000000000001</v>
      </c>
      <c r="AF84" s="16">
        <v>66.599999999999994</v>
      </c>
      <c r="AG84" s="16">
        <v>83</v>
      </c>
      <c r="AH84" s="16">
        <v>72.599999999999994</v>
      </c>
      <c r="AI84" s="16">
        <v>72.599999999999994</v>
      </c>
      <c r="AJ84" s="16">
        <v>82</v>
      </c>
      <c r="AK84" s="16">
        <v>85</v>
      </c>
      <c r="AL84" s="16">
        <v>80</v>
      </c>
      <c r="AM84" s="16"/>
      <c r="AN84" s="16">
        <f t="shared" si="27"/>
        <v>162</v>
      </c>
      <c r="AO84" s="16"/>
      <c r="AP84" s="16"/>
      <c r="AQ84" s="16"/>
      <c r="AR84" s="16"/>
      <c r="AS84" s="16"/>
      <c r="AT84" s="16"/>
      <c r="AU84" s="16"/>
    </row>
    <row r="85" spans="1:47" x14ac:dyDescent="0.25">
      <c r="A85" s="16" t="s">
        <v>134</v>
      </c>
      <c r="B85" s="16" t="s">
        <v>46</v>
      </c>
      <c r="C85" s="16">
        <v>36</v>
      </c>
      <c r="D85" s="16">
        <v>2</v>
      </c>
      <c r="E85" s="16">
        <v>38</v>
      </c>
      <c r="F85" s="16"/>
      <c r="G85" s="6">
        <v>0.4</v>
      </c>
      <c r="H85" s="16">
        <v>55</v>
      </c>
      <c r="I85" s="16" t="s">
        <v>42</v>
      </c>
      <c r="J85" s="16"/>
      <c r="K85" s="16">
        <v>40</v>
      </c>
      <c r="L85" s="16">
        <f t="shared" si="21"/>
        <v>-2</v>
      </c>
      <c r="M85" s="16">
        <f t="shared" si="22"/>
        <v>38</v>
      </c>
      <c r="N85" s="16"/>
      <c r="O85" s="16">
        <v>8</v>
      </c>
      <c r="P85" s="16"/>
      <c r="Q85" s="16"/>
      <c r="R85" s="16"/>
      <c r="S85" s="16"/>
      <c r="T85" s="16"/>
      <c r="U85" s="16"/>
      <c r="V85" s="16">
        <v>20</v>
      </c>
      <c r="W85" s="16"/>
      <c r="X85" s="16"/>
      <c r="Y85" s="16">
        <f t="shared" si="23"/>
        <v>7.6</v>
      </c>
      <c r="Z85" s="4">
        <f>10*Y85-X85-W85-V85-U85-T85-S85-R85-Q85-P85-O85-F85</f>
        <v>48</v>
      </c>
      <c r="AA85" s="4">
        <f t="shared" si="25"/>
        <v>48</v>
      </c>
      <c r="AB85" s="24"/>
      <c r="AC85" s="16">
        <f t="shared" si="26"/>
        <v>10</v>
      </c>
      <c r="AD85" s="16">
        <f t="shared" si="24"/>
        <v>3.6842105263157898</v>
      </c>
      <c r="AE85" s="16">
        <v>4</v>
      </c>
      <c r="AF85" s="16">
        <v>4</v>
      </c>
      <c r="AG85" s="16">
        <v>0</v>
      </c>
      <c r="AH85" s="16">
        <v>0.2</v>
      </c>
      <c r="AI85" s="16">
        <v>0.2</v>
      </c>
      <c r="AJ85" s="16">
        <v>4.5999999999999996</v>
      </c>
      <c r="AK85" s="16">
        <v>5</v>
      </c>
      <c r="AL85" s="16">
        <v>1</v>
      </c>
      <c r="AM85" s="16"/>
      <c r="AN85" s="16">
        <f t="shared" si="27"/>
        <v>19</v>
      </c>
      <c r="AO85" s="16"/>
      <c r="AP85" s="16"/>
      <c r="AQ85" s="16"/>
      <c r="AR85" s="16"/>
      <c r="AS85" s="16"/>
      <c r="AT85" s="16"/>
      <c r="AU85" s="16"/>
    </row>
    <row r="86" spans="1:47" x14ac:dyDescent="0.25">
      <c r="A86" s="16" t="s">
        <v>135</v>
      </c>
      <c r="B86" s="16" t="s">
        <v>41</v>
      </c>
      <c r="C86" s="16">
        <v>52.274000000000001</v>
      </c>
      <c r="D86" s="16">
        <v>1.4470000000000001</v>
      </c>
      <c r="E86" s="16">
        <v>8.5920000000000005</v>
      </c>
      <c r="F86" s="16">
        <v>45.128999999999998</v>
      </c>
      <c r="G86" s="6">
        <v>1</v>
      </c>
      <c r="H86" s="16">
        <v>55</v>
      </c>
      <c r="I86" s="16" t="s">
        <v>42</v>
      </c>
      <c r="J86" s="16"/>
      <c r="K86" s="16">
        <v>7.9</v>
      </c>
      <c r="L86" s="16">
        <f t="shared" si="21"/>
        <v>0.69200000000000017</v>
      </c>
      <c r="M86" s="16">
        <f t="shared" si="22"/>
        <v>8.5920000000000005</v>
      </c>
      <c r="N86" s="16"/>
      <c r="O86" s="16">
        <v>0</v>
      </c>
      <c r="P86" s="16"/>
      <c r="Q86" s="16"/>
      <c r="R86" s="16"/>
      <c r="S86" s="16"/>
      <c r="T86" s="16"/>
      <c r="U86" s="16"/>
      <c r="V86" s="16">
        <v>0</v>
      </c>
      <c r="W86" s="16"/>
      <c r="X86" s="16"/>
      <c r="Y86" s="16">
        <f t="shared" si="23"/>
        <v>1.7184000000000001</v>
      </c>
      <c r="Z86" s="4"/>
      <c r="AA86" s="4">
        <f t="shared" si="25"/>
        <v>0</v>
      </c>
      <c r="AB86" s="24"/>
      <c r="AC86" s="16">
        <f t="shared" si="26"/>
        <v>26.262220670391059</v>
      </c>
      <c r="AD86" s="16">
        <f t="shared" si="24"/>
        <v>26.262220670391059</v>
      </c>
      <c r="AE86" s="16">
        <v>0.57800000000000007</v>
      </c>
      <c r="AF86" s="16">
        <v>1.7447999999999999</v>
      </c>
      <c r="AG86" s="16">
        <v>1.7296</v>
      </c>
      <c r="AH86" s="16">
        <v>1.1372</v>
      </c>
      <c r="AI86" s="16">
        <v>1.4352</v>
      </c>
      <c r="AJ86" s="16">
        <v>2.8454000000000002</v>
      </c>
      <c r="AK86" s="16">
        <v>1.7416</v>
      </c>
      <c r="AL86" s="16">
        <v>3.1873999999999998</v>
      </c>
      <c r="AM86" s="14" t="s">
        <v>136</v>
      </c>
      <c r="AN86" s="16">
        <f t="shared" si="27"/>
        <v>0</v>
      </c>
      <c r="AO86" s="16"/>
      <c r="AP86" s="16"/>
      <c r="AQ86" s="16"/>
      <c r="AR86" s="16"/>
      <c r="AS86" s="16"/>
      <c r="AT86" s="16"/>
      <c r="AU86" s="16"/>
    </row>
    <row r="87" spans="1:47" x14ac:dyDescent="0.25">
      <c r="A87" s="10" t="s">
        <v>137</v>
      </c>
      <c r="B87" s="10" t="s">
        <v>41</v>
      </c>
      <c r="C87" s="10"/>
      <c r="D87" s="10"/>
      <c r="E87" s="10"/>
      <c r="F87" s="10"/>
      <c r="G87" s="11">
        <v>0</v>
      </c>
      <c r="H87" s="10"/>
      <c r="I87" s="10" t="s">
        <v>42</v>
      </c>
      <c r="J87" s="10"/>
      <c r="K87" s="10"/>
      <c r="L87" s="10">
        <f t="shared" si="21"/>
        <v>0</v>
      </c>
      <c r="M87" s="10">
        <f t="shared" si="22"/>
        <v>0</v>
      </c>
      <c r="N87" s="10"/>
      <c r="O87" s="10">
        <v>0</v>
      </c>
      <c r="P87" s="10"/>
      <c r="Q87" s="10"/>
      <c r="R87" s="10"/>
      <c r="S87" s="10"/>
      <c r="T87" s="10"/>
      <c r="U87" s="10"/>
      <c r="V87" s="10">
        <v>0</v>
      </c>
      <c r="W87" s="10"/>
      <c r="X87" s="10"/>
      <c r="Y87" s="10">
        <f t="shared" si="23"/>
        <v>0</v>
      </c>
      <c r="Z87" s="12"/>
      <c r="AA87" s="4">
        <f t="shared" si="25"/>
        <v>0</v>
      </c>
      <c r="AB87" s="24"/>
      <c r="AC87" s="16" t="e">
        <f t="shared" si="26"/>
        <v>#DIV/0!</v>
      </c>
      <c r="AD87" s="10" t="e">
        <f t="shared" si="24"/>
        <v>#DIV/0!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 t="s">
        <v>64</v>
      </c>
      <c r="AN87" s="16">
        <f t="shared" si="27"/>
        <v>0</v>
      </c>
      <c r="AO87" s="16"/>
      <c r="AP87" s="16"/>
      <c r="AQ87" s="16"/>
      <c r="AR87" s="16"/>
      <c r="AS87" s="16"/>
      <c r="AT87" s="16"/>
      <c r="AU87" s="16"/>
    </row>
    <row r="88" spans="1:47" x14ac:dyDescent="0.25">
      <c r="A88" s="16" t="s">
        <v>138</v>
      </c>
      <c r="B88" s="16" t="s">
        <v>41</v>
      </c>
      <c r="C88" s="16">
        <v>2182.473</v>
      </c>
      <c r="D88" s="16">
        <v>1124.1959999999999</v>
      </c>
      <c r="E88" s="16">
        <v>2623.3</v>
      </c>
      <c r="F88" s="16">
        <v>642.61</v>
      </c>
      <c r="G88" s="6">
        <v>1</v>
      </c>
      <c r="H88" s="16">
        <v>60</v>
      </c>
      <c r="I88" s="9" t="s">
        <v>42</v>
      </c>
      <c r="J88" s="16"/>
      <c r="K88" s="16">
        <v>2614.9499999999998</v>
      </c>
      <c r="L88" s="16">
        <f t="shared" si="21"/>
        <v>8.3500000000003638</v>
      </c>
      <c r="M88" s="16">
        <f t="shared" si="22"/>
        <v>2623.3</v>
      </c>
      <c r="N88" s="16"/>
      <c r="O88" s="16">
        <v>1445.727508000002</v>
      </c>
      <c r="P88" s="16"/>
      <c r="Q88" s="16"/>
      <c r="R88" s="16"/>
      <c r="S88" s="16"/>
      <c r="T88" s="16">
        <v>2300</v>
      </c>
      <c r="U88" s="16"/>
      <c r="V88" s="16">
        <v>307.56029150399911</v>
      </c>
      <c r="W88" s="16">
        <v>659.61043649599821</v>
      </c>
      <c r="X88" s="16"/>
      <c r="Y88" s="16">
        <f t="shared" si="23"/>
        <v>524.66000000000008</v>
      </c>
      <c r="Z88" s="4">
        <f t="shared" ref="Z88:Z90" si="29">11*Y88-X88-W88-V88-U88-T88-S88-R88-Q88-P88-O88-F88</f>
        <v>415.7517640000018</v>
      </c>
      <c r="AA88" s="31">
        <f>Z88+$AA$1*Y88</f>
        <v>1412.605764000002</v>
      </c>
      <c r="AB88" s="24"/>
      <c r="AC88" s="16">
        <f t="shared" si="26"/>
        <v>12.9</v>
      </c>
      <c r="AD88" s="16">
        <f t="shared" si="24"/>
        <v>10.207578690961764</v>
      </c>
      <c r="AE88" s="16">
        <v>546.37159999999994</v>
      </c>
      <c r="AF88" s="16">
        <v>631.18540000000007</v>
      </c>
      <c r="AG88" s="16">
        <v>487.42919999999992</v>
      </c>
      <c r="AH88" s="16">
        <v>486.21499999999997</v>
      </c>
      <c r="AI88" s="16">
        <v>545.07420000000002</v>
      </c>
      <c r="AJ88" s="16">
        <v>663.97019999999998</v>
      </c>
      <c r="AK88" s="16">
        <v>653.57219999999995</v>
      </c>
      <c r="AL88" s="16">
        <v>665.99520000000007</v>
      </c>
      <c r="AM88" s="16"/>
      <c r="AN88" s="16">
        <f t="shared" si="27"/>
        <v>1413</v>
      </c>
      <c r="AO88" s="16"/>
      <c r="AP88" s="16"/>
      <c r="AQ88" s="16"/>
      <c r="AR88" s="16"/>
      <c r="AS88" s="16"/>
      <c r="AT88" s="16"/>
      <c r="AU88" s="16"/>
    </row>
    <row r="89" spans="1:47" x14ac:dyDescent="0.25">
      <c r="A89" s="16" t="s">
        <v>139</v>
      </c>
      <c r="B89" s="16" t="s">
        <v>46</v>
      </c>
      <c r="C89" s="16">
        <v>114</v>
      </c>
      <c r="D89" s="16">
        <v>108</v>
      </c>
      <c r="E89" s="16">
        <v>179</v>
      </c>
      <c r="F89" s="16">
        <v>28</v>
      </c>
      <c r="G89" s="6">
        <v>0.3</v>
      </c>
      <c r="H89" s="16">
        <v>40</v>
      </c>
      <c r="I89" s="16" t="s">
        <v>42</v>
      </c>
      <c r="J89" s="16"/>
      <c r="K89" s="16">
        <v>207</v>
      </c>
      <c r="L89" s="16">
        <f t="shared" si="21"/>
        <v>-28</v>
      </c>
      <c r="M89" s="16">
        <f t="shared" si="22"/>
        <v>179</v>
      </c>
      <c r="N89" s="16"/>
      <c r="O89" s="16">
        <v>150.77799999999999</v>
      </c>
      <c r="P89" s="16"/>
      <c r="Q89" s="16"/>
      <c r="R89" s="16"/>
      <c r="S89" s="16"/>
      <c r="T89" s="16">
        <v>200</v>
      </c>
      <c r="U89" s="16"/>
      <c r="V89" s="16">
        <v>118.22199999999999</v>
      </c>
      <c r="W89" s="16"/>
      <c r="X89" s="16"/>
      <c r="Y89" s="16">
        <f t="shared" si="23"/>
        <v>35.799999999999997</v>
      </c>
      <c r="Z89" s="4"/>
      <c r="AA89" s="4">
        <f t="shared" si="25"/>
        <v>0</v>
      </c>
      <c r="AB89" s="24"/>
      <c r="AC89" s="16">
        <f t="shared" si="26"/>
        <v>13.882681564245811</v>
      </c>
      <c r="AD89" s="16">
        <f t="shared" si="24"/>
        <v>13.882681564245811</v>
      </c>
      <c r="AE89" s="16">
        <v>44</v>
      </c>
      <c r="AF89" s="16">
        <v>54.4</v>
      </c>
      <c r="AG89" s="16">
        <v>32.200000000000003</v>
      </c>
      <c r="AH89" s="16">
        <v>19.600000000000001</v>
      </c>
      <c r="AI89" s="16">
        <v>20.399999999999999</v>
      </c>
      <c r="AJ89" s="16">
        <v>31.2</v>
      </c>
      <c r="AK89" s="16">
        <v>47.6</v>
      </c>
      <c r="AL89" s="16">
        <v>47</v>
      </c>
      <c r="AM89" s="16"/>
      <c r="AN89" s="16">
        <f t="shared" si="27"/>
        <v>0</v>
      </c>
      <c r="AO89" s="16"/>
      <c r="AP89" s="16"/>
      <c r="AQ89" s="16"/>
      <c r="AR89" s="16"/>
      <c r="AS89" s="16"/>
      <c r="AT89" s="16"/>
      <c r="AU89" s="16"/>
    </row>
    <row r="90" spans="1:47" x14ac:dyDescent="0.25">
      <c r="A90" s="16" t="s">
        <v>140</v>
      </c>
      <c r="B90" s="16" t="s">
        <v>41</v>
      </c>
      <c r="C90" s="16">
        <v>641.20899999999995</v>
      </c>
      <c r="D90" s="16">
        <v>567.404</v>
      </c>
      <c r="E90" s="16">
        <v>1177.2059999999999</v>
      </c>
      <c r="F90" s="16">
        <v>-5.5190000000000001</v>
      </c>
      <c r="G90" s="6">
        <v>1</v>
      </c>
      <c r="H90" s="16">
        <v>60</v>
      </c>
      <c r="I90" s="9" t="s">
        <v>42</v>
      </c>
      <c r="J90" s="16"/>
      <c r="K90" s="16">
        <v>1236</v>
      </c>
      <c r="L90" s="16">
        <f t="shared" si="21"/>
        <v>-58.794000000000096</v>
      </c>
      <c r="M90" s="16">
        <f t="shared" si="22"/>
        <v>1177.2059999999999</v>
      </c>
      <c r="N90" s="16"/>
      <c r="O90" s="16">
        <v>570.81967800000075</v>
      </c>
      <c r="P90" s="16"/>
      <c r="Q90" s="16"/>
      <c r="R90" s="16"/>
      <c r="S90" s="16"/>
      <c r="T90" s="16">
        <v>900</v>
      </c>
      <c r="U90" s="16"/>
      <c r="V90" s="16">
        <v>337.3591753799999</v>
      </c>
      <c r="W90" s="16">
        <v>723.5187346199998</v>
      </c>
      <c r="X90" s="16"/>
      <c r="Y90" s="16">
        <f t="shared" si="23"/>
        <v>235.44119999999998</v>
      </c>
      <c r="Z90" s="4">
        <f t="shared" si="29"/>
        <v>63.674611999999108</v>
      </c>
      <c r="AA90" s="31">
        <f>Z90+$AA$1*Y90</f>
        <v>511.01289199999906</v>
      </c>
      <c r="AB90" s="24"/>
      <c r="AC90" s="16">
        <f t="shared" si="26"/>
        <v>12.899999999999999</v>
      </c>
      <c r="AD90" s="16">
        <f t="shared" si="24"/>
        <v>10.729551956072262</v>
      </c>
      <c r="AE90" s="16">
        <v>237.84280000000001</v>
      </c>
      <c r="AF90" s="16">
        <v>261.7706</v>
      </c>
      <c r="AG90" s="16">
        <v>210.9222</v>
      </c>
      <c r="AH90" s="16">
        <v>200.2338</v>
      </c>
      <c r="AI90" s="16">
        <v>224.22739999999999</v>
      </c>
      <c r="AJ90" s="16">
        <v>269.709</v>
      </c>
      <c r="AK90" s="16">
        <v>297.4228</v>
      </c>
      <c r="AL90" s="16">
        <v>254.03819999999999</v>
      </c>
      <c r="AM90" s="16"/>
      <c r="AN90" s="16">
        <f t="shared" si="27"/>
        <v>511</v>
      </c>
      <c r="AO90" s="16"/>
      <c r="AP90" s="16"/>
      <c r="AQ90" s="16"/>
      <c r="AR90" s="16"/>
      <c r="AS90" s="16"/>
      <c r="AT90" s="16"/>
      <c r="AU90" s="16"/>
    </row>
    <row r="91" spans="1:47" x14ac:dyDescent="0.25">
      <c r="A91" s="16" t="s">
        <v>141</v>
      </c>
      <c r="B91" s="16" t="s">
        <v>41</v>
      </c>
      <c r="C91" s="16">
        <v>5866.6390000000001</v>
      </c>
      <c r="D91" s="16">
        <v>1818.6089999999999</v>
      </c>
      <c r="E91" s="16">
        <v>2540.5219999999999</v>
      </c>
      <c r="F91" s="16">
        <v>4778.527</v>
      </c>
      <c r="G91" s="6">
        <v>1</v>
      </c>
      <c r="H91" s="16">
        <v>60</v>
      </c>
      <c r="I91" s="9" t="s">
        <v>42</v>
      </c>
      <c r="J91" s="16"/>
      <c r="K91" s="16">
        <v>2643.2840000000001</v>
      </c>
      <c r="L91" s="16">
        <f t="shared" si="21"/>
        <v>-102.76200000000017</v>
      </c>
      <c r="M91" s="16">
        <f t="shared" si="22"/>
        <v>2239.538</v>
      </c>
      <c r="N91" s="16">
        <v>300.98399999999998</v>
      </c>
      <c r="O91" s="16">
        <v>0</v>
      </c>
      <c r="P91" s="16"/>
      <c r="Q91" s="16"/>
      <c r="R91" s="16">
        <v>1600</v>
      </c>
      <c r="S91" s="16">
        <v>1200</v>
      </c>
      <c r="T91" s="16"/>
      <c r="U91" s="16">
        <v>510</v>
      </c>
      <c r="V91" s="16">
        <v>0</v>
      </c>
      <c r="W91" s="16"/>
      <c r="X91" s="16">
        <v>1000</v>
      </c>
      <c r="Y91" s="16">
        <f t="shared" si="23"/>
        <v>447.9076</v>
      </c>
      <c r="Z91" s="4"/>
      <c r="AA91" s="4">
        <f t="shared" si="25"/>
        <v>0</v>
      </c>
      <c r="AB91" s="24"/>
      <c r="AC91" s="16">
        <f t="shared" si="26"/>
        <v>20.291075659354743</v>
      </c>
      <c r="AD91" s="16">
        <f t="shared" si="24"/>
        <v>20.291075659354743</v>
      </c>
      <c r="AE91" s="16">
        <v>485.68380000000008</v>
      </c>
      <c r="AF91" s="16">
        <v>514.53820000000007</v>
      </c>
      <c r="AG91" s="16">
        <v>401.62819999999999</v>
      </c>
      <c r="AH91" s="16">
        <v>487.01119999999992</v>
      </c>
      <c r="AI91" s="16">
        <v>453.0684</v>
      </c>
      <c r="AJ91" s="16">
        <v>606.41340000000002</v>
      </c>
      <c r="AK91" s="16">
        <v>702.14319999999998</v>
      </c>
      <c r="AL91" s="16">
        <v>695.84860000000003</v>
      </c>
      <c r="AM91" s="20" t="s">
        <v>92</v>
      </c>
      <c r="AN91" s="16">
        <f t="shared" si="27"/>
        <v>0</v>
      </c>
      <c r="AO91" s="16"/>
      <c r="AP91" s="16"/>
      <c r="AQ91" s="16"/>
      <c r="AR91" s="16"/>
      <c r="AS91" s="16"/>
      <c r="AT91" s="16"/>
      <c r="AU91" s="16"/>
    </row>
    <row r="92" spans="1:47" x14ac:dyDescent="0.25">
      <c r="A92" s="16" t="s">
        <v>68</v>
      </c>
      <c r="B92" s="16" t="s">
        <v>41</v>
      </c>
      <c r="C92" s="16">
        <v>3544.2040000000002</v>
      </c>
      <c r="D92" s="16">
        <v>6955.1729999999998</v>
      </c>
      <c r="E92" s="16">
        <v>3902.114</v>
      </c>
      <c r="F92" s="19">
        <f>6190.595+F23</f>
        <v>6183.1019999999999</v>
      </c>
      <c r="G92" s="6">
        <v>1</v>
      </c>
      <c r="H92" s="16">
        <v>60</v>
      </c>
      <c r="I92" s="9" t="s">
        <v>42</v>
      </c>
      <c r="J92" s="16"/>
      <c r="K92" s="16">
        <v>4002.904</v>
      </c>
      <c r="L92" s="16">
        <f t="shared" si="21"/>
        <v>-100.78999999999996</v>
      </c>
      <c r="M92" s="16">
        <f t="shared" si="22"/>
        <v>3589.41</v>
      </c>
      <c r="N92" s="16">
        <v>312.70400000000001</v>
      </c>
      <c r="O92" s="16">
        <v>0</v>
      </c>
      <c r="P92" s="16"/>
      <c r="Q92" s="16"/>
      <c r="R92" s="16">
        <v>2500</v>
      </c>
      <c r="S92" s="16">
        <v>1400</v>
      </c>
      <c r="T92" s="16"/>
      <c r="U92" s="16">
        <v>630</v>
      </c>
      <c r="V92" s="16">
        <v>151</v>
      </c>
      <c r="W92" s="16"/>
      <c r="X92" s="16"/>
      <c r="Y92" s="16">
        <f t="shared" si="23"/>
        <v>717.88199999999995</v>
      </c>
      <c r="Z92" s="4"/>
      <c r="AA92" s="4">
        <f t="shared" si="25"/>
        <v>0</v>
      </c>
      <c r="AB92" s="24"/>
      <c r="AC92" s="16">
        <f t="shared" si="26"/>
        <v>15.133548410463</v>
      </c>
      <c r="AD92" s="16">
        <f t="shared" si="24"/>
        <v>15.133548410463</v>
      </c>
      <c r="AE92" s="16">
        <v>624.51419999999996</v>
      </c>
      <c r="AF92" s="16">
        <v>657.89699999999982</v>
      </c>
      <c r="AG92" s="16">
        <v>520.9251999999999</v>
      </c>
      <c r="AH92" s="16">
        <v>627.79740000000004</v>
      </c>
      <c r="AI92" s="16">
        <v>577.65159999999992</v>
      </c>
      <c r="AJ92" s="16">
        <v>698.26039999999989</v>
      </c>
      <c r="AK92" s="16">
        <v>814.36879999999996</v>
      </c>
      <c r="AL92" s="16">
        <v>736.1662</v>
      </c>
      <c r="AM92" s="16"/>
      <c r="AN92" s="16">
        <f t="shared" si="27"/>
        <v>0</v>
      </c>
      <c r="AO92" s="16"/>
      <c r="AP92" s="16"/>
      <c r="AQ92" s="16"/>
      <c r="AR92" s="16"/>
      <c r="AS92" s="16"/>
      <c r="AT92" s="16"/>
      <c r="AU92" s="16"/>
    </row>
    <row r="93" spans="1:47" x14ac:dyDescent="0.25">
      <c r="A93" s="16" t="s">
        <v>142</v>
      </c>
      <c r="B93" s="16" t="s">
        <v>41</v>
      </c>
      <c r="C93" s="16">
        <v>59.155999999999999</v>
      </c>
      <c r="D93" s="16">
        <v>55.128999999999998</v>
      </c>
      <c r="E93" s="16">
        <v>24.044</v>
      </c>
      <c r="F93" s="16">
        <v>90.241</v>
      </c>
      <c r="G93" s="6">
        <v>1</v>
      </c>
      <c r="H93" s="16">
        <v>55</v>
      </c>
      <c r="I93" s="16" t="s">
        <v>42</v>
      </c>
      <c r="J93" s="16"/>
      <c r="K93" s="16">
        <v>39</v>
      </c>
      <c r="L93" s="16">
        <f t="shared" si="21"/>
        <v>-14.956</v>
      </c>
      <c r="M93" s="16">
        <f t="shared" si="22"/>
        <v>24.044</v>
      </c>
      <c r="N93" s="16"/>
      <c r="O93" s="16">
        <v>0</v>
      </c>
      <c r="P93" s="16"/>
      <c r="Q93" s="16"/>
      <c r="R93" s="16"/>
      <c r="S93" s="16"/>
      <c r="T93" s="16"/>
      <c r="U93" s="16"/>
      <c r="V93" s="16">
        <v>0</v>
      </c>
      <c r="W93" s="16"/>
      <c r="X93" s="16"/>
      <c r="Y93" s="16">
        <f t="shared" si="23"/>
        <v>4.8087999999999997</v>
      </c>
      <c r="Z93" s="4"/>
      <c r="AA93" s="4">
        <f t="shared" si="25"/>
        <v>0</v>
      </c>
      <c r="AB93" s="24"/>
      <c r="AC93" s="16">
        <f t="shared" si="26"/>
        <v>18.765804358675762</v>
      </c>
      <c r="AD93" s="16">
        <f t="shared" si="24"/>
        <v>18.765804358675762</v>
      </c>
      <c r="AE93" s="16">
        <v>2.9365999999999999</v>
      </c>
      <c r="AF93" s="16">
        <v>2.9626000000000001</v>
      </c>
      <c r="AG93" s="16">
        <v>9.1290000000000013</v>
      </c>
      <c r="AH93" s="16">
        <v>9.1308000000000007</v>
      </c>
      <c r="AI93" s="16">
        <v>9.6712000000000007</v>
      </c>
      <c r="AJ93" s="16">
        <v>9.3979999999999997</v>
      </c>
      <c r="AK93" s="16">
        <v>9.9340000000000011</v>
      </c>
      <c r="AL93" s="16">
        <v>15.5474</v>
      </c>
      <c r="AM93" s="14" t="s">
        <v>136</v>
      </c>
      <c r="AN93" s="16">
        <f t="shared" si="27"/>
        <v>0</v>
      </c>
      <c r="AO93" s="16"/>
      <c r="AP93" s="16"/>
      <c r="AQ93" s="16"/>
      <c r="AR93" s="16"/>
      <c r="AS93" s="16"/>
      <c r="AT93" s="16"/>
      <c r="AU93" s="16"/>
    </row>
    <row r="94" spans="1:47" x14ac:dyDescent="0.25">
      <c r="A94" s="10" t="s">
        <v>143</v>
      </c>
      <c r="B94" s="10" t="s">
        <v>41</v>
      </c>
      <c r="C94" s="10">
        <v>-1.36</v>
      </c>
      <c r="D94" s="10"/>
      <c r="E94" s="10"/>
      <c r="F94" s="10">
        <v>-1.36</v>
      </c>
      <c r="G94" s="11">
        <v>0</v>
      </c>
      <c r="H94" s="10"/>
      <c r="I94" s="10" t="s">
        <v>56</v>
      </c>
      <c r="J94" s="10"/>
      <c r="K94" s="10"/>
      <c r="L94" s="10">
        <f t="shared" si="21"/>
        <v>0</v>
      </c>
      <c r="M94" s="10">
        <f t="shared" si="22"/>
        <v>0</v>
      </c>
      <c r="N94" s="10"/>
      <c r="O94" s="10">
        <v>0</v>
      </c>
      <c r="P94" s="10"/>
      <c r="Q94" s="10"/>
      <c r="R94" s="10"/>
      <c r="S94" s="10"/>
      <c r="T94" s="10"/>
      <c r="U94" s="10"/>
      <c r="V94" s="10">
        <v>0</v>
      </c>
      <c r="W94" s="10"/>
      <c r="X94" s="10"/>
      <c r="Y94" s="10">
        <f t="shared" si="23"/>
        <v>0</v>
      </c>
      <c r="Z94" s="12"/>
      <c r="AA94" s="4">
        <f t="shared" si="25"/>
        <v>0</v>
      </c>
      <c r="AB94" s="24"/>
      <c r="AC94" s="16" t="e">
        <f t="shared" si="26"/>
        <v>#DIV/0!</v>
      </c>
      <c r="AD94" s="10" t="e">
        <f t="shared" si="24"/>
        <v>#DIV/0!</v>
      </c>
      <c r="AE94" s="10">
        <v>0</v>
      </c>
      <c r="AF94" s="10">
        <v>0</v>
      </c>
      <c r="AG94" s="10">
        <v>0.27200000000000002</v>
      </c>
      <c r="AH94" s="10">
        <v>0.27200000000000002</v>
      </c>
      <c r="AI94" s="10">
        <v>0</v>
      </c>
      <c r="AJ94" s="10">
        <v>0</v>
      </c>
      <c r="AK94" s="10">
        <v>0</v>
      </c>
      <c r="AL94" s="10">
        <v>0</v>
      </c>
      <c r="AM94" s="10"/>
      <c r="AN94" s="16">
        <f t="shared" si="27"/>
        <v>0</v>
      </c>
      <c r="AO94" s="16"/>
      <c r="AP94" s="16"/>
      <c r="AQ94" s="16"/>
      <c r="AR94" s="16"/>
      <c r="AS94" s="16"/>
      <c r="AT94" s="16"/>
      <c r="AU94" s="16"/>
    </row>
    <row r="95" spans="1:47" x14ac:dyDescent="0.25">
      <c r="A95" s="10" t="s">
        <v>144</v>
      </c>
      <c r="B95" s="10" t="s">
        <v>41</v>
      </c>
      <c r="C95" s="10">
        <v>544.97199999999998</v>
      </c>
      <c r="D95" s="10">
        <v>1.3360000000000001</v>
      </c>
      <c r="E95" s="10">
        <v>26.891999999999999</v>
      </c>
      <c r="F95" s="10">
        <v>402.20600000000002</v>
      </c>
      <c r="G95" s="11">
        <v>0</v>
      </c>
      <c r="H95" s="10"/>
      <c r="I95" s="10" t="s">
        <v>56</v>
      </c>
      <c r="J95" s="10"/>
      <c r="K95" s="10">
        <v>26</v>
      </c>
      <c r="L95" s="10">
        <f t="shared" si="21"/>
        <v>0.89199999999999946</v>
      </c>
      <c r="M95" s="10">
        <f t="shared" si="22"/>
        <v>26.891999999999999</v>
      </c>
      <c r="N95" s="10"/>
      <c r="O95" s="10">
        <v>0</v>
      </c>
      <c r="P95" s="10"/>
      <c r="Q95" s="10"/>
      <c r="R95" s="10"/>
      <c r="S95" s="10"/>
      <c r="T95" s="10"/>
      <c r="U95" s="10"/>
      <c r="V95" s="10">
        <v>0</v>
      </c>
      <c r="W95" s="10"/>
      <c r="X95" s="10"/>
      <c r="Y95" s="10">
        <f t="shared" si="23"/>
        <v>5.3784000000000001</v>
      </c>
      <c r="Z95" s="12"/>
      <c r="AA95" s="4">
        <f t="shared" si="25"/>
        <v>0</v>
      </c>
      <c r="AB95" s="24"/>
      <c r="AC95" s="16">
        <f t="shared" si="26"/>
        <v>74.781719470474499</v>
      </c>
      <c r="AD95" s="10">
        <f t="shared" si="24"/>
        <v>74.781719470474499</v>
      </c>
      <c r="AE95" s="10">
        <v>6.8639999999999999</v>
      </c>
      <c r="AF95" s="10">
        <v>3.9003999999999999</v>
      </c>
      <c r="AG95" s="10">
        <v>2.42</v>
      </c>
      <c r="AH95" s="10">
        <v>6.7090000000000014</v>
      </c>
      <c r="AI95" s="10">
        <v>6.706999999999999</v>
      </c>
      <c r="AJ95" s="10">
        <v>13.973000000000001</v>
      </c>
      <c r="AK95" s="10">
        <v>18.044</v>
      </c>
      <c r="AL95" s="10">
        <v>9.4331999999999994</v>
      </c>
      <c r="AM95" s="14" t="s">
        <v>136</v>
      </c>
      <c r="AN95" s="16">
        <f t="shared" si="27"/>
        <v>0</v>
      </c>
      <c r="AO95" s="16"/>
      <c r="AP95" s="16"/>
      <c r="AQ95" s="16"/>
      <c r="AR95" s="16"/>
      <c r="AS95" s="16"/>
      <c r="AT95" s="16"/>
      <c r="AU95" s="16"/>
    </row>
    <row r="96" spans="1:47" x14ac:dyDescent="0.25">
      <c r="A96" s="16" t="s">
        <v>145</v>
      </c>
      <c r="B96" s="16" t="s">
        <v>46</v>
      </c>
      <c r="C96" s="16">
        <v>122</v>
      </c>
      <c r="D96" s="16">
        <v>33</v>
      </c>
      <c r="E96" s="16">
        <v>76</v>
      </c>
      <c r="F96" s="16">
        <v>58</v>
      </c>
      <c r="G96" s="6">
        <v>0.3</v>
      </c>
      <c r="H96" s="16">
        <v>40</v>
      </c>
      <c r="I96" s="16" t="s">
        <v>42</v>
      </c>
      <c r="J96" s="16"/>
      <c r="K96" s="16">
        <v>183</v>
      </c>
      <c r="L96" s="16">
        <f t="shared" si="21"/>
        <v>-107</v>
      </c>
      <c r="M96" s="8">
        <f t="shared" si="22"/>
        <v>76</v>
      </c>
      <c r="N96" s="16"/>
      <c r="O96" s="8">
        <v>0</v>
      </c>
      <c r="P96" s="16"/>
      <c r="Q96" s="16"/>
      <c r="R96" s="16"/>
      <c r="S96" s="16"/>
      <c r="T96" s="16"/>
      <c r="U96" s="16"/>
      <c r="V96" s="16">
        <v>40.299999999999983</v>
      </c>
      <c r="W96" s="16"/>
      <c r="X96" s="16"/>
      <c r="Y96" s="16">
        <f t="shared" si="23"/>
        <v>15.2</v>
      </c>
      <c r="Z96" s="4">
        <f t="shared" ref="Z96:Z100" si="30">11*Y96-X96-W96-V96-U96-T96-S96-R96-Q96-P96-O96-F96</f>
        <v>68.900000000000006</v>
      </c>
      <c r="AA96" s="4">
        <f t="shared" si="25"/>
        <v>68.900000000000006</v>
      </c>
      <c r="AB96" s="24"/>
      <c r="AC96" s="16">
        <f t="shared" si="26"/>
        <v>11</v>
      </c>
      <c r="AD96" s="16">
        <f t="shared" si="24"/>
        <v>6.4671052631578938</v>
      </c>
      <c r="AE96" s="16">
        <v>23.8</v>
      </c>
      <c r="AF96" s="16">
        <v>25.4</v>
      </c>
      <c r="AG96" s="16">
        <v>17.2</v>
      </c>
      <c r="AH96" s="16">
        <v>20.2</v>
      </c>
      <c r="AI96" s="16">
        <v>22.8</v>
      </c>
      <c r="AJ96" s="16">
        <v>24.2</v>
      </c>
      <c r="AK96" s="16">
        <v>18.2</v>
      </c>
      <c r="AL96" s="16">
        <v>15.4</v>
      </c>
      <c r="AM96" s="16"/>
      <c r="AN96" s="16">
        <f t="shared" si="27"/>
        <v>21</v>
      </c>
      <c r="AO96" s="16"/>
      <c r="AP96" s="16"/>
      <c r="AQ96" s="16"/>
      <c r="AR96" s="16"/>
      <c r="AS96" s="16"/>
      <c r="AT96" s="16"/>
      <c r="AU96" s="16"/>
    </row>
    <row r="97" spans="1:47" x14ac:dyDescent="0.25">
      <c r="A97" s="16" t="s">
        <v>146</v>
      </c>
      <c r="B97" s="16" t="s">
        <v>46</v>
      </c>
      <c r="C97" s="16">
        <v>-3</v>
      </c>
      <c r="D97" s="16">
        <v>36</v>
      </c>
      <c r="E97" s="16">
        <v>48</v>
      </c>
      <c r="F97" s="16">
        <v>-16</v>
      </c>
      <c r="G97" s="6">
        <v>0.3</v>
      </c>
      <c r="H97" s="16">
        <v>40</v>
      </c>
      <c r="I97" s="16" t="s">
        <v>42</v>
      </c>
      <c r="J97" s="16"/>
      <c r="K97" s="16">
        <v>51</v>
      </c>
      <c r="L97" s="16">
        <f t="shared" si="21"/>
        <v>-3</v>
      </c>
      <c r="M97" s="16">
        <f t="shared" si="22"/>
        <v>48</v>
      </c>
      <c r="N97" s="16"/>
      <c r="O97" s="16">
        <v>75.600000000000009</v>
      </c>
      <c r="P97" s="16"/>
      <c r="Q97" s="16"/>
      <c r="R97" s="16"/>
      <c r="S97" s="16"/>
      <c r="T97" s="16"/>
      <c r="U97" s="16"/>
      <c r="V97" s="8">
        <v>0</v>
      </c>
      <c r="W97" s="16"/>
      <c r="X97" s="16"/>
      <c r="Y97" s="16">
        <f t="shared" si="23"/>
        <v>9.6</v>
      </c>
      <c r="Z97" s="4">
        <f t="shared" si="30"/>
        <v>45.999999999999986</v>
      </c>
      <c r="AA97" s="4">
        <f t="shared" si="25"/>
        <v>45.999999999999986</v>
      </c>
      <c r="AB97" s="24"/>
      <c r="AC97" s="16">
        <f t="shared" si="26"/>
        <v>11</v>
      </c>
      <c r="AD97" s="16">
        <f t="shared" si="24"/>
        <v>6.2083333333333348</v>
      </c>
      <c r="AE97" s="16">
        <v>11</v>
      </c>
      <c r="AF97" s="16">
        <v>12.4</v>
      </c>
      <c r="AG97" s="16">
        <v>6.8</v>
      </c>
      <c r="AH97" s="16">
        <v>6.4</v>
      </c>
      <c r="AI97" s="16">
        <v>1.4</v>
      </c>
      <c r="AJ97" s="16">
        <v>2</v>
      </c>
      <c r="AK97" s="16">
        <v>2.4</v>
      </c>
      <c r="AL97" s="16">
        <v>12.2</v>
      </c>
      <c r="AM97" s="16"/>
      <c r="AN97" s="16">
        <f t="shared" si="27"/>
        <v>14</v>
      </c>
      <c r="AO97" s="16"/>
      <c r="AP97" s="16"/>
      <c r="AQ97" s="16"/>
      <c r="AR97" s="16"/>
      <c r="AS97" s="16"/>
      <c r="AT97" s="16"/>
      <c r="AU97" s="16"/>
    </row>
    <row r="98" spans="1:47" x14ac:dyDescent="0.25">
      <c r="A98" s="16" t="s">
        <v>147</v>
      </c>
      <c r="B98" s="16" t="s">
        <v>46</v>
      </c>
      <c r="C98" s="16">
        <v>176</v>
      </c>
      <c r="D98" s="16">
        <v>24</v>
      </c>
      <c r="E98" s="16">
        <v>162</v>
      </c>
      <c r="F98" s="16">
        <v>26</v>
      </c>
      <c r="G98" s="6">
        <v>7.0000000000000007E-2</v>
      </c>
      <c r="H98" s="16">
        <v>90</v>
      </c>
      <c r="I98" s="16" t="s">
        <v>42</v>
      </c>
      <c r="J98" s="16"/>
      <c r="K98" s="16">
        <v>184</v>
      </c>
      <c r="L98" s="16">
        <f t="shared" si="21"/>
        <v>-22</v>
      </c>
      <c r="M98" s="16">
        <f t="shared" si="22"/>
        <v>162</v>
      </c>
      <c r="N98" s="16"/>
      <c r="O98" s="16">
        <v>106.8</v>
      </c>
      <c r="P98" s="16"/>
      <c r="Q98" s="16"/>
      <c r="R98" s="16"/>
      <c r="S98" s="16"/>
      <c r="T98" s="16">
        <v>100</v>
      </c>
      <c r="U98" s="16"/>
      <c r="V98" s="16">
        <v>90.299999999999955</v>
      </c>
      <c r="W98" s="16"/>
      <c r="X98" s="16"/>
      <c r="Y98" s="16">
        <f t="shared" si="23"/>
        <v>32.4</v>
      </c>
      <c r="Z98" s="4">
        <f t="shared" si="30"/>
        <v>33.300000000000026</v>
      </c>
      <c r="AA98" s="4">
        <v>330</v>
      </c>
      <c r="AB98" s="24" t="str">
        <f>VLOOKUP(A98,[1]Sheet!$A:$AA,27,0)</f>
        <v xml:space="preserve">300 увеличить сеть Молоко </v>
      </c>
      <c r="AC98" s="16">
        <f t="shared" si="26"/>
        <v>20.157407407407405</v>
      </c>
      <c r="AD98" s="16">
        <f t="shared" si="24"/>
        <v>9.9722222222222214</v>
      </c>
      <c r="AE98" s="16">
        <v>33.4</v>
      </c>
      <c r="AF98" s="16">
        <v>34.799999999999997</v>
      </c>
      <c r="AG98" s="16">
        <v>22.2</v>
      </c>
      <c r="AH98" s="16">
        <v>22.6</v>
      </c>
      <c r="AI98" s="16">
        <v>26.8</v>
      </c>
      <c r="AJ98" s="16">
        <v>31.2</v>
      </c>
      <c r="AK98" s="16">
        <v>29.2</v>
      </c>
      <c r="AL98" s="16">
        <v>24.8</v>
      </c>
      <c r="AM98" s="16" t="s">
        <v>189</v>
      </c>
      <c r="AN98" s="16">
        <f t="shared" si="27"/>
        <v>23</v>
      </c>
      <c r="AO98" s="16"/>
      <c r="AP98" s="16"/>
      <c r="AQ98" s="16"/>
      <c r="AR98" s="16"/>
      <c r="AS98" s="16"/>
      <c r="AT98" s="16"/>
      <c r="AU98" s="16"/>
    </row>
    <row r="99" spans="1:47" x14ac:dyDescent="0.25">
      <c r="A99" s="16" t="s">
        <v>148</v>
      </c>
      <c r="B99" s="16" t="s">
        <v>46</v>
      </c>
      <c r="C99" s="16">
        <v>59</v>
      </c>
      <c r="D99" s="16">
        <v>153</v>
      </c>
      <c r="E99" s="16">
        <v>141</v>
      </c>
      <c r="F99" s="16">
        <v>68</v>
      </c>
      <c r="G99" s="6">
        <v>7.0000000000000007E-2</v>
      </c>
      <c r="H99" s="16">
        <v>90</v>
      </c>
      <c r="I99" s="16" t="s">
        <v>42</v>
      </c>
      <c r="J99" s="16"/>
      <c r="K99" s="16">
        <v>150</v>
      </c>
      <c r="L99" s="16">
        <f t="shared" si="21"/>
        <v>-9</v>
      </c>
      <c r="M99" s="16">
        <f t="shared" si="22"/>
        <v>141</v>
      </c>
      <c r="N99" s="16"/>
      <c r="O99" s="16">
        <v>156.22</v>
      </c>
      <c r="P99" s="16"/>
      <c r="Q99" s="16"/>
      <c r="R99" s="16"/>
      <c r="S99" s="16"/>
      <c r="T99" s="16"/>
      <c r="U99" s="16"/>
      <c r="V99" s="8">
        <v>0</v>
      </c>
      <c r="W99" s="16"/>
      <c r="X99" s="16"/>
      <c r="Y99" s="16">
        <f t="shared" si="23"/>
        <v>28.2</v>
      </c>
      <c r="Z99" s="4">
        <f t="shared" si="30"/>
        <v>85.97999999999999</v>
      </c>
      <c r="AA99" s="4">
        <v>390</v>
      </c>
      <c r="AB99" s="24" t="str">
        <f>VLOOKUP(A99,[1]Sheet!$A:$AA,27,0)</f>
        <v xml:space="preserve">300 увеличить сеть Молоко </v>
      </c>
      <c r="AC99" s="16">
        <f t="shared" si="26"/>
        <v>21.78085106382979</v>
      </c>
      <c r="AD99" s="16">
        <f t="shared" si="24"/>
        <v>7.951063829787234</v>
      </c>
      <c r="AE99" s="16">
        <v>29.6</v>
      </c>
      <c r="AF99" s="16">
        <v>31.2</v>
      </c>
      <c r="AG99" s="16">
        <v>22.8</v>
      </c>
      <c r="AH99" s="16">
        <v>26.2</v>
      </c>
      <c r="AI99" s="16">
        <v>20.399999999999999</v>
      </c>
      <c r="AJ99" s="16">
        <v>22</v>
      </c>
      <c r="AK99" s="16">
        <v>23.4</v>
      </c>
      <c r="AL99" s="16">
        <v>33</v>
      </c>
      <c r="AM99" s="16" t="s">
        <v>189</v>
      </c>
      <c r="AN99" s="16">
        <f t="shared" si="27"/>
        <v>27</v>
      </c>
      <c r="AO99" s="16"/>
      <c r="AP99" s="16"/>
      <c r="AQ99" s="16"/>
      <c r="AR99" s="16"/>
      <c r="AS99" s="16"/>
      <c r="AT99" s="16"/>
      <c r="AU99" s="16"/>
    </row>
    <row r="100" spans="1:47" x14ac:dyDescent="0.25">
      <c r="A100" s="16" t="s">
        <v>149</v>
      </c>
      <c r="B100" s="16" t="s">
        <v>46</v>
      </c>
      <c r="C100" s="16">
        <v>139</v>
      </c>
      <c r="D100" s="16">
        <v>28</v>
      </c>
      <c r="E100" s="16">
        <v>116</v>
      </c>
      <c r="F100" s="16">
        <v>45</v>
      </c>
      <c r="G100" s="6">
        <v>7.0000000000000007E-2</v>
      </c>
      <c r="H100" s="16">
        <v>90</v>
      </c>
      <c r="I100" s="16" t="s">
        <v>42</v>
      </c>
      <c r="J100" s="16"/>
      <c r="K100" s="16">
        <v>128</v>
      </c>
      <c r="L100" s="16">
        <f t="shared" si="21"/>
        <v>-12</v>
      </c>
      <c r="M100" s="16">
        <f t="shared" si="22"/>
        <v>116</v>
      </c>
      <c r="N100" s="16"/>
      <c r="O100" s="16">
        <v>152.80000000000001</v>
      </c>
      <c r="P100" s="16"/>
      <c r="Q100" s="16"/>
      <c r="R100" s="16"/>
      <c r="S100" s="16"/>
      <c r="T100" s="16"/>
      <c r="U100" s="16"/>
      <c r="V100" s="16">
        <v>36.100000000000023</v>
      </c>
      <c r="W100" s="16"/>
      <c r="X100" s="16"/>
      <c r="Y100" s="16">
        <f t="shared" si="23"/>
        <v>23.2</v>
      </c>
      <c r="Z100" s="4">
        <f t="shared" si="30"/>
        <v>21.299999999999955</v>
      </c>
      <c r="AA100" s="4">
        <v>320</v>
      </c>
      <c r="AB100" s="24" t="str">
        <f>VLOOKUP(A100,[1]Sheet!$A:$AA,27,0)</f>
        <v xml:space="preserve">300 увеличить сеть Молоко </v>
      </c>
      <c r="AC100" s="16">
        <f t="shared" si="26"/>
        <v>23.875000000000004</v>
      </c>
      <c r="AD100" s="16">
        <f t="shared" si="24"/>
        <v>10.081896551724141</v>
      </c>
      <c r="AE100" s="16">
        <v>24.6</v>
      </c>
      <c r="AF100" s="16">
        <v>27.4</v>
      </c>
      <c r="AG100" s="16">
        <v>18.8</v>
      </c>
      <c r="AH100" s="16">
        <v>18.399999999999999</v>
      </c>
      <c r="AI100" s="16">
        <v>20.6</v>
      </c>
      <c r="AJ100" s="16">
        <v>22.8</v>
      </c>
      <c r="AK100" s="16">
        <v>20.6</v>
      </c>
      <c r="AL100" s="16">
        <v>21.4</v>
      </c>
      <c r="AM100" s="16" t="s">
        <v>189</v>
      </c>
      <c r="AN100" s="16">
        <f t="shared" si="27"/>
        <v>22</v>
      </c>
      <c r="AO100" s="16"/>
      <c r="AP100" s="16"/>
      <c r="AQ100" s="16"/>
      <c r="AR100" s="16"/>
      <c r="AS100" s="16"/>
      <c r="AT100" s="16"/>
      <c r="AU100" s="16"/>
    </row>
    <row r="101" spans="1:47" x14ac:dyDescent="0.25">
      <c r="A101" s="10" t="s">
        <v>150</v>
      </c>
      <c r="B101" s="10" t="s">
        <v>46</v>
      </c>
      <c r="C101" s="10">
        <v>78</v>
      </c>
      <c r="D101" s="10">
        <v>9</v>
      </c>
      <c r="E101" s="10">
        <v>77</v>
      </c>
      <c r="F101" s="10">
        <v>6</v>
      </c>
      <c r="G101" s="11">
        <v>0</v>
      </c>
      <c r="H101" s="10">
        <v>90</v>
      </c>
      <c r="I101" s="10" t="s">
        <v>56</v>
      </c>
      <c r="J101" s="10"/>
      <c r="K101" s="10">
        <v>122</v>
      </c>
      <c r="L101" s="10">
        <f t="shared" si="21"/>
        <v>-45</v>
      </c>
      <c r="M101" s="10">
        <f t="shared" si="22"/>
        <v>77</v>
      </c>
      <c r="N101" s="10"/>
      <c r="O101" s="10">
        <v>0</v>
      </c>
      <c r="P101" s="10"/>
      <c r="Q101" s="10"/>
      <c r="R101" s="10"/>
      <c r="S101" s="10"/>
      <c r="T101" s="10"/>
      <c r="U101" s="10"/>
      <c r="V101" s="10">
        <v>0</v>
      </c>
      <c r="W101" s="10"/>
      <c r="X101" s="10"/>
      <c r="Y101" s="10">
        <f t="shared" si="23"/>
        <v>15.4</v>
      </c>
      <c r="Z101" s="12">
        <v>0</v>
      </c>
      <c r="AA101" s="4">
        <f t="shared" si="25"/>
        <v>0</v>
      </c>
      <c r="AB101" s="26" t="str">
        <f>VLOOKUP(A101,[1]Sheet!$A:$AA,27,0)</f>
        <v xml:space="preserve">300 увеличить сеть Молоко </v>
      </c>
      <c r="AC101" s="16">
        <f t="shared" si="26"/>
        <v>0.38961038961038963</v>
      </c>
      <c r="AD101" s="10">
        <f t="shared" si="24"/>
        <v>0.38961038961038963</v>
      </c>
      <c r="AE101" s="10">
        <v>13.6</v>
      </c>
      <c r="AF101" s="10">
        <v>20.2</v>
      </c>
      <c r="AG101" s="10">
        <v>19</v>
      </c>
      <c r="AH101" s="10">
        <v>9.8000000000000007</v>
      </c>
      <c r="AI101" s="10">
        <v>11</v>
      </c>
      <c r="AJ101" s="10">
        <v>12</v>
      </c>
      <c r="AK101" s="10">
        <v>19.8</v>
      </c>
      <c r="AL101" s="10">
        <v>12.4</v>
      </c>
      <c r="AM101" s="10"/>
      <c r="AN101" s="16">
        <f t="shared" si="27"/>
        <v>0</v>
      </c>
      <c r="AO101" s="16"/>
      <c r="AP101" s="16"/>
      <c r="AQ101" s="16"/>
      <c r="AR101" s="16"/>
      <c r="AS101" s="16"/>
      <c r="AT101" s="16"/>
      <c r="AU101" s="16"/>
    </row>
    <row r="102" spans="1:47" x14ac:dyDescent="0.25">
      <c r="A102" s="16" t="s">
        <v>151</v>
      </c>
      <c r="B102" s="16" t="s">
        <v>46</v>
      </c>
      <c r="C102" s="16">
        <v>30</v>
      </c>
      <c r="D102" s="16"/>
      <c r="E102" s="16">
        <v>22</v>
      </c>
      <c r="F102" s="16">
        <v>8</v>
      </c>
      <c r="G102" s="6">
        <v>0.3</v>
      </c>
      <c r="H102" s="16">
        <v>40</v>
      </c>
      <c r="I102" s="16" t="s">
        <v>42</v>
      </c>
      <c r="J102" s="16"/>
      <c r="K102" s="16">
        <v>27</v>
      </c>
      <c r="L102" s="16">
        <f t="shared" ref="L102:L133" si="31">E102-K102</f>
        <v>-5</v>
      </c>
      <c r="M102" s="16">
        <f t="shared" ref="M102:M133" si="32">E102-N102</f>
        <v>22</v>
      </c>
      <c r="N102" s="16"/>
      <c r="O102" s="16">
        <v>0</v>
      </c>
      <c r="P102" s="16"/>
      <c r="Q102" s="16"/>
      <c r="R102" s="16"/>
      <c r="S102" s="16"/>
      <c r="T102" s="16"/>
      <c r="U102" s="16"/>
      <c r="V102" s="8">
        <v>0</v>
      </c>
      <c r="W102" s="16"/>
      <c r="X102" s="16"/>
      <c r="Y102" s="16">
        <f t="shared" ref="Y102:Y134" si="33">M102/5</f>
        <v>4.4000000000000004</v>
      </c>
      <c r="Z102" s="4">
        <f>8*Y102-X102-W102-V102-U102-T102-S102-R102-Q102-P102-O102-F102</f>
        <v>27.200000000000003</v>
      </c>
      <c r="AA102" s="4">
        <f t="shared" si="25"/>
        <v>27.200000000000003</v>
      </c>
      <c r="AB102" s="24"/>
      <c r="AC102" s="16">
        <f t="shared" si="26"/>
        <v>8</v>
      </c>
      <c r="AD102" s="16">
        <f t="shared" ref="AD102:AD134" si="34">(F102+O102+P102+Q102+R102+S102+T102+U102+V102+W102+X102)/Y102</f>
        <v>1.8181818181818181</v>
      </c>
      <c r="AE102" s="16">
        <v>4.8</v>
      </c>
      <c r="AF102" s="16">
        <v>1.6</v>
      </c>
      <c r="AG102" s="16">
        <v>2.8</v>
      </c>
      <c r="AH102" s="16">
        <v>1.6</v>
      </c>
      <c r="AI102" s="16">
        <v>1.2</v>
      </c>
      <c r="AJ102" s="16">
        <v>-0.2</v>
      </c>
      <c r="AK102" s="16">
        <v>-0.4</v>
      </c>
      <c r="AL102" s="16">
        <v>7.8</v>
      </c>
      <c r="AM102" s="16"/>
      <c r="AN102" s="16">
        <f t="shared" si="27"/>
        <v>8</v>
      </c>
      <c r="AO102" s="16"/>
      <c r="AP102" s="16"/>
      <c r="AQ102" s="16"/>
      <c r="AR102" s="16"/>
      <c r="AS102" s="16"/>
      <c r="AT102" s="16"/>
      <c r="AU102" s="16"/>
    </row>
    <row r="103" spans="1:47" x14ac:dyDescent="0.25">
      <c r="A103" s="16" t="s">
        <v>152</v>
      </c>
      <c r="B103" s="16" t="s">
        <v>41</v>
      </c>
      <c r="C103" s="16">
        <v>3.9980000000000002</v>
      </c>
      <c r="D103" s="16">
        <v>38.36</v>
      </c>
      <c r="E103" s="16">
        <v>10.944000000000001</v>
      </c>
      <c r="F103" s="16">
        <v>31.414000000000001</v>
      </c>
      <c r="G103" s="6">
        <v>1</v>
      </c>
      <c r="H103" s="16">
        <v>55</v>
      </c>
      <c r="I103" s="16" t="s">
        <v>42</v>
      </c>
      <c r="J103" s="16"/>
      <c r="K103" s="16">
        <v>10.6</v>
      </c>
      <c r="L103" s="16">
        <f t="shared" si="31"/>
        <v>0.34400000000000119</v>
      </c>
      <c r="M103" s="16">
        <f t="shared" si="32"/>
        <v>10.944000000000001</v>
      </c>
      <c r="N103" s="16"/>
      <c r="O103" s="16">
        <v>7.6183000000000023</v>
      </c>
      <c r="P103" s="16"/>
      <c r="Q103" s="16"/>
      <c r="R103" s="16"/>
      <c r="S103" s="16"/>
      <c r="T103" s="16"/>
      <c r="U103" s="16"/>
      <c r="V103" s="16">
        <v>0</v>
      </c>
      <c r="W103" s="16"/>
      <c r="X103" s="16"/>
      <c r="Y103" s="16">
        <f t="shared" si="33"/>
        <v>2.1888000000000001</v>
      </c>
      <c r="Z103" s="4"/>
      <c r="AA103" s="4">
        <f t="shared" si="25"/>
        <v>0</v>
      </c>
      <c r="AB103" s="24"/>
      <c r="AC103" s="16">
        <f t="shared" si="26"/>
        <v>17.832739400584799</v>
      </c>
      <c r="AD103" s="16">
        <f t="shared" si="34"/>
        <v>17.832739400584799</v>
      </c>
      <c r="AE103" s="16">
        <v>1.9019999999999999</v>
      </c>
      <c r="AF103" s="16">
        <v>2.5404</v>
      </c>
      <c r="AG103" s="16">
        <v>2.8206000000000002</v>
      </c>
      <c r="AH103" s="16">
        <v>3.2389999999999999</v>
      </c>
      <c r="AI103" s="16">
        <v>3.242</v>
      </c>
      <c r="AJ103" s="16">
        <v>2.7948</v>
      </c>
      <c r="AK103" s="16">
        <v>2.4352</v>
      </c>
      <c r="AL103" s="16">
        <v>2.0659999999999998</v>
      </c>
      <c r="AM103" s="16"/>
      <c r="AN103" s="16">
        <f t="shared" si="27"/>
        <v>0</v>
      </c>
      <c r="AO103" s="16"/>
      <c r="AP103" s="16"/>
      <c r="AQ103" s="16"/>
      <c r="AR103" s="16"/>
      <c r="AS103" s="16"/>
      <c r="AT103" s="16"/>
      <c r="AU103" s="16"/>
    </row>
    <row r="104" spans="1:47" x14ac:dyDescent="0.25">
      <c r="A104" s="16" t="s">
        <v>153</v>
      </c>
      <c r="B104" s="16" t="s">
        <v>46</v>
      </c>
      <c r="C104" s="16">
        <v>-4</v>
      </c>
      <c r="D104" s="16">
        <v>16</v>
      </c>
      <c r="E104" s="16"/>
      <c r="F104" s="16">
        <v>-13</v>
      </c>
      <c r="G104" s="6">
        <v>0.11</v>
      </c>
      <c r="H104" s="16">
        <v>30</v>
      </c>
      <c r="I104" s="16" t="s">
        <v>42</v>
      </c>
      <c r="J104" s="16"/>
      <c r="K104" s="16">
        <v>132</v>
      </c>
      <c r="L104" s="16">
        <f t="shared" si="31"/>
        <v>-132</v>
      </c>
      <c r="M104" s="16">
        <f t="shared" si="32"/>
        <v>0</v>
      </c>
      <c r="N104" s="16"/>
      <c r="O104" s="16">
        <v>0</v>
      </c>
      <c r="P104" s="16"/>
      <c r="Q104" s="16"/>
      <c r="R104" s="16"/>
      <c r="S104" s="16"/>
      <c r="T104" s="16"/>
      <c r="U104" s="16"/>
      <c r="V104" s="8">
        <v>0</v>
      </c>
      <c r="W104" s="16"/>
      <c r="X104" s="16"/>
      <c r="Y104" s="16">
        <f t="shared" si="33"/>
        <v>0</v>
      </c>
      <c r="Z104" s="4">
        <f t="shared" ref="Z104" si="35">11*Y104-X104-W104-V104-U104-T104-S104-R104-Q104-P104-O104-F104</f>
        <v>13</v>
      </c>
      <c r="AA104" s="4">
        <v>315</v>
      </c>
      <c r="AB104" s="24" t="str">
        <f>VLOOKUP(A104,[1]Sheet!$A:$AA,27,0)</f>
        <v xml:space="preserve">300 увеличить сеть Молоко </v>
      </c>
      <c r="AC104" s="16" t="e">
        <f t="shared" si="26"/>
        <v>#DIV/0!</v>
      </c>
      <c r="AD104" s="16" t="e">
        <f t="shared" si="34"/>
        <v>#DIV/0!</v>
      </c>
      <c r="AE104" s="16">
        <v>0</v>
      </c>
      <c r="AF104" s="16">
        <v>0</v>
      </c>
      <c r="AG104" s="16">
        <v>0</v>
      </c>
      <c r="AH104" s="16">
        <v>0.8</v>
      </c>
      <c r="AI104" s="16">
        <v>0.4</v>
      </c>
      <c r="AJ104" s="16">
        <v>0.4</v>
      </c>
      <c r="AK104" s="16">
        <v>0.6</v>
      </c>
      <c r="AL104" s="16">
        <v>9.1999999999999993</v>
      </c>
      <c r="AM104" s="16" t="s">
        <v>189</v>
      </c>
      <c r="AN104" s="16">
        <f t="shared" si="27"/>
        <v>35</v>
      </c>
      <c r="AO104" s="16"/>
      <c r="AP104" s="16"/>
      <c r="AQ104" s="16"/>
      <c r="AR104" s="16"/>
      <c r="AS104" s="16"/>
      <c r="AT104" s="16"/>
      <c r="AU104" s="16"/>
    </row>
    <row r="105" spans="1:47" x14ac:dyDescent="0.25">
      <c r="A105" s="10" t="s">
        <v>154</v>
      </c>
      <c r="B105" s="10" t="s">
        <v>46</v>
      </c>
      <c r="C105" s="10"/>
      <c r="D105" s="10"/>
      <c r="E105" s="10"/>
      <c r="F105" s="10"/>
      <c r="G105" s="11">
        <v>0</v>
      </c>
      <c r="H105" s="10"/>
      <c r="I105" s="10" t="s">
        <v>42</v>
      </c>
      <c r="J105" s="10"/>
      <c r="K105" s="10"/>
      <c r="L105" s="10">
        <f t="shared" si="31"/>
        <v>0</v>
      </c>
      <c r="M105" s="10">
        <f t="shared" si="32"/>
        <v>0</v>
      </c>
      <c r="N105" s="10"/>
      <c r="O105" s="10">
        <v>0</v>
      </c>
      <c r="P105" s="10"/>
      <c r="Q105" s="10"/>
      <c r="R105" s="10"/>
      <c r="S105" s="10"/>
      <c r="T105" s="10"/>
      <c r="U105" s="10"/>
      <c r="V105" s="10">
        <v>0</v>
      </c>
      <c r="W105" s="10"/>
      <c r="X105" s="10"/>
      <c r="Y105" s="10">
        <f t="shared" si="33"/>
        <v>0</v>
      </c>
      <c r="Z105" s="12"/>
      <c r="AA105" s="4">
        <f t="shared" si="25"/>
        <v>0</v>
      </c>
      <c r="AB105" s="24"/>
      <c r="AC105" s="16" t="e">
        <f t="shared" si="26"/>
        <v>#DIV/0!</v>
      </c>
      <c r="AD105" s="10" t="e">
        <f t="shared" si="34"/>
        <v>#DIV/0!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 t="s">
        <v>64</v>
      </c>
      <c r="AN105" s="16">
        <f t="shared" si="27"/>
        <v>0</v>
      </c>
      <c r="AO105" s="16"/>
      <c r="AP105" s="16"/>
      <c r="AQ105" s="16"/>
      <c r="AR105" s="16"/>
      <c r="AS105" s="16"/>
      <c r="AT105" s="16"/>
      <c r="AU105" s="16"/>
    </row>
    <row r="106" spans="1:47" x14ac:dyDescent="0.25">
      <c r="A106" s="16" t="s">
        <v>155</v>
      </c>
      <c r="B106" s="16" t="s">
        <v>46</v>
      </c>
      <c r="C106" s="16">
        <v>286</v>
      </c>
      <c r="D106" s="16">
        <v>39</v>
      </c>
      <c r="E106" s="16">
        <v>232</v>
      </c>
      <c r="F106" s="16">
        <v>59</v>
      </c>
      <c r="G106" s="6">
        <v>0.08</v>
      </c>
      <c r="H106" s="16">
        <v>45</v>
      </c>
      <c r="I106" s="16" t="s">
        <v>42</v>
      </c>
      <c r="J106" s="16"/>
      <c r="K106" s="16">
        <v>276</v>
      </c>
      <c r="L106" s="16">
        <f t="shared" si="31"/>
        <v>-44</v>
      </c>
      <c r="M106" s="16">
        <f t="shared" si="32"/>
        <v>232</v>
      </c>
      <c r="N106" s="16"/>
      <c r="O106" s="16">
        <v>158.6</v>
      </c>
      <c r="P106" s="16"/>
      <c r="Q106" s="16"/>
      <c r="R106" s="16"/>
      <c r="S106" s="16"/>
      <c r="T106" s="16">
        <v>200</v>
      </c>
      <c r="U106" s="16"/>
      <c r="V106" s="16">
        <v>182.9</v>
      </c>
      <c r="W106" s="16"/>
      <c r="X106" s="16"/>
      <c r="Y106" s="16">
        <f t="shared" si="33"/>
        <v>46.4</v>
      </c>
      <c r="Z106" s="4"/>
      <c r="AA106" s="4">
        <v>300</v>
      </c>
      <c r="AB106" s="24" t="str">
        <f>VLOOKUP(A106,[1]Sheet!$A:$AA,27,0)</f>
        <v xml:space="preserve">300 увеличить сеть Молоко </v>
      </c>
      <c r="AC106" s="16">
        <f t="shared" si="26"/>
        <v>19.407327586206897</v>
      </c>
      <c r="AD106" s="16">
        <f t="shared" si="34"/>
        <v>12.941810344827587</v>
      </c>
      <c r="AE106" s="16">
        <v>59</v>
      </c>
      <c r="AF106" s="16">
        <v>58.6</v>
      </c>
      <c r="AG106" s="16">
        <v>35.6</v>
      </c>
      <c r="AH106" s="16">
        <v>40.4</v>
      </c>
      <c r="AI106" s="16">
        <v>39</v>
      </c>
      <c r="AJ106" s="16">
        <v>49</v>
      </c>
      <c r="AK106" s="16">
        <v>45.4</v>
      </c>
      <c r="AL106" s="16">
        <v>45.2</v>
      </c>
      <c r="AM106" s="16" t="s">
        <v>189</v>
      </c>
      <c r="AN106" s="16">
        <f t="shared" si="27"/>
        <v>24</v>
      </c>
      <c r="AO106" s="16"/>
      <c r="AP106" s="16"/>
      <c r="AQ106" s="16"/>
      <c r="AR106" s="16"/>
      <c r="AS106" s="16"/>
      <c r="AT106" s="16"/>
      <c r="AU106" s="16"/>
    </row>
    <row r="107" spans="1:47" x14ac:dyDescent="0.25">
      <c r="A107" s="16" t="s">
        <v>156</v>
      </c>
      <c r="B107" s="16" t="s">
        <v>46</v>
      </c>
      <c r="C107" s="16">
        <v>37</v>
      </c>
      <c r="D107" s="16">
        <v>145</v>
      </c>
      <c r="E107" s="16">
        <v>129</v>
      </c>
      <c r="F107" s="16">
        <v>36</v>
      </c>
      <c r="G107" s="6">
        <v>0.08</v>
      </c>
      <c r="H107" s="16">
        <v>45</v>
      </c>
      <c r="I107" s="16" t="s">
        <v>42</v>
      </c>
      <c r="J107" s="16"/>
      <c r="K107" s="16">
        <v>259</v>
      </c>
      <c r="L107" s="16">
        <f t="shared" si="31"/>
        <v>-130</v>
      </c>
      <c r="M107" s="16">
        <f t="shared" si="32"/>
        <v>129</v>
      </c>
      <c r="N107" s="16"/>
      <c r="O107" s="16">
        <v>0</v>
      </c>
      <c r="P107" s="16"/>
      <c r="Q107" s="16"/>
      <c r="R107" s="16"/>
      <c r="S107" s="16"/>
      <c r="T107" s="16"/>
      <c r="U107" s="16"/>
      <c r="V107" s="16">
        <v>141.80000000000001</v>
      </c>
      <c r="W107" s="16"/>
      <c r="X107" s="16"/>
      <c r="Y107" s="16">
        <f t="shared" si="33"/>
        <v>25.8</v>
      </c>
      <c r="Z107" s="4">
        <f t="shared" ref="Z107:Z117" si="36">11*Y107-X107-W107-V107-U107-T107-S107-R107-Q107-P107-O107-F107</f>
        <v>106</v>
      </c>
      <c r="AA107" s="4">
        <v>400</v>
      </c>
      <c r="AB107" s="24" t="str">
        <f>VLOOKUP(A107,[1]Sheet!$A:$AA,27,0)</f>
        <v xml:space="preserve">300 увеличить сеть Молоко </v>
      </c>
      <c r="AC107" s="16">
        <f t="shared" si="26"/>
        <v>22.395348837209301</v>
      </c>
      <c r="AD107" s="16">
        <f t="shared" si="34"/>
        <v>6.8914728682170541</v>
      </c>
      <c r="AE107" s="16">
        <v>24.4</v>
      </c>
      <c r="AF107" s="16">
        <v>2.2000000000000002</v>
      </c>
      <c r="AG107" s="16">
        <v>12.4</v>
      </c>
      <c r="AH107" s="16">
        <v>32</v>
      </c>
      <c r="AI107" s="16">
        <v>30.4</v>
      </c>
      <c r="AJ107" s="16">
        <v>36.200000000000003</v>
      </c>
      <c r="AK107" s="16">
        <v>26.6</v>
      </c>
      <c r="AL107" s="16">
        <v>26.8</v>
      </c>
      <c r="AM107" s="16" t="s">
        <v>189</v>
      </c>
      <c r="AN107" s="16">
        <f t="shared" si="27"/>
        <v>32</v>
      </c>
      <c r="AO107" s="16"/>
      <c r="AP107" s="16"/>
      <c r="AQ107" s="16"/>
      <c r="AR107" s="16"/>
      <c r="AS107" s="16"/>
      <c r="AT107" s="16"/>
      <c r="AU107" s="16"/>
    </row>
    <row r="108" spans="1:47" x14ac:dyDescent="0.25">
      <c r="A108" s="16" t="s">
        <v>157</v>
      </c>
      <c r="B108" s="16" t="s">
        <v>46</v>
      </c>
      <c r="C108" s="16">
        <v>46</v>
      </c>
      <c r="D108" s="16">
        <v>21</v>
      </c>
      <c r="E108" s="16">
        <v>54</v>
      </c>
      <c r="F108" s="16">
        <v>-19</v>
      </c>
      <c r="G108" s="6">
        <v>0.17</v>
      </c>
      <c r="H108" s="16">
        <v>30</v>
      </c>
      <c r="I108" s="16" t="s">
        <v>42</v>
      </c>
      <c r="J108" s="16"/>
      <c r="K108" s="16">
        <v>103</v>
      </c>
      <c r="L108" s="16">
        <f t="shared" si="31"/>
        <v>-49</v>
      </c>
      <c r="M108" s="16">
        <f t="shared" si="32"/>
        <v>54</v>
      </c>
      <c r="N108" s="16"/>
      <c r="O108" s="16">
        <v>80</v>
      </c>
      <c r="P108" s="16"/>
      <c r="Q108" s="16"/>
      <c r="R108" s="16"/>
      <c r="S108" s="16"/>
      <c r="T108" s="16"/>
      <c r="U108" s="16"/>
      <c r="V108" s="16">
        <v>106.6</v>
      </c>
      <c r="W108" s="16"/>
      <c r="X108" s="16"/>
      <c r="Y108" s="16">
        <f t="shared" si="33"/>
        <v>10.8</v>
      </c>
      <c r="Z108" s="4"/>
      <c r="AA108" s="4">
        <v>300</v>
      </c>
      <c r="AB108" s="24" t="str">
        <f>VLOOKUP(A108,[1]Sheet!$A:$AA,27,0)</f>
        <v xml:space="preserve">300 увеличить сеть Молоко </v>
      </c>
      <c r="AC108" s="16">
        <f t="shared" si="26"/>
        <v>43.296296296296298</v>
      </c>
      <c r="AD108" s="16">
        <f t="shared" si="34"/>
        <v>15.518518518518517</v>
      </c>
      <c r="AE108" s="16">
        <v>15.6</v>
      </c>
      <c r="AF108" s="16">
        <v>14</v>
      </c>
      <c r="AG108" s="16">
        <v>2.4</v>
      </c>
      <c r="AH108" s="16">
        <v>3.2</v>
      </c>
      <c r="AI108" s="16">
        <v>8</v>
      </c>
      <c r="AJ108" s="16">
        <v>9.1999999999999993</v>
      </c>
      <c r="AK108" s="16">
        <v>7.8</v>
      </c>
      <c r="AL108" s="16">
        <v>2.6</v>
      </c>
      <c r="AM108" s="16" t="s">
        <v>189</v>
      </c>
      <c r="AN108" s="16">
        <f t="shared" si="27"/>
        <v>51</v>
      </c>
      <c r="AO108" s="16"/>
      <c r="AP108" s="16"/>
      <c r="AQ108" s="16"/>
      <c r="AR108" s="16"/>
      <c r="AS108" s="16"/>
      <c r="AT108" s="16"/>
      <c r="AU108" s="16"/>
    </row>
    <row r="109" spans="1:47" x14ac:dyDescent="0.25">
      <c r="A109" s="16" t="s">
        <v>158</v>
      </c>
      <c r="B109" s="16" t="s">
        <v>41</v>
      </c>
      <c r="C109" s="16">
        <v>312.20600000000002</v>
      </c>
      <c r="D109" s="16">
        <v>12.425000000000001</v>
      </c>
      <c r="E109" s="16">
        <v>195.01900000000001</v>
      </c>
      <c r="F109" s="16">
        <v>120.952</v>
      </c>
      <c r="G109" s="6">
        <v>1</v>
      </c>
      <c r="H109" s="16">
        <v>40</v>
      </c>
      <c r="I109" s="16" t="s">
        <v>42</v>
      </c>
      <c r="J109" s="16"/>
      <c r="K109" s="16">
        <v>198.2</v>
      </c>
      <c r="L109" s="16">
        <f t="shared" si="31"/>
        <v>-3.1809999999999832</v>
      </c>
      <c r="M109" s="16">
        <f t="shared" si="32"/>
        <v>195.01900000000001</v>
      </c>
      <c r="N109" s="16"/>
      <c r="O109" s="16">
        <v>241.33160000000001</v>
      </c>
      <c r="P109" s="16"/>
      <c r="Q109" s="16"/>
      <c r="R109" s="16"/>
      <c r="S109" s="16"/>
      <c r="T109" s="16"/>
      <c r="U109" s="16"/>
      <c r="V109" s="16">
        <v>79.633900000000011</v>
      </c>
      <c r="W109" s="16"/>
      <c r="X109" s="16"/>
      <c r="Y109" s="16">
        <f t="shared" si="33"/>
        <v>39.003799999999998</v>
      </c>
      <c r="Z109" s="4"/>
      <c r="AA109" s="4">
        <f t="shared" si="25"/>
        <v>0</v>
      </c>
      <c r="AB109" s="24"/>
      <c r="AC109" s="16">
        <f t="shared" si="26"/>
        <v>11.330113988893391</v>
      </c>
      <c r="AD109" s="16">
        <f t="shared" si="34"/>
        <v>11.330113988893391</v>
      </c>
      <c r="AE109" s="16">
        <v>47.948999999999998</v>
      </c>
      <c r="AF109" s="16">
        <v>50.321599999999997</v>
      </c>
      <c r="AG109" s="16">
        <v>34.956800000000001</v>
      </c>
      <c r="AH109" s="16">
        <v>41.598399999999998</v>
      </c>
      <c r="AI109" s="16">
        <v>45.939</v>
      </c>
      <c r="AJ109" s="16">
        <v>53.251199999999997</v>
      </c>
      <c r="AK109" s="16">
        <v>53.023000000000003</v>
      </c>
      <c r="AL109" s="16">
        <v>48.691000000000003</v>
      </c>
      <c r="AM109" s="16"/>
      <c r="AN109" s="16">
        <f t="shared" si="27"/>
        <v>0</v>
      </c>
      <c r="AO109" s="16"/>
      <c r="AP109" s="16"/>
      <c r="AQ109" s="16"/>
      <c r="AR109" s="16"/>
      <c r="AS109" s="16"/>
      <c r="AT109" s="16"/>
      <c r="AU109" s="16"/>
    </row>
    <row r="110" spans="1:47" x14ac:dyDescent="0.25">
      <c r="A110" s="16" t="s">
        <v>159</v>
      </c>
      <c r="B110" s="16" t="s">
        <v>41</v>
      </c>
      <c r="C110" s="16">
        <v>68.227000000000004</v>
      </c>
      <c r="D110" s="16">
        <v>8.6310000000000002</v>
      </c>
      <c r="E110" s="16">
        <v>71.076999999999998</v>
      </c>
      <c r="F110" s="16">
        <v>6.8000000000000005E-2</v>
      </c>
      <c r="G110" s="6">
        <v>1</v>
      </c>
      <c r="H110" s="16">
        <v>40</v>
      </c>
      <c r="I110" s="16" t="s">
        <v>42</v>
      </c>
      <c r="J110" s="16"/>
      <c r="K110" s="16">
        <v>82</v>
      </c>
      <c r="L110" s="16">
        <f t="shared" si="31"/>
        <v>-10.923000000000002</v>
      </c>
      <c r="M110" s="16">
        <f t="shared" si="32"/>
        <v>71.076999999999998</v>
      </c>
      <c r="N110" s="16"/>
      <c r="O110" s="16">
        <v>80.849400000000003</v>
      </c>
      <c r="P110" s="16"/>
      <c r="Q110" s="16"/>
      <c r="R110" s="16"/>
      <c r="S110" s="16"/>
      <c r="T110" s="16"/>
      <c r="U110" s="16"/>
      <c r="V110" s="16">
        <v>147.78360000000001</v>
      </c>
      <c r="W110" s="16"/>
      <c r="X110" s="16"/>
      <c r="Y110" s="16">
        <f t="shared" si="33"/>
        <v>14.215399999999999</v>
      </c>
      <c r="Z110" s="4"/>
      <c r="AA110" s="4">
        <f t="shared" si="25"/>
        <v>0</v>
      </c>
      <c r="AB110" s="24"/>
      <c r="AC110" s="16">
        <f t="shared" si="26"/>
        <v>16.088256397990914</v>
      </c>
      <c r="AD110" s="16">
        <f t="shared" si="34"/>
        <v>16.088256397990914</v>
      </c>
      <c r="AE110" s="16">
        <v>21.378</v>
      </c>
      <c r="AF110" s="16">
        <v>13.5524</v>
      </c>
      <c r="AG110" s="16">
        <v>5.1452</v>
      </c>
      <c r="AH110" s="16">
        <v>6.1728000000000014</v>
      </c>
      <c r="AI110" s="16">
        <v>6.9261999999999997</v>
      </c>
      <c r="AJ110" s="16">
        <v>11.025399999999999</v>
      </c>
      <c r="AK110" s="16">
        <v>19.4436</v>
      </c>
      <c r="AL110" s="16">
        <v>17.420200000000001</v>
      </c>
      <c r="AM110" s="16"/>
      <c r="AN110" s="16">
        <f t="shared" si="27"/>
        <v>0</v>
      </c>
      <c r="AO110" s="16"/>
      <c r="AP110" s="16"/>
      <c r="AQ110" s="16"/>
      <c r="AR110" s="16"/>
      <c r="AS110" s="16"/>
      <c r="AT110" s="16"/>
      <c r="AU110" s="16"/>
    </row>
    <row r="111" spans="1:47" x14ac:dyDescent="0.25">
      <c r="A111" s="16" t="s">
        <v>160</v>
      </c>
      <c r="B111" s="16" t="s">
        <v>41</v>
      </c>
      <c r="C111" s="16">
        <v>195.495</v>
      </c>
      <c r="D111" s="16">
        <v>15.548</v>
      </c>
      <c r="E111" s="16">
        <v>179.92699999999999</v>
      </c>
      <c r="F111" s="16">
        <v>20.56</v>
      </c>
      <c r="G111" s="6">
        <v>1</v>
      </c>
      <c r="H111" s="16">
        <v>40</v>
      </c>
      <c r="I111" s="16" t="s">
        <v>42</v>
      </c>
      <c r="J111" s="16"/>
      <c r="K111" s="16">
        <v>183.1</v>
      </c>
      <c r="L111" s="16">
        <f t="shared" si="31"/>
        <v>-3.1730000000000018</v>
      </c>
      <c r="M111" s="16">
        <f t="shared" si="32"/>
        <v>179.92699999999999</v>
      </c>
      <c r="N111" s="16"/>
      <c r="O111" s="16">
        <v>130.21379999999999</v>
      </c>
      <c r="P111" s="16"/>
      <c r="Q111" s="16"/>
      <c r="R111" s="16"/>
      <c r="S111" s="16"/>
      <c r="T111" s="16">
        <v>100</v>
      </c>
      <c r="U111" s="16"/>
      <c r="V111" s="16">
        <v>160.9256</v>
      </c>
      <c r="W111" s="16"/>
      <c r="X111" s="16"/>
      <c r="Y111" s="16">
        <f t="shared" si="33"/>
        <v>35.985399999999998</v>
      </c>
      <c r="Z111" s="4"/>
      <c r="AA111" s="4">
        <f t="shared" si="25"/>
        <v>0</v>
      </c>
      <c r="AB111" s="24"/>
      <c r="AC111" s="16">
        <f t="shared" si="26"/>
        <v>11.440734297798551</v>
      </c>
      <c r="AD111" s="16">
        <f t="shared" si="34"/>
        <v>11.440734297798551</v>
      </c>
      <c r="AE111" s="16">
        <v>43.4876</v>
      </c>
      <c r="AF111" s="16">
        <v>38.700800000000001</v>
      </c>
      <c r="AG111" s="16">
        <v>22.611000000000001</v>
      </c>
      <c r="AH111" s="16">
        <v>27.788799999999998</v>
      </c>
      <c r="AI111" s="16">
        <v>32.3598</v>
      </c>
      <c r="AJ111" s="16">
        <v>36.879600000000003</v>
      </c>
      <c r="AK111" s="16">
        <v>41.132800000000003</v>
      </c>
      <c r="AL111" s="16">
        <v>45.424199999999999</v>
      </c>
      <c r="AM111" s="16"/>
      <c r="AN111" s="16">
        <f t="shared" si="27"/>
        <v>0</v>
      </c>
      <c r="AO111" s="16"/>
      <c r="AP111" s="16"/>
      <c r="AQ111" s="16"/>
      <c r="AR111" s="16"/>
      <c r="AS111" s="16"/>
      <c r="AT111" s="16"/>
      <c r="AU111" s="16"/>
    </row>
    <row r="112" spans="1:47" x14ac:dyDescent="0.25">
      <c r="A112" s="16" t="s">
        <v>161</v>
      </c>
      <c r="B112" s="16" t="s">
        <v>46</v>
      </c>
      <c r="C112" s="16">
        <v>62</v>
      </c>
      <c r="D112" s="16"/>
      <c r="E112" s="16">
        <v>37</v>
      </c>
      <c r="F112" s="16">
        <v>25</v>
      </c>
      <c r="G112" s="6">
        <v>0.3</v>
      </c>
      <c r="H112" s="16">
        <v>45</v>
      </c>
      <c r="I112" s="16" t="s">
        <v>42</v>
      </c>
      <c r="J112" s="16"/>
      <c r="K112" s="16">
        <v>49</v>
      </c>
      <c r="L112" s="16">
        <f t="shared" si="31"/>
        <v>-12</v>
      </c>
      <c r="M112" s="8">
        <f t="shared" si="32"/>
        <v>37</v>
      </c>
      <c r="N112" s="16"/>
      <c r="O112" s="8">
        <v>0</v>
      </c>
      <c r="P112" s="16"/>
      <c r="Q112" s="16"/>
      <c r="R112" s="16"/>
      <c r="S112" s="16"/>
      <c r="T112" s="16"/>
      <c r="U112" s="16"/>
      <c r="V112" s="16">
        <v>53.099999999999987</v>
      </c>
      <c r="W112" s="16"/>
      <c r="X112" s="16"/>
      <c r="Y112" s="16">
        <f t="shared" si="33"/>
        <v>7.4</v>
      </c>
      <c r="Z112" s="4"/>
      <c r="AA112" s="4">
        <f t="shared" si="25"/>
        <v>0</v>
      </c>
      <c r="AB112" s="24"/>
      <c r="AC112" s="16">
        <f t="shared" si="26"/>
        <v>10.554054054054053</v>
      </c>
      <c r="AD112" s="16">
        <f t="shared" si="34"/>
        <v>10.554054054054053</v>
      </c>
      <c r="AE112" s="16">
        <v>15.4</v>
      </c>
      <c r="AF112" s="16">
        <v>15.2</v>
      </c>
      <c r="AG112" s="16">
        <v>5.8</v>
      </c>
      <c r="AH112" s="16">
        <v>0.6</v>
      </c>
      <c r="AI112" s="16">
        <v>0.6</v>
      </c>
      <c r="AJ112" s="16">
        <v>3.8</v>
      </c>
      <c r="AK112" s="16">
        <v>12.4</v>
      </c>
      <c r="AL112" s="16">
        <v>11.2</v>
      </c>
      <c r="AM112" s="16"/>
      <c r="AN112" s="16">
        <f t="shared" si="27"/>
        <v>0</v>
      </c>
      <c r="AO112" s="16"/>
      <c r="AP112" s="16"/>
      <c r="AQ112" s="16"/>
      <c r="AR112" s="16"/>
      <c r="AS112" s="16"/>
      <c r="AT112" s="16"/>
      <c r="AU112" s="16"/>
    </row>
    <row r="113" spans="1:47" x14ac:dyDescent="0.25">
      <c r="A113" s="16" t="s">
        <v>162</v>
      </c>
      <c r="B113" s="16" t="s">
        <v>41</v>
      </c>
      <c r="C113" s="16">
        <v>20.387</v>
      </c>
      <c r="D113" s="16"/>
      <c r="E113" s="16">
        <v>4.1459999999999999</v>
      </c>
      <c r="F113" s="16">
        <v>0.55600000000000005</v>
      </c>
      <c r="G113" s="6">
        <v>1</v>
      </c>
      <c r="H113" s="16">
        <v>55</v>
      </c>
      <c r="I113" s="16" t="s">
        <v>42</v>
      </c>
      <c r="J113" s="16"/>
      <c r="K113" s="16">
        <v>4.0659999999999998</v>
      </c>
      <c r="L113" s="16">
        <f t="shared" si="31"/>
        <v>8.0000000000000071E-2</v>
      </c>
      <c r="M113" s="16">
        <f t="shared" si="32"/>
        <v>4.1459999999999999</v>
      </c>
      <c r="N113" s="16"/>
      <c r="O113" s="16">
        <v>0</v>
      </c>
      <c r="P113" s="16"/>
      <c r="Q113" s="16"/>
      <c r="R113" s="16"/>
      <c r="S113" s="16"/>
      <c r="T113" s="16"/>
      <c r="U113" s="16"/>
      <c r="V113" s="16">
        <v>7.1803999999999997</v>
      </c>
      <c r="W113" s="16"/>
      <c r="X113" s="16"/>
      <c r="Y113" s="16">
        <f t="shared" si="33"/>
        <v>0.82919999999999994</v>
      </c>
      <c r="Z113" s="4">
        <v>4</v>
      </c>
      <c r="AA113" s="4">
        <f t="shared" si="25"/>
        <v>4</v>
      </c>
      <c r="AB113" s="24"/>
      <c r="AC113" s="16">
        <f t="shared" si="26"/>
        <v>14.153883260974434</v>
      </c>
      <c r="AD113" s="16">
        <f t="shared" si="34"/>
        <v>9.3299565846599144</v>
      </c>
      <c r="AE113" s="16">
        <v>1.1052</v>
      </c>
      <c r="AF113" s="16">
        <v>0.27600000000000002</v>
      </c>
      <c r="AG113" s="16">
        <v>0</v>
      </c>
      <c r="AH113" s="16">
        <v>0.40500000000000003</v>
      </c>
      <c r="AI113" s="16">
        <v>0.40500000000000003</v>
      </c>
      <c r="AJ113" s="16">
        <v>1.224</v>
      </c>
      <c r="AK113" s="16">
        <v>0.5544</v>
      </c>
      <c r="AL113" s="16">
        <v>-0.2646</v>
      </c>
      <c r="AM113" s="16"/>
      <c r="AN113" s="16">
        <f t="shared" si="27"/>
        <v>4</v>
      </c>
      <c r="AO113" s="16"/>
      <c r="AP113" s="16"/>
      <c r="AQ113" s="16"/>
      <c r="AR113" s="16"/>
      <c r="AS113" s="16"/>
      <c r="AT113" s="16"/>
      <c r="AU113" s="16"/>
    </row>
    <row r="114" spans="1:47" x14ac:dyDescent="0.25">
      <c r="A114" s="16" t="s">
        <v>163</v>
      </c>
      <c r="B114" s="16" t="s">
        <v>46</v>
      </c>
      <c r="C114" s="16">
        <v>346</v>
      </c>
      <c r="D114" s="16">
        <v>61</v>
      </c>
      <c r="E114" s="16">
        <v>291</v>
      </c>
      <c r="F114" s="16">
        <v>69</v>
      </c>
      <c r="G114" s="6">
        <v>0.28000000000000003</v>
      </c>
      <c r="H114" s="16">
        <v>40</v>
      </c>
      <c r="I114" s="16" t="s">
        <v>42</v>
      </c>
      <c r="J114" s="16"/>
      <c r="K114" s="16">
        <v>366</v>
      </c>
      <c r="L114" s="16">
        <f t="shared" si="31"/>
        <v>-75</v>
      </c>
      <c r="M114" s="16">
        <f t="shared" si="32"/>
        <v>291</v>
      </c>
      <c r="N114" s="16"/>
      <c r="O114" s="16">
        <v>496.19600000000003</v>
      </c>
      <c r="P114" s="16"/>
      <c r="Q114" s="16"/>
      <c r="R114" s="16"/>
      <c r="S114" s="16"/>
      <c r="T114" s="16"/>
      <c r="U114" s="16"/>
      <c r="V114" s="8">
        <v>0</v>
      </c>
      <c r="W114" s="16"/>
      <c r="X114" s="16"/>
      <c r="Y114" s="16">
        <f t="shared" si="33"/>
        <v>58.2</v>
      </c>
      <c r="Z114" s="4">
        <f t="shared" si="36"/>
        <v>75.004000000000019</v>
      </c>
      <c r="AA114" s="4">
        <f t="shared" si="25"/>
        <v>75.004000000000019</v>
      </c>
      <c r="AB114" s="24"/>
      <c r="AC114" s="16">
        <f t="shared" si="26"/>
        <v>11</v>
      </c>
      <c r="AD114" s="16">
        <f t="shared" si="34"/>
        <v>9.7112714776632298</v>
      </c>
      <c r="AE114" s="16">
        <v>83.8</v>
      </c>
      <c r="AF114" s="16">
        <v>89</v>
      </c>
      <c r="AG114" s="16">
        <v>60.4</v>
      </c>
      <c r="AH114" s="16">
        <v>51.8</v>
      </c>
      <c r="AI114" s="16">
        <v>57</v>
      </c>
      <c r="AJ114" s="16">
        <v>70</v>
      </c>
      <c r="AK114" s="16">
        <v>76.8</v>
      </c>
      <c r="AL114" s="16">
        <v>82.8</v>
      </c>
      <c r="AM114" s="16"/>
      <c r="AN114" s="16">
        <f t="shared" si="27"/>
        <v>21</v>
      </c>
      <c r="AO114" s="16"/>
      <c r="AP114" s="16"/>
      <c r="AQ114" s="16"/>
      <c r="AR114" s="16"/>
      <c r="AS114" s="16"/>
      <c r="AT114" s="16"/>
      <c r="AU114" s="16"/>
    </row>
    <row r="115" spans="1:47" x14ac:dyDescent="0.25">
      <c r="A115" s="16" t="s">
        <v>164</v>
      </c>
      <c r="B115" s="16" t="s">
        <v>46</v>
      </c>
      <c r="C115" s="16">
        <v>302.726</v>
      </c>
      <c r="D115" s="16">
        <v>27</v>
      </c>
      <c r="E115" s="16">
        <v>318</v>
      </c>
      <c r="F115" s="16">
        <v>-5.274</v>
      </c>
      <c r="G115" s="6">
        <v>0.28000000000000003</v>
      </c>
      <c r="H115" s="16">
        <v>40</v>
      </c>
      <c r="I115" s="16" t="s">
        <v>42</v>
      </c>
      <c r="J115" s="16"/>
      <c r="K115" s="16">
        <v>387</v>
      </c>
      <c r="L115" s="16">
        <f t="shared" si="31"/>
        <v>-69</v>
      </c>
      <c r="M115" s="16">
        <f t="shared" si="32"/>
        <v>318</v>
      </c>
      <c r="N115" s="16"/>
      <c r="O115" s="16">
        <v>293.3424</v>
      </c>
      <c r="P115" s="16"/>
      <c r="Q115" s="16"/>
      <c r="R115" s="16"/>
      <c r="S115" s="16"/>
      <c r="T115" s="16">
        <v>300</v>
      </c>
      <c r="U115" s="16"/>
      <c r="V115" s="8">
        <v>0</v>
      </c>
      <c r="W115" s="16">
        <v>498.42033120000002</v>
      </c>
      <c r="X115" s="16"/>
      <c r="Y115" s="16">
        <f t="shared" si="33"/>
        <v>63.6</v>
      </c>
      <c r="Z115" s="4"/>
      <c r="AA115" s="4">
        <f t="shared" si="25"/>
        <v>0</v>
      </c>
      <c r="AB115" s="24"/>
      <c r="AC115" s="16">
        <f t="shared" si="26"/>
        <v>17.083156150943395</v>
      </c>
      <c r="AD115" s="16">
        <f t="shared" si="34"/>
        <v>17.083156150943395</v>
      </c>
      <c r="AE115" s="16">
        <v>109</v>
      </c>
      <c r="AF115" s="16">
        <v>91.4</v>
      </c>
      <c r="AG115" s="16">
        <v>49.0548</v>
      </c>
      <c r="AH115" s="16">
        <v>24.854800000000001</v>
      </c>
      <c r="AI115" s="16">
        <v>32.654800000000002</v>
      </c>
      <c r="AJ115" s="16">
        <v>50.4</v>
      </c>
      <c r="AK115" s="16">
        <v>91.8</v>
      </c>
      <c r="AL115" s="16">
        <v>43.6</v>
      </c>
      <c r="AM115" s="16"/>
      <c r="AN115" s="16">
        <f t="shared" si="27"/>
        <v>0</v>
      </c>
      <c r="AO115" s="16"/>
      <c r="AP115" s="16"/>
      <c r="AQ115" s="16"/>
      <c r="AR115" s="16"/>
      <c r="AS115" s="16"/>
      <c r="AT115" s="16"/>
      <c r="AU115" s="16"/>
    </row>
    <row r="116" spans="1:47" x14ac:dyDescent="0.25">
      <c r="A116" s="16" t="s">
        <v>165</v>
      </c>
      <c r="B116" s="16" t="s">
        <v>46</v>
      </c>
      <c r="C116" s="16">
        <v>408.5</v>
      </c>
      <c r="D116" s="16">
        <v>184</v>
      </c>
      <c r="E116" s="16">
        <v>478</v>
      </c>
      <c r="F116" s="16">
        <v>80.5</v>
      </c>
      <c r="G116" s="6">
        <v>0.28000000000000003</v>
      </c>
      <c r="H116" s="16">
        <v>40</v>
      </c>
      <c r="I116" s="16" t="s">
        <v>42</v>
      </c>
      <c r="J116" s="16"/>
      <c r="K116" s="16">
        <v>507</v>
      </c>
      <c r="L116" s="16">
        <f t="shared" si="31"/>
        <v>-29</v>
      </c>
      <c r="M116" s="16">
        <f t="shared" si="32"/>
        <v>478</v>
      </c>
      <c r="N116" s="16"/>
      <c r="O116" s="16">
        <v>393.57900000000018</v>
      </c>
      <c r="P116" s="16"/>
      <c r="Q116" s="16"/>
      <c r="R116" s="16"/>
      <c r="S116" s="16"/>
      <c r="T116" s="16">
        <v>400</v>
      </c>
      <c r="U116" s="16"/>
      <c r="V116" s="16">
        <v>477.19299999999981</v>
      </c>
      <c r="W116" s="16"/>
      <c r="X116" s="16"/>
      <c r="Y116" s="16">
        <f t="shared" si="33"/>
        <v>95.6</v>
      </c>
      <c r="Z116" s="4"/>
      <c r="AA116" s="4">
        <f t="shared" si="25"/>
        <v>0</v>
      </c>
      <c r="AB116" s="24"/>
      <c r="AC116" s="16">
        <f t="shared" si="26"/>
        <v>14.134644351464436</v>
      </c>
      <c r="AD116" s="16">
        <f t="shared" si="34"/>
        <v>14.134644351464436</v>
      </c>
      <c r="AE116" s="16">
        <v>123.2</v>
      </c>
      <c r="AF116" s="16">
        <v>137</v>
      </c>
      <c r="AG116" s="16">
        <v>87.1</v>
      </c>
      <c r="AH116" s="16">
        <v>78.7</v>
      </c>
      <c r="AI116" s="16">
        <v>78.5</v>
      </c>
      <c r="AJ116" s="16">
        <v>103.2</v>
      </c>
      <c r="AK116" s="16">
        <v>101.8</v>
      </c>
      <c r="AL116" s="16">
        <v>99</v>
      </c>
      <c r="AM116" s="16"/>
      <c r="AN116" s="16">
        <f t="shared" si="27"/>
        <v>0</v>
      </c>
      <c r="AO116" s="16"/>
      <c r="AP116" s="16"/>
      <c r="AQ116" s="16"/>
      <c r="AR116" s="16"/>
      <c r="AS116" s="16"/>
      <c r="AT116" s="16"/>
      <c r="AU116" s="16"/>
    </row>
    <row r="117" spans="1:47" x14ac:dyDescent="0.25">
      <c r="A117" s="16" t="s">
        <v>166</v>
      </c>
      <c r="B117" s="16" t="s">
        <v>46</v>
      </c>
      <c r="C117" s="16">
        <v>20</v>
      </c>
      <c r="D117" s="16">
        <v>76</v>
      </c>
      <c r="E117" s="16">
        <v>71</v>
      </c>
      <c r="F117" s="16">
        <v>19</v>
      </c>
      <c r="G117" s="6">
        <v>0.09</v>
      </c>
      <c r="H117" s="16">
        <v>45</v>
      </c>
      <c r="I117" s="16" t="s">
        <v>42</v>
      </c>
      <c r="J117" s="16"/>
      <c r="K117" s="16">
        <v>94</v>
      </c>
      <c r="L117" s="16">
        <f t="shared" si="31"/>
        <v>-23</v>
      </c>
      <c r="M117" s="16">
        <f t="shared" si="32"/>
        <v>71</v>
      </c>
      <c r="N117" s="16"/>
      <c r="O117" s="16">
        <v>71.179999999999978</v>
      </c>
      <c r="P117" s="16"/>
      <c r="Q117" s="16"/>
      <c r="R117" s="16"/>
      <c r="S117" s="16"/>
      <c r="T117" s="16"/>
      <c r="U117" s="16"/>
      <c r="V117" s="8">
        <v>14</v>
      </c>
      <c r="W117" s="16"/>
      <c r="X117" s="16"/>
      <c r="Y117" s="16">
        <f t="shared" si="33"/>
        <v>14.2</v>
      </c>
      <c r="Z117" s="4">
        <f t="shared" si="36"/>
        <v>52.02000000000001</v>
      </c>
      <c r="AA117" s="4">
        <f t="shared" si="25"/>
        <v>52.02000000000001</v>
      </c>
      <c r="AB117" s="24"/>
      <c r="AC117" s="16">
        <f t="shared" si="26"/>
        <v>11</v>
      </c>
      <c r="AD117" s="16">
        <f t="shared" si="34"/>
        <v>7.3366197183098576</v>
      </c>
      <c r="AE117" s="16">
        <v>12.2</v>
      </c>
      <c r="AF117" s="16">
        <v>13.2</v>
      </c>
      <c r="AG117" s="16">
        <v>5.4</v>
      </c>
      <c r="AH117" s="16">
        <v>9.8000000000000007</v>
      </c>
      <c r="AI117" s="16">
        <v>6.6</v>
      </c>
      <c r="AJ117" s="16">
        <v>10</v>
      </c>
      <c r="AK117" s="16">
        <v>8.1999999999999993</v>
      </c>
      <c r="AL117" s="16">
        <v>7.6</v>
      </c>
      <c r="AM117" s="16"/>
      <c r="AN117" s="16">
        <f t="shared" si="27"/>
        <v>5</v>
      </c>
      <c r="AO117" s="16"/>
      <c r="AP117" s="16"/>
      <c r="AQ117" s="16"/>
      <c r="AR117" s="16"/>
      <c r="AS117" s="16"/>
      <c r="AT117" s="16"/>
      <c r="AU117" s="16"/>
    </row>
    <row r="118" spans="1:47" x14ac:dyDescent="0.25">
      <c r="A118" s="10" t="s">
        <v>167</v>
      </c>
      <c r="B118" s="10" t="s">
        <v>41</v>
      </c>
      <c r="C118" s="10">
        <v>60.683999999999997</v>
      </c>
      <c r="D118" s="10"/>
      <c r="E118" s="10">
        <v>6.7560000000000002</v>
      </c>
      <c r="F118" s="10">
        <v>53.927999999999997</v>
      </c>
      <c r="G118" s="11">
        <v>0</v>
      </c>
      <c r="H118" s="10">
        <v>55</v>
      </c>
      <c r="I118" s="10" t="s">
        <v>56</v>
      </c>
      <c r="J118" s="10"/>
      <c r="K118" s="10">
        <v>6.6</v>
      </c>
      <c r="L118" s="10">
        <f t="shared" si="31"/>
        <v>0.15600000000000058</v>
      </c>
      <c r="M118" s="10">
        <f t="shared" si="32"/>
        <v>6.7560000000000002</v>
      </c>
      <c r="N118" s="10"/>
      <c r="O118" s="10">
        <v>0</v>
      </c>
      <c r="P118" s="10"/>
      <c r="Q118" s="10"/>
      <c r="R118" s="10"/>
      <c r="S118" s="10"/>
      <c r="T118" s="10"/>
      <c r="U118" s="10"/>
      <c r="V118" s="10">
        <v>0</v>
      </c>
      <c r="W118" s="10"/>
      <c r="X118" s="10"/>
      <c r="Y118" s="10">
        <f t="shared" si="33"/>
        <v>1.3512</v>
      </c>
      <c r="Z118" s="12"/>
      <c r="AA118" s="4">
        <f t="shared" si="25"/>
        <v>0</v>
      </c>
      <c r="AB118" s="24"/>
      <c r="AC118" s="16">
        <f t="shared" si="26"/>
        <v>39.911190053285971</v>
      </c>
      <c r="AD118" s="10">
        <f t="shared" si="34"/>
        <v>39.911190053285971</v>
      </c>
      <c r="AE118" s="10">
        <v>2.4342000000000001</v>
      </c>
      <c r="AF118" s="10">
        <v>1.6259999999999999</v>
      </c>
      <c r="AG118" s="10">
        <v>1.085</v>
      </c>
      <c r="AH118" s="10">
        <v>1.8994</v>
      </c>
      <c r="AI118" s="10">
        <v>2.1669999999999998</v>
      </c>
      <c r="AJ118" s="10">
        <v>2.1669999999999998</v>
      </c>
      <c r="AK118" s="10">
        <v>0.80959999999999999</v>
      </c>
      <c r="AL118" s="10">
        <v>0</v>
      </c>
      <c r="AM118" s="14" t="s">
        <v>136</v>
      </c>
      <c r="AN118" s="16">
        <f t="shared" si="27"/>
        <v>0</v>
      </c>
      <c r="AO118" s="16"/>
      <c r="AP118" s="16"/>
      <c r="AQ118" s="16"/>
      <c r="AR118" s="16"/>
      <c r="AS118" s="16"/>
      <c r="AT118" s="16"/>
      <c r="AU118" s="16"/>
    </row>
    <row r="119" spans="1:47" x14ac:dyDescent="0.25">
      <c r="A119" s="16" t="s">
        <v>168</v>
      </c>
      <c r="B119" s="16" t="s">
        <v>41</v>
      </c>
      <c r="C119" s="16">
        <v>69.912000000000006</v>
      </c>
      <c r="D119" s="16"/>
      <c r="E119" s="16">
        <v>51.357999999999997</v>
      </c>
      <c r="F119" s="16">
        <v>17.629000000000001</v>
      </c>
      <c r="G119" s="6">
        <v>1</v>
      </c>
      <c r="H119" s="16">
        <v>60</v>
      </c>
      <c r="I119" s="16" t="s">
        <v>42</v>
      </c>
      <c r="J119" s="16"/>
      <c r="K119" s="16">
        <v>52.5</v>
      </c>
      <c r="L119" s="16">
        <f t="shared" si="31"/>
        <v>-1.142000000000003</v>
      </c>
      <c r="M119" s="16">
        <f t="shared" si="32"/>
        <v>51.357999999999997</v>
      </c>
      <c r="N119" s="16"/>
      <c r="O119" s="16">
        <v>89.631999999999977</v>
      </c>
      <c r="P119" s="16"/>
      <c r="Q119" s="16"/>
      <c r="R119" s="16"/>
      <c r="S119" s="16"/>
      <c r="T119" s="16"/>
      <c r="U119" s="16"/>
      <c r="V119" s="16">
        <v>60.118000000000031</v>
      </c>
      <c r="W119" s="16"/>
      <c r="X119" s="16"/>
      <c r="Y119" s="16">
        <f t="shared" si="33"/>
        <v>10.271599999999999</v>
      </c>
      <c r="Z119" s="4"/>
      <c r="AA119" s="4">
        <f t="shared" si="25"/>
        <v>0</v>
      </c>
      <c r="AB119" s="24"/>
      <c r="AC119" s="16">
        <f t="shared" si="26"/>
        <v>16.29531913236497</v>
      </c>
      <c r="AD119" s="16">
        <f t="shared" si="34"/>
        <v>16.29531913236497</v>
      </c>
      <c r="AE119" s="16">
        <v>16.718</v>
      </c>
      <c r="AF119" s="16">
        <v>14.504</v>
      </c>
      <c r="AG119" s="16">
        <v>5.6520000000000001</v>
      </c>
      <c r="AH119" s="16">
        <v>6.5449999999999999</v>
      </c>
      <c r="AI119" s="16">
        <v>9.0909999999999993</v>
      </c>
      <c r="AJ119" s="16">
        <v>11.584199999999999</v>
      </c>
      <c r="AK119" s="16">
        <v>9.4443999999999999</v>
      </c>
      <c r="AL119" s="16">
        <v>10.747999999999999</v>
      </c>
      <c r="AM119" s="16"/>
      <c r="AN119" s="16">
        <f t="shared" si="27"/>
        <v>0</v>
      </c>
      <c r="AO119" s="16"/>
      <c r="AP119" s="16"/>
      <c r="AQ119" s="16"/>
      <c r="AR119" s="16"/>
      <c r="AS119" s="16"/>
      <c r="AT119" s="16"/>
      <c r="AU119" s="16"/>
    </row>
    <row r="120" spans="1:47" x14ac:dyDescent="0.25">
      <c r="A120" s="16" t="s">
        <v>169</v>
      </c>
      <c r="B120" s="16" t="s">
        <v>41</v>
      </c>
      <c r="C120" s="16">
        <v>-20.844000000000001</v>
      </c>
      <c r="D120" s="16">
        <v>29.844999999999999</v>
      </c>
      <c r="E120" s="16">
        <v>14.605</v>
      </c>
      <c r="F120" s="16">
        <v>-5.9390000000000001</v>
      </c>
      <c r="G120" s="6">
        <v>1</v>
      </c>
      <c r="H120" s="16">
        <v>50</v>
      </c>
      <c r="I120" s="16" t="s">
        <v>42</v>
      </c>
      <c r="J120" s="16"/>
      <c r="K120" s="16">
        <v>15</v>
      </c>
      <c r="L120" s="16">
        <f t="shared" si="31"/>
        <v>-0.39499999999999957</v>
      </c>
      <c r="M120" s="16">
        <f t="shared" si="32"/>
        <v>14.605</v>
      </c>
      <c r="N120" s="16"/>
      <c r="O120" s="16">
        <v>63.256000000000007</v>
      </c>
      <c r="P120" s="16"/>
      <c r="Q120" s="16"/>
      <c r="R120" s="16"/>
      <c r="S120" s="16"/>
      <c r="T120" s="16"/>
      <c r="U120" s="16"/>
      <c r="V120" s="16">
        <v>0</v>
      </c>
      <c r="W120" s="16"/>
      <c r="X120" s="16"/>
      <c r="Y120" s="16">
        <f t="shared" si="33"/>
        <v>2.9210000000000003</v>
      </c>
      <c r="Z120" s="4"/>
      <c r="AA120" s="4">
        <f t="shared" si="25"/>
        <v>0</v>
      </c>
      <c r="AB120" s="24"/>
      <c r="AC120" s="16">
        <f t="shared" si="26"/>
        <v>19.622389592605273</v>
      </c>
      <c r="AD120" s="16">
        <f t="shared" si="34"/>
        <v>19.622389592605273</v>
      </c>
      <c r="AE120" s="16">
        <v>5.9039999999999999</v>
      </c>
      <c r="AF120" s="16">
        <v>10.317399999999999</v>
      </c>
      <c r="AG120" s="16">
        <v>4.4803999999999977</v>
      </c>
      <c r="AH120" s="16">
        <v>3.0777999999999999</v>
      </c>
      <c r="AI120" s="16">
        <v>4.9722</v>
      </c>
      <c r="AJ120" s="16">
        <v>7.1712000000000007</v>
      </c>
      <c r="AK120" s="16">
        <v>8.8970000000000002</v>
      </c>
      <c r="AL120" s="16">
        <v>7.3335999999999997</v>
      </c>
      <c r="AM120" s="16"/>
      <c r="AN120" s="16">
        <f t="shared" si="27"/>
        <v>0</v>
      </c>
      <c r="AO120" s="16"/>
      <c r="AP120" s="16"/>
      <c r="AQ120" s="16"/>
      <c r="AR120" s="16"/>
      <c r="AS120" s="16"/>
      <c r="AT120" s="16"/>
      <c r="AU120" s="16"/>
    </row>
    <row r="121" spans="1:47" x14ac:dyDescent="0.25">
      <c r="A121" s="16" t="s">
        <v>170</v>
      </c>
      <c r="B121" s="16" t="s">
        <v>46</v>
      </c>
      <c r="C121" s="16">
        <v>19</v>
      </c>
      <c r="D121" s="16">
        <v>75</v>
      </c>
      <c r="E121" s="16">
        <v>72</v>
      </c>
      <c r="F121" s="16">
        <v>21</v>
      </c>
      <c r="G121" s="6">
        <v>0.09</v>
      </c>
      <c r="H121" s="16">
        <v>45</v>
      </c>
      <c r="I121" s="16" t="s">
        <v>42</v>
      </c>
      <c r="J121" s="16"/>
      <c r="K121" s="16">
        <v>79</v>
      </c>
      <c r="L121" s="16">
        <f t="shared" si="31"/>
        <v>-7</v>
      </c>
      <c r="M121" s="16">
        <f t="shared" si="32"/>
        <v>72</v>
      </c>
      <c r="N121" s="16"/>
      <c r="O121" s="16">
        <v>78.199999999999989</v>
      </c>
      <c r="P121" s="16"/>
      <c r="Q121" s="16"/>
      <c r="R121" s="16"/>
      <c r="S121" s="16"/>
      <c r="T121" s="16"/>
      <c r="U121" s="16"/>
      <c r="V121" s="16">
        <v>0</v>
      </c>
      <c r="W121" s="16"/>
      <c r="X121" s="16"/>
      <c r="Y121" s="16">
        <f t="shared" si="33"/>
        <v>14.4</v>
      </c>
      <c r="Z121" s="4">
        <f t="shared" ref="Z121:Z131" si="37">11*Y121-X121-W121-V121-U121-T121-S121-R121-Q121-P121-O121-F121</f>
        <v>59.200000000000017</v>
      </c>
      <c r="AA121" s="4">
        <v>360</v>
      </c>
      <c r="AB121" s="24" t="str">
        <f>VLOOKUP(A121,[1]Sheet!$A:$AA,27,0)</f>
        <v xml:space="preserve">300 увеличить сеть Молоко </v>
      </c>
      <c r="AC121" s="16">
        <f t="shared" si="26"/>
        <v>31.888888888888886</v>
      </c>
      <c r="AD121" s="16">
        <f t="shared" si="34"/>
        <v>6.8888888888888875</v>
      </c>
      <c r="AE121" s="16">
        <v>11.6</v>
      </c>
      <c r="AF121" s="16">
        <v>13.8</v>
      </c>
      <c r="AG121" s="16">
        <v>8.8000000000000007</v>
      </c>
      <c r="AH121" s="16">
        <v>6.4</v>
      </c>
      <c r="AI121" s="16">
        <v>4.8</v>
      </c>
      <c r="AJ121" s="16">
        <v>6.4</v>
      </c>
      <c r="AK121" s="16">
        <v>8.1999999999999993</v>
      </c>
      <c r="AL121" s="16">
        <v>9</v>
      </c>
      <c r="AM121" s="16" t="s">
        <v>189</v>
      </c>
      <c r="AN121" s="16">
        <f t="shared" si="27"/>
        <v>32</v>
      </c>
      <c r="AO121" s="16"/>
      <c r="AP121" s="16"/>
      <c r="AQ121" s="16"/>
      <c r="AR121" s="16"/>
      <c r="AS121" s="16"/>
      <c r="AT121" s="16"/>
      <c r="AU121" s="16"/>
    </row>
    <row r="122" spans="1:47" x14ac:dyDescent="0.25">
      <c r="A122" s="16" t="s">
        <v>171</v>
      </c>
      <c r="B122" s="16" t="s">
        <v>46</v>
      </c>
      <c r="C122" s="16">
        <v>25</v>
      </c>
      <c r="D122" s="16">
        <v>65</v>
      </c>
      <c r="E122" s="16">
        <v>45</v>
      </c>
      <c r="F122" s="16">
        <v>33</v>
      </c>
      <c r="G122" s="6">
        <v>0.09</v>
      </c>
      <c r="H122" s="16">
        <v>45</v>
      </c>
      <c r="I122" s="16" t="s">
        <v>42</v>
      </c>
      <c r="J122" s="16"/>
      <c r="K122" s="16">
        <v>62</v>
      </c>
      <c r="L122" s="16">
        <f t="shared" si="31"/>
        <v>-17</v>
      </c>
      <c r="M122" s="16">
        <f t="shared" si="32"/>
        <v>45</v>
      </c>
      <c r="N122" s="16"/>
      <c r="O122" s="16">
        <v>103.4</v>
      </c>
      <c r="P122" s="16"/>
      <c r="Q122" s="16"/>
      <c r="R122" s="16"/>
      <c r="S122" s="16"/>
      <c r="T122" s="16"/>
      <c r="U122" s="16"/>
      <c r="V122" s="16">
        <v>0</v>
      </c>
      <c r="W122" s="16"/>
      <c r="X122" s="16"/>
      <c r="Y122" s="16">
        <f t="shared" si="33"/>
        <v>9</v>
      </c>
      <c r="Z122" s="4"/>
      <c r="AA122" s="4">
        <v>300</v>
      </c>
      <c r="AB122" s="24" t="str">
        <f>VLOOKUP(A122,[1]Sheet!$A:$AA,27,0)</f>
        <v xml:space="preserve">300 увеличить сеть Молоко </v>
      </c>
      <c r="AC122" s="16">
        <f t="shared" si="26"/>
        <v>48.488888888888887</v>
      </c>
      <c r="AD122" s="16">
        <f t="shared" si="34"/>
        <v>15.155555555555557</v>
      </c>
      <c r="AE122" s="16">
        <v>10.199999999999999</v>
      </c>
      <c r="AF122" s="16">
        <v>17.399999999999999</v>
      </c>
      <c r="AG122" s="16">
        <v>9.8000000000000007</v>
      </c>
      <c r="AH122" s="16">
        <v>1.8</v>
      </c>
      <c r="AI122" s="16">
        <v>1.4</v>
      </c>
      <c r="AJ122" s="16">
        <v>0.2</v>
      </c>
      <c r="AK122" s="16">
        <v>6</v>
      </c>
      <c r="AL122" s="16">
        <v>8</v>
      </c>
      <c r="AM122" s="16" t="s">
        <v>189</v>
      </c>
      <c r="AN122" s="16">
        <f t="shared" si="27"/>
        <v>27</v>
      </c>
      <c r="AO122" s="16"/>
      <c r="AP122" s="16"/>
      <c r="AQ122" s="16"/>
      <c r="AR122" s="16"/>
      <c r="AS122" s="16"/>
      <c r="AT122" s="16"/>
      <c r="AU122" s="16"/>
    </row>
    <row r="123" spans="1:47" x14ac:dyDescent="0.25">
      <c r="A123" s="16" t="s">
        <v>172</v>
      </c>
      <c r="B123" s="16" t="s">
        <v>41</v>
      </c>
      <c r="C123" s="16">
        <v>18.713000000000001</v>
      </c>
      <c r="D123" s="16">
        <v>77.263999999999996</v>
      </c>
      <c r="E123" s="16">
        <v>34.488999999999997</v>
      </c>
      <c r="F123" s="16">
        <v>61.488</v>
      </c>
      <c r="G123" s="6">
        <v>1</v>
      </c>
      <c r="H123" s="16">
        <v>60</v>
      </c>
      <c r="I123" s="16" t="s">
        <v>42</v>
      </c>
      <c r="J123" s="16"/>
      <c r="K123" s="16">
        <v>30.332999999999998</v>
      </c>
      <c r="L123" s="16">
        <f t="shared" si="31"/>
        <v>4.1559999999999988</v>
      </c>
      <c r="M123" s="16">
        <f t="shared" si="32"/>
        <v>34.488999999999997</v>
      </c>
      <c r="N123" s="16"/>
      <c r="O123" s="16">
        <v>83.946400000000068</v>
      </c>
      <c r="P123" s="16"/>
      <c r="Q123" s="16"/>
      <c r="R123" s="16"/>
      <c r="S123" s="16"/>
      <c r="T123" s="16"/>
      <c r="U123" s="16"/>
      <c r="V123" s="16">
        <v>0</v>
      </c>
      <c r="W123" s="16"/>
      <c r="X123" s="16"/>
      <c r="Y123" s="16">
        <f t="shared" si="33"/>
        <v>6.8977999999999993</v>
      </c>
      <c r="Z123" s="4"/>
      <c r="AA123" s="4">
        <f t="shared" si="25"/>
        <v>0</v>
      </c>
      <c r="AB123" s="24"/>
      <c r="AC123" s="16">
        <f t="shared" si="26"/>
        <v>21.084171764910565</v>
      </c>
      <c r="AD123" s="16">
        <f t="shared" si="34"/>
        <v>21.084171764910565</v>
      </c>
      <c r="AE123" s="16">
        <v>9.4394000000000009</v>
      </c>
      <c r="AF123" s="16">
        <v>15.491400000000001</v>
      </c>
      <c r="AG123" s="16">
        <v>11.78399999999999</v>
      </c>
      <c r="AH123" s="16">
        <v>8.2132000000000005</v>
      </c>
      <c r="AI123" s="16">
        <v>7.9378000000000002</v>
      </c>
      <c r="AJ123" s="16">
        <v>9.9105999999999987</v>
      </c>
      <c r="AK123" s="16">
        <v>11.642799999999999</v>
      </c>
      <c r="AL123" s="16">
        <v>11.3886</v>
      </c>
      <c r="AM123" s="16" t="s">
        <v>173</v>
      </c>
      <c r="AN123" s="16">
        <f t="shared" si="27"/>
        <v>0</v>
      </c>
      <c r="AO123" s="16"/>
      <c r="AP123" s="16"/>
      <c r="AQ123" s="16"/>
      <c r="AR123" s="16"/>
      <c r="AS123" s="16"/>
      <c r="AT123" s="16"/>
      <c r="AU123" s="16"/>
    </row>
    <row r="124" spans="1:47" x14ac:dyDescent="0.25">
      <c r="A124" s="16" t="s">
        <v>174</v>
      </c>
      <c r="B124" s="16" t="s">
        <v>41</v>
      </c>
      <c r="C124" s="16">
        <v>551.69899999999996</v>
      </c>
      <c r="D124" s="16">
        <v>122.91200000000001</v>
      </c>
      <c r="E124" s="16">
        <v>463.41899999999998</v>
      </c>
      <c r="F124" s="16">
        <v>184.751</v>
      </c>
      <c r="G124" s="6">
        <v>1</v>
      </c>
      <c r="H124" s="16">
        <v>60</v>
      </c>
      <c r="I124" s="16" t="s">
        <v>42</v>
      </c>
      <c r="J124" s="16"/>
      <c r="K124" s="16">
        <v>482.084</v>
      </c>
      <c r="L124" s="16">
        <f t="shared" si="31"/>
        <v>-18.66500000000002</v>
      </c>
      <c r="M124" s="16">
        <f t="shared" si="32"/>
        <v>463.41899999999998</v>
      </c>
      <c r="N124" s="16"/>
      <c r="O124" s="16">
        <v>324.38959999999992</v>
      </c>
      <c r="P124" s="16"/>
      <c r="Q124" s="16"/>
      <c r="R124" s="16"/>
      <c r="S124" s="16"/>
      <c r="T124" s="16">
        <v>400</v>
      </c>
      <c r="U124" s="16"/>
      <c r="V124" s="16">
        <v>387.87812200000008</v>
      </c>
      <c r="W124" s="16"/>
      <c r="X124" s="16"/>
      <c r="Y124" s="16">
        <f t="shared" si="33"/>
        <v>92.683799999999991</v>
      </c>
      <c r="Z124" s="4"/>
      <c r="AA124" s="4">
        <f t="shared" si="25"/>
        <v>0</v>
      </c>
      <c r="AB124" s="24"/>
      <c r="AC124" s="16">
        <f t="shared" si="26"/>
        <v>13.994017530571687</v>
      </c>
      <c r="AD124" s="16">
        <f t="shared" si="34"/>
        <v>13.994017530571687</v>
      </c>
      <c r="AE124" s="16">
        <v>121.5682</v>
      </c>
      <c r="AF124" s="16">
        <v>123.7212</v>
      </c>
      <c r="AG124" s="16">
        <v>82.874800000000008</v>
      </c>
      <c r="AH124" s="16">
        <v>81.725400000000008</v>
      </c>
      <c r="AI124" s="16">
        <v>95.796599999999998</v>
      </c>
      <c r="AJ124" s="16">
        <v>110.8334</v>
      </c>
      <c r="AK124" s="16">
        <v>111.65</v>
      </c>
      <c r="AL124" s="16">
        <v>111.2154</v>
      </c>
      <c r="AM124" s="16"/>
      <c r="AN124" s="16">
        <f t="shared" si="27"/>
        <v>0</v>
      </c>
      <c r="AO124" s="16"/>
      <c r="AP124" s="16"/>
      <c r="AQ124" s="16"/>
      <c r="AR124" s="16"/>
      <c r="AS124" s="16"/>
      <c r="AT124" s="16"/>
      <c r="AU124" s="16"/>
    </row>
    <row r="125" spans="1:47" x14ac:dyDescent="0.25">
      <c r="A125" s="16" t="s">
        <v>175</v>
      </c>
      <c r="B125" s="16" t="s">
        <v>41</v>
      </c>
      <c r="C125" s="16">
        <v>343.62200000000001</v>
      </c>
      <c r="D125" s="16">
        <v>9.7279999999999998</v>
      </c>
      <c r="E125" s="16">
        <v>47.094999999999999</v>
      </c>
      <c r="F125" s="16">
        <v>297.90199999999999</v>
      </c>
      <c r="G125" s="6">
        <v>1</v>
      </c>
      <c r="H125" s="16">
        <v>60</v>
      </c>
      <c r="I125" s="16" t="s">
        <v>42</v>
      </c>
      <c r="J125" s="16"/>
      <c r="K125" s="16">
        <v>58.6</v>
      </c>
      <c r="L125" s="16">
        <f t="shared" si="31"/>
        <v>-11.505000000000003</v>
      </c>
      <c r="M125" s="16">
        <f t="shared" si="32"/>
        <v>47.094999999999999</v>
      </c>
      <c r="N125" s="16"/>
      <c r="O125" s="16">
        <v>0</v>
      </c>
      <c r="P125" s="16"/>
      <c r="Q125" s="16"/>
      <c r="R125" s="16"/>
      <c r="S125" s="16"/>
      <c r="T125" s="16"/>
      <c r="U125" s="16"/>
      <c r="V125" s="16">
        <v>0</v>
      </c>
      <c r="W125" s="16"/>
      <c r="X125" s="16"/>
      <c r="Y125" s="16">
        <f t="shared" si="33"/>
        <v>9.4190000000000005</v>
      </c>
      <c r="Z125" s="4"/>
      <c r="AA125" s="4">
        <f t="shared" si="25"/>
        <v>0</v>
      </c>
      <c r="AB125" s="24"/>
      <c r="AC125" s="16">
        <f t="shared" si="26"/>
        <v>31.627773649007324</v>
      </c>
      <c r="AD125" s="16">
        <f t="shared" si="34"/>
        <v>31.627773649007324</v>
      </c>
      <c r="AE125" s="16">
        <v>12.1662</v>
      </c>
      <c r="AF125" s="16">
        <v>14.089600000000001</v>
      </c>
      <c r="AG125" s="16">
        <v>13.230600000000001</v>
      </c>
      <c r="AH125" s="16">
        <v>9.9158000000000008</v>
      </c>
      <c r="AI125" s="16">
        <v>6.5962000000000014</v>
      </c>
      <c r="AJ125" s="16">
        <v>6.8528000000000002</v>
      </c>
      <c r="AK125" s="16">
        <v>7.9191999999999991</v>
      </c>
      <c r="AL125" s="16">
        <v>6.2633999999999999</v>
      </c>
      <c r="AM125" s="21" t="s">
        <v>185</v>
      </c>
      <c r="AN125" s="16">
        <f t="shared" si="27"/>
        <v>0</v>
      </c>
      <c r="AO125" s="16"/>
      <c r="AP125" s="16"/>
      <c r="AQ125" s="16"/>
      <c r="AR125" s="16"/>
      <c r="AS125" s="16"/>
      <c r="AT125" s="16"/>
      <c r="AU125" s="16"/>
    </row>
    <row r="126" spans="1:47" x14ac:dyDescent="0.25">
      <c r="A126" s="16" t="s">
        <v>62</v>
      </c>
      <c r="B126" s="16" t="s">
        <v>41</v>
      </c>
      <c r="C126" s="16">
        <v>2824.9609999999998</v>
      </c>
      <c r="D126" s="16">
        <v>259.76100000000002</v>
      </c>
      <c r="E126" s="16">
        <v>982.19600000000003</v>
      </c>
      <c r="F126" s="19">
        <f>2074.832+F19</f>
        <v>2069.8579999999997</v>
      </c>
      <c r="G126" s="6">
        <v>1</v>
      </c>
      <c r="H126" s="16">
        <v>60</v>
      </c>
      <c r="I126" s="9" t="s">
        <v>42</v>
      </c>
      <c r="J126" s="16"/>
      <c r="K126" s="16">
        <v>1026.5</v>
      </c>
      <c r="L126" s="16">
        <f t="shared" si="31"/>
        <v>-44.303999999999974</v>
      </c>
      <c r="M126" s="16">
        <f t="shared" si="32"/>
        <v>982.19600000000003</v>
      </c>
      <c r="N126" s="16"/>
      <c r="O126" s="16">
        <v>0</v>
      </c>
      <c r="P126" s="16"/>
      <c r="Q126" s="16"/>
      <c r="R126" s="16"/>
      <c r="S126" s="16">
        <v>900</v>
      </c>
      <c r="T126" s="16"/>
      <c r="U126" s="16">
        <v>400</v>
      </c>
      <c r="V126" s="16">
        <v>0</v>
      </c>
      <c r="W126" s="16"/>
      <c r="X126" s="16"/>
      <c r="Y126" s="16">
        <f t="shared" si="33"/>
        <v>196.4392</v>
      </c>
      <c r="Z126" s="4"/>
      <c r="AA126" s="4">
        <f t="shared" si="25"/>
        <v>0</v>
      </c>
      <c r="AB126" s="24"/>
      <c r="AC126" s="16">
        <f t="shared" si="26"/>
        <v>17.154712501374469</v>
      </c>
      <c r="AD126" s="16">
        <f t="shared" si="34"/>
        <v>17.154712501374469</v>
      </c>
      <c r="AE126" s="16">
        <v>182.04040000000001</v>
      </c>
      <c r="AF126" s="16">
        <v>202.87360000000001</v>
      </c>
      <c r="AG126" s="16">
        <v>154.0368</v>
      </c>
      <c r="AH126" s="16">
        <v>145.78739999999999</v>
      </c>
      <c r="AI126" s="16">
        <v>165.05019999999999</v>
      </c>
      <c r="AJ126" s="16">
        <v>223.18119999999999</v>
      </c>
      <c r="AK126" s="16">
        <v>152.50559999999999</v>
      </c>
      <c r="AL126" s="16">
        <v>24.672599999999999</v>
      </c>
      <c r="AM126" s="16"/>
      <c r="AN126" s="16">
        <f t="shared" si="27"/>
        <v>0</v>
      </c>
      <c r="AO126" s="16"/>
      <c r="AP126" s="16"/>
      <c r="AQ126" s="16"/>
      <c r="AR126" s="16"/>
      <c r="AS126" s="16"/>
      <c r="AT126" s="16"/>
      <c r="AU126" s="16"/>
    </row>
    <row r="127" spans="1:47" x14ac:dyDescent="0.25">
      <c r="A127" s="16" t="s">
        <v>176</v>
      </c>
      <c r="B127" s="16" t="s">
        <v>46</v>
      </c>
      <c r="C127" s="16"/>
      <c r="D127" s="16">
        <v>205</v>
      </c>
      <c r="E127" s="16">
        <v>81</v>
      </c>
      <c r="F127" s="16">
        <v>123</v>
      </c>
      <c r="G127" s="6">
        <v>0.25</v>
      </c>
      <c r="H127" s="16"/>
      <c r="I127" s="16" t="s">
        <v>42</v>
      </c>
      <c r="J127" s="16"/>
      <c r="K127" s="16">
        <v>82</v>
      </c>
      <c r="L127" s="16">
        <f t="shared" si="31"/>
        <v>-1</v>
      </c>
      <c r="M127" s="16">
        <f t="shared" si="32"/>
        <v>81</v>
      </c>
      <c r="N127" s="16"/>
      <c r="O127" s="16">
        <v>0</v>
      </c>
      <c r="P127" s="16"/>
      <c r="Q127" s="16"/>
      <c r="R127" s="16"/>
      <c r="S127" s="16"/>
      <c r="T127" s="16"/>
      <c r="U127" s="16"/>
      <c r="V127" s="16">
        <v>0</v>
      </c>
      <c r="W127" s="16"/>
      <c r="X127" s="16"/>
      <c r="Y127" s="16">
        <f t="shared" si="33"/>
        <v>16.2</v>
      </c>
      <c r="Z127" s="4">
        <f t="shared" si="37"/>
        <v>55.199999999999989</v>
      </c>
      <c r="AA127" s="4">
        <f t="shared" si="25"/>
        <v>55.199999999999989</v>
      </c>
      <c r="AB127" s="24"/>
      <c r="AC127" s="16">
        <f t="shared" si="26"/>
        <v>11</v>
      </c>
      <c r="AD127" s="16">
        <f t="shared" si="34"/>
        <v>7.5925925925925926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 t="s">
        <v>177</v>
      </c>
      <c r="AN127" s="16">
        <f t="shared" si="27"/>
        <v>14</v>
      </c>
      <c r="AO127" s="16"/>
      <c r="AP127" s="16"/>
      <c r="AQ127" s="16"/>
      <c r="AR127" s="16"/>
      <c r="AS127" s="16"/>
      <c r="AT127" s="16"/>
      <c r="AU127" s="16"/>
    </row>
    <row r="128" spans="1:47" x14ac:dyDescent="0.25">
      <c r="A128" s="16" t="s">
        <v>178</v>
      </c>
      <c r="B128" s="16" t="s">
        <v>46</v>
      </c>
      <c r="C128" s="16"/>
      <c r="D128" s="16">
        <v>204</v>
      </c>
      <c r="E128" s="16">
        <v>49</v>
      </c>
      <c r="F128" s="16">
        <v>155</v>
      </c>
      <c r="G128" s="6">
        <v>0.32500000000000001</v>
      </c>
      <c r="H128" s="16"/>
      <c r="I128" s="16" t="s">
        <v>42</v>
      </c>
      <c r="J128" s="16"/>
      <c r="K128" s="16">
        <v>49</v>
      </c>
      <c r="L128" s="16">
        <f t="shared" si="31"/>
        <v>0</v>
      </c>
      <c r="M128" s="16">
        <f t="shared" si="32"/>
        <v>49</v>
      </c>
      <c r="N128" s="16"/>
      <c r="O128" s="16">
        <v>0</v>
      </c>
      <c r="P128" s="16"/>
      <c r="Q128" s="16"/>
      <c r="R128" s="16"/>
      <c r="S128" s="16"/>
      <c r="T128" s="16"/>
      <c r="U128" s="16"/>
      <c r="V128" s="16">
        <v>0</v>
      </c>
      <c r="W128" s="16"/>
      <c r="X128" s="16"/>
      <c r="Y128" s="16">
        <f t="shared" si="33"/>
        <v>9.8000000000000007</v>
      </c>
      <c r="Z128" s="4"/>
      <c r="AA128" s="4">
        <f t="shared" si="25"/>
        <v>0</v>
      </c>
      <c r="AB128" s="24"/>
      <c r="AC128" s="16">
        <f t="shared" si="26"/>
        <v>15.816326530612244</v>
      </c>
      <c r="AD128" s="16">
        <f t="shared" si="34"/>
        <v>15.816326530612244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 t="s">
        <v>177</v>
      </c>
      <c r="AN128" s="16">
        <f t="shared" si="27"/>
        <v>0</v>
      </c>
      <c r="AO128" s="16"/>
      <c r="AP128" s="16"/>
      <c r="AQ128" s="16"/>
      <c r="AR128" s="16"/>
      <c r="AS128" s="16"/>
      <c r="AT128" s="16"/>
      <c r="AU128" s="16"/>
    </row>
    <row r="129" spans="1:47" x14ac:dyDescent="0.25">
      <c r="A129" s="16" t="s">
        <v>179</v>
      </c>
      <c r="B129" s="16" t="s">
        <v>46</v>
      </c>
      <c r="C129" s="16"/>
      <c r="D129" s="16">
        <v>204</v>
      </c>
      <c r="E129" s="16">
        <v>66</v>
      </c>
      <c r="F129" s="16">
        <v>138</v>
      </c>
      <c r="G129" s="6">
        <v>0.25</v>
      </c>
      <c r="H129" s="16"/>
      <c r="I129" s="16" t="s">
        <v>42</v>
      </c>
      <c r="J129" s="16"/>
      <c r="K129" s="16">
        <v>66</v>
      </c>
      <c r="L129" s="16">
        <f t="shared" si="31"/>
        <v>0</v>
      </c>
      <c r="M129" s="16">
        <f t="shared" si="32"/>
        <v>66</v>
      </c>
      <c r="N129" s="16"/>
      <c r="O129" s="16">
        <v>0</v>
      </c>
      <c r="P129" s="16"/>
      <c r="Q129" s="16"/>
      <c r="R129" s="16"/>
      <c r="S129" s="16"/>
      <c r="T129" s="16"/>
      <c r="U129" s="16"/>
      <c r="V129" s="16">
        <v>0</v>
      </c>
      <c r="W129" s="16"/>
      <c r="X129" s="16"/>
      <c r="Y129" s="16">
        <f t="shared" si="33"/>
        <v>13.2</v>
      </c>
      <c r="Z129" s="4">
        <f t="shared" si="37"/>
        <v>7.1999999999999886</v>
      </c>
      <c r="AA129" s="4">
        <f t="shared" si="25"/>
        <v>7.1999999999999886</v>
      </c>
      <c r="AB129" s="24"/>
      <c r="AC129" s="16">
        <f t="shared" si="26"/>
        <v>11</v>
      </c>
      <c r="AD129" s="16">
        <f t="shared" si="34"/>
        <v>10.454545454545455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 t="s">
        <v>177</v>
      </c>
      <c r="AN129" s="16">
        <f t="shared" si="27"/>
        <v>2</v>
      </c>
      <c r="AO129" s="16"/>
      <c r="AP129" s="16"/>
      <c r="AQ129" s="16"/>
      <c r="AR129" s="16"/>
      <c r="AS129" s="16"/>
      <c r="AT129" s="16"/>
      <c r="AU129" s="16"/>
    </row>
    <row r="130" spans="1:47" x14ac:dyDescent="0.25">
      <c r="A130" s="16" t="s">
        <v>180</v>
      </c>
      <c r="B130" s="16" t="s">
        <v>46</v>
      </c>
      <c r="C130" s="16">
        <v>132</v>
      </c>
      <c r="D130" s="16">
        <v>22</v>
      </c>
      <c r="E130" s="16">
        <v>95</v>
      </c>
      <c r="F130" s="16">
        <v>40</v>
      </c>
      <c r="G130" s="6">
        <v>0.3</v>
      </c>
      <c r="H130" s="16">
        <v>40</v>
      </c>
      <c r="I130" s="16" t="s">
        <v>42</v>
      </c>
      <c r="J130" s="16"/>
      <c r="K130" s="16">
        <v>191</v>
      </c>
      <c r="L130" s="16">
        <f t="shared" si="31"/>
        <v>-96</v>
      </c>
      <c r="M130" s="16">
        <f t="shared" si="32"/>
        <v>95</v>
      </c>
      <c r="N130" s="16"/>
      <c r="O130" s="16">
        <v>222.99399999999989</v>
      </c>
      <c r="P130" s="16"/>
      <c r="Q130" s="16"/>
      <c r="R130" s="16"/>
      <c r="S130" s="16"/>
      <c r="T130" s="16"/>
      <c r="U130" s="16"/>
      <c r="V130" s="16">
        <v>105.40600000000011</v>
      </c>
      <c r="W130" s="16"/>
      <c r="X130" s="16"/>
      <c r="Y130" s="16">
        <f t="shared" si="33"/>
        <v>19</v>
      </c>
      <c r="Z130" s="4"/>
      <c r="AA130" s="4">
        <f t="shared" si="25"/>
        <v>0</v>
      </c>
      <c r="AB130" s="24"/>
      <c r="AC130" s="16">
        <f t="shared" si="26"/>
        <v>19.389473684210529</v>
      </c>
      <c r="AD130" s="16">
        <f t="shared" si="34"/>
        <v>19.389473684210529</v>
      </c>
      <c r="AE130" s="16">
        <v>33.6</v>
      </c>
      <c r="AF130" s="16">
        <v>39.4</v>
      </c>
      <c r="AG130" s="16">
        <v>30.6</v>
      </c>
      <c r="AH130" s="16">
        <v>24.4</v>
      </c>
      <c r="AI130" s="16">
        <v>27</v>
      </c>
      <c r="AJ130" s="16">
        <v>31.4</v>
      </c>
      <c r="AK130" s="16">
        <v>32.799999999999997</v>
      </c>
      <c r="AL130" s="16">
        <v>29.8</v>
      </c>
      <c r="AM130" s="16"/>
      <c r="AN130" s="16">
        <f t="shared" si="27"/>
        <v>0</v>
      </c>
      <c r="AO130" s="16"/>
      <c r="AP130" s="16"/>
      <c r="AQ130" s="16"/>
      <c r="AR130" s="16"/>
      <c r="AS130" s="16"/>
      <c r="AT130" s="16"/>
      <c r="AU130" s="16"/>
    </row>
    <row r="131" spans="1:47" x14ac:dyDescent="0.25">
      <c r="A131" s="16" t="s">
        <v>181</v>
      </c>
      <c r="B131" s="16" t="s">
        <v>46</v>
      </c>
      <c r="C131" s="16">
        <v>138</v>
      </c>
      <c r="D131" s="16">
        <v>91</v>
      </c>
      <c r="E131" s="16">
        <v>129</v>
      </c>
      <c r="F131" s="16">
        <v>86</v>
      </c>
      <c r="G131" s="6">
        <v>0.3</v>
      </c>
      <c r="H131" s="16">
        <v>40</v>
      </c>
      <c r="I131" s="16" t="s">
        <v>42</v>
      </c>
      <c r="J131" s="16"/>
      <c r="K131" s="16">
        <v>147</v>
      </c>
      <c r="L131" s="16">
        <f t="shared" si="31"/>
        <v>-18</v>
      </c>
      <c r="M131" s="16">
        <f t="shared" si="32"/>
        <v>129</v>
      </c>
      <c r="N131" s="16"/>
      <c r="O131" s="16">
        <v>47.399999999999977</v>
      </c>
      <c r="P131" s="16"/>
      <c r="Q131" s="16"/>
      <c r="R131" s="16"/>
      <c r="S131" s="16"/>
      <c r="T131" s="16"/>
      <c r="U131" s="16"/>
      <c r="V131" s="16">
        <v>30.80000000000004</v>
      </c>
      <c r="W131" s="16"/>
      <c r="X131" s="16"/>
      <c r="Y131" s="16">
        <f t="shared" si="33"/>
        <v>25.8</v>
      </c>
      <c r="Z131" s="4">
        <f t="shared" si="37"/>
        <v>119.6</v>
      </c>
      <c r="AA131" s="4">
        <f t="shared" si="25"/>
        <v>119.6</v>
      </c>
      <c r="AB131" s="24"/>
      <c r="AC131" s="16">
        <f t="shared" si="26"/>
        <v>11</v>
      </c>
      <c r="AD131" s="16">
        <f t="shared" si="34"/>
        <v>6.3643410852713185</v>
      </c>
      <c r="AE131" s="16">
        <v>20.8</v>
      </c>
      <c r="AF131" s="16">
        <v>23.6</v>
      </c>
      <c r="AG131" s="16">
        <v>23.6</v>
      </c>
      <c r="AH131" s="16">
        <v>23</v>
      </c>
      <c r="AI131" s="16">
        <v>22</v>
      </c>
      <c r="AJ131" s="16">
        <v>25.8</v>
      </c>
      <c r="AK131" s="16">
        <v>23.2</v>
      </c>
      <c r="AL131" s="16">
        <v>20.6</v>
      </c>
      <c r="AM131" s="16"/>
      <c r="AN131" s="16">
        <f t="shared" si="27"/>
        <v>36</v>
      </c>
      <c r="AO131" s="16"/>
      <c r="AP131" s="16"/>
      <c r="AQ131" s="16"/>
      <c r="AR131" s="16"/>
      <c r="AS131" s="16"/>
      <c r="AT131" s="16"/>
      <c r="AU131" s="16"/>
    </row>
    <row r="132" spans="1:47" x14ac:dyDescent="0.25">
      <c r="A132" s="16" t="s">
        <v>182</v>
      </c>
      <c r="B132" s="16" t="s">
        <v>41</v>
      </c>
      <c r="C132" s="16">
        <v>53.161000000000001</v>
      </c>
      <c r="D132" s="16">
        <v>22.87</v>
      </c>
      <c r="E132" s="16">
        <v>48.606000000000002</v>
      </c>
      <c r="F132" s="16">
        <v>27.425000000000001</v>
      </c>
      <c r="G132" s="6">
        <v>1</v>
      </c>
      <c r="H132" s="16">
        <v>50</v>
      </c>
      <c r="I132" s="16" t="s">
        <v>42</v>
      </c>
      <c r="J132" s="16"/>
      <c r="K132" s="16">
        <v>45.75</v>
      </c>
      <c r="L132" s="16">
        <f t="shared" si="31"/>
        <v>2.8560000000000016</v>
      </c>
      <c r="M132" s="16">
        <f t="shared" si="32"/>
        <v>48.606000000000002</v>
      </c>
      <c r="N132" s="16"/>
      <c r="O132" s="16">
        <v>92.068600000000004</v>
      </c>
      <c r="P132" s="16"/>
      <c r="Q132" s="16"/>
      <c r="R132" s="16"/>
      <c r="S132" s="16"/>
      <c r="T132" s="16"/>
      <c r="U132" s="16"/>
      <c r="V132" s="16">
        <v>34.629300000000022</v>
      </c>
      <c r="W132" s="16"/>
      <c r="X132" s="16"/>
      <c r="Y132" s="16">
        <f t="shared" si="33"/>
        <v>9.7211999999999996</v>
      </c>
      <c r="Z132" s="4"/>
      <c r="AA132" s="4">
        <f t="shared" si="25"/>
        <v>0</v>
      </c>
      <c r="AB132" s="24"/>
      <c r="AC132" s="16">
        <f t="shared" si="26"/>
        <v>15.854308110109866</v>
      </c>
      <c r="AD132" s="16">
        <f t="shared" si="34"/>
        <v>15.854308110109866</v>
      </c>
      <c r="AE132" s="16">
        <v>14.6806</v>
      </c>
      <c r="AF132" s="16">
        <v>16.251000000000001</v>
      </c>
      <c r="AG132" s="16">
        <v>9.7181999999999995</v>
      </c>
      <c r="AH132" s="16">
        <v>8.9572000000000003</v>
      </c>
      <c r="AI132" s="16">
        <v>9.7802000000000007</v>
      </c>
      <c r="AJ132" s="16">
        <v>11.72</v>
      </c>
      <c r="AK132" s="16">
        <v>12.3124</v>
      </c>
      <c r="AL132" s="16">
        <v>10.629799999999999</v>
      </c>
      <c r="AM132" s="16"/>
      <c r="AN132" s="16">
        <f t="shared" si="27"/>
        <v>0</v>
      </c>
      <c r="AO132" s="16"/>
      <c r="AP132" s="16"/>
      <c r="AQ132" s="16"/>
      <c r="AR132" s="16"/>
      <c r="AS132" s="16"/>
      <c r="AT132" s="16"/>
      <c r="AU132" s="16"/>
    </row>
    <row r="133" spans="1:47" x14ac:dyDescent="0.25">
      <c r="A133" s="16" t="s">
        <v>183</v>
      </c>
      <c r="B133" s="16" t="s">
        <v>46</v>
      </c>
      <c r="C133" s="16">
        <v>61</v>
      </c>
      <c r="D133" s="16">
        <v>28</v>
      </c>
      <c r="E133" s="16">
        <v>60</v>
      </c>
      <c r="F133" s="16">
        <v>22</v>
      </c>
      <c r="G133" s="6">
        <v>0.3</v>
      </c>
      <c r="H133" s="16">
        <v>40</v>
      </c>
      <c r="I133" s="18" t="s">
        <v>76</v>
      </c>
      <c r="J133" s="16"/>
      <c r="K133" s="16">
        <v>67</v>
      </c>
      <c r="L133" s="16">
        <f t="shared" si="31"/>
        <v>-7</v>
      </c>
      <c r="M133" s="8">
        <f t="shared" si="32"/>
        <v>60</v>
      </c>
      <c r="N133" s="16"/>
      <c r="O133" s="8">
        <v>0</v>
      </c>
      <c r="P133" s="16"/>
      <c r="Q133" s="16"/>
      <c r="R133" s="16"/>
      <c r="S133" s="16"/>
      <c r="T133" s="16"/>
      <c r="U133" s="16"/>
      <c r="V133" s="8">
        <v>0</v>
      </c>
      <c r="W133" s="16"/>
      <c r="X133" s="16"/>
      <c r="Y133" s="16">
        <f t="shared" si="33"/>
        <v>12</v>
      </c>
      <c r="Z133" s="22">
        <v>20</v>
      </c>
      <c r="AA133" s="4">
        <f t="shared" si="25"/>
        <v>20</v>
      </c>
      <c r="AB133" s="24"/>
      <c r="AC133" s="16">
        <f t="shared" si="26"/>
        <v>3.5</v>
      </c>
      <c r="AD133" s="16">
        <f t="shared" si="34"/>
        <v>1.8333333333333333</v>
      </c>
      <c r="AE133" s="16">
        <v>10.6</v>
      </c>
      <c r="AF133" s="16">
        <v>11.8</v>
      </c>
      <c r="AG133" s="16">
        <v>9</v>
      </c>
      <c r="AH133" s="16">
        <v>7.4</v>
      </c>
      <c r="AI133" s="16">
        <v>8.1999999999999993</v>
      </c>
      <c r="AJ133" s="16">
        <v>10.4</v>
      </c>
      <c r="AK133" s="16">
        <v>9</v>
      </c>
      <c r="AL133" s="16">
        <v>10.199999999999999</v>
      </c>
      <c r="AM133" s="16"/>
      <c r="AN133" s="16">
        <f t="shared" si="27"/>
        <v>6</v>
      </c>
      <c r="AO133" s="16"/>
      <c r="AP133" s="16"/>
      <c r="AQ133" s="16"/>
      <c r="AR133" s="16"/>
      <c r="AS133" s="16"/>
      <c r="AT133" s="16"/>
      <c r="AU133" s="16"/>
    </row>
    <row r="134" spans="1:47" x14ac:dyDescent="0.25">
      <c r="A134" s="16" t="s">
        <v>184</v>
      </c>
      <c r="B134" s="16" t="s">
        <v>46</v>
      </c>
      <c r="C134" s="16">
        <v>61</v>
      </c>
      <c r="D134" s="16">
        <v>62</v>
      </c>
      <c r="E134" s="16">
        <v>33</v>
      </c>
      <c r="F134" s="16">
        <v>86</v>
      </c>
      <c r="G134" s="6">
        <v>0.12</v>
      </c>
      <c r="H134" s="16">
        <v>45</v>
      </c>
      <c r="I134" s="16" t="s">
        <v>42</v>
      </c>
      <c r="J134" s="16"/>
      <c r="K134" s="16">
        <v>43</v>
      </c>
      <c r="L134" s="16">
        <f t="shared" ref="L134" si="38">E134-K134</f>
        <v>-10</v>
      </c>
      <c r="M134" s="16">
        <f t="shared" ref="M134" si="39">E134-N134</f>
        <v>33</v>
      </c>
      <c r="N134" s="16"/>
      <c r="O134" s="16">
        <v>17.599999999999991</v>
      </c>
      <c r="P134" s="16"/>
      <c r="Q134" s="16"/>
      <c r="R134" s="16"/>
      <c r="S134" s="16"/>
      <c r="T134" s="16"/>
      <c r="U134" s="16"/>
      <c r="V134" s="16">
        <v>0</v>
      </c>
      <c r="W134" s="16"/>
      <c r="X134" s="16"/>
      <c r="Y134" s="16">
        <f t="shared" si="33"/>
        <v>6.6</v>
      </c>
      <c r="Z134" s="4"/>
      <c r="AA134" s="4">
        <f t="shared" si="25"/>
        <v>0</v>
      </c>
      <c r="AB134" s="24"/>
      <c r="AC134" s="16">
        <f t="shared" si="26"/>
        <v>15.696969696969697</v>
      </c>
      <c r="AD134" s="16">
        <f t="shared" si="34"/>
        <v>15.696969696969697</v>
      </c>
      <c r="AE134" s="16">
        <v>6</v>
      </c>
      <c r="AF134" s="16">
        <v>11.4</v>
      </c>
      <c r="AG134" s="16">
        <v>10.4</v>
      </c>
      <c r="AH134" s="16">
        <v>2.2000000000000002</v>
      </c>
      <c r="AI134" s="16">
        <v>3.6</v>
      </c>
      <c r="AJ134" s="16">
        <v>6.6</v>
      </c>
      <c r="AK134" s="16">
        <v>11.8</v>
      </c>
      <c r="AL134" s="16">
        <v>7</v>
      </c>
      <c r="AM134" s="16"/>
      <c r="AN134" s="16">
        <f t="shared" si="27"/>
        <v>0</v>
      </c>
      <c r="AO134" s="16"/>
      <c r="AP134" s="16"/>
      <c r="AQ134" s="16"/>
      <c r="AR134" s="16"/>
      <c r="AS134" s="16"/>
      <c r="AT134" s="16"/>
      <c r="AU134" s="16"/>
    </row>
    <row r="135" spans="1:47" x14ac:dyDescent="0.25">
      <c r="A135" s="16"/>
      <c r="B135" s="16"/>
      <c r="C135" s="16"/>
      <c r="D135" s="16"/>
      <c r="E135" s="16"/>
      <c r="F135" s="16"/>
      <c r="G135" s="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</row>
    <row r="136" spans="1:47" x14ac:dyDescent="0.25">
      <c r="A136" s="16"/>
      <c r="B136" s="16"/>
      <c r="C136" s="16"/>
      <c r="D136" s="16"/>
      <c r="E136" s="16"/>
      <c r="F136" s="16"/>
      <c r="G136" s="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</row>
    <row r="137" spans="1:47" x14ac:dyDescent="0.25">
      <c r="A137" s="16"/>
      <c r="B137" s="16"/>
      <c r="C137" s="16"/>
      <c r="D137" s="16"/>
      <c r="E137" s="16"/>
      <c r="F137" s="16"/>
      <c r="G137" s="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</row>
    <row r="138" spans="1:47" x14ac:dyDescent="0.25">
      <c r="A138" s="16"/>
      <c r="B138" s="16"/>
      <c r="C138" s="16"/>
      <c r="D138" s="16"/>
      <c r="E138" s="16"/>
      <c r="F138" s="16"/>
      <c r="G138" s="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</row>
    <row r="139" spans="1:47" x14ac:dyDescent="0.25">
      <c r="A139" s="16"/>
      <c r="B139" s="16"/>
      <c r="C139" s="16"/>
      <c r="D139" s="16"/>
      <c r="E139" s="16"/>
      <c r="F139" s="16"/>
      <c r="G139" s="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</row>
    <row r="140" spans="1:47" x14ac:dyDescent="0.25">
      <c r="A140" s="16"/>
      <c r="B140" s="16"/>
      <c r="C140" s="16"/>
      <c r="D140" s="16"/>
      <c r="E140" s="16"/>
      <c r="F140" s="16"/>
      <c r="G140" s="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</row>
    <row r="141" spans="1:47" x14ac:dyDescent="0.25">
      <c r="A141" s="16"/>
      <c r="B141" s="16"/>
      <c r="C141" s="16"/>
      <c r="D141" s="16"/>
      <c r="E141" s="16"/>
      <c r="F141" s="16"/>
      <c r="G141" s="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</row>
    <row r="142" spans="1:47" x14ac:dyDescent="0.25">
      <c r="A142" s="16"/>
      <c r="B142" s="16"/>
      <c r="C142" s="16"/>
      <c r="D142" s="16"/>
      <c r="E142" s="16"/>
      <c r="F142" s="16"/>
      <c r="G142" s="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</row>
    <row r="143" spans="1:47" x14ac:dyDescent="0.25">
      <c r="A143" s="16"/>
      <c r="B143" s="16"/>
      <c r="C143" s="16"/>
      <c r="D143" s="16"/>
      <c r="E143" s="16"/>
      <c r="F143" s="16"/>
      <c r="G143" s="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</row>
    <row r="144" spans="1:47" x14ac:dyDescent="0.25">
      <c r="A144" s="16"/>
      <c r="B144" s="16"/>
      <c r="C144" s="16"/>
      <c r="D144" s="16"/>
      <c r="E144" s="16"/>
      <c r="F144" s="16"/>
      <c r="G144" s="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</row>
    <row r="145" spans="1:47" x14ac:dyDescent="0.25">
      <c r="A145" s="16"/>
      <c r="B145" s="16"/>
      <c r="C145" s="16"/>
      <c r="D145" s="16"/>
      <c r="E145" s="16"/>
      <c r="F145" s="16"/>
      <c r="G145" s="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</row>
    <row r="146" spans="1:47" x14ac:dyDescent="0.25">
      <c r="A146" s="16"/>
      <c r="B146" s="16"/>
      <c r="C146" s="16"/>
      <c r="D146" s="16"/>
      <c r="E146" s="16"/>
      <c r="F146" s="16"/>
      <c r="G146" s="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</row>
    <row r="147" spans="1:47" x14ac:dyDescent="0.25">
      <c r="A147" s="16"/>
      <c r="B147" s="16"/>
      <c r="C147" s="16"/>
      <c r="D147" s="16"/>
      <c r="E147" s="16"/>
      <c r="F147" s="16"/>
      <c r="G147" s="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</row>
    <row r="148" spans="1:47" x14ac:dyDescent="0.25">
      <c r="A148" s="16"/>
      <c r="B148" s="16"/>
      <c r="C148" s="16"/>
      <c r="D148" s="16"/>
      <c r="E148" s="16"/>
      <c r="F148" s="16"/>
      <c r="G148" s="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</row>
    <row r="149" spans="1:47" x14ac:dyDescent="0.25">
      <c r="A149" s="16"/>
      <c r="B149" s="16"/>
      <c r="C149" s="16"/>
      <c r="D149" s="16"/>
      <c r="E149" s="16"/>
      <c r="F149" s="16"/>
      <c r="G149" s="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</row>
    <row r="150" spans="1:47" x14ac:dyDescent="0.25">
      <c r="A150" s="16"/>
      <c r="B150" s="16"/>
      <c r="C150" s="16"/>
      <c r="D150" s="16"/>
      <c r="E150" s="16"/>
      <c r="F150" s="16"/>
      <c r="G150" s="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</row>
    <row r="151" spans="1:47" x14ac:dyDescent="0.25">
      <c r="A151" s="16"/>
      <c r="B151" s="16"/>
      <c r="C151" s="16"/>
      <c r="D151" s="16"/>
      <c r="E151" s="16"/>
      <c r="F151" s="16"/>
      <c r="G151" s="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</row>
    <row r="152" spans="1:47" x14ac:dyDescent="0.25">
      <c r="A152" s="16"/>
      <c r="B152" s="16"/>
      <c r="C152" s="16"/>
      <c r="D152" s="16"/>
      <c r="E152" s="16"/>
      <c r="F152" s="16"/>
      <c r="G152" s="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</row>
    <row r="153" spans="1:47" x14ac:dyDescent="0.25">
      <c r="A153" s="16"/>
      <c r="B153" s="16"/>
      <c r="C153" s="16"/>
      <c r="D153" s="16"/>
      <c r="E153" s="16"/>
      <c r="F153" s="16"/>
      <c r="G153" s="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</row>
    <row r="154" spans="1:47" x14ac:dyDescent="0.25">
      <c r="A154" s="16"/>
      <c r="B154" s="16"/>
      <c r="C154" s="16"/>
      <c r="D154" s="16"/>
      <c r="E154" s="16"/>
      <c r="F154" s="16"/>
      <c r="G154" s="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</row>
    <row r="155" spans="1:47" x14ac:dyDescent="0.25">
      <c r="A155" s="16"/>
      <c r="B155" s="16"/>
      <c r="C155" s="16"/>
      <c r="D155" s="16"/>
      <c r="E155" s="16"/>
      <c r="F155" s="16"/>
      <c r="G155" s="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</row>
    <row r="156" spans="1:47" x14ac:dyDescent="0.25">
      <c r="A156" s="16"/>
      <c r="B156" s="16"/>
      <c r="C156" s="16"/>
      <c r="D156" s="16"/>
      <c r="E156" s="16"/>
      <c r="F156" s="16"/>
      <c r="G156" s="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</row>
    <row r="157" spans="1:47" x14ac:dyDescent="0.25">
      <c r="A157" s="16"/>
      <c r="B157" s="16"/>
      <c r="C157" s="16"/>
      <c r="D157" s="16"/>
      <c r="E157" s="16"/>
      <c r="F157" s="16"/>
      <c r="G157" s="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</row>
    <row r="158" spans="1:47" x14ac:dyDescent="0.25">
      <c r="A158" s="16"/>
      <c r="B158" s="16"/>
      <c r="C158" s="16"/>
      <c r="D158" s="16"/>
      <c r="E158" s="16"/>
      <c r="F158" s="16"/>
      <c r="G158" s="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</row>
    <row r="159" spans="1:47" x14ac:dyDescent="0.25">
      <c r="A159" s="16"/>
      <c r="B159" s="16"/>
      <c r="C159" s="16"/>
      <c r="D159" s="16"/>
      <c r="E159" s="16"/>
      <c r="F159" s="16"/>
      <c r="G159" s="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</row>
    <row r="160" spans="1:47" x14ac:dyDescent="0.25">
      <c r="A160" s="16"/>
      <c r="B160" s="16"/>
      <c r="C160" s="16"/>
      <c r="D160" s="16"/>
      <c r="E160" s="16"/>
      <c r="F160" s="16"/>
      <c r="G160" s="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</row>
    <row r="161" spans="1:47" x14ac:dyDescent="0.25">
      <c r="A161" s="16"/>
      <c r="B161" s="16"/>
      <c r="C161" s="16"/>
      <c r="D161" s="16"/>
      <c r="E161" s="16"/>
      <c r="F161" s="16"/>
      <c r="G161" s="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</row>
    <row r="162" spans="1:47" x14ac:dyDescent="0.25">
      <c r="A162" s="16"/>
      <c r="B162" s="16"/>
      <c r="C162" s="16"/>
      <c r="D162" s="16"/>
      <c r="E162" s="16"/>
      <c r="F162" s="16"/>
      <c r="G162" s="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</row>
    <row r="163" spans="1:47" x14ac:dyDescent="0.25">
      <c r="A163" s="16"/>
      <c r="B163" s="16"/>
      <c r="C163" s="16"/>
      <c r="D163" s="16"/>
      <c r="E163" s="16"/>
      <c r="F163" s="16"/>
      <c r="G163" s="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</row>
    <row r="164" spans="1:47" x14ac:dyDescent="0.25">
      <c r="A164" s="16"/>
      <c r="B164" s="16"/>
      <c r="C164" s="16"/>
      <c r="D164" s="16"/>
      <c r="E164" s="16"/>
      <c r="F164" s="16"/>
      <c r="G164" s="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</row>
    <row r="165" spans="1:47" x14ac:dyDescent="0.25">
      <c r="A165" s="16"/>
      <c r="B165" s="16"/>
      <c r="C165" s="16"/>
      <c r="D165" s="16"/>
      <c r="E165" s="16"/>
      <c r="F165" s="16"/>
      <c r="G165" s="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</row>
    <row r="166" spans="1:47" x14ac:dyDescent="0.25">
      <c r="A166" s="16"/>
      <c r="B166" s="16"/>
      <c r="C166" s="16"/>
      <c r="D166" s="16"/>
      <c r="E166" s="16"/>
      <c r="F166" s="16"/>
      <c r="G166" s="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</row>
    <row r="167" spans="1:47" x14ac:dyDescent="0.25">
      <c r="A167" s="16"/>
      <c r="B167" s="16"/>
      <c r="C167" s="16"/>
      <c r="D167" s="16"/>
      <c r="E167" s="16"/>
      <c r="F167" s="16"/>
      <c r="G167" s="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</row>
    <row r="168" spans="1:47" x14ac:dyDescent="0.25">
      <c r="A168" s="16"/>
      <c r="B168" s="16"/>
      <c r="C168" s="16"/>
      <c r="D168" s="16"/>
      <c r="E168" s="16"/>
      <c r="F168" s="16"/>
      <c r="G168" s="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</row>
    <row r="169" spans="1:47" x14ac:dyDescent="0.25">
      <c r="A169" s="16"/>
      <c r="B169" s="16"/>
      <c r="C169" s="16"/>
      <c r="D169" s="16"/>
      <c r="E169" s="16"/>
      <c r="F169" s="16"/>
      <c r="G169" s="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</row>
    <row r="170" spans="1:47" x14ac:dyDescent="0.25">
      <c r="A170" s="16"/>
      <c r="B170" s="16"/>
      <c r="C170" s="16"/>
      <c r="D170" s="16"/>
      <c r="E170" s="16"/>
      <c r="F170" s="16"/>
      <c r="G170" s="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</row>
    <row r="171" spans="1:47" x14ac:dyDescent="0.25">
      <c r="A171" s="16"/>
      <c r="B171" s="16"/>
      <c r="C171" s="16"/>
      <c r="D171" s="16"/>
      <c r="E171" s="16"/>
      <c r="F171" s="16"/>
      <c r="G171" s="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</row>
    <row r="172" spans="1:47" x14ac:dyDescent="0.25">
      <c r="A172" s="16"/>
      <c r="B172" s="16"/>
      <c r="C172" s="16"/>
      <c r="D172" s="16"/>
      <c r="E172" s="16"/>
      <c r="F172" s="16"/>
      <c r="G172" s="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</row>
    <row r="173" spans="1:47" x14ac:dyDescent="0.25">
      <c r="A173" s="16"/>
      <c r="B173" s="16"/>
      <c r="C173" s="16"/>
      <c r="D173" s="16"/>
      <c r="E173" s="16"/>
      <c r="F173" s="16"/>
      <c r="G173" s="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</row>
    <row r="174" spans="1:47" x14ac:dyDescent="0.25">
      <c r="A174" s="16"/>
      <c r="B174" s="16"/>
      <c r="C174" s="16"/>
      <c r="D174" s="16"/>
      <c r="E174" s="16"/>
      <c r="F174" s="16"/>
      <c r="G174" s="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</row>
    <row r="175" spans="1:47" x14ac:dyDescent="0.25">
      <c r="A175" s="16"/>
      <c r="B175" s="16"/>
      <c r="C175" s="16"/>
      <c r="D175" s="16"/>
      <c r="E175" s="16"/>
      <c r="F175" s="16"/>
      <c r="G175" s="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</row>
    <row r="176" spans="1:47" x14ac:dyDescent="0.25">
      <c r="A176" s="16"/>
      <c r="B176" s="16"/>
      <c r="C176" s="16"/>
      <c r="D176" s="16"/>
      <c r="E176" s="16"/>
      <c r="F176" s="16"/>
      <c r="G176" s="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</row>
    <row r="177" spans="1:47" x14ac:dyDescent="0.25">
      <c r="A177" s="16"/>
      <c r="B177" s="16"/>
      <c r="C177" s="16"/>
      <c r="D177" s="16"/>
      <c r="E177" s="16"/>
      <c r="F177" s="16"/>
      <c r="G177" s="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</row>
    <row r="178" spans="1:47" x14ac:dyDescent="0.25">
      <c r="A178" s="16"/>
      <c r="B178" s="16"/>
      <c r="C178" s="16"/>
      <c r="D178" s="16"/>
      <c r="E178" s="16"/>
      <c r="F178" s="16"/>
      <c r="G178" s="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</row>
    <row r="179" spans="1:47" x14ac:dyDescent="0.25">
      <c r="A179" s="16"/>
      <c r="B179" s="16"/>
      <c r="C179" s="16"/>
      <c r="D179" s="16"/>
      <c r="E179" s="16"/>
      <c r="F179" s="16"/>
      <c r="G179" s="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</row>
    <row r="180" spans="1:47" x14ac:dyDescent="0.25">
      <c r="A180" s="16"/>
      <c r="B180" s="16"/>
      <c r="C180" s="16"/>
      <c r="D180" s="16"/>
      <c r="E180" s="16"/>
      <c r="F180" s="16"/>
      <c r="G180" s="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</row>
    <row r="181" spans="1:47" x14ac:dyDescent="0.25">
      <c r="A181" s="16"/>
      <c r="B181" s="16"/>
      <c r="C181" s="16"/>
      <c r="D181" s="16"/>
      <c r="E181" s="16"/>
      <c r="F181" s="16"/>
      <c r="G181" s="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</row>
    <row r="182" spans="1:47" x14ac:dyDescent="0.25">
      <c r="A182" s="16"/>
      <c r="B182" s="16"/>
      <c r="C182" s="16"/>
      <c r="D182" s="16"/>
      <c r="E182" s="16"/>
      <c r="F182" s="16"/>
      <c r="G182" s="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</row>
    <row r="183" spans="1:47" x14ac:dyDescent="0.25">
      <c r="A183" s="16"/>
      <c r="B183" s="16"/>
      <c r="C183" s="16"/>
      <c r="D183" s="16"/>
      <c r="E183" s="16"/>
      <c r="F183" s="16"/>
      <c r="G183" s="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</row>
    <row r="184" spans="1:47" x14ac:dyDescent="0.25">
      <c r="A184" s="16"/>
      <c r="B184" s="16"/>
      <c r="C184" s="16"/>
      <c r="D184" s="16"/>
      <c r="E184" s="16"/>
      <c r="F184" s="16"/>
      <c r="G184" s="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</row>
    <row r="185" spans="1:47" x14ac:dyDescent="0.25">
      <c r="A185" s="16"/>
      <c r="B185" s="16"/>
      <c r="C185" s="16"/>
      <c r="D185" s="16"/>
      <c r="E185" s="16"/>
      <c r="F185" s="16"/>
      <c r="G185" s="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</row>
    <row r="186" spans="1:47" x14ac:dyDescent="0.25">
      <c r="A186" s="16"/>
      <c r="B186" s="16"/>
      <c r="C186" s="16"/>
      <c r="D186" s="16"/>
      <c r="E186" s="16"/>
      <c r="F186" s="16"/>
      <c r="G186" s="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</row>
    <row r="187" spans="1:47" x14ac:dyDescent="0.25">
      <c r="A187" s="16"/>
      <c r="B187" s="16"/>
      <c r="C187" s="16"/>
      <c r="D187" s="16"/>
      <c r="E187" s="16"/>
      <c r="F187" s="16"/>
      <c r="G187" s="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</row>
    <row r="188" spans="1:47" x14ac:dyDescent="0.25">
      <c r="A188" s="16"/>
      <c r="B188" s="16"/>
      <c r="C188" s="16"/>
      <c r="D188" s="16"/>
      <c r="E188" s="16"/>
      <c r="F188" s="16"/>
      <c r="G188" s="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</row>
    <row r="189" spans="1:47" x14ac:dyDescent="0.25">
      <c r="A189" s="16"/>
      <c r="B189" s="16"/>
      <c r="C189" s="16"/>
      <c r="D189" s="16"/>
      <c r="E189" s="16"/>
      <c r="F189" s="16"/>
      <c r="G189" s="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</row>
    <row r="190" spans="1:47" x14ac:dyDescent="0.25">
      <c r="A190" s="16"/>
      <c r="B190" s="16"/>
      <c r="C190" s="16"/>
      <c r="D190" s="16"/>
      <c r="E190" s="16"/>
      <c r="F190" s="16"/>
      <c r="G190" s="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</row>
    <row r="191" spans="1:47" x14ac:dyDescent="0.25">
      <c r="A191" s="16"/>
      <c r="B191" s="16"/>
      <c r="C191" s="16"/>
      <c r="D191" s="16"/>
      <c r="E191" s="16"/>
      <c r="F191" s="16"/>
      <c r="G191" s="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</row>
    <row r="192" spans="1:47" x14ac:dyDescent="0.25">
      <c r="A192" s="16"/>
      <c r="B192" s="16"/>
      <c r="C192" s="16"/>
      <c r="D192" s="16"/>
      <c r="E192" s="16"/>
      <c r="F192" s="16"/>
      <c r="G192" s="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</row>
    <row r="193" spans="1:47" x14ac:dyDescent="0.25">
      <c r="A193" s="16"/>
      <c r="B193" s="16"/>
      <c r="C193" s="16"/>
      <c r="D193" s="16"/>
      <c r="E193" s="16"/>
      <c r="F193" s="16"/>
      <c r="G193" s="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</row>
    <row r="194" spans="1:47" x14ac:dyDescent="0.25">
      <c r="A194" s="16"/>
      <c r="B194" s="16"/>
      <c r="C194" s="16"/>
      <c r="D194" s="16"/>
      <c r="E194" s="16"/>
      <c r="F194" s="16"/>
      <c r="G194" s="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</row>
    <row r="195" spans="1:47" x14ac:dyDescent="0.25">
      <c r="A195" s="16"/>
      <c r="B195" s="16"/>
      <c r="C195" s="16"/>
      <c r="D195" s="16"/>
      <c r="E195" s="16"/>
      <c r="F195" s="16"/>
      <c r="G195" s="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</row>
    <row r="196" spans="1:47" x14ac:dyDescent="0.25">
      <c r="A196" s="16"/>
      <c r="B196" s="16"/>
      <c r="C196" s="16"/>
      <c r="D196" s="16"/>
      <c r="E196" s="16"/>
      <c r="F196" s="16"/>
      <c r="G196" s="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</row>
    <row r="197" spans="1:47" x14ac:dyDescent="0.25">
      <c r="A197" s="16"/>
      <c r="B197" s="16"/>
      <c r="C197" s="16"/>
      <c r="D197" s="16"/>
      <c r="E197" s="16"/>
      <c r="F197" s="16"/>
      <c r="G197" s="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</row>
    <row r="198" spans="1:47" x14ac:dyDescent="0.25">
      <c r="A198" s="16"/>
      <c r="B198" s="16"/>
      <c r="C198" s="16"/>
      <c r="D198" s="16"/>
      <c r="E198" s="16"/>
      <c r="F198" s="16"/>
      <c r="G198" s="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</row>
    <row r="199" spans="1:47" x14ac:dyDescent="0.25">
      <c r="A199" s="16"/>
      <c r="B199" s="16"/>
      <c r="C199" s="16"/>
      <c r="D199" s="16"/>
      <c r="E199" s="16"/>
      <c r="F199" s="16"/>
      <c r="G199" s="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</row>
    <row r="200" spans="1:47" x14ac:dyDescent="0.25">
      <c r="A200" s="16"/>
      <c r="B200" s="16"/>
      <c r="C200" s="16"/>
      <c r="D200" s="16"/>
      <c r="E200" s="16"/>
      <c r="F200" s="16"/>
      <c r="G200" s="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</row>
    <row r="201" spans="1:47" x14ac:dyDescent="0.25">
      <c r="A201" s="16"/>
      <c r="B201" s="16"/>
      <c r="C201" s="16"/>
      <c r="D201" s="16"/>
      <c r="E201" s="16"/>
      <c r="F201" s="16"/>
      <c r="G201" s="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</row>
    <row r="202" spans="1:47" x14ac:dyDescent="0.25">
      <c r="A202" s="16"/>
      <c r="B202" s="16"/>
      <c r="C202" s="16"/>
      <c r="D202" s="16"/>
      <c r="E202" s="16"/>
      <c r="F202" s="16"/>
      <c r="G202" s="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</row>
    <row r="203" spans="1:47" x14ac:dyDescent="0.25">
      <c r="A203" s="16"/>
      <c r="B203" s="16"/>
      <c r="C203" s="16"/>
      <c r="D203" s="16"/>
      <c r="E203" s="16"/>
      <c r="F203" s="16"/>
      <c r="G203" s="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</row>
    <row r="204" spans="1:47" x14ac:dyDescent="0.25">
      <c r="A204" s="16"/>
      <c r="B204" s="16"/>
      <c r="C204" s="16"/>
      <c r="D204" s="16"/>
      <c r="E204" s="16"/>
      <c r="F204" s="16"/>
      <c r="G204" s="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</row>
    <row r="205" spans="1:47" x14ac:dyDescent="0.25">
      <c r="A205" s="16"/>
      <c r="B205" s="16"/>
      <c r="C205" s="16"/>
      <c r="D205" s="16"/>
      <c r="E205" s="16"/>
      <c r="F205" s="16"/>
      <c r="G205" s="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</row>
    <row r="206" spans="1:47" x14ac:dyDescent="0.25">
      <c r="A206" s="16"/>
      <c r="B206" s="16"/>
      <c r="C206" s="16"/>
      <c r="D206" s="16"/>
      <c r="E206" s="16"/>
      <c r="F206" s="16"/>
      <c r="G206" s="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</row>
    <row r="207" spans="1:47" x14ac:dyDescent="0.25">
      <c r="A207" s="16"/>
      <c r="B207" s="16"/>
      <c r="C207" s="16"/>
      <c r="D207" s="16"/>
      <c r="E207" s="16"/>
      <c r="F207" s="16"/>
      <c r="G207" s="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</row>
    <row r="208" spans="1:47" x14ac:dyDescent="0.25">
      <c r="A208" s="16"/>
      <c r="B208" s="16"/>
      <c r="C208" s="16"/>
      <c r="D208" s="16"/>
      <c r="E208" s="16"/>
      <c r="F208" s="16"/>
      <c r="G208" s="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</row>
    <row r="209" spans="1:47" x14ac:dyDescent="0.25">
      <c r="A209" s="16"/>
      <c r="B209" s="16"/>
      <c r="C209" s="16"/>
      <c r="D209" s="16"/>
      <c r="E209" s="16"/>
      <c r="F209" s="16"/>
      <c r="G209" s="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</row>
    <row r="210" spans="1:47" x14ac:dyDescent="0.25">
      <c r="A210" s="16"/>
      <c r="B210" s="16"/>
      <c r="C210" s="16"/>
      <c r="D210" s="16"/>
      <c r="E210" s="16"/>
      <c r="F210" s="16"/>
      <c r="G210" s="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</row>
    <row r="211" spans="1:47" x14ac:dyDescent="0.25">
      <c r="A211" s="16"/>
      <c r="B211" s="16"/>
      <c r="C211" s="16"/>
      <c r="D211" s="16"/>
      <c r="E211" s="16"/>
      <c r="F211" s="16"/>
      <c r="G211" s="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</row>
    <row r="212" spans="1:47" x14ac:dyDescent="0.25">
      <c r="A212" s="16"/>
      <c r="B212" s="16"/>
      <c r="C212" s="16"/>
      <c r="D212" s="16"/>
      <c r="E212" s="16"/>
      <c r="F212" s="16"/>
      <c r="G212" s="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</row>
    <row r="213" spans="1:47" x14ac:dyDescent="0.25">
      <c r="A213" s="16"/>
      <c r="B213" s="16"/>
      <c r="C213" s="16"/>
      <c r="D213" s="16"/>
      <c r="E213" s="16"/>
      <c r="F213" s="16"/>
      <c r="G213" s="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</row>
    <row r="214" spans="1:47" x14ac:dyDescent="0.25">
      <c r="A214" s="16"/>
      <c r="B214" s="16"/>
      <c r="C214" s="16"/>
      <c r="D214" s="16"/>
      <c r="E214" s="16"/>
      <c r="F214" s="16"/>
      <c r="G214" s="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</row>
    <row r="215" spans="1:47" x14ac:dyDescent="0.25">
      <c r="A215" s="16"/>
      <c r="B215" s="16"/>
      <c r="C215" s="16"/>
      <c r="D215" s="16"/>
      <c r="E215" s="16"/>
      <c r="F215" s="16"/>
      <c r="G215" s="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</row>
    <row r="216" spans="1:47" x14ac:dyDescent="0.25">
      <c r="A216" s="16"/>
      <c r="B216" s="16"/>
      <c r="C216" s="16"/>
      <c r="D216" s="16"/>
      <c r="E216" s="16"/>
      <c r="F216" s="16"/>
      <c r="G216" s="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</row>
    <row r="217" spans="1:47" x14ac:dyDescent="0.25">
      <c r="A217" s="16"/>
      <c r="B217" s="16"/>
      <c r="C217" s="16"/>
      <c r="D217" s="16"/>
      <c r="E217" s="16"/>
      <c r="F217" s="16"/>
      <c r="G217" s="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</row>
    <row r="218" spans="1:47" x14ac:dyDescent="0.25">
      <c r="A218" s="16"/>
      <c r="B218" s="16"/>
      <c r="C218" s="16"/>
      <c r="D218" s="16"/>
      <c r="E218" s="16"/>
      <c r="F218" s="16"/>
      <c r="G218" s="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</row>
    <row r="219" spans="1:47" x14ac:dyDescent="0.25">
      <c r="A219" s="16"/>
      <c r="B219" s="16"/>
      <c r="C219" s="16"/>
      <c r="D219" s="16"/>
      <c r="E219" s="16"/>
      <c r="F219" s="16"/>
      <c r="G219" s="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</row>
    <row r="220" spans="1:47" x14ac:dyDescent="0.25">
      <c r="A220" s="16"/>
      <c r="B220" s="16"/>
      <c r="C220" s="16"/>
      <c r="D220" s="16"/>
      <c r="E220" s="16"/>
      <c r="F220" s="16"/>
      <c r="G220" s="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</row>
    <row r="221" spans="1:47" x14ac:dyDescent="0.25">
      <c r="A221" s="16"/>
      <c r="B221" s="16"/>
      <c r="C221" s="16"/>
      <c r="D221" s="16"/>
      <c r="E221" s="16"/>
      <c r="F221" s="16"/>
      <c r="G221" s="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</row>
    <row r="222" spans="1:47" x14ac:dyDescent="0.25">
      <c r="A222" s="16"/>
      <c r="B222" s="16"/>
      <c r="C222" s="16"/>
      <c r="D222" s="16"/>
      <c r="E222" s="16"/>
      <c r="F222" s="16"/>
      <c r="G222" s="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</row>
    <row r="223" spans="1:47" x14ac:dyDescent="0.25">
      <c r="A223" s="16"/>
      <c r="B223" s="16"/>
      <c r="C223" s="16"/>
      <c r="D223" s="16"/>
      <c r="E223" s="16"/>
      <c r="F223" s="16"/>
      <c r="G223" s="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</row>
    <row r="224" spans="1:47" x14ac:dyDescent="0.25">
      <c r="A224" s="16"/>
      <c r="B224" s="16"/>
      <c r="C224" s="16"/>
      <c r="D224" s="16"/>
      <c r="E224" s="16"/>
      <c r="F224" s="16"/>
      <c r="G224" s="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</row>
    <row r="225" spans="1:47" x14ac:dyDescent="0.25">
      <c r="A225" s="16"/>
      <c r="B225" s="16"/>
      <c r="C225" s="16"/>
      <c r="D225" s="16"/>
      <c r="E225" s="16"/>
      <c r="F225" s="16"/>
      <c r="G225" s="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</row>
    <row r="226" spans="1:47" x14ac:dyDescent="0.25">
      <c r="A226" s="16"/>
      <c r="B226" s="16"/>
      <c r="C226" s="16"/>
      <c r="D226" s="16"/>
      <c r="E226" s="16"/>
      <c r="F226" s="16"/>
      <c r="G226" s="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</row>
    <row r="227" spans="1:47" x14ac:dyDescent="0.25">
      <c r="A227" s="16"/>
      <c r="B227" s="16"/>
      <c r="C227" s="16"/>
      <c r="D227" s="16"/>
      <c r="E227" s="16"/>
      <c r="F227" s="16"/>
      <c r="G227" s="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</row>
    <row r="228" spans="1:47" x14ac:dyDescent="0.25">
      <c r="A228" s="16"/>
      <c r="B228" s="16"/>
      <c r="C228" s="16"/>
      <c r="D228" s="16"/>
      <c r="E228" s="16"/>
      <c r="F228" s="16"/>
      <c r="G228" s="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</row>
    <row r="229" spans="1:47" x14ac:dyDescent="0.25">
      <c r="A229" s="16"/>
      <c r="B229" s="16"/>
      <c r="C229" s="16"/>
      <c r="D229" s="16"/>
      <c r="E229" s="16"/>
      <c r="F229" s="16"/>
      <c r="G229" s="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</row>
    <row r="230" spans="1:47" x14ac:dyDescent="0.25">
      <c r="A230" s="16"/>
      <c r="B230" s="16"/>
      <c r="C230" s="16"/>
      <c r="D230" s="16"/>
      <c r="E230" s="16"/>
      <c r="F230" s="16"/>
      <c r="G230" s="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</row>
    <row r="231" spans="1:47" x14ac:dyDescent="0.25">
      <c r="A231" s="16"/>
      <c r="B231" s="16"/>
      <c r="C231" s="16"/>
      <c r="D231" s="16"/>
      <c r="E231" s="16"/>
      <c r="F231" s="16"/>
      <c r="G231" s="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</row>
    <row r="232" spans="1:47" x14ac:dyDescent="0.25">
      <c r="A232" s="16"/>
      <c r="B232" s="16"/>
      <c r="C232" s="16"/>
      <c r="D232" s="16"/>
      <c r="E232" s="16"/>
      <c r="F232" s="16"/>
      <c r="G232" s="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</row>
    <row r="233" spans="1:47" x14ac:dyDescent="0.25">
      <c r="A233" s="16"/>
      <c r="B233" s="16"/>
      <c r="C233" s="16"/>
      <c r="D233" s="16"/>
      <c r="E233" s="16"/>
      <c r="F233" s="16"/>
      <c r="G233" s="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</row>
    <row r="234" spans="1:47" x14ac:dyDescent="0.25">
      <c r="A234" s="16"/>
      <c r="B234" s="16"/>
      <c r="C234" s="16"/>
      <c r="D234" s="16"/>
      <c r="E234" s="16"/>
      <c r="F234" s="16"/>
      <c r="G234" s="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</row>
    <row r="235" spans="1:47" x14ac:dyDescent="0.25">
      <c r="A235" s="16"/>
      <c r="B235" s="16"/>
      <c r="C235" s="16"/>
      <c r="D235" s="16"/>
      <c r="E235" s="16"/>
      <c r="F235" s="16"/>
      <c r="G235" s="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</row>
    <row r="236" spans="1:47" x14ac:dyDescent="0.25">
      <c r="A236" s="16"/>
      <c r="B236" s="16"/>
      <c r="C236" s="16"/>
      <c r="D236" s="16"/>
      <c r="E236" s="16"/>
      <c r="F236" s="16"/>
      <c r="G236" s="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</row>
    <row r="237" spans="1:47" x14ac:dyDescent="0.25">
      <c r="A237" s="16"/>
      <c r="B237" s="16"/>
      <c r="C237" s="16"/>
      <c r="D237" s="16"/>
      <c r="E237" s="16"/>
      <c r="F237" s="16"/>
      <c r="G237" s="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</row>
    <row r="238" spans="1:47" x14ac:dyDescent="0.25">
      <c r="A238" s="16"/>
      <c r="B238" s="16"/>
      <c r="C238" s="16"/>
      <c r="D238" s="16"/>
      <c r="E238" s="16"/>
      <c r="F238" s="16"/>
      <c r="G238" s="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</row>
    <row r="239" spans="1:47" x14ac:dyDescent="0.25">
      <c r="A239" s="16"/>
      <c r="B239" s="16"/>
      <c r="C239" s="16"/>
      <c r="D239" s="16"/>
      <c r="E239" s="16"/>
      <c r="F239" s="16"/>
      <c r="G239" s="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</row>
    <row r="240" spans="1:47" x14ac:dyDescent="0.25">
      <c r="A240" s="16"/>
      <c r="B240" s="16"/>
      <c r="C240" s="16"/>
      <c r="D240" s="16"/>
      <c r="E240" s="16"/>
      <c r="F240" s="16"/>
      <c r="G240" s="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</row>
    <row r="241" spans="1:47" x14ac:dyDescent="0.25">
      <c r="A241" s="16"/>
      <c r="B241" s="16"/>
      <c r="C241" s="16"/>
      <c r="D241" s="16"/>
      <c r="E241" s="16"/>
      <c r="F241" s="16"/>
      <c r="G241" s="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</row>
    <row r="242" spans="1:47" x14ac:dyDescent="0.25">
      <c r="A242" s="16"/>
      <c r="B242" s="16"/>
      <c r="C242" s="16"/>
      <c r="D242" s="16"/>
      <c r="E242" s="16"/>
      <c r="F242" s="16"/>
      <c r="G242" s="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</row>
    <row r="243" spans="1:47" x14ac:dyDescent="0.25">
      <c r="A243" s="16"/>
      <c r="B243" s="16"/>
      <c r="C243" s="16"/>
      <c r="D243" s="16"/>
      <c r="E243" s="16"/>
      <c r="F243" s="16"/>
      <c r="G243" s="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</row>
    <row r="244" spans="1:47" x14ac:dyDescent="0.25">
      <c r="A244" s="16"/>
      <c r="B244" s="16"/>
      <c r="C244" s="16"/>
      <c r="D244" s="16"/>
      <c r="E244" s="16"/>
      <c r="F244" s="16"/>
      <c r="G244" s="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</row>
    <row r="245" spans="1:47" x14ac:dyDescent="0.25">
      <c r="A245" s="16"/>
      <c r="B245" s="16"/>
      <c r="C245" s="16"/>
      <c r="D245" s="16"/>
      <c r="E245" s="16"/>
      <c r="F245" s="16"/>
      <c r="G245" s="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</row>
    <row r="246" spans="1:47" x14ac:dyDescent="0.25">
      <c r="A246" s="16"/>
      <c r="B246" s="16"/>
      <c r="C246" s="16"/>
      <c r="D246" s="16"/>
      <c r="E246" s="16"/>
      <c r="F246" s="16"/>
      <c r="G246" s="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</row>
    <row r="247" spans="1:47" x14ac:dyDescent="0.25">
      <c r="A247" s="16"/>
      <c r="B247" s="16"/>
      <c r="C247" s="16"/>
      <c r="D247" s="16"/>
      <c r="E247" s="16"/>
      <c r="F247" s="16"/>
      <c r="G247" s="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</row>
    <row r="248" spans="1:47" x14ac:dyDescent="0.25">
      <c r="A248" s="16"/>
      <c r="B248" s="16"/>
      <c r="C248" s="16"/>
      <c r="D248" s="16"/>
      <c r="E248" s="16"/>
      <c r="F248" s="16"/>
      <c r="G248" s="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</row>
    <row r="249" spans="1:47" x14ac:dyDescent="0.25">
      <c r="A249" s="16"/>
      <c r="B249" s="16"/>
      <c r="C249" s="16"/>
      <c r="D249" s="16"/>
      <c r="E249" s="16"/>
      <c r="F249" s="16"/>
      <c r="G249" s="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</row>
    <row r="250" spans="1:47" x14ac:dyDescent="0.25">
      <c r="A250" s="16"/>
      <c r="B250" s="16"/>
      <c r="C250" s="16"/>
      <c r="D250" s="16"/>
      <c r="E250" s="16"/>
      <c r="F250" s="16"/>
      <c r="G250" s="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</row>
    <row r="251" spans="1:47" x14ac:dyDescent="0.25">
      <c r="A251" s="16"/>
      <c r="B251" s="16"/>
      <c r="C251" s="16"/>
      <c r="D251" s="16"/>
      <c r="E251" s="16"/>
      <c r="F251" s="16"/>
      <c r="G251" s="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</row>
    <row r="252" spans="1:47" x14ac:dyDescent="0.25">
      <c r="A252" s="16"/>
      <c r="B252" s="16"/>
      <c r="C252" s="16"/>
      <c r="D252" s="16"/>
      <c r="E252" s="16"/>
      <c r="F252" s="16"/>
      <c r="G252" s="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</row>
    <row r="253" spans="1:47" x14ac:dyDescent="0.25">
      <c r="A253" s="16"/>
      <c r="B253" s="16"/>
      <c r="C253" s="16"/>
      <c r="D253" s="16"/>
      <c r="E253" s="16"/>
      <c r="F253" s="16"/>
      <c r="G253" s="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</row>
    <row r="254" spans="1:47" x14ac:dyDescent="0.25">
      <c r="A254" s="16"/>
      <c r="B254" s="16"/>
      <c r="C254" s="16"/>
      <c r="D254" s="16"/>
      <c r="E254" s="16"/>
      <c r="F254" s="16"/>
      <c r="G254" s="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</row>
    <row r="255" spans="1:47" x14ac:dyDescent="0.25">
      <c r="A255" s="16"/>
      <c r="B255" s="16"/>
      <c r="C255" s="16"/>
      <c r="D255" s="16"/>
      <c r="E255" s="16"/>
      <c r="F255" s="16"/>
      <c r="G255" s="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</row>
    <row r="256" spans="1:47" x14ac:dyDescent="0.25">
      <c r="A256" s="16"/>
      <c r="B256" s="16"/>
      <c r="C256" s="16"/>
      <c r="D256" s="16"/>
      <c r="E256" s="16"/>
      <c r="F256" s="16"/>
      <c r="G256" s="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</row>
    <row r="257" spans="1:47" x14ac:dyDescent="0.25">
      <c r="A257" s="16"/>
      <c r="B257" s="16"/>
      <c r="C257" s="16"/>
      <c r="D257" s="16"/>
      <c r="E257" s="16"/>
      <c r="F257" s="16"/>
      <c r="G257" s="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</row>
    <row r="258" spans="1:47" x14ac:dyDescent="0.25">
      <c r="A258" s="16"/>
      <c r="B258" s="16"/>
      <c r="C258" s="16"/>
      <c r="D258" s="16"/>
      <c r="E258" s="16"/>
      <c r="F258" s="16"/>
      <c r="G258" s="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</row>
    <row r="259" spans="1:47" x14ac:dyDescent="0.25">
      <c r="A259" s="16"/>
      <c r="B259" s="16"/>
      <c r="C259" s="16"/>
      <c r="D259" s="16"/>
      <c r="E259" s="16"/>
      <c r="F259" s="16"/>
      <c r="G259" s="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</row>
    <row r="260" spans="1:47" x14ac:dyDescent="0.25">
      <c r="A260" s="16"/>
      <c r="B260" s="16"/>
      <c r="C260" s="16"/>
      <c r="D260" s="16"/>
      <c r="E260" s="16"/>
      <c r="F260" s="16"/>
      <c r="G260" s="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</row>
    <row r="261" spans="1:47" x14ac:dyDescent="0.25">
      <c r="A261" s="16"/>
      <c r="B261" s="16"/>
      <c r="C261" s="16"/>
      <c r="D261" s="16"/>
      <c r="E261" s="16"/>
      <c r="F261" s="16"/>
      <c r="G261" s="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</row>
    <row r="262" spans="1:47" x14ac:dyDescent="0.25">
      <c r="A262" s="16"/>
      <c r="B262" s="16"/>
      <c r="C262" s="16"/>
      <c r="D262" s="16"/>
      <c r="E262" s="16"/>
      <c r="F262" s="16"/>
      <c r="G262" s="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</row>
    <row r="263" spans="1:47" x14ac:dyDescent="0.25">
      <c r="A263" s="16"/>
      <c r="B263" s="16"/>
      <c r="C263" s="16"/>
      <c r="D263" s="16"/>
      <c r="E263" s="16"/>
      <c r="F263" s="16"/>
      <c r="G263" s="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</row>
    <row r="264" spans="1:47" x14ac:dyDescent="0.25">
      <c r="A264" s="16"/>
      <c r="B264" s="16"/>
      <c r="C264" s="16"/>
      <c r="D264" s="16"/>
      <c r="E264" s="16"/>
      <c r="F264" s="16"/>
      <c r="G264" s="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</row>
    <row r="265" spans="1:47" x14ac:dyDescent="0.25">
      <c r="A265" s="16"/>
      <c r="B265" s="16"/>
      <c r="C265" s="16"/>
      <c r="D265" s="16"/>
      <c r="E265" s="16"/>
      <c r="F265" s="16"/>
      <c r="G265" s="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</row>
    <row r="266" spans="1:47" x14ac:dyDescent="0.25">
      <c r="A266" s="16"/>
      <c r="B266" s="16"/>
      <c r="C266" s="16"/>
      <c r="D266" s="16"/>
      <c r="E266" s="16"/>
      <c r="F266" s="16"/>
      <c r="G266" s="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</row>
    <row r="267" spans="1:47" x14ac:dyDescent="0.25">
      <c r="A267" s="16"/>
      <c r="B267" s="16"/>
      <c r="C267" s="16"/>
      <c r="D267" s="16"/>
      <c r="E267" s="16"/>
      <c r="F267" s="16"/>
      <c r="G267" s="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</row>
    <row r="268" spans="1:47" x14ac:dyDescent="0.25">
      <c r="A268" s="16"/>
      <c r="B268" s="16"/>
      <c r="C268" s="16"/>
      <c r="D268" s="16"/>
      <c r="E268" s="16"/>
      <c r="F268" s="16"/>
      <c r="G268" s="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</row>
    <row r="269" spans="1:47" x14ac:dyDescent="0.25">
      <c r="A269" s="16"/>
      <c r="B269" s="16"/>
      <c r="C269" s="16"/>
      <c r="D269" s="16"/>
      <c r="E269" s="16"/>
      <c r="F269" s="16"/>
      <c r="G269" s="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</row>
    <row r="270" spans="1:47" x14ac:dyDescent="0.25">
      <c r="A270" s="16"/>
      <c r="B270" s="16"/>
      <c r="C270" s="16"/>
      <c r="D270" s="16"/>
      <c r="E270" s="16"/>
      <c r="F270" s="16"/>
      <c r="G270" s="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</row>
    <row r="271" spans="1:47" x14ac:dyDescent="0.25">
      <c r="A271" s="16"/>
      <c r="B271" s="16"/>
      <c r="C271" s="16"/>
      <c r="D271" s="16"/>
      <c r="E271" s="16"/>
      <c r="F271" s="16"/>
      <c r="G271" s="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</row>
    <row r="272" spans="1:47" x14ac:dyDescent="0.25">
      <c r="A272" s="16"/>
      <c r="B272" s="16"/>
      <c r="C272" s="16"/>
      <c r="D272" s="16"/>
      <c r="E272" s="16"/>
      <c r="F272" s="16"/>
      <c r="G272" s="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</row>
    <row r="273" spans="1:47" x14ac:dyDescent="0.25">
      <c r="A273" s="16"/>
      <c r="B273" s="16"/>
      <c r="C273" s="16"/>
      <c r="D273" s="16"/>
      <c r="E273" s="16"/>
      <c r="F273" s="16"/>
      <c r="G273" s="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</row>
    <row r="274" spans="1:47" x14ac:dyDescent="0.25">
      <c r="A274" s="16"/>
      <c r="B274" s="16"/>
      <c r="C274" s="16"/>
      <c r="D274" s="16"/>
      <c r="E274" s="16"/>
      <c r="F274" s="16"/>
      <c r="G274" s="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</row>
    <row r="275" spans="1:47" x14ac:dyDescent="0.25">
      <c r="A275" s="16"/>
      <c r="B275" s="16"/>
      <c r="C275" s="16"/>
      <c r="D275" s="16"/>
      <c r="E275" s="16"/>
      <c r="F275" s="16"/>
      <c r="G275" s="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</row>
    <row r="276" spans="1:47" x14ac:dyDescent="0.25">
      <c r="A276" s="16"/>
      <c r="B276" s="16"/>
      <c r="C276" s="16"/>
      <c r="D276" s="16"/>
      <c r="E276" s="16"/>
      <c r="F276" s="16"/>
      <c r="G276" s="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</row>
    <row r="277" spans="1:47" x14ac:dyDescent="0.25">
      <c r="A277" s="16"/>
      <c r="B277" s="16"/>
      <c r="C277" s="16"/>
      <c r="D277" s="16"/>
      <c r="E277" s="16"/>
      <c r="F277" s="16"/>
      <c r="G277" s="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</row>
    <row r="278" spans="1:47" x14ac:dyDescent="0.25">
      <c r="A278" s="16"/>
      <c r="B278" s="16"/>
      <c r="C278" s="16"/>
      <c r="D278" s="16"/>
      <c r="E278" s="16"/>
      <c r="F278" s="16"/>
      <c r="G278" s="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</row>
    <row r="279" spans="1:47" x14ac:dyDescent="0.25">
      <c r="A279" s="16"/>
      <c r="B279" s="16"/>
      <c r="C279" s="16"/>
      <c r="D279" s="16"/>
      <c r="E279" s="16"/>
      <c r="F279" s="16"/>
      <c r="G279" s="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</row>
    <row r="280" spans="1:47" x14ac:dyDescent="0.25">
      <c r="A280" s="16"/>
      <c r="B280" s="16"/>
      <c r="C280" s="16"/>
      <c r="D280" s="16"/>
      <c r="E280" s="16"/>
      <c r="F280" s="16"/>
      <c r="G280" s="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</row>
    <row r="281" spans="1:47" x14ac:dyDescent="0.25">
      <c r="A281" s="16"/>
      <c r="B281" s="16"/>
      <c r="C281" s="16"/>
      <c r="D281" s="16"/>
      <c r="E281" s="16"/>
      <c r="F281" s="16"/>
      <c r="G281" s="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</row>
    <row r="282" spans="1:47" x14ac:dyDescent="0.25">
      <c r="A282" s="16"/>
      <c r="B282" s="16"/>
      <c r="C282" s="16"/>
      <c r="D282" s="16"/>
      <c r="E282" s="16"/>
      <c r="F282" s="16"/>
      <c r="G282" s="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</row>
    <row r="283" spans="1:47" x14ac:dyDescent="0.25">
      <c r="A283" s="16"/>
      <c r="B283" s="16"/>
      <c r="C283" s="16"/>
      <c r="D283" s="16"/>
      <c r="E283" s="16"/>
      <c r="F283" s="16"/>
      <c r="G283" s="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</row>
    <row r="284" spans="1:47" x14ac:dyDescent="0.25">
      <c r="A284" s="16"/>
      <c r="B284" s="16"/>
      <c r="C284" s="16"/>
      <c r="D284" s="16"/>
      <c r="E284" s="16"/>
      <c r="F284" s="16"/>
      <c r="G284" s="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</row>
    <row r="285" spans="1:47" x14ac:dyDescent="0.25">
      <c r="A285" s="16"/>
      <c r="B285" s="16"/>
      <c r="C285" s="16"/>
      <c r="D285" s="16"/>
      <c r="E285" s="16"/>
      <c r="F285" s="16"/>
      <c r="G285" s="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</row>
    <row r="286" spans="1:47" x14ac:dyDescent="0.25">
      <c r="A286" s="16"/>
      <c r="B286" s="16"/>
      <c r="C286" s="16"/>
      <c r="D286" s="16"/>
      <c r="E286" s="16"/>
      <c r="F286" s="16"/>
      <c r="G286" s="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</row>
    <row r="287" spans="1:47" x14ac:dyDescent="0.25">
      <c r="A287" s="16"/>
      <c r="B287" s="16"/>
      <c r="C287" s="16"/>
      <c r="D287" s="16"/>
      <c r="E287" s="16"/>
      <c r="F287" s="16"/>
      <c r="G287" s="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</row>
    <row r="288" spans="1:47" x14ac:dyDescent="0.25">
      <c r="A288" s="16"/>
      <c r="B288" s="16"/>
      <c r="C288" s="16"/>
      <c r="D288" s="16"/>
      <c r="E288" s="16"/>
      <c r="F288" s="16"/>
      <c r="G288" s="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</row>
    <row r="289" spans="1:47" x14ac:dyDescent="0.25">
      <c r="A289" s="16"/>
      <c r="B289" s="16"/>
      <c r="C289" s="16"/>
      <c r="D289" s="16"/>
      <c r="E289" s="16"/>
      <c r="F289" s="16"/>
      <c r="G289" s="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</row>
    <row r="290" spans="1:47" x14ac:dyDescent="0.25">
      <c r="A290" s="16"/>
      <c r="B290" s="16"/>
      <c r="C290" s="16"/>
      <c r="D290" s="16"/>
      <c r="E290" s="16"/>
      <c r="F290" s="16"/>
      <c r="G290" s="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</row>
    <row r="291" spans="1:47" x14ac:dyDescent="0.25">
      <c r="A291" s="16"/>
      <c r="B291" s="16"/>
      <c r="C291" s="16"/>
      <c r="D291" s="16"/>
      <c r="E291" s="16"/>
      <c r="F291" s="16"/>
      <c r="G291" s="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</row>
    <row r="292" spans="1:47" x14ac:dyDescent="0.25">
      <c r="A292" s="16"/>
      <c r="B292" s="16"/>
      <c r="C292" s="16"/>
      <c r="D292" s="16"/>
      <c r="E292" s="16"/>
      <c r="F292" s="16"/>
      <c r="G292" s="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</row>
    <row r="293" spans="1:47" x14ac:dyDescent="0.25">
      <c r="A293" s="16"/>
      <c r="B293" s="16"/>
      <c r="C293" s="16"/>
      <c r="D293" s="16"/>
      <c r="E293" s="16"/>
      <c r="F293" s="16"/>
      <c r="G293" s="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</row>
    <row r="294" spans="1:47" x14ac:dyDescent="0.25">
      <c r="A294" s="16"/>
      <c r="B294" s="16"/>
      <c r="C294" s="16"/>
      <c r="D294" s="16"/>
      <c r="E294" s="16"/>
      <c r="F294" s="16"/>
      <c r="G294" s="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</row>
    <row r="295" spans="1:47" x14ac:dyDescent="0.25">
      <c r="A295" s="16"/>
      <c r="B295" s="16"/>
      <c r="C295" s="16"/>
      <c r="D295" s="16"/>
      <c r="E295" s="16"/>
      <c r="F295" s="16"/>
      <c r="G295" s="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</row>
    <row r="296" spans="1:47" x14ac:dyDescent="0.25">
      <c r="A296" s="16"/>
      <c r="B296" s="16"/>
      <c r="C296" s="16"/>
      <c r="D296" s="16"/>
      <c r="E296" s="16"/>
      <c r="F296" s="16"/>
      <c r="G296" s="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</row>
    <row r="297" spans="1:47" x14ac:dyDescent="0.25">
      <c r="A297" s="16"/>
      <c r="B297" s="16"/>
      <c r="C297" s="16"/>
      <c r="D297" s="16"/>
      <c r="E297" s="16"/>
      <c r="F297" s="16"/>
      <c r="G297" s="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</row>
    <row r="298" spans="1:47" x14ac:dyDescent="0.25">
      <c r="A298" s="16"/>
      <c r="B298" s="16"/>
      <c r="C298" s="16"/>
      <c r="D298" s="16"/>
      <c r="E298" s="16"/>
      <c r="F298" s="16"/>
      <c r="G298" s="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</row>
    <row r="299" spans="1:47" x14ac:dyDescent="0.25">
      <c r="A299" s="16"/>
      <c r="B299" s="16"/>
      <c r="C299" s="16"/>
      <c r="D299" s="16"/>
      <c r="E299" s="16"/>
      <c r="F299" s="16"/>
      <c r="G299" s="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</row>
    <row r="300" spans="1:47" x14ac:dyDescent="0.25">
      <c r="A300" s="16"/>
      <c r="B300" s="16"/>
      <c r="C300" s="16"/>
      <c r="D300" s="16"/>
      <c r="E300" s="16"/>
      <c r="F300" s="16"/>
      <c r="G300" s="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</row>
    <row r="301" spans="1:47" x14ac:dyDescent="0.25">
      <c r="A301" s="16"/>
      <c r="B301" s="16"/>
      <c r="C301" s="16"/>
      <c r="D301" s="16"/>
      <c r="E301" s="16"/>
      <c r="F301" s="16"/>
      <c r="G301" s="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</row>
    <row r="302" spans="1:47" x14ac:dyDescent="0.25">
      <c r="A302" s="16"/>
      <c r="B302" s="16"/>
      <c r="C302" s="16"/>
      <c r="D302" s="16"/>
      <c r="E302" s="16"/>
      <c r="F302" s="16"/>
      <c r="G302" s="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</row>
    <row r="303" spans="1:47" x14ac:dyDescent="0.25">
      <c r="A303" s="16"/>
      <c r="B303" s="16"/>
      <c r="C303" s="16"/>
      <c r="D303" s="16"/>
      <c r="E303" s="16"/>
      <c r="F303" s="16"/>
      <c r="G303" s="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</row>
    <row r="304" spans="1:47" x14ac:dyDescent="0.25">
      <c r="A304" s="16"/>
      <c r="B304" s="16"/>
      <c r="C304" s="16"/>
      <c r="D304" s="16"/>
      <c r="E304" s="16"/>
      <c r="F304" s="16"/>
      <c r="G304" s="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</row>
    <row r="305" spans="1:47" x14ac:dyDescent="0.25">
      <c r="A305" s="16"/>
      <c r="B305" s="16"/>
      <c r="C305" s="16"/>
      <c r="D305" s="16"/>
      <c r="E305" s="16"/>
      <c r="F305" s="16"/>
      <c r="G305" s="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</row>
    <row r="306" spans="1:47" x14ac:dyDescent="0.25">
      <c r="A306" s="16"/>
      <c r="B306" s="16"/>
      <c r="C306" s="16"/>
      <c r="D306" s="16"/>
      <c r="E306" s="16"/>
      <c r="F306" s="16"/>
      <c r="G306" s="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</row>
    <row r="307" spans="1:47" x14ac:dyDescent="0.25">
      <c r="A307" s="16"/>
      <c r="B307" s="16"/>
      <c r="C307" s="16"/>
      <c r="D307" s="16"/>
      <c r="E307" s="16"/>
      <c r="F307" s="16"/>
      <c r="G307" s="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</row>
    <row r="308" spans="1:47" x14ac:dyDescent="0.25">
      <c r="A308" s="16"/>
      <c r="B308" s="16"/>
      <c r="C308" s="16"/>
      <c r="D308" s="16"/>
      <c r="E308" s="16"/>
      <c r="F308" s="16"/>
      <c r="G308" s="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</row>
    <row r="309" spans="1:47" x14ac:dyDescent="0.25">
      <c r="A309" s="16"/>
      <c r="B309" s="16"/>
      <c r="C309" s="16"/>
      <c r="D309" s="16"/>
      <c r="E309" s="16"/>
      <c r="F309" s="16"/>
      <c r="G309" s="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</row>
    <row r="310" spans="1:47" x14ac:dyDescent="0.25">
      <c r="A310" s="16"/>
      <c r="B310" s="16"/>
      <c r="C310" s="16"/>
      <c r="D310" s="16"/>
      <c r="E310" s="16"/>
      <c r="F310" s="16"/>
      <c r="G310" s="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</row>
    <row r="311" spans="1:47" x14ac:dyDescent="0.25">
      <c r="A311" s="16"/>
      <c r="B311" s="16"/>
      <c r="C311" s="16"/>
      <c r="D311" s="16"/>
      <c r="E311" s="16"/>
      <c r="F311" s="16"/>
      <c r="G311" s="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</row>
    <row r="312" spans="1:47" x14ac:dyDescent="0.25">
      <c r="A312" s="16"/>
      <c r="B312" s="16"/>
      <c r="C312" s="16"/>
      <c r="D312" s="16"/>
      <c r="E312" s="16"/>
      <c r="F312" s="16"/>
      <c r="G312" s="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</row>
    <row r="313" spans="1:47" x14ac:dyDescent="0.25">
      <c r="A313" s="16"/>
      <c r="B313" s="16"/>
      <c r="C313" s="16"/>
      <c r="D313" s="16"/>
      <c r="E313" s="16"/>
      <c r="F313" s="16"/>
      <c r="G313" s="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</row>
    <row r="314" spans="1:47" x14ac:dyDescent="0.25">
      <c r="A314" s="16"/>
      <c r="B314" s="16"/>
      <c r="C314" s="16"/>
      <c r="D314" s="16"/>
      <c r="E314" s="16"/>
      <c r="F314" s="16"/>
      <c r="G314" s="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</row>
    <row r="315" spans="1:47" x14ac:dyDescent="0.25">
      <c r="A315" s="16"/>
      <c r="B315" s="16"/>
      <c r="C315" s="16"/>
      <c r="D315" s="16"/>
      <c r="E315" s="16"/>
      <c r="F315" s="16"/>
      <c r="G315" s="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</row>
    <row r="316" spans="1:47" x14ac:dyDescent="0.25">
      <c r="A316" s="16"/>
      <c r="B316" s="16"/>
      <c r="C316" s="16"/>
      <c r="D316" s="16"/>
      <c r="E316" s="16"/>
      <c r="F316" s="16"/>
      <c r="G316" s="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</row>
    <row r="317" spans="1:47" x14ac:dyDescent="0.25">
      <c r="A317" s="16"/>
      <c r="B317" s="16"/>
      <c r="C317" s="16"/>
      <c r="D317" s="16"/>
      <c r="E317" s="16"/>
      <c r="F317" s="16"/>
      <c r="G317" s="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</row>
    <row r="318" spans="1:47" x14ac:dyDescent="0.25">
      <c r="A318" s="16"/>
      <c r="B318" s="16"/>
      <c r="C318" s="16"/>
      <c r="D318" s="16"/>
      <c r="E318" s="16"/>
      <c r="F318" s="16"/>
      <c r="G318" s="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</row>
    <row r="319" spans="1:47" x14ac:dyDescent="0.25">
      <c r="A319" s="16"/>
      <c r="B319" s="16"/>
      <c r="C319" s="16"/>
      <c r="D319" s="16"/>
      <c r="E319" s="16"/>
      <c r="F319" s="16"/>
      <c r="G319" s="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</row>
    <row r="320" spans="1:47" x14ac:dyDescent="0.25">
      <c r="A320" s="16"/>
      <c r="B320" s="16"/>
      <c r="C320" s="16"/>
      <c r="D320" s="16"/>
      <c r="E320" s="16"/>
      <c r="F320" s="16"/>
      <c r="G320" s="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</row>
    <row r="321" spans="1:47" x14ac:dyDescent="0.25">
      <c r="A321" s="16"/>
      <c r="B321" s="16"/>
      <c r="C321" s="16"/>
      <c r="D321" s="16"/>
      <c r="E321" s="16"/>
      <c r="F321" s="16"/>
      <c r="G321" s="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</row>
    <row r="322" spans="1:47" x14ac:dyDescent="0.25">
      <c r="A322" s="16"/>
      <c r="B322" s="16"/>
      <c r="C322" s="16"/>
      <c r="D322" s="16"/>
      <c r="E322" s="16"/>
      <c r="F322" s="16"/>
      <c r="G322" s="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</row>
    <row r="323" spans="1:47" x14ac:dyDescent="0.25">
      <c r="A323" s="16"/>
      <c r="B323" s="16"/>
      <c r="C323" s="16"/>
      <c r="D323" s="16"/>
      <c r="E323" s="16"/>
      <c r="F323" s="16"/>
      <c r="G323" s="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</row>
    <row r="324" spans="1:47" x14ac:dyDescent="0.25">
      <c r="A324" s="16"/>
      <c r="B324" s="16"/>
      <c r="C324" s="16"/>
      <c r="D324" s="16"/>
      <c r="E324" s="16"/>
      <c r="F324" s="16"/>
      <c r="G324" s="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</row>
    <row r="325" spans="1:47" x14ac:dyDescent="0.25">
      <c r="A325" s="16"/>
      <c r="B325" s="16"/>
      <c r="C325" s="16"/>
      <c r="D325" s="16"/>
      <c r="E325" s="16"/>
      <c r="F325" s="16"/>
      <c r="G325" s="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</row>
    <row r="326" spans="1:47" x14ac:dyDescent="0.25">
      <c r="A326" s="16"/>
      <c r="B326" s="16"/>
      <c r="C326" s="16"/>
      <c r="D326" s="16"/>
      <c r="E326" s="16"/>
      <c r="F326" s="16"/>
      <c r="G326" s="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</row>
    <row r="327" spans="1:47" x14ac:dyDescent="0.25">
      <c r="A327" s="16"/>
      <c r="B327" s="16"/>
      <c r="C327" s="16"/>
      <c r="D327" s="16"/>
      <c r="E327" s="16"/>
      <c r="F327" s="16"/>
      <c r="G327" s="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</row>
    <row r="328" spans="1:47" x14ac:dyDescent="0.25">
      <c r="A328" s="16"/>
      <c r="B328" s="16"/>
      <c r="C328" s="16"/>
      <c r="D328" s="16"/>
      <c r="E328" s="16"/>
      <c r="F328" s="16"/>
      <c r="G328" s="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</row>
    <row r="329" spans="1:47" x14ac:dyDescent="0.25">
      <c r="A329" s="16"/>
      <c r="B329" s="16"/>
      <c r="C329" s="16"/>
      <c r="D329" s="16"/>
      <c r="E329" s="16"/>
      <c r="F329" s="16"/>
      <c r="G329" s="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</row>
    <row r="330" spans="1:47" x14ac:dyDescent="0.25">
      <c r="A330" s="16"/>
      <c r="B330" s="16"/>
      <c r="C330" s="16"/>
      <c r="D330" s="16"/>
      <c r="E330" s="16"/>
      <c r="F330" s="16"/>
      <c r="G330" s="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</row>
    <row r="331" spans="1:47" x14ac:dyDescent="0.25">
      <c r="A331" s="16"/>
      <c r="B331" s="16"/>
      <c r="C331" s="16"/>
      <c r="D331" s="16"/>
      <c r="E331" s="16"/>
      <c r="F331" s="16"/>
      <c r="G331" s="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</row>
    <row r="332" spans="1:47" x14ac:dyDescent="0.25">
      <c r="A332" s="16"/>
      <c r="B332" s="16"/>
      <c r="C332" s="16"/>
      <c r="D332" s="16"/>
      <c r="E332" s="16"/>
      <c r="F332" s="16"/>
      <c r="G332" s="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</row>
    <row r="333" spans="1:47" x14ac:dyDescent="0.25">
      <c r="A333" s="16"/>
      <c r="B333" s="16"/>
      <c r="C333" s="16"/>
      <c r="D333" s="16"/>
      <c r="E333" s="16"/>
      <c r="F333" s="16"/>
      <c r="G333" s="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</row>
    <row r="334" spans="1:47" x14ac:dyDescent="0.25">
      <c r="A334" s="16"/>
      <c r="B334" s="16"/>
      <c r="C334" s="16"/>
      <c r="D334" s="16"/>
      <c r="E334" s="16"/>
      <c r="F334" s="16"/>
      <c r="G334" s="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</row>
    <row r="335" spans="1:47" x14ac:dyDescent="0.25">
      <c r="A335" s="16"/>
      <c r="B335" s="16"/>
      <c r="C335" s="16"/>
      <c r="D335" s="16"/>
      <c r="E335" s="16"/>
      <c r="F335" s="16"/>
      <c r="G335" s="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</row>
    <row r="336" spans="1:47" x14ac:dyDescent="0.25">
      <c r="A336" s="16"/>
      <c r="B336" s="16"/>
      <c r="C336" s="16"/>
      <c r="D336" s="16"/>
      <c r="E336" s="16"/>
      <c r="F336" s="16"/>
      <c r="G336" s="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</row>
    <row r="337" spans="1:47" x14ac:dyDescent="0.25">
      <c r="A337" s="16"/>
      <c r="B337" s="16"/>
      <c r="C337" s="16"/>
      <c r="D337" s="16"/>
      <c r="E337" s="16"/>
      <c r="F337" s="16"/>
      <c r="G337" s="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</row>
    <row r="338" spans="1:47" x14ac:dyDescent="0.25">
      <c r="A338" s="16"/>
      <c r="B338" s="16"/>
      <c r="C338" s="16"/>
      <c r="D338" s="16"/>
      <c r="E338" s="16"/>
      <c r="F338" s="16"/>
      <c r="G338" s="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</row>
    <row r="339" spans="1:47" x14ac:dyDescent="0.25">
      <c r="A339" s="16"/>
      <c r="B339" s="16"/>
      <c r="C339" s="16"/>
      <c r="D339" s="16"/>
      <c r="E339" s="16"/>
      <c r="F339" s="16"/>
      <c r="G339" s="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</row>
    <row r="340" spans="1:47" x14ac:dyDescent="0.25">
      <c r="A340" s="16"/>
      <c r="B340" s="16"/>
      <c r="C340" s="16"/>
      <c r="D340" s="16"/>
      <c r="E340" s="16"/>
      <c r="F340" s="16"/>
      <c r="G340" s="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</row>
    <row r="341" spans="1:47" x14ac:dyDescent="0.25">
      <c r="A341" s="16"/>
      <c r="B341" s="16"/>
      <c r="C341" s="16"/>
      <c r="D341" s="16"/>
      <c r="E341" s="16"/>
      <c r="F341" s="16"/>
      <c r="G341" s="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</row>
    <row r="342" spans="1:47" x14ac:dyDescent="0.25">
      <c r="A342" s="16"/>
      <c r="B342" s="16"/>
      <c r="C342" s="16"/>
      <c r="D342" s="16"/>
      <c r="E342" s="16"/>
      <c r="F342" s="16"/>
      <c r="G342" s="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</row>
    <row r="343" spans="1:47" x14ac:dyDescent="0.25">
      <c r="A343" s="16"/>
      <c r="B343" s="16"/>
      <c r="C343" s="16"/>
      <c r="D343" s="16"/>
      <c r="E343" s="16"/>
      <c r="F343" s="16"/>
      <c r="G343" s="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</row>
    <row r="344" spans="1:47" x14ac:dyDescent="0.25">
      <c r="A344" s="16"/>
      <c r="B344" s="16"/>
      <c r="C344" s="16"/>
      <c r="D344" s="16"/>
      <c r="E344" s="16"/>
      <c r="F344" s="16"/>
      <c r="G344" s="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</row>
    <row r="345" spans="1:47" x14ac:dyDescent="0.25">
      <c r="A345" s="16"/>
      <c r="B345" s="16"/>
      <c r="C345" s="16"/>
      <c r="D345" s="16"/>
      <c r="E345" s="16"/>
      <c r="F345" s="16"/>
      <c r="G345" s="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</row>
    <row r="346" spans="1:47" x14ac:dyDescent="0.25">
      <c r="A346" s="16"/>
      <c r="B346" s="16"/>
      <c r="C346" s="16"/>
      <c r="D346" s="16"/>
      <c r="E346" s="16"/>
      <c r="F346" s="16"/>
      <c r="G346" s="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</row>
    <row r="347" spans="1:47" x14ac:dyDescent="0.25">
      <c r="A347" s="16"/>
      <c r="B347" s="16"/>
      <c r="C347" s="16"/>
      <c r="D347" s="16"/>
      <c r="E347" s="16"/>
      <c r="F347" s="16"/>
      <c r="G347" s="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</row>
    <row r="348" spans="1:47" x14ac:dyDescent="0.25">
      <c r="A348" s="16"/>
      <c r="B348" s="16"/>
      <c r="C348" s="16"/>
      <c r="D348" s="16"/>
      <c r="E348" s="16"/>
      <c r="F348" s="16"/>
      <c r="G348" s="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</row>
    <row r="349" spans="1:47" x14ac:dyDescent="0.25">
      <c r="A349" s="16"/>
      <c r="B349" s="16"/>
      <c r="C349" s="16"/>
      <c r="D349" s="16"/>
      <c r="E349" s="16"/>
      <c r="F349" s="16"/>
      <c r="G349" s="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</row>
    <row r="350" spans="1:47" x14ac:dyDescent="0.25">
      <c r="A350" s="16"/>
      <c r="B350" s="16"/>
      <c r="C350" s="16"/>
      <c r="D350" s="16"/>
      <c r="E350" s="16"/>
      <c r="F350" s="16"/>
      <c r="G350" s="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</row>
    <row r="351" spans="1:47" x14ac:dyDescent="0.25">
      <c r="A351" s="16"/>
      <c r="B351" s="16"/>
      <c r="C351" s="16"/>
      <c r="D351" s="16"/>
      <c r="E351" s="16"/>
      <c r="F351" s="16"/>
      <c r="G351" s="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</row>
    <row r="352" spans="1:47" x14ac:dyDescent="0.25">
      <c r="A352" s="16"/>
      <c r="B352" s="16"/>
      <c r="C352" s="16"/>
      <c r="D352" s="16"/>
      <c r="E352" s="16"/>
      <c r="F352" s="16"/>
      <c r="G352" s="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</row>
    <row r="353" spans="1:47" x14ac:dyDescent="0.25">
      <c r="A353" s="16"/>
      <c r="B353" s="16"/>
      <c r="C353" s="16"/>
      <c r="D353" s="16"/>
      <c r="E353" s="16"/>
      <c r="F353" s="16"/>
      <c r="G353" s="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</row>
    <row r="354" spans="1:47" x14ac:dyDescent="0.25">
      <c r="A354" s="16"/>
      <c r="B354" s="16"/>
      <c r="C354" s="16"/>
      <c r="D354" s="16"/>
      <c r="E354" s="16"/>
      <c r="F354" s="16"/>
      <c r="G354" s="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</row>
    <row r="355" spans="1:47" x14ac:dyDescent="0.25">
      <c r="A355" s="16"/>
      <c r="B355" s="16"/>
      <c r="C355" s="16"/>
      <c r="D355" s="16"/>
      <c r="E355" s="16"/>
      <c r="F355" s="16"/>
      <c r="G355" s="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</row>
    <row r="356" spans="1:47" x14ac:dyDescent="0.25">
      <c r="A356" s="16"/>
      <c r="B356" s="16"/>
      <c r="C356" s="16"/>
      <c r="D356" s="16"/>
      <c r="E356" s="16"/>
      <c r="F356" s="16"/>
      <c r="G356" s="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</row>
    <row r="357" spans="1:47" x14ac:dyDescent="0.25">
      <c r="A357" s="16"/>
      <c r="B357" s="16"/>
      <c r="C357" s="16"/>
      <c r="D357" s="16"/>
      <c r="E357" s="16"/>
      <c r="F357" s="16"/>
      <c r="G357" s="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</row>
    <row r="358" spans="1:47" x14ac:dyDescent="0.25">
      <c r="A358" s="16"/>
      <c r="B358" s="16"/>
      <c r="C358" s="16"/>
      <c r="D358" s="16"/>
      <c r="E358" s="16"/>
      <c r="F358" s="16"/>
      <c r="G358" s="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</row>
    <row r="359" spans="1:47" x14ac:dyDescent="0.25">
      <c r="A359" s="16"/>
      <c r="B359" s="16"/>
      <c r="C359" s="16"/>
      <c r="D359" s="16"/>
      <c r="E359" s="16"/>
      <c r="F359" s="16"/>
      <c r="G359" s="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</row>
    <row r="360" spans="1:47" x14ac:dyDescent="0.25">
      <c r="A360" s="16"/>
      <c r="B360" s="16"/>
      <c r="C360" s="16"/>
      <c r="D360" s="16"/>
      <c r="E360" s="16"/>
      <c r="F360" s="16"/>
      <c r="G360" s="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</row>
    <row r="361" spans="1:47" x14ac:dyDescent="0.25">
      <c r="A361" s="16"/>
      <c r="B361" s="16"/>
      <c r="C361" s="16"/>
      <c r="D361" s="16"/>
      <c r="E361" s="16"/>
      <c r="F361" s="16"/>
      <c r="G361" s="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</row>
    <row r="362" spans="1:47" x14ac:dyDescent="0.25">
      <c r="A362" s="16"/>
      <c r="B362" s="16"/>
      <c r="C362" s="16"/>
      <c r="D362" s="16"/>
      <c r="E362" s="16"/>
      <c r="F362" s="16"/>
      <c r="G362" s="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</row>
    <row r="363" spans="1:47" x14ac:dyDescent="0.25">
      <c r="A363" s="16"/>
      <c r="B363" s="16"/>
      <c r="C363" s="16"/>
      <c r="D363" s="16"/>
      <c r="E363" s="16"/>
      <c r="F363" s="16"/>
      <c r="G363" s="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</row>
    <row r="364" spans="1:47" x14ac:dyDescent="0.25">
      <c r="A364" s="16"/>
      <c r="B364" s="16"/>
      <c r="C364" s="16"/>
      <c r="D364" s="16"/>
      <c r="E364" s="16"/>
      <c r="F364" s="16"/>
      <c r="G364" s="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</row>
    <row r="365" spans="1:47" x14ac:dyDescent="0.25">
      <c r="A365" s="16"/>
      <c r="B365" s="16"/>
      <c r="C365" s="16"/>
      <c r="D365" s="16"/>
      <c r="E365" s="16"/>
      <c r="F365" s="16"/>
      <c r="G365" s="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</row>
    <row r="366" spans="1:47" x14ac:dyDescent="0.25">
      <c r="A366" s="16"/>
      <c r="B366" s="16"/>
      <c r="C366" s="16"/>
      <c r="D366" s="16"/>
      <c r="E366" s="16"/>
      <c r="F366" s="16"/>
      <c r="G366" s="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</row>
    <row r="367" spans="1:47" x14ac:dyDescent="0.25">
      <c r="A367" s="16"/>
      <c r="B367" s="16"/>
      <c r="C367" s="16"/>
      <c r="D367" s="16"/>
      <c r="E367" s="16"/>
      <c r="F367" s="16"/>
      <c r="G367" s="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</row>
    <row r="368" spans="1:47" x14ac:dyDescent="0.25">
      <c r="A368" s="16"/>
      <c r="B368" s="16"/>
      <c r="C368" s="16"/>
      <c r="D368" s="16"/>
      <c r="E368" s="16"/>
      <c r="F368" s="16"/>
      <c r="G368" s="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</row>
    <row r="369" spans="1:47" x14ac:dyDescent="0.25">
      <c r="A369" s="16"/>
      <c r="B369" s="16"/>
      <c r="C369" s="16"/>
      <c r="D369" s="16"/>
      <c r="E369" s="16"/>
      <c r="F369" s="16"/>
      <c r="G369" s="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</row>
    <row r="370" spans="1:47" x14ac:dyDescent="0.25">
      <c r="A370" s="16"/>
      <c r="B370" s="16"/>
      <c r="C370" s="16"/>
      <c r="D370" s="16"/>
      <c r="E370" s="16"/>
      <c r="F370" s="16"/>
      <c r="G370" s="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</row>
    <row r="371" spans="1:47" x14ac:dyDescent="0.25">
      <c r="A371" s="16"/>
      <c r="B371" s="16"/>
      <c r="C371" s="16"/>
      <c r="D371" s="16"/>
      <c r="E371" s="16"/>
      <c r="F371" s="16"/>
      <c r="G371" s="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</row>
    <row r="372" spans="1:47" x14ac:dyDescent="0.25">
      <c r="A372" s="16"/>
      <c r="B372" s="16"/>
      <c r="C372" s="16"/>
      <c r="D372" s="16"/>
      <c r="E372" s="16"/>
      <c r="F372" s="16"/>
      <c r="G372" s="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</row>
    <row r="373" spans="1:47" x14ac:dyDescent="0.25">
      <c r="A373" s="16"/>
      <c r="B373" s="16"/>
      <c r="C373" s="16"/>
      <c r="D373" s="16"/>
      <c r="E373" s="16"/>
      <c r="F373" s="16"/>
      <c r="G373" s="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</row>
    <row r="374" spans="1:47" x14ac:dyDescent="0.25">
      <c r="A374" s="16"/>
      <c r="B374" s="16"/>
      <c r="C374" s="16"/>
      <c r="D374" s="16"/>
      <c r="E374" s="16"/>
      <c r="F374" s="16"/>
      <c r="G374" s="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</row>
    <row r="375" spans="1:47" x14ac:dyDescent="0.25">
      <c r="A375" s="16"/>
      <c r="B375" s="16"/>
      <c r="C375" s="16"/>
      <c r="D375" s="16"/>
      <c r="E375" s="16"/>
      <c r="F375" s="16"/>
      <c r="G375" s="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</row>
    <row r="376" spans="1:47" x14ac:dyDescent="0.25">
      <c r="A376" s="16"/>
      <c r="B376" s="16"/>
      <c r="C376" s="16"/>
      <c r="D376" s="16"/>
      <c r="E376" s="16"/>
      <c r="F376" s="16"/>
      <c r="G376" s="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</row>
    <row r="377" spans="1:47" x14ac:dyDescent="0.25">
      <c r="A377" s="16"/>
      <c r="B377" s="16"/>
      <c r="C377" s="16"/>
      <c r="D377" s="16"/>
      <c r="E377" s="16"/>
      <c r="F377" s="16"/>
      <c r="G377" s="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</row>
    <row r="378" spans="1:47" x14ac:dyDescent="0.25">
      <c r="A378" s="16"/>
      <c r="B378" s="16"/>
      <c r="C378" s="16"/>
      <c r="D378" s="16"/>
      <c r="E378" s="16"/>
      <c r="F378" s="16"/>
      <c r="G378" s="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</row>
    <row r="379" spans="1:47" x14ac:dyDescent="0.25">
      <c r="A379" s="16"/>
      <c r="B379" s="16"/>
      <c r="C379" s="16"/>
      <c r="D379" s="16"/>
      <c r="E379" s="16"/>
      <c r="F379" s="16"/>
      <c r="G379" s="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</row>
    <row r="380" spans="1:47" x14ac:dyDescent="0.25">
      <c r="A380" s="16"/>
      <c r="B380" s="16"/>
      <c r="C380" s="16"/>
      <c r="D380" s="16"/>
      <c r="E380" s="16"/>
      <c r="F380" s="16"/>
      <c r="G380" s="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</row>
    <row r="381" spans="1:47" x14ac:dyDescent="0.25">
      <c r="A381" s="16"/>
      <c r="B381" s="16"/>
      <c r="C381" s="16"/>
      <c r="D381" s="16"/>
      <c r="E381" s="16"/>
      <c r="F381" s="16"/>
      <c r="G381" s="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</row>
    <row r="382" spans="1:47" x14ac:dyDescent="0.25">
      <c r="A382" s="16"/>
      <c r="B382" s="16"/>
      <c r="C382" s="16"/>
      <c r="D382" s="16"/>
      <c r="E382" s="16"/>
      <c r="F382" s="16"/>
      <c r="G382" s="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</row>
    <row r="383" spans="1:47" x14ac:dyDescent="0.25">
      <c r="A383" s="16"/>
      <c r="B383" s="16"/>
      <c r="C383" s="16"/>
      <c r="D383" s="16"/>
      <c r="E383" s="16"/>
      <c r="F383" s="16"/>
      <c r="G383" s="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</row>
    <row r="384" spans="1:47" x14ac:dyDescent="0.25">
      <c r="A384" s="16"/>
      <c r="B384" s="16"/>
      <c r="C384" s="16"/>
      <c r="D384" s="16"/>
      <c r="E384" s="16"/>
      <c r="F384" s="16"/>
      <c r="G384" s="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</row>
    <row r="385" spans="1:47" x14ac:dyDescent="0.25">
      <c r="A385" s="16"/>
      <c r="B385" s="16"/>
      <c r="C385" s="16"/>
      <c r="D385" s="16"/>
      <c r="E385" s="16"/>
      <c r="F385" s="16"/>
      <c r="G385" s="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</row>
    <row r="386" spans="1:47" x14ac:dyDescent="0.25">
      <c r="A386" s="16"/>
      <c r="B386" s="16"/>
      <c r="C386" s="16"/>
      <c r="D386" s="16"/>
      <c r="E386" s="16"/>
      <c r="F386" s="16"/>
      <c r="G386" s="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</row>
    <row r="387" spans="1:47" x14ac:dyDescent="0.25">
      <c r="A387" s="16"/>
      <c r="B387" s="16"/>
      <c r="C387" s="16"/>
      <c r="D387" s="16"/>
      <c r="E387" s="16"/>
      <c r="F387" s="16"/>
      <c r="G387" s="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</row>
    <row r="388" spans="1:47" x14ac:dyDescent="0.25">
      <c r="A388" s="16"/>
      <c r="B388" s="16"/>
      <c r="C388" s="16"/>
      <c r="D388" s="16"/>
      <c r="E388" s="16"/>
      <c r="F388" s="16"/>
      <c r="G388" s="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</row>
    <row r="389" spans="1:47" x14ac:dyDescent="0.25">
      <c r="A389" s="16"/>
      <c r="B389" s="16"/>
      <c r="C389" s="16"/>
      <c r="D389" s="16"/>
      <c r="E389" s="16"/>
      <c r="F389" s="16"/>
      <c r="G389" s="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</row>
    <row r="390" spans="1:47" x14ac:dyDescent="0.25">
      <c r="A390" s="16"/>
      <c r="B390" s="16"/>
      <c r="C390" s="16"/>
      <c r="D390" s="16"/>
      <c r="E390" s="16"/>
      <c r="F390" s="16"/>
      <c r="G390" s="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</row>
    <row r="391" spans="1:47" x14ac:dyDescent="0.25">
      <c r="A391" s="16"/>
      <c r="B391" s="16"/>
      <c r="C391" s="16"/>
      <c r="D391" s="16"/>
      <c r="E391" s="16"/>
      <c r="F391" s="16"/>
      <c r="G391" s="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</row>
    <row r="392" spans="1:47" x14ac:dyDescent="0.25">
      <c r="A392" s="16"/>
      <c r="B392" s="16"/>
      <c r="C392" s="16"/>
      <c r="D392" s="16"/>
      <c r="E392" s="16"/>
      <c r="F392" s="16"/>
      <c r="G392" s="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</row>
    <row r="393" spans="1:47" x14ac:dyDescent="0.25">
      <c r="A393" s="16"/>
      <c r="B393" s="16"/>
      <c r="C393" s="16"/>
      <c r="D393" s="16"/>
      <c r="E393" s="16"/>
      <c r="F393" s="16"/>
      <c r="G393" s="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</row>
    <row r="394" spans="1:47" x14ac:dyDescent="0.25">
      <c r="A394" s="16"/>
      <c r="B394" s="16"/>
      <c r="C394" s="16"/>
      <c r="D394" s="16"/>
      <c r="E394" s="16"/>
      <c r="F394" s="16"/>
      <c r="G394" s="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</row>
    <row r="395" spans="1:47" x14ac:dyDescent="0.25">
      <c r="A395" s="16"/>
      <c r="B395" s="16"/>
      <c r="C395" s="16"/>
      <c r="D395" s="16"/>
      <c r="E395" s="16"/>
      <c r="F395" s="16"/>
      <c r="G395" s="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</row>
    <row r="396" spans="1:47" x14ac:dyDescent="0.25">
      <c r="A396" s="16"/>
      <c r="B396" s="16"/>
      <c r="C396" s="16"/>
      <c r="D396" s="16"/>
      <c r="E396" s="16"/>
      <c r="F396" s="16"/>
      <c r="G396" s="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</row>
    <row r="397" spans="1:47" x14ac:dyDescent="0.25">
      <c r="A397" s="16"/>
      <c r="B397" s="16"/>
      <c r="C397" s="16"/>
      <c r="D397" s="16"/>
      <c r="E397" s="16"/>
      <c r="F397" s="16"/>
      <c r="G397" s="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</row>
    <row r="398" spans="1:47" x14ac:dyDescent="0.25">
      <c r="A398" s="16"/>
      <c r="B398" s="16"/>
      <c r="C398" s="16"/>
      <c r="D398" s="16"/>
      <c r="E398" s="16"/>
      <c r="F398" s="16"/>
      <c r="G398" s="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</row>
    <row r="399" spans="1:47" x14ac:dyDescent="0.25">
      <c r="A399" s="16"/>
      <c r="B399" s="16"/>
      <c r="C399" s="16"/>
      <c r="D399" s="16"/>
      <c r="E399" s="16"/>
      <c r="F399" s="16"/>
      <c r="G399" s="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</row>
    <row r="400" spans="1:47" x14ac:dyDescent="0.25">
      <c r="A400" s="16"/>
      <c r="B400" s="16"/>
      <c r="C400" s="16"/>
      <c r="D400" s="16"/>
      <c r="E400" s="16"/>
      <c r="F400" s="16"/>
      <c r="G400" s="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</row>
    <row r="401" spans="1:47" x14ac:dyDescent="0.25">
      <c r="A401" s="16"/>
      <c r="B401" s="16"/>
      <c r="C401" s="16"/>
      <c r="D401" s="16"/>
      <c r="E401" s="16"/>
      <c r="F401" s="16"/>
      <c r="G401" s="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</row>
    <row r="402" spans="1:47" x14ac:dyDescent="0.25">
      <c r="A402" s="16"/>
      <c r="B402" s="16"/>
      <c r="C402" s="16"/>
      <c r="D402" s="16"/>
      <c r="E402" s="16"/>
      <c r="F402" s="16"/>
      <c r="G402" s="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</row>
    <row r="403" spans="1:47" x14ac:dyDescent="0.25">
      <c r="A403" s="16"/>
      <c r="B403" s="16"/>
      <c r="C403" s="16"/>
      <c r="D403" s="16"/>
      <c r="E403" s="16"/>
      <c r="F403" s="16"/>
      <c r="G403" s="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</row>
    <row r="404" spans="1:47" x14ac:dyDescent="0.25">
      <c r="A404" s="16"/>
      <c r="B404" s="16"/>
      <c r="C404" s="16"/>
      <c r="D404" s="16"/>
      <c r="E404" s="16"/>
      <c r="F404" s="16"/>
      <c r="G404" s="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</row>
    <row r="405" spans="1:47" x14ac:dyDescent="0.25">
      <c r="A405" s="16"/>
      <c r="B405" s="16"/>
      <c r="C405" s="16"/>
      <c r="D405" s="16"/>
      <c r="E405" s="16"/>
      <c r="F405" s="16"/>
      <c r="G405" s="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</row>
    <row r="406" spans="1:47" x14ac:dyDescent="0.25">
      <c r="A406" s="16"/>
      <c r="B406" s="16"/>
      <c r="C406" s="16"/>
      <c r="D406" s="16"/>
      <c r="E406" s="16"/>
      <c r="F406" s="16"/>
      <c r="G406" s="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</row>
    <row r="407" spans="1:47" x14ac:dyDescent="0.25">
      <c r="A407" s="16"/>
      <c r="B407" s="16"/>
      <c r="C407" s="16"/>
      <c r="D407" s="16"/>
      <c r="E407" s="16"/>
      <c r="F407" s="16"/>
      <c r="G407" s="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</row>
    <row r="408" spans="1:47" x14ac:dyDescent="0.25">
      <c r="A408" s="16"/>
      <c r="B408" s="16"/>
      <c r="C408" s="16"/>
      <c r="D408" s="16"/>
      <c r="E408" s="16"/>
      <c r="F408" s="16"/>
      <c r="G408" s="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</row>
    <row r="409" spans="1:47" x14ac:dyDescent="0.25">
      <c r="A409" s="16"/>
      <c r="B409" s="16"/>
      <c r="C409" s="16"/>
      <c r="D409" s="16"/>
      <c r="E409" s="16"/>
      <c r="F409" s="16"/>
      <c r="G409" s="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</row>
    <row r="410" spans="1:47" x14ac:dyDescent="0.25">
      <c r="A410" s="16"/>
      <c r="B410" s="16"/>
      <c r="C410" s="16"/>
      <c r="D410" s="16"/>
      <c r="E410" s="16"/>
      <c r="F410" s="16"/>
      <c r="G410" s="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</row>
    <row r="411" spans="1:47" x14ac:dyDescent="0.25">
      <c r="A411" s="16"/>
      <c r="B411" s="16"/>
      <c r="C411" s="16"/>
      <c r="D411" s="16"/>
      <c r="E411" s="16"/>
      <c r="F411" s="16"/>
      <c r="G411" s="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</row>
    <row r="412" spans="1:47" x14ac:dyDescent="0.25">
      <c r="A412" s="16"/>
      <c r="B412" s="16"/>
      <c r="C412" s="16"/>
      <c r="D412" s="16"/>
      <c r="E412" s="16"/>
      <c r="F412" s="16"/>
      <c r="G412" s="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</row>
    <row r="413" spans="1:47" x14ac:dyDescent="0.25">
      <c r="A413" s="16"/>
      <c r="B413" s="16"/>
      <c r="C413" s="16"/>
      <c r="D413" s="16"/>
      <c r="E413" s="16"/>
      <c r="F413" s="16"/>
      <c r="G413" s="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</row>
    <row r="414" spans="1:47" x14ac:dyDescent="0.25">
      <c r="A414" s="16"/>
      <c r="B414" s="16"/>
      <c r="C414" s="16"/>
      <c r="D414" s="16"/>
      <c r="E414" s="16"/>
      <c r="F414" s="16"/>
      <c r="G414" s="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</row>
    <row r="415" spans="1:47" x14ac:dyDescent="0.25">
      <c r="A415" s="16"/>
      <c r="B415" s="16"/>
      <c r="C415" s="16"/>
      <c r="D415" s="16"/>
      <c r="E415" s="16"/>
      <c r="F415" s="16"/>
      <c r="G415" s="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</row>
    <row r="416" spans="1:47" x14ac:dyDescent="0.25">
      <c r="A416" s="16"/>
      <c r="B416" s="16"/>
      <c r="C416" s="16"/>
      <c r="D416" s="16"/>
      <c r="E416" s="16"/>
      <c r="F416" s="16"/>
      <c r="G416" s="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</row>
    <row r="417" spans="1:47" x14ac:dyDescent="0.25">
      <c r="A417" s="16"/>
      <c r="B417" s="16"/>
      <c r="C417" s="16"/>
      <c r="D417" s="16"/>
      <c r="E417" s="16"/>
      <c r="F417" s="16"/>
      <c r="G417" s="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</row>
    <row r="418" spans="1:47" x14ac:dyDescent="0.25">
      <c r="A418" s="16"/>
      <c r="B418" s="16"/>
      <c r="C418" s="16"/>
      <c r="D418" s="16"/>
      <c r="E418" s="16"/>
      <c r="F418" s="16"/>
      <c r="G418" s="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</row>
    <row r="419" spans="1:47" x14ac:dyDescent="0.25">
      <c r="A419" s="16"/>
      <c r="B419" s="16"/>
      <c r="C419" s="16"/>
      <c r="D419" s="16"/>
      <c r="E419" s="16"/>
      <c r="F419" s="16"/>
      <c r="G419" s="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</row>
    <row r="420" spans="1:47" x14ac:dyDescent="0.25">
      <c r="A420" s="16"/>
      <c r="B420" s="16"/>
      <c r="C420" s="16"/>
      <c r="D420" s="16"/>
      <c r="E420" s="16"/>
      <c r="F420" s="16"/>
      <c r="G420" s="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</row>
    <row r="421" spans="1:47" x14ac:dyDescent="0.25">
      <c r="A421" s="16"/>
      <c r="B421" s="16"/>
      <c r="C421" s="16"/>
      <c r="D421" s="16"/>
      <c r="E421" s="16"/>
      <c r="F421" s="16"/>
      <c r="G421" s="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</row>
    <row r="422" spans="1:47" x14ac:dyDescent="0.25">
      <c r="A422" s="16"/>
      <c r="B422" s="16"/>
      <c r="C422" s="16"/>
      <c r="D422" s="16"/>
      <c r="E422" s="16"/>
      <c r="F422" s="16"/>
      <c r="G422" s="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</row>
    <row r="423" spans="1:47" x14ac:dyDescent="0.25">
      <c r="A423" s="16"/>
      <c r="B423" s="16"/>
      <c r="C423" s="16"/>
      <c r="D423" s="16"/>
      <c r="E423" s="16"/>
      <c r="F423" s="16"/>
      <c r="G423" s="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</row>
    <row r="424" spans="1:47" x14ac:dyDescent="0.25">
      <c r="A424" s="16"/>
      <c r="B424" s="16"/>
      <c r="C424" s="16"/>
      <c r="D424" s="16"/>
      <c r="E424" s="16"/>
      <c r="F424" s="16"/>
      <c r="G424" s="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</row>
    <row r="425" spans="1:47" x14ac:dyDescent="0.25">
      <c r="A425" s="16"/>
      <c r="B425" s="16"/>
      <c r="C425" s="16"/>
      <c r="D425" s="16"/>
      <c r="E425" s="16"/>
      <c r="F425" s="16"/>
      <c r="G425" s="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</row>
    <row r="426" spans="1:47" x14ac:dyDescent="0.25">
      <c r="A426" s="16"/>
      <c r="B426" s="16"/>
      <c r="C426" s="16"/>
      <c r="D426" s="16"/>
      <c r="E426" s="16"/>
      <c r="F426" s="16"/>
      <c r="G426" s="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</row>
    <row r="427" spans="1:47" x14ac:dyDescent="0.25">
      <c r="A427" s="16"/>
      <c r="B427" s="16"/>
      <c r="C427" s="16"/>
      <c r="D427" s="16"/>
      <c r="E427" s="16"/>
      <c r="F427" s="16"/>
      <c r="G427" s="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</row>
    <row r="428" spans="1:47" x14ac:dyDescent="0.25">
      <c r="A428" s="16"/>
      <c r="B428" s="16"/>
      <c r="C428" s="16"/>
      <c r="D428" s="16"/>
      <c r="E428" s="16"/>
      <c r="F428" s="16"/>
      <c r="G428" s="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</row>
    <row r="429" spans="1:47" x14ac:dyDescent="0.25">
      <c r="A429" s="16"/>
      <c r="B429" s="16"/>
      <c r="C429" s="16"/>
      <c r="D429" s="16"/>
      <c r="E429" s="16"/>
      <c r="F429" s="16"/>
      <c r="G429" s="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</row>
    <row r="430" spans="1:47" x14ac:dyDescent="0.25">
      <c r="A430" s="16"/>
      <c r="B430" s="16"/>
      <c r="C430" s="16"/>
      <c r="D430" s="16"/>
      <c r="E430" s="16"/>
      <c r="F430" s="16"/>
      <c r="G430" s="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</row>
    <row r="431" spans="1:47" x14ac:dyDescent="0.25">
      <c r="A431" s="16"/>
      <c r="B431" s="16"/>
      <c r="C431" s="16"/>
      <c r="D431" s="16"/>
      <c r="E431" s="16"/>
      <c r="F431" s="16"/>
      <c r="G431" s="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</row>
    <row r="432" spans="1:47" x14ac:dyDescent="0.25">
      <c r="A432" s="16"/>
      <c r="B432" s="16"/>
      <c r="C432" s="16"/>
      <c r="D432" s="16"/>
      <c r="E432" s="16"/>
      <c r="F432" s="16"/>
      <c r="G432" s="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</row>
    <row r="433" spans="1:47" x14ac:dyDescent="0.25">
      <c r="A433" s="16"/>
      <c r="B433" s="16"/>
      <c r="C433" s="16"/>
      <c r="D433" s="16"/>
      <c r="E433" s="16"/>
      <c r="F433" s="16"/>
      <c r="G433" s="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</row>
    <row r="434" spans="1:47" x14ac:dyDescent="0.25">
      <c r="A434" s="16"/>
      <c r="B434" s="16"/>
      <c r="C434" s="16"/>
      <c r="D434" s="16"/>
      <c r="E434" s="16"/>
      <c r="F434" s="16"/>
      <c r="G434" s="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</row>
    <row r="435" spans="1:47" x14ac:dyDescent="0.25">
      <c r="A435" s="16"/>
      <c r="B435" s="16"/>
      <c r="C435" s="16"/>
      <c r="D435" s="16"/>
      <c r="E435" s="16"/>
      <c r="F435" s="16"/>
      <c r="G435" s="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</row>
    <row r="436" spans="1:47" x14ac:dyDescent="0.25">
      <c r="A436" s="16"/>
      <c r="B436" s="16"/>
      <c r="C436" s="16"/>
      <c r="D436" s="16"/>
      <c r="E436" s="16"/>
      <c r="F436" s="16"/>
      <c r="G436" s="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</row>
    <row r="437" spans="1:47" x14ac:dyDescent="0.25">
      <c r="A437" s="16"/>
      <c r="B437" s="16"/>
      <c r="C437" s="16"/>
      <c r="D437" s="16"/>
      <c r="E437" s="16"/>
      <c r="F437" s="16"/>
      <c r="G437" s="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</row>
    <row r="438" spans="1:47" x14ac:dyDescent="0.25">
      <c r="A438" s="16"/>
      <c r="B438" s="16"/>
      <c r="C438" s="16"/>
      <c r="D438" s="16"/>
      <c r="E438" s="16"/>
      <c r="F438" s="16"/>
      <c r="G438" s="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</row>
    <row r="439" spans="1:47" x14ac:dyDescent="0.25">
      <c r="A439" s="16"/>
      <c r="B439" s="16"/>
      <c r="C439" s="16"/>
      <c r="D439" s="16"/>
      <c r="E439" s="16"/>
      <c r="F439" s="16"/>
      <c r="G439" s="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</row>
    <row r="440" spans="1:47" x14ac:dyDescent="0.25">
      <c r="A440" s="16"/>
      <c r="B440" s="16"/>
      <c r="C440" s="16"/>
      <c r="D440" s="16"/>
      <c r="E440" s="16"/>
      <c r="F440" s="16"/>
      <c r="G440" s="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</row>
    <row r="441" spans="1:47" x14ac:dyDescent="0.25">
      <c r="A441" s="16"/>
      <c r="B441" s="16"/>
      <c r="C441" s="16"/>
      <c r="D441" s="16"/>
      <c r="E441" s="16"/>
      <c r="F441" s="16"/>
      <c r="G441" s="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</row>
    <row r="442" spans="1:47" x14ac:dyDescent="0.25">
      <c r="A442" s="16"/>
      <c r="B442" s="16"/>
      <c r="C442" s="16"/>
      <c r="D442" s="16"/>
      <c r="E442" s="16"/>
      <c r="F442" s="16"/>
      <c r="G442" s="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</row>
    <row r="443" spans="1:47" x14ac:dyDescent="0.25">
      <c r="A443" s="16"/>
      <c r="B443" s="16"/>
      <c r="C443" s="16"/>
      <c r="D443" s="16"/>
      <c r="E443" s="16"/>
      <c r="F443" s="16"/>
      <c r="G443" s="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</row>
    <row r="444" spans="1:47" x14ac:dyDescent="0.25">
      <c r="A444" s="16"/>
      <c r="B444" s="16"/>
      <c r="C444" s="16"/>
      <c r="D444" s="16"/>
      <c r="E444" s="16"/>
      <c r="F444" s="16"/>
      <c r="G444" s="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</row>
    <row r="445" spans="1:47" x14ac:dyDescent="0.25">
      <c r="A445" s="16"/>
      <c r="B445" s="16"/>
      <c r="C445" s="16"/>
      <c r="D445" s="16"/>
      <c r="E445" s="16"/>
      <c r="F445" s="16"/>
      <c r="G445" s="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</row>
    <row r="446" spans="1:47" x14ac:dyDescent="0.25">
      <c r="A446" s="16"/>
      <c r="B446" s="16"/>
      <c r="C446" s="16"/>
      <c r="D446" s="16"/>
      <c r="E446" s="16"/>
      <c r="F446" s="16"/>
      <c r="G446" s="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</row>
    <row r="447" spans="1:47" x14ac:dyDescent="0.25">
      <c r="A447" s="16"/>
      <c r="B447" s="16"/>
      <c r="C447" s="16"/>
      <c r="D447" s="16"/>
      <c r="E447" s="16"/>
      <c r="F447" s="16"/>
      <c r="G447" s="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</row>
    <row r="448" spans="1:47" x14ac:dyDescent="0.25">
      <c r="A448" s="16"/>
      <c r="B448" s="16"/>
      <c r="C448" s="16"/>
      <c r="D448" s="16"/>
      <c r="E448" s="16"/>
      <c r="F448" s="16"/>
      <c r="G448" s="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</row>
    <row r="449" spans="1:47" x14ac:dyDescent="0.25">
      <c r="A449" s="16"/>
      <c r="B449" s="16"/>
      <c r="C449" s="16"/>
      <c r="D449" s="16"/>
      <c r="E449" s="16"/>
      <c r="F449" s="16"/>
      <c r="G449" s="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</row>
    <row r="450" spans="1:47" x14ac:dyDescent="0.25">
      <c r="A450" s="16"/>
      <c r="B450" s="16"/>
      <c r="C450" s="16"/>
      <c r="D450" s="16"/>
      <c r="E450" s="16"/>
      <c r="F450" s="16"/>
      <c r="G450" s="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</row>
    <row r="451" spans="1:47" x14ac:dyDescent="0.25">
      <c r="A451" s="16"/>
      <c r="B451" s="16"/>
      <c r="C451" s="16"/>
      <c r="D451" s="16"/>
      <c r="E451" s="16"/>
      <c r="F451" s="16"/>
      <c r="G451" s="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</row>
    <row r="452" spans="1:47" x14ac:dyDescent="0.25">
      <c r="A452" s="16"/>
      <c r="B452" s="16"/>
      <c r="C452" s="16"/>
      <c r="D452" s="16"/>
      <c r="E452" s="16"/>
      <c r="F452" s="16"/>
      <c r="G452" s="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</row>
    <row r="453" spans="1:47" x14ac:dyDescent="0.25">
      <c r="A453" s="16"/>
      <c r="B453" s="16"/>
      <c r="C453" s="16"/>
      <c r="D453" s="16"/>
      <c r="E453" s="16"/>
      <c r="F453" s="16"/>
      <c r="G453" s="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</row>
    <row r="454" spans="1:47" x14ac:dyDescent="0.25">
      <c r="A454" s="16"/>
      <c r="B454" s="16"/>
      <c r="C454" s="16"/>
      <c r="D454" s="16"/>
      <c r="E454" s="16"/>
      <c r="F454" s="16"/>
      <c r="G454" s="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</row>
    <row r="455" spans="1:47" x14ac:dyDescent="0.25">
      <c r="A455" s="16"/>
      <c r="B455" s="16"/>
      <c r="C455" s="16"/>
      <c r="D455" s="16"/>
      <c r="E455" s="16"/>
      <c r="F455" s="16"/>
      <c r="G455" s="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</row>
    <row r="456" spans="1:47" x14ac:dyDescent="0.25">
      <c r="A456" s="16"/>
      <c r="B456" s="16"/>
      <c r="C456" s="16"/>
      <c r="D456" s="16"/>
      <c r="E456" s="16"/>
      <c r="F456" s="16"/>
      <c r="G456" s="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</row>
    <row r="457" spans="1:47" x14ac:dyDescent="0.25">
      <c r="A457" s="16"/>
      <c r="B457" s="16"/>
      <c r="C457" s="16"/>
      <c r="D457" s="16"/>
      <c r="E457" s="16"/>
      <c r="F457" s="16"/>
      <c r="G457" s="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</row>
    <row r="458" spans="1:47" x14ac:dyDescent="0.25">
      <c r="A458" s="16"/>
      <c r="B458" s="16"/>
      <c r="C458" s="16"/>
      <c r="D458" s="16"/>
      <c r="E458" s="16"/>
      <c r="F458" s="16"/>
      <c r="G458" s="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</row>
    <row r="459" spans="1:47" x14ac:dyDescent="0.25">
      <c r="A459" s="16"/>
      <c r="B459" s="16"/>
      <c r="C459" s="16"/>
      <c r="D459" s="16"/>
      <c r="E459" s="16"/>
      <c r="F459" s="16"/>
      <c r="G459" s="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</row>
    <row r="460" spans="1:47" x14ac:dyDescent="0.25">
      <c r="A460" s="16"/>
      <c r="B460" s="16"/>
      <c r="C460" s="16"/>
      <c r="D460" s="16"/>
      <c r="E460" s="16"/>
      <c r="F460" s="16"/>
      <c r="G460" s="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</row>
    <row r="461" spans="1:47" x14ac:dyDescent="0.25">
      <c r="A461" s="16"/>
      <c r="B461" s="16"/>
      <c r="C461" s="16"/>
      <c r="D461" s="16"/>
      <c r="E461" s="16"/>
      <c r="F461" s="16"/>
      <c r="G461" s="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</row>
    <row r="462" spans="1:47" x14ac:dyDescent="0.25">
      <c r="A462" s="16"/>
      <c r="B462" s="16"/>
      <c r="C462" s="16"/>
      <c r="D462" s="16"/>
      <c r="E462" s="16"/>
      <c r="F462" s="16"/>
      <c r="G462" s="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</row>
    <row r="463" spans="1:47" x14ac:dyDescent="0.25">
      <c r="A463" s="16"/>
      <c r="B463" s="16"/>
      <c r="C463" s="16"/>
      <c r="D463" s="16"/>
      <c r="E463" s="16"/>
      <c r="F463" s="16"/>
      <c r="G463" s="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</row>
    <row r="464" spans="1:47" x14ac:dyDescent="0.25">
      <c r="A464" s="16"/>
      <c r="B464" s="16"/>
      <c r="C464" s="16"/>
      <c r="D464" s="16"/>
      <c r="E464" s="16"/>
      <c r="F464" s="16"/>
      <c r="G464" s="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</row>
    <row r="465" spans="1:47" x14ac:dyDescent="0.25">
      <c r="A465" s="16"/>
      <c r="B465" s="16"/>
      <c r="C465" s="16"/>
      <c r="D465" s="16"/>
      <c r="E465" s="16"/>
      <c r="F465" s="16"/>
      <c r="G465" s="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</row>
    <row r="466" spans="1:47" x14ac:dyDescent="0.25">
      <c r="A466" s="16"/>
      <c r="B466" s="16"/>
      <c r="C466" s="16"/>
      <c r="D466" s="16"/>
      <c r="E466" s="16"/>
      <c r="F466" s="16"/>
      <c r="G466" s="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</row>
    <row r="467" spans="1:47" x14ac:dyDescent="0.25">
      <c r="A467" s="16"/>
      <c r="B467" s="16"/>
      <c r="C467" s="16"/>
      <c r="D467" s="16"/>
      <c r="E467" s="16"/>
      <c r="F467" s="16"/>
      <c r="G467" s="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</row>
    <row r="468" spans="1:47" x14ac:dyDescent="0.25">
      <c r="A468" s="16"/>
      <c r="B468" s="16"/>
      <c r="C468" s="16"/>
      <c r="D468" s="16"/>
      <c r="E468" s="16"/>
      <c r="F468" s="16"/>
      <c r="G468" s="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</row>
    <row r="469" spans="1:47" x14ac:dyDescent="0.25">
      <c r="A469" s="16"/>
      <c r="B469" s="16"/>
      <c r="C469" s="16"/>
      <c r="D469" s="16"/>
      <c r="E469" s="16"/>
      <c r="F469" s="16"/>
      <c r="G469" s="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</row>
    <row r="470" spans="1:47" x14ac:dyDescent="0.25">
      <c r="A470" s="16"/>
      <c r="B470" s="16"/>
      <c r="C470" s="16"/>
      <c r="D470" s="16"/>
      <c r="E470" s="16"/>
      <c r="F470" s="16"/>
      <c r="G470" s="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</row>
    <row r="471" spans="1:47" x14ac:dyDescent="0.25">
      <c r="A471" s="16"/>
      <c r="B471" s="16"/>
      <c r="C471" s="16"/>
      <c r="D471" s="16"/>
      <c r="E471" s="16"/>
      <c r="F471" s="16"/>
      <c r="G471" s="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</row>
    <row r="472" spans="1:47" x14ac:dyDescent="0.25">
      <c r="A472" s="16"/>
      <c r="B472" s="16"/>
      <c r="C472" s="16"/>
      <c r="D472" s="16"/>
      <c r="E472" s="16"/>
      <c r="F472" s="16"/>
      <c r="G472" s="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</row>
    <row r="473" spans="1:47" x14ac:dyDescent="0.25">
      <c r="A473" s="16"/>
      <c r="B473" s="16"/>
      <c r="C473" s="16"/>
      <c r="D473" s="16"/>
      <c r="E473" s="16"/>
      <c r="F473" s="16"/>
      <c r="G473" s="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</row>
    <row r="474" spans="1:47" x14ac:dyDescent="0.25">
      <c r="A474" s="16"/>
      <c r="B474" s="16"/>
      <c r="C474" s="16"/>
      <c r="D474" s="16"/>
      <c r="E474" s="16"/>
      <c r="F474" s="16"/>
      <c r="G474" s="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</row>
    <row r="475" spans="1:47" x14ac:dyDescent="0.25">
      <c r="A475" s="16"/>
      <c r="B475" s="16"/>
      <c r="C475" s="16"/>
      <c r="D475" s="16"/>
      <c r="E475" s="16"/>
      <c r="F475" s="16"/>
      <c r="G475" s="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</row>
    <row r="476" spans="1:47" x14ac:dyDescent="0.25">
      <c r="A476" s="16"/>
      <c r="B476" s="16"/>
      <c r="C476" s="16"/>
      <c r="D476" s="16"/>
      <c r="E476" s="16"/>
      <c r="F476" s="16"/>
      <c r="G476" s="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</row>
    <row r="477" spans="1:47" x14ac:dyDescent="0.25">
      <c r="A477" s="16"/>
      <c r="B477" s="16"/>
      <c r="C477" s="16"/>
      <c r="D477" s="16"/>
      <c r="E477" s="16"/>
      <c r="F477" s="16"/>
      <c r="G477" s="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</row>
    <row r="478" spans="1:47" x14ac:dyDescent="0.25">
      <c r="A478" s="16"/>
      <c r="B478" s="16"/>
      <c r="C478" s="16"/>
      <c r="D478" s="16"/>
      <c r="E478" s="16"/>
      <c r="F478" s="16"/>
      <c r="G478" s="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</row>
    <row r="479" spans="1:47" x14ac:dyDescent="0.25">
      <c r="A479" s="16"/>
      <c r="B479" s="16"/>
      <c r="C479" s="16"/>
      <c r="D479" s="16"/>
      <c r="E479" s="16"/>
      <c r="F479" s="16"/>
      <c r="G479" s="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</row>
    <row r="480" spans="1:47" x14ac:dyDescent="0.25">
      <c r="A480" s="16"/>
      <c r="B480" s="16"/>
      <c r="C480" s="16"/>
      <c r="D480" s="16"/>
      <c r="E480" s="16"/>
      <c r="F480" s="16"/>
      <c r="G480" s="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</row>
    <row r="481" spans="1:47" x14ac:dyDescent="0.25">
      <c r="A481" s="16"/>
      <c r="B481" s="16"/>
      <c r="C481" s="16"/>
      <c r="D481" s="16"/>
      <c r="E481" s="16"/>
      <c r="F481" s="16"/>
      <c r="G481" s="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</row>
    <row r="482" spans="1:47" x14ac:dyDescent="0.25">
      <c r="A482" s="16"/>
      <c r="B482" s="16"/>
      <c r="C482" s="16"/>
      <c r="D482" s="16"/>
      <c r="E482" s="16"/>
      <c r="F482" s="16"/>
      <c r="G482" s="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</row>
    <row r="483" spans="1:47" x14ac:dyDescent="0.25">
      <c r="A483" s="16"/>
      <c r="B483" s="16"/>
      <c r="C483" s="16"/>
      <c r="D483" s="16"/>
      <c r="E483" s="16"/>
      <c r="F483" s="16"/>
      <c r="G483" s="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</row>
    <row r="484" spans="1:47" x14ac:dyDescent="0.25">
      <c r="A484" s="16"/>
      <c r="B484" s="16"/>
      <c r="C484" s="16"/>
      <c r="D484" s="16"/>
      <c r="E484" s="16"/>
      <c r="F484" s="16"/>
      <c r="G484" s="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</row>
    <row r="485" spans="1:47" x14ac:dyDescent="0.25">
      <c r="A485" s="16"/>
      <c r="B485" s="16"/>
      <c r="C485" s="16"/>
      <c r="D485" s="16"/>
      <c r="E485" s="16"/>
      <c r="F485" s="16"/>
      <c r="G485" s="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</row>
    <row r="486" spans="1:47" x14ac:dyDescent="0.25">
      <c r="A486" s="16"/>
      <c r="B486" s="16"/>
      <c r="C486" s="16"/>
      <c r="D486" s="16"/>
      <c r="E486" s="16"/>
      <c r="F486" s="16"/>
      <c r="G486" s="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</row>
    <row r="487" spans="1:47" x14ac:dyDescent="0.25">
      <c r="A487" s="16"/>
      <c r="B487" s="16"/>
      <c r="C487" s="16"/>
      <c r="D487" s="16"/>
      <c r="E487" s="16"/>
      <c r="F487" s="16"/>
      <c r="G487" s="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</row>
    <row r="488" spans="1:47" x14ac:dyDescent="0.25">
      <c r="A488" s="16"/>
      <c r="B488" s="16"/>
      <c r="C488" s="16"/>
      <c r="D488" s="16"/>
      <c r="E488" s="16"/>
      <c r="F488" s="16"/>
      <c r="G488" s="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</row>
    <row r="489" spans="1:47" x14ac:dyDescent="0.25">
      <c r="A489" s="16"/>
      <c r="B489" s="16"/>
      <c r="C489" s="16"/>
      <c r="D489" s="16"/>
      <c r="E489" s="16"/>
      <c r="F489" s="16"/>
      <c r="G489" s="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</row>
    <row r="490" spans="1:47" x14ac:dyDescent="0.25">
      <c r="A490" s="16"/>
      <c r="B490" s="16"/>
      <c r="C490" s="16"/>
      <c r="D490" s="16"/>
      <c r="E490" s="16"/>
      <c r="F490" s="16"/>
      <c r="G490" s="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</row>
    <row r="491" spans="1:47" x14ac:dyDescent="0.25">
      <c r="A491" s="16"/>
      <c r="B491" s="16"/>
      <c r="C491" s="16"/>
      <c r="D491" s="16"/>
      <c r="E491" s="16"/>
      <c r="F491" s="16"/>
      <c r="G491" s="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</row>
    <row r="492" spans="1:47" x14ac:dyDescent="0.25">
      <c r="A492" s="16"/>
      <c r="B492" s="16"/>
      <c r="C492" s="16"/>
      <c r="D492" s="16"/>
      <c r="E492" s="16"/>
      <c r="F492" s="16"/>
      <c r="G492" s="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</row>
    <row r="493" spans="1:47" x14ac:dyDescent="0.25">
      <c r="A493" s="16"/>
      <c r="B493" s="16"/>
      <c r="C493" s="16"/>
      <c r="D493" s="16"/>
      <c r="E493" s="16"/>
      <c r="F493" s="16"/>
      <c r="G493" s="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</row>
    <row r="494" spans="1:47" x14ac:dyDescent="0.25">
      <c r="A494" s="16"/>
      <c r="B494" s="16"/>
      <c r="C494" s="16"/>
      <c r="D494" s="16"/>
      <c r="E494" s="16"/>
      <c r="F494" s="16"/>
      <c r="G494" s="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</row>
    <row r="495" spans="1:47" x14ac:dyDescent="0.25">
      <c r="A495" s="16"/>
      <c r="B495" s="16"/>
      <c r="C495" s="16"/>
      <c r="D495" s="16"/>
      <c r="E495" s="16"/>
      <c r="F495" s="16"/>
      <c r="G495" s="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</row>
    <row r="496" spans="1:47" x14ac:dyDescent="0.25">
      <c r="A496" s="16"/>
      <c r="B496" s="16"/>
      <c r="C496" s="16"/>
      <c r="D496" s="16"/>
      <c r="E496" s="16"/>
      <c r="F496" s="16"/>
      <c r="G496" s="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</row>
    <row r="497" spans="1:47" x14ac:dyDescent="0.25">
      <c r="A497" s="16"/>
      <c r="B497" s="16"/>
      <c r="C497" s="16"/>
      <c r="D497" s="16"/>
      <c r="E497" s="16"/>
      <c r="F497" s="16"/>
      <c r="G497" s="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</row>
    <row r="498" spans="1:47" x14ac:dyDescent="0.25">
      <c r="A498" s="16"/>
      <c r="B498" s="16"/>
      <c r="C498" s="16"/>
      <c r="D498" s="16"/>
      <c r="E498" s="16"/>
      <c r="F498" s="16"/>
      <c r="G498" s="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</row>
    <row r="499" spans="1:47" x14ac:dyDescent="0.25">
      <c r="A499" s="16"/>
      <c r="B499" s="16"/>
      <c r="C499" s="16"/>
      <c r="D499" s="16"/>
      <c r="E499" s="16"/>
      <c r="F499" s="16"/>
      <c r="G499" s="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</row>
    <row r="500" spans="1:47" x14ac:dyDescent="0.25">
      <c r="A500" s="16"/>
      <c r="B500" s="16"/>
      <c r="C500" s="16"/>
      <c r="D500" s="16"/>
      <c r="E500" s="16"/>
      <c r="F500" s="16"/>
      <c r="G500" s="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</row>
  </sheetData>
  <autoFilter ref="A3:AN13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2026-08-04T09:05:47Z</dcterms:created>
  <dcterms:modified xsi:type="dcterms:W3CDTF">2026-08-05T08:59:23Z</dcterms:modified>
</cp:coreProperties>
</file>