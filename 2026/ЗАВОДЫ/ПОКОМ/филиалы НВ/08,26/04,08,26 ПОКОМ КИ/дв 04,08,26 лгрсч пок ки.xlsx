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Father\Work\2025_05\2026\ЗАВОДЫ\ПОКОМ\филиалы НВ\08,26\04,08,26 ПОКОМ КИ\"/>
    </mc:Choice>
  </mc:AlternateContent>
  <xr:revisionPtr revIDLastSave="0" documentId="13_ncr:1_{02DE0A00-C629-4FD9-94CE-0D4D51A1F479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Sheet!$A$3:$AJ$135</definedName>
  </definedNames>
  <calcPr calcId="191029" refMode="R1C1"/>
</workbook>
</file>

<file path=xl/calcChain.xml><?xml version="1.0" encoding="utf-8"?>
<calcChain xmlns="http://schemas.openxmlformats.org/spreadsheetml/2006/main">
  <c r="AK7" i="1" l="1"/>
  <c r="AK8" i="1"/>
  <c r="AK9" i="1"/>
  <c r="AK10" i="1"/>
  <c r="AK11" i="1"/>
  <c r="AK12" i="1"/>
  <c r="AK13" i="1"/>
  <c r="AK14" i="1"/>
  <c r="AK15" i="1"/>
  <c r="AK16" i="1"/>
  <c r="AK17" i="1"/>
  <c r="AK18" i="1"/>
  <c r="AK19" i="1"/>
  <c r="AK20" i="1"/>
  <c r="AK21" i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7" i="1"/>
  <c r="AK68" i="1"/>
  <c r="AK69" i="1"/>
  <c r="AK70" i="1"/>
  <c r="AK71" i="1"/>
  <c r="AK72" i="1"/>
  <c r="AK73" i="1"/>
  <c r="AK74" i="1"/>
  <c r="AK75" i="1"/>
  <c r="AK76" i="1"/>
  <c r="AK77" i="1"/>
  <c r="AK78" i="1"/>
  <c r="AK79" i="1"/>
  <c r="AK80" i="1"/>
  <c r="AK81" i="1"/>
  <c r="AK82" i="1"/>
  <c r="AK83" i="1"/>
  <c r="AK84" i="1"/>
  <c r="AK85" i="1"/>
  <c r="AK86" i="1"/>
  <c r="AK87" i="1"/>
  <c r="AK88" i="1"/>
  <c r="AK89" i="1"/>
  <c r="AK90" i="1"/>
  <c r="AK91" i="1"/>
  <c r="AK92" i="1"/>
  <c r="AK93" i="1"/>
  <c r="AK94" i="1"/>
  <c r="AK95" i="1"/>
  <c r="AK96" i="1"/>
  <c r="AK97" i="1"/>
  <c r="AK98" i="1"/>
  <c r="AK99" i="1"/>
  <c r="AK100" i="1"/>
  <c r="AK101" i="1"/>
  <c r="AK102" i="1"/>
  <c r="AK103" i="1"/>
  <c r="AK104" i="1"/>
  <c r="AK105" i="1"/>
  <c r="AK106" i="1"/>
  <c r="AK107" i="1"/>
  <c r="AK108" i="1"/>
  <c r="AK109" i="1"/>
  <c r="AK110" i="1"/>
  <c r="AK111" i="1"/>
  <c r="AK112" i="1"/>
  <c r="AK113" i="1"/>
  <c r="AK114" i="1"/>
  <c r="AK115" i="1"/>
  <c r="AK116" i="1"/>
  <c r="AK117" i="1"/>
  <c r="AK118" i="1"/>
  <c r="AK119" i="1"/>
  <c r="AK120" i="1"/>
  <c r="AK121" i="1"/>
  <c r="AK122" i="1"/>
  <c r="AK123" i="1"/>
  <c r="AK124" i="1"/>
  <c r="AK125" i="1"/>
  <c r="AK126" i="1"/>
  <c r="AK127" i="1"/>
  <c r="AK128" i="1"/>
  <c r="AK129" i="1"/>
  <c r="AK130" i="1"/>
  <c r="AK131" i="1"/>
  <c r="AK132" i="1"/>
  <c r="AK133" i="1"/>
  <c r="AK134" i="1"/>
  <c r="AK135" i="1"/>
  <c r="AK6" i="1"/>
  <c r="U121" i="1"/>
  <c r="U118" i="1"/>
  <c r="AJ118" i="1" s="1"/>
  <c r="U7" i="1"/>
  <c r="U8" i="1"/>
  <c r="U9" i="1"/>
  <c r="U10" i="1"/>
  <c r="AJ10" i="1" s="1"/>
  <c r="U11" i="1"/>
  <c r="U15" i="1"/>
  <c r="U19" i="1"/>
  <c r="U21" i="1"/>
  <c r="U23" i="1"/>
  <c r="U24" i="1"/>
  <c r="U25" i="1"/>
  <c r="U27" i="1"/>
  <c r="U28" i="1"/>
  <c r="U29" i="1"/>
  <c r="U30" i="1"/>
  <c r="AJ30" i="1" s="1"/>
  <c r="U31" i="1"/>
  <c r="U32" i="1"/>
  <c r="U33" i="1"/>
  <c r="U35" i="1"/>
  <c r="U36" i="1"/>
  <c r="U37" i="1"/>
  <c r="U38" i="1"/>
  <c r="AJ38" i="1" s="1"/>
  <c r="U39" i="1"/>
  <c r="U40" i="1"/>
  <c r="U41" i="1"/>
  <c r="U44" i="1"/>
  <c r="U45" i="1"/>
  <c r="U46" i="1"/>
  <c r="AJ46" i="1" s="1"/>
  <c r="U47" i="1"/>
  <c r="U48" i="1"/>
  <c r="AJ48" i="1" s="1"/>
  <c r="U49" i="1"/>
  <c r="U51" i="1"/>
  <c r="U54" i="1"/>
  <c r="AJ54" i="1" s="1"/>
  <c r="U55" i="1"/>
  <c r="U56" i="1"/>
  <c r="AJ56" i="1" s="1"/>
  <c r="U57" i="1"/>
  <c r="U58" i="1"/>
  <c r="AJ58" i="1" s="1"/>
  <c r="U60" i="1"/>
  <c r="AJ60" i="1" s="1"/>
  <c r="U61" i="1"/>
  <c r="U65" i="1"/>
  <c r="U67" i="1"/>
  <c r="U70" i="1"/>
  <c r="AJ70" i="1" s="1"/>
  <c r="U72" i="1"/>
  <c r="AJ72" i="1" s="1"/>
  <c r="U73" i="1"/>
  <c r="U75" i="1"/>
  <c r="U79" i="1"/>
  <c r="U80" i="1"/>
  <c r="AJ80" i="1" s="1"/>
  <c r="U82" i="1"/>
  <c r="AJ82" i="1" s="1"/>
  <c r="U83" i="1"/>
  <c r="U86" i="1"/>
  <c r="AJ86" i="1" s="1"/>
  <c r="U87" i="1"/>
  <c r="U89" i="1"/>
  <c r="U90" i="1"/>
  <c r="AJ90" i="1" s="1"/>
  <c r="U92" i="1"/>
  <c r="AJ92" i="1" s="1"/>
  <c r="U93" i="1"/>
  <c r="U94" i="1"/>
  <c r="AJ94" i="1" s="1"/>
  <c r="U95" i="1"/>
  <c r="U96" i="1"/>
  <c r="AJ96" i="1" s="1"/>
  <c r="U97" i="1"/>
  <c r="U99" i="1"/>
  <c r="U102" i="1"/>
  <c r="AJ102" i="1" s="1"/>
  <c r="U103" i="1"/>
  <c r="U104" i="1"/>
  <c r="AJ104" i="1" s="1"/>
  <c r="U105" i="1"/>
  <c r="U110" i="1"/>
  <c r="AJ110" i="1" s="1"/>
  <c r="U111" i="1"/>
  <c r="U113" i="1"/>
  <c r="U114" i="1"/>
  <c r="AJ114" i="1" s="1"/>
  <c r="U116" i="1"/>
  <c r="AJ116" i="1" s="1"/>
  <c r="U117" i="1"/>
  <c r="U119" i="1"/>
  <c r="U120" i="1"/>
  <c r="AJ120" i="1" s="1"/>
  <c r="U122" i="1"/>
  <c r="AJ122" i="1" s="1"/>
  <c r="U123" i="1"/>
  <c r="U124" i="1"/>
  <c r="AJ124" i="1" s="1"/>
  <c r="U125" i="1"/>
  <c r="U126" i="1"/>
  <c r="AJ126" i="1" s="1"/>
  <c r="U130" i="1"/>
  <c r="AJ130" i="1" s="1"/>
  <c r="U132" i="1"/>
  <c r="AJ132" i="1" s="1"/>
  <c r="U133" i="1"/>
  <c r="AJ133" i="1" s="1"/>
  <c r="U135" i="1"/>
  <c r="AJ135" i="1" s="1"/>
  <c r="AJ44" i="1" l="1"/>
  <c r="AJ36" i="1"/>
  <c r="AJ28" i="1"/>
  <c r="AJ125" i="1"/>
  <c r="AJ123" i="1"/>
  <c r="AJ121" i="1"/>
  <c r="AJ119" i="1"/>
  <c r="AJ117" i="1"/>
  <c r="AJ113" i="1"/>
  <c r="AJ111" i="1"/>
  <c r="AJ105" i="1"/>
  <c r="AJ103" i="1"/>
  <c r="AJ99" i="1"/>
  <c r="AJ97" i="1"/>
  <c r="AJ95" i="1"/>
  <c r="AJ93" i="1"/>
  <c r="AJ91" i="1"/>
  <c r="AJ89" i="1"/>
  <c r="AJ87" i="1"/>
  <c r="AJ83" i="1"/>
  <c r="AJ79" i="1"/>
  <c r="AJ75" i="1"/>
  <c r="AJ73" i="1"/>
  <c r="AJ67" i="1"/>
  <c r="AJ65" i="1"/>
  <c r="AJ61" i="1"/>
  <c r="AJ57" i="1"/>
  <c r="AJ55" i="1"/>
  <c r="AJ51" i="1"/>
  <c r="AJ49" i="1"/>
  <c r="AJ47" i="1"/>
  <c r="AJ45" i="1"/>
  <c r="AJ41" i="1"/>
  <c r="AJ39" i="1"/>
  <c r="AJ37" i="1"/>
  <c r="AJ35" i="1"/>
  <c r="AJ33" i="1"/>
  <c r="AJ31" i="1"/>
  <c r="AJ29" i="1"/>
  <c r="AJ27" i="1"/>
  <c r="AJ25" i="1"/>
  <c r="AJ23" i="1"/>
  <c r="AJ21" i="1"/>
  <c r="AJ19" i="1"/>
  <c r="AJ17" i="1"/>
  <c r="AJ15" i="1"/>
  <c r="AJ11" i="1"/>
  <c r="AJ9" i="1"/>
  <c r="AJ7" i="1"/>
  <c r="AJ40" i="1"/>
  <c r="AJ32" i="1"/>
  <c r="AJ24" i="1"/>
  <c r="AJ16" i="1"/>
  <c r="AJ8" i="1"/>
  <c r="S135" i="1"/>
  <c r="X135" i="1" s="1"/>
  <c r="L135" i="1"/>
  <c r="S134" i="1"/>
  <c r="L134" i="1"/>
  <c r="S133" i="1"/>
  <c r="X133" i="1" s="1"/>
  <c r="L133" i="1"/>
  <c r="S132" i="1"/>
  <c r="W132" i="1" s="1"/>
  <c r="L132" i="1"/>
  <c r="S131" i="1"/>
  <c r="X131" i="1" s="1"/>
  <c r="L131" i="1"/>
  <c r="S130" i="1"/>
  <c r="W130" i="1" s="1"/>
  <c r="L130" i="1"/>
  <c r="S129" i="1"/>
  <c r="L129" i="1"/>
  <c r="F128" i="1"/>
  <c r="E128" i="1"/>
  <c r="L128" i="1" s="1"/>
  <c r="S127" i="1"/>
  <c r="L127" i="1"/>
  <c r="S126" i="1"/>
  <c r="W126" i="1" s="1"/>
  <c r="L126" i="1"/>
  <c r="S125" i="1"/>
  <c r="X125" i="1" s="1"/>
  <c r="L125" i="1"/>
  <c r="S124" i="1"/>
  <c r="W124" i="1" s="1"/>
  <c r="L124" i="1"/>
  <c r="S123" i="1"/>
  <c r="X123" i="1" s="1"/>
  <c r="L123" i="1"/>
  <c r="S122" i="1"/>
  <c r="X122" i="1" s="1"/>
  <c r="L122" i="1"/>
  <c r="S121" i="1"/>
  <c r="X121" i="1" s="1"/>
  <c r="L121" i="1"/>
  <c r="S120" i="1"/>
  <c r="W120" i="1" s="1"/>
  <c r="L120" i="1"/>
  <c r="S119" i="1"/>
  <c r="X119" i="1" s="1"/>
  <c r="L119" i="1"/>
  <c r="S118" i="1"/>
  <c r="X118" i="1" s="1"/>
  <c r="L118" i="1"/>
  <c r="S117" i="1"/>
  <c r="W117" i="1" s="1"/>
  <c r="L117" i="1"/>
  <c r="S116" i="1"/>
  <c r="W116" i="1" s="1"/>
  <c r="L116" i="1"/>
  <c r="S115" i="1"/>
  <c r="X115" i="1" s="1"/>
  <c r="L115" i="1"/>
  <c r="S114" i="1"/>
  <c r="W114" i="1" s="1"/>
  <c r="L114" i="1"/>
  <c r="S113" i="1"/>
  <c r="W113" i="1" s="1"/>
  <c r="L113" i="1"/>
  <c r="S112" i="1"/>
  <c r="L112" i="1"/>
  <c r="F112" i="1"/>
  <c r="S111" i="1"/>
  <c r="W111" i="1" s="1"/>
  <c r="L111" i="1"/>
  <c r="S110" i="1"/>
  <c r="W110" i="1" s="1"/>
  <c r="L110" i="1"/>
  <c r="S109" i="1"/>
  <c r="L109" i="1"/>
  <c r="S108" i="1"/>
  <c r="T108" i="1" s="1"/>
  <c r="U108" i="1" s="1"/>
  <c r="L108" i="1"/>
  <c r="S107" i="1"/>
  <c r="X107" i="1" s="1"/>
  <c r="L107" i="1"/>
  <c r="S106" i="1"/>
  <c r="L106" i="1"/>
  <c r="S105" i="1"/>
  <c r="W105" i="1" s="1"/>
  <c r="L105" i="1"/>
  <c r="S104" i="1"/>
  <c r="X104" i="1" s="1"/>
  <c r="L104" i="1"/>
  <c r="S103" i="1"/>
  <c r="X103" i="1" s="1"/>
  <c r="L103" i="1"/>
  <c r="S102" i="1"/>
  <c r="W102" i="1" s="1"/>
  <c r="L102" i="1"/>
  <c r="S101" i="1"/>
  <c r="X101" i="1" s="1"/>
  <c r="L101" i="1"/>
  <c r="S100" i="1"/>
  <c r="T100" i="1" s="1"/>
  <c r="U100" i="1" s="1"/>
  <c r="L100" i="1"/>
  <c r="S99" i="1"/>
  <c r="W99" i="1" s="1"/>
  <c r="L99" i="1"/>
  <c r="S98" i="1"/>
  <c r="L98" i="1"/>
  <c r="S97" i="1"/>
  <c r="W97" i="1" s="1"/>
  <c r="L97" i="1"/>
  <c r="S96" i="1"/>
  <c r="W96" i="1" s="1"/>
  <c r="L96" i="1"/>
  <c r="S95" i="1"/>
  <c r="W95" i="1" s="1"/>
  <c r="L95" i="1"/>
  <c r="S94" i="1"/>
  <c r="W94" i="1" s="1"/>
  <c r="L94" i="1"/>
  <c r="S93" i="1"/>
  <c r="W93" i="1" s="1"/>
  <c r="L93" i="1"/>
  <c r="S92" i="1"/>
  <c r="X92" i="1" s="1"/>
  <c r="L92" i="1"/>
  <c r="S91" i="1"/>
  <c r="W91" i="1" s="1"/>
  <c r="L91" i="1"/>
  <c r="S90" i="1"/>
  <c r="W90" i="1" s="1"/>
  <c r="L90" i="1"/>
  <c r="S89" i="1"/>
  <c r="W89" i="1" s="1"/>
  <c r="L89" i="1"/>
  <c r="S88" i="1"/>
  <c r="T88" i="1" s="1"/>
  <c r="U88" i="1" s="1"/>
  <c r="L88" i="1"/>
  <c r="S87" i="1"/>
  <c r="W87" i="1" s="1"/>
  <c r="L87" i="1"/>
  <c r="S86" i="1"/>
  <c r="X86" i="1" s="1"/>
  <c r="L86" i="1"/>
  <c r="S85" i="1"/>
  <c r="L85" i="1"/>
  <c r="S84" i="1"/>
  <c r="L84" i="1"/>
  <c r="S83" i="1"/>
  <c r="W83" i="1" s="1"/>
  <c r="L83" i="1"/>
  <c r="S82" i="1"/>
  <c r="X82" i="1" s="1"/>
  <c r="L82" i="1"/>
  <c r="S81" i="1"/>
  <c r="T81" i="1" s="1"/>
  <c r="U81" i="1" s="1"/>
  <c r="L81" i="1"/>
  <c r="S80" i="1"/>
  <c r="W80" i="1" s="1"/>
  <c r="L80" i="1"/>
  <c r="S79" i="1"/>
  <c r="W79" i="1" s="1"/>
  <c r="L79" i="1"/>
  <c r="S78" i="1"/>
  <c r="X78" i="1" s="1"/>
  <c r="L78" i="1"/>
  <c r="S77" i="1"/>
  <c r="T77" i="1" s="1"/>
  <c r="U77" i="1" s="1"/>
  <c r="L77" i="1"/>
  <c r="S76" i="1"/>
  <c r="L76" i="1"/>
  <c r="S75" i="1"/>
  <c r="W75" i="1" s="1"/>
  <c r="L75" i="1"/>
  <c r="S74" i="1"/>
  <c r="X74" i="1" s="1"/>
  <c r="L74" i="1"/>
  <c r="S73" i="1"/>
  <c r="W73" i="1" s="1"/>
  <c r="L73" i="1"/>
  <c r="S72" i="1"/>
  <c r="W72" i="1" s="1"/>
  <c r="L72" i="1"/>
  <c r="S71" i="1"/>
  <c r="L71" i="1"/>
  <c r="S70" i="1"/>
  <c r="W70" i="1" s="1"/>
  <c r="L70" i="1"/>
  <c r="S69" i="1"/>
  <c r="L69" i="1"/>
  <c r="S68" i="1"/>
  <c r="L68" i="1"/>
  <c r="S67" i="1"/>
  <c r="W67" i="1" s="1"/>
  <c r="L67" i="1"/>
  <c r="S66" i="1"/>
  <c r="L66" i="1"/>
  <c r="S65" i="1"/>
  <c r="W65" i="1" s="1"/>
  <c r="L65" i="1"/>
  <c r="S64" i="1"/>
  <c r="L64" i="1"/>
  <c r="S63" i="1"/>
  <c r="L63" i="1"/>
  <c r="S62" i="1"/>
  <c r="L62" i="1"/>
  <c r="S61" i="1"/>
  <c r="W61" i="1" s="1"/>
  <c r="L61" i="1"/>
  <c r="S60" i="1"/>
  <c r="W60" i="1" s="1"/>
  <c r="L60" i="1"/>
  <c r="S59" i="1"/>
  <c r="L59" i="1"/>
  <c r="S58" i="1"/>
  <c r="W58" i="1" s="1"/>
  <c r="L58" i="1"/>
  <c r="S57" i="1"/>
  <c r="W57" i="1" s="1"/>
  <c r="L57" i="1"/>
  <c r="S56" i="1"/>
  <c r="W56" i="1" s="1"/>
  <c r="L56" i="1"/>
  <c r="S55" i="1"/>
  <c r="W55" i="1" s="1"/>
  <c r="L55" i="1"/>
  <c r="S54" i="1"/>
  <c r="W54" i="1" s="1"/>
  <c r="L54" i="1"/>
  <c r="S53" i="1"/>
  <c r="L53" i="1"/>
  <c r="S52" i="1"/>
  <c r="T52" i="1" s="1"/>
  <c r="U52" i="1" s="1"/>
  <c r="L52" i="1"/>
  <c r="S51" i="1"/>
  <c r="W51" i="1" s="1"/>
  <c r="L51" i="1"/>
  <c r="S50" i="1"/>
  <c r="L50" i="1"/>
  <c r="S49" i="1"/>
  <c r="W49" i="1" s="1"/>
  <c r="L49" i="1"/>
  <c r="S48" i="1"/>
  <c r="W48" i="1" s="1"/>
  <c r="L48" i="1"/>
  <c r="S47" i="1"/>
  <c r="W47" i="1" s="1"/>
  <c r="L47" i="1"/>
  <c r="S46" i="1"/>
  <c r="W46" i="1" s="1"/>
  <c r="L46" i="1"/>
  <c r="S45" i="1"/>
  <c r="W45" i="1" s="1"/>
  <c r="L45" i="1"/>
  <c r="S44" i="1"/>
  <c r="W44" i="1" s="1"/>
  <c r="L44" i="1"/>
  <c r="S43" i="1"/>
  <c r="L43" i="1"/>
  <c r="S42" i="1"/>
  <c r="L42" i="1"/>
  <c r="S41" i="1"/>
  <c r="W41" i="1" s="1"/>
  <c r="L41" i="1"/>
  <c r="S40" i="1"/>
  <c r="W40" i="1" s="1"/>
  <c r="L40" i="1"/>
  <c r="S39" i="1"/>
  <c r="W39" i="1" s="1"/>
  <c r="L39" i="1"/>
  <c r="S38" i="1"/>
  <c r="W38" i="1" s="1"/>
  <c r="L38" i="1"/>
  <c r="S37" i="1"/>
  <c r="W37" i="1" s="1"/>
  <c r="L37" i="1"/>
  <c r="S36" i="1"/>
  <c r="X36" i="1" s="1"/>
  <c r="L36" i="1"/>
  <c r="S35" i="1"/>
  <c r="X35" i="1" s="1"/>
  <c r="L35" i="1"/>
  <c r="S34" i="1"/>
  <c r="L34" i="1"/>
  <c r="S33" i="1"/>
  <c r="W33" i="1" s="1"/>
  <c r="L33" i="1"/>
  <c r="S32" i="1"/>
  <c r="W32" i="1" s="1"/>
  <c r="L32" i="1"/>
  <c r="S31" i="1"/>
  <c r="X31" i="1" s="1"/>
  <c r="L31" i="1"/>
  <c r="S30" i="1"/>
  <c r="X30" i="1" s="1"/>
  <c r="L30" i="1"/>
  <c r="S29" i="1"/>
  <c r="W29" i="1" s="1"/>
  <c r="L29" i="1"/>
  <c r="S28" i="1"/>
  <c r="W28" i="1" s="1"/>
  <c r="L28" i="1"/>
  <c r="S27" i="1"/>
  <c r="W27" i="1" s="1"/>
  <c r="L27" i="1"/>
  <c r="S26" i="1"/>
  <c r="L26" i="1"/>
  <c r="S25" i="1"/>
  <c r="W25" i="1" s="1"/>
  <c r="L25" i="1"/>
  <c r="S24" i="1"/>
  <c r="W24" i="1" s="1"/>
  <c r="L24" i="1"/>
  <c r="S23" i="1"/>
  <c r="W23" i="1" s="1"/>
  <c r="L23" i="1"/>
  <c r="S22" i="1"/>
  <c r="T22" i="1" s="1"/>
  <c r="U22" i="1" s="1"/>
  <c r="L22" i="1"/>
  <c r="S21" i="1"/>
  <c r="W21" i="1" s="1"/>
  <c r="L21" i="1"/>
  <c r="S20" i="1"/>
  <c r="T20" i="1" s="1"/>
  <c r="U20" i="1" s="1"/>
  <c r="L20" i="1"/>
  <c r="S19" i="1"/>
  <c r="W19" i="1" s="1"/>
  <c r="L19" i="1"/>
  <c r="S18" i="1"/>
  <c r="L18" i="1"/>
  <c r="S17" i="1"/>
  <c r="W17" i="1" s="1"/>
  <c r="L17" i="1"/>
  <c r="S16" i="1"/>
  <c r="W16" i="1" s="1"/>
  <c r="L16" i="1"/>
  <c r="S15" i="1"/>
  <c r="W15" i="1" s="1"/>
  <c r="L15" i="1"/>
  <c r="S14" i="1"/>
  <c r="L14" i="1"/>
  <c r="S13" i="1"/>
  <c r="T13" i="1" s="1"/>
  <c r="U13" i="1" s="1"/>
  <c r="L13" i="1"/>
  <c r="S12" i="1"/>
  <c r="L12" i="1"/>
  <c r="S11" i="1"/>
  <c r="X11" i="1" s="1"/>
  <c r="L11" i="1"/>
  <c r="S10" i="1"/>
  <c r="W10" i="1" s="1"/>
  <c r="L10" i="1"/>
  <c r="S9" i="1"/>
  <c r="X9" i="1" s="1"/>
  <c r="L9" i="1"/>
  <c r="S8" i="1"/>
  <c r="W8" i="1" s="1"/>
  <c r="L8" i="1"/>
  <c r="S7" i="1"/>
  <c r="W7" i="1" s="1"/>
  <c r="L7" i="1"/>
  <c r="S6" i="1"/>
  <c r="T6" i="1" s="1"/>
  <c r="U6" i="1" s="1"/>
  <c r="L6" i="1"/>
  <c r="AH5" i="1"/>
  <c r="AG5" i="1"/>
  <c r="AF5" i="1"/>
  <c r="AE5" i="1"/>
  <c r="AD5" i="1"/>
  <c r="AC5" i="1"/>
  <c r="AB5" i="1"/>
  <c r="AA5" i="1"/>
  <c r="Z5" i="1"/>
  <c r="Y5" i="1"/>
  <c r="R5" i="1"/>
  <c r="Q5" i="1"/>
  <c r="P5" i="1"/>
  <c r="O5" i="1"/>
  <c r="N5" i="1"/>
  <c r="M5" i="1"/>
  <c r="K5" i="1"/>
  <c r="W118" i="1" l="1"/>
  <c r="W133" i="1"/>
  <c r="W119" i="1"/>
  <c r="W121" i="1"/>
  <c r="W123" i="1"/>
  <c r="W125" i="1"/>
  <c r="AJ6" i="1"/>
  <c r="W6" i="1"/>
  <c r="AJ13" i="1"/>
  <c r="W13" i="1"/>
  <c r="W20" i="1"/>
  <c r="AJ20" i="1"/>
  <c r="AJ22" i="1"/>
  <c r="W22" i="1"/>
  <c r="AJ52" i="1"/>
  <c r="W52" i="1"/>
  <c r="AJ77" i="1"/>
  <c r="W77" i="1"/>
  <c r="AJ81" i="1"/>
  <c r="W81" i="1"/>
  <c r="AJ88" i="1"/>
  <c r="W88" i="1"/>
  <c r="AJ100" i="1"/>
  <c r="W100" i="1"/>
  <c r="AJ108" i="1"/>
  <c r="W108" i="1"/>
  <c r="W86" i="1"/>
  <c r="W9" i="1"/>
  <c r="W11" i="1"/>
  <c r="W31" i="1"/>
  <c r="W35" i="1"/>
  <c r="W103" i="1"/>
  <c r="X112" i="1"/>
  <c r="W30" i="1"/>
  <c r="W82" i="1"/>
  <c r="W122" i="1"/>
  <c r="W135" i="1"/>
  <c r="W92" i="1"/>
  <c r="W104" i="1"/>
  <c r="W36" i="1"/>
  <c r="X127" i="1"/>
  <c r="T127" i="1"/>
  <c r="U127" i="1" s="1"/>
  <c r="T85" i="1"/>
  <c r="U85" i="1" s="1"/>
  <c r="X98" i="1"/>
  <c r="T98" i="1"/>
  <c r="U98" i="1" s="1"/>
  <c r="X129" i="1"/>
  <c r="T129" i="1"/>
  <c r="U129" i="1" s="1"/>
  <c r="T106" i="1"/>
  <c r="U106" i="1" s="1"/>
  <c r="X109" i="1"/>
  <c r="T109" i="1"/>
  <c r="U109" i="1" s="1"/>
  <c r="X97" i="1"/>
  <c r="T112" i="1"/>
  <c r="U112" i="1" s="1"/>
  <c r="AJ112" i="1" s="1"/>
  <c r="E5" i="1"/>
  <c r="X99" i="1"/>
  <c r="X105" i="1"/>
  <c r="T131" i="1"/>
  <c r="U131" i="1" s="1"/>
  <c r="X7" i="1"/>
  <c r="X10" i="1"/>
  <c r="X14" i="1"/>
  <c r="T14" i="1"/>
  <c r="U14" i="1" s="1"/>
  <c r="X17" i="1"/>
  <c r="X19" i="1"/>
  <c r="X23" i="1"/>
  <c r="X26" i="1"/>
  <c r="T26" i="1"/>
  <c r="U26" i="1" s="1"/>
  <c r="X28" i="1"/>
  <c r="X32" i="1"/>
  <c r="X43" i="1"/>
  <c r="T43" i="1"/>
  <c r="U43" i="1" s="1"/>
  <c r="X51" i="1"/>
  <c r="X60" i="1"/>
  <c r="X64" i="1"/>
  <c r="T64" i="1"/>
  <c r="U64" i="1" s="1"/>
  <c r="X68" i="1"/>
  <c r="T68" i="1"/>
  <c r="U68" i="1" s="1"/>
  <c r="X72" i="1"/>
  <c r="X76" i="1"/>
  <c r="T76" i="1"/>
  <c r="U76" i="1" s="1"/>
  <c r="X84" i="1"/>
  <c r="T84" i="1"/>
  <c r="U84" i="1" s="1"/>
  <c r="X94" i="1"/>
  <c r="T42" i="1"/>
  <c r="U42" i="1" s="1"/>
  <c r="T50" i="1"/>
  <c r="U50" i="1" s="1"/>
  <c r="T59" i="1"/>
  <c r="U59" i="1" s="1"/>
  <c r="T63" i="1"/>
  <c r="U63" i="1" s="1"/>
  <c r="T71" i="1"/>
  <c r="U71" i="1" s="1"/>
  <c r="T115" i="1"/>
  <c r="U115" i="1" s="1"/>
  <c r="X12" i="1"/>
  <c r="T12" i="1"/>
  <c r="U12" i="1" s="1"/>
  <c r="X21" i="1"/>
  <c r="X37" i="1"/>
  <c r="X39" i="1"/>
  <c r="X41" i="1"/>
  <c r="X45" i="1"/>
  <c r="X47" i="1"/>
  <c r="X49" i="1"/>
  <c r="X53" i="1"/>
  <c r="T53" i="1"/>
  <c r="U53" i="1" s="1"/>
  <c r="X55" i="1"/>
  <c r="X57" i="1"/>
  <c r="X62" i="1"/>
  <c r="T62" i="1"/>
  <c r="U62" i="1" s="1"/>
  <c r="X66" i="1"/>
  <c r="T66" i="1"/>
  <c r="U66" i="1" s="1"/>
  <c r="X70" i="1"/>
  <c r="X80" i="1"/>
  <c r="X89" i="1"/>
  <c r="X111" i="1"/>
  <c r="T134" i="1"/>
  <c r="U134" i="1" s="1"/>
  <c r="T18" i="1"/>
  <c r="U18" i="1" s="1"/>
  <c r="T34" i="1"/>
  <c r="U34" i="1" s="1"/>
  <c r="T69" i="1"/>
  <c r="U69" i="1" s="1"/>
  <c r="T74" i="1"/>
  <c r="U74" i="1" s="1"/>
  <c r="T78" i="1"/>
  <c r="U78" i="1" s="1"/>
  <c r="T101" i="1"/>
  <c r="U101" i="1" s="1"/>
  <c r="T107" i="1"/>
  <c r="U107" i="1" s="1"/>
  <c r="X59" i="1"/>
  <c r="X61" i="1"/>
  <c r="X63" i="1"/>
  <c r="X65" i="1"/>
  <c r="X67" i="1"/>
  <c r="X69" i="1"/>
  <c r="X71" i="1"/>
  <c r="X73" i="1"/>
  <c r="X75" i="1"/>
  <c r="X77" i="1"/>
  <c r="X79" i="1"/>
  <c r="X81" i="1"/>
  <c r="X83" i="1"/>
  <c r="X85" i="1"/>
  <c r="X87" i="1"/>
  <c r="X91" i="1"/>
  <c r="X93" i="1"/>
  <c r="X95" i="1"/>
  <c r="X113" i="1"/>
  <c r="X117" i="1"/>
  <c r="S128" i="1"/>
  <c r="T128" i="1" s="1"/>
  <c r="U128" i="1" s="1"/>
  <c r="AJ128" i="1" s="1"/>
  <c r="X130" i="1"/>
  <c r="X132" i="1"/>
  <c r="X134" i="1"/>
  <c r="X6" i="1"/>
  <c r="L5" i="1"/>
  <c r="X8" i="1"/>
  <c r="X13" i="1"/>
  <c r="X15" i="1"/>
  <c r="X16" i="1"/>
  <c r="X18" i="1"/>
  <c r="X20" i="1"/>
  <c r="X22" i="1"/>
  <c r="X24" i="1"/>
  <c r="X25" i="1"/>
  <c r="X27" i="1"/>
  <c r="X29" i="1"/>
  <c r="X33" i="1"/>
  <c r="X34" i="1"/>
  <c r="X38" i="1"/>
  <c r="X40" i="1"/>
  <c r="X42" i="1"/>
  <c r="X44" i="1"/>
  <c r="X46" i="1"/>
  <c r="X48" i="1"/>
  <c r="X50" i="1"/>
  <c r="F5" i="1"/>
  <c r="X52" i="1"/>
  <c r="X54" i="1"/>
  <c r="X56" i="1"/>
  <c r="X58" i="1"/>
  <c r="X88" i="1"/>
  <c r="X90" i="1"/>
  <c r="X96" i="1"/>
  <c r="X100" i="1"/>
  <c r="X102" i="1"/>
  <c r="X106" i="1"/>
  <c r="X108" i="1"/>
  <c r="X110" i="1"/>
  <c r="X114" i="1"/>
  <c r="X116" i="1"/>
  <c r="X120" i="1"/>
  <c r="X124" i="1"/>
  <c r="X126" i="1"/>
  <c r="AJ101" i="1" l="1"/>
  <c r="W101" i="1"/>
  <c r="AJ74" i="1"/>
  <c r="W74" i="1"/>
  <c r="AJ34" i="1"/>
  <c r="W34" i="1"/>
  <c r="AJ134" i="1"/>
  <c r="W134" i="1"/>
  <c r="W12" i="1"/>
  <c r="AJ12" i="1"/>
  <c r="AJ115" i="1"/>
  <c r="W115" i="1"/>
  <c r="AJ63" i="1"/>
  <c r="W63" i="1"/>
  <c r="AJ50" i="1"/>
  <c r="W50" i="1"/>
  <c r="AJ68" i="1"/>
  <c r="W68" i="1"/>
  <c r="AJ64" i="1"/>
  <c r="W64" i="1"/>
  <c r="AJ43" i="1"/>
  <c r="W43" i="1"/>
  <c r="AJ26" i="1"/>
  <c r="W26" i="1"/>
  <c r="AJ129" i="1"/>
  <c r="W129" i="1"/>
  <c r="AJ98" i="1"/>
  <c r="W98" i="1"/>
  <c r="AJ85" i="1"/>
  <c r="W85" i="1"/>
  <c r="W128" i="1"/>
  <c r="AJ107" i="1"/>
  <c r="W107" i="1"/>
  <c r="AJ78" i="1"/>
  <c r="W78" i="1"/>
  <c r="AJ69" i="1"/>
  <c r="W69" i="1"/>
  <c r="AJ18" i="1"/>
  <c r="W18" i="1"/>
  <c r="AJ66" i="1"/>
  <c r="W66" i="1"/>
  <c r="AJ62" i="1"/>
  <c r="W62" i="1"/>
  <c r="AJ53" i="1"/>
  <c r="W53" i="1"/>
  <c r="AJ71" i="1"/>
  <c r="W71" i="1"/>
  <c r="AJ59" i="1"/>
  <c r="W59" i="1"/>
  <c r="AJ42" i="1"/>
  <c r="W42" i="1"/>
  <c r="AJ84" i="1"/>
  <c r="W84" i="1"/>
  <c r="AJ76" i="1"/>
  <c r="W76" i="1"/>
  <c r="AJ14" i="1"/>
  <c r="W14" i="1"/>
  <c r="AJ131" i="1"/>
  <c r="W131" i="1"/>
  <c r="AJ109" i="1"/>
  <c r="W109" i="1"/>
  <c r="AJ106" i="1"/>
  <c r="W106" i="1"/>
  <c r="AJ127" i="1"/>
  <c r="W127" i="1"/>
  <c r="W112" i="1"/>
  <c r="U5" i="1"/>
  <c r="S5" i="1"/>
  <c r="X128" i="1"/>
  <c r="AJ5" i="1" l="1"/>
  <c r="T5" i="1"/>
</calcChain>
</file>

<file path=xl/sharedStrings.xml><?xml version="1.0" encoding="utf-8"?>
<sst xmlns="http://schemas.openxmlformats.org/spreadsheetml/2006/main" count="470" uniqueCount="187">
  <si>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</si>
  <si>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</si>
  <si>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</si>
  <si>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</si>
  <si>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</si>
  <si>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</si>
  <si>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</si>
  <si>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</si>
  <si>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</si>
  <si>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</si>
  <si>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</si>
  <si>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</si>
  <si>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</si>
  <si>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</si>
  <si>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</si>
  <si>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</si>
  <si>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</si>
  <si>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</si>
  <si>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</si>
  <si>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</si>
  <si>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</si>
  <si>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</si>
  <si>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02,09,</t>
  </si>
  <si>
    <t>02,09,доз</t>
  </si>
  <si>
    <t>04,08,</t>
  </si>
  <si>
    <t>04,08,доз</t>
  </si>
  <si>
    <t>30,07,</t>
  </si>
  <si>
    <t>28,07,</t>
  </si>
  <si>
    <t>23,07,</t>
  </si>
  <si>
    <t>21,07,</t>
  </si>
  <si>
    <t>16,07,</t>
  </si>
  <si>
    <t>14,07,</t>
  </si>
  <si>
    <t>09,07,</t>
  </si>
  <si>
    <t>07,07,</t>
  </si>
  <si>
    <t>02,07,</t>
  </si>
  <si>
    <t>30,06,</t>
  </si>
  <si>
    <t xml:space="preserve"> 005  Колбаса Докторская ГОСТ, Вязанка вектор,ВЕС. ПОКОМ</t>
  </si>
  <si>
    <t>кг</t>
  </si>
  <si>
    <t>матрица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</si>
  <si>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</si>
  <si>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</si>
  <si>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023  Колбаса Докторская ГОСТ, Вязанка вектор, 0,4 кг, ПОКОМ</t>
  </si>
  <si>
    <t>шт</t>
  </si>
  <si>
    <t>нет потребности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</si>
  <si>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</si>
  <si>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</si>
  <si>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 xml:space="preserve"> 047  Кол Баварская, белков.обол. в термоусад. пакете 0.17 кг, ТМ Стародворье  ПОКОМ</t>
  </si>
  <si>
    <t xml:space="preserve"> 062  Колбаса Кракушка пряная с сальцем, 0.3кг в/у п/к, БАВАРУШКА ПОКОМ</t>
  </si>
  <si>
    <t xml:space="preserve"> 083  Колбаса Швейцарская 0,17 кг., ШТ., сырокопченая   ПОКОМ</t>
  </si>
  <si>
    <t xml:space="preserve"> 104  Сосиски Молочные по-стародворски, амицел МГС 0.45кг, ТМ Стародворье    ПОКОМ</t>
  </si>
  <si>
    <t>не в матрице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</si>
  <si>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</si>
  <si>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</si>
  <si>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215  Колбаса Докторская ГОСТ Дугушка, ВЕС, ТМ Стародворье ПОКОМ</t>
  </si>
  <si>
    <t xml:space="preserve"> 225  Колбаса Дугушка со шпиком, ВЕС, ТМ Стародворье   ПОКОМ</t>
  </si>
  <si>
    <t xml:space="preserve"> 226  Колбаса Княжеская, с/к белков.обол в термоусад. пакете, ВЕС, ТМ Стародворье ПОКОМ</t>
  </si>
  <si>
    <t xml:space="preserve"> 229  Колбаса Молочная Дугушка, в/у, ВЕС, ТМ Стародворье  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</si>
  <si>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</si>
  <si>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</si>
  <si>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240  Колбаса Салями охотничья, ВЕС. ПОКОМ</t>
  </si>
  <si>
    <t xml:space="preserve"> 242  Колбаса Сервелат ЗАПЕЧ.Дугушка ТМ Стародворье, вектор, в/к     ПОКОМ</t>
  </si>
  <si>
    <t xml:space="preserve"> 244  Колбаса Сервелат Кремлевский, ВЕС.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</si>
  <si>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</si>
  <si>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</si>
  <si>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</si>
  <si>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251  Сосиски Баварские, ВЕС.  ПОКОМ</t>
  </si>
  <si>
    <t xml:space="preserve"> 253  Сосиски Ганноверские   ПОКОМ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</si>
  <si>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</si>
  <si>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</si>
  <si>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</si>
  <si>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</si>
  <si>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</si>
  <si>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</si>
  <si>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 xml:space="preserve"> 276  Колбаса Сливушка ТМ Вязанка в оболочке полиамид 0,45 кг  ПОКОМ</t>
  </si>
  <si>
    <t xml:space="preserve"> 278  Сосиски Сочинки с сочным окороком, МГС 0.4кг,   ПОКОМ</t>
  </si>
  <si>
    <t xml:space="preserve"> 281  Сосиски Молочные для завтрака ТМ Особый рецепт, 0,4кг  ПОКОМ</t>
  </si>
  <si>
    <t xml:space="preserve"> 283  Сосиски Сочинки, ВЕС, ТМ Стародворье ПОКОМ</t>
  </si>
  <si>
    <t xml:space="preserve"> 285  Паштет печеночный со слив.маслом ТМ Стародворье ламистер 0,1 кг  ПОКОМ</t>
  </si>
  <si>
    <t xml:space="preserve"> 296  Колбаса Мясорубская с рубленой грудинкой 0,35кг срез ТМ Стародворье  ПОКОМ</t>
  </si>
  <si>
    <t xml:space="preserve"> 297  Колбаса Мясорубская с рубленой грудинкой ВЕС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</si>
  <si>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</si>
  <si>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</si>
  <si>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305  Колбаса Сервелат Мясорубский с мелкорубленным окороком в/у  ТМ Стародворье ВЕС   ПОКОМ</t>
  </si>
  <si>
    <t>нужно увеличить продажи</t>
  </si>
  <si>
    <t xml:space="preserve"> 307  Колбаса Сервелат Мясорубский с мелкорубленным окороком 0,35 кг срез ТМ Стародворье   Поком</t>
  </si>
  <si>
    <t xml:space="preserve"> 309  Сосиски Сочинки с сыром 0,4 кг ТМ Стародворье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</si>
  <si>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</si>
  <si>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</si>
  <si>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 xml:space="preserve"> 318  Сосиски Датские ТМ Зареченские, ВЕС  ПОКОМ</t>
  </si>
  <si>
    <t xml:space="preserve"> 319  Колбаса вареная Филейская ТМ Вязанка ТС Классическая, 0,45 кг. ПОКОМ</t>
  </si>
  <si>
    <t xml:space="preserve"> 322  Колбаса вареная Молокуша 0,45кг ТМ Вязанка 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</si>
  <si>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</si>
  <si>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</si>
  <si>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 xml:space="preserve"> 330  Колбаса вареная Филейская ТМ Вязанка ТС Классическая ВЕС  ПОКОМ</t>
  </si>
  <si>
    <t xml:space="preserve"> 333  Колбаса Балыковая, Вязанка фиброуз в/у, ВЕС ПОКОМ</t>
  </si>
  <si>
    <t>дубль</t>
  </si>
  <si>
    <t xml:space="preserve"> 558  Колбаса Балыковая НОВАЯ ВЕС Вязанка фиброуз в/у ПОКОМ</t>
  </si>
  <si>
    <t xml:space="preserve"> 334  Паштет Любительский ТМ Стародворье ламистер 0,1 кг  ПОКОМ</t>
  </si>
  <si>
    <t xml:space="preserve"> 335  Колбаса Сливушка ТМ Вязанка. ВЕС.  ПОКОМ </t>
  </si>
  <si>
    <t xml:space="preserve"> 336  Ветчина Сливушка с индейкой ТМ Вязанка. ВЕС  ПОКОМ</t>
  </si>
  <si>
    <t xml:space="preserve"> 338  Паштет печеночный с морковью ТМ Стародворье ламистер 0,1 кг.  ПОКОМ</t>
  </si>
  <si>
    <t xml:space="preserve"> 339  Колбаса вареная Филейская ТМ Вязанка ТС Классическая, 0,40 кг.  ПОКОМ</t>
  </si>
  <si>
    <t xml:space="preserve"> 340  Сосиски Сочинки Молочные ТМ Стародворье, ВЕС ПОКОМ</t>
  </si>
  <si>
    <t>120кг под задачи ТК (31,07,26)</t>
  </si>
  <si>
    <t xml:space="preserve"> 341 Сосиски Сочинки Сливочные ТМ Стародворье ВЕС ПОКОМ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</si>
  <si>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</si>
  <si>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 ПОКОМ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</si>
  <si>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</si>
  <si>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</si>
  <si>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346  Колбаса Сочинка зернистая с сочной грудинкой ТМ Стародворье.ВЕС ПОКОМ</t>
  </si>
  <si>
    <t xml:space="preserve"> 347  Колбаса Сочинка рубленая с сочным окороком ТМ Стародворье ВЕС ПОКОМ</t>
  </si>
  <si>
    <t xml:space="preserve"> 355  Колбаса Сервелат запеченный ТМ Стародворье ТС Дугушка. 0,6 кг. ПОКОМ</t>
  </si>
  <si>
    <t xml:space="preserve"> 364  Сардельки Филейские Вязанка ВЕС NDX ТМ Вязанка  ПОКОМ</t>
  </si>
  <si>
    <t xml:space="preserve"> 376  Колбаса Докторская Дугушка 0,6кг ГОСТ ТМ Стародворье  ПОКОМ </t>
  </si>
  <si>
    <t xml:space="preserve"> 377  Колбаса Молочная Дугушка 0,6кг ТМ Стародворье  ПОКОМ</t>
  </si>
  <si>
    <t xml:space="preserve"> 387  Колбаса вареная Мусульманская Халяль ТМ Вязанка, 0,4 кг ПОКОМ</t>
  </si>
  <si>
    <t xml:space="preserve"> 388  Сосиски Восточные Халяль ТМ Вязанка 0,33 кг АК. ПОКОМ</t>
  </si>
  <si>
    <t xml:space="preserve"> 394 Колбаса полукопченая Аль-Ислами халяль ТМ Вязанка оболочка фиброуз в в/у 0,35 кг  ПОКОМ</t>
  </si>
  <si>
    <t xml:space="preserve"> 395  Колбаса Докторская ГОСТ ТМ Вязанка в оболочке полиамид 0,37 кг. ПОКОМ</t>
  </si>
  <si>
    <t xml:space="preserve"> 397  Ветчина Дугушка ТМ Стародворье ТС Дугушка в полиамидной оболочке 0,6 кг. ПОКОМ</t>
  </si>
  <si>
    <t xml:space="preserve"> 405  Сардельки Сливушки ТМ Вязанка в оболочке айпил 0,33 кг. ПОКОМ</t>
  </si>
  <si>
    <t xml:space="preserve"> 408  Ветчина Сливушка с индейкой ТМ Вязанка, 0,4кг  ПОКОМ</t>
  </si>
  <si>
    <t xml:space="preserve"> 410  Сосиски Баварские с сыром ТМ Стародворье 0,35 кг. ПОКОМ</t>
  </si>
  <si>
    <t xml:space="preserve"> 412  Сосиски Баварские ТМ Стародворье 0,35 кг ПОКОМ</t>
  </si>
  <si>
    <t xml:space="preserve"> 430  Колбаса Стародворская с окороком 0,4 кг. ТМ Стародворье в оболочке полиамид  ПОКОМ</t>
  </si>
  <si>
    <t xml:space="preserve"> 433 Колбаса Стародворская со шпиком  в оболочке полиамид. ТМ Стародворье ВЕС ПОКОМ</t>
  </si>
  <si>
    <t xml:space="preserve"> 435  Колбаса Молочная Стародворская  с молоком в оболочке полиамид 0,4 кг.ТМ Стародворье ПОКОМ</t>
  </si>
  <si>
    <t xml:space="preserve"> 436  Колбаса Молочная стародворская с молоком, ВЕС, ТМ Стародворье  ПОКОМ</t>
  </si>
  <si>
    <t xml:space="preserve"> 449  Колбаса Дугушка Стародворская ВЕС ТС Дугушка ПОКОМ</t>
  </si>
  <si>
    <t xml:space="preserve"> 451 Сосиски Филейские ТМ Вязанка в оболочке целлофан 0,3 кг.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</si>
  <si>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</si>
  <si>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</si>
  <si>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457  Колбаса Молочная ТМ Особый рецепт ВЕС большой батон  ПОКОМ</t>
  </si>
  <si>
    <t xml:space="preserve"> 460  Колбаса Стародворская Традиционная ВЕС ТМ Стародворье в оболочке полиамид. ПОКОМ</t>
  </si>
  <si>
    <t xml:space="preserve"> 469  Колбаса Филедворская по-стародворски ТМ Стародворье в оболочке полиамид.ВЕС  ПОКОМ </t>
  </si>
  <si>
    <t xml:space="preserve"> 485  Колбаса Молочная по-стародворски ТМ Стародворье в оболочке полиамид. ВЕС ПОКОМ </t>
  </si>
  <si>
    <t>помощь Донецку</t>
  </si>
  <si>
    <t xml:space="preserve"> 498  Колбаса Сочинка рубленая с сочным окороком 0,3кг ТМ Стародворье  ПОКОМ</t>
  </si>
  <si>
    <t xml:space="preserve"> 517  Сосиски С сыром ТМ Ядрена копоть 0,3кг  ПОКОМ</t>
  </si>
  <si>
    <t xml:space="preserve"> 523  Колбаса Сальчичон нарезка 0,07кг ТМ Стародворье  ПОКОМ </t>
  </si>
  <si>
    <t xml:space="preserve"> 524  Колбаса Сервелат Ореховый нарезка 0,07кг ТМ Стародворье  ПОКОМ</t>
  </si>
  <si>
    <t xml:space="preserve"> 525  Колбаса Фуэт нарезка 0,07кг ТМ Стародворье  ПОКОМ</t>
  </si>
  <si>
    <t xml:space="preserve"> 526  Корейка вяленая выдержанная нарезка 0,05кг ТМ Стародворье  ПОКОМ</t>
  </si>
  <si>
    <t xml:space="preserve"> 544  Сосиски Мясные для гриля ТС Ядрена копоть 0,3 кг  ПОКОМ</t>
  </si>
  <si>
    <t xml:space="preserve"> 547  Колбаса Мясная Классическая ТМ Вязанка в оболочке полиамид. ВЕС  ПОКОМ</t>
  </si>
  <si>
    <t xml:space="preserve"> 551  Колбаса Сливушка ТМ Вязанка в модифицированной газовой среде 0,11 кг нарезка  ПОКОМ</t>
  </si>
  <si>
    <t xml:space="preserve"> 552  Ветчина Сливушка с индейкой ТМ Вязанка в модифицированной газовой среде 0,1 кг нарезка  ПОКОМ</t>
  </si>
  <si>
    <t xml:space="preserve"> 553  Ассорти колбас Мясорубская коллекция: Сервелат Делюкс, С балыком 0,08 кг нарезка  ПОКОМ</t>
  </si>
  <si>
    <t xml:space="preserve"> 554  Колбаса Сервелат Мясорубский ТМ Стародворье в упаковке скин 0,08 кг нарезка  ПОКОМ</t>
  </si>
  <si>
    <t xml:space="preserve"> 555  Колбаса Молокуша ТМ Вязанка в модифицированной газовой среде 0,17 кг нарезка  ПОКОМ</t>
  </si>
  <si>
    <t>21 шт в уценку 30,06,26</t>
  </si>
  <si>
    <t xml:space="preserve"> 556  Колбаса Сервелат Ореховый ТМ Вязанка в оболочке фиброуз в вакуумной упаковке, ВЕС  ПОКОМ</t>
  </si>
  <si>
    <t xml:space="preserve"> 557  Колбаса Сервелат Финский ТМ Вязанка в оболочке фиброуз в вакуумной упаковке, ВЕС  ПОКОМ</t>
  </si>
  <si>
    <t xml:space="preserve"> 564  Сосиски Сочные 0,3 кг ТМ Вязанка  ПОКОМ</t>
  </si>
  <si>
    <t xml:space="preserve"> 567 Колбаса Со шпиком Стародворская ТМ Стародворье в оболочке полиамид ВЕС  ПОКОМ</t>
  </si>
  <si>
    <t xml:space="preserve"> 569  Колбаса Балыковая ТМ Вязанка в оболочке фиброуз в вакуумной упаковке 0,28 кг срез.  ПОКОМ</t>
  </si>
  <si>
    <t xml:space="preserve"> 570  Колбаса Сервелат Финский ТМ Вязанка в оболочке фиброуз в вак. упаковке 0,28 кг срез  ПОКОМ</t>
  </si>
  <si>
    <t xml:space="preserve"> 571  Колбаса Сервелат Ореховый ТМ Вязанка в оболочке фиброуз в вак. упаковке 0,28 кг срез  ПОКОМ</t>
  </si>
  <si>
    <t xml:space="preserve"> 574  Колбаса Сервелат Финский ТМ Вязанка в упаковке скин 0,09 кг нарезка  ПОКОМ</t>
  </si>
  <si>
    <t xml:space="preserve"> 579  Колбаса Ветчинно-рубленая ТМ Особый рецепт в оболочке полиамид.ВЕС  ПОКОМ</t>
  </si>
  <si>
    <t xml:space="preserve"> 580  Ветчина Нежная с индейкой ТМ Особый рецепт в оболочке полиамид.ВЕС  ПОКОМ</t>
  </si>
  <si>
    <t xml:space="preserve"> 583  Колбаса Балыковая ТМ Вязанка в упаковке скин 0,09 кг нарезка  ПОКОМ</t>
  </si>
  <si>
    <t xml:space="preserve"> 584  Колбаса Сервелат Ореховый ТМ Вязанка в упаковке скин 0,09 кг нарезка  ПОКОМ</t>
  </si>
  <si>
    <t xml:space="preserve"> 585  Колбаса Молочная ТМ Стародворье в оболочке вектор НД ВЕС.  ПОКОМ</t>
  </si>
  <si>
    <t xml:space="preserve"> 586  Колбаса Мясная ТМ Стародворье в оболочке вектор НД ВЕС.  ПОКОМ</t>
  </si>
  <si>
    <t xml:space="preserve"> 588 Колбаса Со шпиком ТМ Стародворье в оболочке вектор ВЕС  ПОКОМ</t>
  </si>
  <si>
    <t xml:space="preserve"> 597  Колбаса Классическая ТМ Особый рецепт в оболочке полиамид ВЕС. ПОКОМ</t>
  </si>
  <si>
    <t>вместо 219</t>
  </si>
  <si>
    <t xml:space="preserve"> 614  Буженина в пряном маринаде 0,25 кг консервы из мяса индейки ТМ Стародворье  ПОКОМ</t>
  </si>
  <si>
    <t>новинка</t>
  </si>
  <si>
    <t xml:space="preserve"> 615  Гречка по-купечески с говядиной и овощами 0,325кг ТМ Стародворье  ПОКОМ</t>
  </si>
  <si>
    <t xml:space="preserve"> 616  Индейка томлёная в собственном соку 0,25кг ТМ Стародлворье Консервый из мяс.птицы  ПОКОМ</t>
  </si>
  <si>
    <t>495  Колбаса Сочинка по-европейски с сочной грудинкой 0,3кг ТМ Стародворье  ПОКОМ</t>
  </si>
  <si>
    <t>496  Колбаса Сочинка по-фински с сочным окроком 0,3кг ТМ Стародворье  ПОКОМ</t>
  </si>
  <si>
    <t>503 Колбаса Филейская со шпиком ТМ Вязанка в оболочке полиамид.ПОКОМ</t>
  </si>
  <si>
    <t>515  Колбаса Сервелат Мясорубский Делюкс 0,3кг ТМ Стародворье  ПОКОМ</t>
  </si>
  <si>
    <t>519  Грудинка 0,12 кг нарезка ТМ Стародворье  ПОКОМ</t>
  </si>
  <si>
    <t>БОНУС_615  Гречка по-купечески с говядиной и овощами 0,325кг ТМ Стародворье  ПОКОМ</t>
  </si>
  <si>
    <t>бонус</t>
  </si>
  <si>
    <t>НЕДОГРУЗ / матрица</t>
  </si>
  <si>
    <t>нужно увеличить продажи!!!</t>
  </si>
  <si>
    <t>нужно увеличить продажи / 57кг в уценку (30,06,26)</t>
  </si>
  <si>
    <t>ТК</t>
  </si>
  <si>
    <t>Рекуто</t>
  </si>
  <si>
    <t>30шт под сеть Молоко (05,08,26) / заказываем с 05,08,26</t>
  </si>
  <si>
    <t>заказ</t>
  </si>
  <si>
    <t>08,08,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</si>
</sst>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7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sz val="10"/>
      <name val="Arial"/>
      <family val="2"/>
      <charset val="204"/>
    </font>
    <font>
      <sz val="11"/>
      <color rgb="FFFF0000"/>
      <name val="Calibri"/>
      <family val="2"/>
      <charset val="204"/>
    </font>
    <font>
      <b/>
      <sz val="10"/>
      <color rgb="FFFF0000"/>
      <name val="Arial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3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1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4" borderId="1" xfId="1" applyNumberFormat="1" applyFill="1"/>
    <xf numFmtId="164" fontId="1" fillId="5" borderId="1" xfId="1" applyNumberFormat="1" applyFill="1"/>
    <xf numFmtId="164" fontId="1" fillId="6" borderId="1" xfId="1" applyNumberFormat="1" applyFill="1"/>
    <xf numFmtId="2" fontId="1" fillId="6" borderId="1" xfId="1" applyNumberFormat="1" applyFill="1"/>
    <xf numFmtId="164" fontId="1" fillId="6" borderId="2" xfId="1" applyNumberFormat="1" applyFill="1" applyBorder="1"/>
    <xf numFmtId="164" fontId="4" fillId="6" borderId="1" xfId="1" applyNumberFormat="1" applyFont="1" applyFill="1"/>
    <xf numFmtId="164" fontId="5" fillId="7" borderId="1" xfId="1" applyNumberFormat="1" applyFont="1" applyFill="1"/>
    <xf numFmtId="164" fontId="1" fillId="8" borderId="1" xfId="1" applyNumberFormat="1" applyFill="1"/>
    <xf numFmtId="164" fontId="6" fillId="5" borderId="1" xfId="1" applyNumberFormat="1" applyFont="1" applyFill="1"/>
    <xf numFmtId="164" fontId="4" fillId="5" borderId="1" xfId="1" applyNumberFormat="1" applyFont="1" applyFill="1"/>
    <xf numFmtId="0" fontId="0" fillId="0" borderId="1" xfId="0"/>
    <xf numFmtId="164" fontId="1" fillId="5" borderId="2" xfId="1" applyNumberFormat="1" applyFill="1" applyBorder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Q491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K5" sqref="AK5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12" customWidth="1"/>
    <col min="10" max="10" width="1" customWidth="1"/>
    <col min="11" max="12" width="7" customWidth="1"/>
    <col min="13" max="14" width="0.5703125" customWidth="1"/>
    <col min="15" max="21" width="7" customWidth="1"/>
    <col min="22" max="22" width="7" style="19" customWidth="1"/>
    <col min="23" max="24" width="5" customWidth="1"/>
    <col min="25" max="25" width="6" customWidth="1"/>
    <col min="26" max="34" width="6.5703125" customWidth="1"/>
    <col min="35" max="35" width="35.140625" customWidth="1"/>
    <col min="36" max="36" width="7" customWidth="1"/>
    <col min="37" max="43" width="8" customWidth="1"/>
  </cols>
  <sheetData>
    <row r="1" spans="1:43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</row>
    <row r="2" spans="1:43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>
        <v>6400</v>
      </c>
      <c r="AK2" s="1"/>
      <c r="AL2" s="1"/>
      <c r="AM2" s="1"/>
      <c r="AN2" s="1"/>
      <c r="AO2" s="1"/>
      <c r="AP2" s="1"/>
      <c r="AQ2" s="1"/>
    </row>
    <row r="3" spans="1:43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14</v>
      </c>
      <c r="Q3" s="2" t="s">
        <v>14</v>
      </c>
      <c r="R3" s="2" t="s">
        <v>14</v>
      </c>
      <c r="S3" s="2" t="s">
        <v>15</v>
      </c>
      <c r="T3" s="3" t="s">
        <v>16</v>
      </c>
      <c r="U3" s="3" t="s">
        <v>185</v>
      </c>
      <c r="V3" s="3" t="s">
        <v>182</v>
      </c>
      <c r="W3" s="2" t="s">
        <v>17</v>
      </c>
      <c r="X3" s="2" t="s">
        <v>18</v>
      </c>
      <c r="Y3" s="2" t="s">
        <v>19</v>
      </c>
      <c r="Z3" s="2" t="s">
        <v>19</v>
      </c>
      <c r="AA3" s="2" t="s">
        <v>19</v>
      </c>
      <c r="AB3" s="2" t="s">
        <v>19</v>
      </c>
      <c r="AC3" s="2" t="s">
        <v>19</v>
      </c>
      <c r="AD3" s="2" t="s">
        <v>19</v>
      </c>
      <c r="AE3" s="2" t="s">
        <v>19</v>
      </c>
      <c r="AF3" s="2" t="s">
        <v>19</v>
      </c>
      <c r="AG3" s="2" t="s">
        <v>19</v>
      </c>
      <c r="AH3" s="2" t="s">
        <v>19</v>
      </c>
      <c r="AI3" s="2" t="s">
        <v>20</v>
      </c>
      <c r="AJ3" s="2" t="s">
        <v>21</v>
      </c>
      <c r="AK3" s="1"/>
      <c r="AL3" s="1"/>
      <c r="AM3" s="1"/>
      <c r="AN3" s="1"/>
      <c r="AO3" s="1"/>
      <c r="AP3" s="1"/>
      <c r="AQ3" s="1"/>
    </row>
    <row r="4" spans="1:43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22</v>
      </c>
      <c r="P4" s="1" t="s">
        <v>23</v>
      </c>
      <c r="Q4" s="1" t="s">
        <v>24</v>
      </c>
      <c r="R4" s="1" t="s">
        <v>25</v>
      </c>
      <c r="S4" s="1" t="s">
        <v>24</v>
      </c>
      <c r="T4" s="1"/>
      <c r="U4" s="1" t="s">
        <v>186</v>
      </c>
      <c r="V4" s="1" t="s">
        <v>183</v>
      </c>
      <c r="W4" s="1"/>
      <c r="X4" s="1"/>
      <c r="Y4" s="1" t="s">
        <v>26</v>
      </c>
      <c r="Z4" s="1" t="s">
        <v>27</v>
      </c>
      <c r="AA4" s="1" t="s">
        <v>28</v>
      </c>
      <c r="AB4" s="1" t="s">
        <v>29</v>
      </c>
      <c r="AC4" s="1" t="s">
        <v>30</v>
      </c>
      <c r="AD4" s="1" t="s">
        <v>31</v>
      </c>
      <c r="AE4" s="1" t="s">
        <v>32</v>
      </c>
      <c r="AF4" s="1" t="s">
        <v>33</v>
      </c>
      <c r="AG4" s="1" t="s">
        <v>34</v>
      </c>
      <c r="AH4" s="1" t="s">
        <v>35</v>
      </c>
      <c r="AI4" s="1"/>
      <c r="AJ4" s="1"/>
      <c r="AK4" s="1"/>
      <c r="AL4" s="1"/>
      <c r="AM4" s="1"/>
      <c r="AN4" s="1"/>
      <c r="AO4" s="1"/>
      <c r="AP4" s="1"/>
      <c r="AQ4" s="1"/>
    </row>
    <row r="5" spans="1:43" x14ac:dyDescent="0.25">
      <c r="A5" s="1"/>
      <c r="B5" s="1"/>
      <c r="C5" s="1"/>
      <c r="D5" s="1"/>
      <c r="E5" s="4">
        <f>SUM(E6:E491)</f>
        <v>54073.748000000014</v>
      </c>
      <c r="F5" s="4">
        <f>SUM(F6:F491)</f>
        <v>80232.079999999987</v>
      </c>
      <c r="G5" s="7"/>
      <c r="H5" s="1"/>
      <c r="I5" s="1"/>
      <c r="J5" s="1"/>
      <c r="K5" s="4">
        <f t="shared" ref="K5:U5" si="0">SUM(K6:K491)</f>
        <v>56873.194999999992</v>
      </c>
      <c r="L5" s="4">
        <f t="shared" si="0"/>
        <v>-2799.4469999999983</v>
      </c>
      <c r="M5" s="4">
        <f t="shared" si="0"/>
        <v>0</v>
      </c>
      <c r="N5" s="4">
        <f t="shared" si="0"/>
        <v>0</v>
      </c>
      <c r="O5" s="4">
        <f t="shared" si="0"/>
        <v>9130</v>
      </c>
      <c r="P5" s="4">
        <f t="shared" si="0"/>
        <v>1170</v>
      </c>
      <c r="Q5" s="4">
        <f t="shared" si="0"/>
        <v>23674.537097400011</v>
      </c>
      <c r="R5" s="4">
        <f t="shared" si="0"/>
        <v>2600</v>
      </c>
      <c r="S5" s="4">
        <f t="shared" si="0"/>
        <v>10814.749599999994</v>
      </c>
      <c r="T5" s="4">
        <f t="shared" si="0"/>
        <v>8646.6802499999994</v>
      </c>
      <c r="U5" s="4">
        <f t="shared" si="0"/>
        <v>10556.680250000001</v>
      </c>
      <c r="V5" s="4"/>
      <c r="W5" s="1"/>
      <c r="X5" s="1"/>
      <c r="Y5" s="4">
        <f t="shared" ref="Y5:AH5" si="1">SUM(Y6:Y491)</f>
        <v>9814.5397999999986</v>
      </c>
      <c r="Z5" s="4">
        <f t="shared" si="1"/>
        <v>10673.229199999996</v>
      </c>
      <c r="AA5" s="4">
        <f t="shared" si="1"/>
        <v>11337.38639999999</v>
      </c>
      <c r="AB5" s="4">
        <f t="shared" si="1"/>
        <v>10928.520799999995</v>
      </c>
      <c r="AC5" s="4">
        <f t="shared" si="1"/>
        <v>11001.886399999999</v>
      </c>
      <c r="AD5" s="4">
        <f t="shared" si="1"/>
        <v>11305.235399999998</v>
      </c>
      <c r="AE5" s="4">
        <f t="shared" si="1"/>
        <v>10846.147799999995</v>
      </c>
      <c r="AF5" s="4">
        <f t="shared" si="1"/>
        <v>10204.899000000001</v>
      </c>
      <c r="AG5" s="4">
        <f t="shared" si="1"/>
        <v>10527.4108</v>
      </c>
      <c r="AH5" s="4">
        <f t="shared" si="1"/>
        <v>11079.353000000003</v>
      </c>
      <c r="AI5" s="1"/>
      <c r="AJ5" s="4">
        <f>SUM(AJ6:AJ491)</f>
        <v>6592</v>
      </c>
      <c r="AK5" s="1"/>
      <c r="AL5" s="1"/>
      <c r="AM5" s="1"/>
      <c r="AN5" s="1"/>
      <c r="AO5" s="1"/>
      <c r="AP5" s="1"/>
      <c r="AQ5" s="1"/>
    </row>
    <row r="6" spans="1:43" x14ac:dyDescent="0.25">
      <c r="A6" s="1" t="s">
        <v>36</v>
      </c>
      <c r="B6" s="1" t="s">
        <v>37</v>
      </c>
      <c r="C6" s="1">
        <v>3323.6089999999999</v>
      </c>
      <c r="D6" s="1">
        <v>2127.069</v>
      </c>
      <c r="E6" s="1">
        <v>2486.0970000000002</v>
      </c>
      <c r="F6" s="1">
        <v>2880.0120000000002</v>
      </c>
      <c r="G6" s="7">
        <v>1</v>
      </c>
      <c r="H6" s="1">
        <v>50</v>
      </c>
      <c r="I6" s="1" t="s">
        <v>38</v>
      </c>
      <c r="J6" s="1"/>
      <c r="K6" s="1">
        <v>2432.2800000000002</v>
      </c>
      <c r="L6" s="1">
        <f t="shared" ref="L6:L37" si="2">E6-K6</f>
        <v>53.817000000000007</v>
      </c>
      <c r="M6" s="1"/>
      <c r="N6" s="1"/>
      <c r="O6" s="1">
        <v>1700</v>
      </c>
      <c r="P6" s="1"/>
      <c r="Q6" s="1">
        <v>0</v>
      </c>
      <c r="R6" s="1"/>
      <c r="S6" s="1">
        <f t="shared" ref="S6:S37" si="3">E6/5</f>
        <v>497.21940000000006</v>
      </c>
      <c r="T6" s="5">
        <f>10.5*S6-R6-Q6-P6-O6-F6</f>
        <v>640.79170000000022</v>
      </c>
      <c r="U6" s="5">
        <f>T6</f>
        <v>640.79170000000022</v>
      </c>
      <c r="V6" s="1"/>
      <c r="W6" s="1">
        <f>(F6+O6+P6+Q6+R6+U6)/S6</f>
        <v>10.5</v>
      </c>
      <c r="X6" s="1">
        <f t="shared" ref="X6:X37" si="4">(F6+O6+P6+Q6+R6)/S6</f>
        <v>9.2112496012826526</v>
      </c>
      <c r="Y6" s="1">
        <v>462.68740000000003</v>
      </c>
      <c r="Z6" s="1">
        <v>504.16359999999997</v>
      </c>
      <c r="AA6" s="1">
        <v>475.59160000000003</v>
      </c>
      <c r="AB6" s="1">
        <v>485.4896</v>
      </c>
      <c r="AC6" s="1">
        <v>548.13580000000002</v>
      </c>
      <c r="AD6" s="1">
        <v>531.78219999999999</v>
      </c>
      <c r="AE6" s="1">
        <v>520.48940000000005</v>
      </c>
      <c r="AF6" s="1">
        <v>518.05520000000001</v>
      </c>
      <c r="AG6" s="1">
        <v>649.26400000000001</v>
      </c>
      <c r="AH6" s="1">
        <v>693.28</v>
      </c>
      <c r="AI6" s="1"/>
      <c r="AJ6" s="1">
        <f>ROUND(G6*U6,0)</f>
        <v>641</v>
      </c>
      <c r="AK6" s="1">
        <f>(SUM(Y6:AH6)+S6)/11</f>
        <v>535.10529090909085</v>
      </c>
      <c r="AL6" s="1"/>
      <c r="AM6" s="1"/>
      <c r="AN6" s="1"/>
      <c r="AO6" s="1"/>
      <c r="AP6" s="1"/>
      <c r="AQ6" s="1"/>
    </row>
    <row r="7" spans="1:43" x14ac:dyDescent="0.25">
      <c r="A7" s="1" t="s">
        <v>39</v>
      </c>
      <c r="B7" s="1" t="s">
        <v>37</v>
      </c>
      <c r="C7" s="1">
        <v>1518.777</v>
      </c>
      <c r="D7" s="1">
        <v>2642.2620000000002</v>
      </c>
      <c r="E7" s="1">
        <v>1427.1959999999999</v>
      </c>
      <c r="F7" s="1">
        <v>2666.047</v>
      </c>
      <c r="G7" s="7">
        <v>1</v>
      </c>
      <c r="H7" s="1">
        <v>45</v>
      </c>
      <c r="I7" s="1" t="s">
        <v>38</v>
      </c>
      <c r="J7" s="1"/>
      <c r="K7" s="1">
        <v>1376.79</v>
      </c>
      <c r="L7" s="1">
        <f t="shared" si="2"/>
        <v>50.405999999999949</v>
      </c>
      <c r="M7" s="1"/>
      <c r="N7" s="1"/>
      <c r="O7" s="1"/>
      <c r="P7" s="1"/>
      <c r="Q7" s="1">
        <v>500</v>
      </c>
      <c r="R7" s="1"/>
      <c r="S7" s="1">
        <f t="shared" si="3"/>
        <v>285.43919999999997</v>
      </c>
      <c r="T7" s="5"/>
      <c r="U7" s="5">
        <f t="shared" ref="U7:U70" si="5">T7</f>
        <v>0</v>
      </c>
      <c r="V7" s="1"/>
      <c r="W7" s="1">
        <f t="shared" ref="W7:W70" si="6">(F7+O7+P7+Q7+R7+U7)/S7</f>
        <v>11.091843727140493</v>
      </c>
      <c r="X7" s="1">
        <f t="shared" si="4"/>
        <v>11.091843727140493</v>
      </c>
      <c r="Y7" s="1">
        <v>272.41820000000001</v>
      </c>
      <c r="Z7" s="1">
        <v>253.45859999999999</v>
      </c>
      <c r="AA7" s="1">
        <v>242.8768</v>
      </c>
      <c r="AB7" s="1">
        <v>235.5034</v>
      </c>
      <c r="AC7" s="1">
        <v>220.28479999999999</v>
      </c>
      <c r="AD7" s="1">
        <v>230.947</v>
      </c>
      <c r="AE7" s="1">
        <v>231.88659999999999</v>
      </c>
      <c r="AF7" s="1">
        <v>229.16200000000001</v>
      </c>
      <c r="AG7" s="1">
        <v>245.24719999999999</v>
      </c>
      <c r="AH7" s="1">
        <v>248.6404</v>
      </c>
      <c r="AI7" s="1"/>
      <c r="AJ7" s="1">
        <f t="shared" ref="AJ7:AJ70" si="7">ROUND(G7*U7,0)</f>
        <v>0</v>
      </c>
      <c r="AK7" s="1">
        <f t="shared" ref="AK7:AK70" si="8">(SUM(Y7:AH7)+S7)/11</f>
        <v>245.07856363636364</v>
      </c>
      <c r="AL7" s="1"/>
      <c r="AM7" s="1"/>
      <c r="AN7" s="1"/>
      <c r="AO7" s="1"/>
      <c r="AP7" s="1"/>
      <c r="AQ7" s="1"/>
    </row>
    <row r="8" spans="1:43" x14ac:dyDescent="0.25">
      <c r="A8" s="1" t="s">
        <v>40</v>
      </c>
      <c r="B8" s="1" t="s">
        <v>37</v>
      </c>
      <c r="C8" s="1">
        <v>1491.348</v>
      </c>
      <c r="D8" s="1">
        <v>2304.462</v>
      </c>
      <c r="E8" s="1">
        <v>1257.921</v>
      </c>
      <c r="F8" s="1">
        <v>2477.5410000000002</v>
      </c>
      <c r="G8" s="7">
        <v>1</v>
      </c>
      <c r="H8" s="1">
        <v>45</v>
      </c>
      <c r="I8" s="1" t="s">
        <v>38</v>
      </c>
      <c r="J8" s="1"/>
      <c r="K8" s="1">
        <v>1224.1600000000001</v>
      </c>
      <c r="L8" s="1">
        <f t="shared" si="2"/>
        <v>33.760999999999967</v>
      </c>
      <c r="M8" s="1"/>
      <c r="N8" s="1"/>
      <c r="O8" s="1"/>
      <c r="P8" s="1"/>
      <c r="Q8" s="1">
        <v>400</v>
      </c>
      <c r="R8" s="1"/>
      <c r="S8" s="1">
        <f t="shared" si="3"/>
        <v>251.58420000000001</v>
      </c>
      <c r="T8" s="5"/>
      <c r="U8" s="5">
        <f t="shared" si="5"/>
        <v>0</v>
      </c>
      <c r="V8" s="1"/>
      <c r="W8" s="1">
        <f t="shared" si="6"/>
        <v>11.437685673424642</v>
      </c>
      <c r="X8" s="1">
        <f t="shared" si="4"/>
        <v>11.437685673424642</v>
      </c>
      <c r="Y8" s="1">
        <v>216.3372</v>
      </c>
      <c r="Z8" s="1">
        <v>214.10339999999999</v>
      </c>
      <c r="AA8" s="1">
        <v>227.751</v>
      </c>
      <c r="AB8" s="1">
        <v>235.30099999999999</v>
      </c>
      <c r="AC8" s="1">
        <v>231.13040000000001</v>
      </c>
      <c r="AD8" s="1">
        <v>232.49080000000001</v>
      </c>
      <c r="AE8" s="1">
        <v>229.34979999999999</v>
      </c>
      <c r="AF8" s="1">
        <v>233.9804</v>
      </c>
      <c r="AG8" s="1">
        <v>252.5744</v>
      </c>
      <c r="AH8" s="1">
        <v>250.4272</v>
      </c>
      <c r="AI8" s="1"/>
      <c r="AJ8" s="1">
        <f t="shared" si="7"/>
        <v>0</v>
      </c>
      <c r="AK8" s="1">
        <f t="shared" si="8"/>
        <v>234.09361818181821</v>
      </c>
      <c r="AL8" s="1"/>
      <c r="AM8" s="1"/>
      <c r="AN8" s="1"/>
      <c r="AO8" s="1"/>
      <c r="AP8" s="1"/>
      <c r="AQ8" s="1"/>
    </row>
    <row r="9" spans="1:43" x14ac:dyDescent="0.25">
      <c r="A9" s="11" t="s">
        <v>41</v>
      </c>
      <c r="B9" s="11" t="s">
        <v>42</v>
      </c>
      <c r="C9" s="11"/>
      <c r="D9" s="11"/>
      <c r="E9" s="11"/>
      <c r="F9" s="11"/>
      <c r="G9" s="12">
        <v>0</v>
      </c>
      <c r="H9" s="11"/>
      <c r="I9" s="11" t="s">
        <v>38</v>
      </c>
      <c r="J9" s="11"/>
      <c r="K9" s="11"/>
      <c r="L9" s="11">
        <f t="shared" si="2"/>
        <v>0</v>
      </c>
      <c r="M9" s="11"/>
      <c r="N9" s="11"/>
      <c r="O9" s="11"/>
      <c r="P9" s="11"/>
      <c r="Q9" s="11">
        <v>0</v>
      </c>
      <c r="R9" s="11"/>
      <c r="S9" s="11">
        <f t="shared" si="3"/>
        <v>0</v>
      </c>
      <c r="T9" s="13"/>
      <c r="U9" s="5">
        <f t="shared" si="5"/>
        <v>0</v>
      </c>
      <c r="V9" s="11"/>
      <c r="W9" s="1" t="e">
        <f t="shared" si="6"/>
        <v>#DIV/0!</v>
      </c>
      <c r="X9" s="11" t="e">
        <f t="shared" si="4"/>
        <v>#DIV/0!</v>
      </c>
      <c r="Y9" s="11">
        <v>0</v>
      </c>
      <c r="Z9" s="11">
        <v>0</v>
      </c>
      <c r="AA9" s="11">
        <v>0</v>
      </c>
      <c r="AB9" s="11">
        <v>0</v>
      </c>
      <c r="AC9" s="11">
        <v>0</v>
      </c>
      <c r="AD9" s="11">
        <v>0</v>
      </c>
      <c r="AE9" s="11">
        <v>0</v>
      </c>
      <c r="AF9" s="11">
        <v>0</v>
      </c>
      <c r="AG9" s="11">
        <v>0</v>
      </c>
      <c r="AH9" s="11">
        <v>0</v>
      </c>
      <c r="AI9" s="11" t="s">
        <v>43</v>
      </c>
      <c r="AJ9" s="1">
        <f t="shared" si="7"/>
        <v>0</v>
      </c>
      <c r="AK9" s="1">
        <f t="shared" si="8"/>
        <v>0</v>
      </c>
      <c r="AL9" s="1"/>
      <c r="AM9" s="1"/>
      <c r="AN9" s="1"/>
      <c r="AO9" s="1"/>
      <c r="AP9" s="1"/>
      <c r="AQ9" s="1"/>
    </row>
    <row r="10" spans="1:43" x14ac:dyDescent="0.25">
      <c r="A10" s="1" t="s">
        <v>44</v>
      </c>
      <c r="B10" s="1" t="s">
        <v>42</v>
      </c>
      <c r="C10" s="1">
        <v>583</v>
      </c>
      <c r="D10" s="1">
        <v>744</v>
      </c>
      <c r="E10" s="1">
        <v>586</v>
      </c>
      <c r="F10" s="1">
        <v>690</v>
      </c>
      <c r="G10" s="7">
        <v>0.45</v>
      </c>
      <c r="H10" s="1">
        <v>45</v>
      </c>
      <c r="I10" s="1" t="s">
        <v>38</v>
      </c>
      <c r="J10" s="1"/>
      <c r="K10" s="1">
        <v>596</v>
      </c>
      <c r="L10" s="1">
        <f t="shared" si="2"/>
        <v>-10</v>
      </c>
      <c r="M10" s="1"/>
      <c r="N10" s="1"/>
      <c r="O10" s="1">
        <v>350</v>
      </c>
      <c r="P10" s="1"/>
      <c r="Q10" s="1">
        <v>300</v>
      </c>
      <c r="R10" s="1"/>
      <c r="S10" s="1">
        <f t="shared" si="3"/>
        <v>117.2</v>
      </c>
      <c r="T10" s="5"/>
      <c r="U10" s="5">
        <f t="shared" si="5"/>
        <v>0</v>
      </c>
      <c r="V10" s="1"/>
      <c r="W10" s="1">
        <f t="shared" si="6"/>
        <v>11.433447098976108</v>
      </c>
      <c r="X10" s="1">
        <f t="shared" si="4"/>
        <v>11.433447098976108</v>
      </c>
      <c r="Y10" s="1">
        <v>118.2</v>
      </c>
      <c r="Z10" s="1">
        <v>139</v>
      </c>
      <c r="AA10" s="1">
        <v>136.80000000000001</v>
      </c>
      <c r="AB10" s="1">
        <v>124.8</v>
      </c>
      <c r="AC10" s="1">
        <v>110.6</v>
      </c>
      <c r="AD10" s="1">
        <v>109</v>
      </c>
      <c r="AE10" s="1">
        <v>123.6</v>
      </c>
      <c r="AF10" s="1">
        <v>123.8</v>
      </c>
      <c r="AG10" s="1">
        <v>115.4</v>
      </c>
      <c r="AH10" s="1">
        <v>118.8</v>
      </c>
      <c r="AI10" s="1"/>
      <c r="AJ10" s="1">
        <f t="shared" si="7"/>
        <v>0</v>
      </c>
      <c r="AK10" s="1">
        <f t="shared" si="8"/>
        <v>121.56363636363636</v>
      </c>
      <c r="AL10" s="1"/>
      <c r="AM10" s="1"/>
      <c r="AN10" s="1"/>
      <c r="AO10" s="1"/>
      <c r="AP10" s="1"/>
      <c r="AQ10" s="1"/>
    </row>
    <row r="11" spans="1:43" x14ac:dyDescent="0.25">
      <c r="A11" s="1" t="s">
        <v>45</v>
      </c>
      <c r="B11" s="1" t="s">
        <v>42</v>
      </c>
      <c r="C11" s="1">
        <v>1222</v>
      </c>
      <c r="D11" s="1">
        <v>1236</v>
      </c>
      <c r="E11" s="1">
        <v>1128.24</v>
      </c>
      <c r="F11" s="1">
        <v>1276.76</v>
      </c>
      <c r="G11" s="7">
        <v>0.45</v>
      </c>
      <c r="H11" s="1">
        <v>45</v>
      </c>
      <c r="I11" s="1" t="s">
        <v>38</v>
      </c>
      <c r="J11" s="1"/>
      <c r="K11" s="1">
        <v>1147</v>
      </c>
      <c r="L11" s="1">
        <f t="shared" si="2"/>
        <v>-18.759999999999991</v>
      </c>
      <c r="M11" s="1"/>
      <c r="N11" s="1"/>
      <c r="O11" s="1">
        <v>680</v>
      </c>
      <c r="P11" s="1"/>
      <c r="Q11" s="1">
        <v>500</v>
      </c>
      <c r="R11" s="1"/>
      <c r="S11" s="1">
        <f t="shared" si="3"/>
        <v>225.648</v>
      </c>
      <c r="T11" s="5"/>
      <c r="U11" s="5">
        <f t="shared" si="5"/>
        <v>0</v>
      </c>
      <c r="V11" s="1"/>
      <c r="W11" s="1">
        <f t="shared" si="6"/>
        <v>10.887577111252925</v>
      </c>
      <c r="X11" s="1">
        <f t="shared" si="4"/>
        <v>10.887577111252925</v>
      </c>
      <c r="Y11" s="1">
        <v>230.6</v>
      </c>
      <c r="Z11" s="1">
        <v>273.39999999999998</v>
      </c>
      <c r="AA11" s="1">
        <v>246.4</v>
      </c>
      <c r="AB11" s="1">
        <v>230.2</v>
      </c>
      <c r="AC11" s="1">
        <v>217</v>
      </c>
      <c r="AD11" s="1">
        <v>207.6</v>
      </c>
      <c r="AE11" s="1">
        <v>228.4</v>
      </c>
      <c r="AF11" s="1">
        <v>239.6</v>
      </c>
      <c r="AG11" s="1">
        <v>198.8</v>
      </c>
      <c r="AH11" s="1">
        <v>201.8</v>
      </c>
      <c r="AI11" s="1"/>
      <c r="AJ11" s="1">
        <f t="shared" si="7"/>
        <v>0</v>
      </c>
      <c r="AK11" s="1">
        <f t="shared" si="8"/>
        <v>227.2225454545455</v>
      </c>
      <c r="AL11" s="1"/>
      <c r="AM11" s="1"/>
      <c r="AN11" s="1"/>
      <c r="AO11" s="1"/>
      <c r="AP11" s="1"/>
      <c r="AQ11" s="1"/>
    </row>
    <row r="12" spans="1:43" x14ac:dyDescent="0.25">
      <c r="A12" s="1" t="s">
        <v>46</v>
      </c>
      <c r="B12" s="1" t="s">
        <v>42</v>
      </c>
      <c r="C12" s="1">
        <v>96</v>
      </c>
      <c r="D12" s="1">
        <v>135</v>
      </c>
      <c r="E12" s="1">
        <v>86</v>
      </c>
      <c r="F12" s="1">
        <v>142</v>
      </c>
      <c r="G12" s="7">
        <v>0.17</v>
      </c>
      <c r="H12" s="1">
        <v>180</v>
      </c>
      <c r="I12" s="1" t="s">
        <v>38</v>
      </c>
      <c r="J12" s="1"/>
      <c r="K12" s="1">
        <v>86</v>
      </c>
      <c r="L12" s="1">
        <f t="shared" si="2"/>
        <v>0</v>
      </c>
      <c r="M12" s="1"/>
      <c r="N12" s="1"/>
      <c r="O12" s="1"/>
      <c r="P12" s="1"/>
      <c r="Q12" s="1">
        <v>0</v>
      </c>
      <c r="R12" s="1"/>
      <c r="S12" s="1">
        <f t="shared" si="3"/>
        <v>17.2</v>
      </c>
      <c r="T12" s="5">
        <f t="shared" ref="T12:T14" si="9">10.5*S12-R12-Q12-P12-O12-F12</f>
        <v>38.599999999999994</v>
      </c>
      <c r="U12" s="5">
        <f t="shared" si="5"/>
        <v>38.599999999999994</v>
      </c>
      <c r="V12" s="1"/>
      <c r="W12" s="1">
        <f t="shared" si="6"/>
        <v>10.5</v>
      </c>
      <c r="X12" s="1">
        <f t="shared" si="4"/>
        <v>8.2558139534883725</v>
      </c>
      <c r="Y12" s="1">
        <v>10.199999999999999</v>
      </c>
      <c r="Z12" s="1">
        <v>14.6</v>
      </c>
      <c r="AA12" s="1">
        <v>20.2</v>
      </c>
      <c r="AB12" s="1">
        <v>15.2</v>
      </c>
      <c r="AC12" s="1">
        <v>11.8</v>
      </c>
      <c r="AD12" s="1">
        <v>12.8</v>
      </c>
      <c r="AE12" s="1">
        <v>7.4</v>
      </c>
      <c r="AF12" s="1">
        <v>8.6</v>
      </c>
      <c r="AG12" s="1">
        <v>18.2</v>
      </c>
      <c r="AH12" s="1">
        <v>20.6</v>
      </c>
      <c r="AI12" s="1"/>
      <c r="AJ12" s="1">
        <f t="shared" si="7"/>
        <v>7</v>
      </c>
      <c r="AK12" s="1">
        <f t="shared" si="8"/>
        <v>14.254545454545452</v>
      </c>
      <c r="AL12" s="1"/>
      <c r="AM12" s="1"/>
      <c r="AN12" s="1"/>
      <c r="AO12" s="1"/>
      <c r="AP12" s="1"/>
      <c r="AQ12" s="1"/>
    </row>
    <row r="13" spans="1:43" x14ac:dyDescent="0.25">
      <c r="A13" s="1" t="s">
        <v>47</v>
      </c>
      <c r="B13" s="1" t="s">
        <v>42</v>
      </c>
      <c r="C13" s="1">
        <v>93</v>
      </c>
      <c r="D13" s="1">
        <v>172</v>
      </c>
      <c r="E13" s="1">
        <v>105</v>
      </c>
      <c r="F13" s="1">
        <v>147</v>
      </c>
      <c r="G13" s="7">
        <v>0.3</v>
      </c>
      <c r="H13" s="1">
        <v>40</v>
      </c>
      <c r="I13" s="1" t="s">
        <v>38</v>
      </c>
      <c r="J13" s="1"/>
      <c r="K13" s="1">
        <v>112</v>
      </c>
      <c r="L13" s="1">
        <f t="shared" si="2"/>
        <v>-7</v>
      </c>
      <c r="M13" s="1"/>
      <c r="N13" s="1"/>
      <c r="O13" s="1"/>
      <c r="P13" s="1"/>
      <c r="Q13" s="1">
        <v>64.999999999999972</v>
      </c>
      <c r="R13" s="1"/>
      <c r="S13" s="1">
        <f t="shared" si="3"/>
        <v>21</v>
      </c>
      <c r="T13" s="5">
        <f t="shared" si="9"/>
        <v>8.5000000000000284</v>
      </c>
      <c r="U13" s="5">
        <f t="shared" si="5"/>
        <v>8.5000000000000284</v>
      </c>
      <c r="V13" s="1"/>
      <c r="W13" s="1">
        <f t="shared" si="6"/>
        <v>10.5</v>
      </c>
      <c r="X13" s="1">
        <f t="shared" si="4"/>
        <v>10.095238095238093</v>
      </c>
      <c r="Y13" s="1">
        <v>22.2</v>
      </c>
      <c r="Z13" s="1">
        <v>22.8</v>
      </c>
      <c r="AA13" s="1">
        <v>17.600000000000001</v>
      </c>
      <c r="AB13" s="1">
        <v>17.8</v>
      </c>
      <c r="AC13" s="1">
        <v>9.1999999999999993</v>
      </c>
      <c r="AD13" s="1">
        <v>19.399999999999999</v>
      </c>
      <c r="AE13" s="1">
        <v>23</v>
      </c>
      <c r="AF13" s="1">
        <v>10.8</v>
      </c>
      <c r="AG13" s="1">
        <v>11.6</v>
      </c>
      <c r="AH13" s="1">
        <v>7.8</v>
      </c>
      <c r="AI13" s="1"/>
      <c r="AJ13" s="1">
        <f t="shared" si="7"/>
        <v>3</v>
      </c>
      <c r="AK13" s="1">
        <f t="shared" si="8"/>
        <v>16.654545454545456</v>
      </c>
      <c r="AL13" s="1"/>
      <c r="AM13" s="1"/>
      <c r="AN13" s="1"/>
      <c r="AO13" s="1"/>
      <c r="AP13" s="1"/>
      <c r="AQ13" s="1"/>
    </row>
    <row r="14" spans="1:43" x14ac:dyDescent="0.25">
      <c r="A14" s="1" t="s">
        <v>48</v>
      </c>
      <c r="B14" s="1" t="s">
        <v>42</v>
      </c>
      <c r="C14" s="1">
        <v>471</v>
      </c>
      <c r="D14" s="1">
        <v>165</v>
      </c>
      <c r="E14" s="1">
        <v>264</v>
      </c>
      <c r="F14" s="1">
        <v>348</v>
      </c>
      <c r="G14" s="7">
        <v>0.17</v>
      </c>
      <c r="H14" s="1">
        <v>180</v>
      </c>
      <c r="I14" s="1" t="s">
        <v>38</v>
      </c>
      <c r="J14" s="1"/>
      <c r="K14" s="1">
        <v>269</v>
      </c>
      <c r="L14" s="1">
        <f t="shared" si="2"/>
        <v>-5</v>
      </c>
      <c r="M14" s="1"/>
      <c r="N14" s="1"/>
      <c r="O14" s="1"/>
      <c r="P14" s="1"/>
      <c r="Q14" s="1">
        <v>0</v>
      </c>
      <c r="R14" s="1"/>
      <c r="S14" s="1">
        <f t="shared" si="3"/>
        <v>52.8</v>
      </c>
      <c r="T14" s="5">
        <f t="shared" si="9"/>
        <v>206.39999999999998</v>
      </c>
      <c r="U14" s="5">
        <f t="shared" si="5"/>
        <v>206.39999999999998</v>
      </c>
      <c r="V14" s="1"/>
      <c r="W14" s="1">
        <f t="shared" si="6"/>
        <v>10.5</v>
      </c>
      <c r="X14" s="1">
        <f t="shared" si="4"/>
        <v>6.5909090909090908</v>
      </c>
      <c r="Y14" s="1">
        <v>33.6</v>
      </c>
      <c r="Z14" s="1">
        <v>38.4</v>
      </c>
      <c r="AA14" s="1">
        <v>56</v>
      </c>
      <c r="AB14" s="1">
        <v>56.2</v>
      </c>
      <c r="AC14" s="1">
        <v>45</v>
      </c>
      <c r="AD14" s="1">
        <v>39.4</v>
      </c>
      <c r="AE14" s="1">
        <v>40.6</v>
      </c>
      <c r="AF14" s="1">
        <v>41</v>
      </c>
      <c r="AG14" s="1">
        <v>51</v>
      </c>
      <c r="AH14" s="1">
        <v>48.8</v>
      </c>
      <c r="AI14" s="1"/>
      <c r="AJ14" s="1">
        <f t="shared" si="7"/>
        <v>35</v>
      </c>
      <c r="AK14" s="1">
        <f t="shared" si="8"/>
        <v>45.709090909090911</v>
      </c>
      <c r="AL14" s="1"/>
      <c r="AM14" s="1"/>
      <c r="AN14" s="1"/>
      <c r="AO14" s="1"/>
      <c r="AP14" s="1"/>
      <c r="AQ14" s="1"/>
    </row>
    <row r="15" spans="1:43" x14ac:dyDescent="0.25">
      <c r="A15" s="11" t="s">
        <v>49</v>
      </c>
      <c r="B15" s="11" t="s">
        <v>42</v>
      </c>
      <c r="C15" s="11"/>
      <c r="D15" s="11"/>
      <c r="E15" s="11">
        <v>1</v>
      </c>
      <c r="F15" s="11">
        <v>-1</v>
      </c>
      <c r="G15" s="12">
        <v>0</v>
      </c>
      <c r="H15" s="11"/>
      <c r="I15" s="11" t="s">
        <v>50</v>
      </c>
      <c r="J15" s="11"/>
      <c r="K15" s="11">
        <v>1</v>
      </c>
      <c r="L15" s="11">
        <f t="shared" si="2"/>
        <v>0</v>
      </c>
      <c r="M15" s="11"/>
      <c r="N15" s="11"/>
      <c r="O15" s="11"/>
      <c r="P15" s="11"/>
      <c r="Q15" s="11">
        <v>0</v>
      </c>
      <c r="R15" s="11"/>
      <c r="S15" s="11">
        <f t="shared" si="3"/>
        <v>0.2</v>
      </c>
      <c r="T15" s="13"/>
      <c r="U15" s="5">
        <f t="shared" si="5"/>
        <v>0</v>
      </c>
      <c r="V15" s="11"/>
      <c r="W15" s="1">
        <f t="shared" si="6"/>
        <v>-5</v>
      </c>
      <c r="X15" s="11">
        <f t="shared" si="4"/>
        <v>-5</v>
      </c>
      <c r="Y15" s="11">
        <v>0.2</v>
      </c>
      <c r="Z15" s="11">
        <v>0</v>
      </c>
      <c r="AA15" s="11">
        <v>0</v>
      </c>
      <c r="AB15" s="11">
        <v>0</v>
      </c>
      <c r="AC15" s="11">
        <v>0</v>
      </c>
      <c r="AD15" s="11">
        <v>0</v>
      </c>
      <c r="AE15" s="11">
        <v>0</v>
      </c>
      <c r="AF15" s="11">
        <v>0</v>
      </c>
      <c r="AG15" s="11">
        <v>0</v>
      </c>
      <c r="AH15" s="11">
        <v>0</v>
      </c>
      <c r="AI15" s="11"/>
      <c r="AJ15" s="1">
        <f t="shared" si="7"/>
        <v>0</v>
      </c>
      <c r="AK15" s="1">
        <f t="shared" si="8"/>
        <v>3.6363636363636369E-2</v>
      </c>
      <c r="AL15" s="1"/>
      <c r="AM15" s="1"/>
      <c r="AN15" s="1"/>
      <c r="AO15" s="1"/>
      <c r="AP15" s="1"/>
      <c r="AQ15" s="1"/>
    </row>
    <row r="16" spans="1:43" x14ac:dyDescent="0.25">
      <c r="A16" s="1" t="s">
        <v>51</v>
      </c>
      <c r="B16" s="1" t="s">
        <v>37</v>
      </c>
      <c r="C16" s="1">
        <v>1320.374</v>
      </c>
      <c r="D16" s="1">
        <v>1135.989</v>
      </c>
      <c r="E16" s="1">
        <v>1183.848</v>
      </c>
      <c r="F16" s="1">
        <v>1223.3789999999999</v>
      </c>
      <c r="G16" s="7">
        <v>1</v>
      </c>
      <c r="H16" s="1">
        <v>70</v>
      </c>
      <c r="I16" s="1" t="s">
        <v>38</v>
      </c>
      <c r="J16" s="1"/>
      <c r="K16" s="1">
        <v>1150.135</v>
      </c>
      <c r="L16" s="1">
        <f t="shared" si="2"/>
        <v>33.712999999999965</v>
      </c>
      <c r="M16" s="1"/>
      <c r="N16" s="1"/>
      <c r="O16" s="1">
        <v>550</v>
      </c>
      <c r="P16" s="1"/>
      <c r="Q16" s="1">
        <v>879.48570020000011</v>
      </c>
      <c r="R16" s="1"/>
      <c r="S16" s="1">
        <f t="shared" si="3"/>
        <v>236.7696</v>
      </c>
      <c r="T16" s="5"/>
      <c r="U16" s="20">
        <v>650</v>
      </c>
      <c r="V16" s="1"/>
      <c r="W16" s="1">
        <f t="shared" si="6"/>
        <v>13.949699202093511</v>
      </c>
      <c r="X16" s="1">
        <f t="shared" si="4"/>
        <v>11.204414334441584</v>
      </c>
      <c r="Y16" s="1">
        <v>224.553</v>
      </c>
      <c r="Z16" s="1">
        <v>226.56899999999999</v>
      </c>
      <c r="AA16" s="1">
        <v>227.60939999999999</v>
      </c>
      <c r="AB16" s="1">
        <v>217.93199999999999</v>
      </c>
      <c r="AC16" s="1">
        <v>228.4726</v>
      </c>
      <c r="AD16" s="1">
        <v>235.23580000000001</v>
      </c>
      <c r="AE16" s="1">
        <v>236.49680000000001</v>
      </c>
      <c r="AF16" s="1">
        <v>223.6362</v>
      </c>
      <c r="AG16" s="1">
        <v>225.66139999999999</v>
      </c>
      <c r="AH16" s="1">
        <v>232.34639999999999</v>
      </c>
      <c r="AI16" s="1"/>
      <c r="AJ16" s="1">
        <f t="shared" si="7"/>
        <v>650</v>
      </c>
      <c r="AK16" s="1">
        <f t="shared" si="8"/>
        <v>228.66201818181815</v>
      </c>
      <c r="AL16" s="1"/>
      <c r="AM16" s="1"/>
      <c r="AN16" s="1"/>
      <c r="AO16" s="1"/>
      <c r="AP16" s="1"/>
      <c r="AQ16" s="1"/>
    </row>
    <row r="17" spans="1:43" x14ac:dyDescent="0.25">
      <c r="A17" s="1" t="s">
        <v>52</v>
      </c>
      <c r="B17" s="1" t="s">
        <v>37</v>
      </c>
      <c r="C17" s="1">
        <v>4724.2820000000002</v>
      </c>
      <c r="D17" s="1">
        <v>7419.4139999999998</v>
      </c>
      <c r="E17" s="1">
        <v>3515.8530000000001</v>
      </c>
      <c r="F17" s="1">
        <v>8492.4089999999997</v>
      </c>
      <c r="G17" s="7">
        <v>1</v>
      </c>
      <c r="H17" s="1">
        <v>50</v>
      </c>
      <c r="I17" s="1" t="s">
        <v>38</v>
      </c>
      <c r="J17" s="1"/>
      <c r="K17" s="1">
        <v>3538.35</v>
      </c>
      <c r="L17" s="1">
        <f t="shared" si="2"/>
        <v>-22.496999999999844</v>
      </c>
      <c r="M17" s="1"/>
      <c r="N17" s="1"/>
      <c r="O17" s="1"/>
      <c r="P17" s="1"/>
      <c r="Q17" s="1">
        <v>1000</v>
      </c>
      <c r="R17" s="1"/>
      <c r="S17" s="1">
        <f t="shared" si="3"/>
        <v>703.17060000000004</v>
      </c>
      <c r="T17" s="5"/>
      <c r="U17" s="20">
        <v>700</v>
      </c>
      <c r="V17" s="1"/>
      <c r="W17" s="1">
        <f t="shared" si="6"/>
        <v>14.494930533216262</v>
      </c>
      <c r="X17" s="1">
        <f t="shared" si="4"/>
        <v>13.499439538570012</v>
      </c>
      <c r="Y17" s="1">
        <v>753.43720000000008</v>
      </c>
      <c r="Z17" s="1">
        <v>789.19159999999999</v>
      </c>
      <c r="AA17" s="1">
        <v>779.79539999999997</v>
      </c>
      <c r="AB17" s="1">
        <v>746.61940000000004</v>
      </c>
      <c r="AC17" s="1">
        <v>740.76059999999995</v>
      </c>
      <c r="AD17" s="1">
        <v>725.36279999999999</v>
      </c>
      <c r="AE17" s="1">
        <v>627.70680000000004</v>
      </c>
      <c r="AF17" s="1">
        <v>599.94200000000001</v>
      </c>
      <c r="AG17" s="1">
        <v>727.9</v>
      </c>
      <c r="AH17" s="1">
        <v>787.52279999999996</v>
      </c>
      <c r="AI17" s="1"/>
      <c r="AJ17" s="1">
        <f t="shared" si="7"/>
        <v>700</v>
      </c>
      <c r="AK17" s="1">
        <f t="shared" si="8"/>
        <v>725.5826545454546</v>
      </c>
      <c r="AL17" s="1"/>
      <c r="AM17" s="1"/>
      <c r="AN17" s="1"/>
      <c r="AO17" s="1"/>
      <c r="AP17" s="1"/>
      <c r="AQ17" s="1"/>
    </row>
    <row r="18" spans="1:43" x14ac:dyDescent="0.25">
      <c r="A18" s="1" t="s">
        <v>53</v>
      </c>
      <c r="B18" s="1" t="s">
        <v>37</v>
      </c>
      <c r="C18" s="1">
        <v>104.408</v>
      </c>
      <c r="D18" s="1">
        <v>137.50399999999999</v>
      </c>
      <c r="E18" s="1">
        <v>122.992</v>
      </c>
      <c r="F18" s="1">
        <v>115.384</v>
      </c>
      <c r="G18" s="7">
        <v>1</v>
      </c>
      <c r="H18" s="1">
        <v>60</v>
      </c>
      <c r="I18" s="1" t="s">
        <v>38</v>
      </c>
      <c r="J18" s="1"/>
      <c r="K18" s="1">
        <v>118.26</v>
      </c>
      <c r="L18" s="1">
        <f t="shared" si="2"/>
        <v>4.7319999999999993</v>
      </c>
      <c r="M18" s="1"/>
      <c r="N18" s="1"/>
      <c r="O18" s="1"/>
      <c r="P18" s="1"/>
      <c r="Q18" s="1">
        <v>58.655999999999992</v>
      </c>
      <c r="R18" s="1"/>
      <c r="S18" s="1">
        <f t="shared" si="3"/>
        <v>24.598400000000002</v>
      </c>
      <c r="T18" s="5">
        <f t="shared" ref="T18:T22" si="10">10.5*S18-R18-Q18-P18-O18-F18</f>
        <v>84.243200000000016</v>
      </c>
      <c r="U18" s="5">
        <f t="shared" si="5"/>
        <v>84.243200000000016</v>
      </c>
      <c r="V18" s="1"/>
      <c r="W18" s="1">
        <f t="shared" si="6"/>
        <v>10.5</v>
      </c>
      <c r="X18" s="1">
        <f t="shared" si="4"/>
        <v>7.0752569272798222</v>
      </c>
      <c r="Y18" s="1">
        <v>18.6858</v>
      </c>
      <c r="Z18" s="1">
        <v>21.406600000000001</v>
      </c>
      <c r="AA18" s="1">
        <v>20.923999999999999</v>
      </c>
      <c r="AB18" s="1">
        <v>19.589400000000001</v>
      </c>
      <c r="AC18" s="1">
        <v>22.287800000000001</v>
      </c>
      <c r="AD18" s="1">
        <v>21.7728</v>
      </c>
      <c r="AE18" s="1">
        <v>17.471399999999999</v>
      </c>
      <c r="AF18" s="1">
        <v>18.394600000000001</v>
      </c>
      <c r="AG18" s="1">
        <v>18.616199999999999</v>
      </c>
      <c r="AH18" s="1">
        <v>20.011800000000001</v>
      </c>
      <c r="AI18" s="1"/>
      <c r="AJ18" s="1">
        <f t="shared" si="7"/>
        <v>84</v>
      </c>
      <c r="AK18" s="1">
        <f t="shared" si="8"/>
        <v>20.341709090909088</v>
      </c>
      <c r="AL18" s="1"/>
      <c r="AM18" s="1"/>
      <c r="AN18" s="1"/>
      <c r="AO18" s="1"/>
      <c r="AP18" s="1"/>
      <c r="AQ18" s="1"/>
    </row>
    <row r="19" spans="1:43" x14ac:dyDescent="0.25">
      <c r="A19" s="1" t="s">
        <v>54</v>
      </c>
      <c r="B19" s="1" t="s">
        <v>37</v>
      </c>
      <c r="C19" s="1">
        <v>128.85</v>
      </c>
      <c r="D19" s="1">
        <v>31.771999999999998</v>
      </c>
      <c r="E19" s="1">
        <v>86.608999999999995</v>
      </c>
      <c r="F19" s="1">
        <v>67.444999999999993</v>
      </c>
      <c r="G19" s="7">
        <v>1</v>
      </c>
      <c r="H19" s="1">
        <v>60</v>
      </c>
      <c r="I19" s="1" t="s">
        <v>38</v>
      </c>
      <c r="J19" s="1"/>
      <c r="K19" s="1">
        <v>84.66</v>
      </c>
      <c r="L19" s="1">
        <f t="shared" si="2"/>
        <v>1.9489999999999981</v>
      </c>
      <c r="M19" s="1"/>
      <c r="N19" s="1"/>
      <c r="O19" s="1"/>
      <c r="P19" s="1"/>
      <c r="Q19" s="1">
        <v>112.6268</v>
      </c>
      <c r="R19" s="1"/>
      <c r="S19" s="1">
        <f t="shared" si="3"/>
        <v>17.3218</v>
      </c>
      <c r="T19" s="5">
        <v>4</v>
      </c>
      <c r="U19" s="5">
        <f t="shared" si="5"/>
        <v>4</v>
      </c>
      <c r="V19" s="1"/>
      <c r="W19" s="1">
        <f t="shared" si="6"/>
        <v>10.626597697698854</v>
      </c>
      <c r="X19" s="1">
        <f t="shared" si="4"/>
        <v>10.395674814395733</v>
      </c>
      <c r="Y19" s="1">
        <v>17.478400000000001</v>
      </c>
      <c r="Z19" s="1">
        <v>13.7256</v>
      </c>
      <c r="AA19" s="1">
        <v>14.416600000000001</v>
      </c>
      <c r="AB19" s="1">
        <v>16.773</v>
      </c>
      <c r="AC19" s="1">
        <v>16.835999999999999</v>
      </c>
      <c r="AD19" s="1">
        <v>15.0814</v>
      </c>
      <c r="AE19" s="1">
        <v>11.555400000000001</v>
      </c>
      <c r="AF19" s="1">
        <v>13.023999999999999</v>
      </c>
      <c r="AG19" s="1">
        <v>16.781600000000001</v>
      </c>
      <c r="AH19" s="1">
        <v>17.526199999999999</v>
      </c>
      <c r="AI19" s="1"/>
      <c r="AJ19" s="1">
        <f t="shared" si="7"/>
        <v>4</v>
      </c>
      <c r="AK19" s="1">
        <f t="shared" si="8"/>
        <v>15.501818181818182</v>
      </c>
      <c r="AL19" s="1"/>
      <c r="AM19" s="1"/>
      <c r="AN19" s="1"/>
      <c r="AO19" s="1"/>
      <c r="AP19" s="1"/>
      <c r="AQ19" s="1"/>
    </row>
    <row r="20" spans="1:43" x14ac:dyDescent="0.25">
      <c r="A20" s="1" t="s">
        <v>55</v>
      </c>
      <c r="B20" s="1" t="s">
        <v>37</v>
      </c>
      <c r="C20" s="1">
        <v>19.702999999999999</v>
      </c>
      <c r="D20" s="1">
        <v>1.397</v>
      </c>
      <c r="E20" s="1">
        <v>10.813000000000001</v>
      </c>
      <c r="F20" s="1">
        <v>9.9269999999999996</v>
      </c>
      <c r="G20" s="7">
        <v>1</v>
      </c>
      <c r="H20" s="1">
        <v>180</v>
      </c>
      <c r="I20" s="1" t="s">
        <v>38</v>
      </c>
      <c r="J20" s="1"/>
      <c r="K20" s="1">
        <v>10.984999999999999</v>
      </c>
      <c r="L20" s="1">
        <f t="shared" si="2"/>
        <v>-0.17199999999999882</v>
      </c>
      <c r="M20" s="1"/>
      <c r="N20" s="1"/>
      <c r="O20" s="1"/>
      <c r="P20" s="1"/>
      <c r="Q20" s="1">
        <v>7.2839999999999989</v>
      </c>
      <c r="R20" s="1"/>
      <c r="S20" s="1">
        <f t="shared" si="3"/>
        <v>2.1626000000000003</v>
      </c>
      <c r="T20" s="5">
        <f t="shared" si="10"/>
        <v>5.4963000000000051</v>
      </c>
      <c r="U20" s="5">
        <f t="shared" si="5"/>
        <v>5.4963000000000051</v>
      </c>
      <c r="V20" s="1"/>
      <c r="W20" s="1">
        <f t="shared" si="6"/>
        <v>10.5</v>
      </c>
      <c r="X20" s="1">
        <f t="shared" si="4"/>
        <v>7.9584759086285013</v>
      </c>
      <c r="Y20" s="1">
        <v>1.7310000000000001</v>
      </c>
      <c r="Z20" s="1">
        <v>1.6870000000000001</v>
      </c>
      <c r="AA20" s="1">
        <v>1.4314</v>
      </c>
      <c r="AB20" s="1">
        <v>1.4481999999999999</v>
      </c>
      <c r="AC20" s="1">
        <v>1.9716</v>
      </c>
      <c r="AD20" s="1">
        <v>1.2405999999999999</v>
      </c>
      <c r="AE20" s="1">
        <v>0.79459999999999997</v>
      </c>
      <c r="AF20" s="1">
        <v>0.72240000000000004</v>
      </c>
      <c r="AG20" s="1">
        <v>1.2132000000000001</v>
      </c>
      <c r="AH20" s="1">
        <v>1.4932000000000001</v>
      </c>
      <c r="AI20" s="1"/>
      <c r="AJ20" s="1">
        <f t="shared" si="7"/>
        <v>5</v>
      </c>
      <c r="AK20" s="1">
        <f t="shared" si="8"/>
        <v>1.4450727272727273</v>
      </c>
      <c r="AL20" s="1"/>
      <c r="AM20" s="1"/>
      <c r="AN20" s="1"/>
      <c r="AO20" s="1"/>
      <c r="AP20" s="1"/>
      <c r="AQ20" s="1"/>
    </row>
    <row r="21" spans="1:43" x14ac:dyDescent="0.25">
      <c r="A21" s="1" t="s">
        <v>56</v>
      </c>
      <c r="B21" s="1" t="s">
        <v>37</v>
      </c>
      <c r="C21" s="1">
        <v>1630.7380000000001</v>
      </c>
      <c r="D21" s="1">
        <v>1437.5650000000001</v>
      </c>
      <c r="E21" s="1">
        <v>1342.2570000000001</v>
      </c>
      <c r="F21" s="1">
        <v>1650.463</v>
      </c>
      <c r="G21" s="7">
        <v>1</v>
      </c>
      <c r="H21" s="1">
        <v>60</v>
      </c>
      <c r="I21" s="1" t="s">
        <v>38</v>
      </c>
      <c r="J21" s="1"/>
      <c r="K21" s="1">
        <v>1303.175</v>
      </c>
      <c r="L21" s="1">
        <f t="shared" si="2"/>
        <v>39.082000000000107</v>
      </c>
      <c r="M21" s="1"/>
      <c r="N21" s="1"/>
      <c r="O21" s="1">
        <v>700</v>
      </c>
      <c r="P21" s="1"/>
      <c r="Q21" s="1">
        <v>930.54430820000141</v>
      </c>
      <c r="R21" s="1"/>
      <c r="S21" s="1">
        <f t="shared" si="3"/>
        <v>268.45140000000004</v>
      </c>
      <c r="T21" s="5"/>
      <c r="U21" s="5">
        <f t="shared" si="5"/>
        <v>0</v>
      </c>
      <c r="V21" s="1"/>
      <c r="W21" s="1">
        <f t="shared" si="6"/>
        <v>12.221978757421272</v>
      </c>
      <c r="X21" s="1">
        <f t="shared" si="4"/>
        <v>12.221978757421272</v>
      </c>
      <c r="Y21" s="1">
        <v>275.91120000000001</v>
      </c>
      <c r="Z21" s="1">
        <v>284.72680000000003</v>
      </c>
      <c r="AA21" s="1">
        <v>282.6728</v>
      </c>
      <c r="AB21" s="1">
        <v>268.63920000000002</v>
      </c>
      <c r="AC21" s="1">
        <v>285.46140000000003</v>
      </c>
      <c r="AD21" s="1">
        <v>300.20659999999998</v>
      </c>
      <c r="AE21" s="1">
        <v>291.22340000000003</v>
      </c>
      <c r="AF21" s="1">
        <v>269.3802</v>
      </c>
      <c r="AG21" s="1">
        <v>282.6694</v>
      </c>
      <c r="AH21" s="1">
        <v>300.6986</v>
      </c>
      <c r="AI21" s="1"/>
      <c r="AJ21" s="1">
        <f t="shared" si="7"/>
        <v>0</v>
      </c>
      <c r="AK21" s="1">
        <f t="shared" si="8"/>
        <v>282.73099999999999</v>
      </c>
      <c r="AL21" s="1"/>
      <c r="AM21" s="1"/>
      <c r="AN21" s="1"/>
      <c r="AO21" s="1"/>
      <c r="AP21" s="1"/>
      <c r="AQ21" s="1"/>
    </row>
    <row r="22" spans="1:43" x14ac:dyDescent="0.25">
      <c r="A22" s="1" t="s">
        <v>57</v>
      </c>
      <c r="B22" s="1" t="s">
        <v>37</v>
      </c>
      <c r="C22" s="1">
        <v>371.94200000000001</v>
      </c>
      <c r="D22" s="1">
        <v>133.47</v>
      </c>
      <c r="E22" s="1">
        <v>188.29300000000001</v>
      </c>
      <c r="F22" s="1">
        <v>314.17899999999997</v>
      </c>
      <c r="G22" s="7">
        <v>1</v>
      </c>
      <c r="H22" s="1">
        <v>70</v>
      </c>
      <c r="I22" s="1" t="s">
        <v>38</v>
      </c>
      <c r="J22" s="1"/>
      <c r="K22" s="1">
        <v>177.09</v>
      </c>
      <c r="L22" s="1">
        <f t="shared" si="2"/>
        <v>11.203000000000003</v>
      </c>
      <c r="M22" s="1"/>
      <c r="N22" s="1"/>
      <c r="O22" s="1"/>
      <c r="P22" s="1"/>
      <c r="Q22" s="1">
        <v>0</v>
      </c>
      <c r="R22" s="1"/>
      <c r="S22" s="1">
        <f t="shared" si="3"/>
        <v>37.6586</v>
      </c>
      <c r="T22" s="5">
        <f t="shared" si="10"/>
        <v>81.236300000000028</v>
      </c>
      <c r="U22" s="5">
        <f t="shared" si="5"/>
        <v>81.236300000000028</v>
      </c>
      <c r="V22" s="1"/>
      <c r="W22" s="1">
        <f t="shared" si="6"/>
        <v>10.5</v>
      </c>
      <c r="X22" s="1">
        <f t="shared" si="4"/>
        <v>8.3428220911026951</v>
      </c>
      <c r="Y22" s="1">
        <v>29.225200000000001</v>
      </c>
      <c r="Z22" s="1">
        <v>30.331199999999999</v>
      </c>
      <c r="AA22" s="1">
        <v>41.240400000000001</v>
      </c>
      <c r="AB22" s="1">
        <v>40.357600000000012</v>
      </c>
      <c r="AC22" s="1">
        <v>31.3566</v>
      </c>
      <c r="AD22" s="1">
        <v>32.416400000000003</v>
      </c>
      <c r="AE22" s="1">
        <v>50.782600000000002</v>
      </c>
      <c r="AF22" s="1">
        <v>51.17</v>
      </c>
      <c r="AG22" s="1">
        <v>32.328000000000003</v>
      </c>
      <c r="AH22" s="1">
        <v>30.726199999999999</v>
      </c>
      <c r="AI22" s="1"/>
      <c r="AJ22" s="1">
        <f t="shared" si="7"/>
        <v>81</v>
      </c>
      <c r="AK22" s="1">
        <f t="shared" si="8"/>
        <v>37.053890909090917</v>
      </c>
      <c r="AL22" s="1"/>
      <c r="AM22" s="1"/>
      <c r="AN22" s="1"/>
      <c r="AO22" s="1"/>
      <c r="AP22" s="1"/>
      <c r="AQ22" s="1"/>
    </row>
    <row r="23" spans="1:43" x14ac:dyDescent="0.25">
      <c r="A23" s="1" t="s">
        <v>58</v>
      </c>
      <c r="B23" s="1" t="s">
        <v>37</v>
      </c>
      <c r="C23" s="1">
        <v>461.03899999999999</v>
      </c>
      <c r="D23" s="1">
        <v>551.01700000000005</v>
      </c>
      <c r="E23" s="1">
        <v>445.899</v>
      </c>
      <c r="F23" s="1">
        <v>542.84799999999996</v>
      </c>
      <c r="G23" s="7">
        <v>1</v>
      </c>
      <c r="H23" s="1">
        <v>70</v>
      </c>
      <c r="I23" s="1" t="s">
        <v>38</v>
      </c>
      <c r="J23" s="1"/>
      <c r="K23" s="1">
        <v>431.73</v>
      </c>
      <c r="L23" s="1">
        <f t="shared" si="2"/>
        <v>14.168999999999983</v>
      </c>
      <c r="M23" s="1"/>
      <c r="N23" s="1"/>
      <c r="O23" s="1"/>
      <c r="P23" s="1"/>
      <c r="Q23" s="1">
        <v>536.64706299999943</v>
      </c>
      <c r="R23" s="1"/>
      <c r="S23" s="1">
        <f t="shared" si="3"/>
        <v>89.1798</v>
      </c>
      <c r="T23" s="5"/>
      <c r="U23" s="5">
        <f t="shared" si="5"/>
        <v>0</v>
      </c>
      <c r="V23" s="1"/>
      <c r="W23" s="1">
        <f t="shared" si="6"/>
        <v>12.104703789423159</v>
      </c>
      <c r="X23" s="1">
        <f t="shared" si="4"/>
        <v>12.104703789423159</v>
      </c>
      <c r="Y23" s="1">
        <v>90.862200000000001</v>
      </c>
      <c r="Z23" s="1">
        <v>89.53540000000001</v>
      </c>
      <c r="AA23" s="1">
        <v>90.167400000000001</v>
      </c>
      <c r="AB23" s="1">
        <v>90.783199999999994</v>
      </c>
      <c r="AC23" s="1">
        <v>90.342600000000004</v>
      </c>
      <c r="AD23" s="1">
        <v>100.7072</v>
      </c>
      <c r="AE23" s="1">
        <v>100.1114</v>
      </c>
      <c r="AF23" s="1">
        <v>93.316600000000008</v>
      </c>
      <c r="AG23" s="1">
        <v>89.801999999999992</v>
      </c>
      <c r="AH23" s="1">
        <v>94.597799999999992</v>
      </c>
      <c r="AI23" s="1"/>
      <c r="AJ23" s="1">
        <f t="shared" si="7"/>
        <v>0</v>
      </c>
      <c r="AK23" s="1">
        <f t="shared" si="8"/>
        <v>92.673236363636363</v>
      </c>
      <c r="AL23" s="1"/>
      <c r="AM23" s="1"/>
      <c r="AN23" s="1"/>
      <c r="AO23" s="1"/>
      <c r="AP23" s="1"/>
      <c r="AQ23" s="1"/>
    </row>
    <row r="24" spans="1:43" x14ac:dyDescent="0.25">
      <c r="A24" s="11" t="s">
        <v>59</v>
      </c>
      <c r="B24" s="11" t="s">
        <v>37</v>
      </c>
      <c r="C24" s="11"/>
      <c r="D24" s="11"/>
      <c r="E24" s="11"/>
      <c r="F24" s="11"/>
      <c r="G24" s="12">
        <v>0</v>
      </c>
      <c r="H24" s="11"/>
      <c r="I24" s="11" t="s">
        <v>38</v>
      </c>
      <c r="J24" s="11"/>
      <c r="K24" s="11"/>
      <c r="L24" s="11">
        <f t="shared" si="2"/>
        <v>0</v>
      </c>
      <c r="M24" s="11"/>
      <c r="N24" s="11"/>
      <c r="O24" s="11"/>
      <c r="P24" s="11"/>
      <c r="Q24" s="11">
        <v>0</v>
      </c>
      <c r="R24" s="11"/>
      <c r="S24" s="11">
        <f t="shared" si="3"/>
        <v>0</v>
      </c>
      <c r="T24" s="13"/>
      <c r="U24" s="5">
        <f t="shared" si="5"/>
        <v>0</v>
      </c>
      <c r="V24" s="11"/>
      <c r="W24" s="1" t="e">
        <f t="shared" si="6"/>
        <v>#DIV/0!</v>
      </c>
      <c r="X24" s="11" t="e">
        <f t="shared" si="4"/>
        <v>#DIV/0!</v>
      </c>
      <c r="Y24" s="11">
        <v>0</v>
      </c>
      <c r="Z24" s="11">
        <v>0</v>
      </c>
      <c r="AA24" s="11">
        <v>0</v>
      </c>
      <c r="AB24" s="11">
        <v>0</v>
      </c>
      <c r="AC24" s="11">
        <v>0</v>
      </c>
      <c r="AD24" s="11">
        <v>0</v>
      </c>
      <c r="AE24" s="11">
        <v>0</v>
      </c>
      <c r="AF24" s="11">
        <v>0</v>
      </c>
      <c r="AG24" s="11">
        <v>0</v>
      </c>
      <c r="AH24" s="11">
        <v>0</v>
      </c>
      <c r="AI24" s="11" t="s">
        <v>43</v>
      </c>
      <c r="AJ24" s="1">
        <f t="shared" si="7"/>
        <v>0</v>
      </c>
      <c r="AK24" s="1">
        <f t="shared" si="8"/>
        <v>0</v>
      </c>
      <c r="AL24" s="1"/>
      <c r="AM24" s="1"/>
      <c r="AN24" s="1"/>
      <c r="AO24" s="1"/>
      <c r="AP24" s="1"/>
      <c r="AQ24" s="1"/>
    </row>
    <row r="25" spans="1:43" x14ac:dyDescent="0.25">
      <c r="A25" s="1" t="s">
        <v>60</v>
      </c>
      <c r="B25" s="1" t="s">
        <v>37</v>
      </c>
      <c r="C25" s="1">
        <v>934.28599999999994</v>
      </c>
      <c r="D25" s="1">
        <v>501.53899999999999</v>
      </c>
      <c r="E25" s="1">
        <v>617.05899999999997</v>
      </c>
      <c r="F25" s="1">
        <v>786.279</v>
      </c>
      <c r="G25" s="7">
        <v>1</v>
      </c>
      <c r="H25" s="1">
        <v>70</v>
      </c>
      <c r="I25" s="1" t="s">
        <v>38</v>
      </c>
      <c r="J25" s="1"/>
      <c r="K25" s="1">
        <v>599.375</v>
      </c>
      <c r="L25" s="1">
        <f t="shared" si="2"/>
        <v>17.683999999999969</v>
      </c>
      <c r="M25" s="1"/>
      <c r="N25" s="1"/>
      <c r="O25" s="1">
        <v>250</v>
      </c>
      <c r="P25" s="1"/>
      <c r="Q25" s="1">
        <v>298.02659299999982</v>
      </c>
      <c r="R25" s="1"/>
      <c r="S25" s="1">
        <f t="shared" si="3"/>
        <v>123.4118</v>
      </c>
      <c r="T25" s="5"/>
      <c r="U25" s="5">
        <f t="shared" si="5"/>
        <v>0</v>
      </c>
      <c r="V25" s="1"/>
      <c r="W25" s="1">
        <f t="shared" si="6"/>
        <v>10.811815345048041</v>
      </c>
      <c r="X25" s="1">
        <f t="shared" si="4"/>
        <v>10.811815345048041</v>
      </c>
      <c r="Y25" s="1">
        <v>117.6122</v>
      </c>
      <c r="Z25" s="1">
        <v>125.7372</v>
      </c>
      <c r="AA25" s="1">
        <v>138.38999999999999</v>
      </c>
      <c r="AB25" s="1">
        <v>139.70419999999999</v>
      </c>
      <c r="AC25" s="1">
        <v>135.19220000000001</v>
      </c>
      <c r="AD25" s="1">
        <v>130.17939999999999</v>
      </c>
      <c r="AE25" s="1">
        <v>121.59180000000001</v>
      </c>
      <c r="AF25" s="1">
        <v>124.3712</v>
      </c>
      <c r="AG25" s="1">
        <v>128.39340000000001</v>
      </c>
      <c r="AH25" s="1">
        <v>130.5224</v>
      </c>
      <c r="AI25" s="1"/>
      <c r="AJ25" s="1">
        <f t="shared" si="7"/>
        <v>0</v>
      </c>
      <c r="AK25" s="1">
        <f t="shared" si="8"/>
        <v>128.64598181818181</v>
      </c>
      <c r="AL25" s="1"/>
      <c r="AM25" s="1"/>
      <c r="AN25" s="1"/>
      <c r="AO25" s="1"/>
      <c r="AP25" s="1"/>
      <c r="AQ25" s="1"/>
    </row>
    <row r="26" spans="1:43" x14ac:dyDescent="0.25">
      <c r="A26" s="1" t="s">
        <v>61</v>
      </c>
      <c r="B26" s="1" t="s">
        <v>37</v>
      </c>
      <c r="C26" s="1">
        <v>226.226</v>
      </c>
      <c r="D26" s="1">
        <v>122.093</v>
      </c>
      <c r="E26" s="1">
        <v>151.79599999999999</v>
      </c>
      <c r="F26" s="1">
        <v>196.523</v>
      </c>
      <c r="G26" s="7">
        <v>1</v>
      </c>
      <c r="H26" s="1">
        <v>40</v>
      </c>
      <c r="I26" s="1" t="s">
        <v>38</v>
      </c>
      <c r="J26" s="1"/>
      <c r="K26" s="1">
        <v>151.9</v>
      </c>
      <c r="L26" s="1">
        <f t="shared" si="2"/>
        <v>-0.10400000000001342</v>
      </c>
      <c r="M26" s="1"/>
      <c r="N26" s="1"/>
      <c r="O26" s="1"/>
      <c r="P26" s="1"/>
      <c r="Q26" s="1">
        <v>0</v>
      </c>
      <c r="R26" s="1"/>
      <c r="S26" s="1">
        <f t="shared" si="3"/>
        <v>30.359199999999998</v>
      </c>
      <c r="T26" s="5">
        <f t="shared" ref="T26" si="11">10.5*S26-R26-Q26-P26-O26-F26</f>
        <v>122.24859999999998</v>
      </c>
      <c r="U26" s="5">
        <f t="shared" si="5"/>
        <v>122.24859999999998</v>
      </c>
      <c r="V26" s="1"/>
      <c r="W26" s="1">
        <f t="shared" si="6"/>
        <v>10.5</v>
      </c>
      <c r="X26" s="1">
        <f t="shared" si="4"/>
        <v>6.4732601649582335</v>
      </c>
      <c r="Y26" s="1">
        <v>1.6180000000000001</v>
      </c>
      <c r="Z26" s="1">
        <v>0.88819999999999999</v>
      </c>
      <c r="AA26" s="1">
        <v>28.8462</v>
      </c>
      <c r="AB26" s="1">
        <v>28.550999999999998</v>
      </c>
      <c r="AC26" s="1">
        <v>16.459599999999998</v>
      </c>
      <c r="AD26" s="1">
        <v>16.6052</v>
      </c>
      <c r="AE26" s="1">
        <v>15.1754</v>
      </c>
      <c r="AF26" s="1">
        <v>15.175800000000001</v>
      </c>
      <c r="AG26" s="1">
        <v>1.0192000000000001</v>
      </c>
      <c r="AH26" s="1">
        <v>0.87319999999999998</v>
      </c>
      <c r="AI26" s="1"/>
      <c r="AJ26" s="1">
        <f t="shared" si="7"/>
        <v>122</v>
      </c>
      <c r="AK26" s="1">
        <f t="shared" si="8"/>
        <v>14.142818181818178</v>
      </c>
      <c r="AL26" s="1"/>
      <c r="AM26" s="1"/>
      <c r="AN26" s="1"/>
      <c r="AO26" s="1"/>
      <c r="AP26" s="1"/>
      <c r="AQ26" s="1"/>
    </row>
    <row r="27" spans="1:43" x14ac:dyDescent="0.25">
      <c r="A27" s="1" t="s">
        <v>62</v>
      </c>
      <c r="B27" s="1" t="s">
        <v>37</v>
      </c>
      <c r="C27" s="1">
        <v>351.79199999999997</v>
      </c>
      <c r="D27" s="1">
        <v>233.76599999999999</v>
      </c>
      <c r="E27" s="1">
        <v>263.40600000000001</v>
      </c>
      <c r="F27" s="1">
        <v>304.149</v>
      </c>
      <c r="G27" s="7">
        <v>1</v>
      </c>
      <c r="H27" s="1">
        <v>30</v>
      </c>
      <c r="I27" s="1" t="s">
        <v>38</v>
      </c>
      <c r="J27" s="1"/>
      <c r="K27" s="1">
        <v>265.3</v>
      </c>
      <c r="L27" s="1">
        <f t="shared" si="2"/>
        <v>-1.8940000000000055</v>
      </c>
      <c r="M27" s="1"/>
      <c r="N27" s="1"/>
      <c r="O27" s="1"/>
      <c r="P27" s="1"/>
      <c r="Q27" s="1">
        <v>434.82960099999963</v>
      </c>
      <c r="R27" s="1"/>
      <c r="S27" s="1">
        <f t="shared" si="3"/>
        <v>52.681200000000004</v>
      </c>
      <c r="T27" s="5"/>
      <c r="U27" s="5">
        <f t="shared" si="5"/>
        <v>0</v>
      </c>
      <c r="V27" s="1"/>
      <c r="W27" s="1">
        <f t="shared" si="6"/>
        <v>14.027368416057332</v>
      </c>
      <c r="X27" s="1">
        <f t="shared" si="4"/>
        <v>14.027368416057332</v>
      </c>
      <c r="Y27" s="1">
        <v>61.315399999999997</v>
      </c>
      <c r="Z27" s="1">
        <v>65.999600000000001</v>
      </c>
      <c r="AA27" s="1">
        <v>56.640599999999992</v>
      </c>
      <c r="AB27" s="1">
        <v>57.695599999999999</v>
      </c>
      <c r="AC27" s="1">
        <v>53.313800000000001</v>
      </c>
      <c r="AD27" s="1">
        <v>47.676200000000001</v>
      </c>
      <c r="AE27" s="1">
        <v>38.641599999999997</v>
      </c>
      <c r="AF27" s="1">
        <v>41.4846</v>
      </c>
      <c r="AG27" s="1">
        <v>49.220399999999998</v>
      </c>
      <c r="AH27" s="1">
        <v>39.5886</v>
      </c>
      <c r="AI27" s="1"/>
      <c r="AJ27" s="1">
        <f t="shared" si="7"/>
        <v>0</v>
      </c>
      <c r="AK27" s="1">
        <f t="shared" si="8"/>
        <v>51.29614545454546</v>
      </c>
      <c r="AL27" s="1"/>
      <c r="AM27" s="1"/>
      <c r="AN27" s="1"/>
      <c r="AO27" s="1"/>
      <c r="AP27" s="1"/>
      <c r="AQ27" s="1"/>
    </row>
    <row r="28" spans="1:43" x14ac:dyDescent="0.25">
      <c r="A28" s="1" t="s">
        <v>63</v>
      </c>
      <c r="B28" s="1" t="s">
        <v>37</v>
      </c>
      <c r="C28" s="1">
        <v>291.93</v>
      </c>
      <c r="D28" s="1">
        <v>3.016</v>
      </c>
      <c r="E28" s="1">
        <v>207.47399999999999</v>
      </c>
      <c r="F28" s="1">
        <v>61.280999999999999</v>
      </c>
      <c r="G28" s="7">
        <v>1</v>
      </c>
      <c r="H28" s="1">
        <v>40</v>
      </c>
      <c r="I28" s="16" t="s">
        <v>179</v>
      </c>
      <c r="J28" s="1"/>
      <c r="K28" s="1">
        <v>201.1</v>
      </c>
      <c r="L28" s="1">
        <f t="shared" si="2"/>
        <v>6.3739999999999952</v>
      </c>
      <c r="M28" s="1"/>
      <c r="N28" s="1"/>
      <c r="O28" s="1"/>
      <c r="P28" s="1"/>
      <c r="Q28" s="1">
        <v>89.211112000000242</v>
      </c>
      <c r="R28" s="1"/>
      <c r="S28" s="1">
        <f t="shared" si="3"/>
        <v>41.494799999999998</v>
      </c>
      <c r="T28" s="5">
        <v>100</v>
      </c>
      <c r="U28" s="5">
        <f t="shared" si="5"/>
        <v>100</v>
      </c>
      <c r="V28" s="1"/>
      <c r="W28" s="1">
        <f t="shared" si="6"/>
        <v>6.0367109131746695</v>
      </c>
      <c r="X28" s="1">
        <f t="shared" si="4"/>
        <v>3.6267703905067683</v>
      </c>
      <c r="Y28" s="1">
        <v>42.447800000000001</v>
      </c>
      <c r="Z28" s="1">
        <v>46.859200000000001</v>
      </c>
      <c r="AA28" s="1">
        <v>44.1312</v>
      </c>
      <c r="AB28" s="1">
        <v>43.206599999999987</v>
      </c>
      <c r="AC28" s="1">
        <v>39.3598</v>
      </c>
      <c r="AD28" s="1">
        <v>38.984400000000001</v>
      </c>
      <c r="AE28" s="1">
        <v>38.6952</v>
      </c>
      <c r="AF28" s="1">
        <v>38.327599999999997</v>
      </c>
      <c r="AG28" s="1">
        <v>37.422600000000003</v>
      </c>
      <c r="AH28" s="1">
        <v>35.545999999999999</v>
      </c>
      <c r="AI28" s="1"/>
      <c r="AJ28" s="1">
        <f t="shared" si="7"/>
        <v>100</v>
      </c>
      <c r="AK28" s="1">
        <f t="shared" si="8"/>
        <v>40.588654545454546</v>
      </c>
      <c r="AL28" s="1"/>
      <c r="AM28" s="1"/>
      <c r="AN28" s="1"/>
      <c r="AO28" s="1"/>
      <c r="AP28" s="1"/>
      <c r="AQ28" s="1"/>
    </row>
    <row r="29" spans="1:43" x14ac:dyDescent="0.25">
      <c r="A29" s="1" t="s">
        <v>64</v>
      </c>
      <c r="B29" s="1" t="s">
        <v>37</v>
      </c>
      <c r="C29" s="1">
        <v>1840.7719999999999</v>
      </c>
      <c r="D29" s="1">
        <v>3233.422</v>
      </c>
      <c r="E29" s="1">
        <v>2404.3989999999999</v>
      </c>
      <c r="F29" s="1">
        <v>2492.098</v>
      </c>
      <c r="G29" s="7">
        <v>1</v>
      </c>
      <c r="H29" s="1">
        <v>30</v>
      </c>
      <c r="I29" s="16" t="s">
        <v>179</v>
      </c>
      <c r="J29" s="1"/>
      <c r="K29" s="1">
        <v>2359.6999999999998</v>
      </c>
      <c r="L29" s="1">
        <f t="shared" si="2"/>
        <v>44.699000000000069</v>
      </c>
      <c r="M29" s="1"/>
      <c r="N29" s="1"/>
      <c r="O29" s="1"/>
      <c r="P29" s="1"/>
      <c r="Q29" s="1">
        <v>0</v>
      </c>
      <c r="R29" s="1"/>
      <c r="S29" s="1">
        <f t="shared" si="3"/>
        <v>480.87979999999999</v>
      </c>
      <c r="T29" s="5">
        <v>500</v>
      </c>
      <c r="U29" s="5">
        <f t="shared" si="5"/>
        <v>500</v>
      </c>
      <c r="V29" s="1"/>
      <c r="W29" s="1">
        <f t="shared" si="6"/>
        <v>6.2221328489988563</v>
      </c>
      <c r="X29" s="1">
        <f t="shared" si="4"/>
        <v>5.1823719773631582</v>
      </c>
      <c r="Y29" s="1">
        <v>213.43700000000001</v>
      </c>
      <c r="Z29" s="1">
        <v>215.16399999999999</v>
      </c>
      <c r="AA29" s="1">
        <v>450.7</v>
      </c>
      <c r="AB29" s="1">
        <v>450.23039999999997</v>
      </c>
      <c r="AC29" s="1">
        <v>427.48280000000011</v>
      </c>
      <c r="AD29" s="1">
        <v>418.57639999999998</v>
      </c>
      <c r="AE29" s="1">
        <v>396.39859999999999</v>
      </c>
      <c r="AF29" s="1">
        <v>378.3732</v>
      </c>
      <c r="AG29" s="1">
        <v>434.29799999999989</v>
      </c>
      <c r="AH29" s="1">
        <v>450.32920000000001</v>
      </c>
      <c r="AI29" s="1"/>
      <c r="AJ29" s="1">
        <f t="shared" si="7"/>
        <v>500</v>
      </c>
      <c r="AK29" s="1">
        <f t="shared" si="8"/>
        <v>392.35176363636361</v>
      </c>
      <c r="AL29" s="1"/>
      <c r="AM29" s="1"/>
      <c r="AN29" s="1"/>
      <c r="AO29" s="1"/>
      <c r="AP29" s="1"/>
      <c r="AQ29" s="1"/>
    </row>
    <row r="30" spans="1:43" x14ac:dyDescent="0.25">
      <c r="A30" s="11" t="s">
        <v>65</v>
      </c>
      <c r="B30" s="11" t="s">
        <v>37</v>
      </c>
      <c r="C30" s="11">
        <v>26.364999999999998</v>
      </c>
      <c r="D30" s="11"/>
      <c r="E30" s="11">
        <v>23.018000000000001</v>
      </c>
      <c r="F30" s="11">
        <v>1.7370000000000001</v>
      </c>
      <c r="G30" s="12">
        <v>0</v>
      </c>
      <c r="H30" s="11">
        <v>45</v>
      </c>
      <c r="I30" s="11" t="s">
        <v>50</v>
      </c>
      <c r="J30" s="11"/>
      <c r="K30" s="11">
        <v>27.75</v>
      </c>
      <c r="L30" s="11">
        <f t="shared" si="2"/>
        <v>-4.7319999999999993</v>
      </c>
      <c r="M30" s="11"/>
      <c r="N30" s="11"/>
      <c r="O30" s="11"/>
      <c r="P30" s="11"/>
      <c r="Q30" s="11">
        <v>0</v>
      </c>
      <c r="R30" s="11"/>
      <c r="S30" s="11">
        <f t="shared" si="3"/>
        <v>4.6036000000000001</v>
      </c>
      <c r="T30" s="13"/>
      <c r="U30" s="5">
        <f t="shared" si="5"/>
        <v>0</v>
      </c>
      <c r="V30" s="11"/>
      <c r="W30" s="1">
        <f t="shared" si="6"/>
        <v>0.37731340689894866</v>
      </c>
      <c r="X30" s="11">
        <f t="shared" si="4"/>
        <v>0.37731340689894866</v>
      </c>
      <c r="Y30" s="11">
        <v>4.6284000000000001</v>
      </c>
      <c r="Z30" s="11">
        <v>3.6878000000000002</v>
      </c>
      <c r="AA30" s="11">
        <v>5.8213999999999997</v>
      </c>
      <c r="AB30" s="11">
        <v>3.9933999999999998</v>
      </c>
      <c r="AC30" s="11">
        <v>2.5615999999999999</v>
      </c>
      <c r="AD30" s="11">
        <v>5.5739999999999998</v>
      </c>
      <c r="AE30" s="11">
        <v>5.3944000000000001</v>
      </c>
      <c r="AF30" s="11">
        <v>2.9910000000000001</v>
      </c>
      <c r="AG30" s="11">
        <v>3.278</v>
      </c>
      <c r="AH30" s="11">
        <v>2.6667999999999998</v>
      </c>
      <c r="AI30" s="11"/>
      <c r="AJ30" s="1">
        <f t="shared" si="7"/>
        <v>0</v>
      </c>
      <c r="AK30" s="1">
        <f t="shared" si="8"/>
        <v>4.1091272727272727</v>
      </c>
      <c r="AL30" s="1"/>
      <c r="AM30" s="1"/>
      <c r="AN30" s="1"/>
      <c r="AO30" s="1"/>
      <c r="AP30" s="1"/>
      <c r="AQ30" s="1"/>
    </row>
    <row r="31" spans="1:43" x14ac:dyDescent="0.25">
      <c r="A31" s="11" t="s">
        <v>66</v>
      </c>
      <c r="B31" s="11" t="s">
        <v>37</v>
      </c>
      <c r="C31" s="11">
        <v>6.7279999999999998</v>
      </c>
      <c r="D31" s="11"/>
      <c r="E31" s="11">
        <v>6.4790000000000001</v>
      </c>
      <c r="F31" s="11">
        <v>-0.25700000000000001</v>
      </c>
      <c r="G31" s="12">
        <v>0</v>
      </c>
      <c r="H31" s="11">
        <v>40</v>
      </c>
      <c r="I31" s="11" t="s">
        <v>50</v>
      </c>
      <c r="J31" s="11"/>
      <c r="K31" s="11">
        <v>152.19999999999999</v>
      </c>
      <c r="L31" s="11">
        <f t="shared" si="2"/>
        <v>-145.72099999999998</v>
      </c>
      <c r="M31" s="11"/>
      <c r="N31" s="11"/>
      <c r="O31" s="11"/>
      <c r="P31" s="11"/>
      <c r="Q31" s="11">
        <v>0</v>
      </c>
      <c r="R31" s="11"/>
      <c r="S31" s="11">
        <f t="shared" si="3"/>
        <v>1.2958000000000001</v>
      </c>
      <c r="T31" s="13"/>
      <c r="U31" s="5">
        <f t="shared" si="5"/>
        <v>0</v>
      </c>
      <c r="V31" s="11"/>
      <c r="W31" s="1">
        <f t="shared" si="6"/>
        <v>-0.1983330760919895</v>
      </c>
      <c r="X31" s="11">
        <f t="shared" si="4"/>
        <v>-0.1983330760919895</v>
      </c>
      <c r="Y31" s="11">
        <v>12.6168</v>
      </c>
      <c r="Z31" s="11">
        <v>11.9848</v>
      </c>
      <c r="AA31" s="11">
        <v>17.542200000000001</v>
      </c>
      <c r="AB31" s="11">
        <v>20.3004</v>
      </c>
      <c r="AC31" s="11">
        <v>11.212</v>
      </c>
      <c r="AD31" s="11">
        <v>8.2512000000000008</v>
      </c>
      <c r="AE31" s="11">
        <v>7.6128</v>
      </c>
      <c r="AF31" s="11">
        <v>9.6614000000000004</v>
      </c>
      <c r="AG31" s="11">
        <v>3.0419999999999998</v>
      </c>
      <c r="AH31" s="11">
        <v>1.1419999999999999</v>
      </c>
      <c r="AI31" s="11"/>
      <c r="AJ31" s="1">
        <f t="shared" si="7"/>
        <v>0</v>
      </c>
      <c r="AK31" s="1">
        <f t="shared" si="8"/>
        <v>9.5146727272727265</v>
      </c>
      <c r="AL31" s="1"/>
      <c r="AM31" s="1"/>
      <c r="AN31" s="1"/>
      <c r="AO31" s="1"/>
      <c r="AP31" s="1"/>
      <c r="AQ31" s="1"/>
    </row>
    <row r="32" spans="1:43" x14ac:dyDescent="0.25">
      <c r="A32" s="1" t="s">
        <v>67</v>
      </c>
      <c r="B32" s="1" t="s">
        <v>37</v>
      </c>
      <c r="C32" s="1"/>
      <c r="D32" s="1">
        <v>2338.44</v>
      </c>
      <c r="E32" s="1">
        <v>2333.2840000000001</v>
      </c>
      <c r="F32" s="1">
        <v>3.7480000000000002</v>
      </c>
      <c r="G32" s="7">
        <v>1</v>
      </c>
      <c r="H32" s="1">
        <v>40</v>
      </c>
      <c r="I32" s="16" t="s">
        <v>179</v>
      </c>
      <c r="J32" s="1"/>
      <c r="K32" s="1">
        <v>2789.37</v>
      </c>
      <c r="L32" s="1">
        <f t="shared" si="2"/>
        <v>-456.08599999999979</v>
      </c>
      <c r="M32" s="1"/>
      <c r="N32" s="1"/>
      <c r="O32" s="1"/>
      <c r="P32" s="1"/>
      <c r="Q32" s="1">
        <v>500</v>
      </c>
      <c r="R32" s="1"/>
      <c r="S32" s="1">
        <f t="shared" si="3"/>
        <v>466.65680000000003</v>
      </c>
      <c r="T32" s="5">
        <v>700</v>
      </c>
      <c r="U32" s="5">
        <f t="shared" si="5"/>
        <v>700</v>
      </c>
      <c r="V32" s="1"/>
      <c r="W32" s="1">
        <f t="shared" si="6"/>
        <v>2.5795145383073814</v>
      </c>
      <c r="X32" s="1">
        <f t="shared" si="4"/>
        <v>1.0794828233511222</v>
      </c>
      <c r="Y32" s="1">
        <v>-1.0442</v>
      </c>
      <c r="Z32" s="1">
        <v>170.2936</v>
      </c>
      <c r="AA32" s="1">
        <v>540.2518</v>
      </c>
      <c r="AB32" s="1">
        <v>543.82479999999998</v>
      </c>
      <c r="AC32" s="1">
        <v>632.09960000000001</v>
      </c>
      <c r="AD32" s="1">
        <v>771.26760000000002</v>
      </c>
      <c r="AE32" s="1">
        <v>511.33100000000002</v>
      </c>
      <c r="AF32" s="1">
        <v>199.14580000000001</v>
      </c>
      <c r="AG32" s="1">
        <v>179.42859999999999</v>
      </c>
      <c r="AH32" s="1">
        <v>420.00200000000012</v>
      </c>
      <c r="AI32" s="1"/>
      <c r="AJ32" s="1">
        <f t="shared" si="7"/>
        <v>700</v>
      </c>
      <c r="AK32" s="1">
        <f t="shared" si="8"/>
        <v>403.02340000000004</v>
      </c>
      <c r="AL32" s="1"/>
      <c r="AM32" s="1"/>
      <c r="AN32" s="1"/>
      <c r="AO32" s="1"/>
      <c r="AP32" s="1"/>
      <c r="AQ32" s="1"/>
    </row>
    <row r="33" spans="1:43" x14ac:dyDescent="0.25">
      <c r="A33" s="11" t="s">
        <v>68</v>
      </c>
      <c r="B33" s="11" t="s">
        <v>37</v>
      </c>
      <c r="C33" s="11"/>
      <c r="D33" s="11"/>
      <c r="E33" s="11"/>
      <c r="F33" s="11"/>
      <c r="G33" s="12">
        <v>0</v>
      </c>
      <c r="H33" s="11"/>
      <c r="I33" s="11" t="s">
        <v>38</v>
      </c>
      <c r="J33" s="11"/>
      <c r="K33" s="11"/>
      <c r="L33" s="11">
        <f t="shared" si="2"/>
        <v>0</v>
      </c>
      <c r="M33" s="11"/>
      <c r="N33" s="11"/>
      <c r="O33" s="11"/>
      <c r="P33" s="11"/>
      <c r="Q33" s="11">
        <v>0</v>
      </c>
      <c r="R33" s="11"/>
      <c r="S33" s="11">
        <f t="shared" si="3"/>
        <v>0</v>
      </c>
      <c r="T33" s="13"/>
      <c r="U33" s="5">
        <f t="shared" si="5"/>
        <v>0</v>
      </c>
      <c r="V33" s="11"/>
      <c r="W33" s="1" t="e">
        <f t="shared" si="6"/>
        <v>#DIV/0!</v>
      </c>
      <c r="X33" s="11" t="e">
        <f t="shared" si="4"/>
        <v>#DIV/0!</v>
      </c>
      <c r="Y33" s="11">
        <v>0</v>
      </c>
      <c r="Z33" s="11">
        <v>0</v>
      </c>
      <c r="AA33" s="11">
        <v>0</v>
      </c>
      <c r="AB33" s="11">
        <v>0</v>
      </c>
      <c r="AC33" s="11">
        <v>0</v>
      </c>
      <c r="AD33" s="11">
        <v>0</v>
      </c>
      <c r="AE33" s="11">
        <v>0</v>
      </c>
      <c r="AF33" s="11">
        <v>0</v>
      </c>
      <c r="AG33" s="11">
        <v>0</v>
      </c>
      <c r="AH33" s="11">
        <v>0</v>
      </c>
      <c r="AI33" s="11" t="s">
        <v>43</v>
      </c>
      <c r="AJ33" s="1">
        <f t="shared" si="7"/>
        <v>0</v>
      </c>
      <c r="AK33" s="1">
        <f t="shared" si="8"/>
        <v>0</v>
      </c>
      <c r="AL33" s="1"/>
      <c r="AM33" s="1"/>
      <c r="AN33" s="1"/>
      <c r="AO33" s="1"/>
      <c r="AP33" s="1"/>
      <c r="AQ33" s="1"/>
    </row>
    <row r="34" spans="1:43" x14ac:dyDescent="0.25">
      <c r="A34" s="1" t="s">
        <v>69</v>
      </c>
      <c r="B34" s="1" t="s">
        <v>37</v>
      </c>
      <c r="C34" s="1">
        <v>462.20800000000003</v>
      </c>
      <c r="D34" s="1">
        <v>18.562000000000001</v>
      </c>
      <c r="E34" s="1">
        <v>261.411</v>
      </c>
      <c r="F34" s="1">
        <v>188.01400000000001</v>
      </c>
      <c r="G34" s="7">
        <v>1</v>
      </c>
      <c r="H34" s="1">
        <v>30</v>
      </c>
      <c r="I34" s="1" t="s">
        <v>38</v>
      </c>
      <c r="J34" s="1"/>
      <c r="K34" s="1">
        <v>255.5</v>
      </c>
      <c r="L34" s="1">
        <f t="shared" si="2"/>
        <v>5.9110000000000014</v>
      </c>
      <c r="M34" s="1"/>
      <c r="N34" s="1"/>
      <c r="O34" s="1"/>
      <c r="P34" s="1"/>
      <c r="Q34" s="1">
        <v>189.98920000000001</v>
      </c>
      <c r="R34" s="1"/>
      <c r="S34" s="1">
        <f t="shared" si="3"/>
        <v>52.282200000000003</v>
      </c>
      <c r="T34" s="5">
        <f>10.5*S34-R34-Q34-P34-O34-F34</f>
        <v>170.95990000000006</v>
      </c>
      <c r="U34" s="5">
        <f t="shared" si="5"/>
        <v>170.95990000000006</v>
      </c>
      <c r="V34" s="1"/>
      <c r="W34" s="1">
        <f t="shared" si="6"/>
        <v>10.5</v>
      </c>
      <c r="X34" s="1">
        <f t="shared" si="4"/>
        <v>7.2300553534472529</v>
      </c>
      <c r="Y34" s="1">
        <v>40.8566</v>
      </c>
      <c r="Z34" s="1">
        <v>32.737400000000001</v>
      </c>
      <c r="AA34" s="1">
        <v>46.584200000000003</v>
      </c>
      <c r="AB34" s="1">
        <v>55.434800000000003</v>
      </c>
      <c r="AC34" s="1">
        <v>52.496000000000002</v>
      </c>
      <c r="AD34" s="1">
        <v>46.775199999999998</v>
      </c>
      <c r="AE34" s="1">
        <v>42.855600000000003</v>
      </c>
      <c r="AF34" s="1">
        <v>50.501600000000003</v>
      </c>
      <c r="AG34" s="1">
        <v>53.412799999999997</v>
      </c>
      <c r="AH34" s="1">
        <v>50.7288</v>
      </c>
      <c r="AI34" s="1"/>
      <c r="AJ34" s="1">
        <f t="shared" si="7"/>
        <v>171</v>
      </c>
      <c r="AK34" s="1">
        <f t="shared" si="8"/>
        <v>47.696836363636365</v>
      </c>
      <c r="AL34" s="1"/>
      <c r="AM34" s="1"/>
      <c r="AN34" s="1"/>
      <c r="AO34" s="1"/>
      <c r="AP34" s="1"/>
      <c r="AQ34" s="1"/>
    </row>
    <row r="35" spans="1:43" x14ac:dyDescent="0.25">
      <c r="A35" s="11" t="s">
        <v>70</v>
      </c>
      <c r="B35" s="11" t="s">
        <v>37</v>
      </c>
      <c r="C35" s="11"/>
      <c r="D35" s="11"/>
      <c r="E35" s="11"/>
      <c r="F35" s="11"/>
      <c r="G35" s="12">
        <v>0</v>
      </c>
      <c r="H35" s="11"/>
      <c r="I35" s="11" t="s">
        <v>38</v>
      </c>
      <c r="J35" s="11"/>
      <c r="K35" s="11"/>
      <c r="L35" s="11">
        <f t="shared" si="2"/>
        <v>0</v>
      </c>
      <c r="M35" s="11"/>
      <c r="N35" s="11"/>
      <c r="O35" s="11"/>
      <c r="P35" s="11"/>
      <c r="Q35" s="11">
        <v>0</v>
      </c>
      <c r="R35" s="11"/>
      <c r="S35" s="11">
        <f t="shared" si="3"/>
        <v>0</v>
      </c>
      <c r="T35" s="13"/>
      <c r="U35" s="5">
        <f t="shared" si="5"/>
        <v>0</v>
      </c>
      <c r="V35" s="11"/>
      <c r="W35" s="1" t="e">
        <f t="shared" si="6"/>
        <v>#DIV/0!</v>
      </c>
      <c r="X35" s="11" t="e">
        <f t="shared" si="4"/>
        <v>#DIV/0!</v>
      </c>
      <c r="Y35" s="11">
        <v>0</v>
      </c>
      <c r="Z35" s="11">
        <v>0</v>
      </c>
      <c r="AA35" s="11">
        <v>0</v>
      </c>
      <c r="AB35" s="11">
        <v>0</v>
      </c>
      <c r="AC35" s="11">
        <v>0</v>
      </c>
      <c r="AD35" s="11">
        <v>0</v>
      </c>
      <c r="AE35" s="11">
        <v>0</v>
      </c>
      <c r="AF35" s="11">
        <v>0</v>
      </c>
      <c r="AG35" s="11">
        <v>0</v>
      </c>
      <c r="AH35" s="11">
        <v>0</v>
      </c>
      <c r="AI35" s="11" t="s">
        <v>43</v>
      </c>
      <c r="AJ35" s="1">
        <f t="shared" si="7"/>
        <v>0</v>
      </c>
      <c r="AK35" s="1">
        <f t="shared" si="8"/>
        <v>0</v>
      </c>
      <c r="AL35" s="1"/>
      <c r="AM35" s="1"/>
      <c r="AN35" s="1"/>
      <c r="AO35" s="1"/>
      <c r="AP35" s="1"/>
      <c r="AQ35" s="1"/>
    </row>
    <row r="36" spans="1:43" x14ac:dyDescent="0.25">
      <c r="A36" s="11" t="s">
        <v>71</v>
      </c>
      <c r="B36" s="11" t="s">
        <v>37</v>
      </c>
      <c r="C36" s="11"/>
      <c r="D36" s="11"/>
      <c r="E36" s="11"/>
      <c r="F36" s="11"/>
      <c r="G36" s="12">
        <v>0</v>
      </c>
      <c r="H36" s="11"/>
      <c r="I36" s="11" t="s">
        <v>38</v>
      </c>
      <c r="J36" s="11"/>
      <c r="K36" s="11"/>
      <c r="L36" s="11">
        <f t="shared" si="2"/>
        <v>0</v>
      </c>
      <c r="M36" s="11"/>
      <c r="N36" s="11"/>
      <c r="O36" s="11"/>
      <c r="P36" s="11"/>
      <c r="Q36" s="11">
        <v>0</v>
      </c>
      <c r="R36" s="11"/>
      <c r="S36" s="11">
        <f t="shared" si="3"/>
        <v>0</v>
      </c>
      <c r="T36" s="13"/>
      <c r="U36" s="5">
        <f t="shared" si="5"/>
        <v>0</v>
      </c>
      <c r="V36" s="11"/>
      <c r="W36" s="1" t="e">
        <f t="shared" si="6"/>
        <v>#DIV/0!</v>
      </c>
      <c r="X36" s="11" t="e">
        <f t="shared" si="4"/>
        <v>#DIV/0!</v>
      </c>
      <c r="Y36" s="11">
        <v>0</v>
      </c>
      <c r="Z36" s="11">
        <v>0</v>
      </c>
      <c r="AA36" s="11">
        <v>0</v>
      </c>
      <c r="AB36" s="11">
        <v>0</v>
      </c>
      <c r="AC36" s="11">
        <v>0</v>
      </c>
      <c r="AD36" s="11">
        <v>0</v>
      </c>
      <c r="AE36" s="11">
        <v>0</v>
      </c>
      <c r="AF36" s="11">
        <v>0</v>
      </c>
      <c r="AG36" s="11">
        <v>0</v>
      </c>
      <c r="AH36" s="11">
        <v>0</v>
      </c>
      <c r="AI36" s="11" t="s">
        <v>43</v>
      </c>
      <c r="AJ36" s="1">
        <f t="shared" si="7"/>
        <v>0</v>
      </c>
      <c r="AK36" s="1">
        <f t="shared" si="8"/>
        <v>0</v>
      </c>
      <c r="AL36" s="1"/>
      <c r="AM36" s="1"/>
      <c r="AN36" s="1"/>
      <c r="AO36" s="1"/>
      <c r="AP36" s="1"/>
      <c r="AQ36" s="1"/>
    </row>
    <row r="37" spans="1:43" x14ac:dyDescent="0.25">
      <c r="A37" s="1" t="s">
        <v>72</v>
      </c>
      <c r="B37" s="1" t="s">
        <v>42</v>
      </c>
      <c r="C37" s="1">
        <v>3546</v>
      </c>
      <c r="D37" s="1">
        <v>5540</v>
      </c>
      <c r="E37" s="1">
        <v>4873.0600000000004</v>
      </c>
      <c r="F37" s="1">
        <v>3847.94</v>
      </c>
      <c r="G37" s="7">
        <v>0.4</v>
      </c>
      <c r="H37" s="1">
        <v>45</v>
      </c>
      <c r="I37" s="16" t="s">
        <v>179</v>
      </c>
      <c r="J37" s="1"/>
      <c r="K37" s="1">
        <v>4901</v>
      </c>
      <c r="L37" s="1">
        <f t="shared" si="2"/>
        <v>-27.9399999999996</v>
      </c>
      <c r="M37" s="1"/>
      <c r="N37" s="1"/>
      <c r="O37" s="1"/>
      <c r="P37" s="1"/>
      <c r="Q37" s="1">
        <v>2000</v>
      </c>
      <c r="R37" s="1"/>
      <c r="S37" s="1">
        <f t="shared" si="3"/>
        <v>974.61200000000008</v>
      </c>
      <c r="T37" s="5">
        <v>1000</v>
      </c>
      <c r="U37" s="5">
        <f t="shared" si="5"/>
        <v>1000</v>
      </c>
      <c r="V37" s="1"/>
      <c r="W37" s="1">
        <f t="shared" si="6"/>
        <v>7.0263243218839904</v>
      </c>
      <c r="X37" s="1">
        <f t="shared" si="4"/>
        <v>6.0002749812232974</v>
      </c>
      <c r="Y37" s="1">
        <v>922.4</v>
      </c>
      <c r="Z37" s="1">
        <v>935.8</v>
      </c>
      <c r="AA37" s="1">
        <v>879.4</v>
      </c>
      <c r="AB37" s="1">
        <v>846.35859999999991</v>
      </c>
      <c r="AC37" s="1">
        <v>867.75859999999989</v>
      </c>
      <c r="AD37" s="1">
        <v>893.8</v>
      </c>
      <c r="AE37" s="1">
        <v>890.8</v>
      </c>
      <c r="AF37" s="1">
        <v>822.8</v>
      </c>
      <c r="AG37" s="1">
        <v>878.2</v>
      </c>
      <c r="AH37" s="1">
        <v>947.2</v>
      </c>
      <c r="AI37" s="1"/>
      <c r="AJ37" s="1">
        <f t="shared" si="7"/>
        <v>400</v>
      </c>
      <c r="AK37" s="1">
        <f t="shared" si="8"/>
        <v>896.28447272727271</v>
      </c>
      <c r="AL37" s="1"/>
      <c r="AM37" s="1"/>
      <c r="AN37" s="1"/>
      <c r="AO37" s="1"/>
      <c r="AP37" s="1"/>
      <c r="AQ37" s="1"/>
    </row>
    <row r="38" spans="1:43" x14ac:dyDescent="0.25">
      <c r="A38" s="1" t="s">
        <v>73</v>
      </c>
      <c r="B38" s="1" t="s">
        <v>42</v>
      </c>
      <c r="C38" s="1">
        <v>706</v>
      </c>
      <c r="D38" s="1">
        <v>550</v>
      </c>
      <c r="E38" s="1">
        <v>375</v>
      </c>
      <c r="F38" s="1">
        <v>820</v>
      </c>
      <c r="G38" s="7">
        <v>0.45</v>
      </c>
      <c r="H38" s="1">
        <v>50</v>
      </c>
      <c r="I38" s="1" t="s">
        <v>38</v>
      </c>
      <c r="J38" s="1"/>
      <c r="K38" s="1">
        <v>392</v>
      </c>
      <c r="L38" s="1">
        <f t="shared" ref="L38:L69" si="12">E38-K38</f>
        <v>-17</v>
      </c>
      <c r="M38" s="1"/>
      <c r="N38" s="1"/>
      <c r="O38" s="1"/>
      <c r="P38" s="1"/>
      <c r="Q38" s="1">
        <v>0</v>
      </c>
      <c r="R38" s="1"/>
      <c r="S38" s="1">
        <f t="shared" ref="S38:S69" si="13">E38/5</f>
        <v>75</v>
      </c>
      <c r="T38" s="5"/>
      <c r="U38" s="5">
        <f t="shared" si="5"/>
        <v>0</v>
      </c>
      <c r="V38" s="1"/>
      <c r="W38" s="1">
        <f t="shared" si="6"/>
        <v>10.933333333333334</v>
      </c>
      <c r="X38" s="1">
        <f t="shared" ref="X38:X69" si="14">(F38+O38+P38+Q38+R38)/S38</f>
        <v>10.933333333333334</v>
      </c>
      <c r="Y38" s="1">
        <v>65</v>
      </c>
      <c r="Z38" s="1">
        <v>95.6</v>
      </c>
      <c r="AA38" s="1">
        <v>101.8</v>
      </c>
      <c r="AB38" s="1">
        <v>92.4</v>
      </c>
      <c r="AC38" s="1">
        <v>96.2</v>
      </c>
      <c r="AD38" s="1">
        <v>96</v>
      </c>
      <c r="AE38" s="1">
        <v>109.6</v>
      </c>
      <c r="AF38" s="1">
        <v>100.2</v>
      </c>
      <c r="AG38" s="1">
        <v>83.2</v>
      </c>
      <c r="AH38" s="1">
        <v>89.6</v>
      </c>
      <c r="AI38" s="1"/>
      <c r="AJ38" s="1">
        <f t="shared" si="7"/>
        <v>0</v>
      </c>
      <c r="AK38" s="1">
        <f t="shared" si="8"/>
        <v>91.327272727272742</v>
      </c>
      <c r="AL38" s="1"/>
      <c r="AM38" s="1"/>
      <c r="AN38" s="1"/>
      <c r="AO38" s="1"/>
      <c r="AP38" s="1"/>
      <c r="AQ38" s="1"/>
    </row>
    <row r="39" spans="1:43" x14ac:dyDescent="0.25">
      <c r="A39" s="1" t="s">
        <v>74</v>
      </c>
      <c r="B39" s="1" t="s">
        <v>42</v>
      </c>
      <c r="C39" s="1">
        <v>-6</v>
      </c>
      <c r="D39" s="1">
        <v>1620</v>
      </c>
      <c r="E39" s="1">
        <v>828</v>
      </c>
      <c r="F39" s="1">
        <v>711</v>
      </c>
      <c r="G39" s="7">
        <v>0.4</v>
      </c>
      <c r="H39" s="1">
        <v>45</v>
      </c>
      <c r="I39" s="16" t="s">
        <v>179</v>
      </c>
      <c r="J39" s="1"/>
      <c r="K39" s="1">
        <v>957</v>
      </c>
      <c r="L39" s="1">
        <f t="shared" si="12"/>
        <v>-129</v>
      </c>
      <c r="M39" s="1"/>
      <c r="N39" s="1"/>
      <c r="O39" s="9">
        <v>0</v>
      </c>
      <c r="P39" s="1"/>
      <c r="Q39" s="1">
        <v>500</v>
      </c>
      <c r="R39" s="1"/>
      <c r="S39" s="1">
        <f t="shared" si="13"/>
        <v>165.6</v>
      </c>
      <c r="T39" s="5">
        <v>200</v>
      </c>
      <c r="U39" s="5">
        <f t="shared" si="5"/>
        <v>200</v>
      </c>
      <c r="V39" s="1"/>
      <c r="W39" s="1">
        <f t="shared" si="6"/>
        <v>8.520531400966183</v>
      </c>
      <c r="X39" s="1">
        <f t="shared" si="14"/>
        <v>7.31280193236715</v>
      </c>
      <c r="Y39" s="1">
        <v>105.6</v>
      </c>
      <c r="Z39" s="1">
        <v>196.2</v>
      </c>
      <c r="AA39" s="1">
        <v>218.8</v>
      </c>
      <c r="AB39" s="1">
        <v>207.2</v>
      </c>
      <c r="AC39" s="1">
        <v>223</v>
      </c>
      <c r="AD39" s="1">
        <v>237.2</v>
      </c>
      <c r="AE39" s="1">
        <v>222</v>
      </c>
      <c r="AF39" s="1">
        <v>213.2</v>
      </c>
      <c r="AG39" s="1">
        <v>223.6</v>
      </c>
      <c r="AH39" s="1">
        <v>220.6</v>
      </c>
      <c r="AI39" s="1"/>
      <c r="AJ39" s="1">
        <f t="shared" si="7"/>
        <v>80</v>
      </c>
      <c r="AK39" s="1">
        <f t="shared" si="8"/>
        <v>203</v>
      </c>
      <c r="AL39" s="1"/>
      <c r="AM39" s="1"/>
      <c r="AN39" s="1"/>
      <c r="AO39" s="1"/>
      <c r="AP39" s="1"/>
      <c r="AQ39" s="1"/>
    </row>
    <row r="40" spans="1:43" x14ac:dyDescent="0.25">
      <c r="A40" s="1" t="s">
        <v>75</v>
      </c>
      <c r="B40" s="1" t="s">
        <v>42</v>
      </c>
      <c r="C40" s="1">
        <v>1</v>
      </c>
      <c r="D40" s="1">
        <v>60</v>
      </c>
      <c r="E40" s="1">
        <v>11</v>
      </c>
      <c r="F40" s="1">
        <v>50</v>
      </c>
      <c r="G40" s="7">
        <v>0.4</v>
      </c>
      <c r="H40" s="1">
        <v>40</v>
      </c>
      <c r="I40" s="16" t="s">
        <v>179</v>
      </c>
      <c r="J40" s="1"/>
      <c r="K40" s="1">
        <v>17</v>
      </c>
      <c r="L40" s="1">
        <f t="shared" si="12"/>
        <v>-6</v>
      </c>
      <c r="M40" s="1"/>
      <c r="N40" s="1"/>
      <c r="O40" s="1"/>
      <c r="P40" s="1"/>
      <c r="Q40" s="1">
        <v>0</v>
      </c>
      <c r="R40" s="1"/>
      <c r="S40" s="1">
        <f t="shared" si="13"/>
        <v>2.2000000000000002</v>
      </c>
      <c r="T40" s="5"/>
      <c r="U40" s="5">
        <f t="shared" si="5"/>
        <v>0</v>
      </c>
      <c r="V40" s="1"/>
      <c r="W40" s="1">
        <f t="shared" si="6"/>
        <v>22.727272727272727</v>
      </c>
      <c r="X40" s="1">
        <f t="shared" si="14"/>
        <v>22.727272727272727</v>
      </c>
      <c r="Y40" s="1">
        <v>2.6</v>
      </c>
      <c r="Z40" s="1">
        <v>5.4</v>
      </c>
      <c r="AA40" s="1">
        <v>4</v>
      </c>
      <c r="AB40" s="1">
        <v>1.4</v>
      </c>
      <c r="AC40" s="1">
        <v>2.8</v>
      </c>
      <c r="AD40" s="1">
        <v>2.6</v>
      </c>
      <c r="AE40" s="1">
        <v>0.2</v>
      </c>
      <c r="AF40" s="1">
        <v>0.4</v>
      </c>
      <c r="AG40" s="1">
        <v>1</v>
      </c>
      <c r="AH40" s="1">
        <v>3.8</v>
      </c>
      <c r="AI40" s="1"/>
      <c r="AJ40" s="1">
        <f t="shared" si="7"/>
        <v>0</v>
      </c>
      <c r="AK40" s="1">
        <f t="shared" si="8"/>
        <v>2.4</v>
      </c>
      <c r="AL40" s="1"/>
      <c r="AM40" s="1"/>
      <c r="AN40" s="1"/>
      <c r="AO40" s="1"/>
      <c r="AP40" s="1"/>
      <c r="AQ40" s="1"/>
    </row>
    <row r="41" spans="1:43" x14ac:dyDescent="0.25">
      <c r="A41" s="1" t="s">
        <v>76</v>
      </c>
      <c r="B41" s="1" t="s">
        <v>37</v>
      </c>
      <c r="C41" s="1">
        <v>200.828</v>
      </c>
      <c r="D41" s="1">
        <v>1.444</v>
      </c>
      <c r="E41" s="1">
        <v>189.71299999999999</v>
      </c>
      <c r="F41" s="1">
        <v>0.64700000000000002</v>
      </c>
      <c r="G41" s="7">
        <v>1</v>
      </c>
      <c r="H41" s="1">
        <v>45</v>
      </c>
      <c r="I41" s="1" t="s">
        <v>38</v>
      </c>
      <c r="J41" s="1"/>
      <c r="K41" s="1">
        <v>231.25</v>
      </c>
      <c r="L41" s="1">
        <f t="shared" si="12"/>
        <v>-41.537000000000006</v>
      </c>
      <c r="M41" s="1"/>
      <c r="N41" s="1"/>
      <c r="O41" s="1"/>
      <c r="P41" s="1"/>
      <c r="Q41" s="1">
        <v>550</v>
      </c>
      <c r="R41" s="1"/>
      <c r="S41" s="1">
        <f t="shared" si="13"/>
        <v>37.942599999999999</v>
      </c>
      <c r="T41" s="5"/>
      <c r="U41" s="5">
        <f t="shared" si="5"/>
        <v>0</v>
      </c>
      <c r="V41" s="1"/>
      <c r="W41" s="1">
        <f t="shared" si="6"/>
        <v>14.512632239224514</v>
      </c>
      <c r="X41" s="1">
        <f t="shared" si="14"/>
        <v>14.512632239224514</v>
      </c>
      <c r="Y41" s="1">
        <v>58.043199999999999</v>
      </c>
      <c r="Z41" s="1">
        <v>60.015799999999999</v>
      </c>
      <c r="AA41" s="1">
        <v>55.129399999999997</v>
      </c>
      <c r="AB41" s="1">
        <v>48.190600000000003</v>
      </c>
      <c r="AC41" s="1">
        <v>52.069800000000001</v>
      </c>
      <c r="AD41" s="1">
        <v>54.658799999999999</v>
      </c>
      <c r="AE41" s="1">
        <v>61.988999999999997</v>
      </c>
      <c r="AF41" s="1">
        <v>65.972999999999999</v>
      </c>
      <c r="AG41" s="1">
        <v>63.581400000000002</v>
      </c>
      <c r="AH41" s="1">
        <v>50.510399999999997</v>
      </c>
      <c r="AI41" s="1"/>
      <c r="AJ41" s="1">
        <f t="shared" si="7"/>
        <v>0</v>
      </c>
      <c r="AK41" s="1">
        <f t="shared" si="8"/>
        <v>55.282181818181812</v>
      </c>
      <c r="AL41" s="1"/>
      <c r="AM41" s="1"/>
      <c r="AN41" s="1"/>
      <c r="AO41" s="1"/>
      <c r="AP41" s="1"/>
      <c r="AQ41" s="1"/>
    </row>
    <row r="42" spans="1:43" x14ac:dyDescent="0.25">
      <c r="A42" s="1" t="s">
        <v>77</v>
      </c>
      <c r="B42" s="1" t="s">
        <v>42</v>
      </c>
      <c r="C42" s="1">
        <v>1015</v>
      </c>
      <c r="D42" s="1"/>
      <c r="E42" s="1">
        <v>393</v>
      </c>
      <c r="F42" s="1">
        <v>601</v>
      </c>
      <c r="G42" s="7">
        <v>0.1</v>
      </c>
      <c r="H42" s="1">
        <v>731</v>
      </c>
      <c r="I42" s="1" t="s">
        <v>38</v>
      </c>
      <c r="J42" s="1"/>
      <c r="K42" s="1">
        <v>393</v>
      </c>
      <c r="L42" s="1">
        <f t="shared" si="12"/>
        <v>0</v>
      </c>
      <c r="M42" s="1"/>
      <c r="N42" s="1"/>
      <c r="O42" s="1"/>
      <c r="P42" s="1"/>
      <c r="Q42" s="1">
        <v>200.98899999999989</v>
      </c>
      <c r="R42" s="1"/>
      <c r="S42" s="1">
        <f t="shared" si="13"/>
        <v>78.599999999999994</v>
      </c>
      <c r="T42" s="5">
        <f t="shared" ref="T42:T53" si="15">10.5*S42-R42-Q42-P42-O42-F42</f>
        <v>23.311000000000035</v>
      </c>
      <c r="U42" s="5">
        <f t="shared" si="5"/>
        <v>23.311000000000035</v>
      </c>
      <c r="V42" s="1"/>
      <c r="W42" s="1">
        <f t="shared" si="6"/>
        <v>10.5</v>
      </c>
      <c r="X42" s="1">
        <f t="shared" si="14"/>
        <v>10.203422391857506</v>
      </c>
      <c r="Y42" s="1">
        <v>70.599999999999994</v>
      </c>
      <c r="Z42" s="1">
        <v>80.599999999999994</v>
      </c>
      <c r="AA42" s="1">
        <v>60.2</v>
      </c>
      <c r="AB42" s="1">
        <v>46.4</v>
      </c>
      <c r="AC42" s="1">
        <v>46.8</v>
      </c>
      <c r="AD42" s="1">
        <v>53.2</v>
      </c>
      <c r="AE42" s="1">
        <v>56.4</v>
      </c>
      <c r="AF42" s="1">
        <v>54</v>
      </c>
      <c r="AG42" s="1">
        <v>48.6</v>
      </c>
      <c r="AH42" s="1">
        <v>61.8</v>
      </c>
      <c r="AI42" s="1"/>
      <c r="AJ42" s="1">
        <f t="shared" si="7"/>
        <v>2</v>
      </c>
      <c r="AK42" s="1">
        <f t="shared" si="8"/>
        <v>59.745454545454542</v>
      </c>
      <c r="AL42" s="1"/>
      <c r="AM42" s="1"/>
      <c r="AN42" s="1"/>
      <c r="AO42" s="1"/>
      <c r="AP42" s="1"/>
      <c r="AQ42" s="1"/>
    </row>
    <row r="43" spans="1:43" x14ac:dyDescent="0.25">
      <c r="A43" s="1" t="s">
        <v>78</v>
      </c>
      <c r="B43" s="1" t="s">
        <v>42</v>
      </c>
      <c r="C43" s="1">
        <v>156</v>
      </c>
      <c r="D43" s="1"/>
      <c r="E43" s="1">
        <v>142</v>
      </c>
      <c r="F43" s="1"/>
      <c r="G43" s="7">
        <v>0.35</v>
      </c>
      <c r="H43" s="1">
        <v>40</v>
      </c>
      <c r="I43" s="1" t="s">
        <v>38</v>
      </c>
      <c r="J43" s="1"/>
      <c r="K43" s="1">
        <v>213</v>
      </c>
      <c r="L43" s="1">
        <f t="shared" si="12"/>
        <v>-71</v>
      </c>
      <c r="M43" s="1"/>
      <c r="N43" s="1"/>
      <c r="O43" s="1"/>
      <c r="P43" s="1"/>
      <c r="Q43" s="1">
        <v>248.34400000000011</v>
      </c>
      <c r="R43" s="1"/>
      <c r="S43" s="1">
        <f t="shared" si="13"/>
        <v>28.4</v>
      </c>
      <c r="T43" s="5">
        <f t="shared" si="15"/>
        <v>49.855999999999881</v>
      </c>
      <c r="U43" s="5">
        <f t="shared" si="5"/>
        <v>49.855999999999881</v>
      </c>
      <c r="V43" s="1"/>
      <c r="W43" s="1">
        <f t="shared" si="6"/>
        <v>10.5</v>
      </c>
      <c r="X43" s="1">
        <f t="shared" si="14"/>
        <v>8.7445070422535256</v>
      </c>
      <c r="Y43" s="1">
        <v>45</v>
      </c>
      <c r="Z43" s="1">
        <v>43.6</v>
      </c>
      <c r="AA43" s="1">
        <v>47.6</v>
      </c>
      <c r="AB43" s="1">
        <v>44.6</v>
      </c>
      <c r="AC43" s="1">
        <v>46.4</v>
      </c>
      <c r="AD43" s="1">
        <v>55.6</v>
      </c>
      <c r="AE43" s="1">
        <v>56.6</v>
      </c>
      <c r="AF43" s="1">
        <v>52.8</v>
      </c>
      <c r="AG43" s="1">
        <v>57</v>
      </c>
      <c r="AH43" s="1">
        <v>43</v>
      </c>
      <c r="AI43" s="1"/>
      <c r="AJ43" s="1">
        <f t="shared" si="7"/>
        <v>17</v>
      </c>
      <c r="AK43" s="1">
        <f t="shared" si="8"/>
        <v>47.327272727272728</v>
      </c>
      <c r="AL43" s="1"/>
      <c r="AM43" s="1"/>
      <c r="AN43" s="1"/>
      <c r="AO43" s="1"/>
      <c r="AP43" s="1"/>
      <c r="AQ43" s="1"/>
    </row>
    <row r="44" spans="1:43" x14ac:dyDescent="0.25">
      <c r="A44" s="1" t="s">
        <v>79</v>
      </c>
      <c r="B44" s="1" t="s">
        <v>37</v>
      </c>
      <c r="C44" s="1">
        <v>73.263000000000005</v>
      </c>
      <c r="D44" s="1">
        <v>31.263999999999999</v>
      </c>
      <c r="E44" s="1">
        <v>40.761000000000003</v>
      </c>
      <c r="F44" s="1">
        <v>59.436999999999998</v>
      </c>
      <c r="G44" s="7">
        <v>1</v>
      </c>
      <c r="H44" s="1">
        <v>40</v>
      </c>
      <c r="I44" s="1" t="s">
        <v>38</v>
      </c>
      <c r="J44" s="1"/>
      <c r="K44" s="1">
        <v>48.3</v>
      </c>
      <c r="L44" s="1">
        <f t="shared" si="12"/>
        <v>-7.5389999999999944</v>
      </c>
      <c r="M44" s="1"/>
      <c r="N44" s="1"/>
      <c r="O44" s="1"/>
      <c r="P44" s="1"/>
      <c r="Q44" s="1">
        <v>51.73439999999998</v>
      </c>
      <c r="R44" s="1"/>
      <c r="S44" s="1">
        <f t="shared" si="13"/>
        <v>8.1522000000000006</v>
      </c>
      <c r="T44" s="5"/>
      <c r="U44" s="5">
        <f t="shared" si="5"/>
        <v>0</v>
      </c>
      <c r="V44" s="1"/>
      <c r="W44" s="1">
        <f t="shared" si="6"/>
        <v>13.636981428326092</v>
      </c>
      <c r="X44" s="1">
        <f t="shared" si="14"/>
        <v>13.636981428326092</v>
      </c>
      <c r="Y44" s="1">
        <v>10.566599999999999</v>
      </c>
      <c r="Z44" s="1">
        <v>9.1028000000000002</v>
      </c>
      <c r="AA44" s="1">
        <v>7.556</v>
      </c>
      <c r="AB44" s="1">
        <v>7.9702000000000002</v>
      </c>
      <c r="AC44" s="1">
        <v>9.6010000000000009</v>
      </c>
      <c r="AD44" s="1">
        <v>10.6218</v>
      </c>
      <c r="AE44" s="1">
        <v>8.5141999999999989</v>
      </c>
      <c r="AF44" s="1">
        <v>5.8933999999999997</v>
      </c>
      <c r="AG44" s="1">
        <v>7.8151999999999999</v>
      </c>
      <c r="AH44" s="1">
        <v>7.2846000000000002</v>
      </c>
      <c r="AI44" s="1"/>
      <c r="AJ44" s="1">
        <f t="shared" si="7"/>
        <v>0</v>
      </c>
      <c r="AK44" s="1">
        <f t="shared" si="8"/>
        <v>8.4616363636363641</v>
      </c>
      <c r="AL44" s="1"/>
      <c r="AM44" s="1"/>
      <c r="AN44" s="1"/>
      <c r="AO44" s="1"/>
      <c r="AP44" s="1"/>
      <c r="AQ44" s="1"/>
    </row>
    <row r="45" spans="1:43" x14ac:dyDescent="0.25">
      <c r="A45" s="1" t="s">
        <v>80</v>
      </c>
      <c r="B45" s="1" t="s">
        <v>42</v>
      </c>
      <c r="C45" s="1">
        <v>3</v>
      </c>
      <c r="D45" s="1">
        <v>234</v>
      </c>
      <c r="E45" s="1">
        <v>212</v>
      </c>
      <c r="F45" s="1">
        <v>10</v>
      </c>
      <c r="G45" s="7">
        <v>0.4</v>
      </c>
      <c r="H45" s="1">
        <v>40</v>
      </c>
      <c r="I45" s="16" t="s">
        <v>179</v>
      </c>
      <c r="J45" s="1"/>
      <c r="K45" s="1">
        <v>286</v>
      </c>
      <c r="L45" s="1">
        <f t="shared" si="12"/>
        <v>-74</v>
      </c>
      <c r="M45" s="1"/>
      <c r="N45" s="1"/>
      <c r="O45" s="1"/>
      <c r="P45" s="1"/>
      <c r="Q45" s="1">
        <v>150</v>
      </c>
      <c r="R45" s="1"/>
      <c r="S45" s="1">
        <f t="shared" si="13"/>
        <v>42.4</v>
      </c>
      <c r="T45" s="5">
        <v>50</v>
      </c>
      <c r="U45" s="5">
        <f t="shared" si="5"/>
        <v>50</v>
      </c>
      <c r="V45" s="1"/>
      <c r="W45" s="1">
        <f t="shared" si="6"/>
        <v>4.9528301886792452</v>
      </c>
      <c r="X45" s="1">
        <f t="shared" si="14"/>
        <v>3.7735849056603774</v>
      </c>
      <c r="Y45" s="1">
        <v>-0.8</v>
      </c>
      <c r="Z45" s="1">
        <v>17.2</v>
      </c>
      <c r="AA45" s="1">
        <v>30.2</v>
      </c>
      <c r="AB45" s="1">
        <v>32.799999999999997</v>
      </c>
      <c r="AC45" s="1">
        <v>44.6</v>
      </c>
      <c r="AD45" s="1">
        <v>38.6</v>
      </c>
      <c r="AE45" s="1">
        <v>36.200000000000003</v>
      </c>
      <c r="AF45" s="1">
        <v>42.2</v>
      </c>
      <c r="AG45" s="1">
        <v>47.8</v>
      </c>
      <c r="AH45" s="1">
        <v>56.4</v>
      </c>
      <c r="AI45" s="1"/>
      <c r="AJ45" s="1">
        <f t="shared" si="7"/>
        <v>20</v>
      </c>
      <c r="AK45" s="1">
        <f t="shared" si="8"/>
        <v>35.236363636363635</v>
      </c>
      <c r="AL45" s="1"/>
      <c r="AM45" s="1"/>
      <c r="AN45" s="1"/>
      <c r="AO45" s="1"/>
      <c r="AP45" s="1"/>
      <c r="AQ45" s="1"/>
    </row>
    <row r="46" spans="1:43" x14ac:dyDescent="0.25">
      <c r="A46" s="1" t="s">
        <v>81</v>
      </c>
      <c r="B46" s="1" t="s">
        <v>42</v>
      </c>
      <c r="C46" s="1"/>
      <c r="D46" s="1">
        <v>282</v>
      </c>
      <c r="E46" s="1">
        <v>139</v>
      </c>
      <c r="F46" s="1">
        <v>101</v>
      </c>
      <c r="G46" s="7">
        <v>0.4</v>
      </c>
      <c r="H46" s="1">
        <v>45</v>
      </c>
      <c r="I46" s="16" t="s">
        <v>179</v>
      </c>
      <c r="J46" s="1"/>
      <c r="K46" s="1">
        <v>235</v>
      </c>
      <c r="L46" s="1">
        <f t="shared" si="12"/>
        <v>-96</v>
      </c>
      <c r="M46" s="1"/>
      <c r="N46" s="1"/>
      <c r="O46" s="1"/>
      <c r="P46" s="1"/>
      <c r="Q46" s="1">
        <v>250</v>
      </c>
      <c r="R46" s="1"/>
      <c r="S46" s="1">
        <f t="shared" si="13"/>
        <v>27.8</v>
      </c>
      <c r="T46" s="5"/>
      <c r="U46" s="5">
        <f t="shared" si="5"/>
        <v>0</v>
      </c>
      <c r="V46" s="1"/>
      <c r="W46" s="1">
        <f t="shared" si="6"/>
        <v>12.62589928057554</v>
      </c>
      <c r="X46" s="1">
        <f t="shared" si="14"/>
        <v>12.62589928057554</v>
      </c>
      <c r="Y46" s="1">
        <v>-0.8</v>
      </c>
      <c r="Z46" s="1">
        <v>6.6</v>
      </c>
      <c r="AA46" s="1">
        <v>42.6</v>
      </c>
      <c r="AB46" s="1">
        <v>57.4</v>
      </c>
      <c r="AC46" s="1">
        <v>39.6</v>
      </c>
      <c r="AD46" s="1">
        <v>35.4</v>
      </c>
      <c r="AE46" s="1">
        <v>36</v>
      </c>
      <c r="AF46" s="1">
        <v>40</v>
      </c>
      <c r="AG46" s="1">
        <v>40.200000000000003</v>
      </c>
      <c r="AH46" s="1">
        <v>48.2</v>
      </c>
      <c r="AI46" s="1"/>
      <c r="AJ46" s="1">
        <f t="shared" si="7"/>
        <v>0</v>
      </c>
      <c r="AK46" s="1">
        <f t="shared" si="8"/>
        <v>33.909090909090907</v>
      </c>
      <c r="AL46" s="1"/>
      <c r="AM46" s="1"/>
      <c r="AN46" s="1"/>
      <c r="AO46" s="1"/>
      <c r="AP46" s="1"/>
      <c r="AQ46" s="1"/>
    </row>
    <row r="47" spans="1:43" x14ac:dyDescent="0.25">
      <c r="A47" s="1" t="s">
        <v>82</v>
      </c>
      <c r="B47" s="1" t="s">
        <v>37</v>
      </c>
      <c r="C47" s="1">
        <v>388.83100000000002</v>
      </c>
      <c r="D47" s="1">
        <v>75.010999999999996</v>
      </c>
      <c r="E47" s="1">
        <v>83.16</v>
      </c>
      <c r="F47" s="1">
        <v>357.25599999999997</v>
      </c>
      <c r="G47" s="7">
        <v>1</v>
      </c>
      <c r="H47" s="1">
        <v>40</v>
      </c>
      <c r="I47" s="1" t="s">
        <v>38</v>
      </c>
      <c r="J47" s="1"/>
      <c r="K47" s="1">
        <v>98.75</v>
      </c>
      <c r="L47" s="1">
        <f t="shared" si="12"/>
        <v>-15.590000000000003</v>
      </c>
      <c r="M47" s="1"/>
      <c r="N47" s="1"/>
      <c r="O47" s="1"/>
      <c r="P47" s="1"/>
      <c r="Q47" s="1">
        <v>0</v>
      </c>
      <c r="R47" s="1"/>
      <c r="S47" s="1">
        <f t="shared" si="13"/>
        <v>16.631999999999998</v>
      </c>
      <c r="T47" s="5"/>
      <c r="U47" s="5">
        <f t="shared" si="5"/>
        <v>0</v>
      </c>
      <c r="V47" s="1"/>
      <c r="W47" s="1">
        <f t="shared" si="6"/>
        <v>21.48003848003848</v>
      </c>
      <c r="X47" s="1">
        <f t="shared" si="14"/>
        <v>21.48003848003848</v>
      </c>
      <c r="Y47" s="1">
        <v>22.530799999999999</v>
      </c>
      <c r="Z47" s="1">
        <v>20.517600000000002</v>
      </c>
      <c r="AA47" s="1">
        <v>24.51</v>
      </c>
      <c r="AB47" s="1">
        <v>25.950800000000001</v>
      </c>
      <c r="AC47" s="1">
        <v>25.9468</v>
      </c>
      <c r="AD47" s="1">
        <v>25.837199999999999</v>
      </c>
      <c r="AE47" s="1">
        <v>21.918800000000001</v>
      </c>
      <c r="AF47" s="1">
        <v>21.019200000000001</v>
      </c>
      <c r="AG47" s="1">
        <v>27.880800000000001</v>
      </c>
      <c r="AH47" s="1">
        <v>26.376999999999999</v>
      </c>
      <c r="AI47" s="17" t="s">
        <v>180</v>
      </c>
      <c r="AJ47" s="1">
        <f t="shared" si="7"/>
        <v>0</v>
      </c>
      <c r="AK47" s="1">
        <f t="shared" si="8"/>
        <v>23.55645454545455</v>
      </c>
      <c r="AL47" s="1"/>
      <c r="AM47" s="1"/>
      <c r="AN47" s="1"/>
      <c r="AO47" s="1"/>
      <c r="AP47" s="1"/>
      <c r="AQ47" s="1"/>
    </row>
    <row r="48" spans="1:43" x14ac:dyDescent="0.25">
      <c r="A48" s="1" t="s">
        <v>84</v>
      </c>
      <c r="B48" s="1" t="s">
        <v>42</v>
      </c>
      <c r="C48" s="1">
        <v>1932</v>
      </c>
      <c r="D48" s="1">
        <v>2328</v>
      </c>
      <c r="E48" s="1">
        <v>1307</v>
      </c>
      <c r="F48" s="1">
        <v>2860</v>
      </c>
      <c r="G48" s="7">
        <v>0.35</v>
      </c>
      <c r="H48" s="1">
        <v>40</v>
      </c>
      <c r="I48" s="1" t="s">
        <v>38</v>
      </c>
      <c r="J48" s="1"/>
      <c r="K48" s="1">
        <v>1332</v>
      </c>
      <c r="L48" s="1">
        <f t="shared" si="12"/>
        <v>-25</v>
      </c>
      <c r="M48" s="1"/>
      <c r="N48" s="1"/>
      <c r="O48" s="1"/>
      <c r="P48" s="1"/>
      <c r="Q48" s="1">
        <v>0</v>
      </c>
      <c r="R48" s="1"/>
      <c r="S48" s="1">
        <f t="shared" si="13"/>
        <v>261.39999999999998</v>
      </c>
      <c r="T48" s="5"/>
      <c r="U48" s="5">
        <f t="shared" si="5"/>
        <v>0</v>
      </c>
      <c r="V48" s="1"/>
      <c r="W48" s="1">
        <f t="shared" si="6"/>
        <v>10.941086457536343</v>
      </c>
      <c r="X48" s="1">
        <f t="shared" si="14"/>
        <v>10.941086457536343</v>
      </c>
      <c r="Y48" s="1">
        <v>234</v>
      </c>
      <c r="Z48" s="1">
        <v>230.6</v>
      </c>
      <c r="AA48" s="1">
        <v>272.2</v>
      </c>
      <c r="AB48" s="1">
        <v>290.39999999999998</v>
      </c>
      <c r="AC48" s="1">
        <v>282.2</v>
      </c>
      <c r="AD48" s="1">
        <v>295</v>
      </c>
      <c r="AE48" s="1">
        <v>315.2</v>
      </c>
      <c r="AF48" s="1">
        <v>312.39999999999998</v>
      </c>
      <c r="AG48" s="1">
        <v>340.2</v>
      </c>
      <c r="AH48" s="1">
        <v>330.4</v>
      </c>
      <c r="AI48" s="1"/>
      <c r="AJ48" s="1">
        <f t="shared" si="7"/>
        <v>0</v>
      </c>
      <c r="AK48" s="1">
        <f t="shared" si="8"/>
        <v>287.63636363636363</v>
      </c>
      <c r="AL48" s="1"/>
      <c r="AM48" s="1"/>
      <c r="AN48" s="1"/>
      <c r="AO48" s="1"/>
      <c r="AP48" s="1"/>
      <c r="AQ48" s="1"/>
    </row>
    <row r="49" spans="1:43" x14ac:dyDescent="0.25">
      <c r="A49" s="1" t="s">
        <v>85</v>
      </c>
      <c r="B49" s="1" t="s">
        <v>42</v>
      </c>
      <c r="C49" s="1">
        <v>37</v>
      </c>
      <c r="D49" s="1">
        <v>1503</v>
      </c>
      <c r="E49" s="1">
        <v>249</v>
      </c>
      <c r="F49" s="1">
        <v>1222</v>
      </c>
      <c r="G49" s="7">
        <v>0.4</v>
      </c>
      <c r="H49" s="1">
        <v>40</v>
      </c>
      <c r="I49" s="16" t="s">
        <v>179</v>
      </c>
      <c r="J49" s="1"/>
      <c r="K49" s="1">
        <v>331</v>
      </c>
      <c r="L49" s="1">
        <f t="shared" si="12"/>
        <v>-82</v>
      </c>
      <c r="M49" s="1"/>
      <c r="N49" s="1"/>
      <c r="O49" s="1"/>
      <c r="P49" s="1"/>
      <c r="Q49" s="1">
        <v>300</v>
      </c>
      <c r="R49" s="1"/>
      <c r="S49" s="1">
        <f t="shared" si="13"/>
        <v>49.8</v>
      </c>
      <c r="T49" s="5"/>
      <c r="U49" s="5">
        <f t="shared" si="5"/>
        <v>0</v>
      </c>
      <c r="V49" s="1"/>
      <c r="W49" s="1">
        <f t="shared" si="6"/>
        <v>30.562248995983939</v>
      </c>
      <c r="X49" s="1">
        <f t="shared" si="14"/>
        <v>30.562248995983939</v>
      </c>
      <c r="Y49" s="1">
        <v>86</v>
      </c>
      <c r="Z49" s="1">
        <v>134.4</v>
      </c>
      <c r="AA49" s="1">
        <v>143.4</v>
      </c>
      <c r="AB49" s="1">
        <v>127.4</v>
      </c>
      <c r="AC49" s="1">
        <v>113.8</v>
      </c>
      <c r="AD49" s="1">
        <v>119.2</v>
      </c>
      <c r="AE49" s="1">
        <v>124</v>
      </c>
      <c r="AF49" s="1">
        <v>124</v>
      </c>
      <c r="AG49" s="1">
        <v>125.6</v>
      </c>
      <c r="AH49" s="1">
        <v>124.2</v>
      </c>
      <c r="AI49" s="1"/>
      <c r="AJ49" s="1">
        <f t="shared" si="7"/>
        <v>0</v>
      </c>
      <c r="AK49" s="1">
        <f t="shared" si="8"/>
        <v>115.61818181818181</v>
      </c>
      <c r="AL49" s="1"/>
      <c r="AM49" s="1"/>
      <c r="AN49" s="1"/>
      <c r="AO49" s="1"/>
      <c r="AP49" s="1"/>
      <c r="AQ49" s="1"/>
    </row>
    <row r="50" spans="1:43" x14ac:dyDescent="0.25">
      <c r="A50" s="1" t="s">
        <v>86</v>
      </c>
      <c r="B50" s="1" t="s">
        <v>37</v>
      </c>
      <c r="C50" s="1">
        <v>1005.211</v>
      </c>
      <c r="D50" s="1">
        <v>257.988</v>
      </c>
      <c r="E50" s="1">
        <v>508.91</v>
      </c>
      <c r="F50" s="1">
        <v>731.81</v>
      </c>
      <c r="G50" s="7">
        <v>1</v>
      </c>
      <c r="H50" s="1">
        <v>50</v>
      </c>
      <c r="I50" s="1" t="s">
        <v>38</v>
      </c>
      <c r="J50" s="1"/>
      <c r="K50" s="1">
        <v>491.53</v>
      </c>
      <c r="L50" s="1">
        <f t="shared" si="12"/>
        <v>17.380000000000052</v>
      </c>
      <c r="M50" s="1"/>
      <c r="N50" s="1"/>
      <c r="O50" s="1"/>
      <c r="P50" s="1"/>
      <c r="Q50" s="1">
        <v>291.52548799999988</v>
      </c>
      <c r="R50" s="1"/>
      <c r="S50" s="1">
        <f t="shared" si="13"/>
        <v>101.78200000000001</v>
      </c>
      <c r="T50" s="5">
        <f t="shared" si="15"/>
        <v>45.375512000000185</v>
      </c>
      <c r="U50" s="5">
        <f t="shared" si="5"/>
        <v>45.375512000000185</v>
      </c>
      <c r="V50" s="1"/>
      <c r="W50" s="1">
        <f t="shared" si="6"/>
        <v>10.499999999999998</v>
      </c>
      <c r="X50" s="1">
        <f t="shared" si="14"/>
        <v>10.054189227957789</v>
      </c>
      <c r="Y50" s="1">
        <v>92.1952</v>
      </c>
      <c r="Z50" s="1">
        <v>85.624400000000009</v>
      </c>
      <c r="AA50" s="1">
        <v>98.405999999999992</v>
      </c>
      <c r="AB50" s="1">
        <v>105.60339999999999</v>
      </c>
      <c r="AC50" s="1">
        <v>102.15940000000001</v>
      </c>
      <c r="AD50" s="1">
        <v>104.79640000000001</v>
      </c>
      <c r="AE50" s="1">
        <v>96.198999999999998</v>
      </c>
      <c r="AF50" s="1">
        <v>92.049199999999999</v>
      </c>
      <c r="AG50" s="1">
        <v>107.1942</v>
      </c>
      <c r="AH50" s="1">
        <v>100.47280000000001</v>
      </c>
      <c r="AI50" s="1"/>
      <c r="AJ50" s="1">
        <f t="shared" si="7"/>
        <v>45</v>
      </c>
      <c r="AK50" s="1">
        <f t="shared" si="8"/>
        <v>98.771090909090901</v>
      </c>
      <c r="AL50" s="1"/>
      <c r="AM50" s="1"/>
      <c r="AN50" s="1"/>
      <c r="AO50" s="1"/>
      <c r="AP50" s="1"/>
      <c r="AQ50" s="1"/>
    </row>
    <row r="51" spans="1:43" x14ac:dyDescent="0.25">
      <c r="A51" s="1" t="s">
        <v>87</v>
      </c>
      <c r="B51" s="1" t="s">
        <v>37</v>
      </c>
      <c r="C51" s="1">
        <v>1149.7260000000001</v>
      </c>
      <c r="D51" s="1">
        <v>98.185000000000002</v>
      </c>
      <c r="E51" s="1">
        <v>534.66300000000001</v>
      </c>
      <c r="F51" s="1">
        <v>696.30100000000004</v>
      </c>
      <c r="G51" s="7">
        <v>1</v>
      </c>
      <c r="H51" s="1">
        <v>50</v>
      </c>
      <c r="I51" s="1" t="s">
        <v>38</v>
      </c>
      <c r="J51" s="1"/>
      <c r="K51" s="1">
        <v>515.32000000000005</v>
      </c>
      <c r="L51" s="1">
        <f t="shared" si="12"/>
        <v>19.342999999999961</v>
      </c>
      <c r="M51" s="1"/>
      <c r="N51" s="1"/>
      <c r="O51" s="1">
        <v>250</v>
      </c>
      <c r="P51" s="1"/>
      <c r="Q51" s="1">
        <v>310.82271200000002</v>
      </c>
      <c r="R51" s="1"/>
      <c r="S51" s="1">
        <f t="shared" si="13"/>
        <v>106.93260000000001</v>
      </c>
      <c r="T51" s="5"/>
      <c r="U51" s="5">
        <f t="shared" si="5"/>
        <v>0</v>
      </c>
      <c r="V51" s="1"/>
      <c r="W51" s="1">
        <f t="shared" si="6"/>
        <v>11.756225061393812</v>
      </c>
      <c r="X51" s="1">
        <f t="shared" si="14"/>
        <v>11.756225061393812</v>
      </c>
      <c r="Y51" s="1">
        <v>107.8848</v>
      </c>
      <c r="Z51" s="1">
        <v>115.07080000000001</v>
      </c>
      <c r="AA51" s="1">
        <v>121.9318</v>
      </c>
      <c r="AB51" s="1">
        <v>115.127</v>
      </c>
      <c r="AC51" s="1">
        <v>112.86660000000001</v>
      </c>
      <c r="AD51" s="1">
        <v>117.1014</v>
      </c>
      <c r="AE51" s="1">
        <v>120.026</v>
      </c>
      <c r="AF51" s="1">
        <v>114.6662</v>
      </c>
      <c r="AG51" s="1">
        <v>108.624</v>
      </c>
      <c r="AH51" s="1">
        <v>114.25920000000001</v>
      </c>
      <c r="AI51" s="1"/>
      <c r="AJ51" s="1">
        <f t="shared" si="7"/>
        <v>0</v>
      </c>
      <c r="AK51" s="1">
        <f t="shared" si="8"/>
        <v>114.04458181818183</v>
      </c>
      <c r="AL51" s="1"/>
      <c r="AM51" s="1"/>
      <c r="AN51" s="1"/>
      <c r="AO51" s="1"/>
      <c r="AP51" s="1"/>
      <c r="AQ51" s="1"/>
    </row>
    <row r="52" spans="1:43" x14ac:dyDescent="0.25">
      <c r="A52" s="1" t="s">
        <v>88</v>
      </c>
      <c r="B52" s="1" t="s">
        <v>37</v>
      </c>
      <c r="C52" s="1">
        <v>99.421000000000006</v>
      </c>
      <c r="D52" s="1">
        <v>78.356999999999999</v>
      </c>
      <c r="E52" s="1">
        <v>99.730999999999995</v>
      </c>
      <c r="F52" s="1">
        <v>76.584999999999994</v>
      </c>
      <c r="G52" s="7">
        <v>1</v>
      </c>
      <c r="H52" s="1">
        <v>45</v>
      </c>
      <c r="I52" s="1" t="s">
        <v>38</v>
      </c>
      <c r="J52" s="1"/>
      <c r="K52" s="1">
        <v>96.6</v>
      </c>
      <c r="L52" s="1">
        <f t="shared" si="12"/>
        <v>3.1310000000000002</v>
      </c>
      <c r="M52" s="1"/>
      <c r="N52" s="1"/>
      <c r="O52" s="1"/>
      <c r="P52" s="1"/>
      <c r="Q52" s="1">
        <v>113.1294</v>
      </c>
      <c r="R52" s="1"/>
      <c r="S52" s="1">
        <f t="shared" si="13"/>
        <v>19.946199999999997</v>
      </c>
      <c r="T52" s="5">
        <f t="shared" si="15"/>
        <v>19.720699999999979</v>
      </c>
      <c r="U52" s="5">
        <f t="shared" si="5"/>
        <v>19.720699999999979</v>
      </c>
      <c r="V52" s="1"/>
      <c r="W52" s="1">
        <f t="shared" si="6"/>
        <v>10.5</v>
      </c>
      <c r="X52" s="1">
        <f t="shared" si="14"/>
        <v>9.5113054115570907</v>
      </c>
      <c r="Y52" s="1">
        <v>17.854199999999999</v>
      </c>
      <c r="Z52" s="1">
        <v>15.411</v>
      </c>
      <c r="AA52" s="1">
        <v>11.0654</v>
      </c>
      <c r="AB52" s="1">
        <v>9.3583999999999996</v>
      </c>
      <c r="AC52" s="1">
        <v>8.730599999999999</v>
      </c>
      <c r="AD52" s="1">
        <v>4.0386000000000006</v>
      </c>
      <c r="AE52" s="1">
        <v>8.4756</v>
      </c>
      <c r="AF52" s="1">
        <v>8.1896000000000004</v>
      </c>
      <c r="AG52" s="1">
        <v>1.7692000000000001</v>
      </c>
      <c r="AH52" s="1">
        <v>4.5528000000000004</v>
      </c>
      <c r="AI52" s="1"/>
      <c r="AJ52" s="1">
        <f t="shared" si="7"/>
        <v>20</v>
      </c>
      <c r="AK52" s="1">
        <f t="shared" si="8"/>
        <v>9.9446909090909106</v>
      </c>
      <c r="AL52" s="1"/>
      <c r="AM52" s="1"/>
      <c r="AN52" s="1"/>
      <c r="AO52" s="1"/>
      <c r="AP52" s="1"/>
      <c r="AQ52" s="1"/>
    </row>
    <row r="53" spans="1:43" x14ac:dyDescent="0.25">
      <c r="A53" s="1" t="s">
        <v>89</v>
      </c>
      <c r="B53" s="1" t="s">
        <v>42</v>
      </c>
      <c r="C53" s="1">
        <v>646</v>
      </c>
      <c r="D53" s="1"/>
      <c r="E53" s="1">
        <v>207</v>
      </c>
      <c r="F53" s="1">
        <v>429</v>
      </c>
      <c r="G53" s="7">
        <v>0.45</v>
      </c>
      <c r="H53" s="1">
        <v>50</v>
      </c>
      <c r="I53" s="1" t="s">
        <v>38</v>
      </c>
      <c r="J53" s="1"/>
      <c r="K53" s="1">
        <v>210</v>
      </c>
      <c r="L53" s="1">
        <f t="shared" si="12"/>
        <v>-3</v>
      </c>
      <c r="M53" s="1"/>
      <c r="N53" s="1"/>
      <c r="O53" s="1"/>
      <c r="P53" s="1"/>
      <c r="Q53" s="1">
        <v>0</v>
      </c>
      <c r="R53" s="1"/>
      <c r="S53" s="1">
        <f t="shared" si="13"/>
        <v>41.4</v>
      </c>
      <c r="T53" s="5">
        <f t="shared" si="15"/>
        <v>5.6999999999999886</v>
      </c>
      <c r="U53" s="5">
        <f t="shared" si="5"/>
        <v>5.6999999999999886</v>
      </c>
      <c r="V53" s="1"/>
      <c r="W53" s="1">
        <f t="shared" si="6"/>
        <v>10.5</v>
      </c>
      <c r="X53" s="1">
        <f t="shared" si="14"/>
        <v>10.362318840579711</v>
      </c>
      <c r="Y53" s="1">
        <v>38.799999999999997</v>
      </c>
      <c r="Z53" s="1">
        <v>36.6</v>
      </c>
      <c r="AA53" s="1">
        <v>46.2</v>
      </c>
      <c r="AB53" s="1">
        <v>56</v>
      </c>
      <c r="AC53" s="1">
        <v>66.599999999999994</v>
      </c>
      <c r="AD53" s="1">
        <v>68</v>
      </c>
      <c r="AE53" s="1">
        <v>62</v>
      </c>
      <c r="AF53" s="1">
        <v>67.599999999999994</v>
      </c>
      <c r="AG53" s="1">
        <v>61.8</v>
      </c>
      <c r="AH53" s="1">
        <v>46</v>
      </c>
      <c r="AI53" s="1"/>
      <c r="AJ53" s="1">
        <f t="shared" si="7"/>
        <v>3</v>
      </c>
      <c r="AK53" s="1">
        <f t="shared" si="8"/>
        <v>53.727272727272741</v>
      </c>
      <c r="AL53" s="1"/>
      <c r="AM53" s="1"/>
      <c r="AN53" s="1"/>
      <c r="AO53" s="1"/>
      <c r="AP53" s="1"/>
      <c r="AQ53" s="1"/>
    </row>
    <row r="54" spans="1:43" x14ac:dyDescent="0.25">
      <c r="A54" s="1" t="s">
        <v>90</v>
      </c>
      <c r="B54" s="1" t="s">
        <v>42</v>
      </c>
      <c r="C54" s="1">
        <v>656</v>
      </c>
      <c r="D54" s="1">
        <v>560</v>
      </c>
      <c r="E54" s="1">
        <v>458</v>
      </c>
      <c r="F54" s="1">
        <v>696</v>
      </c>
      <c r="G54" s="7">
        <v>0.45</v>
      </c>
      <c r="H54" s="1">
        <v>50</v>
      </c>
      <c r="I54" s="1" t="s">
        <v>38</v>
      </c>
      <c r="J54" s="1"/>
      <c r="K54" s="1">
        <v>469</v>
      </c>
      <c r="L54" s="1">
        <f t="shared" si="12"/>
        <v>-11</v>
      </c>
      <c r="M54" s="1"/>
      <c r="N54" s="1"/>
      <c r="O54" s="1">
        <v>350</v>
      </c>
      <c r="P54" s="1"/>
      <c r="Q54" s="1">
        <v>0</v>
      </c>
      <c r="R54" s="1"/>
      <c r="S54" s="1">
        <f t="shared" si="13"/>
        <v>91.6</v>
      </c>
      <c r="T54" s="5"/>
      <c r="U54" s="5">
        <f t="shared" si="5"/>
        <v>0</v>
      </c>
      <c r="V54" s="1"/>
      <c r="W54" s="1">
        <f t="shared" si="6"/>
        <v>11.419213973799128</v>
      </c>
      <c r="X54" s="1">
        <f t="shared" si="14"/>
        <v>11.419213973799128</v>
      </c>
      <c r="Y54" s="1">
        <v>94.4</v>
      </c>
      <c r="Z54" s="1">
        <v>114.6</v>
      </c>
      <c r="AA54" s="1">
        <v>103.4</v>
      </c>
      <c r="AB54" s="1">
        <v>94</v>
      </c>
      <c r="AC54" s="1">
        <v>111.2</v>
      </c>
      <c r="AD54" s="1">
        <v>109</v>
      </c>
      <c r="AE54" s="1">
        <v>109</v>
      </c>
      <c r="AF54" s="1">
        <v>103.8</v>
      </c>
      <c r="AG54" s="1">
        <v>93</v>
      </c>
      <c r="AH54" s="1">
        <v>100</v>
      </c>
      <c r="AI54" s="1"/>
      <c r="AJ54" s="1">
        <f t="shared" si="7"/>
        <v>0</v>
      </c>
      <c r="AK54" s="1">
        <f t="shared" si="8"/>
        <v>102.18181818181819</v>
      </c>
      <c r="AL54" s="1"/>
      <c r="AM54" s="1"/>
      <c r="AN54" s="1"/>
      <c r="AO54" s="1"/>
      <c r="AP54" s="1"/>
      <c r="AQ54" s="1"/>
    </row>
    <row r="55" spans="1:43" x14ac:dyDescent="0.25">
      <c r="A55" s="1" t="s">
        <v>91</v>
      </c>
      <c r="B55" s="1" t="s">
        <v>42</v>
      </c>
      <c r="C55" s="1">
        <v>277</v>
      </c>
      <c r="D55" s="1">
        <v>66</v>
      </c>
      <c r="E55" s="1">
        <v>154</v>
      </c>
      <c r="F55" s="1">
        <v>187</v>
      </c>
      <c r="G55" s="7">
        <v>0.4</v>
      </c>
      <c r="H55" s="1">
        <v>40</v>
      </c>
      <c r="I55" s="1" t="s">
        <v>38</v>
      </c>
      <c r="J55" s="1"/>
      <c r="K55" s="1">
        <v>167</v>
      </c>
      <c r="L55" s="1">
        <f t="shared" si="12"/>
        <v>-13</v>
      </c>
      <c r="M55" s="1"/>
      <c r="N55" s="1"/>
      <c r="O55" s="1"/>
      <c r="P55" s="1"/>
      <c r="Q55" s="1">
        <v>145.6</v>
      </c>
      <c r="R55" s="1"/>
      <c r="S55" s="1">
        <f t="shared" si="13"/>
        <v>30.8</v>
      </c>
      <c r="T55" s="5"/>
      <c r="U55" s="5">
        <f t="shared" si="5"/>
        <v>0</v>
      </c>
      <c r="V55" s="1"/>
      <c r="W55" s="1">
        <f t="shared" si="6"/>
        <v>10.7987012987013</v>
      </c>
      <c r="X55" s="1">
        <f t="shared" si="14"/>
        <v>10.7987012987013</v>
      </c>
      <c r="Y55" s="1">
        <v>30.8</v>
      </c>
      <c r="Z55" s="1">
        <v>25.8</v>
      </c>
      <c r="AA55" s="1">
        <v>27.4</v>
      </c>
      <c r="AB55" s="1">
        <v>37.200000000000003</v>
      </c>
      <c r="AC55" s="1">
        <v>33.6</v>
      </c>
      <c r="AD55" s="1">
        <v>27.6</v>
      </c>
      <c r="AE55" s="1">
        <v>19.600000000000001</v>
      </c>
      <c r="AF55" s="1">
        <v>18.600000000000001</v>
      </c>
      <c r="AG55" s="1">
        <v>31.4</v>
      </c>
      <c r="AH55" s="1">
        <v>27.6</v>
      </c>
      <c r="AI55" s="1"/>
      <c r="AJ55" s="1">
        <f t="shared" si="7"/>
        <v>0</v>
      </c>
      <c r="AK55" s="1">
        <f t="shared" si="8"/>
        <v>28.218181818181822</v>
      </c>
      <c r="AL55" s="1"/>
      <c r="AM55" s="1"/>
      <c r="AN55" s="1"/>
      <c r="AO55" s="1"/>
      <c r="AP55" s="1"/>
      <c r="AQ55" s="1"/>
    </row>
    <row r="56" spans="1:43" x14ac:dyDescent="0.25">
      <c r="A56" s="1" t="s">
        <v>92</v>
      </c>
      <c r="B56" s="1" t="s">
        <v>42</v>
      </c>
      <c r="C56" s="1">
        <v>74</v>
      </c>
      <c r="D56" s="1">
        <v>132</v>
      </c>
      <c r="E56" s="1">
        <v>86</v>
      </c>
      <c r="F56" s="1">
        <v>117</v>
      </c>
      <c r="G56" s="7">
        <v>0.4</v>
      </c>
      <c r="H56" s="1">
        <v>40</v>
      </c>
      <c r="I56" s="16" t="s">
        <v>179</v>
      </c>
      <c r="J56" s="1"/>
      <c r="K56" s="1">
        <v>88</v>
      </c>
      <c r="L56" s="1">
        <f t="shared" si="12"/>
        <v>-2</v>
      </c>
      <c r="M56" s="1"/>
      <c r="N56" s="1"/>
      <c r="O56" s="1"/>
      <c r="P56" s="1"/>
      <c r="Q56" s="1">
        <v>7.8000000000000114</v>
      </c>
      <c r="R56" s="1"/>
      <c r="S56" s="1">
        <f t="shared" si="13"/>
        <v>17.2</v>
      </c>
      <c r="T56" s="5">
        <v>20</v>
      </c>
      <c r="U56" s="5">
        <f t="shared" si="5"/>
        <v>20</v>
      </c>
      <c r="V56" s="1"/>
      <c r="W56" s="1">
        <f t="shared" si="6"/>
        <v>8.4186046511627914</v>
      </c>
      <c r="X56" s="1">
        <f t="shared" si="14"/>
        <v>7.2558139534883734</v>
      </c>
      <c r="Y56" s="1">
        <v>12.4</v>
      </c>
      <c r="Z56" s="1">
        <v>13</v>
      </c>
      <c r="AA56" s="1">
        <v>17.2</v>
      </c>
      <c r="AB56" s="1">
        <v>11.2</v>
      </c>
      <c r="AC56" s="1">
        <v>7.8</v>
      </c>
      <c r="AD56" s="1">
        <v>11.2</v>
      </c>
      <c r="AE56" s="1">
        <v>12.4</v>
      </c>
      <c r="AF56" s="1">
        <v>14.4</v>
      </c>
      <c r="AG56" s="1">
        <v>12.8</v>
      </c>
      <c r="AH56" s="1">
        <v>10</v>
      </c>
      <c r="AI56" s="1"/>
      <c r="AJ56" s="1">
        <f t="shared" si="7"/>
        <v>8</v>
      </c>
      <c r="AK56" s="1">
        <f t="shared" si="8"/>
        <v>12.69090909090909</v>
      </c>
      <c r="AL56" s="1"/>
      <c r="AM56" s="1"/>
      <c r="AN56" s="1"/>
      <c r="AO56" s="1"/>
      <c r="AP56" s="1"/>
      <c r="AQ56" s="1"/>
    </row>
    <row r="57" spans="1:43" x14ac:dyDescent="0.25">
      <c r="A57" s="1" t="s">
        <v>93</v>
      </c>
      <c r="B57" s="1" t="s">
        <v>37</v>
      </c>
      <c r="C57" s="1">
        <v>941.54600000000005</v>
      </c>
      <c r="D57" s="1">
        <v>683.02700000000004</v>
      </c>
      <c r="E57" s="1">
        <v>710.10599999999999</v>
      </c>
      <c r="F57" s="1">
        <v>865.904</v>
      </c>
      <c r="G57" s="7">
        <v>1</v>
      </c>
      <c r="H57" s="1">
        <v>50</v>
      </c>
      <c r="I57" s="1" t="s">
        <v>38</v>
      </c>
      <c r="J57" s="1"/>
      <c r="K57" s="1">
        <v>693.53</v>
      </c>
      <c r="L57" s="1">
        <f t="shared" si="12"/>
        <v>16.576000000000022</v>
      </c>
      <c r="M57" s="1"/>
      <c r="N57" s="1"/>
      <c r="O57" s="1">
        <v>350</v>
      </c>
      <c r="P57" s="1"/>
      <c r="Q57" s="1">
        <v>511.11638300000033</v>
      </c>
      <c r="R57" s="1"/>
      <c r="S57" s="1">
        <f t="shared" si="13"/>
        <v>142.02119999999999</v>
      </c>
      <c r="T57" s="5"/>
      <c r="U57" s="5">
        <f t="shared" si="5"/>
        <v>0</v>
      </c>
      <c r="V57" s="1"/>
      <c r="W57" s="1">
        <f t="shared" si="6"/>
        <v>12.160299891847135</v>
      </c>
      <c r="X57" s="1">
        <f t="shared" si="14"/>
        <v>12.160299891847135</v>
      </c>
      <c r="Y57" s="1">
        <v>148.81020000000001</v>
      </c>
      <c r="Z57" s="1">
        <v>151.5138</v>
      </c>
      <c r="AA57" s="1">
        <v>152.57759999999999</v>
      </c>
      <c r="AB57" s="1">
        <v>151.32759999999999</v>
      </c>
      <c r="AC57" s="1">
        <v>138.55520000000001</v>
      </c>
      <c r="AD57" s="1">
        <v>142.07140000000001</v>
      </c>
      <c r="AE57" s="1">
        <v>139.2654</v>
      </c>
      <c r="AF57" s="1">
        <v>135.7242</v>
      </c>
      <c r="AG57" s="1">
        <v>150.4196</v>
      </c>
      <c r="AH57" s="1">
        <v>157.773</v>
      </c>
      <c r="AI57" s="1"/>
      <c r="AJ57" s="1">
        <f t="shared" si="7"/>
        <v>0</v>
      </c>
      <c r="AK57" s="1">
        <f t="shared" si="8"/>
        <v>146.36901818181818</v>
      </c>
      <c r="AL57" s="1"/>
      <c r="AM57" s="1"/>
      <c r="AN57" s="1"/>
      <c r="AO57" s="1"/>
      <c r="AP57" s="1"/>
      <c r="AQ57" s="1"/>
    </row>
    <row r="58" spans="1:43" x14ac:dyDescent="0.25">
      <c r="A58" s="11" t="s">
        <v>94</v>
      </c>
      <c r="B58" s="11" t="s">
        <v>37</v>
      </c>
      <c r="C58" s="11">
        <v>171.066</v>
      </c>
      <c r="D58" s="11">
        <v>1173.2619999999999</v>
      </c>
      <c r="E58" s="11"/>
      <c r="F58" s="15">
        <v>100.54300000000001</v>
      </c>
      <c r="G58" s="12">
        <v>0</v>
      </c>
      <c r="H58" s="11"/>
      <c r="I58" s="11" t="s">
        <v>95</v>
      </c>
      <c r="J58" s="11" t="s">
        <v>96</v>
      </c>
      <c r="K58" s="11"/>
      <c r="L58" s="11">
        <f t="shared" si="12"/>
        <v>0</v>
      </c>
      <c r="M58" s="11"/>
      <c r="N58" s="11"/>
      <c r="O58" s="11"/>
      <c r="P58" s="11"/>
      <c r="Q58" s="11">
        <v>0</v>
      </c>
      <c r="R58" s="11"/>
      <c r="S58" s="11">
        <f t="shared" si="13"/>
        <v>0</v>
      </c>
      <c r="T58" s="13"/>
      <c r="U58" s="5">
        <f t="shared" si="5"/>
        <v>0</v>
      </c>
      <c r="V58" s="11"/>
      <c r="W58" s="1" t="e">
        <f t="shared" si="6"/>
        <v>#DIV/0!</v>
      </c>
      <c r="X58" s="11" t="e">
        <f t="shared" si="14"/>
        <v>#DIV/0!</v>
      </c>
      <c r="Y58" s="11">
        <v>0</v>
      </c>
      <c r="Z58" s="11">
        <v>0</v>
      </c>
      <c r="AA58" s="11">
        <v>0</v>
      </c>
      <c r="AB58" s="11">
        <v>0</v>
      </c>
      <c r="AC58" s="11">
        <v>0</v>
      </c>
      <c r="AD58" s="11">
        <v>0</v>
      </c>
      <c r="AE58" s="11">
        <v>0</v>
      </c>
      <c r="AF58" s="11">
        <v>0</v>
      </c>
      <c r="AG58" s="11">
        <v>0</v>
      </c>
      <c r="AH58" s="11">
        <v>0</v>
      </c>
      <c r="AI58" s="11"/>
      <c r="AJ58" s="1">
        <f t="shared" si="7"/>
        <v>0</v>
      </c>
      <c r="AK58" s="1">
        <f t="shared" si="8"/>
        <v>0</v>
      </c>
      <c r="AL58" s="1"/>
      <c r="AM58" s="1"/>
      <c r="AN58" s="1"/>
      <c r="AO58" s="1"/>
      <c r="AP58" s="1"/>
      <c r="AQ58" s="1"/>
    </row>
    <row r="59" spans="1:43" x14ac:dyDescent="0.25">
      <c r="A59" s="1" t="s">
        <v>97</v>
      </c>
      <c r="B59" s="1" t="s">
        <v>42</v>
      </c>
      <c r="C59" s="1">
        <v>391</v>
      </c>
      <c r="D59" s="1">
        <v>120</v>
      </c>
      <c r="E59" s="1">
        <v>282</v>
      </c>
      <c r="F59" s="1">
        <v>216</v>
      </c>
      <c r="G59" s="7">
        <v>0.1</v>
      </c>
      <c r="H59" s="1">
        <v>731</v>
      </c>
      <c r="I59" s="1" t="s">
        <v>38</v>
      </c>
      <c r="J59" s="1"/>
      <c r="K59" s="1">
        <v>282</v>
      </c>
      <c r="L59" s="1">
        <f t="shared" si="12"/>
        <v>0</v>
      </c>
      <c r="M59" s="1"/>
      <c r="N59" s="1"/>
      <c r="O59" s="1"/>
      <c r="P59" s="1"/>
      <c r="Q59" s="1">
        <v>206.59999999999991</v>
      </c>
      <c r="R59" s="1"/>
      <c r="S59" s="1">
        <f t="shared" si="13"/>
        <v>56.4</v>
      </c>
      <c r="T59" s="5">
        <f t="shared" ref="T59:T84" si="16">10.5*S59-R59-Q59-P59-O59-F59</f>
        <v>169.60000000000002</v>
      </c>
      <c r="U59" s="5">
        <f t="shared" si="5"/>
        <v>169.60000000000002</v>
      </c>
      <c r="V59" s="1"/>
      <c r="W59" s="1">
        <f t="shared" si="6"/>
        <v>10.499999999999998</v>
      </c>
      <c r="X59" s="1">
        <f t="shared" si="14"/>
        <v>7.492907801418438</v>
      </c>
      <c r="Y59" s="1">
        <v>43.8</v>
      </c>
      <c r="Z59" s="1">
        <v>46</v>
      </c>
      <c r="AA59" s="1">
        <v>43</v>
      </c>
      <c r="AB59" s="1">
        <v>32</v>
      </c>
      <c r="AC59" s="1">
        <v>24.4</v>
      </c>
      <c r="AD59" s="1">
        <v>32.4</v>
      </c>
      <c r="AE59" s="1">
        <v>36.4</v>
      </c>
      <c r="AF59" s="1">
        <v>33.4</v>
      </c>
      <c r="AG59" s="1">
        <v>29</v>
      </c>
      <c r="AH59" s="1">
        <v>31.2</v>
      </c>
      <c r="AI59" s="1"/>
      <c r="AJ59" s="1">
        <f t="shared" si="7"/>
        <v>17</v>
      </c>
      <c r="AK59" s="1">
        <f t="shared" si="8"/>
        <v>37.090909090909086</v>
      </c>
      <c r="AL59" s="1"/>
      <c r="AM59" s="1"/>
      <c r="AN59" s="1"/>
      <c r="AO59" s="1"/>
      <c r="AP59" s="1"/>
      <c r="AQ59" s="1"/>
    </row>
    <row r="60" spans="1:43" x14ac:dyDescent="0.25">
      <c r="A60" s="1" t="s">
        <v>98</v>
      </c>
      <c r="B60" s="1" t="s">
        <v>37</v>
      </c>
      <c r="C60" s="1">
        <v>1195.5150000000001</v>
      </c>
      <c r="D60" s="1">
        <v>743.18499999999995</v>
      </c>
      <c r="E60" s="1">
        <v>826.82500000000005</v>
      </c>
      <c r="F60" s="1">
        <v>1073.018</v>
      </c>
      <c r="G60" s="7">
        <v>1</v>
      </c>
      <c r="H60" s="1">
        <v>50</v>
      </c>
      <c r="I60" s="1" t="s">
        <v>38</v>
      </c>
      <c r="J60" s="1"/>
      <c r="K60" s="1">
        <v>810.25</v>
      </c>
      <c r="L60" s="1">
        <f t="shared" si="12"/>
        <v>16.575000000000045</v>
      </c>
      <c r="M60" s="1"/>
      <c r="N60" s="1"/>
      <c r="O60" s="1">
        <v>400</v>
      </c>
      <c r="P60" s="1"/>
      <c r="Q60" s="1">
        <v>348.91503899999992</v>
      </c>
      <c r="R60" s="1"/>
      <c r="S60" s="1">
        <f t="shared" si="13"/>
        <v>165.36500000000001</v>
      </c>
      <c r="T60" s="5"/>
      <c r="U60" s="5">
        <f t="shared" si="5"/>
        <v>0</v>
      </c>
      <c r="V60" s="1"/>
      <c r="W60" s="1">
        <f t="shared" si="6"/>
        <v>11.017646049647748</v>
      </c>
      <c r="X60" s="1">
        <f t="shared" si="14"/>
        <v>11.017646049647748</v>
      </c>
      <c r="Y60" s="1">
        <v>160.84059999999999</v>
      </c>
      <c r="Z60" s="1">
        <v>178.38939999999999</v>
      </c>
      <c r="AA60" s="1">
        <v>198.24420000000001</v>
      </c>
      <c r="AB60" s="1">
        <v>186.80680000000001</v>
      </c>
      <c r="AC60" s="1">
        <v>175.28739999999999</v>
      </c>
      <c r="AD60" s="1">
        <v>181.8802</v>
      </c>
      <c r="AE60" s="1">
        <v>201.43039999999999</v>
      </c>
      <c r="AF60" s="1">
        <v>197.81720000000001</v>
      </c>
      <c r="AG60" s="1">
        <v>133.85419999999999</v>
      </c>
      <c r="AH60" s="1">
        <v>120.19540000000001</v>
      </c>
      <c r="AI60" s="1"/>
      <c r="AJ60" s="1">
        <f t="shared" si="7"/>
        <v>0</v>
      </c>
      <c r="AK60" s="1">
        <f t="shared" si="8"/>
        <v>172.73734545454545</v>
      </c>
      <c r="AL60" s="1"/>
      <c r="AM60" s="1"/>
      <c r="AN60" s="1"/>
      <c r="AO60" s="1"/>
      <c r="AP60" s="1"/>
      <c r="AQ60" s="1"/>
    </row>
    <row r="61" spans="1:43" x14ac:dyDescent="0.25">
      <c r="A61" s="1" t="s">
        <v>99</v>
      </c>
      <c r="B61" s="1" t="s">
        <v>37</v>
      </c>
      <c r="C61" s="1">
        <v>104.232</v>
      </c>
      <c r="D61" s="1">
        <v>141.20400000000001</v>
      </c>
      <c r="E61" s="1">
        <v>83.132000000000005</v>
      </c>
      <c r="F61" s="1">
        <v>159.91399999999999</v>
      </c>
      <c r="G61" s="7">
        <v>1</v>
      </c>
      <c r="H61" s="1">
        <v>55</v>
      </c>
      <c r="I61" s="1" t="s">
        <v>38</v>
      </c>
      <c r="J61" s="1"/>
      <c r="K61" s="1">
        <v>85.05</v>
      </c>
      <c r="L61" s="1">
        <f t="shared" si="12"/>
        <v>-1.9179999999999922</v>
      </c>
      <c r="M61" s="1"/>
      <c r="N61" s="1"/>
      <c r="O61" s="1"/>
      <c r="P61" s="1"/>
      <c r="Q61" s="1">
        <v>52.656444000000043</v>
      </c>
      <c r="R61" s="1"/>
      <c r="S61" s="1">
        <f t="shared" si="13"/>
        <v>16.6264</v>
      </c>
      <c r="T61" s="5"/>
      <c r="U61" s="5">
        <f t="shared" si="5"/>
        <v>0</v>
      </c>
      <c r="V61" s="1"/>
      <c r="W61" s="1">
        <f t="shared" si="6"/>
        <v>12.785115478997259</v>
      </c>
      <c r="X61" s="1">
        <f t="shared" si="14"/>
        <v>12.785115478997259</v>
      </c>
      <c r="Y61" s="1">
        <v>20.0504</v>
      </c>
      <c r="Z61" s="1">
        <v>20.848199999999999</v>
      </c>
      <c r="AA61" s="1">
        <v>17.22</v>
      </c>
      <c r="AB61" s="1">
        <v>18.130600000000001</v>
      </c>
      <c r="AC61" s="1">
        <v>18.803999999999998</v>
      </c>
      <c r="AD61" s="1">
        <v>19.883600000000001</v>
      </c>
      <c r="AE61" s="1">
        <v>22.8446</v>
      </c>
      <c r="AF61" s="1">
        <v>22.9194</v>
      </c>
      <c r="AG61" s="1">
        <v>20.6586</v>
      </c>
      <c r="AH61" s="1">
        <v>19.6098</v>
      </c>
      <c r="AI61" s="1"/>
      <c r="AJ61" s="1">
        <f t="shared" si="7"/>
        <v>0</v>
      </c>
      <c r="AK61" s="1">
        <f t="shared" si="8"/>
        <v>19.781418181818182</v>
      </c>
      <c r="AL61" s="1"/>
      <c r="AM61" s="1"/>
      <c r="AN61" s="1"/>
      <c r="AO61" s="1"/>
      <c r="AP61" s="1"/>
      <c r="AQ61" s="1"/>
    </row>
    <row r="62" spans="1:43" x14ac:dyDescent="0.25">
      <c r="A62" s="1" t="s">
        <v>100</v>
      </c>
      <c r="B62" s="1" t="s">
        <v>42</v>
      </c>
      <c r="C62" s="1">
        <v>148</v>
      </c>
      <c r="D62" s="1">
        <v>360</v>
      </c>
      <c r="E62" s="1">
        <v>188</v>
      </c>
      <c r="F62" s="1">
        <v>303</v>
      </c>
      <c r="G62" s="7">
        <v>0.1</v>
      </c>
      <c r="H62" s="1">
        <v>731</v>
      </c>
      <c r="I62" s="1" t="s">
        <v>38</v>
      </c>
      <c r="J62" s="1"/>
      <c r="K62" s="1">
        <v>189</v>
      </c>
      <c r="L62" s="1">
        <f t="shared" si="12"/>
        <v>-1</v>
      </c>
      <c r="M62" s="1"/>
      <c r="N62" s="1"/>
      <c r="O62" s="1"/>
      <c r="P62" s="1"/>
      <c r="Q62" s="1">
        <v>28.399999999999981</v>
      </c>
      <c r="R62" s="1"/>
      <c r="S62" s="1">
        <f t="shared" si="13"/>
        <v>37.6</v>
      </c>
      <c r="T62" s="5">
        <f t="shared" si="16"/>
        <v>63.400000000000034</v>
      </c>
      <c r="U62" s="5">
        <f t="shared" si="5"/>
        <v>63.400000000000034</v>
      </c>
      <c r="V62" s="1"/>
      <c r="W62" s="1">
        <f t="shared" si="6"/>
        <v>10.5</v>
      </c>
      <c r="X62" s="1">
        <f t="shared" si="14"/>
        <v>8.8138297872340416</v>
      </c>
      <c r="Y62" s="1">
        <v>34</v>
      </c>
      <c r="Z62" s="1">
        <v>46</v>
      </c>
      <c r="AA62" s="1">
        <v>42.2</v>
      </c>
      <c r="AB62" s="1">
        <v>26</v>
      </c>
      <c r="AC62" s="1">
        <v>19</v>
      </c>
      <c r="AD62" s="1">
        <v>26.4</v>
      </c>
      <c r="AE62" s="1">
        <v>35</v>
      </c>
      <c r="AF62" s="1">
        <v>34.4</v>
      </c>
      <c r="AG62" s="1">
        <v>28.6</v>
      </c>
      <c r="AH62" s="1">
        <v>33.6</v>
      </c>
      <c r="AI62" s="1"/>
      <c r="AJ62" s="1">
        <f t="shared" si="7"/>
        <v>6</v>
      </c>
      <c r="AK62" s="1">
        <f t="shared" si="8"/>
        <v>32.981818181818191</v>
      </c>
      <c r="AL62" s="1"/>
      <c r="AM62" s="1"/>
      <c r="AN62" s="1"/>
      <c r="AO62" s="1"/>
      <c r="AP62" s="1"/>
      <c r="AQ62" s="1"/>
    </row>
    <row r="63" spans="1:43" x14ac:dyDescent="0.25">
      <c r="A63" s="1" t="s">
        <v>101</v>
      </c>
      <c r="B63" s="1" t="s">
        <v>42</v>
      </c>
      <c r="C63" s="1">
        <v>174</v>
      </c>
      <c r="D63" s="1">
        <v>510</v>
      </c>
      <c r="E63" s="1">
        <v>261</v>
      </c>
      <c r="F63" s="1">
        <v>417</v>
      </c>
      <c r="G63" s="7">
        <v>0.4</v>
      </c>
      <c r="H63" s="1">
        <v>50</v>
      </c>
      <c r="I63" s="1" t="s">
        <v>38</v>
      </c>
      <c r="J63" s="1"/>
      <c r="K63" s="1">
        <v>273</v>
      </c>
      <c r="L63" s="1">
        <f t="shared" si="12"/>
        <v>-12</v>
      </c>
      <c r="M63" s="1"/>
      <c r="N63" s="1"/>
      <c r="O63" s="1"/>
      <c r="P63" s="1"/>
      <c r="Q63" s="1">
        <v>0</v>
      </c>
      <c r="R63" s="1"/>
      <c r="S63" s="1">
        <f t="shared" si="13"/>
        <v>52.2</v>
      </c>
      <c r="T63" s="5">
        <f t="shared" si="16"/>
        <v>131.10000000000002</v>
      </c>
      <c r="U63" s="5">
        <f t="shared" si="5"/>
        <v>131.10000000000002</v>
      </c>
      <c r="V63" s="1"/>
      <c r="W63" s="1">
        <f t="shared" si="6"/>
        <v>10.5</v>
      </c>
      <c r="X63" s="1">
        <f t="shared" si="14"/>
        <v>7.9885057471264362</v>
      </c>
      <c r="Y63" s="1">
        <v>41</v>
      </c>
      <c r="Z63" s="1">
        <v>60.6</v>
      </c>
      <c r="AA63" s="1">
        <v>49.4</v>
      </c>
      <c r="AB63" s="1">
        <v>42.6</v>
      </c>
      <c r="AC63" s="1">
        <v>47.8</v>
      </c>
      <c r="AD63" s="1">
        <v>52.2</v>
      </c>
      <c r="AE63" s="1">
        <v>44.4</v>
      </c>
      <c r="AF63" s="1">
        <v>44</v>
      </c>
      <c r="AG63" s="1">
        <v>44</v>
      </c>
      <c r="AH63" s="1">
        <v>47</v>
      </c>
      <c r="AI63" s="1"/>
      <c r="AJ63" s="1">
        <f t="shared" si="7"/>
        <v>52</v>
      </c>
      <c r="AK63" s="1">
        <f t="shared" si="8"/>
        <v>47.745454545454542</v>
      </c>
      <c r="AL63" s="1"/>
      <c r="AM63" s="1"/>
      <c r="AN63" s="1"/>
      <c r="AO63" s="1"/>
      <c r="AP63" s="1"/>
      <c r="AQ63" s="1"/>
    </row>
    <row r="64" spans="1:43" x14ac:dyDescent="0.25">
      <c r="A64" s="1" t="s">
        <v>102</v>
      </c>
      <c r="B64" s="1" t="s">
        <v>37</v>
      </c>
      <c r="C64" s="1">
        <v>57.223999999999997</v>
      </c>
      <c r="D64" s="1">
        <v>70.908000000000001</v>
      </c>
      <c r="E64" s="1">
        <v>102.372</v>
      </c>
      <c r="F64" s="1">
        <v>21.265000000000001</v>
      </c>
      <c r="G64" s="7">
        <v>1</v>
      </c>
      <c r="H64" s="1">
        <v>40</v>
      </c>
      <c r="I64" s="1" t="s">
        <v>38</v>
      </c>
      <c r="J64" s="1"/>
      <c r="K64" s="1">
        <v>116.7</v>
      </c>
      <c r="L64" s="1">
        <f t="shared" si="12"/>
        <v>-14.328000000000003</v>
      </c>
      <c r="M64" s="1"/>
      <c r="N64" s="1"/>
      <c r="O64" s="1"/>
      <c r="P64" s="1"/>
      <c r="Q64" s="1">
        <v>120</v>
      </c>
      <c r="R64" s="1"/>
      <c r="S64" s="1">
        <f t="shared" si="13"/>
        <v>20.474399999999999</v>
      </c>
      <c r="T64" s="5">
        <f t="shared" si="16"/>
        <v>73.716200000000001</v>
      </c>
      <c r="U64" s="5">
        <f t="shared" si="5"/>
        <v>73.716200000000001</v>
      </c>
      <c r="V64" s="1"/>
      <c r="W64" s="1">
        <f t="shared" si="6"/>
        <v>10.5</v>
      </c>
      <c r="X64" s="1">
        <f t="shared" si="14"/>
        <v>6.8995916852264285</v>
      </c>
      <c r="Y64" s="1">
        <v>10.922000000000001</v>
      </c>
      <c r="Z64" s="1">
        <v>10.8414</v>
      </c>
      <c r="AA64" s="1">
        <v>9.9244000000000003</v>
      </c>
      <c r="AB64" s="1">
        <v>8.3956</v>
      </c>
      <c r="AC64" s="1">
        <v>9.6593999999999998</v>
      </c>
      <c r="AD64" s="1">
        <v>9.9038000000000004</v>
      </c>
      <c r="AE64" s="1">
        <v>9.5695999999999994</v>
      </c>
      <c r="AF64" s="1">
        <v>6.2734000000000014</v>
      </c>
      <c r="AG64" s="1">
        <v>4.3106</v>
      </c>
      <c r="AH64" s="1">
        <v>9.2512000000000008</v>
      </c>
      <c r="AI64" s="1" t="s">
        <v>103</v>
      </c>
      <c r="AJ64" s="1">
        <f t="shared" si="7"/>
        <v>74</v>
      </c>
      <c r="AK64" s="1">
        <f t="shared" si="8"/>
        <v>9.9568909090909088</v>
      </c>
      <c r="AL64" s="1"/>
      <c r="AM64" s="1"/>
      <c r="AN64" s="1"/>
      <c r="AO64" s="1"/>
      <c r="AP64" s="1"/>
      <c r="AQ64" s="1"/>
    </row>
    <row r="65" spans="1:43" x14ac:dyDescent="0.25">
      <c r="A65" s="1" t="s">
        <v>104</v>
      </c>
      <c r="B65" s="1" t="s">
        <v>37</v>
      </c>
      <c r="C65" s="1"/>
      <c r="D65" s="1">
        <v>8.0570000000000004</v>
      </c>
      <c r="E65" s="1"/>
      <c r="F65" s="1">
        <v>8.0570000000000004</v>
      </c>
      <c r="G65" s="7">
        <v>1</v>
      </c>
      <c r="H65" s="1">
        <v>40</v>
      </c>
      <c r="I65" s="1" t="s">
        <v>38</v>
      </c>
      <c r="J65" s="1"/>
      <c r="K65" s="1">
        <v>1.3</v>
      </c>
      <c r="L65" s="1">
        <f t="shared" si="12"/>
        <v>-1.3</v>
      </c>
      <c r="M65" s="1"/>
      <c r="N65" s="1"/>
      <c r="O65" s="1"/>
      <c r="P65" s="1"/>
      <c r="Q65" s="1">
        <v>100</v>
      </c>
      <c r="R65" s="1"/>
      <c r="S65" s="1">
        <f t="shared" si="13"/>
        <v>0</v>
      </c>
      <c r="T65" s="5"/>
      <c r="U65" s="5">
        <f t="shared" si="5"/>
        <v>0</v>
      </c>
      <c r="V65" s="1"/>
      <c r="W65" s="1" t="e">
        <f t="shared" si="6"/>
        <v>#DIV/0!</v>
      </c>
      <c r="X65" s="1" t="e">
        <f t="shared" si="14"/>
        <v>#DIV/0!</v>
      </c>
      <c r="Y65" s="1">
        <v>0.27239999999999998</v>
      </c>
      <c r="Z65" s="1">
        <v>0.27239999999999998</v>
      </c>
      <c r="AA65" s="1">
        <v>0</v>
      </c>
      <c r="AB65" s="1">
        <v>0</v>
      </c>
      <c r="AC65" s="1">
        <v>0</v>
      </c>
      <c r="AD65" s="1">
        <v>0</v>
      </c>
      <c r="AE65" s="1">
        <v>0.27100000000000002</v>
      </c>
      <c r="AF65" s="1">
        <v>0</v>
      </c>
      <c r="AG65" s="1">
        <v>0</v>
      </c>
      <c r="AH65" s="1">
        <v>0</v>
      </c>
      <c r="AI65" s="1" t="s">
        <v>103</v>
      </c>
      <c r="AJ65" s="1">
        <f t="shared" si="7"/>
        <v>0</v>
      </c>
      <c r="AK65" s="1">
        <f t="shared" si="8"/>
        <v>7.4163636363636362E-2</v>
      </c>
      <c r="AL65" s="1"/>
      <c r="AM65" s="1"/>
      <c r="AN65" s="1"/>
      <c r="AO65" s="1"/>
      <c r="AP65" s="1"/>
      <c r="AQ65" s="1"/>
    </row>
    <row r="66" spans="1:43" x14ac:dyDescent="0.25">
      <c r="A66" s="1" t="s">
        <v>105</v>
      </c>
      <c r="B66" s="1" t="s">
        <v>42</v>
      </c>
      <c r="C66" s="1">
        <v>761</v>
      </c>
      <c r="D66" s="1">
        <v>1189</v>
      </c>
      <c r="E66" s="1">
        <v>931</v>
      </c>
      <c r="F66" s="1">
        <v>920</v>
      </c>
      <c r="G66" s="7">
        <v>0.4</v>
      </c>
      <c r="H66" s="1">
        <v>40</v>
      </c>
      <c r="I66" s="1" t="s">
        <v>38</v>
      </c>
      <c r="J66" s="1"/>
      <c r="K66" s="1">
        <v>955</v>
      </c>
      <c r="L66" s="1">
        <f t="shared" si="12"/>
        <v>-24</v>
      </c>
      <c r="M66" s="1"/>
      <c r="N66" s="1"/>
      <c r="O66" s="1">
        <v>150</v>
      </c>
      <c r="P66" s="1"/>
      <c r="Q66" s="1">
        <v>702.14799999999991</v>
      </c>
      <c r="R66" s="1"/>
      <c r="S66" s="1">
        <f t="shared" si="13"/>
        <v>186.2</v>
      </c>
      <c r="T66" s="5">
        <f t="shared" si="16"/>
        <v>182.952</v>
      </c>
      <c r="U66" s="5">
        <f t="shared" si="5"/>
        <v>182.952</v>
      </c>
      <c r="V66" s="1"/>
      <c r="W66" s="1">
        <f t="shared" si="6"/>
        <v>10.5</v>
      </c>
      <c r="X66" s="1">
        <f t="shared" si="14"/>
        <v>9.5174436090225569</v>
      </c>
      <c r="Y66" s="1">
        <v>159.19999999999999</v>
      </c>
      <c r="Z66" s="1">
        <v>162.80000000000001</v>
      </c>
      <c r="AA66" s="1">
        <v>187.4</v>
      </c>
      <c r="AB66" s="1">
        <v>170.2</v>
      </c>
      <c r="AC66" s="1">
        <v>152.4</v>
      </c>
      <c r="AD66" s="1">
        <v>164.8</v>
      </c>
      <c r="AE66" s="1">
        <v>173.8</v>
      </c>
      <c r="AF66" s="1">
        <v>160</v>
      </c>
      <c r="AG66" s="1">
        <v>166</v>
      </c>
      <c r="AH66" s="1">
        <v>117.8</v>
      </c>
      <c r="AI66" s="1"/>
      <c r="AJ66" s="1">
        <f t="shared" si="7"/>
        <v>73</v>
      </c>
      <c r="AK66" s="1">
        <f t="shared" si="8"/>
        <v>163.69090909090909</v>
      </c>
      <c r="AL66" s="1"/>
      <c r="AM66" s="1"/>
      <c r="AN66" s="1"/>
      <c r="AO66" s="1"/>
      <c r="AP66" s="1"/>
      <c r="AQ66" s="1"/>
    </row>
    <row r="67" spans="1:43" x14ac:dyDescent="0.25">
      <c r="A67" s="1" t="s">
        <v>106</v>
      </c>
      <c r="B67" s="1" t="s">
        <v>42</v>
      </c>
      <c r="C67" s="1">
        <v>17</v>
      </c>
      <c r="D67" s="1"/>
      <c r="E67" s="1">
        <v>5</v>
      </c>
      <c r="F67" s="1">
        <v>6</v>
      </c>
      <c r="G67" s="7">
        <v>0.4</v>
      </c>
      <c r="H67" s="1">
        <v>40</v>
      </c>
      <c r="I67" s="16" t="s">
        <v>179</v>
      </c>
      <c r="J67" s="1"/>
      <c r="K67" s="1">
        <v>657</v>
      </c>
      <c r="L67" s="1">
        <f t="shared" si="12"/>
        <v>-652</v>
      </c>
      <c r="M67" s="1"/>
      <c r="N67" s="1"/>
      <c r="O67" s="9">
        <v>0</v>
      </c>
      <c r="P67" s="1"/>
      <c r="Q67" s="1">
        <v>300</v>
      </c>
      <c r="R67" s="1"/>
      <c r="S67" s="1">
        <f t="shared" si="13"/>
        <v>1</v>
      </c>
      <c r="T67" s="5">
        <v>300</v>
      </c>
      <c r="U67" s="5">
        <f t="shared" si="5"/>
        <v>300</v>
      </c>
      <c r="V67" s="1"/>
      <c r="W67" s="1">
        <f t="shared" si="6"/>
        <v>606</v>
      </c>
      <c r="X67" s="1">
        <f t="shared" si="14"/>
        <v>306</v>
      </c>
      <c r="Y67" s="1">
        <v>50.2</v>
      </c>
      <c r="Z67" s="1">
        <v>102</v>
      </c>
      <c r="AA67" s="1">
        <v>140.80000000000001</v>
      </c>
      <c r="AB67" s="1">
        <v>123.2</v>
      </c>
      <c r="AC67" s="1">
        <v>116.8</v>
      </c>
      <c r="AD67" s="1">
        <v>135.4</v>
      </c>
      <c r="AE67" s="1">
        <v>128.80000000000001</v>
      </c>
      <c r="AF67" s="1">
        <v>117.6</v>
      </c>
      <c r="AG67" s="1">
        <v>112</v>
      </c>
      <c r="AH67" s="1">
        <v>118.8</v>
      </c>
      <c r="AI67" s="1"/>
      <c r="AJ67" s="1">
        <f t="shared" si="7"/>
        <v>120</v>
      </c>
      <c r="AK67" s="1">
        <f t="shared" si="8"/>
        <v>104.23636363636365</v>
      </c>
      <c r="AL67" s="1"/>
      <c r="AM67" s="1"/>
      <c r="AN67" s="1"/>
      <c r="AO67" s="1"/>
      <c r="AP67" s="1"/>
      <c r="AQ67" s="1"/>
    </row>
    <row r="68" spans="1:43" x14ac:dyDescent="0.25">
      <c r="A68" s="1" t="s">
        <v>107</v>
      </c>
      <c r="B68" s="1" t="s">
        <v>37</v>
      </c>
      <c r="C68" s="1">
        <v>381.40899999999999</v>
      </c>
      <c r="D68" s="1">
        <v>284.72000000000003</v>
      </c>
      <c r="E68" s="1">
        <v>275.71600000000001</v>
      </c>
      <c r="F68" s="1">
        <v>365.78399999999999</v>
      </c>
      <c r="G68" s="7">
        <v>1</v>
      </c>
      <c r="H68" s="1">
        <v>40</v>
      </c>
      <c r="I68" s="1" t="s">
        <v>38</v>
      </c>
      <c r="J68" s="1"/>
      <c r="K68" s="1">
        <v>267.10000000000002</v>
      </c>
      <c r="L68" s="1">
        <f t="shared" si="12"/>
        <v>8.6159999999999854</v>
      </c>
      <c r="M68" s="1"/>
      <c r="N68" s="1"/>
      <c r="O68" s="1"/>
      <c r="P68" s="1"/>
      <c r="Q68" s="1">
        <v>138.12493399999991</v>
      </c>
      <c r="R68" s="1"/>
      <c r="S68" s="1">
        <f t="shared" si="13"/>
        <v>55.1432</v>
      </c>
      <c r="T68" s="5">
        <f t="shared" si="16"/>
        <v>75.094666000000075</v>
      </c>
      <c r="U68" s="5">
        <f t="shared" si="5"/>
        <v>75.094666000000075</v>
      </c>
      <c r="V68" s="1"/>
      <c r="W68" s="1">
        <f t="shared" si="6"/>
        <v>10.5</v>
      </c>
      <c r="X68" s="1">
        <f t="shared" si="14"/>
        <v>9.1381880993486035</v>
      </c>
      <c r="Y68" s="1">
        <v>54.483400000000003</v>
      </c>
      <c r="Z68" s="1">
        <v>59.456200000000003</v>
      </c>
      <c r="AA68" s="1">
        <v>60.828000000000003</v>
      </c>
      <c r="AB68" s="1">
        <v>57.925600000000003</v>
      </c>
      <c r="AC68" s="1">
        <v>62.245600000000003</v>
      </c>
      <c r="AD68" s="1">
        <v>58.9818</v>
      </c>
      <c r="AE68" s="1">
        <v>54.386400000000002</v>
      </c>
      <c r="AF68" s="1">
        <v>55.517999999999986</v>
      </c>
      <c r="AG68" s="1">
        <v>56.362400000000001</v>
      </c>
      <c r="AH68" s="1">
        <v>55.415399999999998</v>
      </c>
      <c r="AI68" s="1"/>
      <c r="AJ68" s="1">
        <f t="shared" si="7"/>
        <v>75</v>
      </c>
      <c r="AK68" s="1">
        <f t="shared" si="8"/>
        <v>57.340545454545456</v>
      </c>
      <c r="AL68" s="1"/>
      <c r="AM68" s="1"/>
      <c r="AN68" s="1"/>
      <c r="AO68" s="1"/>
      <c r="AP68" s="1"/>
      <c r="AQ68" s="1"/>
    </row>
    <row r="69" spans="1:43" x14ac:dyDescent="0.25">
      <c r="A69" s="1" t="s">
        <v>108</v>
      </c>
      <c r="B69" s="1" t="s">
        <v>37</v>
      </c>
      <c r="C69" s="1">
        <v>360.25599999999997</v>
      </c>
      <c r="D69" s="1">
        <v>471.49799999999999</v>
      </c>
      <c r="E69" s="1">
        <v>438.71800000000002</v>
      </c>
      <c r="F69" s="1">
        <v>360.64100000000002</v>
      </c>
      <c r="G69" s="7">
        <v>1</v>
      </c>
      <c r="H69" s="1">
        <v>40</v>
      </c>
      <c r="I69" s="1" t="s">
        <v>38</v>
      </c>
      <c r="J69" s="1"/>
      <c r="K69" s="1">
        <v>432.6</v>
      </c>
      <c r="L69" s="1">
        <f t="shared" si="12"/>
        <v>6.117999999999995</v>
      </c>
      <c r="M69" s="1"/>
      <c r="N69" s="1"/>
      <c r="O69" s="1"/>
      <c r="P69" s="1"/>
      <c r="Q69" s="1">
        <v>362.79822800000011</v>
      </c>
      <c r="R69" s="1"/>
      <c r="S69" s="1">
        <f t="shared" si="13"/>
        <v>87.743600000000001</v>
      </c>
      <c r="T69" s="5">
        <f t="shared" si="16"/>
        <v>197.86857199999992</v>
      </c>
      <c r="U69" s="5">
        <f t="shared" si="5"/>
        <v>197.86857199999992</v>
      </c>
      <c r="V69" s="1"/>
      <c r="W69" s="1">
        <f t="shared" si="6"/>
        <v>10.5</v>
      </c>
      <c r="X69" s="1">
        <f t="shared" si="14"/>
        <v>8.2449230257249546</v>
      </c>
      <c r="Y69" s="1">
        <v>69.691200000000009</v>
      </c>
      <c r="Z69" s="1">
        <v>74.162400000000005</v>
      </c>
      <c r="AA69" s="1">
        <v>74.625</v>
      </c>
      <c r="AB69" s="1">
        <v>66.962000000000003</v>
      </c>
      <c r="AC69" s="1">
        <v>73.197400000000002</v>
      </c>
      <c r="AD69" s="1">
        <v>65.809600000000003</v>
      </c>
      <c r="AE69" s="1">
        <v>65.876199999999997</v>
      </c>
      <c r="AF69" s="1">
        <v>82.411199999999994</v>
      </c>
      <c r="AG69" s="1">
        <v>48.477800000000002</v>
      </c>
      <c r="AH69" s="1">
        <v>36.398000000000003</v>
      </c>
      <c r="AI69" s="1"/>
      <c r="AJ69" s="1">
        <f t="shared" si="7"/>
        <v>198</v>
      </c>
      <c r="AK69" s="1">
        <f t="shared" si="8"/>
        <v>67.759490909090914</v>
      </c>
      <c r="AL69" s="1"/>
      <c r="AM69" s="1"/>
      <c r="AN69" s="1"/>
      <c r="AO69" s="1"/>
      <c r="AP69" s="1"/>
      <c r="AQ69" s="1"/>
    </row>
    <row r="70" spans="1:43" x14ac:dyDescent="0.25">
      <c r="A70" s="1" t="s">
        <v>109</v>
      </c>
      <c r="B70" s="1" t="s">
        <v>37</v>
      </c>
      <c r="C70" s="1">
        <v>1040.8889999999999</v>
      </c>
      <c r="D70" s="1">
        <v>817.11800000000005</v>
      </c>
      <c r="E70" s="1">
        <v>686.37400000000002</v>
      </c>
      <c r="F70" s="1">
        <v>1136.491</v>
      </c>
      <c r="G70" s="7">
        <v>1</v>
      </c>
      <c r="H70" s="1">
        <v>40</v>
      </c>
      <c r="I70" s="1" t="s">
        <v>38</v>
      </c>
      <c r="J70" s="1"/>
      <c r="K70" s="1">
        <v>659.55</v>
      </c>
      <c r="L70" s="1">
        <f t="shared" ref="L70:L101" si="17">E70-K70</f>
        <v>26.824000000000069</v>
      </c>
      <c r="M70" s="1"/>
      <c r="N70" s="1"/>
      <c r="O70" s="1">
        <v>400</v>
      </c>
      <c r="P70" s="1"/>
      <c r="Q70" s="1">
        <v>597.08254900000054</v>
      </c>
      <c r="R70" s="1"/>
      <c r="S70" s="1">
        <f t="shared" ref="S70:S101" si="18">E70/5</f>
        <v>137.2748</v>
      </c>
      <c r="T70" s="5"/>
      <c r="U70" s="5">
        <f t="shared" si="5"/>
        <v>0</v>
      </c>
      <c r="V70" s="1"/>
      <c r="W70" s="1">
        <f t="shared" si="6"/>
        <v>15.542354088295889</v>
      </c>
      <c r="X70" s="1">
        <f t="shared" ref="X70:X101" si="19">(F70+O70+P70+Q70+R70)/S70</f>
        <v>15.542354088295889</v>
      </c>
      <c r="Y70" s="1">
        <v>175.5292</v>
      </c>
      <c r="Z70" s="1">
        <v>172.87260000000001</v>
      </c>
      <c r="AA70" s="1">
        <v>159.3614</v>
      </c>
      <c r="AB70" s="1">
        <v>169.21940000000001</v>
      </c>
      <c r="AC70" s="1">
        <v>161.20079999999999</v>
      </c>
      <c r="AD70" s="1">
        <v>159.1652</v>
      </c>
      <c r="AE70" s="1">
        <v>160.1902</v>
      </c>
      <c r="AF70" s="1">
        <v>149.44159999999999</v>
      </c>
      <c r="AG70" s="1">
        <v>190.0198</v>
      </c>
      <c r="AH70" s="1">
        <v>208.4572</v>
      </c>
      <c r="AI70" s="1"/>
      <c r="AJ70" s="1">
        <f t="shared" si="7"/>
        <v>0</v>
      </c>
      <c r="AK70" s="1">
        <f t="shared" si="8"/>
        <v>167.52110909090908</v>
      </c>
      <c r="AL70" s="1"/>
      <c r="AM70" s="1"/>
      <c r="AN70" s="1"/>
      <c r="AO70" s="1"/>
      <c r="AP70" s="1"/>
      <c r="AQ70" s="1"/>
    </row>
    <row r="71" spans="1:43" x14ac:dyDescent="0.25">
      <c r="A71" s="1" t="s">
        <v>110</v>
      </c>
      <c r="B71" s="1" t="s">
        <v>37</v>
      </c>
      <c r="C71" s="1">
        <v>355.31799999999998</v>
      </c>
      <c r="D71" s="1">
        <v>229.38300000000001</v>
      </c>
      <c r="E71" s="1">
        <v>221.92699999999999</v>
      </c>
      <c r="F71" s="1">
        <v>335.548</v>
      </c>
      <c r="G71" s="7">
        <v>1</v>
      </c>
      <c r="H71" s="1">
        <v>40</v>
      </c>
      <c r="I71" s="1" t="s">
        <v>38</v>
      </c>
      <c r="J71" s="1"/>
      <c r="K71" s="1">
        <v>228.45</v>
      </c>
      <c r="L71" s="1">
        <f t="shared" si="17"/>
        <v>-6.5229999999999961</v>
      </c>
      <c r="M71" s="1"/>
      <c r="N71" s="1"/>
      <c r="O71" s="1"/>
      <c r="P71" s="1"/>
      <c r="Q71" s="1">
        <v>110.65899999999991</v>
      </c>
      <c r="R71" s="1"/>
      <c r="S71" s="1">
        <f t="shared" si="18"/>
        <v>44.385399999999997</v>
      </c>
      <c r="T71" s="5">
        <f t="shared" si="16"/>
        <v>19.839700000000107</v>
      </c>
      <c r="U71" s="5">
        <f t="shared" ref="U71:U134" si="20">T71</f>
        <v>19.839700000000107</v>
      </c>
      <c r="V71" s="1"/>
      <c r="W71" s="1">
        <f t="shared" ref="W71:W134" si="21">(F71+O71+P71+Q71+R71+U71)/S71</f>
        <v>10.5</v>
      </c>
      <c r="X71" s="1">
        <f t="shared" si="19"/>
        <v>10.053012927674413</v>
      </c>
      <c r="Y71" s="1">
        <v>47.916400000000003</v>
      </c>
      <c r="Z71" s="1">
        <v>52.795399999999987</v>
      </c>
      <c r="AA71" s="1">
        <v>48.722799999999999</v>
      </c>
      <c r="AB71" s="1">
        <v>50.617800000000003</v>
      </c>
      <c r="AC71" s="1">
        <v>59.919400000000003</v>
      </c>
      <c r="AD71" s="1">
        <v>55.928999999999988</v>
      </c>
      <c r="AE71" s="1">
        <v>43.223999999999997</v>
      </c>
      <c r="AF71" s="1">
        <v>44.775199999999998</v>
      </c>
      <c r="AG71" s="1">
        <v>49.704599999999999</v>
      </c>
      <c r="AH71" s="1">
        <v>48.999200000000002</v>
      </c>
      <c r="AI71" s="1"/>
      <c r="AJ71" s="1">
        <f t="shared" ref="AJ71:AJ134" si="22">ROUND(G71*U71,0)</f>
        <v>20</v>
      </c>
      <c r="AK71" s="1">
        <f t="shared" ref="AK71:AK134" si="23">(SUM(Y71:AH71)+S71)/11</f>
        <v>49.726290909090899</v>
      </c>
      <c r="AL71" s="1"/>
      <c r="AM71" s="1"/>
      <c r="AN71" s="1"/>
      <c r="AO71" s="1"/>
      <c r="AP71" s="1"/>
      <c r="AQ71" s="1"/>
    </row>
    <row r="72" spans="1:43" x14ac:dyDescent="0.25">
      <c r="A72" s="1" t="s">
        <v>111</v>
      </c>
      <c r="B72" s="1" t="s">
        <v>42</v>
      </c>
      <c r="C72" s="1">
        <v>2</v>
      </c>
      <c r="D72" s="1">
        <v>24</v>
      </c>
      <c r="E72" s="1">
        <v>2</v>
      </c>
      <c r="F72" s="1">
        <v>24</v>
      </c>
      <c r="G72" s="7">
        <v>0.6</v>
      </c>
      <c r="H72" s="1">
        <v>70</v>
      </c>
      <c r="I72" s="1" t="s">
        <v>38</v>
      </c>
      <c r="J72" s="1"/>
      <c r="K72" s="1">
        <v>10</v>
      </c>
      <c r="L72" s="1">
        <f t="shared" si="17"/>
        <v>-8</v>
      </c>
      <c r="M72" s="1"/>
      <c r="N72" s="1"/>
      <c r="O72" s="1"/>
      <c r="P72" s="1"/>
      <c r="Q72" s="1">
        <v>0</v>
      </c>
      <c r="R72" s="1"/>
      <c r="S72" s="1">
        <f t="shared" si="18"/>
        <v>0.4</v>
      </c>
      <c r="T72" s="5"/>
      <c r="U72" s="5">
        <f t="shared" si="20"/>
        <v>0</v>
      </c>
      <c r="V72" s="1"/>
      <c r="W72" s="1">
        <f t="shared" si="21"/>
        <v>60</v>
      </c>
      <c r="X72" s="1">
        <f t="shared" si="19"/>
        <v>60</v>
      </c>
      <c r="Y72" s="1">
        <v>1.2</v>
      </c>
      <c r="Z72" s="1">
        <v>2</v>
      </c>
      <c r="AA72" s="1">
        <v>2</v>
      </c>
      <c r="AB72" s="1">
        <v>0.8</v>
      </c>
      <c r="AC72" s="1">
        <v>0.8</v>
      </c>
      <c r="AD72" s="1">
        <v>1</v>
      </c>
      <c r="AE72" s="1">
        <v>0.8</v>
      </c>
      <c r="AF72" s="1">
        <v>1.4</v>
      </c>
      <c r="AG72" s="1">
        <v>1.8</v>
      </c>
      <c r="AH72" s="1">
        <v>2.2000000000000002</v>
      </c>
      <c r="AI72" s="1"/>
      <c r="AJ72" s="1">
        <f t="shared" si="22"/>
        <v>0</v>
      </c>
      <c r="AK72" s="1">
        <f t="shared" si="23"/>
        <v>1.3090909090909091</v>
      </c>
      <c r="AL72" s="1"/>
      <c r="AM72" s="1"/>
      <c r="AN72" s="1"/>
      <c r="AO72" s="1"/>
      <c r="AP72" s="1"/>
      <c r="AQ72" s="1"/>
    </row>
    <row r="73" spans="1:43" x14ac:dyDescent="0.25">
      <c r="A73" s="1" t="s">
        <v>112</v>
      </c>
      <c r="B73" s="1" t="s">
        <v>37</v>
      </c>
      <c r="C73" s="1">
        <v>251.98699999999999</v>
      </c>
      <c r="D73" s="1">
        <v>330.74799999999999</v>
      </c>
      <c r="E73" s="1">
        <v>301.02199999999999</v>
      </c>
      <c r="F73" s="1">
        <v>230.51499999999999</v>
      </c>
      <c r="G73" s="7">
        <v>1</v>
      </c>
      <c r="H73" s="1">
        <v>30</v>
      </c>
      <c r="I73" s="1" t="s">
        <v>38</v>
      </c>
      <c r="J73" s="1"/>
      <c r="K73" s="1">
        <v>338.58</v>
      </c>
      <c r="L73" s="1">
        <f t="shared" si="17"/>
        <v>-37.557999999999993</v>
      </c>
      <c r="M73" s="1"/>
      <c r="N73" s="1"/>
      <c r="O73" s="1"/>
      <c r="P73" s="1"/>
      <c r="Q73" s="1">
        <v>719.21993000000032</v>
      </c>
      <c r="R73" s="1"/>
      <c r="S73" s="1">
        <f t="shared" si="18"/>
        <v>60.2044</v>
      </c>
      <c r="T73" s="5"/>
      <c r="U73" s="5">
        <f t="shared" si="20"/>
        <v>0</v>
      </c>
      <c r="V73" s="1"/>
      <c r="W73" s="1">
        <f t="shared" si="21"/>
        <v>15.775174738059018</v>
      </c>
      <c r="X73" s="1">
        <f t="shared" si="19"/>
        <v>15.775174738059018</v>
      </c>
      <c r="Y73" s="1">
        <v>77.722000000000008</v>
      </c>
      <c r="Z73" s="1">
        <v>80.553599999999989</v>
      </c>
      <c r="AA73" s="1">
        <v>64.354600000000005</v>
      </c>
      <c r="AB73" s="1">
        <v>60.799799999999998</v>
      </c>
      <c r="AC73" s="1">
        <v>58.539200000000008</v>
      </c>
      <c r="AD73" s="1">
        <v>62.701199999999993</v>
      </c>
      <c r="AE73" s="1">
        <v>68.597200000000001</v>
      </c>
      <c r="AF73" s="1">
        <v>68.655000000000001</v>
      </c>
      <c r="AG73" s="1">
        <v>75.647000000000006</v>
      </c>
      <c r="AH73" s="1">
        <v>85.370399999999989</v>
      </c>
      <c r="AI73" s="1"/>
      <c r="AJ73" s="1">
        <f t="shared" si="22"/>
        <v>0</v>
      </c>
      <c r="AK73" s="1">
        <f t="shared" si="23"/>
        <v>69.376763636363634</v>
      </c>
      <c r="AL73" s="1"/>
      <c r="AM73" s="1"/>
      <c r="AN73" s="1"/>
      <c r="AO73" s="1"/>
      <c r="AP73" s="1"/>
      <c r="AQ73" s="1"/>
    </row>
    <row r="74" spans="1:43" x14ac:dyDescent="0.25">
      <c r="A74" s="1" t="s">
        <v>113</v>
      </c>
      <c r="B74" s="1" t="s">
        <v>42</v>
      </c>
      <c r="C74" s="1">
        <v>143</v>
      </c>
      <c r="D74" s="1">
        <v>232</v>
      </c>
      <c r="E74" s="1">
        <v>127</v>
      </c>
      <c r="F74" s="1">
        <v>238</v>
      </c>
      <c r="G74" s="7">
        <v>0.6</v>
      </c>
      <c r="H74" s="1">
        <v>60</v>
      </c>
      <c r="I74" s="1" t="s">
        <v>38</v>
      </c>
      <c r="J74" s="1"/>
      <c r="K74" s="1">
        <v>133</v>
      </c>
      <c r="L74" s="1">
        <f t="shared" si="17"/>
        <v>-6</v>
      </c>
      <c r="M74" s="1"/>
      <c r="N74" s="1"/>
      <c r="O74" s="1"/>
      <c r="P74" s="1"/>
      <c r="Q74" s="1">
        <v>0</v>
      </c>
      <c r="R74" s="1"/>
      <c r="S74" s="1">
        <f t="shared" si="18"/>
        <v>25.4</v>
      </c>
      <c r="T74" s="5">
        <f t="shared" si="16"/>
        <v>28.699999999999989</v>
      </c>
      <c r="U74" s="5">
        <f t="shared" si="20"/>
        <v>28.699999999999989</v>
      </c>
      <c r="V74" s="1"/>
      <c r="W74" s="1">
        <f t="shared" si="21"/>
        <v>10.5</v>
      </c>
      <c r="X74" s="1">
        <f t="shared" si="19"/>
        <v>9.3700787401574814</v>
      </c>
      <c r="Y74" s="1">
        <v>18.600000000000001</v>
      </c>
      <c r="Z74" s="1">
        <v>32.6</v>
      </c>
      <c r="AA74" s="1">
        <v>24.6</v>
      </c>
      <c r="AB74" s="1">
        <v>15</v>
      </c>
      <c r="AC74" s="1">
        <v>22.8</v>
      </c>
      <c r="AD74" s="1">
        <v>22.4</v>
      </c>
      <c r="AE74" s="1">
        <v>20.6</v>
      </c>
      <c r="AF74" s="1">
        <v>18.399999999999999</v>
      </c>
      <c r="AG74" s="1">
        <v>20</v>
      </c>
      <c r="AH74" s="1">
        <v>22.2</v>
      </c>
      <c r="AI74" s="1"/>
      <c r="AJ74" s="1">
        <f t="shared" si="22"/>
        <v>17</v>
      </c>
      <c r="AK74" s="1">
        <f t="shared" si="23"/>
        <v>22.054545454545455</v>
      </c>
      <c r="AL74" s="1"/>
      <c r="AM74" s="1"/>
      <c r="AN74" s="1"/>
      <c r="AO74" s="1"/>
      <c r="AP74" s="1"/>
      <c r="AQ74" s="1"/>
    </row>
    <row r="75" spans="1:43" x14ac:dyDescent="0.25">
      <c r="A75" s="1" t="s">
        <v>114</v>
      </c>
      <c r="B75" s="1" t="s">
        <v>42</v>
      </c>
      <c r="C75" s="1">
        <v>68</v>
      </c>
      <c r="D75" s="1">
        <v>24</v>
      </c>
      <c r="E75" s="1">
        <v>22</v>
      </c>
      <c r="F75" s="1">
        <v>68</v>
      </c>
      <c r="G75" s="7">
        <v>0.6</v>
      </c>
      <c r="H75" s="1">
        <v>60</v>
      </c>
      <c r="I75" s="1" t="s">
        <v>38</v>
      </c>
      <c r="J75" s="1"/>
      <c r="K75" s="1">
        <v>22</v>
      </c>
      <c r="L75" s="1">
        <f t="shared" si="17"/>
        <v>0</v>
      </c>
      <c r="M75" s="1"/>
      <c r="N75" s="1"/>
      <c r="O75" s="1"/>
      <c r="P75" s="1"/>
      <c r="Q75" s="1">
        <v>0</v>
      </c>
      <c r="R75" s="1"/>
      <c r="S75" s="1">
        <f t="shared" si="18"/>
        <v>4.4000000000000004</v>
      </c>
      <c r="T75" s="5"/>
      <c r="U75" s="5">
        <f t="shared" si="20"/>
        <v>0</v>
      </c>
      <c r="V75" s="1"/>
      <c r="W75" s="1">
        <f t="shared" si="21"/>
        <v>15.454545454545453</v>
      </c>
      <c r="X75" s="1">
        <f t="shared" si="19"/>
        <v>15.454545454545453</v>
      </c>
      <c r="Y75" s="1">
        <v>4</v>
      </c>
      <c r="Z75" s="1">
        <v>5.4</v>
      </c>
      <c r="AA75" s="1">
        <v>5.8</v>
      </c>
      <c r="AB75" s="1">
        <v>4.2</v>
      </c>
      <c r="AC75" s="1">
        <v>4.4000000000000004</v>
      </c>
      <c r="AD75" s="1">
        <v>7.2</v>
      </c>
      <c r="AE75" s="1">
        <v>6.4</v>
      </c>
      <c r="AF75" s="1">
        <v>5.6</v>
      </c>
      <c r="AG75" s="1">
        <v>5.6</v>
      </c>
      <c r="AH75" s="1">
        <v>6.8</v>
      </c>
      <c r="AI75" s="1"/>
      <c r="AJ75" s="1">
        <f t="shared" si="22"/>
        <v>0</v>
      </c>
      <c r="AK75" s="1">
        <f t="shared" si="23"/>
        <v>5.4363636363636365</v>
      </c>
      <c r="AL75" s="1"/>
      <c r="AM75" s="1"/>
      <c r="AN75" s="1"/>
      <c r="AO75" s="1"/>
      <c r="AP75" s="1"/>
      <c r="AQ75" s="1"/>
    </row>
    <row r="76" spans="1:43" x14ac:dyDescent="0.25">
      <c r="A76" s="1" t="s">
        <v>115</v>
      </c>
      <c r="B76" s="1" t="s">
        <v>42</v>
      </c>
      <c r="C76" s="1">
        <v>224</v>
      </c>
      <c r="D76" s="1">
        <v>24</v>
      </c>
      <c r="E76" s="1">
        <v>111</v>
      </c>
      <c r="F76" s="1">
        <v>126</v>
      </c>
      <c r="G76" s="7">
        <v>0.4</v>
      </c>
      <c r="H76" s="1">
        <v>90</v>
      </c>
      <c r="I76" s="1" t="s">
        <v>38</v>
      </c>
      <c r="J76" s="1"/>
      <c r="K76" s="1">
        <v>112</v>
      </c>
      <c r="L76" s="1">
        <f t="shared" si="17"/>
        <v>-1</v>
      </c>
      <c r="M76" s="1"/>
      <c r="N76" s="1"/>
      <c r="O76" s="1"/>
      <c r="P76" s="1"/>
      <c r="Q76" s="1">
        <v>52.600000000000023</v>
      </c>
      <c r="R76" s="1"/>
      <c r="S76" s="1">
        <f t="shared" si="18"/>
        <v>22.2</v>
      </c>
      <c r="T76" s="5">
        <f t="shared" si="16"/>
        <v>54.499999999999972</v>
      </c>
      <c r="U76" s="5">
        <f t="shared" si="20"/>
        <v>54.499999999999972</v>
      </c>
      <c r="V76" s="1"/>
      <c r="W76" s="1">
        <f t="shared" si="21"/>
        <v>10.5</v>
      </c>
      <c r="X76" s="1">
        <f t="shared" si="19"/>
        <v>8.0450450450450468</v>
      </c>
      <c r="Y76" s="1">
        <v>19.8</v>
      </c>
      <c r="Z76" s="1">
        <v>15.6</v>
      </c>
      <c r="AA76" s="1">
        <v>17.8</v>
      </c>
      <c r="AB76" s="1">
        <v>17.2</v>
      </c>
      <c r="AC76" s="1">
        <v>22.6</v>
      </c>
      <c r="AD76" s="1">
        <v>24.6</v>
      </c>
      <c r="AE76" s="1">
        <v>23.8</v>
      </c>
      <c r="AF76" s="1">
        <v>22.8</v>
      </c>
      <c r="AG76" s="1">
        <v>18.8</v>
      </c>
      <c r="AH76" s="1">
        <v>16.399999999999999</v>
      </c>
      <c r="AI76" s="1"/>
      <c r="AJ76" s="1">
        <f t="shared" si="22"/>
        <v>22</v>
      </c>
      <c r="AK76" s="1">
        <f t="shared" si="23"/>
        <v>20.145454545454548</v>
      </c>
      <c r="AL76" s="1"/>
      <c r="AM76" s="1"/>
      <c r="AN76" s="1"/>
      <c r="AO76" s="1"/>
      <c r="AP76" s="1"/>
      <c r="AQ76" s="1"/>
    </row>
    <row r="77" spans="1:43" x14ac:dyDescent="0.25">
      <c r="A77" s="1" t="s">
        <v>116</v>
      </c>
      <c r="B77" s="1" t="s">
        <v>42</v>
      </c>
      <c r="C77" s="1">
        <v>171</v>
      </c>
      <c r="D77" s="1">
        <v>104</v>
      </c>
      <c r="E77" s="1">
        <v>143</v>
      </c>
      <c r="F77" s="1">
        <v>126</v>
      </c>
      <c r="G77" s="7">
        <v>0.33</v>
      </c>
      <c r="H77" s="1">
        <v>60</v>
      </c>
      <c r="I77" s="1" t="s">
        <v>38</v>
      </c>
      <c r="J77" s="1"/>
      <c r="K77" s="1">
        <v>144</v>
      </c>
      <c r="L77" s="1">
        <f t="shared" si="17"/>
        <v>-1</v>
      </c>
      <c r="M77" s="1"/>
      <c r="N77" s="1"/>
      <c r="O77" s="1"/>
      <c r="P77" s="1"/>
      <c r="Q77" s="1">
        <v>89</v>
      </c>
      <c r="R77" s="1"/>
      <c r="S77" s="1">
        <f t="shared" si="18"/>
        <v>28.6</v>
      </c>
      <c r="T77" s="5">
        <f t="shared" si="16"/>
        <v>85.300000000000011</v>
      </c>
      <c r="U77" s="5">
        <f t="shared" si="20"/>
        <v>85.300000000000011</v>
      </c>
      <c r="V77" s="1"/>
      <c r="W77" s="1">
        <f t="shared" si="21"/>
        <v>10.5</v>
      </c>
      <c r="X77" s="1">
        <f t="shared" si="19"/>
        <v>7.5174825174825175</v>
      </c>
      <c r="Y77" s="1">
        <v>23</v>
      </c>
      <c r="Z77" s="1">
        <v>19.2</v>
      </c>
      <c r="AA77" s="1">
        <v>26</v>
      </c>
      <c r="AB77" s="1">
        <v>23.8</v>
      </c>
      <c r="AC77" s="1">
        <v>24.6</v>
      </c>
      <c r="AD77" s="1">
        <v>25.2</v>
      </c>
      <c r="AE77" s="1">
        <v>29</v>
      </c>
      <c r="AF77" s="1">
        <v>31.6</v>
      </c>
      <c r="AG77" s="1">
        <v>21.4</v>
      </c>
      <c r="AH77" s="1">
        <v>17</v>
      </c>
      <c r="AI77" s="1"/>
      <c r="AJ77" s="1">
        <f t="shared" si="22"/>
        <v>28</v>
      </c>
      <c r="AK77" s="1">
        <f t="shared" si="23"/>
        <v>24.490909090909089</v>
      </c>
      <c r="AL77" s="1"/>
      <c r="AM77" s="1"/>
      <c r="AN77" s="1"/>
      <c r="AO77" s="1"/>
      <c r="AP77" s="1"/>
      <c r="AQ77" s="1"/>
    </row>
    <row r="78" spans="1:43" x14ac:dyDescent="0.25">
      <c r="A78" s="1" t="s">
        <v>117</v>
      </c>
      <c r="B78" s="1" t="s">
        <v>42</v>
      </c>
      <c r="C78" s="1">
        <v>88</v>
      </c>
      <c r="D78" s="1">
        <v>153</v>
      </c>
      <c r="E78" s="1">
        <v>115</v>
      </c>
      <c r="F78" s="1">
        <v>116</v>
      </c>
      <c r="G78" s="7">
        <v>0.35</v>
      </c>
      <c r="H78" s="1">
        <v>90</v>
      </c>
      <c r="I78" s="1" t="s">
        <v>38</v>
      </c>
      <c r="J78" s="1"/>
      <c r="K78" s="1">
        <v>117</v>
      </c>
      <c r="L78" s="1">
        <f t="shared" si="17"/>
        <v>-2</v>
      </c>
      <c r="M78" s="1"/>
      <c r="N78" s="1"/>
      <c r="O78" s="1"/>
      <c r="P78" s="1"/>
      <c r="Q78" s="1">
        <v>64</v>
      </c>
      <c r="R78" s="1"/>
      <c r="S78" s="1">
        <f t="shared" si="18"/>
        <v>23</v>
      </c>
      <c r="T78" s="5">
        <f t="shared" si="16"/>
        <v>61.5</v>
      </c>
      <c r="U78" s="5">
        <f t="shared" si="20"/>
        <v>61.5</v>
      </c>
      <c r="V78" s="1"/>
      <c r="W78" s="1">
        <f t="shared" si="21"/>
        <v>10.5</v>
      </c>
      <c r="X78" s="1">
        <f t="shared" si="19"/>
        <v>7.8260869565217392</v>
      </c>
      <c r="Y78" s="1">
        <v>19</v>
      </c>
      <c r="Z78" s="1">
        <v>19.2</v>
      </c>
      <c r="AA78" s="1">
        <v>20.6</v>
      </c>
      <c r="AB78" s="1">
        <v>15.6</v>
      </c>
      <c r="AC78" s="1">
        <v>13.6</v>
      </c>
      <c r="AD78" s="1">
        <v>12.6</v>
      </c>
      <c r="AE78" s="1">
        <v>8.6</v>
      </c>
      <c r="AF78" s="1">
        <v>12.6</v>
      </c>
      <c r="AG78" s="1">
        <v>17</v>
      </c>
      <c r="AH78" s="1">
        <v>9.8000000000000007</v>
      </c>
      <c r="AI78" s="1"/>
      <c r="AJ78" s="1">
        <f t="shared" si="22"/>
        <v>22</v>
      </c>
      <c r="AK78" s="1">
        <f t="shared" si="23"/>
        <v>15.6</v>
      </c>
      <c r="AL78" s="1"/>
      <c r="AM78" s="1"/>
      <c r="AN78" s="1"/>
      <c r="AO78" s="1"/>
      <c r="AP78" s="1"/>
      <c r="AQ78" s="1"/>
    </row>
    <row r="79" spans="1:43" x14ac:dyDescent="0.25">
      <c r="A79" s="1" t="s">
        <v>118</v>
      </c>
      <c r="B79" s="1" t="s">
        <v>42</v>
      </c>
      <c r="C79" s="1">
        <v>562</v>
      </c>
      <c r="D79" s="1">
        <v>540</v>
      </c>
      <c r="E79" s="1">
        <v>396</v>
      </c>
      <c r="F79" s="1">
        <v>681</v>
      </c>
      <c r="G79" s="7">
        <v>0.37</v>
      </c>
      <c r="H79" s="1">
        <v>50</v>
      </c>
      <c r="I79" s="1" t="s">
        <v>38</v>
      </c>
      <c r="J79" s="1"/>
      <c r="K79" s="1">
        <v>408</v>
      </c>
      <c r="L79" s="1">
        <f t="shared" si="17"/>
        <v>-12</v>
      </c>
      <c r="M79" s="1"/>
      <c r="N79" s="1"/>
      <c r="O79" s="1"/>
      <c r="P79" s="1"/>
      <c r="Q79" s="1">
        <v>209.4830000000002</v>
      </c>
      <c r="R79" s="1"/>
      <c r="S79" s="1">
        <f t="shared" si="18"/>
        <v>79.2</v>
      </c>
      <c r="T79" s="5"/>
      <c r="U79" s="5">
        <f t="shared" si="20"/>
        <v>0</v>
      </c>
      <c r="V79" s="1"/>
      <c r="W79" s="1">
        <f t="shared" si="21"/>
        <v>11.243472222222223</v>
      </c>
      <c r="X79" s="1">
        <f t="shared" si="19"/>
        <v>11.243472222222223</v>
      </c>
      <c r="Y79" s="1">
        <v>78.2</v>
      </c>
      <c r="Z79" s="1">
        <v>97.8</v>
      </c>
      <c r="AA79" s="1">
        <v>89.2</v>
      </c>
      <c r="AB79" s="1">
        <v>84.6</v>
      </c>
      <c r="AC79" s="1">
        <v>103.8</v>
      </c>
      <c r="AD79" s="1">
        <v>109.6</v>
      </c>
      <c r="AE79" s="1">
        <v>106.2</v>
      </c>
      <c r="AF79" s="1">
        <v>107.6</v>
      </c>
      <c r="AG79" s="1">
        <v>106.8</v>
      </c>
      <c r="AH79" s="1">
        <v>116.8</v>
      </c>
      <c r="AI79" s="1"/>
      <c r="AJ79" s="1">
        <f t="shared" si="22"/>
        <v>0</v>
      </c>
      <c r="AK79" s="1">
        <f t="shared" si="23"/>
        <v>98.163636363636357</v>
      </c>
      <c r="AL79" s="1"/>
      <c r="AM79" s="1"/>
      <c r="AN79" s="1"/>
      <c r="AO79" s="1"/>
      <c r="AP79" s="1"/>
      <c r="AQ79" s="1"/>
    </row>
    <row r="80" spans="1:43" x14ac:dyDescent="0.25">
      <c r="A80" s="1" t="s">
        <v>119</v>
      </c>
      <c r="B80" s="1" t="s">
        <v>42</v>
      </c>
      <c r="C80" s="1">
        <v>129</v>
      </c>
      <c r="D80" s="1">
        <v>152</v>
      </c>
      <c r="E80" s="1">
        <v>76</v>
      </c>
      <c r="F80" s="1">
        <v>189</v>
      </c>
      <c r="G80" s="7">
        <v>0.6</v>
      </c>
      <c r="H80" s="1">
        <v>70</v>
      </c>
      <c r="I80" s="1" t="s">
        <v>38</v>
      </c>
      <c r="J80" s="1"/>
      <c r="K80" s="1">
        <v>76</v>
      </c>
      <c r="L80" s="1">
        <f t="shared" si="17"/>
        <v>0</v>
      </c>
      <c r="M80" s="1"/>
      <c r="N80" s="1"/>
      <c r="O80" s="1"/>
      <c r="P80" s="1"/>
      <c r="Q80" s="1">
        <v>16.00000000000011</v>
      </c>
      <c r="R80" s="1"/>
      <c r="S80" s="1">
        <f t="shared" si="18"/>
        <v>15.2</v>
      </c>
      <c r="T80" s="5"/>
      <c r="U80" s="5">
        <f t="shared" si="20"/>
        <v>0</v>
      </c>
      <c r="V80" s="1"/>
      <c r="W80" s="1">
        <f t="shared" si="21"/>
        <v>13.486842105263166</v>
      </c>
      <c r="X80" s="1">
        <f t="shared" si="19"/>
        <v>13.486842105263166</v>
      </c>
      <c r="Y80" s="1">
        <v>20.8</v>
      </c>
      <c r="Z80" s="1">
        <v>25.2</v>
      </c>
      <c r="AA80" s="1">
        <v>23</v>
      </c>
      <c r="AB80" s="1">
        <v>22.2</v>
      </c>
      <c r="AC80" s="1">
        <v>20</v>
      </c>
      <c r="AD80" s="1">
        <v>24.4</v>
      </c>
      <c r="AE80" s="1">
        <v>23.6</v>
      </c>
      <c r="AF80" s="1">
        <v>16.2</v>
      </c>
      <c r="AG80" s="1">
        <v>17.600000000000001</v>
      </c>
      <c r="AH80" s="1">
        <v>25.8</v>
      </c>
      <c r="AI80" s="1"/>
      <c r="AJ80" s="1">
        <f t="shared" si="22"/>
        <v>0</v>
      </c>
      <c r="AK80" s="1">
        <f t="shared" si="23"/>
        <v>21.27272727272727</v>
      </c>
      <c r="AL80" s="1"/>
      <c r="AM80" s="1"/>
      <c r="AN80" s="1"/>
      <c r="AO80" s="1"/>
      <c r="AP80" s="1"/>
      <c r="AQ80" s="1"/>
    </row>
    <row r="81" spans="1:43" x14ac:dyDescent="0.25">
      <c r="A81" s="1" t="s">
        <v>120</v>
      </c>
      <c r="B81" s="1" t="s">
        <v>42</v>
      </c>
      <c r="C81" s="1">
        <v>60</v>
      </c>
      <c r="D81" s="1">
        <v>60</v>
      </c>
      <c r="E81" s="1">
        <v>53</v>
      </c>
      <c r="F81" s="1">
        <v>66</v>
      </c>
      <c r="G81" s="7">
        <v>0.33</v>
      </c>
      <c r="H81" s="1">
        <v>40</v>
      </c>
      <c r="I81" s="1" t="s">
        <v>38</v>
      </c>
      <c r="J81" s="1"/>
      <c r="K81" s="1">
        <v>55</v>
      </c>
      <c r="L81" s="1">
        <f t="shared" si="17"/>
        <v>-2</v>
      </c>
      <c r="M81" s="1"/>
      <c r="N81" s="1"/>
      <c r="O81" s="1"/>
      <c r="P81" s="1"/>
      <c r="Q81" s="1">
        <v>38.800000000000011</v>
      </c>
      <c r="R81" s="1"/>
      <c r="S81" s="1">
        <f t="shared" si="18"/>
        <v>10.6</v>
      </c>
      <c r="T81" s="5">
        <f t="shared" si="16"/>
        <v>6.4999999999999858</v>
      </c>
      <c r="U81" s="5">
        <f t="shared" si="20"/>
        <v>6.4999999999999858</v>
      </c>
      <c r="V81" s="1"/>
      <c r="W81" s="1">
        <f t="shared" si="21"/>
        <v>10.5</v>
      </c>
      <c r="X81" s="1">
        <f t="shared" si="19"/>
        <v>9.8867924528301909</v>
      </c>
      <c r="Y81" s="1">
        <v>10.4</v>
      </c>
      <c r="Z81" s="1">
        <v>9</v>
      </c>
      <c r="AA81" s="1">
        <v>8.6</v>
      </c>
      <c r="AB81" s="1">
        <v>6</v>
      </c>
      <c r="AC81" s="1">
        <v>5.6</v>
      </c>
      <c r="AD81" s="1">
        <v>8.4</v>
      </c>
      <c r="AE81" s="1">
        <v>9.8000000000000007</v>
      </c>
      <c r="AF81" s="1">
        <v>6.4</v>
      </c>
      <c r="AG81" s="1">
        <v>3.8</v>
      </c>
      <c r="AH81" s="1">
        <v>3.6</v>
      </c>
      <c r="AI81" s="1"/>
      <c r="AJ81" s="1">
        <f t="shared" si="22"/>
        <v>2</v>
      </c>
      <c r="AK81" s="1">
        <f t="shared" si="23"/>
        <v>7.4727272727272718</v>
      </c>
      <c r="AL81" s="1"/>
      <c r="AM81" s="1"/>
      <c r="AN81" s="1"/>
      <c r="AO81" s="1"/>
      <c r="AP81" s="1"/>
      <c r="AQ81" s="1"/>
    </row>
    <row r="82" spans="1:43" x14ac:dyDescent="0.25">
      <c r="A82" s="1" t="s">
        <v>121</v>
      </c>
      <c r="B82" s="1" t="s">
        <v>42</v>
      </c>
      <c r="C82" s="1">
        <v>204</v>
      </c>
      <c r="D82" s="1">
        <v>431</v>
      </c>
      <c r="E82" s="1">
        <v>210</v>
      </c>
      <c r="F82" s="1">
        <v>406</v>
      </c>
      <c r="G82" s="7">
        <v>0.4</v>
      </c>
      <c r="H82" s="1">
        <v>55</v>
      </c>
      <c r="I82" s="1" t="s">
        <v>38</v>
      </c>
      <c r="J82" s="1"/>
      <c r="K82" s="1">
        <v>222</v>
      </c>
      <c r="L82" s="1">
        <f t="shared" si="17"/>
        <v>-12</v>
      </c>
      <c r="M82" s="1"/>
      <c r="N82" s="1"/>
      <c r="O82" s="1"/>
      <c r="P82" s="1"/>
      <c r="Q82" s="1">
        <v>53.474000000000217</v>
      </c>
      <c r="R82" s="1"/>
      <c r="S82" s="1">
        <f t="shared" si="18"/>
        <v>42</v>
      </c>
      <c r="T82" s="5"/>
      <c r="U82" s="5">
        <f t="shared" si="20"/>
        <v>0</v>
      </c>
      <c r="V82" s="1"/>
      <c r="W82" s="1">
        <f t="shared" si="21"/>
        <v>10.939857142857148</v>
      </c>
      <c r="X82" s="1">
        <f t="shared" si="19"/>
        <v>10.939857142857148</v>
      </c>
      <c r="Y82" s="1">
        <v>46</v>
      </c>
      <c r="Z82" s="1">
        <v>56.4</v>
      </c>
      <c r="AA82" s="1">
        <v>55.4</v>
      </c>
      <c r="AB82" s="1">
        <v>44.8</v>
      </c>
      <c r="AC82" s="1">
        <v>44.8</v>
      </c>
      <c r="AD82" s="1">
        <v>57.4</v>
      </c>
      <c r="AE82" s="1">
        <v>54</v>
      </c>
      <c r="AF82" s="1">
        <v>51.8</v>
      </c>
      <c r="AG82" s="1">
        <v>54.2</v>
      </c>
      <c r="AH82" s="1">
        <v>54.4</v>
      </c>
      <c r="AI82" s="1"/>
      <c r="AJ82" s="1">
        <f t="shared" si="22"/>
        <v>0</v>
      </c>
      <c r="AK82" s="1">
        <f t="shared" si="23"/>
        <v>51.018181818181823</v>
      </c>
      <c r="AL82" s="1"/>
      <c r="AM82" s="1"/>
      <c r="AN82" s="1"/>
      <c r="AO82" s="1"/>
      <c r="AP82" s="1"/>
      <c r="AQ82" s="1"/>
    </row>
    <row r="83" spans="1:43" x14ac:dyDescent="0.25">
      <c r="A83" s="1" t="s">
        <v>122</v>
      </c>
      <c r="B83" s="1" t="s">
        <v>42</v>
      </c>
      <c r="C83" s="1">
        <v>46</v>
      </c>
      <c r="D83" s="1">
        <v>132</v>
      </c>
      <c r="E83" s="1">
        <v>36</v>
      </c>
      <c r="F83" s="1">
        <v>138</v>
      </c>
      <c r="G83" s="7">
        <v>0.35</v>
      </c>
      <c r="H83" s="1">
        <v>40</v>
      </c>
      <c r="I83" s="1" t="s">
        <v>38</v>
      </c>
      <c r="J83" s="1"/>
      <c r="K83" s="1">
        <v>186</v>
      </c>
      <c r="L83" s="1">
        <f t="shared" si="17"/>
        <v>-150</v>
      </c>
      <c r="M83" s="1"/>
      <c r="N83" s="1"/>
      <c r="O83" s="1"/>
      <c r="P83" s="1"/>
      <c r="Q83" s="1">
        <v>44.199999999999989</v>
      </c>
      <c r="R83" s="1"/>
      <c r="S83" s="1">
        <f t="shared" si="18"/>
        <v>7.2</v>
      </c>
      <c r="T83" s="5"/>
      <c r="U83" s="5">
        <f t="shared" si="20"/>
        <v>0</v>
      </c>
      <c r="V83" s="1"/>
      <c r="W83" s="1">
        <f t="shared" si="21"/>
        <v>25.305555555555554</v>
      </c>
      <c r="X83" s="1">
        <f t="shared" si="19"/>
        <v>25.305555555555554</v>
      </c>
      <c r="Y83" s="1">
        <v>14.6</v>
      </c>
      <c r="Z83" s="1">
        <v>29</v>
      </c>
      <c r="AA83" s="1">
        <v>24.2</v>
      </c>
      <c r="AB83" s="1">
        <v>2.6</v>
      </c>
      <c r="AC83" s="1">
        <v>3.6</v>
      </c>
      <c r="AD83" s="1">
        <v>22.4</v>
      </c>
      <c r="AE83" s="1">
        <v>27</v>
      </c>
      <c r="AF83" s="1">
        <v>19.399999999999999</v>
      </c>
      <c r="AG83" s="1">
        <v>20.6</v>
      </c>
      <c r="AH83" s="1">
        <v>15.8</v>
      </c>
      <c r="AI83" s="1"/>
      <c r="AJ83" s="1">
        <f t="shared" si="22"/>
        <v>0</v>
      </c>
      <c r="AK83" s="1">
        <f t="shared" si="23"/>
        <v>16.945454545454542</v>
      </c>
      <c r="AL83" s="1"/>
      <c r="AM83" s="1"/>
      <c r="AN83" s="1"/>
      <c r="AO83" s="1"/>
      <c r="AP83" s="1"/>
      <c r="AQ83" s="1"/>
    </row>
    <row r="84" spans="1:43" x14ac:dyDescent="0.25">
      <c r="A84" s="1" t="s">
        <v>123</v>
      </c>
      <c r="B84" s="1" t="s">
        <v>42</v>
      </c>
      <c r="C84" s="1">
        <v>51</v>
      </c>
      <c r="D84" s="1">
        <v>264</v>
      </c>
      <c r="E84" s="1">
        <v>267</v>
      </c>
      <c r="F84" s="1">
        <v>42</v>
      </c>
      <c r="G84" s="7">
        <v>0.35</v>
      </c>
      <c r="H84" s="1">
        <v>45</v>
      </c>
      <c r="I84" s="1" t="s">
        <v>38</v>
      </c>
      <c r="J84" s="1"/>
      <c r="K84" s="1">
        <v>486</v>
      </c>
      <c r="L84" s="1">
        <f t="shared" si="17"/>
        <v>-219</v>
      </c>
      <c r="M84" s="1"/>
      <c r="N84" s="1"/>
      <c r="O84" s="1"/>
      <c r="P84" s="1"/>
      <c r="Q84" s="1">
        <v>467.8</v>
      </c>
      <c r="R84" s="1"/>
      <c r="S84" s="1">
        <f t="shared" si="18"/>
        <v>53.4</v>
      </c>
      <c r="T84" s="5">
        <f t="shared" si="16"/>
        <v>50.89999999999992</v>
      </c>
      <c r="U84" s="5">
        <f t="shared" si="20"/>
        <v>50.89999999999992</v>
      </c>
      <c r="V84" s="1"/>
      <c r="W84" s="1">
        <f t="shared" si="21"/>
        <v>10.499999999999998</v>
      </c>
      <c r="X84" s="1">
        <f t="shared" si="19"/>
        <v>9.54681647940075</v>
      </c>
      <c r="Y84" s="1">
        <v>61.6</v>
      </c>
      <c r="Z84" s="1">
        <v>61.2</v>
      </c>
      <c r="AA84" s="1">
        <v>44</v>
      </c>
      <c r="AB84" s="1">
        <v>49</v>
      </c>
      <c r="AC84" s="1">
        <v>44.4</v>
      </c>
      <c r="AD84" s="1">
        <v>34.4</v>
      </c>
      <c r="AE84" s="1">
        <v>61.8</v>
      </c>
      <c r="AF84" s="1">
        <v>73.8</v>
      </c>
      <c r="AG84" s="1">
        <v>32.200000000000003</v>
      </c>
      <c r="AH84" s="1">
        <v>16</v>
      </c>
      <c r="AI84" s="1"/>
      <c r="AJ84" s="1">
        <f t="shared" si="22"/>
        <v>18</v>
      </c>
      <c r="AK84" s="1">
        <f t="shared" si="23"/>
        <v>48.345454545454544</v>
      </c>
      <c r="AL84" s="1"/>
      <c r="AM84" s="1"/>
      <c r="AN84" s="1"/>
      <c r="AO84" s="1"/>
      <c r="AP84" s="1"/>
      <c r="AQ84" s="1"/>
    </row>
    <row r="85" spans="1:43" x14ac:dyDescent="0.25">
      <c r="A85" s="1" t="s">
        <v>124</v>
      </c>
      <c r="B85" s="1" t="s">
        <v>42</v>
      </c>
      <c r="C85" s="1">
        <v>271</v>
      </c>
      <c r="D85" s="1"/>
      <c r="E85" s="1">
        <v>199</v>
      </c>
      <c r="F85" s="1">
        <v>72</v>
      </c>
      <c r="G85" s="7">
        <v>0.4</v>
      </c>
      <c r="H85" s="1">
        <v>55</v>
      </c>
      <c r="I85" s="1" t="s">
        <v>38</v>
      </c>
      <c r="J85" s="1"/>
      <c r="K85" s="1">
        <v>199</v>
      </c>
      <c r="L85" s="1">
        <f t="shared" si="17"/>
        <v>0</v>
      </c>
      <c r="M85" s="1"/>
      <c r="N85" s="1"/>
      <c r="O85" s="1"/>
      <c r="P85" s="1"/>
      <c r="Q85" s="1">
        <v>0</v>
      </c>
      <c r="R85" s="1"/>
      <c r="S85" s="1">
        <f t="shared" si="18"/>
        <v>39.799999999999997</v>
      </c>
      <c r="T85" s="5">
        <f>8*S85-R85-Q85-P85-O85-F85</f>
        <v>246.39999999999998</v>
      </c>
      <c r="U85" s="5">
        <f t="shared" si="20"/>
        <v>246.39999999999998</v>
      </c>
      <c r="V85" s="1"/>
      <c r="W85" s="1">
        <f t="shared" si="21"/>
        <v>8</v>
      </c>
      <c r="X85" s="1">
        <f t="shared" si="19"/>
        <v>1.8090452261306533</v>
      </c>
      <c r="Y85" s="1">
        <v>15</v>
      </c>
      <c r="Z85" s="1">
        <v>16</v>
      </c>
      <c r="AA85" s="1">
        <v>28</v>
      </c>
      <c r="AB85" s="1">
        <v>29.8</v>
      </c>
      <c r="AC85" s="1">
        <v>24.2</v>
      </c>
      <c r="AD85" s="1">
        <v>24.2</v>
      </c>
      <c r="AE85" s="1">
        <v>23.4</v>
      </c>
      <c r="AF85" s="1">
        <v>22.2</v>
      </c>
      <c r="AG85" s="1">
        <v>1</v>
      </c>
      <c r="AH85" s="1">
        <v>1</v>
      </c>
      <c r="AI85" s="1"/>
      <c r="AJ85" s="1">
        <f t="shared" si="22"/>
        <v>99</v>
      </c>
      <c r="AK85" s="1">
        <f t="shared" si="23"/>
        <v>20.418181818181814</v>
      </c>
      <c r="AL85" s="1"/>
      <c r="AM85" s="1"/>
      <c r="AN85" s="1"/>
      <c r="AO85" s="1"/>
      <c r="AP85" s="1"/>
      <c r="AQ85" s="1"/>
    </row>
    <row r="86" spans="1:43" x14ac:dyDescent="0.25">
      <c r="A86" s="1" t="s">
        <v>125</v>
      </c>
      <c r="B86" s="1" t="s">
        <v>37</v>
      </c>
      <c r="C86" s="1">
        <v>43</v>
      </c>
      <c r="D86" s="1">
        <v>22.55</v>
      </c>
      <c r="E86" s="1">
        <v>31.077999999999999</v>
      </c>
      <c r="F86" s="1">
        <v>34.472000000000001</v>
      </c>
      <c r="G86" s="7">
        <v>1</v>
      </c>
      <c r="H86" s="1">
        <v>55</v>
      </c>
      <c r="I86" s="1" t="s">
        <v>38</v>
      </c>
      <c r="J86" s="1"/>
      <c r="K86" s="1">
        <v>30.1</v>
      </c>
      <c r="L86" s="1">
        <f t="shared" si="17"/>
        <v>0.97799999999999798</v>
      </c>
      <c r="M86" s="1"/>
      <c r="N86" s="1"/>
      <c r="O86" s="1"/>
      <c r="P86" s="1"/>
      <c r="Q86" s="1">
        <v>57.301200000000009</v>
      </c>
      <c r="R86" s="1"/>
      <c r="S86" s="1">
        <f t="shared" si="18"/>
        <v>6.2156000000000002</v>
      </c>
      <c r="T86" s="5"/>
      <c r="U86" s="5">
        <f t="shared" si="20"/>
        <v>0</v>
      </c>
      <c r="V86" s="1"/>
      <c r="W86" s="1">
        <f t="shared" si="21"/>
        <v>14.764978441341141</v>
      </c>
      <c r="X86" s="1">
        <f t="shared" si="19"/>
        <v>14.764978441341141</v>
      </c>
      <c r="Y86" s="1">
        <v>7.9986000000000006</v>
      </c>
      <c r="Z86" s="1">
        <v>3.4681999999999999</v>
      </c>
      <c r="AA86" s="1">
        <v>1.6208</v>
      </c>
      <c r="AB86" s="1">
        <v>-1.0531999999999999</v>
      </c>
      <c r="AC86" s="1">
        <v>0.1918</v>
      </c>
      <c r="AD86" s="1">
        <v>6.4581999999999997</v>
      </c>
      <c r="AE86" s="1">
        <v>25.799199999999999</v>
      </c>
      <c r="AF86" s="1">
        <v>24.057600000000001</v>
      </c>
      <c r="AG86" s="1">
        <v>4.6172000000000004</v>
      </c>
      <c r="AH86" s="1">
        <v>3.7582</v>
      </c>
      <c r="AI86" s="1"/>
      <c r="AJ86" s="1">
        <f t="shared" si="22"/>
        <v>0</v>
      </c>
      <c r="AK86" s="1">
        <f t="shared" si="23"/>
        <v>7.5574727272727271</v>
      </c>
      <c r="AL86" s="1"/>
      <c r="AM86" s="1"/>
      <c r="AN86" s="1"/>
      <c r="AO86" s="1"/>
      <c r="AP86" s="1"/>
      <c r="AQ86" s="1"/>
    </row>
    <row r="87" spans="1:43" x14ac:dyDescent="0.25">
      <c r="A87" s="11" t="s">
        <v>126</v>
      </c>
      <c r="B87" s="11" t="s">
        <v>42</v>
      </c>
      <c r="C87" s="11">
        <v>27</v>
      </c>
      <c r="D87" s="11"/>
      <c r="E87" s="11">
        <v>20</v>
      </c>
      <c r="F87" s="11">
        <v>7</v>
      </c>
      <c r="G87" s="12">
        <v>0</v>
      </c>
      <c r="H87" s="11">
        <v>55</v>
      </c>
      <c r="I87" s="11" t="s">
        <v>50</v>
      </c>
      <c r="J87" s="11"/>
      <c r="K87" s="11">
        <v>28</v>
      </c>
      <c r="L87" s="11">
        <f t="shared" si="17"/>
        <v>-8</v>
      </c>
      <c r="M87" s="11"/>
      <c r="N87" s="11"/>
      <c r="O87" s="11"/>
      <c r="P87" s="11"/>
      <c r="Q87" s="11">
        <v>0</v>
      </c>
      <c r="R87" s="11"/>
      <c r="S87" s="11">
        <f t="shared" si="18"/>
        <v>4</v>
      </c>
      <c r="T87" s="13"/>
      <c r="U87" s="5">
        <f t="shared" si="20"/>
        <v>0</v>
      </c>
      <c r="V87" s="11"/>
      <c r="W87" s="1">
        <f t="shared" si="21"/>
        <v>1.75</v>
      </c>
      <c r="X87" s="11">
        <f t="shared" si="19"/>
        <v>1.75</v>
      </c>
      <c r="Y87" s="11">
        <v>4</v>
      </c>
      <c r="Z87" s="11">
        <v>6</v>
      </c>
      <c r="AA87" s="11">
        <v>4</v>
      </c>
      <c r="AB87" s="11">
        <v>1.2</v>
      </c>
      <c r="AC87" s="11">
        <v>2</v>
      </c>
      <c r="AD87" s="11">
        <v>2.6</v>
      </c>
      <c r="AE87" s="11">
        <v>4.4000000000000004</v>
      </c>
      <c r="AF87" s="11">
        <v>4</v>
      </c>
      <c r="AG87" s="11">
        <v>3.4</v>
      </c>
      <c r="AH87" s="11">
        <v>2</v>
      </c>
      <c r="AI87" s="11"/>
      <c r="AJ87" s="1">
        <f t="shared" si="22"/>
        <v>0</v>
      </c>
      <c r="AK87" s="1">
        <f t="shared" si="23"/>
        <v>3.4181818181818184</v>
      </c>
      <c r="AL87" s="1"/>
      <c r="AM87" s="1"/>
      <c r="AN87" s="1"/>
      <c r="AO87" s="1"/>
      <c r="AP87" s="1"/>
      <c r="AQ87" s="1"/>
    </row>
    <row r="88" spans="1:43" x14ac:dyDescent="0.25">
      <c r="A88" s="1" t="s">
        <v>127</v>
      </c>
      <c r="B88" s="1" t="s">
        <v>37</v>
      </c>
      <c r="C88" s="1">
        <v>426.99099999999999</v>
      </c>
      <c r="D88" s="1"/>
      <c r="E88" s="1">
        <v>203.41</v>
      </c>
      <c r="F88" s="1">
        <v>216.40299999999999</v>
      </c>
      <c r="G88" s="7">
        <v>1</v>
      </c>
      <c r="H88" s="1">
        <v>55</v>
      </c>
      <c r="I88" s="1" t="s">
        <v>38</v>
      </c>
      <c r="J88" s="1"/>
      <c r="K88" s="1">
        <v>194.27</v>
      </c>
      <c r="L88" s="1">
        <f t="shared" si="17"/>
        <v>9.1399999999999864</v>
      </c>
      <c r="M88" s="1"/>
      <c r="N88" s="1"/>
      <c r="O88" s="1"/>
      <c r="P88" s="1"/>
      <c r="Q88" s="1">
        <v>12.84940000000006</v>
      </c>
      <c r="R88" s="1"/>
      <c r="S88" s="1">
        <f t="shared" si="18"/>
        <v>40.682000000000002</v>
      </c>
      <c r="T88" s="5">
        <f t="shared" ref="T88" si="24">10.5*S88-R88-Q88-P88-O88-F88</f>
        <v>197.90859999999995</v>
      </c>
      <c r="U88" s="5">
        <f t="shared" si="20"/>
        <v>197.90859999999995</v>
      </c>
      <c r="V88" s="1"/>
      <c r="W88" s="1">
        <f t="shared" si="21"/>
        <v>10.5</v>
      </c>
      <c r="X88" s="1">
        <f t="shared" si="19"/>
        <v>5.6352293397571414</v>
      </c>
      <c r="Y88" s="1">
        <v>27.418199999999999</v>
      </c>
      <c r="Z88" s="1">
        <v>33.930599999999998</v>
      </c>
      <c r="AA88" s="1">
        <v>31.181999999999999</v>
      </c>
      <c r="AB88" s="1">
        <v>37.124600000000001</v>
      </c>
      <c r="AC88" s="1">
        <v>49.651200000000003</v>
      </c>
      <c r="AD88" s="1">
        <v>45.2958</v>
      </c>
      <c r="AE88" s="1">
        <v>39.439800000000012</v>
      </c>
      <c r="AF88" s="1">
        <v>39.754800000000003</v>
      </c>
      <c r="AG88" s="1">
        <v>43.838200000000001</v>
      </c>
      <c r="AH88" s="1">
        <v>48.463799999999999</v>
      </c>
      <c r="AI88" s="1"/>
      <c r="AJ88" s="1">
        <f t="shared" si="22"/>
        <v>198</v>
      </c>
      <c r="AK88" s="1">
        <f t="shared" si="23"/>
        <v>39.707363636363631</v>
      </c>
      <c r="AL88" s="1"/>
      <c r="AM88" s="1"/>
      <c r="AN88" s="1"/>
      <c r="AO88" s="1"/>
      <c r="AP88" s="1"/>
      <c r="AQ88" s="1"/>
    </row>
    <row r="89" spans="1:43" x14ac:dyDescent="0.25">
      <c r="A89" s="1" t="s">
        <v>128</v>
      </c>
      <c r="B89" s="1" t="s">
        <v>37</v>
      </c>
      <c r="C89" s="1">
        <v>1075.4079999999999</v>
      </c>
      <c r="D89" s="1">
        <v>1250.723</v>
      </c>
      <c r="E89" s="1">
        <v>821.74400000000003</v>
      </c>
      <c r="F89" s="1">
        <v>1483.4179999999999</v>
      </c>
      <c r="G89" s="7">
        <v>1</v>
      </c>
      <c r="H89" s="1">
        <v>60</v>
      </c>
      <c r="I89" s="1" t="s">
        <v>38</v>
      </c>
      <c r="J89" s="1"/>
      <c r="K89" s="1">
        <v>824.90499999999997</v>
      </c>
      <c r="L89" s="1">
        <f t="shared" si="17"/>
        <v>-3.1609999999999445</v>
      </c>
      <c r="M89" s="1"/>
      <c r="N89" s="1"/>
      <c r="O89" s="1"/>
      <c r="P89" s="1"/>
      <c r="Q89" s="1">
        <v>626.14431500000001</v>
      </c>
      <c r="R89" s="1"/>
      <c r="S89" s="1">
        <f t="shared" si="18"/>
        <v>164.34880000000001</v>
      </c>
      <c r="T89" s="5"/>
      <c r="U89" s="5">
        <f t="shared" si="20"/>
        <v>0</v>
      </c>
      <c r="V89" s="1"/>
      <c r="W89" s="1">
        <f t="shared" si="21"/>
        <v>12.835885111421561</v>
      </c>
      <c r="X89" s="1">
        <f t="shared" si="19"/>
        <v>12.835885111421561</v>
      </c>
      <c r="Y89" s="1">
        <v>171.851</v>
      </c>
      <c r="Z89" s="1">
        <v>176.95820000000001</v>
      </c>
      <c r="AA89" s="1">
        <v>182.36699999999999</v>
      </c>
      <c r="AB89" s="1">
        <v>171.1482</v>
      </c>
      <c r="AC89" s="1">
        <v>171.82579999999999</v>
      </c>
      <c r="AD89" s="1">
        <v>171.11279999999999</v>
      </c>
      <c r="AE89" s="1">
        <v>160.2638</v>
      </c>
      <c r="AF89" s="1">
        <v>168.82660000000001</v>
      </c>
      <c r="AG89" s="1">
        <v>205.5204</v>
      </c>
      <c r="AH89" s="1">
        <v>213.1044</v>
      </c>
      <c r="AI89" s="1"/>
      <c r="AJ89" s="1">
        <f t="shared" si="22"/>
        <v>0</v>
      </c>
      <c r="AK89" s="1">
        <f t="shared" si="23"/>
        <v>177.93881818181816</v>
      </c>
      <c r="AL89" s="1"/>
      <c r="AM89" s="1"/>
      <c r="AN89" s="1"/>
      <c r="AO89" s="1"/>
      <c r="AP89" s="1"/>
      <c r="AQ89" s="1"/>
    </row>
    <row r="90" spans="1:43" x14ac:dyDescent="0.25">
      <c r="A90" s="11" t="s">
        <v>129</v>
      </c>
      <c r="B90" s="11" t="s">
        <v>42</v>
      </c>
      <c r="C90" s="11"/>
      <c r="D90" s="11"/>
      <c r="E90" s="11"/>
      <c r="F90" s="11"/>
      <c r="G90" s="12">
        <v>0</v>
      </c>
      <c r="H90" s="11"/>
      <c r="I90" s="11" t="s">
        <v>38</v>
      </c>
      <c r="J90" s="11"/>
      <c r="K90" s="11"/>
      <c r="L90" s="11">
        <f t="shared" si="17"/>
        <v>0</v>
      </c>
      <c r="M90" s="11"/>
      <c r="N90" s="11"/>
      <c r="O90" s="11"/>
      <c r="P90" s="11"/>
      <c r="Q90" s="11">
        <v>0</v>
      </c>
      <c r="R90" s="11"/>
      <c r="S90" s="11">
        <f t="shared" si="18"/>
        <v>0</v>
      </c>
      <c r="T90" s="13"/>
      <c r="U90" s="5">
        <f t="shared" si="20"/>
        <v>0</v>
      </c>
      <c r="V90" s="11"/>
      <c r="W90" s="1" t="e">
        <f t="shared" si="21"/>
        <v>#DIV/0!</v>
      </c>
      <c r="X90" s="11" t="e">
        <f t="shared" si="19"/>
        <v>#DIV/0!</v>
      </c>
      <c r="Y90" s="11">
        <v>0</v>
      </c>
      <c r="Z90" s="11">
        <v>0</v>
      </c>
      <c r="AA90" s="11">
        <v>0</v>
      </c>
      <c r="AB90" s="11">
        <v>0</v>
      </c>
      <c r="AC90" s="11">
        <v>0</v>
      </c>
      <c r="AD90" s="11">
        <v>0</v>
      </c>
      <c r="AE90" s="11">
        <v>0</v>
      </c>
      <c r="AF90" s="11">
        <v>0</v>
      </c>
      <c r="AG90" s="11">
        <v>0</v>
      </c>
      <c r="AH90" s="11">
        <v>0</v>
      </c>
      <c r="AI90" s="11" t="s">
        <v>43</v>
      </c>
      <c r="AJ90" s="1">
        <f t="shared" si="22"/>
        <v>0</v>
      </c>
      <c r="AK90" s="1">
        <f t="shared" si="23"/>
        <v>0</v>
      </c>
      <c r="AL90" s="1"/>
      <c r="AM90" s="1"/>
      <c r="AN90" s="1"/>
      <c r="AO90" s="1"/>
      <c r="AP90" s="1"/>
      <c r="AQ90" s="1"/>
    </row>
    <row r="91" spans="1:43" x14ac:dyDescent="0.25">
      <c r="A91" s="1" t="s">
        <v>130</v>
      </c>
      <c r="B91" s="1" t="s">
        <v>37</v>
      </c>
      <c r="C91" s="1">
        <v>2513.4479999999999</v>
      </c>
      <c r="D91" s="1">
        <v>2453.337</v>
      </c>
      <c r="E91" s="1">
        <v>1955.896</v>
      </c>
      <c r="F91" s="1">
        <v>2898.5360000000001</v>
      </c>
      <c r="G91" s="7">
        <v>1</v>
      </c>
      <c r="H91" s="1">
        <v>60</v>
      </c>
      <c r="I91" s="1" t="s">
        <v>38</v>
      </c>
      <c r="J91" s="1"/>
      <c r="K91" s="1">
        <v>1998.35</v>
      </c>
      <c r="L91" s="1">
        <f t="shared" si="17"/>
        <v>-42.453999999999951</v>
      </c>
      <c r="M91" s="1"/>
      <c r="N91" s="1"/>
      <c r="O91" s="1">
        <v>1900</v>
      </c>
      <c r="P91" s="1"/>
      <c r="Q91" s="1">
        <v>0</v>
      </c>
      <c r="R91" s="1"/>
      <c r="S91" s="1">
        <f t="shared" si="18"/>
        <v>391.17919999999998</v>
      </c>
      <c r="T91" s="5"/>
      <c r="U91" s="20">
        <v>500</v>
      </c>
      <c r="V91" s="1"/>
      <c r="W91" s="1">
        <f t="shared" si="21"/>
        <v>13.545035114341459</v>
      </c>
      <c r="X91" s="1">
        <f t="shared" si="19"/>
        <v>12.266848544094369</v>
      </c>
      <c r="Y91" s="1">
        <v>446.94080000000002</v>
      </c>
      <c r="Z91" s="1">
        <v>458.49939999999998</v>
      </c>
      <c r="AA91" s="1">
        <v>436.01319999999998</v>
      </c>
      <c r="AB91" s="1">
        <v>426.09260000000012</v>
      </c>
      <c r="AC91" s="1">
        <v>436.69299999999998</v>
      </c>
      <c r="AD91" s="1">
        <v>425.26580000000001</v>
      </c>
      <c r="AE91" s="1">
        <v>383.94839999999999</v>
      </c>
      <c r="AF91" s="1">
        <v>385.58100000000002</v>
      </c>
      <c r="AG91" s="1">
        <v>416.45319999999998</v>
      </c>
      <c r="AH91" s="1">
        <v>410.62759999999997</v>
      </c>
      <c r="AI91" s="1"/>
      <c r="AJ91" s="1">
        <f t="shared" si="22"/>
        <v>500</v>
      </c>
      <c r="AK91" s="1">
        <f t="shared" si="23"/>
        <v>419.75401818181814</v>
      </c>
      <c r="AL91" s="1"/>
      <c r="AM91" s="1"/>
      <c r="AN91" s="1"/>
      <c r="AO91" s="1"/>
      <c r="AP91" s="1"/>
      <c r="AQ91" s="1"/>
    </row>
    <row r="92" spans="1:43" x14ac:dyDescent="0.25">
      <c r="A92" s="1" t="s">
        <v>131</v>
      </c>
      <c r="B92" s="1" t="s">
        <v>37</v>
      </c>
      <c r="C92" s="1">
        <v>4794.2060000000001</v>
      </c>
      <c r="D92" s="1">
        <v>3644.3380000000002</v>
      </c>
      <c r="E92" s="1">
        <v>2006.606</v>
      </c>
      <c r="F92" s="1">
        <v>6340.1329999999998</v>
      </c>
      <c r="G92" s="7">
        <v>1</v>
      </c>
      <c r="H92" s="1">
        <v>60</v>
      </c>
      <c r="I92" s="1" t="s">
        <v>38</v>
      </c>
      <c r="J92" s="1"/>
      <c r="K92" s="1">
        <v>2032.9</v>
      </c>
      <c r="L92" s="1">
        <f t="shared" si="17"/>
        <v>-26.294000000000096</v>
      </c>
      <c r="M92" s="1"/>
      <c r="N92" s="1"/>
      <c r="O92" s="1"/>
      <c r="P92" s="1">
        <v>630</v>
      </c>
      <c r="Q92" s="1">
        <v>0</v>
      </c>
      <c r="R92" s="1">
        <v>800</v>
      </c>
      <c r="S92" s="1">
        <f t="shared" si="18"/>
        <v>401.32119999999998</v>
      </c>
      <c r="T92" s="5"/>
      <c r="U92" s="5">
        <f t="shared" si="20"/>
        <v>0</v>
      </c>
      <c r="V92" s="1"/>
      <c r="W92" s="1">
        <f t="shared" si="21"/>
        <v>19.361381855730524</v>
      </c>
      <c r="X92" s="1">
        <f t="shared" si="19"/>
        <v>19.361381855730524</v>
      </c>
      <c r="Y92" s="1">
        <v>409.54320000000001</v>
      </c>
      <c r="Z92" s="1">
        <v>447.65519999999998</v>
      </c>
      <c r="AA92" s="1">
        <v>530.02260000000001</v>
      </c>
      <c r="AB92" s="1">
        <v>493.26420000000002</v>
      </c>
      <c r="AC92" s="1">
        <v>455.58280000000002</v>
      </c>
      <c r="AD92" s="1">
        <v>513.62299999999993</v>
      </c>
      <c r="AE92" s="1">
        <v>557.21199999999999</v>
      </c>
      <c r="AF92" s="1">
        <v>534.47</v>
      </c>
      <c r="AG92" s="1">
        <v>581.125</v>
      </c>
      <c r="AH92" s="1">
        <v>584.60559999999998</v>
      </c>
      <c r="AI92" s="1"/>
      <c r="AJ92" s="1">
        <f t="shared" si="22"/>
        <v>0</v>
      </c>
      <c r="AK92" s="1">
        <f t="shared" si="23"/>
        <v>500.76589090909096</v>
      </c>
      <c r="AL92" s="1"/>
      <c r="AM92" s="1"/>
      <c r="AN92" s="1"/>
      <c r="AO92" s="1"/>
      <c r="AP92" s="1"/>
      <c r="AQ92" s="1"/>
    </row>
    <row r="93" spans="1:43" x14ac:dyDescent="0.25">
      <c r="A93" s="1" t="s">
        <v>132</v>
      </c>
      <c r="B93" s="1" t="s">
        <v>37</v>
      </c>
      <c r="C93" s="1">
        <v>6116.6040000000003</v>
      </c>
      <c r="D93" s="1">
        <v>5891.0590000000002</v>
      </c>
      <c r="E93" s="1">
        <v>2926.0949999999998</v>
      </c>
      <c r="F93" s="1">
        <v>8960.1720000000005</v>
      </c>
      <c r="G93" s="7">
        <v>1</v>
      </c>
      <c r="H93" s="1">
        <v>60</v>
      </c>
      <c r="I93" s="1" t="s">
        <v>38</v>
      </c>
      <c r="J93" s="1"/>
      <c r="K93" s="1">
        <v>2966.75</v>
      </c>
      <c r="L93" s="1">
        <f t="shared" si="17"/>
        <v>-40.6550000000002</v>
      </c>
      <c r="M93" s="1"/>
      <c r="N93" s="1"/>
      <c r="O93" s="1">
        <v>500</v>
      </c>
      <c r="P93" s="1">
        <v>240</v>
      </c>
      <c r="Q93" s="1">
        <v>0</v>
      </c>
      <c r="R93" s="1">
        <v>1200</v>
      </c>
      <c r="S93" s="1">
        <f t="shared" si="18"/>
        <v>585.21899999999994</v>
      </c>
      <c r="T93" s="5"/>
      <c r="U93" s="5">
        <f t="shared" si="20"/>
        <v>0</v>
      </c>
      <c r="V93" s="1"/>
      <c r="W93" s="1">
        <f t="shared" si="21"/>
        <v>18.625799914220149</v>
      </c>
      <c r="X93" s="1">
        <f t="shared" si="19"/>
        <v>18.625799914220149</v>
      </c>
      <c r="Y93" s="1">
        <v>581.18280000000004</v>
      </c>
      <c r="Z93" s="1">
        <v>622.20299999999997</v>
      </c>
      <c r="AA93" s="1">
        <v>586.15959999999995</v>
      </c>
      <c r="AB93" s="1">
        <v>578.34320000000002</v>
      </c>
      <c r="AC93" s="1">
        <v>607.92340000000002</v>
      </c>
      <c r="AD93" s="1">
        <v>613.33459999999991</v>
      </c>
      <c r="AE93" s="1">
        <v>604.15620000000001</v>
      </c>
      <c r="AF93" s="1">
        <v>555.69460000000004</v>
      </c>
      <c r="AG93" s="1">
        <v>579.61239999999998</v>
      </c>
      <c r="AH93" s="1">
        <v>611.62079999999992</v>
      </c>
      <c r="AI93" s="1"/>
      <c r="AJ93" s="1">
        <f t="shared" si="22"/>
        <v>0</v>
      </c>
      <c r="AK93" s="1">
        <f t="shared" si="23"/>
        <v>593.22269090909094</v>
      </c>
      <c r="AL93" s="1"/>
      <c r="AM93" s="1"/>
      <c r="AN93" s="1"/>
      <c r="AO93" s="1"/>
      <c r="AP93" s="1"/>
      <c r="AQ93" s="1"/>
    </row>
    <row r="94" spans="1:43" x14ac:dyDescent="0.25">
      <c r="A94" s="1" t="s">
        <v>133</v>
      </c>
      <c r="B94" s="1" t="s">
        <v>37</v>
      </c>
      <c r="C94" s="1">
        <v>130.24</v>
      </c>
      <c r="D94" s="1"/>
      <c r="E94" s="1">
        <v>44.597999999999999</v>
      </c>
      <c r="F94" s="1">
        <v>85.641999999999996</v>
      </c>
      <c r="G94" s="7">
        <v>1</v>
      </c>
      <c r="H94" s="1">
        <v>55</v>
      </c>
      <c r="I94" s="1" t="s">
        <v>38</v>
      </c>
      <c r="J94" s="1"/>
      <c r="K94" s="1">
        <v>39</v>
      </c>
      <c r="L94" s="1">
        <f t="shared" si="17"/>
        <v>5.597999999999999</v>
      </c>
      <c r="M94" s="1"/>
      <c r="N94" s="1"/>
      <c r="O94" s="1"/>
      <c r="P94" s="1"/>
      <c r="Q94" s="1">
        <v>7.5468000000000046</v>
      </c>
      <c r="R94" s="1"/>
      <c r="S94" s="1">
        <f t="shared" si="18"/>
        <v>8.9195999999999991</v>
      </c>
      <c r="T94" s="5">
        <v>10</v>
      </c>
      <c r="U94" s="5">
        <f t="shared" si="20"/>
        <v>10</v>
      </c>
      <c r="V94" s="1"/>
      <c r="W94" s="1">
        <f t="shared" si="21"/>
        <v>11.568769899995516</v>
      </c>
      <c r="X94" s="1">
        <f t="shared" si="19"/>
        <v>10.447643392080364</v>
      </c>
      <c r="Y94" s="1">
        <v>9.2284000000000006</v>
      </c>
      <c r="Z94" s="1">
        <v>8.9586000000000006</v>
      </c>
      <c r="AA94" s="1">
        <v>7.3046000000000006</v>
      </c>
      <c r="AB94" s="1">
        <v>6.6986000000000008</v>
      </c>
      <c r="AC94" s="1">
        <v>4.5375999999999994</v>
      </c>
      <c r="AD94" s="1">
        <v>4.6059999999999999</v>
      </c>
      <c r="AE94" s="1">
        <v>19.7072</v>
      </c>
      <c r="AF94" s="1">
        <v>20.521999999999998</v>
      </c>
      <c r="AG94" s="1">
        <v>0.54480000000000006</v>
      </c>
      <c r="AH94" s="1">
        <v>0.27479999999999999</v>
      </c>
      <c r="AI94" s="1"/>
      <c r="AJ94" s="1">
        <f t="shared" si="22"/>
        <v>10</v>
      </c>
      <c r="AK94" s="1">
        <f t="shared" si="23"/>
        <v>8.3002000000000002</v>
      </c>
      <c r="AL94" s="1"/>
      <c r="AM94" s="1"/>
      <c r="AN94" s="1"/>
      <c r="AO94" s="1"/>
      <c r="AP94" s="1"/>
      <c r="AQ94" s="1"/>
    </row>
    <row r="95" spans="1:43" x14ac:dyDescent="0.25">
      <c r="A95" s="11" t="s">
        <v>134</v>
      </c>
      <c r="B95" s="11" t="s">
        <v>37</v>
      </c>
      <c r="C95" s="11">
        <v>47.302</v>
      </c>
      <c r="D95" s="11"/>
      <c r="E95" s="11">
        <v>18.925999999999998</v>
      </c>
      <c r="F95" s="11">
        <v>27.006</v>
      </c>
      <c r="G95" s="12">
        <v>0</v>
      </c>
      <c r="H95" s="11">
        <v>55</v>
      </c>
      <c r="I95" s="11" t="s">
        <v>50</v>
      </c>
      <c r="J95" s="11"/>
      <c r="K95" s="11">
        <v>18.3</v>
      </c>
      <c r="L95" s="11">
        <f t="shared" si="17"/>
        <v>0.62599999999999767</v>
      </c>
      <c r="M95" s="11"/>
      <c r="N95" s="11"/>
      <c r="O95" s="11"/>
      <c r="P95" s="11"/>
      <c r="Q95" s="11">
        <v>0</v>
      </c>
      <c r="R95" s="11"/>
      <c r="S95" s="11">
        <f t="shared" si="18"/>
        <v>3.7851999999999997</v>
      </c>
      <c r="T95" s="13"/>
      <c r="U95" s="5">
        <f t="shared" si="20"/>
        <v>0</v>
      </c>
      <c r="V95" s="11"/>
      <c r="W95" s="1">
        <f t="shared" si="21"/>
        <v>7.1346296100602355</v>
      </c>
      <c r="X95" s="11">
        <f t="shared" si="19"/>
        <v>7.1346296100602355</v>
      </c>
      <c r="Y95" s="11">
        <v>3.2425999999999999</v>
      </c>
      <c r="Z95" s="11">
        <v>3.4236</v>
      </c>
      <c r="AA95" s="11">
        <v>2.371</v>
      </c>
      <c r="AB95" s="11">
        <v>2.0373999999999999</v>
      </c>
      <c r="AC95" s="11">
        <v>2.5638000000000001</v>
      </c>
      <c r="AD95" s="11">
        <v>4.1109999999999998</v>
      </c>
      <c r="AE95" s="11">
        <v>5.1212</v>
      </c>
      <c r="AF95" s="11">
        <v>5.0456000000000003</v>
      </c>
      <c r="AG95" s="11">
        <v>4.5573999999999986</v>
      </c>
      <c r="AH95" s="11">
        <v>4.0289999999999999</v>
      </c>
      <c r="AI95" s="10" t="s">
        <v>83</v>
      </c>
      <c r="AJ95" s="1">
        <f t="shared" si="22"/>
        <v>0</v>
      </c>
      <c r="AK95" s="1">
        <f t="shared" si="23"/>
        <v>3.6625272727272731</v>
      </c>
      <c r="AL95" s="1"/>
      <c r="AM95" s="1"/>
      <c r="AN95" s="1"/>
      <c r="AO95" s="1"/>
      <c r="AP95" s="1"/>
      <c r="AQ95" s="1"/>
    </row>
    <row r="96" spans="1:43" x14ac:dyDescent="0.25">
      <c r="A96" s="11" t="s">
        <v>135</v>
      </c>
      <c r="B96" s="11" t="s">
        <v>37</v>
      </c>
      <c r="C96" s="11">
        <v>353.65499999999997</v>
      </c>
      <c r="D96" s="11"/>
      <c r="E96" s="11">
        <v>10.461</v>
      </c>
      <c r="F96" s="11"/>
      <c r="G96" s="12">
        <v>0</v>
      </c>
      <c r="H96" s="11"/>
      <c r="I96" s="11" t="s">
        <v>50</v>
      </c>
      <c r="J96" s="11"/>
      <c r="K96" s="11">
        <v>10.4</v>
      </c>
      <c r="L96" s="11">
        <f t="shared" si="17"/>
        <v>6.0999999999999943E-2</v>
      </c>
      <c r="M96" s="11"/>
      <c r="N96" s="11"/>
      <c r="O96" s="11"/>
      <c r="P96" s="11"/>
      <c r="Q96" s="11">
        <v>0</v>
      </c>
      <c r="R96" s="11"/>
      <c r="S96" s="11">
        <f t="shared" si="18"/>
        <v>2.0922000000000001</v>
      </c>
      <c r="T96" s="13"/>
      <c r="U96" s="5">
        <f t="shared" si="20"/>
        <v>0</v>
      </c>
      <c r="V96" s="11"/>
      <c r="W96" s="1">
        <f t="shared" si="21"/>
        <v>0</v>
      </c>
      <c r="X96" s="11">
        <f t="shared" si="19"/>
        <v>0</v>
      </c>
      <c r="Y96" s="11">
        <v>1.0766</v>
      </c>
      <c r="Z96" s="11">
        <v>1.0766</v>
      </c>
      <c r="AA96" s="11">
        <v>1.8908</v>
      </c>
      <c r="AB96" s="11">
        <v>4.3494000000000002</v>
      </c>
      <c r="AC96" s="11">
        <v>2.9916</v>
      </c>
      <c r="AD96" s="11">
        <v>1.0693999999999999</v>
      </c>
      <c r="AE96" s="11">
        <v>0</v>
      </c>
      <c r="AF96" s="11">
        <v>0</v>
      </c>
      <c r="AG96" s="11">
        <v>0</v>
      </c>
      <c r="AH96" s="11">
        <v>0</v>
      </c>
      <c r="AI96" s="14" t="s">
        <v>136</v>
      </c>
      <c r="AJ96" s="1">
        <f t="shared" si="22"/>
        <v>0</v>
      </c>
      <c r="AK96" s="1">
        <f t="shared" si="23"/>
        <v>1.3224181818181817</v>
      </c>
      <c r="AL96" s="1"/>
      <c r="AM96" s="1"/>
      <c r="AN96" s="1"/>
      <c r="AO96" s="1"/>
      <c r="AP96" s="1"/>
      <c r="AQ96" s="1"/>
    </row>
    <row r="97" spans="1:43" x14ac:dyDescent="0.25">
      <c r="A97" s="1" t="s">
        <v>137</v>
      </c>
      <c r="B97" s="1" t="s">
        <v>42</v>
      </c>
      <c r="C97" s="1">
        <v>-6</v>
      </c>
      <c r="D97" s="1">
        <v>432</v>
      </c>
      <c r="E97" s="1">
        <v>24</v>
      </c>
      <c r="F97" s="1">
        <v>361</v>
      </c>
      <c r="G97" s="7">
        <v>0.3</v>
      </c>
      <c r="H97" s="1">
        <v>40</v>
      </c>
      <c r="I97" s="1" t="s">
        <v>38</v>
      </c>
      <c r="J97" s="1"/>
      <c r="K97" s="1">
        <v>50</v>
      </c>
      <c r="L97" s="1">
        <f t="shared" si="17"/>
        <v>-26</v>
      </c>
      <c r="M97" s="1"/>
      <c r="N97" s="1"/>
      <c r="O97" s="1"/>
      <c r="P97" s="1"/>
      <c r="Q97" s="1">
        <v>200</v>
      </c>
      <c r="R97" s="1"/>
      <c r="S97" s="1">
        <f t="shared" si="18"/>
        <v>4.8</v>
      </c>
      <c r="T97" s="5"/>
      <c r="U97" s="5">
        <f t="shared" si="20"/>
        <v>0</v>
      </c>
      <c r="V97" s="1"/>
      <c r="W97" s="1">
        <f t="shared" si="21"/>
        <v>116.875</v>
      </c>
      <c r="X97" s="1">
        <f t="shared" si="19"/>
        <v>116.875</v>
      </c>
      <c r="Y97" s="1">
        <v>28.8</v>
      </c>
      <c r="Z97" s="1">
        <v>65.400000000000006</v>
      </c>
      <c r="AA97" s="1">
        <v>70.8</v>
      </c>
      <c r="AB97" s="1">
        <v>52.8</v>
      </c>
      <c r="AC97" s="1">
        <v>41.2</v>
      </c>
      <c r="AD97" s="1">
        <v>41.8</v>
      </c>
      <c r="AE97" s="1">
        <v>41.6</v>
      </c>
      <c r="AF97" s="1">
        <v>37.4</v>
      </c>
      <c r="AG97" s="1">
        <v>36.6</v>
      </c>
      <c r="AH97" s="1">
        <v>44.6</v>
      </c>
      <c r="AI97" s="1"/>
      <c r="AJ97" s="1">
        <f t="shared" si="22"/>
        <v>0</v>
      </c>
      <c r="AK97" s="1">
        <f t="shared" si="23"/>
        <v>42.345454545454551</v>
      </c>
      <c r="AL97" s="1"/>
      <c r="AM97" s="1"/>
      <c r="AN97" s="1"/>
      <c r="AO97" s="1"/>
      <c r="AP97" s="1"/>
      <c r="AQ97" s="1"/>
    </row>
    <row r="98" spans="1:43" x14ac:dyDescent="0.25">
      <c r="A98" s="1" t="s">
        <v>138</v>
      </c>
      <c r="B98" s="1" t="s">
        <v>42</v>
      </c>
      <c r="C98" s="1">
        <v>56</v>
      </c>
      <c r="D98" s="1">
        <v>324</v>
      </c>
      <c r="E98" s="1">
        <v>386</v>
      </c>
      <c r="F98" s="1">
        <v>-11</v>
      </c>
      <c r="G98" s="7">
        <v>0.3</v>
      </c>
      <c r="H98" s="1">
        <v>40</v>
      </c>
      <c r="I98" s="1" t="s">
        <v>38</v>
      </c>
      <c r="J98" s="1"/>
      <c r="K98" s="1">
        <v>390</v>
      </c>
      <c r="L98" s="1">
        <f t="shared" si="17"/>
        <v>-4</v>
      </c>
      <c r="M98" s="1"/>
      <c r="N98" s="1"/>
      <c r="O98" s="1"/>
      <c r="P98" s="1"/>
      <c r="Q98" s="1">
        <v>199.2</v>
      </c>
      <c r="R98" s="1"/>
      <c r="S98" s="1">
        <f t="shared" si="18"/>
        <v>77.2</v>
      </c>
      <c r="T98" s="5">
        <f>8*S98-R98-Q98-P98-O98-F98</f>
        <v>429.40000000000003</v>
      </c>
      <c r="U98" s="5">
        <f t="shared" si="20"/>
        <v>429.40000000000003</v>
      </c>
      <c r="V98" s="1"/>
      <c r="W98" s="1">
        <f t="shared" si="21"/>
        <v>8</v>
      </c>
      <c r="X98" s="1">
        <f t="shared" si="19"/>
        <v>2.437823834196891</v>
      </c>
      <c r="Y98" s="1">
        <v>35.6</v>
      </c>
      <c r="Z98" s="1">
        <v>32.200000000000003</v>
      </c>
      <c r="AA98" s="1">
        <v>46.4</v>
      </c>
      <c r="AB98" s="1">
        <v>46.4</v>
      </c>
      <c r="AC98" s="1">
        <v>33.799999999999997</v>
      </c>
      <c r="AD98" s="1">
        <v>35</v>
      </c>
      <c r="AE98" s="1">
        <v>38.799999999999997</v>
      </c>
      <c r="AF98" s="1">
        <v>41.6</v>
      </c>
      <c r="AG98" s="1">
        <v>11.8</v>
      </c>
      <c r="AH98" s="1">
        <v>3.2</v>
      </c>
      <c r="AI98" s="1"/>
      <c r="AJ98" s="1">
        <f t="shared" si="22"/>
        <v>129</v>
      </c>
      <c r="AK98" s="1">
        <f t="shared" si="23"/>
        <v>36.545454545454554</v>
      </c>
      <c r="AL98" s="1"/>
      <c r="AM98" s="1"/>
      <c r="AN98" s="1"/>
      <c r="AO98" s="1"/>
      <c r="AP98" s="1"/>
      <c r="AQ98" s="1"/>
    </row>
    <row r="99" spans="1:43" x14ac:dyDescent="0.25">
      <c r="A99" s="11" t="s">
        <v>139</v>
      </c>
      <c r="B99" s="11" t="s">
        <v>42</v>
      </c>
      <c r="C99" s="11"/>
      <c r="D99" s="11"/>
      <c r="E99" s="11"/>
      <c r="F99" s="11"/>
      <c r="G99" s="12">
        <v>0</v>
      </c>
      <c r="H99" s="11"/>
      <c r="I99" s="11" t="s">
        <v>38</v>
      </c>
      <c r="J99" s="11"/>
      <c r="K99" s="11">
        <v>11</v>
      </c>
      <c r="L99" s="11">
        <f t="shared" si="17"/>
        <v>-11</v>
      </c>
      <c r="M99" s="11"/>
      <c r="N99" s="11"/>
      <c r="O99" s="11"/>
      <c r="P99" s="11"/>
      <c r="Q99" s="11">
        <v>0</v>
      </c>
      <c r="R99" s="11"/>
      <c r="S99" s="11">
        <f t="shared" si="18"/>
        <v>0</v>
      </c>
      <c r="T99" s="13"/>
      <c r="U99" s="5">
        <f t="shared" si="20"/>
        <v>0</v>
      </c>
      <c r="V99" s="11"/>
      <c r="W99" s="1" t="e">
        <f t="shared" si="21"/>
        <v>#DIV/0!</v>
      </c>
      <c r="X99" s="11" t="e">
        <f t="shared" si="19"/>
        <v>#DIV/0!</v>
      </c>
      <c r="Y99" s="11">
        <v>0</v>
      </c>
      <c r="Z99" s="11">
        <v>0</v>
      </c>
      <c r="AA99" s="11">
        <v>0</v>
      </c>
      <c r="AB99" s="11">
        <v>0</v>
      </c>
      <c r="AC99" s="11">
        <v>0</v>
      </c>
      <c r="AD99" s="11">
        <v>0</v>
      </c>
      <c r="AE99" s="11">
        <v>0</v>
      </c>
      <c r="AF99" s="11">
        <v>0</v>
      </c>
      <c r="AG99" s="11">
        <v>0</v>
      </c>
      <c r="AH99" s="11">
        <v>0</v>
      </c>
      <c r="AI99" s="11" t="s">
        <v>43</v>
      </c>
      <c r="AJ99" s="1">
        <f t="shared" si="22"/>
        <v>0</v>
      </c>
      <c r="AK99" s="1">
        <f t="shared" si="23"/>
        <v>0</v>
      </c>
      <c r="AL99" s="1"/>
      <c r="AM99" s="1"/>
      <c r="AN99" s="1"/>
      <c r="AO99" s="1"/>
      <c r="AP99" s="1"/>
      <c r="AQ99" s="1"/>
    </row>
    <row r="100" spans="1:43" x14ac:dyDescent="0.25">
      <c r="A100" s="1" t="s">
        <v>140</v>
      </c>
      <c r="B100" s="1" t="s">
        <v>42</v>
      </c>
      <c r="C100" s="1">
        <v>258</v>
      </c>
      <c r="D100" s="1"/>
      <c r="E100" s="1">
        <v>220</v>
      </c>
      <c r="F100" s="1">
        <v>22</v>
      </c>
      <c r="G100" s="7">
        <v>7.0000000000000007E-2</v>
      </c>
      <c r="H100" s="1">
        <v>90</v>
      </c>
      <c r="I100" s="1" t="s">
        <v>38</v>
      </c>
      <c r="J100" s="1"/>
      <c r="K100" s="1">
        <v>225</v>
      </c>
      <c r="L100" s="1">
        <f t="shared" si="17"/>
        <v>-5</v>
      </c>
      <c r="M100" s="1"/>
      <c r="N100" s="1"/>
      <c r="O100" s="1"/>
      <c r="P100" s="1"/>
      <c r="Q100" s="1">
        <v>245</v>
      </c>
      <c r="R100" s="1"/>
      <c r="S100" s="1">
        <f t="shared" si="18"/>
        <v>44</v>
      </c>
      <c r="T100" s="5">
        <f t="shared" ref="T100:T101" si="25">10.5*S100-R100-Q100-P100-O100-F100</f>
        <v>195</v>
      </c>
      <c r="U100" s="5">
        <f t="shared" si="20"/>
        <v>195</v>
      </c>
      <c r="V100" s="1"/>
      <c r="W100" s="1">
        <f t="shared" si="21"/>
        <v>10.5</v>
      </c>
      <c r="X100" s="1">
        <f t="shared" si="19"/>
        <v>6.0681818181818183</v>
      </c>
      <c r="Y100" s="1">
        <v>36.6</v>
      </c>
      <c r="Z100" s="1">
        <v>20</v>
      </c>
      <c r="AA100" s="1">
        <v>18.399999999999999</v>
      </c>
      <c r="AB100" s="1">
        <v>31.6</v>
      </c>
      <c r="AC100" s="1">
        <v>34.799999999999997</v>
      </c>
      <c r="AD100" s="1">
        <v>37.4</v>
      </c>
      <c r="AE100" s="1">
        <v>44.8</v>
      </c>
      <c r="AF100" s="1">
        <v>41</v>
      </c>
      <c r="AG100" s="1">
        <v>36.200000000000003</v>
      </c>
      <c r="AH100" s="1">
        <v>28.2</v>
      </c>
      <c r="AI100" s="1"/>
      <c r="AJ100" s="1">
        <f t="shared" si="22"/>
        <v>14</v>
      </c>
      <c r="AK100" s="1">
        <f t="shared" si="23"/>
        <v>33.909090909090907</v>
      </c>
      <c r="AL100" s="1"/>
      <c r="AM100" s="1"/>
      <c r="AN100" s="1"/>
      <c r="AO100" s="1"/>
      <c r="AP100" s="1"/>
      <c r="AQ100" s="1"/>
    </row>
    <row r="101" spans="1:43" x14ac:dyDescent="0.25">
      <c r="A101" s="1" t="s">
        <v>141</v>
      </c>
      <c r="B101" s="1" t="s">
        <v>42</v>
      </c>
      <c r="C101" s="1">
        <v>159</v>
      </c>
      <c r="D101" s="1">
        <v>162</v>
      </c>
      <c r="E101" s="1">
        <v>167</v>
      </c>
      <c r="F101" s="1">
        <v>127</v>
      </c>
      <c r="G101" s="7">
        <v>7.0000000000000007E-2</v>
      </c>
      <c r="H101" s="1">
        <v>90</v>
      </c>
      <c r="I101" s="1" t="s">
        <v>38</v>
      </c>
      <c r="J101" s="1"/>
      <c r="K101" s="1">
        <v>173</v>
      </c>
      <c r="L101" s="1">
        <f t="shared" si="17"/>
        <v>-6</v>
      </c>
      <c r="M101" s="1"/>
      <c r="N101" s="1"/>
      <c r="O101" s="1"/>
      <c r="P101" s="1"/>
      <c r="Q101" s="1">
        <v>83.812000000000012</v>
      </c>
      <c r="R101" s="1"/>
      <c r="S101" s="1">
        <f t="shared" si="18"/>
        <v>33.4</v>
      </c>
      <c r="T101" s="5">
        <f t="shared" si="25"/>
        <v>139.88799999999998</v>
      </c>
      <c r="U101" s="5">
        <f t="shared" si="20"/>
        <v>139.88799999999998</v>
      </c>
      <c r="V101" s="1"/>
      <c r="W101" s="1">
        <f t="shared" si="21"/>
        <v>10.5</v>
      </c>
      <c r="X101" s="1">
        <f t="shared" si="19"/>
        <v>6.3117365269461088</v>
      </c>
      <c r="Y101" s="1">
        <v>25.8</v>
      </c>
      <c r="Z101" s="1">
        <v>27.4</v>
      </c>
      <c r="AA101" s="1">
        <v>26.6</v>
      </c>
      <c r="AB101" s="1">
        <v>23.6</v>
      </c>
      <c r="AC101" s="1">
        <v>23.2</v>
      </c>
      <c r="AD101" s="1">
        <v>24.4</v>
      </c>
      <c r="AE101" s="1">
        <v>26.8</v>
      </c>
      <c r="AF101" s="1">
        <v>27</v>
      </c>
      <c r="AG101" s="1">
        <v>26.4</v>
      </c>
      <c r="AH101" s="1">
        <v>25.4</v>
      </c>
      <c r="AI101" s="1"/>
      <c r="AJ101" s="1">
        <f t="shared" si="22"/>
        <v>10</v>
      </c>
      <c r="AK101" s="1">
        <f t="shared" si="23"/>
        <v>26.363636363636363</v>
      </c>
      <c r="AL101" s="1"/>
      <c r="AM101" s="1"/>
      <c r="AN101" s="1"/>
      <c r="AO101" s="1"/>
      <c r="AP101" s="1"/>
      <c r="AQ101" s="1"/>
    </row>
    <row r="102" spans="1:43" x14ac:dyDescent="0.25">
      <c r="A102" s="11" t="s">
        <v>142</v>
      </c>
      <c r="B102" s="11" t="s">
        <v>42</v>
      </c>
      <c r="C102" s="11">
        <v>145</v>
      </c>
      <c r="D102" s="11"/>
      <c r="E102" s="11">
        <v>125</v>
      </c>
      <c r="F102" s="11">
        <v>8</v>
      </c>
      <c r="G102" s="12">
        <v>0</v>
      </c>
      <c r="H102" s="11">
        <v>90</v>
      </c>
      <c r="I102" s="11" t="s">
        <v>50</v>
      </c>
      <c r="J102" s="11"/>
      <c r="K102" s="11">
        <v>132</v>
      </c>
      <c r="L102" s="11">
        <f t="shared" ref="L102:L133" si="26">E102-K102</f>
        <v>-7</v>
      </c>
      <c r="M102" s="11"/>
      <c r="N102" s="11"/>
      <c r="O102" s="11"/>
      <c r="P102" s="11"/>
      <c r="Q102" s="11">
        <v>0</v>
      </c>
      <c r="R102" s="11"/>
      <c r="S102" s="11">
        <f t="shared" ref="S102:S135" si="27">E102/5</f>
        <v>25</v>
      </c>
      <c r="T102" s="13"/>
      <c r="U102" s="5">
        <f t="shared" si="20"/>
        <v>0</v>
      </c>
      <c r="V102" s="11"/>
      <c r="W102" s="1">
        <f t="shared" si="21"/>
        <v>0.32</v>
      </c>
      <c r="X102" s="11">
        <f t="shared" ref="X102:X135" si="28">(F102+O102+P102+Q102+R102)/S102</f>
        <v>0.32</v>
      </c>
      <c r="Y102" s="11">
        <v>18.2</v>
      </c>
      <c r="Z102" s="11">
        <v>13.4</v>
      </c>
      <c r="AA102" s="11">
        <v>16.8</v>
      </c>
      <c r="AB102" s="11">
        <v>20</v>
      </c>
      <c r="AC102" s="11">
        <v>19.2</v>
      </c>
      <c r="AD102" s="11">
        <v>18.399999999999999</v>
      </c>
      <c r="AE102" s="11">
        <v>18.2</v>
      </c>
      <c r="AF102" s="11">
        <v>16.8</v>
      </c>
      <c r="AG102" s="11">
        <v>18.600000000000001</v>
      </c>
      <c r="AH102" s="11">
        <v>20.2</v>
      </c>
      <c r="AI102" s="11"/>
      <c r="AJ102" s="1">
        <f t="shared" si="22"/>
        <v>0</v>
      </c>
      <c r="AK102" s="1">
        <f t="shared" si="23"/>
        <v>18.618181818181817</v>
      </c>
      <c r="AL102" s="1"/>
      <c r="AM102" s="1"/>
      <c r="AN102" s="1"/>
      <c r="AO102" s="1"/>
      <c r="AP102" s="1"/>
      <c r="AQ102" s="1"/>
    </row>
    <row r="103" spans="1:43" x14ac:dyDescent="0.25">
      <c r="A103" s="1" t="s">
        <v>143</v>
      </c>
      <c r="B103" s="1" t="s">
        <v>42</v>
      </c>
      <c r="C103" s="1">
        <v>10</v>
      </c>
      <c r="D103" s="1">
        <v>144</v>
      </c>
      <c r="E103" s="1"/>
      <c r="F103" s="1">
        <v>145</v>
      </c>
      <c r="G103" s="7">
        <v>0.3</v>
      </c>
      <c r="H103" s="1">
        <v>40</v>
      </c>
      <c r="I103" s="1" t="s">
        <v>38</v>
      </c>
      <c r="J103" s="1"/>
      <c r="K103" s="1">
        <v>202</v>
      </c>
      <c r="L103" s="1">
        <f t="shared" si="26"/>
        <v>-202</v>
      </c>
      <c r="M103" s="1"/>
      <c r="N103" s="1"/>
      <c r="O103" s="1"/>
      <c r="P103" s="1"/>
      <c r="Q103" s="1">
        <v>279.39999999999998</v>
      </c>
      <c r="R103" s="1"/>
      <c r="S103" s="1">
        <f t="shared" si="27"/>
        <v>0</v>
      </c>
      <c r="T103" s="5"/>
      <c r="U103" s="5">
        <f t="shared" si="20"/>
        <v>0</v>
      </c>
      <c r="V103" s="1"/>
      <c r="W103" s="1" t="e">
        <f t="shared" si="21"/>
        <v>#DIV/0!</v>
      </c>
      <c r="X103" s="1" t="e">
        <f t="shared" si="28"/>
        <v>#DIV/0!</v>
      </c>
      <c r="Y103" s="1">
        <v>35.200000000000003</v>
      </c>
      <c r="Z103" s="1">
        <v>41.4</v>
      </c>
      <c r="AA103" s="1">
        <v>45.4</v>
      </c>
      <c r="AB103" s="1">
        <v>42</v>
      </c>
      <c r="AC103" s="1">
        <v>32.799999999999997</v>
      </c>
      <c r="AD103" s="1">
        <v>34.200000000000003</v>
      </c>
      <c r="AE103" s="1">
        <v>48.4</v>
      </c>
      <c r="AF103" s="1">
        <v>53.4</v>
      </c>
      <c r="AG103" s="1">
        <v>14.4</v>
      </c>
      <c r="AH103" s="1">
        <v>11.4</v>
      </c>
      <c r="AI103" s="1"/>
      <c r="AJ103" s="1">
        <f t="shared" si="22"/>
        <v>0</v>
      </c>
      <c r="AK103" s="1">
        <f t="shared" si="23"/>
        <v>32.599999999999994</v>
      </c>
      <c r="AL103" s="1"/>
      <c r="AM103" s="1"/>
      <c r="AN103" s="1"/>
      <c r="AO103" s="1"/>
      <c r="AP103" s="1"/>
      <c r="AQ103" s="1"/>
    </row>
    <row r="104" spans="1:43" x14ac:dyDescent="0.25">
      <c r="A104" s="1" t="s">
        <v>144</v>
      </c>
      <c r="B104" s="1" t="s">
        <v>37</v>
      </c>
      <c r="C104" s="1">
        <v>217.19800000000001</v>
      </c>
      <c r="D104" s="1">
        <v>69.204999999999998</v>
      </c>
      <c r="E104" s="1">
        <v>73.114000000000004</v>
      </c>
      <c r="F104" s="1">
        <v>199.82400000000001</v>
      </c>
      <c r="G104" s="7">
        <v>1</v>
      </c>
      <c r="H104" s="1">
        <v>55</v>
      </c>
      <c r="I104" s="1" t="s">
        <v>38</v>
      </c>
      <c r="J104" s="1"/>
      <c r="K104" s="1">
        <v>65.7</v>
      </c>
      <c r="L104" s="1">
        <f t="shared" si="26"/>
        <v>7.4140000000000015</v>
      </c>
      <c r="M104" s="1"/>
      <c r="N104" s="1"/>
      <c r="O104" s="1"/>
      <c r="P104" s="1"/>
      <c r="Q104" s="1">
        <v>0</v>
      </c>
      <c r="R104" s="1"/>
      <c r="S104" s="1">
        <f t="shared" si="27"/>
        <v>14.622800000000002</v>
      </c>
      <c r="T104" s="5"/>
      <c r="U104" s="5">
        <f t="shared" si="20"/>
        <v>0</v>
      </c>
      <c r="V104" s="1"/>
      <c r="W104" s="1">
        <f t="shared" si="21"/>
        <v>13.665235112290395</v>
      </c>
      <c r="X104" s="1">
        <f t="shared" si="28"/>
        <v>13.665235112290395</v>
      </c>
      <c r="Y104" s="1">
        <v>16.844999999999999</v>
      </c>
      <c r="Z104" s="1">
        <v>18.491800000000001</v>
      </c>
      <c r="AA104" s="1">
        <v>20.605</v>
      </c>
      <c r="AB104" s="1">
        <v>20.893799999999999</v>
      </c>
      <c r="AC104" s="1">
        <v>18.738800000000001</v>
      </c>
      <c r="AD104" s="1">
        <v>20.331600000000002</v>
      </c>
      <c r="AE104" s="1">
        <v>17.024799999999999</v>
      </c>
      <c r="AF104" s="1">
        <v>19.844799999999999</v>
      </c>
      <c r="AG104" s="1">
        <v>21.769400000000001</v>
      </c>
      <c r="AH104" s="1">
        <v>15.845800000000001</v>
      </c>
      <c r="AI104" s="1"/>
      <c r="AJ104" s="1">
        <f t="shared" si="22"/>
        <v>0</v>
      </c>
      <c r="AK104" s="1">
        <f t="shared" si="23"/>
        <v>18.637599999999999</v>
      </c>
      <c r="AL104" s="1"/>
      <c r="AM104" s="1"/>
      <c r="AN104" s="1"/>
      <c r="AO104" s="1"/>
      <c r="AP104" s="1"/>
      <c r="AQ104" s="1"/>
    </row>
    <row r="105" spans="1:43" x14ac:dyDescent="0.25">
      <c r="A105" s="11" t="s">
        <v>145</v>
      </c>
      <c r="B105" s="11" t="s">
        <v>42</v>
      </c>
      <c r="C105" s="11"/>
      <c r="D105" s="11"/>
      <c r="E105" s="11"/>
      <c r="F105" s="11"/>
      <c r="G105" s="12">
        <v>0</v>
      </c>
      <c r="H105" s="11"/>
      <c r="I105" s="11" t="s">
        <v>38</v>
      </c>
      <c r="J105" s="11"/>
      <c r="K105" s="11">
        <v>6</v>
      </c>
      <c r="L105" s="11">
        <f t="shared" si="26"/>
        <v>-6</v>
      </c>
      <c r="M105" s="11"/>
      <c r="N105" s="11"/>
      <c r="O105" s="11"/>
      <c r="P105" s="11"/>
      <c r="Q105" s="11">
        <v>0</v>
      </c>
      <c r="R105" s="11"/>
      <c r="S105" s="11">
        <f t="shared" si="27"/>
        <v>0</v>
      </c>
      <c r="T105" s="13"/>
      <c r="U105" s="5">
        <f t="shared" si="20"/>
        <v>0</v>
      </c>
      <c r="V105" s="11"/>
      <c r="W105" s="1" t="e">
        <f t="shared" si="21"/>
        <v>#DIV/0!</v>
      </c>
      <c r="X105" s="11" t="e">
        <f t="shared" si="28"/>
        <v>#DIV/0!</v>
      </c>
      <c r="Y105" s="11">
        <v>0</v>
      </c>
      <c r="Z105" s="11">
        <v>0</v>
      </c>
      <c r="AA105" s="11">
        <v>0</v>
      </c>
      <c r="AB105" s="11">
        <v>0</v>
      </c>
      <c r="AC105" s="11">
        <v>0</v>
      </c>
      <c r="AD105" s="11">
        <v>0</v>
      </c>
      <c r="AE105" s="11">
        <v>0</v>
      </c>
      <c r="AF105" s="11">
        <v>0</v>
      </c>
      <c r="AG105" s="11">
        <v>0</v>
      </c>
      <c r="AH105" s="11">
        <v>0</v>
      </c>
      <c r="AI105" s="11" t="s">
        <v>43</v>
      </c>
      <c r="AJ105" s="1">
        <f t="shared" si="22"/>
        <v>0</v>
      </c>
      <c r="AK105" s="1">
        <f t="shared" si="23"/>
        <v>0</v>
      </c>
      <c r="AL105" s="1"/>
      <c r="AM105" s="1"/>
      <c r="AN105" s="1"/>
      <c r="AO105" s="1"/>
      <c r="AP105" s="1"/>
      <c r="AQ105" s="1"/>
    </row>
    <row r="106" spans="1:43" x14ac:dyDescent="0.25">
      <c r="A106" s="1" t="s">
        <v>146</v>
      </c>
      <c r="B106" s="1" t="s">
        <v>42</v>
      </c>
      <c r="C106" s="1">
        <v>20</v>
      </c>
      <c r="D106" s="1">
        <v>3</v>
      </c>
      <c r="E106" s="1">
        <v>14</v>
      </c>
      <c r="F106" s="1"/>
      <c r="G106" s="7">
        <v>0.1</v>
      </c>
      <c r="H106" s="1">
        <v>30</v>
      </c>
      <c r="I106" s="1" t="s">
        <v>38</v>
      </c>
      <c r="J106" s="1"/>
      <c r="K106" s="1">
        <v>23</v>
      </c>
      <c r="L106" s="1">
        <f t="shared" si="26"/>
        <v>-9</v>
      </c>
      <c r="M106" s="1"/>
      <c r="N106" s="1"/>
      <c r="O106" s="1"/>
      <c r="P106" s="1"/>
      <c r="Q106" s="1">
        <v>0</v>
      </c>
      <c r="R106" s="1"/>
      <c r="S106" s="1">
        <f t="shared" si="27"/>
        <v>2.8</v>
      </c>
      <c r="T106" s="5">
        <f>6*S106-R106-Q106-P106-O106-F106</f>
        <v>16.799999999999997</v>
      </c>
      <c r="U106" s="5">
        <f t="shared" si="20"/>
        <v>16.799999999999997</v>
      </c>
      <c r="V106" s="1"/>
      <c r="W106" s="1">
        <f t="shared" si="21"/>
        <v>5.9999999999999991</v>
      </c>
      <c r="X106" s="1">
        <f t="shared" si="28"/>
        <v>0</v>
      </c>
      <c r="Y106" s="1">
        <v>0.2</v>
      </c>
      <c r="Z106" s="1">
        <v>1.6</v>
      </c>
      <c r="AA106" s="1">
        <v>1.8</v>
      </c>
      <c r="AB106" s="1">
        <v>2</v>
      </c>
      <c r="AC106" s="1">
        <v>1.4</v>
      </c>
      <c r="AD106" s="1">
        <v>1.6</v>
      </c>
      <c r="AE106" s="1">
        <v>1.4</v>
      </c>
      <c r="AF106" s="1">
        <v>1.4</v>
      </c>
      <c r="AG106" s="1">
        <v>2.2000000000000002</v>
      </c>
      <c r="AH106" s="1">
        <v>3.2</v>
      </c>
      <c r="AI106" s="1"/>
      <c r="AJ106" s="1">
        <f t="shared" si="22"/>
        <v>2</v>
      </c>
      <c r="AK106" s="1">
        <f t="shared" si="23"/>
        <v>1.781818181818182</v>
      </c>
      <c r="AL106" s="1"/>
      <c r="AM106" s="1"/>
      <c r="AN106" s="1"/>
      <c r="AO106" s="1"/>
      <c r="AP106" s="1"/>
      <c r="AQ106" s="1"/>
    </row>
    <row r="107" spans="1:43" x14ac:dyDescent="0.25">
      <c r="A107" s="1" t="s">
        <v>147</v>
      </c>
      <c r="B107" s="1" t="s">
        <v>42</v>
      </c>
      <c r="C107" s="1">
        <v>244</v>
      </c>
      <c r="D107" s="1">
        <v>240</v>
      </c>
      <c r="E107" s="1">
        <v>216</v>
      </c>
      <c r="F107" s="1">
        <v>230</v>
      </c>
      <c r="G107" s="7">
        <v>0.08</v>
      </c>
      <c r="H107" s="1">
        <v>45</v>
      </c>
      <c r="I107" s="1" t="s">
        <v>38</v>
      </c>
      <c r="J107" s="1"/>
      <c r="K107" s="1">
        <v>225</v>
      </c>
      <c r="L107" s="1">
        <f t="shared" si="26"/>
        <v>-9</v>
      </c>
      <c r="M107" s="1"/>
      <c r="N107" s="1"/>
      <c r="O107" s="1"/>
      <c r="P107" s="1"/>
      <c r="Q107" s="1">
        <v>126.66799999999991</v>
      </c>
      <c r="R107" s="1"/>
      <c r="S107" s="1">
        <f t="shared" si="27"/>
        <v>43.2</v>
      </c>
      <c r="T107" s="5">
        <f t="shared" ref="T107:T112" si="29">10.5*S107-R107-Q107-P107-O107-F107</f>
        <v>96.93200000000013</v>
      </c>
      <c r="U107" s="5">
        <f t="shared" si="20"/>
        <v>96.93200000000013</v>
      </c>
      <c r="V107" s="1"/>
      <c r="W107" s="1">
        <f t="shared" si="21"/>
        <v>10.5</v>
      </c>
      <c r="X107" s="1">
        <f t="shared" si="28"/>
        <v>8.2562037037037008</v>
      </c>
      <c r="Y107" s="1">
        <v>38.799999999999997</v>
      </c>
      <c r="Z107" s="1">
        <v>42.2</v>
      </c>
      <c r="AA107" s="1">
        <v>43.2</v>
      </c>
      <c r="AB107" s="1">
        <v>37.6</v>
      </c>
      <c r="AC107" s="1">
        <v>41.6</v>
      </c>
      <c r="AD107" s="1">
        <v>50.8</v>
      </c>
      <c r="AE107" s="1">
        <v>54</v>
      </c>
      <c r="AF107" s="1">
        <v>50</v>
      </c>
      <c r="AG107" s="1">
        <v>41.4</v>
      </c>
      <c r="AH107" s="1">
        <v>40.6</v>
      </c>
      <c r="AI107" s="1"/>
      <c r="AJ107" s="1">
        <f t="shared" si="22"/>
        <v>8</v>
      </c>
      <c r="AK107" s="1">
        <f t="shared" si="23"/>
        <v>43.945454545454545</v>
      </c>
      <c r="AL107" s="1"/>
      <c r="AM107" s="1"/>
      <c r="AN107" s="1"/>
      <c r="AO107" s="1"/>
      <c r="AP107" s="1"/>
      <c r="AQ107" s="1"/>
    </row>
    <row r="108" spans="1:43" x14ac:dyDescent="0.25">
      <c r="A108" s="1" t="s">
        <v>148</v>
      </c>
      <c r="B108" s="1" t="s">
        <v>42</v>
      </c>
      <c r="C108" s="1">
        <v>96</v>
      </c>
      <c r="D108" s="1">
        <v>240</v>
      </c>
      <c r="E108" s="1">
        <v>243</v>
      </c>
      <c r="F108" s="1">
        <v>84</v>
      </c>
      <c r="G108" s="7">
        <v>0.08</v>
      </c>
      <c r="H108" s="1">
        <v>45</v>
      </c>
      <c r="I108" s="1" t="s">
        <v>38</v>
      </c>
      <c r="J108" s="1"/>
      <c r="K108" s="1">
        <v>246</v>
      </c>
      <c r="L108" s="1">
        <f t="shared" si="26"/>
        <v>-3</v>
      </c>
      <c r="M108" s="1"/>
      <c r="N108" s="1"/>
      <c r="O108" s="1"/>
      <c r="P108" s="1"/>
      <c r="Q108" s="1">
        <v>148</v>
      </c>
      <c r="R108" s="1"/>
      <c r="S108" s="1">
        <f t="shared" si="27"/>
        <v>48.6</v>
      </c>
      <c r="T108" s="5">
        <f t="shared" si="29"/>
        <v>278.3</v>
      </c>
      <c r="U108" s="5">
        <f t="shared" si="20"/>
        <v>278.3</v>
      </c>
      <c r="V108" s="1"/>
      <c r="W108" s="1">
        <f t="shared" si="21"/>
        <v>10.5</v>
      </c>
      <c r="X108" s="1">
        <f t="shared" si="28"/>
        <v>4.7736625514403288</v>
      </c>
      <c r="Y108" s="1">
        <v>29</v>
      </c>
      <c r="Z108" s="1">
        <v>23</v>
      </c>
      <c r="AA108" s="1">
        <v>33.200000000000003</v>
      </c>
      <c r="AB108" s="1">
        <v>35</v>
      </c>
      <c r="AC108" s="1">
        <v>35.6</v>
      </c>
      <c r="AD108" s="1">
        <v>38.6</v>
      </c>
      <c r="AE108" s="1">
        <v>40.6</v>
      </c>
      <c r="AF108" s="1">
        <v>35.200000000000003</v>
      </c>
      <c r="AG108" s="1">
        <v>30.6</v>
      </c>
      <c r="AH108" s="1">
        <v>23.8</v>
      </c>
      <c r="AI108" s="1"/>
      <c r="AJ108" s="1">
        <f t="shared" si="22"/>
        <v>22</v>
      </c>
      <c r="AK108" s="1">
        <f t="shared" si="23"/>
        <v>33.927272727272729</v>
      </c>
      <c r="AL108" s="1"/>
      <c r="AM108" s="1"/>
      <c r="AN108" s="1"/>
      <c r="AO108" s="1"/>
      <c r="AP108" s="1"/>
      <c r="AQ108" s="1"/>
    </row>
    <row r="109" spans="1:43" x14ac:dyDescent="0.25">
      <c r="A109" s="1" t="s">
        <v>149</v>
      </c>
      <c r="B109" s="1" t="s">
        <v>42</v>
      </c>
      <c r="C109" s="1">
        <v>21</v>
      </c>
      <c r="D109" s="1"/>
      <c r="E109" s="1">
        <v>21</v>
      </c>
      <c r="F109" s="1">
        <v>-1</v>
      </c>
      <c r="G109" s="7">
        <v>0.17</v>
      </c>
      <c r="H109" s="1">
        <v>30</v>
      </c>
      <c r="I109" s="1" t="s">
        <v>38</v>
      </c>
      <c r="J109" s="1"/>
      <c r="K109" s="1">
        <v>23</v>
      </c>
      <c r="L109" s="1">
        <f t="shared" si="26"/>
        <v>-2</v>
      </c>
      <c r="M109" s="1"/>
      <c r="N109" s="1"/>
      <c r="O109" s="1"/>
      <c r="P109" s="1"/>
      <c r="Q109" s="1">
        <v>0</v>
      </c>
      <c r="R109" s="1"/>
      <c r="S109" s="1">
        <f t="shared" si="27"/>
        <v>4.2</v>
      </c>
      <c r="T109" s="5">
        <f>6*S109-R109-Q109-P109-O109-F109</f>
        <v>26.200000000000003</v>
      </c>
      <c r="U109" s="5">
        <f t="shared" si="20"/>
        <v>26.200000000000003</v>
      </c>
      <c r="V109" s="1"/>
      <c r="W109" s="1">
        <f t="shared" si="21"/>
        <v>6</v>
      </c>
      <c r="X109" s="1">
        <f t="shared" si="28"/>
        <v>-0.23809523809523808</v>
      </c>
      <c r="Y109" s="1">
        <v>1.6</v>
      </c>
      <c r="Z109" s="1">
        <v>0.4</v>
      </c>
      <c r="AA109" s="1">
        <v>0.4</v>
      </c>
      <c r="AB109" s="1">
        <v>1.8</v>
      </c>
      <c r="AC109" s="1">
        <v>1.4</v>
      </c>
      <c r="AD109" s="1">
        <v>0.6</v>
      </c>
      <c r="AE109" s="1">
        <v>0.2</v>
      </c>
      <c r="AF109" s="1">
        <v>1</v>
      </c>
      <c r="AG109" s="1">
        <v>2</v>
      </c>
      <c r="AH109" s="1">
        <v>3</v>
      </c>
      <c r="AI109" s="1" t="s">
        <v>150</v>
      </c>
      <c r="AJ109" s="1">
        <f t="shared" si="22"/>
        <v>4</v>
      </c>
      <c r="AK109" s="1">
        <f t="shared" si="23"/>
        <v>1.5090909090909088</v>
      </c>
      <c r="AL109" s="1"/>
      <c r="AM109" s="1"/>
      <c r="AN109" s="1"/>
      <c r="AO109" s="1"/>
      <c r="AP109" s="1"/>
      <c r="AQ109" s="1"/>
    </row>
    <row r="110" spans="1:43" x14ac:dyDescent="0.25">
      <c r="A110" s="1" t="s">
        <v>151</v>
      </c>
      <c r="B110" s="1" t="s">
        <v>37</v>
      </c>
      <c r="C110" s="1">
        <v>624.96100000000001</v>
      </c>
      <c r="D110" s="1">
        <v>336.84199999999998</v>
      </c>
      <c r="E110" s="1">
        <v>402.86700000000002</v>
      </c>
      <c r="F110" s="1">
        <v>522.05999999999995</v>
      </c>
      <c r="G110" s="7">
        <v>1</v>
      </c>
      <c r="H110" s="1">
        <v>40</v>
      </c>
      <c r="I110" s="1" t="s">
        <v>38</v>
      </c>
      <c r="J110" s="1"/>
      <c r="K110" s="1">
        <v>412.65</v>
      </c>
      <c r="L110" s="1">
        <f t="shared" si="26"/>
        <v>-9.7829999999999586</v>
      </c>
      <c r="M110" s="1"/>
      <c r="N110" s="1"/>
      <c r="O110" s="1"/>
      <c r="P110" s="1"/>
      <c r="Q110" s="1">
        <v>440.21576799999963</v>
      </c>
      <c r="R110" s="1"/>
      <c r="S110" s="1">
        <f t="shared" si="27"/>
        <v>80.573400000000007</v>
      </c>
      <c r="T110" s="5"/>
      <c r="U110" s="5">
        <f t="shared" si="20"/>
        <v>0</v>
      </c>
      <c r="V110" s="1"/>
      <c r="W110" s="1">
        <f t="shared" si="21"/>
        <v>11.942846745948408</v>
      </c>
      <c r="X110" s="1">
        <f t="shared" si="28"/>
        <v>11.942846745948408</v>
      </c>
      <c r="Y110" s="1">
        <v>83.3596</v>
      </c>
      <c r="Z110" s="1">
        <v>84.740200000000002</v>
      </c>
      <c r="AA110" s="1">
        <v>85.5518</v>
      </c>
      <c r="AB110" s="1">
        <v>88.798400000000001</v>
      </c>
      <c r="AC110" s="1">
        <v>81.619799999999998</v>
      </c>
      <c r="AD110" s="1">
        <v>70.697800000000001</v>
      </c>
      <c r="AE110" s="1">
        <v>58.890599999999992</v>
      </c>
      <c r="AF110" s="1">
        <v>61.716999999999999</v>
      </c>
      <c r="AG110" s="1">
        <v>68.288199999999989</v>
      </c>
      <c r="AH110" s="1">
        <v>71.225800000000007</v>
      </c>
      <c r="AI110" s="1"/>
      <c r="AJ110" s="1">
        <f t="shared" si="22"/>
        <v>0</v>
      </c>
      <c r="AK110" s="1">
        <f t="shared" si="23"/>
        <v>75.951145454545454</v>
      </c>
      <c r="AL110" s="1"/>
      <c r="AM110" s="1"/>
      <c r="AN110" s="1"/>
      <c r="AO110" s="1"/>
      <c r="AP110" s="1"/>
      <c r="AQ110" s="1"/>
    </row>
    <row r="111" spans="1:43" x14ac:dyDescent="0.25">
      <c r="A111" s="1" t="s">
        <v>152</v>
      </c>
      <c r="B111" s="1" t="s">
        <v>37</v>
      </c>
      <c r="C111" s="1">
        <v>400.26499999999999</v>
      </c>
      <c r="D111" s="1">
        <v>318.73899999999998</v>
      </c>
      <c r="E111" s="1">
        <v>294.15600000000001</v>
      </c>
      <c r="F111" s="1">
        <v>393.63299999999998</v>
      </c>
      <c r="G111" s="7">
        <v>1</v>
      </c>
      <c r="H111" s="1">
        <v>40</v>
      </c>
      <c r="I111" s="1" t="s">
        <v>38</v>
      </c>
      <c r="J111" s="1"/>
      <c r="K111" s="1">
        <v>296.89999999999998</v>
      </c>
      <c r="L111" s="1">
        <f t="shared" si="26"/>
        <v>-2.7439999999999714</v>
      </c>
      <c r="M111" s="1"/>
      <c r="N111" s="1"/>
      <c r="O111" s="1"/>
      <c r="P111" s="1"/>
      <c r="Q111" s="1">
        <v>380.53103400000009</v>
      </c>
      <c r="R111" s="1"/>
      <c r="S111" s="1">
        <f t="shared" si="27"/>
        <v>58.831200000000003</v>
      </c>
      <c r="T111" s="5"/>
      <c r="U111" s="5">
        <f t="shared" si="20"/>
        <v>0</v>
      </c>
      <c r="V111" s="1"/>
      <c r="W111" s="1">
        <f t="shared" si="21"/>
        <v>13.159072634928407</v>
      </c>
      <c r="X111" s="1">
        <f t="shared" si="28"/>
        <v>13.159072634928407</v>
      </c>
      <c r="Y111" s="1">
        <v>66.663600000000002</v>
      </c>
      <c r="Z111" s="1">
        <v>64.051199999999994</v>
      </c>
      <c r="AA111" s="1">
        <v>58.3504</v>
      </c>
      <c r="AB111" s="1">
        <v>61.6798</v>
      </c>
      <c r="AC111" s="1">
        <v>49.1038</v>
      </c>
      <c r="AD111" s="1">
        <v>43.895600000000002</v>
      </c>
      <c r="AE111" s="1">
        <v>38.950400000000002</v>
      </c>
      <c r="AF111" s="1">
        <v>37.585000000000001</v>
      </c>
      <c r="AG111" s="1">
        <v>40.150599999999997</v>
      </c>
      <c r="AH111" s="1">
        <v>43.5214</v>
      </c>
      <c r="AI111" s="1"/>
      <c r="AJ111" s="1">
        <f t="shared" si="22"/>
        <v>0</v>
      </c>
      <c r="AK111" s="1">
        <f t="shared" si="23"/>
        <v>51.1620909090909</v>
      </c>
      <c r="AL111" s="1"/>
      <c r="AM111" s="1"/>
      <c r="AN111" s="1"/>
      <c r="AO111" s="1"/>
      <c r="AP111" s="1"/>
      <c r="AQ111" s="1"/>
    </row>
    <row r="112" spans="1:43" x14ac:dyDescent="0.25">
      <c r="A112" s="1" t="s">
        <v>96</v>
      </c>
      <c r="B112" s="1" t="s">
        <v>37</v>
      </c>
      <c r="C112" s="1">
        <v>566.71900000000005</v>
      </c>
      <c r="D112" s="1">
        <v>1423.979</v>
      </c>
      <c r="E112" s="1">
        <v>447.52300000000002</v>
      </c>
      <c r="F112" s="15">
        <f>768.976+F58</f>
        <v>869.51900000000001</v>
      </c>
      <c r="G112" s="7">
        <v>1</v>
      </c>
      <c r="H112" s="1">
        <v>40</v>
      </c>
      <c r="I112" s="1" t="s">
        <v>38</v>
      </c>
      <c r="J112" s="1"/>
      <c r="K112" s="1">
        <v>464.6</v>
      </c>
      <c r="L112" s="1">
        <f t="shared" si="26"/>
        <v>-17.076999999999998</v>
      </c>
      <c r="M112" s="1"/>
      <c r="N112" s="1"/>
      <c r="O112" s="1"/>
      <c r="P112" s="1"/>
      <c r="Q112" s="1">
        <v>0</v>
      </c>
      <c r="R112" s="1"/>
      <c r="S112" s="1">
        <f t="shared" si="27"/>
        <v>89.504600000000011</v>
      </c>
      <c r="T112" s="5">
        <f t="shared" si="29"/>
        <v>70.279300000000148</v>
      </c>
      <c r="U112" s="5">
        <f t="shared" si="20"/>
        <v>70.279300000000148</v>
      </c>
      <c r="V112" s="1"/>
      <c r="W112" s="1">
        <f t="shared" si="21"/>
        <v>10.5</v>
      </c>
      <c r="X112" s="1">
        <f t="shared" si="28"/>
        <v>9.7147967813944742</v>
      </c>
      <c r="Y112" s="1">
        <v>76.044000000000011</v>
      </c>
      <c r="Z112" s="1">
        <v>82.587199999999996</v>
      </c>
      <c r="AA112" s="1">
        <v>93.196200000000005</v>
      </c>
      <c r="AB112" s="1">
        <v>104.8322</v>
      </c>
      <c r="AC112" s="1">
        <v>101.123</v>
      </c>
      <c r="AD112" s="1">
        <v>92.513999999999996</v>
      </c>
      <c r="AE112" s="1">
        <v>78.795199999999994</v>
      </c>
      <c r="AF112" s="1">
        <v>78.278199999999998</v>
      </c>
      <c r="AG112" s="1">
        <v>85.24199999999999</v>
      </c>
      <c r="AH112" s="1">
        <v>105.099</v>
      </c>
      <c r="AI112" s="1"/>
      <c r="AJ112" s="1">
        <f t="shared" si="22"/>
        <v>70</v>
      </c>
      <c r="AK112" s="1">
        <f t="shared" si="23"/>
        <v>89.746872727272731</v>
      </c>
      <c r="AL112" s="1"/>
      <c r="AM112" s="1"/>
      <c r="AN112" s="1"/>
      <c r="AO112" s="1"/>
      <c r="AP112" s="1"/>
      <c r="AQ112" s="1"/>
    </row>
    <row r="113" spans="1:43" x14ac:dyDescent="0.25">
      <c r="A113" s="11" t="s">
        <v>153</v>
      </c>
      <c r="B113" s="11" t="s">
        <v>42</v>
      </c>
      <c r="C113" s="11"/>
      <c r="D113" s="11"/>
      <c r="E113" s="11"/>
      <c r="F113" s="11"/>
      <c r="G113" s="12">
        <v>0</v>
      </c>
      <c r="H113" s="11"/>
      <c r="I113" s="11" t="s">
        <v>38</v>
      </c>
      <c r="J113" s="11"/>
      <c r="K113" s="11"/>
      <c r="L113" s="11">
        <f t="shared" si="26"/>
        <v>0</v>
      </c>
      <c r="M113" s="11"/>
      <c r="N113" s="11"/>
      <c r="O113" s="11"/>
      <c r="P113" s="11"/>
      <c r="Q113" s="11">
        <v>0</v>
      </c>
      <c r="R113" s="11"/>
      <c r="S113" s="11">
        <f t="shared" si="27"/>
        <v>0</v>
      </c>
      <c r="T113" s="13"/>
      <c r="U113" s="5">
        <f t="shared" si="20"/>
        <v>0</v>
      </c>
      <c r="V113" s="11"/>
      <c r="W113" s="1" t="e">
        <f t="shared" si="21"/>
        <v>#DIV/0!</v>
      </c>
      <c r="X113" s="11" t="e">
        <f t="shared" si="28"/>
        <v>#DIV/0!</v>
      </c>
      <c r="Y113" s="11">
        <v>0</v>
      </c>
      <c r="Z113" s="11">
        <v>0</v>
      </c>
      <c r="AA113" s="11">
        <v>0</v>
      </c>
      <c r="AB113" s="11">
        <v>0</v>
      </c>
      <c r="AC113" s="11">
        <v>0</v>
      </c>
      <c r="AD113" s="11">
        <v>0</v>
      </c>
      <c r="AE113" s="11">
        <v>0</v>
      </c>
      <c r="AF113" s="11">
        <v>0</v>
      </c>
      <c r="AG113" s="11">
        <v>0</v>
      </c>
      <c r="AH113" s="11">
        <v>0</v>
      </c>
      <c r="AI113" s="11" t="s">
        <v>43</v>
      </c>
      <c r="AJ113" s="1">
        <f t="shared" si="22"/>
        <v>0</v>
      </c>
      <c r="AK113" s="1">
        <f t="shared" si="23"/>
        <v>0</v>
      </c>
      <c r="AL113" s="1"/>
      <c r="AM113" s="1"/>
      <c r="AN113" s="1"/>
      <c r="AO113" s="1"/>
      <c r="AP113" s="1"/>
      <c r="AQ113" s="1"/>
    </row>
    <row r="114" spans="1:43" x14ac:dyDescent="0.25">
      <c r="A114" s="1" t="s">
        <v>154</v>
      </c>
      <c r="B114" s="1" t="s">
        <v>37</v>
      </c>
      <c r="C114" s="1">
        <v>25.32</v>
      </c>
      <c r="D114" s="1"/>
      <c r="E114" s="1">
        <v>6.7039999999999997</v>
      </c>
      <c r="F114" s="1">
        <v>18.616</v>
      </c>
      <c r="G114" s="7">
        <v>1</v>
      </c>
      <c r="H114" s="1">
        <v>55</v>
      </c>
      <c r="I114" s="1" t="s">
        <v>38</v>
      </c>
      <c r="J114" s="1"/>
      <c r="K114" s="1">
        <v>5.9</v>
      </c>
      <c r="L114" s="1">
        <f t="shared" si="26"/>
        <v>0.80399999999999938</v>
      </c>
      <c r="M114" s="1"/>
      <c r="N114" s="1"/>
      <c r="O114" s="1"/>
      <c r="P114" s="1"/>
      <c r="Q114" s="1">
        <v>0</v>
      </c>
      <c r="R114" s="1"/>
      <c r="S114" s="1">
        <f t="shared" si="27"/>
        <v>1.3408</v>
      </c>
      <c r="T114" s="5"/>
      <c r="U114" s="5">
        <f t="shared" si="20"/>
        <v>0</v>
      </c>
      <c r="V114" s="1"/>
      <c r="W114" s="1">
        <f t="shared" si="21"/>
        <v>13.884248210023866</v>
      </c>
      <c r="X114" s="1">
        <f t="shared" si="28"/>
        <v>13.884248210023866</v>
      </c>
      <c r="Y114" s="1">
        <v>1</v>
      </c>
      <c r="Z114" s="1">
        <v>1.2816000000000001</v>
      </c>
      <c r="AA114" s="1">
        <v>0.28160000000000002</v>
      </c>
      <c r="AB114" s="1">
        <v>0</v>
      </c>
      <c r="AC114" s="1">
        <v>0.29120000000000001</v>
      </c>
      <c r="AD114" s="1">
        <v>0.29120000000000001</v>
      </c>
      <c r="AE114" s="1">
        <v>3.2582</v>
      </c>
      <c r="AF114" s="1">
        <v>3.821800000000001</v>
      </c>
      <c r="AG114" s="1">
        <v>0.56359999999999999</v>
      </c>
      <c r="AH114" s="1">
        <v>0.55679999999999996</v>
      </c>
      <c r="AI114" s="18" t="s">
        <v>181</v>
      </c>
      <c r="AJ114" s="1">
        <f t="shared" si="22"/>
        <v>0</v>
      </c>
      <c r="AK114" s="1">
        <f t="shared" si="23"/>
        <v>1.1533454545454545</v>
      </c>
      <c r="AL114" s="1"/>
      <c r="AM114" s="1"/>
      <c r="AN114" s="1"/>
      <c r="AO114" s="1"/>
      <c r="AP114" s="1"/>
      <c r="AQ114" s="1"/>
    </row>
    <row r="115" spans="1:43" x14ac:dyDescent="0.25">
      <c r="A115" s="1" t="s">
        <v>155</v>
      </c>
      <c r="B115" s="1" t="s">
        <v>42</v>
      </c>
      <c r="C115" s="1">
        <v>237</v>
      </c>
      <c r="D115" s="1">
        <v>493</v>
      </c>
      <c r="E115" s="1">
        <v>432</v>
      </c>
      <c r="F115" s="1">
        <v>255</v>
      </c>
      <c r="G115" s="7">
        <v>0.28000000000000003</v>
      </c>
      <c r="H115" s="1">
        <v>40</v>
      </c>
      <c r="I115" s="1" t="s">
        <v>38</v>
      </c>
      <c r="J115" s="1"/>
      <c r="K115" s="1">
        <v>447</v>
      </c>
      <c r="L115" s="1">
        <f t="shared" si="26"/>
        <v>-15</v>
      </c>
      <c r="M115" s="1"/>
      <c r="N115" s="1"/>
      <c r="O115" s="1"/>
      <c r="P115" s="1"/>
      <c r="Q115" s="1">
        <v>379.36099999999999</v>
      </c>
      <c r="R115" s="1"/>
      <c r="S115" s="1">
        <f t="shared" si="27"/>
        <v>86.4</v>
      </c>
      <c r="T115" s="5">
        <f t="shared" ref="T115" si="30">10.5*S115-R115-Q115-P115-O115-F115</f>
        <v>272.83900000000006</v>
      </c>
      <c r="U115" s="5">
        <f t="shared" si="20"/>
        <v>272.83900000000006</v>
      </c>
      <c r="V115" s="1"/>
      <c r="W115" s="1">
        <f t="shared" si="21"/>
        <v>10.5</v>
      </c>
      <c r="X115" s="1">
        <f t="shared" si="28"/>
        <v>7.3421412037037035</v>
      </c>
      <c r="Y115" s="1">
        <v>61.8</v>
      </c>
      <c r="Z115" s="1">
        <v>64.599999999999994</v>
      </c>
      <c r="AA115" s="1">
        <v>68.400000000000006</v>
      </c>
      <c r="AB115" s="1">
        <v>56</v>
      </c>
      <c r="AC115" s="1">
        <v>64.599999999999994</v>
      </c>
      <c r="AD115" s="1">
        <v>67.400000000000006</v>
      </c>
      <c r="AE115" s="1">
        <v>57.4</v>
      </c>
      <c r="AF115" s="1">
        <v>60.6</v>
      </c>
      <c r="AG115" s="1">
        <v>65.400000000000006</v>
      </c>
      <c r="AH115" s="1">
        <v>69.8</v>
      </c>
      <c r="AI115" s="1"/>
      <c r="AJ115" s="1">
        <f t="shared" si="22"/>
        <v>76</v>
      </c>
      <c r="AK115" s="1">
        <f t="shared" si="23"/>
        <v>65.672727272727258</v>
      </c>
      <c r="AL115" s="1"/>
      <c r="AM115" s="1"/>
      <c r="AN115" s="1"/>
      <c r="AO115" s="1"/>
      <c r="AP115" s="1"/>
      <c r="AQ115" s="1"/>
    </row>
    <row r="116" spans="1:43" x14ac:dyDescent="0.25">
      <c r="A116" s="11" t="s">
        <v>156</v>
      </c>
      <c r="B116" s="11" t="s">
        <v>42</v>
      </c>
      <c r="C116" s="11"/>
      <c r="D116" s="11"/>
      <c r="E116" s="11"/>
      <c r="F116" s="11"/>
      <c r="G116" s="12">
        <v>0</v>
      </c>
      <c r="H116" s="11"/>
      <c r="I116" s="11" t="s">
        <v>38</v>
      </c>
      <c r="J116" s="11"/>
      <c r="K116" s="11"/>
      <c r="L116" s="11">
        <f t="shared" si="26"/>
        <v>0</v>
      </c>
      <c r="M116" s="11"/>
      <c r="N116" s="11"/>
      <c r="O116" s="11"/>
      <c r="P116" s="11"/>
      <c r="Q116" s="11">
        <v>0</v>
      </c>
      <c r="R116" s="11"/>
      <c r="S116" s="11">
        <f t="shared" si="27"/>
        <v>0</v>
      </c>
      <c r="T116" s="13"/>
      <c r="U116" s="5">
        <f t="shared" si="20"/>
        <v>0</v>
      </c>
      <c r="V116" s="11"/>
      <c r="W116" s="1" t="e">
        <f t="shared" si="21"/>
        <v>#DIV/0!</v>
      </c>
      <c r="X116" s="11" t="e">
        <f t="shared" si="28"/>
        <v>#DIV/0!</v>
      </c>
      <c r="Y116" s="11">
        <v>0</v>
      </c>
      <c r="Z116" s="11">
        <v>0</v>
      </c>
      <c r="AA116" s="11">
        <v>0</v>
      </c>
      <c r="AB116" s="11">
        <v>0</v>
      </c>
      <c r="AC116" s="11">
        <v>0</v>
      </c>
      <c r="AD116" s="11">
        <v>0</v>
      </c>
      <c r="AE116" s="11">
        <v>0</v>
      </c>
      <c r="AF116" s="11">
        <v>0</v>
      </c>
      <c r="AG116" s="11">
        <v>0</v>
      </c>
      <c r="AH116" s="11">
        <v>0</v>
      </c>
      <c r="AI116" s="11" t="s">
        <v>43</v>
      </c>
      <c r="AJ116" s="1">
        <f t="shared" si="22"/>
        <v>0</v>
      </c>
      <c r="AK116" s="1">
        <f t="shared" si="23"/>
        <v>0</v>
      </c>
      <c r="AL116" s="1"/>
      <c r="AM116" s="1"/>
      <c r="AN116" s="1"/>
      <c r="AO116" s="1"/>
      <c r="AP116" s="1"/>
      <c r="AQ116" s="1"/>
    </row>
    <row r="117" spans="1:43" x14ac:dyDescent="0.25">
      <c r="A117" s="1" t="s">
        <v>157</v>
      </c>
      <c r="B117" s="1" t="s">
        <v>42</v>
      </c>
      <c r="C117" s="1">
        <v>264</v>
      </c>
      <c r="D117" s="1">
        <v>493</v>
      </c>
      <c r="E117" s="1">
        <v>345</v>
      </c>
      <c r="F117" s="1">
        <v>363</v>
      </c>
      <c r="G117" s="7">
        <v>0.28000000000000003</v>
      </c>
      <c r="H117" s="1">
        <v>40</v>
      </c>
      <c r="I117" s="1" t="s">
        <v>38</v>
      </c>
      <c r="J117" s="1"/>
      <c r="K117" s="1">
        <v>369</v>
      </c>
      <c r="L117" s="1">
        <f t="shared" si="26"/>
        <v>-24</v>
      </c>
      <c r="M117" s="1"/>
      <c r="N117" s="1"/>
      <c r="O117" s="1"/>
      <c r="P117" s="1"/>
      <c r="Q117" s="1">
        <v>376.09500000000003</v>
      </c>
      <c r="R117" s="1"/>
      <c r="S117" s="1">
        <f t="shared" si="27"/>
        <v>69</v>
      </c>
      <c r="T117" s="5"/>
      <c r="U117" s="5">
        <f t="shared" si="20"/>
        <v>0</v>
      </c>
      <c r="V117" s="1"/>
      <c r="W117" s="1">
        <f t="shared" si="21"/>
        <v>10.711521739130434</v>
      </c>
      <c r="X117" s="1">
        <f t="shared" si="28"/>
        <v>10.711521739130434</v>
      </c>
      <c r="Y117" s="1">
        <v>63</v>
      </c>
      <c r="Z117" s="1">
        <v>66.8</v>
      </c>
      <c r="AA117" s="1">
        <v>66.400000000000006</v>
      </c>
      <c r="AB117" s="1">
        <v>53</v>
      </c>
      <c r="AC117" s="1">
        <v>66.400000000000006</v>
      </c>
      <c r="AD117" s="1">
        <v>72.8</v>
      </c>
      <c r="AE117" s="1">
        <v>61.4</v>
      </c>
      <c r="AF117" s="1">
        <v>55.6</v>
      </c>
      <c r="AG117" s="1">
        <v>59</v>
      </c>
      <c r="AH117" s="1">
        <v>71.599999999999994</v>
      </c>
      <c r="AI117" s="1"/>
      <c r="AJ117" s="1">
        <f t="shared" si="22"/>
        <v>0</v>
      </c>
      <c r="AK117" s="1">
        <f t="shared" si="23"/>
        <v>64.090909090909108</v>
      </c>
      <c r="AL117" s="1"/>
      <c r="AM117" s="1"/>
      <c r="AN117" s="1"/>
      <c r="AO117" s="1"/>
      <c r="AP117" s="1"/>
      <c r="AQ117" s="1"/>
    </row>
    <row r="118" spans="1:43" x14ac:dyDescent="0.25">
      <c r="A118" s="1" t="s">
        <v>158</v>
      </c>
      <c r="B118" s="1" t="s">
        <v>42</v>
      </c>
      <c r="C118" s="1"/>
      <c r="D118" s="1"/>
      <c r="E118" s="1"/>
      <c r="F118" s="1"/>
      <c r="G118" s="7">
        <v>0.09</v>
      </c>
      <c r="H118" s="1"/>
      <c r="I118" s="1" t="s">
        <v>38</v>
      </c>
      <c r="J118" s="1"/>
      <c r="K118" s="1"/>
      <c r="L118" s="1">
        <f t="shared" si="26"/>
        <v>0</v>
      </c>
      <c r="M118" s="1"/>
      <c r="N118" s="1"/>
      <c r="O118" s="1"/>
      <c r="P118" s="1"/>
      <c r="Q118" s="1">
        <v>0</v>
      </c>
      <c r="R118" s="1"/>
      <c r="S118" s="1">
        <f t="shared" si="27"/>
        <v>0</v>
      </c>
      <c r="T118" s="5"/>
      <c r="U118" s="5">
        <f>V118</f>
        <v>30</v>
      </c>
      <c r="V118" s="1">
        <v>30</v>
      </c>
      <c r="W118" s="1" t="e">
        <f t="shared" si="21"/>
        <v>#DIV/0!</v>
      </c>
      <c r="X118" s="1" t="e">
        <f t="shared" si="28"/>
        <v>#DIV/0!</v>
      </c>
      <c r="Y118" s="1">
        <v>0</v>
      </c>
      <c r="Z118" s="1">
        <v>0</v>
      </c>
      <c r="AA118" s="1">
        <v>0</v>
      </c>
      <c r="AB118" s="1">
        <v>0</v>
      </c>
      <c r="AC118" s="1">
        <v>0</v>
      </c>
      <c r="AD118" s="1">
        <v>0</v>
      </c>
      <c r="AE118" s="1">
        <v>0</v>
      </c>
      <c r="AF118" s="1">
        <v>0</v>
      </c>
      <c r="AG118" s="1">
        <v>0</v>
      </c>
      <c r="AH118" s="1">
        <v>0</v>
      </c>
      <c r="AI118" s="1" t="s">
        <v>184</v>
      </c>
      <c r="AJ118" s="1">
        <f t="shared" si="22"/>
        <v>3</v>
      </c>
      <c r="AK118" s="1">
        <f t="shared" si="23"/>
        <v>0</v>
      </c>
      <c r="AL118" s="1"/>
      <c r="AM118" s="1"/>
      <c r="AN118" s="1"/>
      <c r="AO118" s="1"/>
      <c r="AP118" s="1"/>
      <c r="AQ118" s="1"/>
    </row>
    <row r="119" spans="1:43" x14ac:dyDescent="0.25">
      <c r="A119" s="1" t="s">
        <v>159</v>
      </c>
      <c r="B119" s="1" t="s">
        <v>37</v>
      </c>
      <c r="C119" s="1">
        <v>95.777000000000001</v>
      </c>
      <c r="D119" s="1">
        <v>255.45</v>
      </c>
      <c r="E119" s="1">
        <v>85.847999999999999</v>
      </c>
      <c r="F119" s="1">
        <v>260.45499999999998</v>
      </c>
      <c r="G119" s="7">
        <v>1</v>
      </c>
      <c r="H119" s="1">
        <v>60</v>
      </c>
      <c r="I119" s="1" t="s">
        <v>38</v>
      </c>
      <c r="J119" s="1"/>
      <c r="K119" s="1">
        <v>135</v>
      </c>
      <c r="L119" s="1">
        <f t="shared" si="26"/>
        <v>-49.152000000000001</v>
      </c>
      <c r="M119" s="1"/>
      <c r="N119" s="1"/>
      <c r="O119" s="1"/>
      <c r="P119" s="1"/>
      <c r="Q119" s="1">
        <v>0</v>
      </c>
      <c r="R119" s="1"/>
      <c r="S119" s="1">
        <f t="shared" si="27"/>
        <v>17.169599999999999</v>
      </c>
      <c r="T119" s="5"/>
      <c r="U119" s="5">
        <f t="shared" si="20"/>
        <v>0</v>
      </c>
      <c r="V119" s="1"/>
      <c r="W119" s="1">
        <f t="shared" si="21"/>
        <v>15.169543844935234</v>
      </c>
      <c r="X119" s="1">
        <f t="shared" si="28"/>
        <v>15.169543844935234</v>
      </c>
      <c r="Y119" s="1">
        <v>17.895399999999999</v>
      </c>
      <c r="Z119" s="1">
        <v>29.697600000000001</v>
      </c>
      <c r="AA119" s="1">
        <v>35.659999999999997</v>
      </c>
      <c r="AB119" s="1">
        <v>26.834399999999999</v>
      </c>
      <c r="AC119" s="1">
        <v>32.64</v>
      </c>
      <c r="AD119" s="1">
        <v>39.406399999999998</v>
      </c>
      <c r="AE119" s="1">
        <v>36.651000000000003</v>
      </c>
      <c r="AF119" s="1">
        <v>34.523000000000003</v>
      </c>
      <c r="AG119" s="1">
        <v>40.992800000000003</v>
      </c>
      <c r="AH119" s="1">
        <v>43.077399999999997</v>
      </c>
      <c r="AI119" s="1"/>
      <c r="AJ119" s="1">
        <f t="shared" si="22"/>
        <v>0</v>
      </c>
      <c r="AK119" s="1">
        <f t="shared" si="23"/>
        <v>32.2316</v>
      </c>
      <c r="AL119" s="1"/>
      <c r="AM119" s="1"/>
      <c r="AN119" s="1"/>
      <c r="AO119" s="1"/>
      <c r="AP119" s="1"/>
      <c r="AQ119" s="1"/>
    </row>
    <row r="120" spans="1:43" x14ac:dyDescent="0.25">
      <c r="A120" s="1" t="s">
        <v>160</v>
      </c>
      <c r="B120" s="1" t="s">
        <v>37</v>
      </c>
      <c r="C120" s="1">
        <v>84.58</v>
      </c>
      <c r="D120" s="1">
        <v>2.5</v>
      </c>
      <c r="E120" s="1">
        <v>1.8080000000000001</v>
      </c>
      <c r="F120" s="1">
        <v>82.09</v>
      </c>
      <c r="G120" s="7">
        <v>1</v>
      </c>
      <c r="H120" s="1">
        <v>50</v>
      </c>
      <c r="I120" s="1" t="s">
        <v>38</v>
      </c>
      <c r="J120" s="1"/>
      <c r="K120" s="1">
        <v>72.5</v>
      </c>
      <c r="L120" s="1">
        <f t="shared" si="26"/>
        <v>-70.691999999999993</v>
      </c>
      <c r="M120" s="1"/>
      <c r="N120" s="1"/>
      <c r="O120" s="1"/>
      <c r="P120" s="1"/>
      <c r="Q120" s="1">
        <v>0</v>
      </c>
      <c r="R120" s="1"/>
      <c r="S120" s="1">
        <f t="shared" si="27"/>
        <v>0.36160000000000003</v>
      </c>
      <c r="T120" s="5"/>
      <c r="U120" s="5">
        <f t="shared" si="20"/>
        <v>0</v>
      </c>
      <c r="V120" s="1"/>
      <c r="W120" s="1">
        <f t="shared" si="21"/>
        <v>227.01880530973449</v>
      </c>
      <c r="X120" s="1">
        <f t="shared" si="28"/>
        <v>227.01880530973449</v>
      </c>
      <c r="Y120" s="1">
        <v>4.1176000000000004</v>
      </c>
      <c r="Z120" s="1">
        <v>5.7633999999999999</v>
      </c>
      <c r="AA120" s="1">
        <v>15.0108</v>
      </c>
      <c r="AB120" s="1">
        <v>18.382400000000001</v>
      </c>
      <c r="AC120" s="1">
        <v>18.812799999999999</v>
      </c>
      <c r="AD120" s="1">
        <v>18.2974</v>
      </c>
      <c r="AE120" s="1">
        <v>13.1578</v>
      </c>
      <c r="AF120" s="1">
        <v>13.4122</v>
      </c>
      <c r="AG120" s="1">
        <v>14.643800000000001</v>
      </c>
      <c r="AH120" s="1">
        <v>18.419</v>
      </c>
      <c r="AI120" s="17" t="s">
        <v>180</v>
      </c>
      <c r="AJ120" s="1">
        <f t="shared" si="22"/>
        <v>0</v>
      </c>
      <c r="AK120" s="1">
        <f t="shared" si="23"/>
        <v>12.761709090909092</v>
      </c>
      <c r="AL120" s="1"/>
      <c r="AM120" s="1"/>
      <c r="AN120" s="1"/>
      <c r="AO120" s="1"/>
      <c r="AP120" s="1"/>
      <c r="AQ120" s="1"/>
    </row>
    <row r="121" spans="1:43" x14ac:dyDescent="0.25">
      <c r="A121" s="1" t="s">
        <v>161</v>
      </c>
      <c r="B121" s="1" t="s">
        <v>42</v>
      </c>
      <c r="C121" s="1"/>
      <c r="D121" s="1"/>
      <c r="E121" s="1"/>
      <c r="F121" s="1"/>
      <c r="G121" s="7">
        <v>0.09</v>
      </c>
      <c r="H121" s="1"/>
      <c r="I121" s="1" t="s">
        <v>38</v>
      </c>
      <c r="J121" s="1"/>
      <c r="K121" s="1"/>
      <c r="L121" s="1">
        <f t="shared" si="26"/>
        <v>0</v>
      </c>
      <c r="M121" s="1"/>
      <c r="N121" s="1"/>
      <c r="O121" s="1"/>
      <c r="P121" s="1"/>
      <c r="Q121" s="1">
        <v>0</v>
      </c>
      <c r="R121" s="1"/>
      <c r="S121" s="1">
        <f t="shared" si="27"/>
        <v>0</v>
      </c>
      <c r="T121" s="5"/>
      <c r="U121" s="5">
        <f>V121</f>
        <v>30</v>
      </c>
      <c r="V121" s="1">
        <v>30</v>
      </c>
      <c r="W121" s="1" t="e">
        <f t="shared" si="21"/>
        <v>#DIV/0!</v>
      </c>
      <c r="X121" s="1" t="e">
        <f t="shared" si="28"/>
        <v>#DIV/0!</v>
      </c>
      <c r="Y121" s="1">
        <v>0</v>
      </c>
      <c r="Z121" s="1">
        <v>0</v>
      </c>
      <c r="AA121" s="1">
        <v>0</v>
      </c>
      <c r="AB121" s="1">
        <v>0</v>
      </c>
      <c r="AC121" s="1">
        <v>0</v>
      </c>
      <c r="AD121" s="1">
        <v>0</v>
      </c>
      <c r="AE121" s="1">
        <v>0</v>
      </c>
      <c r="AF121" s="1">
        <v>0</v>
      </c>
      <c r="AG121" s="1">
        <v>0</v>
      </c>
      <c r="AH121" s="1">
        <v>0</v>
      </c>
      <c r="AI121" s="1" t="s">
        <v>184</v>
      </c>
      <c r="AJ121" s="1">
        <f t="shared" si="22"/>
        <v>3</v>
      </c>
      <c r="AK121" s="1">
        <f t="shared" si="23"/>
        <v>0</v>
      </c>
      <c r="AL121" s="1"/>
      <c r="AM121" s="1"/>
      <c r="AN121" s="1"/>
      <c r="AO121" s="1"/>
      <c r="AP121" s="1"/>
      <c r="AQ121" s="1"/>
    </row>
    <row r="122" spans="1:43" x14ac:dyDescent="0.25">
      <c r="A122" s="11" t="s">
        <v>162</v>
      </c>
      <c r="B122" s="11" t="s">
        <v>42</v>
      </c>
      <c r="C122" s="11"/>
      <c r="D122" s="11"/>
      <c r="E122" s="11"/>
      <c r="F122" s="11"/>
      <c r="G122" s="12">
        <v>0</v>
      </c>
      <c r="H122" s="11"/>
      <c r="I122" s="11" t="s">
        <v>38</v>
      </c>
      <c r="J122" s="11"/>
      <c r="K122" s="11"/>
      <c r="L122" s="11">
        <f t="shared" si="26"/>
        <v>0</v>
      </c>
      <c r="M122" s="11"/>
      <c r="N122" s="11"/>
      <c r="O122" s="11"/>
      <c r="P122" s="11"/>
      <c r="Q122" s="11">
        <v>0</v>
      </c>
      <c r="R122" s="11"/>
      <c r="S122" s="11">
        <f t="shared" si="27"/>
        <v>0</v>
      </c>
      <c r="T122" s="13"/>
      <c r="U122" s="5">
        <f t="shared" si="20"/>
        <v>0</v>
      </c>
      <c r="V122" s="11"/>
      <c r="W122" s="1" t="e">
        <f t="shared" si="21"/>
        <v>#DIV/0!</v>
      </c>
      <c r="X122" s="11" t="e">
        <f t="shared" si="28"/>
        <v>#DIV/0!</v>
      </c>
      <c r="Y122" s="11">
        <v>0</v>
      </c>
      <c r="Z122" s="11">
        <v>0</v>
      </c>
      <c r="AA122" s="11">
        <v>0</v>
      </c>
      <c r="AB122" s="11">
        <v>0</v>
      </c>
      <c r="AC122" s="11">
        <v>0</v>
      </c>
      <c r="AD122" s="11">
        <v>0</v>
      </c>
      <c r="AE122" s="11">
        <v>0</v>
      </c>
      <c r="AF122" s="11">
        <v>0</v>
      </c>
      <c r="AG122" s="11">
        <v>0</v>
      </c>
      <c r="AH122" s="11">
        <v>0</v>
      </c>
      <c r="AI122" s="11" t="s">
        <v>43</v>
      </c>
      <c r="AJ122" s="1">
        <f t="shared" si="22"/>
        <v>0</v>
      </c>
      <c r="AK122" s="1">
        <f t="shared" si="23"/>
        <v>0</v>
      </c>
      <c r="AL122" s="1"/>
      <c r="AM122" s="1"/>
      <c r="AN122" s="1"/>
      <c r="AO122" s="1"/>
      <c r="AP122" s="1"/>
      <c r="AQ122" s="1"/>
    </row>
    <row r="123" spans="1:43" x14ac:dyDescent="0.25">
      <c r="A123" s="1" t="s">
        <v>163</v>
      </c>
      <c r="B123" s="1" t="s">
        <v>37</v>
      </c>
      <c r="C123" s="1">
        <v>480.87799999999999</v>
      </c>
      <c r="D123" s="1">
        <v>311.63499999999999</v>
      </c>
      <c r="E123" s="1">
        <v>274.61399999999998</v>
      </c>
      <c r="F123" s="1">
        <v>487.72399999999999</v>
      </c>
      <c r="G123" s="7">
        <v>1</v>
      </c>
      <c r="H123" s="1">
        <v>60</v>
      </c>
      <c r="I123" s="1" t="s">
        <v>38</v>
      </c>
      <c r="J123" s="1"/>
      <c r="K123" s="1">
        <v>266.35000000000002</v>
      </c>
      <c r="L123" s="1">
        <f t="shared" si="26"/>
        <v>8.2639999999999532</v>
      </c>
      <c r="M123" s="1"/>
      <c r="N123" s="1"/>
      <c r="O123" s="1"/>
      <c r="P123" s="1"/>
      <c r="Q123" s="1">
        <v>324.63707599999981</v>
      </c>
      <c r="R123" s="1"/>
      <c r="S123" s="1">
        <f t="shared" si="27"/>
        <v>54.922799999999995</v>
      </c>
      <c r="T123" s="5"/>
      <c r="U123" s="5">
        <f t="shared" si="20"/>
        <v>0</v>
      </c>
      <c r="V123" s="1"/>
      <c r="W123" s="1">
        <f t="shared" si="21"/>
        <v>14.790962514656934</v>
      </c>
      <c r="X123" s="1">
        <f t="shared" si="28"/>
        <v>14.790962514656934</v>
      </c>
      <c r="Y123" s="1">
        <v>66.630399999999995</v>
      </c>
      <c r="Z123" s="1">
        <v>70.855999999999995</v>
      </c>
      <c r="AA123" s="1">
        <v>76.245800000000003</v>
      </c>
      <c r="AB123" s="1">
        <v>71.3352</v>
      </c>
      <c r="AC123" s="1">
        <v>56.040999999999997</v>
      </c>
      <c r="AD123" s="1">
        <v>58.951800000000013</v>
      </c>
      <c r="AE123" s="1">
        <v>56.642000000000003</v>
      </c>
      <c r="AF123" s="1">
        <v>48.368200000000002</v>
      </c>
      <c r="AG123" s="1">
        <v>57.312800000000003</v>
      </c>
      <c r="AH123" s="1">
        <v>62.732199999999999</v>
      </c>
      <c r="AI123" s="1"/>
      <c r="AJ123" s="1">
        <f t="shared" si="22"/>
        <v>0</v>
      </c>
      <c r="AK123" s="1">
        <f t="shared" si="23"/>
        <v>61.821654545454543</v>
      </c>
      <c r="AL123" s="1"/>
      <c r="AM123" s="1"/>
      <c r="AN123" s="1"/>
      <c r="AO123" s="1"/>
      <c r="AP123" s="1"/>
      <c r="AQ123" s="1"/>
    </row>
    <row r="124" spans="1:43" x14ac:dyDescent="0.25">
      <c r="A124" s="1" t="s">
        <v>164</v>
      </c>
      <c r="B124" s="1" t="s">
        <v>37</v>
      </c>
      <c r="C124" s="1">
        <v>570.60900000000004</v>
      </c>
      <c r="D124" s="1">
        <v>420.34899999999999</v>
      </c>
      <c r="E124" s="1">
        <v>388.78100000000001</v>
      </c>
      <c r="F124" s="1">
        <v>574.93600000000004</v>
      </c>
      <c r="G124" s="7">
        <v>1</v>
      </c>
      <c r="H124" s="1">
        <v>60</v>
      </c>
      <c r="I124" s="1" t="s">
        <v>38</v>
      </c>
      <c r="J124" s="1"/>
      <c r="K124" s="1">
        <v>374.3</v>
      </c>
      <c r="L124" s="1">
        <f t="shared" si="26"/>
        <v>14.480999999999995</v>
      </c>
      <c r="M124" s="1"/>
      <c r="N124" s="1"/>
      <c r="O124" s="1"/>
      <c r="P124" s="1"/>
      <c r="Q124" s="1">
        <v>511.20311900000019</v>
      </c>
      <c r="R124" s="1"/>
      <c r="S124" s="1">
        <f t="shared" si="27"/>
        <v>77.756200000000007</v>
      </c>
      <c r="T124" s="5"/>
      <c r="U124" s="5">
        <f t="shared" si="20"/>
        <v>0</v>
      </c>
      <c r="V124" s="1"/>
      <c r="W124" s="1">
        <f t="shared" si="21"/>
        <v>13.968521082563193</v>
      </c>
      <c r="X124" s="1">
        <f t="shared" si="28"/>
        <v>13.968521082563193</v>
      </c>
      <c r="Y124" s="1">
        <v>88.792600000000007</v>
      </c>
      <c r="Z124" s="1">
        <v>87.907200000000003</v>
      </c>
      <c r="AA124" s="1">
        <v>90.133600000000001</v>
      </c>
      <c r="AB124" s="1">
        <v>88.307600000000008</v>
      </c>
      <c r="AC124" s="1">
        <v>81.408000000000001</v>
      </c>
      <c r="AD124" s="1">
        <v>81.493200000000002</v>
      </c>
      <c r="AE124" s="1">
        <v>70.010400000000004</v>
      </c>
      <c r="AF124" s="1">
        <v>61.485999999999997</v>
      </c>
      <c r="AG124" s="1">
        <v>75.655000000000001</v>
      </c>
      <c r="AH124" s="1">
        <v>87.415199999999999</v>
      </c>
      <c r="AI124" s="1"/>
      <c r="AJ124" s="1">
        <f t="shared" si="22"/>
        <v>0</v>
      </c>
      <c r="AK124" s="1">
        <f t="shared" si="23"/>
        <v>80.942272727272723</v>
      </c>
      <c r="AL124" s="1"/>
      <c r="AM124" s="1"/>
      <c r="AN124" s="1"/>
      <c r="AO124" s="1"/>
      <c r="AP124" s="1"/>
      <c r="AQ124" s="1"/>
    </row>
    <row r="125" spans="1:43" x14ac:dyDescent="0.25">
      <c r="A125" s="1" t="s">
        <v>165</v>
      </c>
      <c r="B125" s="1" t="s">
        <v>37</v>
      </c>
      <c r="C125" s="1">
        <v>151.82599999999999</v>
      </c>
      <c r="D125" s="1">
        <v>227.19800000000001</v>
      </c>
      <c r="E125" s="1">
        <v>158.90600000000001</v>
      </c>
      <c r="F125" s="1">
        <v>179.88200000000001</v>
      </c>
      <c r="G125" s="7">
        <v>1</v>
      </c>
      <c r="H125" s="1">
        <v>60</v>
      </c>
      <c r="I125" s="1" t="s">
        <v>38</v>
      </c>
      <c r="J125" s="1"/>
      <c r="K125" s="1">
        <v>187.85</v>
      </c>
      <c r="L125" s="1">
        <f t="shared" si="26"/>
        <v>-28.943999999999988</v>
      </c>
      <c r="M125" s="1"/>
      <c r="N125" s="1"/>
      <c r="O125" s="1"/>
      <c r="P125" s="1"/>
      <c r="Q125" s="1">
        <v>190.56179999999989</v>
      </c>
      <c r="R125" s="1"/>
      <c r="S125" s="1">
        <f t="shared" si="27"/>
        <v>31.781200000000002</v>
      </c>
      <c r="T125" s="5"/>
      <c r="U125" s="5">
        <f t="shared" si="20"/>
        <v>0</v>
      </c>
      <c r="V125" s="1"/>
      <c r="W125" s="1">
        <f t="shared" si="21"/>
        <v>11.656067108856805</v>
      </c>
      <c r="X125" s="1">
        <f t="shared" si="28"/>
        <v>11.656067108856805</v>
      </c>
      <c r="Y125" s="1">
        <v>32.8658</v>
      </c>
      <c r="Z125" s="1">
        <v>29.383600000000001</v>
      </c>
      <c r="AA125" s="1">
        <v>24.572399999999998</v>
      </c>
      <c r="AB125" s="1">
        <v>27.509399999999999</v>
      </c>
      <c r="AC125" s="1">
        <v>31.500800000000002</v>
      </c>
      <c r="AD125" s="1">
        <v>33.397000000000013</v>
      </c>
      <c r="AE125" s="1">
        <v>28.143799999999999</v>
      </c>
      <c r="AF125" s="1">
        <v>21.887799999999999</v>
      </c>
      <c r="AG125" s="1">
        <v>25.122</v>
      </c>
      <c r="AH125" s="1">
        <v>29.194600000000001</v>
      </c>
      <c r="AI125" s="1"/>
      <c r="AJ125" s="1">
        <f t="shared" si="22"/>
        <v>0</v>
      </c>
      <c r="AK125" s="1">
        <f t="shared" si="23"/>
        <v>28.668945454545455</v>
      </c>
      <c r="AL125" s="1"/>
      <c r="AM125" s="1"/>
      <c r="AN125" s="1"/>
      <c r="AO125" s="1"/>
      <c r="AP125" s="1"/>
      <c r="AQ125" s="1"/>
    </row>
    <row r="126" spans="1:43" x14ac:dyDescent="0.25">
      <c r="A126" s="1" t="s">
        <v>166</v>
      </c>
      <c r="B126" s="1" t="s">
        <v>37</v>
      </c>
      <c r="C126" s="1">
        <v>2162.0210000000002</v>
      </c>
      <c r="D126" s="1">
        <v>3275.6819999999998</v>
      </c>
      <c r="E126" s="1">
        <v>1439.355</v>
      </c>
      <c r="F126" s="1">
        <v>3953.1480000000001</v>
      </c>
      <c r="G126" s="7">
        <v>1</v>
      </c>
      <c r="H126" s="1">
        <v>60</v>
      </c>
      <c r="I126" s="1" t="s">
        <v>38</v>
      </c>
      <c r="J126" s="1"/>
      <c r="K126" s="1">
        <v>1453.6</v>
      </c>
      <c r="L126" s="1">
        <f t="shared" si="26"/>
        <v>-14.244999999999891</v>
      </c>
      <c r="M126" s="1"/>
      <c r="N126" s="1"/>
      <c r="O126" s="1">
        <v>600</v>
      </c>
      <c r="P126" s="1">
        <v>300</v>
      </c>
      <c r="Q126" s="1">
        <v>0</v>
      </c>
      <c r="R126" s="1">
        <v>600</v>
      </c>
      <c r="S126" s="1">
        <f t="shared" si="27"/>
        <v>287.87099999999998</v>
      </c>
      <c r="T126" s="5"/>
      <c r="U126" s="5">
        <f t="shared" si="20"/>
        <v>0</v>
      </c>
      <c r="V126" s="1"/>
      <c r="W126" s="1">
        <f t="shared" si="21"/>
        <v>18.943026563981785</v>
      </c>
      <c r="X126" s="1">
        <f t="shared" si="28"/>
        <v>18.943026563981785</v>
      </c>
      <c r="Y126" s="1">
        <v>292.56079999999997</v>
      </c>
      <c r="Z126" s="1">
        <v>311.30119999999999</v>
      </c>
      <c r="AA126" s="1">
        <v>194.2492</v>
      </c>
      <c r="AB126" s="1">
        <v>172.9366</v>
      </c>
      <c r="AC126" s="1">
        <v>248.2234</v>
      </c>
      <c r="AD126" s="1">
        <v>192.77199999999999</v>
      </c>
      <c r="AE126" s="1">
        <v>106.2038</v>
      </c>
      <c r="AF126" s="1">
        <v>76.627399999999994</v>
      </c>
      <c r="AG126" s="1">
        <v>49.574399999999997</v>
      </c>
      <c r="AH126" s="1">
        <v>119.9166</v>
      </c>
      <c r="AI126" s="1" t="s">
        <v>167</v>
      </c>
      <c r="AJ126" s="1">
        <f t="shared" si="22"/>
        <v>0</v>
      </c>
      <c r="AK126" s="1">
        <f t="shared" si="23"/>
        <v>186.56694545454545</v>
      </c>
      <c r="AL126" s="1"/>
      <c r="AM126" s="1"/>
      <c r="AN126" s="1"/>
      <c r="AO126" s="1"/>
      <c r="AP126" s="1"/>
      <c r="AQ126" s="1"/>
    </row>
    <row r="127" spans="1:43" x14ac:dyDescent="0.25">
      <c r="A127" s="1" t="s">
        <v>168</v>
      </c>
      <c r="B127" s="1" t="s">
        <v>42</v>
      </c>
      <c r="C127" s="1">
        <v>204</v>
      </c>
      <c r="D127" s="1"/>
      <c r="E127" s="1">
        <v>202</v>
      </c>
      <c r="F127" s="1">
        <v>2</v>
      </c>
      <c r="G127" s="7">
        <v>0.25</v>
      </c>
      <c r="H127" s="1"/>
      <c r="I127" s="1" t="s">
        <v>38</v>
      </c>
      <c r="J127" s="1"/>
      <c r="K127" s="1">
        <v>211</v>
      </c>
      <c r="L127" s="1">
        <f t="shared" si="26"/>
        <v>-9</v>
      </c>
      <c r="M127" s="1"/>
      <c r="N127" s="1"/>
      <c r="O127" s="1"/>
      <c r="P127" s="1"/>
      <c r="Q127" s="1">
        <v>123.4</v>
      </c>
      <c r="R127" s="1"/>
      <c r="S127" s="1">
        <f t="shared" si="27"/>
        <v>40.4</v>
      </c>
      <c r="T127" s="5">
        <f>9*S127-R127-Q127-P127-O127-F127</f>
        <v>238.19999999999996</v>
      </c>
      <c r="U127" s="5">
        <f t="shared" si="20"/>
        <v>238.19999999999996</v>
      </c>
      <c r="V127" s="1"/>
      <c r="W127" s="1">
        <f t="shared" si="21"/>
        <v>9</v>
      </c>
      <c r="X127" s="1">
        <f t="shared" si="28"/>
        <v>3.1039603960396041</v>
      </c>
      <c r="Y127" s="1">
        <v>17.2</v>
      </c>
      <c r="Z127" s="1">
        <v>0</v>
      </c>
      <c r="AA127" s="1">
        <v>0</v>
      </c>
      <c r="AB127" s="1">
        <v>0</v>
      </c>
      <c r="AC127" s="1">
        <v>0</v>
      </c>
      <c r="AD127" s="1">
        <v>0</v>
      </c>
      <c r="AE127" s="1">
        <v>0</v>
      </c>
      <c r="AF127" s="1">
        <v>0</v>
      </c>
      <c r="AG127" s="1">
        <v>0</v>
      </c>
      <c r="AH127" s="1">
        <v>0</v>
      </c>
      <c r="AI127" s="1" t="s">
        <v>169</v>
      </c>
      <c r="AJ127" s="1">
        <f t="shared" si="22"/>
        <v>60</v>
      </c>
      <c r="AK127" s="1">
        <f t="shared" si="23"/>
        <v>5.2363636363636354</v>
      </c>
      <c r="AL127" s="1"/>
      <c r="AM127" s="1"/>
      <c r="AN127" s="1"/>
      <c r="AO127" s="1"/>
      <c r="AP127" s="1"/>
      <c r="AQ127" s="1"/>
    </row>
    <row r="128" spans="1:43" x14ac:dyDescent="0.25">
      <c r="A128" s="1" t="s">
        <v>170</v>
      </c>
      <c r="B128" s="1" t="s">
        <v>42</v>
      </c>
      <c r="C128" s="1">
        <v>204</v>
      </c>
      <c r="D128" s="1"/>
      <c r="E128" s="15">
        <f>179+E135</f>
        <v>184</v>
      </c>
      <c r="F128" s="15">
        <f>2+F135</f>
        <v>17</v>
      </c>
      <c r="G128" s="7">
        <v>0.32500000000000001</v>
      </c>
      <c r="H128" s="1"/>
      <c r="I128" s="1" t="s">
        <v>38</v>
      </c>
      <c r="J128" s="1"/>
      <c r="K128" s="1">
        <v>180</v>
      </c>
      <c r="L128" s="1">
        <f t="shared" si="26"/>
        <v>4</v>
      </c>
      <c r="M128" s="1"/>
      <c r="N128" s="1"/>
      <c r="O128" s="1"/>
      <c r="P128" s="1"/>
      <c r="Q128" s="1">
        <v>100</v>
      </c>
      <c r="R128" s="1"/>
      <c r="S128" s="1">
        <f t="shared" si="27"/>
        <v>36.799999999999997</v>
      </c>
      <c r="T128" s="5">
        <f>9*S128-R128-Q128-P128-O128-F128</f>
        <v>214.2</v>
      </c>
      <c r="U128" s="5">
        <f t="shared" si="20"/>
        <v>214.2</v>
      </c>
      <c r="V128" s="1"/>
      <c r="W128" s="1">
        <f t="shared" si="21"/>
        <v>9</v>
      </c>
      <c r="X128" s="1">
        <f t="shared" si="28"/>
        <v>3.179347826086957</v>
      </c>
      <c r="Y128" s="1">
        <v>16</v>
      </c>
      <c r="Z128" s="1">
        <v>0</v>
      </c>
      <c r="AA128" s="1">
        <v>0</v>
      </c>
      <c r="AB128" s="1">
        <v>0</v>
      </c>
      <c r="AC128" s="1">
        <v>0</v>
      </c>
      <c r="AD128" s="1">
        <v>0</v>
      </c>
      <c r="AE128" s="1">
        <v>0</v>
      </c>
      <c r="AF128" s="1">
        <v>0</v>
      </c>
      <c r="AG128" s="1">
        <v>0</v>
      </c>
      <c r="AH128" s="1">
        <v>0</v>
      </c>
      <c r="AI128" s="1" t="s">
        <v>169</v>
      </c>
      <c r="AJ128" s="1">
        <f t="shared" si="22"/>
        <v>70</v>
      </c>
      <c r="AK128" s="1">
        <f t="shared" si="23"/>
        <v>4.8</v>
      </c>
      <c r="AL128" s="1"/>
      <c r="AM128" s="1"/>
      <c r="AN128" s="1"/>
      <c r="AO128" s="1"/>
      <c r="AP128" s="1"/>
      <c r="AQ128" s="1"/>
    </row>
    <row r="129" spans="1:43" x14ac:dyDescent="0.25">
      <c r="A129" s="1" t="s">
        <v>171</v>
      </c>
      <c r="B129" s="1" t="s">
        <v>42</v>
      </c>
      <c r="C129" s="1">
        <v>204</v>
      </c>
      <c r="D129" s="1"/>
      <c r="E129" s="1">
        <v>151</v>
      </c>
      <c r="F129" s="1">
        <v>41</v>
      </c>
      <c r="G129" s="7">
        <v>0.25</v>
      </c>
      <c r="H129" s="1"/>
      <c r="I129" s="1" t="s">
        <v>38</v>
      </c>
      <c r="J129" s="1"/>
      <c r="K129" s="1">
        <v>151</v>
      </c>
      <c r="L129" s="1">
        <f t="shared" si="26"/>
        <v>0</v>
      </c>
      <c r="M129" s="1"/>
      <c r="N129" s="1"/>
      <c r="O129" s="1"/>
      <c r="P129" s="1"/>
      <c r="Q129" s="1">
        <v>0</v>
      </c>
      <c r="R129" s="1"/>
      <c r="S129" s="1">
        <f t="shared" si="27"/>
        <v>30.2</v>
      </c>
      <c r="T129" s="5">
        <f>7*S129-R129-Q129-P129-O129-F129</f>
        <v>170.4</v>
      </c>
      <c r="U129" s="5">
        <f t="shared" si="20"/>
        <v>170.4</v>
      </c>
      <c r="V129" s="1"/>
      <c r="W129" s="1">
        <f t="shared" si="21"/>
        <v>7</v>
      </c>
      <c r="X129" s="1">
        <f t="shared" si="28"/>
        <v>1.3576158940397351</v>
      </c>
      <c r="Y129" s="1">
        <v>9.4</v>
      </c>
      <c r="Z129" s="1">
        <v>0</v>
      </c>
      <c r="AA129" s="1">
        <v>0</v>
      </c>
      <c r="AB129" s="1">
        <v>0</v>
      </c>
      <c r="AC129" s="1">
        <v>0</v>
      </c>
      <c r="AD129" s="1">
        <v>0</v>
      </c>
      <c r="AE129" s="1">
        <v>0</v>
      </c>
      <c r="AF129" s="1">
        <v>0</v>
      </c>
      <c r="AG129" s="1">
        <v>0</v>
      </c>
      <c r="AH129" s="1">
        <v>0</v>
      </c>
      <c r="AI129" s="1" t="s">
        <v>169</v>
      </c>
      <c r="AJ129" s="1">
        <f t="shared" si="22"/>
        <v>43</v>
      </c>
      <c r="AK129" s="1">
        <f t="shared" si="23"/>
        <v>3.6</v>
      </c>
      <c r="AL129" s="1"/>
      <c r="AM129" s="1"/>
      <c r="AN129" s="1"/>
      <c r="AO129" s="1"/>
      <c r="AP129" s="1"/>
      <c r="AQ129" s="1"/>
    </row>
    <row r="130" spans="1:43" x14ac:dyDescent="0.25">
      <c r="A130" s="1" t="s">
        <v>172</v>
      </c>
      <c r="B130" s="1" t="s">
        <v>42</v>
      </c>
      <c r="C130" s="1">
        <v>114</v>
      </c>
      <c r="D130" s="1">
        <v>570</v>
      </c>
      <c r="E130" s="1">
        <v>127</v>
      </c>
      <c r="F130" s="1">
        <v>494</v>
      </c>
      <c r="G130" s="7">
        <v>0.3</v>
      </c>
      <c r="H130" s="1">
        <v>40</v>
      </c>
      <c r="I130" s="1" t="s">
        <v>38</v>
      </c>
      <c r="J130" s="1"/>
      <c r="K130" s="1">
        <v>279</v>
      </c>
      <c r="L130" s="1">
        <f t="shared" si="26"/>
        <v>-152</v>
      </c>
      <c r="M130" s="1"/>
      <c r="N130" s="1"/>
      <c r="O130" s="1"/>
      <c r="P130" s="1"/>
      <c r="Q130" s="1">
        <v>610.02499999999964</v>
      </c>
      <c r="R130" s="1"/>
      <c r="S130" s="1">
        <f t="shared" si="27"/>
        <v>25.4</v>
      </c>
      <c r="T130" s="5"/>
      <c r="U130" s="5">
        <f t="shared" si="20"/>
        <v>0</v>
      </c>
      <c r="V130" s="1"/>
      <c r="W130" s="1">
        <f t="shared" si="21"/>
        <v>43.465551181102349</v>
      </c>
      <c r="X130" s="1">
        <f t="shared" si="28"/>
        <v>43.465551181102349</v>
      </c>
      <c r="Y130" s="1">
        <v>82.8</v>
      </c>
      <c r="Z130" s="1">
        <v>98.6</v>
      </c>
      <c r="AA130" s="1">
        <v>83.8</v>
      </c>
      <c r="AB130" s="1">
        <v>69</v>
      </c>
      <c r="AC130" s="1">
        <v>67.8</v>
      </c>
      <c r="AD130" s="1">
        <v>71.400000000000006</v>
      </c>
      <c r="AE130" s="1">
        <v>66.400000000000006</v>
      </c>
      <c r="AF130" s="1">
        <v>66</v>
      </c>
      <c r="AG130" s="1">
        <v>67.599999999999994</v>
      </c>
      <c r="AH130" s="1">
        <v>70.400000000000006</v>
      </c>
      <c r="AI130" s="1"/>
      <c r="AJ130" s="1">
        <f t="shared" si="22"/>
        <v>0</v>
      </c>
      <c r="AK130" s="1">
        <f t="shared" si="23"/>
        <v>69.927272727272722</v>
      </c>
      <c r="AL130" s="1"/>
      <c r="AM130" s="1"/>
      <c r="AN130" s="1"/>
      <c r="AO130" s="1"/>
      <c r="AP130" s="1"/>
      <c r="AQ130" s="1"/>
    </row>
    <row r="131" spans="1:43" x14ac:dyDescent="0.25">
      <c r="A131" s="1" t="s">
        <v>173</v>
      </c>
      <c r="B131" s="1" t="s">
        <v>42</v>
      </c>
      <c r="C131" s="1">
        <v>164</v>
      </c>
      <c r="D131" s="1">
        <v>606</v>
      </c>
      <c r="E131" s="1">
        <v>465</v>
      </c>
      <c r="F131" s="1">
        <v>263</v>
      </c>
      <c r="G131" s="7">
        <v>0.3</v>
      </c>
      <c r="H131" s="1">
        <v>40</v>
      </c>
      <c r="I131" s="1" t="s">
        <v>38</v>
      </c>
      <c r="J131" s="1"/>
      <c r="K131" s="1">
        <v>488</v>
      </c>
      <c r="L131" s="1">
        <f t="shared" si="26"/>
        <v>-23</v>
      </c>
      <c r="M131" s="1"/>
      <c r="N131" s="1"/>
      <c r="O131" s="1"/>
      <c r="P131" s="1"/>
      <c r="Q131" s="1">
        <v>429.87699999999961</v>
      </c>
      <c r="R131" s="1"/>
      <c r="S131" s="1">
        <f t="shared" si="27"/>
        <v>93</v>
      </c>
      <c r="T131" s="5">
        <f t="shared" ref="T131:T134" si="31">10.5*S131-R131-Q131-P131-O131-F131</f>
        <v>283.62300000000039</v>
      </c>
      <c r="U131" s="5">
        <f t="shared" si="20"/>
        <v>283.62300000000039</v>
      </c>
      <c r="V131" s="1"/>
      <c r="W131" s="1">
        <f t="shared" si="21"/>
        <v>10.5</v>
      </c>
      <c r="X131" s="1">
        <f t="shared" si="28"/>
        <v>7.4502903225806412</v>
      </c>
      <c r="Y131" s="1">
        <v>65.8</v>
      </c>
      <c r="Z131" s="1">
        <v>68.400000000000006</v>
      </c>
      <c r="AA131" s="1">
        <v>71</v>
      </c>
      <c r="AB131" s="1">
        <v>56</v>
      </c>
      <c r="AC131" s="1">
        <v>55.2</v>
      </c>
      <c r="AD131" s="1">
        <v>59.2</v>
      </c>
      <c r="AE131" s="1">
        <v>57</v>
      </c>
      <c r="AF131" s="1">
        <v>54</v>
      </c>
      <c r="AG131" s="1">
        <v>52.6</v>
      </c>
      <c r="AH131" s="1">
        <v>60</v>
      </c>
      <c r="AI131" s="1"/>
      <c r="AJ131" s="1">
        <f t="shared" si="22"/>
        <v>85</v>
      </c>
      <c r="AK131" s="1">
        <f t="shared" si="23"/>
        <v>62.927272727272722</v>
      </c>
      <c r="AL131" s="1"/>
      <c r="AM131" s="1"/>
      <c r="AN131" s="1"/>
      <c r="AO131" s="1"/>
      <c r="AP131" s="1"/>
      <c r="AQ131" s="1"/>
    </row>
    <row r="132" spans="1:43" x14ac:dyDescent="0.25">
      <c r="A132" s="1" t="s">
        <v>174</v>
      </c>
      <c r="B132" s="1" t="s">
        <v>37</v>
      </c>
      <c r="C132" s="1">
        <v>256.45600000000002</v>
      </c>
      <c r="D132" s="1">
        <v>522.26400000000001</v>
      </c>
      <c r="E132" s="1">
        <v>290.72399999999999</v>
      </c>
      <c r="F132" s="1">
        <v>476.78899999999999</v>
      </c>
      <c r="G132" s="7">
        <v>1</v>
      </c>
      <c r="H132" s="1">
        <v>50</v>
      </c>
      <c r="I132" s="1" t="s">
        <v>38</v>
      </c>
      <c r="J132" s="1"/>
      <c r="K132" s="1">
        <v>280.2</v>
      </c>
      <c r="L132" s="1">
        <f t="shared" si="26"/>
        <v>10.524000000000001</v>
      </c>
      <c r="M132" s="1"/>
      <c r="N132" s="1"/>
      <c r="O132" s="1"/>
      <c r="P132" s="1"/>
      <c r="Q132" s="1">
        <v>290.38570099999981</v>
      </c>
      <c r="R132" s="1"/>
      <c r="S132" s="1">
        <f t="shared" si="27"/>
        <v>58.144799999999996</v>
      </c>
      <c r="T132" s="5"/>
      <c r="U132" s="5">
        <f t="shared" si="20"/>
        <v>0</v>
      </c>
      <c r="V132" s="1"/>
      <c r="W132" s="1">
        <f t="shared" si="21"/>
        <v>13.194209989543344</v>
      </c>
      <c r="X132" s="1">
        <f t="shared" si="28"/>
        <v>13.194209989543344</v>
      </c>
      <c r="Y132" s="1">
        <v>62.955399999999997</v>
      </c>
      <c r="Z132" s="1">
        <v>66.096400000000003</v>
      </c>
      <c r="AA132" s="1">
        <v>58.156999999999996</v>
      </c>
      <c r="AB132" s="1">
        <v>49.684600000000003</v>
      </c>
      <c r="AC132" s="1">
        <v>52.064</v>
      </c>
      <c r="AD132" s="1">
        <v>54.797600000000003</v>
      </c>
      <c r="AE132" s="1">
        <v>47.229799999999997</v>
      </c>
      <c r="AF132" s="1">
        <v>50.653799999999997</v>
      </c>
      <c r="AG132" s="1">
        <v>59.935799999999993</v>
      </c>
      <c r="AH132" s="1">
        <v>60.668999999999997</v>
      </c>
      <c r="AI132" s="1"/>
      <c r="AJ132" s="1">
        <f t="shared" si="22"/>
        <v>0</v>
      </c>
      <c r="AK132" s="1">
        <f t="shared" si="23"/>
        <v>56.398927272727271</v>
      </c>
      <c r="AL132" s="1"/>
      <c r="AM132" s="1"/>
      <c r="AN132" s="1"/>
      <c r="AO132" s="1"/>
      <c r="AP132" s="1"/>
      <c r="AQ132" s="1"/>
    </row>
    <row r="133" spans="1:43" x14ac:dyDescent="0.25">
      <c r="A133" s="1" t="s">
        <v>175</v>
      </c>
      <c r="B133" s="1" t="s">
        <v>42</v>
      </c>
      <c r="C133" s="1">
        <v>385</v>
      </c>
      <c r="D133" s="1">
        <v>198</v>
      </c>
      <c r="E133" s="1">
        <v>317</v>
      </c>
      <c r="F133" s="1">
        <v>231</v>
      </c>
      <c r="G133" s="7">
        <v>0.3</v>
      </c>
      <c r="H133" s="1">
        <v>40</v>
      </c>
      <c r="I133" s="16" t="s">
        <v>179</v>
      </c>
      <c r="J133" s="1"/>
      <c r="K133" s="1">
        <v>324</v>
      </c>
      <c r="L133" s="1">
        <f t="shared" si="26"/>
        <v>-7</v>
      </c>
      <c r="M133" s="1"/>
      <c r="N133" s="1"/>
      <c r="O133" s="1"/>
      <c r="P133" s="1"/>
      <c r="Q133" s="1">
        <v>269</v>
      </c>
      <c r="R133" s="1"/>
      <c r="S133" s="1">
        <f t="shared" si="27"/>
        <v>63.4</v>
      </c>
      <c r="T133" s="5">
        <v>120</v>
      </c>
      <c r="U133" s="5">
        <f t="shared" si="20"/>
        <v>120</v>
      </c>
      <c r="V133" s="1"/>
      <c r="W133" s="1">
        <f t="shared" si="21"/>
        <v>9.7791798107255516</v>
      </c>
      <c r="X133" s="1">
        <f t="shared" si="28"/>
        <v>7.8864353312302837</v>
      </c>
      <c r="Y133" s="1">
        <v>55</v>
      </c>
      <c r="Z133" s="1">
        <v>46.8</v>
      </c>
      <c r="AA133" s="1">
        <v>58.4</v>
      </c>
      <c r="AB133" s="1">
        <v>57.6</v>
      </c>
      <c r="AC133" s="1">
        <v>44.2</v>
      </c>
      <c r="AD133" s="1">
        <v>51.6</v>
      </c>
      <c r="AE133" s="1">
        <v>59.6</v>
      </c>
      <c r="AF133" s="1">
        <v>56.6</v>
      </c>
      <c r="AG133" s="1">
        <v>60</v>
      </c>
      <c r="AH133" s="1">
        <v>48.6</v>
      </c>
      <c r="AI133" s="1"/>
      <c r="AJ133" s="1">
        <f t="shared" si="22"/>
        <v>36</v>
      </c>
      <c r="AK133" s="1">
        <f t="shared" si="23"/>
        <v>54.709090909090918</v>
      </c>
      <c r="AL133" s="1"/>
      <c r="AM133" s="1"/>
      <c r="AN133" s="1"/>
      <c r="AO133" s="1"/>
      <c r="AP133" s="1"/>
      <c r="AQ133" s="1"/>
    </row>
    <row r="134" spans="1:43" x14ac:dyDescent="0.25">
      <c r="A134" s="1" t="s">
        <v>176</v>
      </c>
      <c r="B134" s="1" t="s">
        <v>42</v>
      </c>
      <c r="C134" s="1">
        <v>85</v>
      </c>
      <c r="D134" s="1">
        <v>32</v>
      </c>
      <c r="E134" s="1">
        <v>59</v>
      </c>
      <c r="F134" s="1">
        <v>53</v>
      </c>
      <c r="G134" s="7">
        <v>0.12</v>
      </c>
      <c r="H134" s="1">
        <v>45</v>
      </c>
      <c r="I134" s="1" t="s">
        <v>38</v>
      </c>
      <c r="J134" s="1"/>
      <c r="K134" s="1">
        <v>63</v>
      </c>
      <c r="L134" s="1">
        <f t="shared" ref="L134:L135" si="32">E134-K134</f>
        <v>-4</v>
      </c>
      <c r="M134" s="1"/>
      <c r="N134" s="1"/>
      <c r="O134" s="1"/>
      <c r="P134" s="1"/>
      <c r="Q134" s="1">
        <v>8</v>
      </c>
      <c r="R134" s="1"/>
      <c r="S134" s="1">
        <f t="shared" si="27"/>
        <v>11.8</v>
      </c>
      <c r="T134" s="5">
        <f t="shared" si="31"/>
        <v>62.900000000000006</v>
      </c>
      <c r="U134" s="5">
        <f t="shared" si="20"/>
        <v>62.900000000000006</v>
      </c>
      <c r="V134" s="1"/>
      <c r="W134" s="1">
        <f t="shared" si="21"/>
        <v>10.5</v>
      </c>
      <c r="X134" s="1">
        <f t="shared" si="28"/>
        <v>5.1694915254237284</v>
      </c>
      <c r="Y134" s="1">
        <v>8</v>
      </c>
      <c r="Z134" s="1">
        <v>6.8</v>
      </c>
      <c r="AA134" s="1">
        <v>10.199999999999999</v>
      </c>
      <c r="AB134" s="1">
        <v>11.4</v>
      </c>
      <c r="AC134" s="1">
        <v>5.6</v>
      </c>
      <c r="AD134" s="1">
        <v>5.6</v>
      </c>
      <c r="AE134" s="1">
        <v>9.8000000000000007</v>
      </c>
      <c r="AF134" s="1">
        <v>9.6</v>
      </c>
      <c r="AG134" s="1">
        <v>6</v>
      </c>
      <c r="AH134" s="1">
        <v>2.8</v>
      </c>
      <c r="AI134" s="1"/>
      <c r="AJ134" s="1">
        <f t="shared" si="22"/>
        <v>8</v>
      </c>
      <c r="AK134" s="1">
        <f t="shared" si="23"/>
        <v>7.963636363636363</v>
      </c>
      <c r="AL134" s="1"/>
      <c r="AM134" s="1"/>
      <c r="AN134" s="1"/>
      <c r="AO134" s="1"/>
      <c r="AP134" s="1"/>
      <c r="AQ134" s="1"/>
    </row>
    <row r="135" spans="1:43" x14ac:dyDescent="0.25">
      <c r="A135" s="11" t="s">
        <v>177</v>
      </c>
      <c r="B135" s="11" t="s">
        <v>42</v>
      </c>
      <c r="C135" s="11"/>
      <c r="D135" s="11">
        <v>20</v>
      </c>
      <c r="E135" s="15">
        <v>5</v>
      </c>
      <c r="F135" s="15">
        <v>15</v>
      </c>
      <c r="G135" s="12">
        <v>0</v>
      </c>
      <c r="H135" s="11"/>
      <c r="I135" s="14" t="s">
        <v>178</v>
      </c>
      <c r="J135" s="11" t="s">
        <v>170</v>
      </c>
      <c r="K135" s="11">
        <v>4</v>
      </c>
      <c r="L135" s="11">
        <f t="shared" si="32"/>
        <v>1</v>
      </c>
      <c r="M135" s="11"/>
      <c r="N135" s="11"/>
      <c r="O135" s="11"/>
      <c r="P135" s="11"/>
      <c r="Q135" s="11"/>
      <c r="R135" s="11"/>
      <c r="S135" s="11">
        <f t="shared" si="27"/>
        <v>1</v>
      </c>
      <c r="T135" s="13"/>
      <c r="U135" s="5">
        <f t="shared" ref="U135" si="33">T135</f>
        <v>0</v>
      </c>
      <c r="V135" s="11"/>
      <c r="W135" s="1">
        <f t="shared" ref="W135" si="34">(F135+O135+P135+Q135+R135+U135)/S135</f>
        <v>15</v>
      </c>
      <c r="X135" s="11">
        <f t="shared" si="28"/>
        <v>15</v>
      </c>
      <c r="Y135" s="11">
        <v>0</v>
      </c>
      <c r="Z135" s="11">
        <v>0</v>
      </c>
      <c r="AA135" s="11">
        <v>0</v>
      </c>
      <c r="AB135" s="11">
        <v>0</v>
      </c>
      <c r="AC135" s="11">
        <v>0</v>
      </c>
      <c r="AD135" s="11">
        <v>0</v>
      </c>
      <c r="AE135" s="11">
        <v>0</v>
      </c>
      <c r="AF135" s="11">
        <v>0</v>
      </c>
      <c r="AG135" s="11">
        <v>0</v>
      </c>
      <c r="AH135" s="11">
        <v>0</v>
      </c>
      <c r="AI135" s="11"/>
      <c r="AJ135" s="1">
        <f t="shared" ref="AJ135" si="35">ROUND(G135*U135,0)</f>
        <v>0</v>
      </c>
      <c r="AK135" s="1">
        <f t="shared" ref="AK135" si="36">(SUM(Y135:AH135)+S135)/11</f>
        <v>9.0909090909090912E-2</v>
      </c>
      <c r="AL135" s="1"/>
      <c r="AM135" s="1"/>
      <c r="AN135" s="1"/>
      <c r="AO135" s="1"/>
      <c r="AP135" s="1"/>
      <c r="AQ135" s="1"/>
    </row>
    <row r="136" spans="1:43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</row>
    <row r="137" spans="1:43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</row>
    <row r="138" spans="1:43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</row>
    <row r="139" spans="1:43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</row>
    <row r="140" spans="1:43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</row>
    <row r="141" spans="1:43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</row>
    <row r="142" spans="1:43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</row>
    <row r="143" spans="1:43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</row>
    <row r="144" spans="1:43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</row>
    <row r="145" spans="1:43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</row>
    <row r="146" spans="1:43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</row>
    <row r="147" spans="1:43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</row>
    <row r="148" spans="1:43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</row>
    <row r="149" spans="1:43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</row>
    <row r="150" spans="1:43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</row>
    <row r="151" spans="1:43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</row>
    <row r="152" spans="1:43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</row>
    <row r="153" spans="1:43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</row>
    <row r="154" spans="1:43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</row>
    <row r="155" spans="1:43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</row>
    <row r="156" spans="1:43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</row>
    <row r="157" spans="1:43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</row>
    <row r="158" spans="1:43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</row>
    <row r="159" spans="1:43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</row>
    <row r="160" spans="1:43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</row>
    <row r="161" spans="1:43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</row>
    <row r="162" spans="1:43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</row>
    <row r="163" spans="1:43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</row>
    <row r="164" spans="1:43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</row>
    <row r="165" spans="1:43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</row>
    <row r="166" spans="1:43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</row>
    <row r="167" spans="1:43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</row>
    <row r="168" spans="1:43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</row>
    <row r="169" spans="1:43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</row>
    <row r="170" spans="1:43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</row>
    <row r="171" spans="1:43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</row>
    <row r="172" spans="1:43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</row>
    <row r="173" spans="1:43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</row>
    <row r="174" spans="1:43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</row>
    <row r="175" spans="1:43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</row>
    <row r="176" spans="1:43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</row>
    <row r="177" spans="1:43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</row>
    <row r="178" spans="1:43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</row>
    <row r="179" spans="1:43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</row>
    <row r="180" spans="1:43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</row>
    <row r="181" spans="1:43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</row>
    <row r="182" spans="1:43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</row>
    <row r="183" spans="1:43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</row>
    <row r="184" spans="1:43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</row>
    <row r="185" spans="1:43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</row>
    <row r="186" spans="1:43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</row>
    <row r="187" spans="1:43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</row>
    <row r="188" spans="1:43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</row>
    <row r="189" spans="1:43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</row>
    <row r="190" spans="1:43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</row>
    <row r="191" spans="1:43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</row>
    <row r="192" spans="1:43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</row>
    <row r="193" spans="1:43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</row>
    <row r="194" spans="1:43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</row>
    <row r="195" spans="1:43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</row>
    <row r="196" spans="1:43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</row>
    <row r="197" spans="1:43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</row>
    <row r="198" spans="1:43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</row>
    <row r="199" spans="1:43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</row>
    <row r="200" spans="1:43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</row>
    <row r="201" spans="1:43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</row>
    <row r="202" spans="1:43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</row>
    <row r="203" spans="1:43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</row>
    <row r="204" spans="1:43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</row>
    <row r="205" spans="1:43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</row>
    <row r="206" spans="1:43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</row>
    <row r="207" spans="1:43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</row>
    <row r="208" spans="1:43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</row>
    <row r="209" spans="1:43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</row>
    <row r="210" spans="1:43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</row>
    <row r="211" spans="1:43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</row>
    <row r="212" spans="1:43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</row>
    <row r="213" spans="1:43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</row>
    <row r="214" spans="1:43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</row>
    <row r="215" spans="1:43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</row>
    <row r="216" spans="1:43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</row>
    <row r="217" spans="1:43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</row>
    <row r="218" spans="1:43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</row>
    <row r="219" spans="1:43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</row>
    <row r="220" spans="1:43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</row>
    <row r="221" spans="1:43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</row>
    <row r="222" spans="1:43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</row>
    <row r="223" spans="1:43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</row>
    <row r="224" spans="1:43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</row>
    <row r="225" spans="1:43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</row>
    <row r="226" spans="1:43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</row>
    <row r="227" spans="1:43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</row>
    <row r="228" spans="1:43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</row>
    <row r="229" spans="1:43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</row>
    <row r="230" spans="1:43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</row>
    <row r="231" spans="1:43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</row>
    <row r="232" spans="1:43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</row>
    <row r="233" spans="1:43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</row>
    <row r="234" spans="1:43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</row>
    <row r="235" spans="1:43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</row>
    <row r="236" spans="1:43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</row>
    <row r="237" spans="1:43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</row>
    <row r="238" spans="1:43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</row>
    <row r="239" spans="1:43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</row>
    <row r="240" spans="1:43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</row>
    <row r="241" spans="1:43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</row>
    <row r="242" spans="1:43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</row>
    <row r="243" spans="1:43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</row>
    <row r="244" spans="1:43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</row>
    <row r="245" spans="1:43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</row>
    <row r="246" spans="1:43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</row>
    <row r="247" spans="1:43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</row>
    <row r="248" spans="1:43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</row>
    <row r="249" spans="1:43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</row>
    <row r="250" spans="1:43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</row>
    <row r="251" spans="1:43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</row>
    <row r="252" spans="1:43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</row>
    <row r="253" spans="1:43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</row>
    <row r="254" spans="1:43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</row>
    <row r="255" spans="1:43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</row>
    <row r="256" spans="1:43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</row>
    <row r="257" spans="1:43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</row>
    <row r="258" spans="1:43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</row>
    <row r="259" spans="1:43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</row>
    <row r="260" spans="1:43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</row>
    <row r="261" spans="1:43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</row>
    <row r="262" spans="1:43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</row>
    <row r="263" spans="1:43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</row>
    <row r="264" spans="1:43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</row>
    <row r="265" spans="1:43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</row>
    <row r="266" spans="1:43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</row>
    <row r="267" spans="1:43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</row>
    <row r="268" spans="1:43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</row>
    <row r="269" spans="1:43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</row>
    <row r="270" spans="1:43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</row>
    <row r="271" spans="1:43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</row>
    <row r="272" spans="1:43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</row>
    <row r="273" spans="1:43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</row>
    <row r="274" spans="1:43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</row>
    <row r="275" spans="1:43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</row>
    <row r="276" spans="1:43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</row>
    <row r="277" spans="1:43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</row>
    <row r="278" spans="1:43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</row>
    <row r="279" spans="1:43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</row>
    <row r="280" spans="1:43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</row>
    <row r="281" spans="1:43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</row>
    <row r="282" spans="1:43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</row>
    <row r="283" spans="1:43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</row>
    <row r="284" spans="1:43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</row>
    <row r="285" spans="1:43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</row>
    <row r="286" spans="1:43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</row>
    <row r="287" spans="1:43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</row>
    <row r="288" spans="1:43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</row>
    <row r="289" spans="1:43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</row>
    <row r="290" spans="1:43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</row>
    <row r="291" spans="1:43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</row>
    <row r="292" spans="1:43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</row>
    <row r="293" spans="1:43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</row>
    <row r="294" spans="1:43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</row>
    <row r="295" spans="1:43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</row>
    <row r="296" spans="1:43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</row>
    <row r="297" spans="1:43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</row>
    <row r="298" spans="1:43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</row>
    <row r="299" spans="1:43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</row>
    <row r="300" spans="1:43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</row>
    <row r="301" spans="1:43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</row>
    <row r="302" spans="1:43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</row>
    <row r="303" spans="1:43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</row>
    <row r="304" spans="1:43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</row>
    <row r="305" spans="1:43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</row>
    <row r="306" spans="1:43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</row>
    <row r="307" spans="1:43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</row>
    <row r="308" spans="1:43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</row>
    <row r="309" spans="1:43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</row>
    <row r="310" spans="1:43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</row>
    <row r="311" spans="1:43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</row>
    <row r="312" spans="1:43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</row>
    <row r="313" spans="1:43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</row>
    <row r="314" spans="1:43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</row>
    <row r="315" spans="1:43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</row>
    <row r="316" spans="1:43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</row>
    <row r="317" spans="1:43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</row>
    <row r="318" spans="1:43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</row>
    <row r="319" spans="1:43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</row>
    <row r="320" spans="1:43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</row>
    <row r="321" spans="1:43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</row>
    <row r="322" spans="1:43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</row>
    <row r="323" spans="1:43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</row>
    <row r="324" spans="1:43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</row>
    <row r="325" spans="1:43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</row>
    <row r="326" spans="1:43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</row>
    <row r="327" spans="1:43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</row>
    <row r="328" spans="1:43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</row>
    <row r="329" spans="1:43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</row>
    <row r="330" spans="1:43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</row>
    <row r="331" spans="1:43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</row>
    <row r="332" spans="1:43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</row>
    <row r="333" spans="1:43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</row>
    <row r="334" spans="1:43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</row>
    <row r="335" spans="1:43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</row>
    <row r="336" spans="1:43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</row>
    <row r="337" spans="1:43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</row>
    <row r="338" spans="1:43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</row>
    <row r="339" spans="1:43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</row>
    <row r="340" spans="1:43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</row>
    <row r="341" spans="1:43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</row>
    <row r="342" spans="1:43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</row>
    <row r="343" spans="1:43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</row>
    <row r="344" spans="1:43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</row>
    <row r="345" spans="1:43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</row>
    <row r="346" spans="1:43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</row>
    <row r="347" spans="1:43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</row>
    <row r="348" spans="1:43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</row>
    <row r="349" spans="1:43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</row>
    <row r="350" spans="1:43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</row>
    <row r="351" spans="1:43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</row>
    <row r="352" spans="1:43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</row>
    <row r="353" spans="1:43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</row>
    <row r="354" spans="1:43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</row>
    <row r="355" spans="1:43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</row>
    <row r="356" spans="1:43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</row>
    <row r="357" spans="1:43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</row>
    <row r="358" spans="1:43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</row>
    <row r="359" spans="1:43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</row>
    <row r="360" spans="1:43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</row>
    <row r="361" spans="1:43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</row>
    <row r="362" spans="1:43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</row>
    <row r="363" spans="1:43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</row>
    <row r="364" spans="1:43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</row>
    <row r="365" spans="1:43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</row>
    <row r="366" spans="1:43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</row>
    <row r="367" spans="1:43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</row>
    <row r="368" spans="1:43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</row>
    <row r="369" spans="1:43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</row>
    <row r="370" spans="1:43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</row>
    <row r="371" spans="1:43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</row>
    <row r="372" spans="1:43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</row>
    <row r="373" spans="1:43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</row>
    <row r="374" spans="1:43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</row>
    <row r="375" spans="1:43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</row>
    <row r="376" spans="1:43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</row>
    <row r="377" spans="1:43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</row>
    <row r="378" spans="1:43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</row>
    <row r="379" spans="1:43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</row>
    <row r="380" spans="1:43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</row>
    <row r="381" spans="1:43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</row>
    <row r="382" spans="1:43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</row>
    <row r="383" spans="1:43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</row>
    <row r="384" spans="1:43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</row>
    <row r="385" spans="1:43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</row>
    <row r="386" spans="1:43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</row>
    <row r="387" spans="1:43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</row>
    <row r="388" spans="1:43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</row>
    <row r="389" spans="1:43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</row>
    <row r="390" spans="1:43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</row>
    <row r="391" spans="1:43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</row>
    <row r="392" spans="1:43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</row>
    <row r="393" spans="1:43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</row>
    <row r="394" spans="1:43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</row>
    <row r="395" spans="1:43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</row>
    <row r="396" spans="1:43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</row>
    <row r="397" spans="1:43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</row>
    <row r="398" spans="1:43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</row>
    <row r="399" spans="1:43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</row>
    <row r="400" spans="1:43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</row>
    <row r="401" spans="1:43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</row>
    <row r="402" spans="1:43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</row>
    <row r="403" spans="1:43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</row>
    <row r="404" spans="1:43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</row>
    <row r="405" spans="1:43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</row>
    <row r="406" spans="1:43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</row>
    <row r="407" spans="1:43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</row>
    <row r="408" spans="1:43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</row>
    <row r="409" spans="1:43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</row>
    <row r="410" spans="1:43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</row>
    <row r="411" spans="1:43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</row>
    <row r="412" spans="1:43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</row>
    <row r="413" spans="1:43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</row>
    <row r="414" spans="1:43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</row>
    <row r="415" spans="1:43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</row>
    <row r="416" spans="1:43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</row>
    <row r="417" spans="1:43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</row>
    <row r="418" spans="1:43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</row>
    <row r="419" spans="1:43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</row>
    <row r="420" spans="1:43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</row>
    <row r="421" spans="1:43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</row>
    <row r="422" spans="1:43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</row>
    <row r="423" spans="1:43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</row>
    <row r="424" spans="1:43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</row>
    <row r="425" spans="1:43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</row>
    <row r="426" spans="1:43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</row>
    <row r="427" spans="1:43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</row>
    <row r="428" spans="1:43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</row>
    <row r="429" spans="1:43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</row>
    <row r="430" spans="1:43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</row>
    <row r="431" spans="1:43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</row>
    <row r="432" spans="1:43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</row>
    <row r="433" spans="1:43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</row>
    <row r="434" spans="1:43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</row>
    <row r="435" spans="1:43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</row>
    <row r="436" spans="1:43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</row>
    <row r="437" spans="1:43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</row>
    <row r="438" spans="1:43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</row>
    <row r="439" spans="1:43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</row>
    <row r="440" spans="1:43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</row>
    <row r="441" spans="1:43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</row>
    <row r="442" spans="1:43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</row>
    <row r="443" spans="1:43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</row>
    <row r="444" spans="1:43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</row>
    <row r="445" spans="1:43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</row>
    <row r="446" spans="1:43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</row>
    <row r="447" spans="1:43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</row>
    <row r="448" spans="1:43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</row>
    <row r="449" spans="1:43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</row>
    <row r="450" spans="1:43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</row>
    <row r="451" spans="1:43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</row>
    <row r="452" spans="1:43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</row>
    <row r="453" spans="1:43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</row>
    <row r="454" spans="1:43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</row>
    <row r="455" spans="1:43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</row>
    <row r="456" spans="1:43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</row>
    <row r="457" spans="1:43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</row>
    <row r="458" spans="1:43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</row>
    <row r="459" spans="1:43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</row>
    <row r="460" spans="1:43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</row>
    <row r="461" spans="1:43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</row>
    <row r="462" spans="1:43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</row>
    <row r="463" spans="1:43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</row>
    <row r="464" spans="1:43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</row>
    <row r="465" spans="1:43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</row>
    <row r="466" spans="1:43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</row>
    <row r="467" spans="1:43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</row>
    <row r="468" spans="1:43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</row>
    <row r="469" spans="1:43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</row>
    <row r="470" spans="1:43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</row>
    <row r="471" spans="1:43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</row>
    <row r="472" spans="1:43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</row>
    <row r="473" spans="1:43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</row>
    <row r="474" spans="1:43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</row>
    <row r="475" spans="1:43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</row>
    <row r="476" spans="1:43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</row>
    <row r="477" spans="1:43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</row>
    <row r="478" spans="1:43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</row>
    <row r="479" spans="1:43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</row>
    <row r="480" spans="1:43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</row>
    <row r="481" spans="1:43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</row>
    <row r="482" spans="1:43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</row>
    <row r="483" spans="1:43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</row>
    <row r="484" spans="1:43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</row>
    <row r="485" spans="1:43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</row>
    <row r="486" spans="1:43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</row>
    <row r="487" spans="1:43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</row>
    <row r="488" spans="1:43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</row>
    <row r="489" spans="1:43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</row>
    <row r="490" spans="1:43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</row>
    <row r="491" spans="1:43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</row>
  </sheetData>
  <autoFilter ref="A3:AJ135" xr:uid="{00000000-0009-0000-0000-000000000000}"/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2026-08-04T10:36:00Z</dcterms:created>
  <dcterms:modified xsi:type="dcterms:W3CDTF">2026-08-05T15:12:49Z</dcterms:modified>
</cp:coreProperties>
</file>