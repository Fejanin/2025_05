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4906F586-6BA8-4610-B657-27BA92F859D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4,08,26" sheetId="2" r:id="rId2"/>
  </sheets>
  <externalReferences>
    <externalReference r:id="rId3"/>
  </externalReferences>
  <definedNames>
    <definedName name="_xlnm._FilterDatabase" localSheetId="0" hidden="1">Sheet!$A$3:$AL$129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AM120" i="1" l="1"/>
  <c r="AM89" i="1"/>
  <c r="AM88" i="1"/>
  <c r="AM87" i="1"/>
  <c r="AM85" i="1"/>
  <c r="AM55" i="1"/>
  <c r="AM51" i="1"/>
  <c r="AM16" i="1"/>
  <c r="AM15" i="1"/>
  <c r="AM10" i="1"/>
  <c r="V5" i="1"/>
  <c r="AL10" i="1"/>
  <c r="AL15" i="1"/>
  <c r="AL16" i="1"/>
  <c r="AL51" i="1"/>
  <c r="AL55" i="1"/>
  <c r="AL85" i="1"/>
  <c r="AL87" i="1"/>
  <c r="AL88" i="1"/>
  <c r="AL89" i="1"/>
  <c r="AL120" i="1"/>
  <c r="AM5" i="1" l="1"/>
  <c r="T129" i="1" l="1"/>
  <c r="R129" i="1"/>
  <c r="X129" i="1" s="1"/>
  <c r="L129" i="1"/>
  <c r="R128" i="1"/>
  <c r="X128" i="1" s="1"/>
  <c r="L128" i="1"/>
  <c r="T127" i="1"/>
  <c r="AJ127" i="1" s="1"/>
  <c r="R127" i="1"/>
  <c r="X127" i="1" s="1"/>
  <c r="L127" i="1"/>
  <c r="R126" i="1"/>
  <c r="X126" i="1" s="1"/>
  <c r="L126" i="1"/>
  <c r="T125" i="1"/>
  <c r="AJ125" i="1" s="1"/>
  <c r="R125" i="1"/>
  <c r="X125" i="1" s="1"/>
  <c r="L125" i="1"/>
  <c r="T124" i="1"/>
  <c r="AJ124" i="1" s="1"/>
  <c r="R124" i="1"/>
  <c r="X124" i="1" s="1"/>
  <c r="L124" i="1"/>
  <c r="T123" i="1"/>
  <c r="R123" i="1"/>
  <c r="X123" i="1" s="1"/>
  <c r="L123" i="1"/>
  <c r="T122" i="1"/>
  <c r="AJ122" i="1" s="1"/>
  <c r="F122" i="1"/>
  <c r="F5" i="1" s="1"/>
  <c r="E122" i="1"/>
  <c r="E5" i="1" s="1"/>
  <c r="T121" i="1"/>
  <c r="AJ121" i="1" s="1"/>
  <c r="R121" i="1"/>
  <c r="X121" i="1" s="1"/>
  <c r="L121" i="1"/>
  <c r="R120" i="1"/>
  <c r="X120" i="1" s="1"/>
  <c r="L120" i="1"/>
  <c r="R119" i="1"/>
  <c r="X119" i="1" s="1"/>
  <c r="L119" i="1"/>
  <c r="T118" i="1"/>
  <c r="AJ118" i="1" s="1"/>
  <c r="R118" i="1"/>
  <c r="X118" i="1" s="1"/>
  <c r="L118" i="1"/>
  <c r="R117" i="1"/>
  <c r="X117" i="1" s="1"/>
  <c r="L117" i="1"/>
  <c r="T116" i="1"/>
  <c r="AJ116" i="1" s="1"/>
  <c r="R116" i="1"/>
  <c r="X116" i="1" s="1"/>
  <c r="L116" i="1"/>
  <c r="R115" i="1"/>
  <c r="X115" i="1" s="1"/>
  <c r="L115" i="1"/>
  <c r="R114" i="1"/>
  <c r="X114" i="1" s="1"/>
  <c r="L114" i="1"/>
  <c r="R113" i="1"/>
  <c r="X113" i="1" s="1"/>
  <c r="L113" i="1"/>
  <c r="T112" i="1"/>
  <c r="AJ112" i="1" s="1"/>
  <c r="R112" i="1"/>
  <c r="X112" i="1" s="1"/>
  <c r="L112" i="1"/>
  <c r="T111" i="1"/>
  <c r="R111" i="1"/>
  <c r="X111" i="1" s="1"/>
  <c r="L111" i="1"/>
  <c r="T110" i="1"/>
  <c r="R110" i="1"/>
  <c r="X110" i="1" s="1"/>
  <c r="L110" i="1"/>
  <c r="T109" i="1"/>
  <c r="AJ109" i="1" s="1"/>
  <c r="R109" i="1"/>
  <c r="X109" i="1" s="1"/>
  <c r="L109" i="1"/>
  <c r="T108" i="1"/>
  <c r="AJ108" i="1" s="1"/>
  <c r="R108" i="1"/>
  <c r="X108" i="1" s="1"/>
  <c r="L108" i="1"/>
  <c r="T107" i="1"/>
  <c r="AJ107" i="1" s="1"/>
  <c r="R107" i="1"/>
  <c r="X107" i="1" s="1"/>
  <c r="L107" i="1"/>
  <c r="T106" i="1"/>
  <c r="R106" i="1"/>
  <c r="X106" i="1" s="1"/>
  <c r="L106" i="1"/>
  <c r="T105" i="1"/>
  <c r="AJ105" i="1" s="1"/>
  <c r="R105" i="1"/>
  <c r="X105" i="1" s="1"/>
  <c r="L105" i="1"/>
  <c r="T104" i="1"/>
  <c r="AJ104" i="1" s="1"/>
  <c r="R104" i="1"/>
  <c r="X104" i="1" s="1"/>
  <c r="L104" i="1"/>
  <c r="T103" i="1"/>
  <c r="R103" i="1"/>
  <c r="X103" i="1" s="1"/>
  <c r="L103" i="1"/>
  <c r="R102" i="1"/>
  <c r="X102" i="1" s="1"/>
  <c r="L102" i="1"/>
  <c r="R101" i="1"/>
  <c r="X101" i="1" s="1"/>
  <c r="L101" i="1"/>
  <c r="T100" i="1"/>
  <c r="R100" i="1"/>
  <c r="X100" i="1" s="1"/>
  <c r="L100" i="1"/>
  <c r="R99" i="1"/>
  <c r="X99" i="1" s="1"/>
  <c r="L99" i="1"/>
  <c r="T98" i="1"/>
  <c r="AJ98" i="1" s="1"/>
  <c r="R98" i="1"/>
  <c r="X98" i="1" s="1"/>
  <c r="L98" i="1"/>
  <c r="T97" i="1"/>
  <c r="R97" i="1"/>
  <c r="X97" i="1" s="1"/>
  <c r="L97" i="1"/>
  <c r="T96" i="1"/>
  <c r="AJ96" i="1" s="1"/>
  <c r="R96" i="1"/>
  <c r="X96" i="1" s="1"/>
  <c r="L96" i="1"/>
  <c r="R95" i="1"/>
  <c r="X95" i="1" s="1"/>
  <c r="L95" i="1"/>
  <c r="T94" i="1"/>
  <c r="R94" i="1"/>
  <c r="X94" i="1" s="1"/>
  <c r="L94" i="1"/>
  <c r="R93" i="1"/>
  <c r="S93" i="1" s="1"/>
  <c r="T93" i="1" s="1"/>
  <c r="L93" i="1"/>
  <c r="T92" i="1"/>
  <c r="AJ92" i="1" s="1"/>
  <c r="R92" i="1"/>
  <c r="X92" i="1" s="1"/>
  <c r="L92" i="1"/>
  <c r="T91" i="1"/>
  <c r="AJ91" i="1" s="1"/>
  <c r="R91" i="1"/>
  <c r="X91" i="1" s="1"/>
  <c r="L91" i="1"/>
  <c r="T90" i="1"/>
  <c r="AJ90" i="1" s="1"/>
  <c r="R90" i="1"/>
  <c r="X90" i="1" s="1"/>
  <c r="L90" i="1"/>
  <c r="R89" i="1"/>
  <c r="L89" i="1"/>
  <c r="R88" i="1"/>
  <c r="X88" i="1" s="1"/>
  <c r="L88" i="1"/>
  <c r="R87" i="1"/>
  <c r="X87" i="1" s="1"/>
  <c r="L87" i="1"/>
  <c r="T86" i="1"/>
  <c r="AJ86" i="1" s="1"/>
  <c r="R86" i="1"/>
  <c r="X86" i="1" s="1"/>
  <c r="L86" i="1"/>
  <c r="R85" i="1"/>
  <c r="X85" i="1" s="1"/>
  <c r="L85" i="1"/>
  <c r="T84" i="1"/>
  <c r="AJ84" i="1" s="1"/>
  <c r="R84" i="1"/>
  <c r="X84" i="1" s="1"/>
  <c r="L84" i="1"/>
  <c r="T83" i="1"/>
  <c r="AJ83" i="1" s="1"/>
  <c r="R83" i="1"/>
  <c r="X83" i="1" s="1"/>
  <c r="L83" i="1"/>
  <c r="T82" i="1"/>
  <c r="R82" i="1"/>
  <c r="X82" i="1" s="1"/>
  <c r="L82" i="1"/>
  <c r="R81" i="1"/>
  <c r="S81" i="1" s="1"/>
  <c r="T81" i="1" s="1"/>
  <c r="AJ81" i="1" s="1"/>
  <c r="L81" i="1"/>
  <c r="T80" i="1"/>
  <c r="AJ80" i="1" s="1"/>
  <c r="R80" i="1"/>
  <c r="X80" i="1" s="1"/>
  <c r="L80" i="1"/>
  <c r="T79" i="1"/>
  <c r="AJ79" i="1" s="1"/>
  <c r="R79" i="1"/>
  <c r="X79" i="1" s="1"/>
  <c r="L79" i="1"/>
  <c r="T78" i="1"/>
  <c r="R78" i="1"/>
  <c r="X78" i="1" s="1"/>
  <c r="L78" i="1"/>
  <c r="R77" i="1"/>
  <c r="X77" i="1" s="1"/>
  <c r="L77" i="1"/>
  <c r="T76" i="1"/>
  <c r="AJ76" i="1" s="1"/>
  <c r="R76" i="1"/>
  <c r="X76" i="1" s="1"/>
  <c r="L76" i="1"/>
  <c r="R75" i="1"/>
  <c r="X75" i="1" s="1"/>
  <c r="L75" i="1"/>
  <c r="R74" i="1"/>
  <c r="X74" i="1" s="1"/>
  <c r="L74" i="1"/>
  <c r="R73" i="1"/>
  <c r="X73" i="1" s="1"/>
  <c r="L73" i="1"/>
  <c r="R72" i="1"/>
  <c r="L72" i="1"/>
  <c r="R71" i="1"/>
  <c r="X71" i="1" s="1"/>
  <c r="L71" i="1"/>
  <c r="T70" i="1"/>
  <c r="R70" i="1"/>
  <c r="X70" i="1" s="1"/>
  <c r="L70" i="1"/>
  <c r="T69" i="1"/>
  <c r="R69" i="1"/>
  <c r="X69" i="1" s="1"/>
  <c r="L69" i="1"/>
  <c r="R68" i="1"/>
  <c r="X68" i="1" s="1"/>
  <c r="L68" i="1"/>
  <c r="T67" i="1"/>
  <c r="AJ67" i="1" s="1"/>
  <c r="R67" i="1"/>
  <c r="X67" i="1" s="1"/>
  <c r="L67" i="1"/>
  <c r="R66" i="1"/>
  <c r="S66" i="1" s="1"/>
  <c r="T66" i="1" s="1"/>
  <c r="W66" i="1" s="1"/>
  <c r="L66" i="1"/>
  <c r="R65" i="1"/>
  <c r="X65" i="1" s="1"/>
  <c r="L65" i="1"/>
  <c r="R64" i="1"/>
  <c r="S64" i="1" s="1"/>
  <c r="T64" i="1" s="1"/>
  <c r="L64" i="1"/>
  <c r="R63" i="1"/>
  <c r="L63" i="1"/>
  <c r="R62" i="1"/>
  <c r="X62" i="1" s="1"/>
  <c r="L62" i="1"/>
  <c r="T61" i="1"/>
  <c r="AJ61" i="1" s="1"/>
  <c r="R61" i="1"/>
  <c r="X61" i="1" s="1"/>
  <c r="L61" i="1"/>
  <c r="R60" i="1"/>
  <c r="L60" i="1"/>
  <c r="T59" i="1"/>
  <c r="AJ59" i="1" s="1"/>
  <c r="R59" i="1"/>
  <c r="X59" i="1" s="1"/>
  <c r="L59" i="1"/>
  <c r="R58" i="1"/>
  <c r="S58" i="1" s="1"/>
  <c r="T58" i="1" s="1"/>
  <c r="L58" i="1"/>
  <c r="R57" i="1"/>
  <c r="L57" i="1"/>
  <c r="T56" i="1"/>
  <c r="AJ56" i="1" s="1"/>
  <c r="R56" i="1"/>
  <c r="X56" i="1" s="1"/>
  <c r="L56" i="1"/>
  <c r="R55" i="1"/>
  <c r="S55" i="1" s="1"/>
  <c r="T55" i="1" s="1"/>
  <c r="W55" i="1" s="1"/>
  <c r="L55" i="1"/>
  <c r="R54" i="1"/>
  <c r="L54" i="1"/>
  <c r="T53" i="1"/>
  <c r="AJ53" i="1" s="1"/>
  <c r="R53" i="1"/>
  <c r="X53" i="1" s="1"/>
  <c r="L53" i="1"/>
  <c r="R52" i="1"/>
  <c r="X52" i="1" s="1"/>
  <c r="L52" i="1"/>
  <c r="R51" i="1"/>
  <c r="L51" i="1"/>
  <c r="T50" i="1"/>
  <c r="AJ50" i="1" s="1"/>
  <c r="R50" i="1"/>
  <c r="X50" i="1" s="1"/>
  <c r="L50" i="1"/>
  <c r="T49" i="1"/>
  <c r="AJ49" i="1" s="1"/>
  <c r="R49" i="1"/>
  <c r="X49" i="1" s="1"/>
  <c r="L49" i="1"/>
  <c r="R48" i="1"/>
  <c r="X48" i="1" s="1"/>
  <c r="L48" i="1"/>
  <c r="R47" i="1"/>
  <c r="X47" i="1" s="1"/>
  <c r="L47" i="1"/>
  <c r="T46" i="1"/>
  <c r="AJ46" i="1" s="1"/>
  <c r="R46" i="1"/>
  <c r="X46" i="1" s="1"/>
  <c r="L46" i="1"/>
  <c r="T45" i="1"/>
  <c r="AJ45" i="1" s="1"/>
  <c r="R45" i="1"/>
  <c r="X45" i="1" s="1"/>
  <c r="L45" i="1"/>
  <c r="T44" i="1"/>
  <c r="AJ44" i="1" s="1"/>
  <c r="R44" i="1"/>
  <c r="X44" i="1" s="1"/>
  <c r="L44" i="1"/>
  <c r="T43" i="1"/>
  <c r="R43" i="1"/>
  <c r="X43" i="1" s="1"/>
  <c r="L43" i="1"/>
  <c r="T42" i="1"/>
  <c r="AJ42" i="1" s="1"/>
  <c r="R42" i="1"/>
  <c r="X42" i="1" s="1"/>
  <c r="L42" i="1"/>
  <c r="T41" i="1"/>
  <c r="AJ41" i="1" s="1"/>
  <c r="R41" i="1"/>
  <c r="X41" i="1" s="1"/>
  <c r="L41" i="1"/>
  <c r="T40" i="1"/>
  <c r="AJ40" i="1" s="1"/>
  <c r="R40" i="1"/>
  <c r="X40" i="1" s="1"/>
  <c r="L40" i="1"/>
  <c r="T39" i="1"/>
  <c r="AJ39" i="1" s="1"/>
  <c r="R39" i="1"/>
  <c r="X39" i="1" s="1"/>
  <c r="L39" i="1"/>
  <c r="R38" i="1"/>
  <c r="S38" i="1" s="1"/>
  <c r="T38" i="1" s="1"/>
  <c r="AJ38" i="1" s="1"/>
  <c r="L38" i="1"/>
  <c r="T37" i="1"/>
  <c r="AJ37" i="1" s="1"/>
  <c r="R37" i="1"/>
  <c r="X37" i="1" s="1"/>
  <c r="L37" i="1"/>
  <c r="T36" i="1"/>
  <c r="AJ36" i="1" s="1"/>
  <c r="R36" i="1"/>
  <c r="X36" i="1" s="1"/>
  <c r="L36" i="1"/>
  <c r="R35" i="1"/>
  <c r="L35" i="1"/>
  <c r="R34" i="1"/>
  <c r="X34" i="1" s="1"/>
  <c r="L34" i="1"/>
  <c r="R33" i="1"/>
  <c r="S33" i="1" s="1"/>
  <c r="T33" i="1" s="1"/>
  <c r="L33" i="1"/>
  <c r="R32" i="1"/>
  <c r="X32" i="1" s="1"/>
  <c r="L32" i="1"/>
  <c r="T31" i="1"/>
  <c r="AJ31" i="1" s="1"/>
  <c r="R31" i="1"/>
  <c r="X31" i="1" s="1"/>
  <c r="L31" i="1"/>
  <c r="T30" i="1"/>
  <c r="AJ30" i="1" s="1"/>
  <c r="R30" i="1"/>
  <c r="X30" i="1" s="1"/>
  <c r="L30" i="1"/>
  <c r="T29" i="1"/>
  <c r="AJ29" i="1" s="1"/>
  <c r="R29" i="1"/>
  <c r="X29" i="1" s="1"/>
  <c r="L29" i="1"/>
  <c r="T28" i="1"/>
  <c r="AJ28" i="1" s="1"/>
  <c r="R28" i="1"/>
  <c r="X28" i="1" s="1"/>
  <c r="L28" i="1"/>
  <c r="T27" i="1"/>
  <c r="AJ27" i="1" s="1"/>
  <c r="R27" i="1"/>
  <c r="X27" i="1" s="1"/>
  <c r="L27" i="1"/>
  <c r="T26" i="1"/>
  <c r="AJ26" i="1" s="1"/>
  <c r="R26" i="1"/>
  <c r="X26" i="1" s="1"/>
  <c r="L26" i="1"/>
  <c r="T25" i="1"/>
  <c r="AJ25" i="1" s="1"/>
  <c r="R25" i="1"/>
  <c r="X25" i="1" s="1"/>
  <c r="L25" i="1"/>
  <c r="R24" i="1"/>
  <c r="X24" i="1" s="1"/>
  <c r="L24" i="1"/>
  <c r="T23" i="1"/>
  <c r="AJ23" i="1" s="1"/>
  <c r="R23" i="1"/>
  <c r="X23" i="1" s="1"/>
  <c r="L23" i="1"/>
  <c r="R22" i="1"/>
  <c r="X22" i="1" s="1"/>
  <c r="L22" i="1"/>
  <c r="R21" i="1"/>
  <c r="X21" i="1" s="1"/>
  <c r="L21" i="1"/>
  <c r="R20" i="1"/>
  <c r="S20" i="1" s="1"/>
  <c r="T20" i="1" s="1"/>
  <c r="L20" i="1"/>
  <c r="R19" i="1"/>
  <c r="S19" i="1" s="1"/>
  <c r="T19" i="1" s="1"/>
  <c r="L19" i="1"/>
  <c r="R18" i="1"/>
  <c r="X18" i="1" s="1"/>
  <c r="L18" i="1"/>
  <c r="R17" i="1"/>
  <c r="S17" i="1" s="1"/>
  <c r="T17" i="1" s="1"/>
  <c r="AJ17" i="1" s="1"/>
  <c r="L17" i="1"/>
  <c r="R16" i="1"/>
  <c r="X16" i="1" s="1"/>
  <c r="L16" i="1"/>
  <c r="R15" i="1"/>
  <c r="X15" i="1" s="1"/>
  <c r="L15" i="1"/>
  <c r="T14" i="1"/>
  <c r="AJ14" i="1" s="1"/>
  <c r="R14" i="1"/>
  <c r="X14" i="1" s="1"/>
  <c r="L14" i="1"/>
  <c r="T13" i="1"/>
  <c r="AJ13" i="1" s="1"/>
  <c r="R13" i="1"/>
  <c r="X13" i="1" s="1"/>
  <c r="L13" i="1"/>
  <c r="R12" i="1"/>
  <c r="X12" i="1" s="1"/>
  <c r="L12" i="1"/>
  <c r="R11" i="1"/>
  <c r="S11" i="1" s="1"/>
  <c r="T11" i="1" s="1"/>
  <c r="W11" i="1" s="1"/>
  <c r="L11" i="1"/>
  <c r="T10" i="1"/>
  <c r="R10" i="1"/>
  <c r="X10" i="1" s="1"/>
  <c r="L10" i="1"/>
  <c r="T9" i="1"/>
  <c r="R9" i="1"/>
  <c r="X9" i="1" s="1"/>
  <c r="L9" i="1"/>
  <c r="T8" i="1"/>
  <c r="AJ8" i="1" s="1"/>
  <c r="R8" i="1"/>
  <c r="X8" i="1" s="1"/>
  <c r="L8" i="1"/>
  <c r="R7" i="1"/>
  <c r="X7" i="1" s="1"/>
  <c r="L7" i="1"/>
  <c r="R6" i="1"/>
  <c r="S6" i="1" s="1"/>
  <c r="L6" i="1"/>
  <c r="AH5" i="1"/>
  <c r="AG5" i="1"/>
  <c r="AF5" i="1"/>
  <c r="AE5" i="1"/>
  <c r="AD5" i="1"/>
  <c r="AC5" i="1"/>
  <c r="AB5" i="1"/>
  <c r="AA5" i="1"/>
  <c r="Z5" i="1"/>
  <c r="Y5" i="1"/>
  <c r="Q5" i="1"/>
  <c r="P5" i="1"/>
  <c r="O5" i="1"/>
  <c r="N5" i="1"/>
  <c r="M5" i="1"/>
  <c r="K5" i="1"/>
  <c r="AJ10" i="1" l="1"/>
  <c r="W10" i="1"/>
  <c r="S22" i="1"/>
  <c r="T22" i="1" s="1"/>
  <c r="AJ22" i="1" s="1"/>
  <c r="X11" i="1"/>
  <c r="W70" i="1"/>
  <c r="S85" i="1"/>
  <c r="T85" i="1" s="1"/>
  <c r="W85" i="1" s="1"/>
  <c r="X17" i="1"/>
  <c r="W94" i="1"/>
  <c r="W100" i="1"/>
  <c r="W110" i="1"/>
  <c r="W13" i="1"/>
  <c r="X81" i="1"/>
  <c r="W96" i="1"/>
  <c r="AJ110" i="1"/>
  <c r="W8" i="1"/>
  <c r="X19" i="1"/>
  <c r="X33" i="1"/>
  <c r="X38" i="1"/>
  <c r="W42" i="1"/>
  <c r="X64" i="1"/>
  <c r="S71" i="1"/>
  <c r="T71" i="1" s="1"/>
  <c r="W71" i="1" s="1"/>
  <c r="W78" i="1"/>
  <c r="W82" i="1"/>
  <c r="AJ82" i="1"/>
  <c r="S87" i="1"/>
  <c r="T87" i="1" s="1"/>
  <c r="X93" i="1"/>
  <c r="W103" i="1"/>
  <c r="W125" i="1"/>
  <c r="W129" i="1"/>
  <c r="S7" i="1"/>
  <c r="T7" i="1" s="1"/>
  <c r="AJ11" i="1"/>
  <c r="S88" i="1"/>
  <c r="T88" i="1" s="1"/>
  <c r="W98" i="1"/>
  <c r="W36" i="1"/>
  <c r="S52" i="1"/>
  <c r="T52" i="1" s="1"/>
  <c r="AJ52" i="1" s="1"/>
  <c r="X66" i="1"/>
  <c r="W41" i="1"/>
  <c r="S73" i="1"/>
  <c r="T73" i="1" s="1"/>
  <c r="AJ73" i="1" s="1"/>
  <c r="W79" i="1"/>
  <c r="AJ94" i="1"/>
  <c r="W84" i="1"/>
  <c r="AJ100" i="1"/>
  <c r="S18" i="1"/>
  <c r="T18" i="1" s="1"/>
  <c r="W18" i="1" s="1"/>
  <c r="W26" i="1"/>
  <c r="W61" i="1"/>
  <c r="W90" i="1"/>
  <c r="W107" i="1"/>
  <c r="X20" i="1"/>
  <c r="S32" i="1"/>
  <c r="T32" i="1" s="1"/>
  <c r="AJ32" i="1" s="1"/>
  <c r="S48" i="1"/>
  <c r="T48" i="1" s="1"/>
  <c r="S120" i="1"/>
  <c r="T120" i="1" s="1"/>
  <c r="S75" i="1"/>
  <c r="T75" i="1" s="1"/>
  <c r="S62" i="1"/>
  <c r="T62" i="1" s="1"/>
  <c r="AJ62" i="1" s="1"/>
  <c r="W69" i="1"/>
  <c r="S114" i="1"/>
  <c r="T114" i="1" s="1"/>
  <c r="AJ114" i="1" s="1"/>
  <c r="W127" i="1"/>
  <c r="W49" i="1"/>
  <c r="W97" i="1"/>
  <c r="AJ103" i="1"/>
  <c r="W44" i="1"/>
  <c r="S34" i="1"/>
  <c r="T34" i="1" s="1"/>
  <c r="W34" i="1" s="1"/>
  <c r="AJ70" i="1"/>
  <c r="AJ97" i="1"/>
  <c r="W116" i="1"/>
  <c r="AJ78" i="1"/>
  <c r="W17" i="1"/>
  <c r="W29" i="1"/>
  <c r="X58" i="1"/>
  <c r="AJ129" i="1"/>
  <c r="AJ55" i="1"/>
  <c r="AJ33" i="1"/>
  <c r="W33" i="1"/>
  <c r="AJ64" i="1"/>
  <c r="W64" i="1"/>
  <c r="AJ18" i="1"/>
  <c r="AJ20" i="1"/>
  <c r="W20" i="1"/>
  <c r="AJ58" i="1"/>
  <c r="W58" i="1"/>
  <c r="T6" i="1"/>
  <c r="X55" i="1"/>
  <c r="S15" i="1"/>
  <c r="T15" i="1" s="1"/>
  <c r="W15" i="1" s="1"/>
  <c r="S24" i="1"/>
  <c r="T24" i="1" s="1"/>
  <c r="W46" i="1"/>
  <c r="AJ93" i="1"/>
  <c r="W93" i="1"/>
  <c r="W38" i="1"/>
  <c r="X57" i="1"/>
  <c r="S57" i="1"/>
  <c r="T57" i="1" s="1"/>
  <c r="W30" i="1"/>
  <c r="AJ66" i="1"/>
  <c r="X89" i="1"/>
  <c r="S89" i="1"/>
  <c r="T89" i="1" s="1"/>
  <c r="W89" i="1" s="1"/>
  <c r="S12" i="1"/>
  <c r="T12" i="1" s="1"/>
  <c r="S21" i="1"/>
  <c r="T21" i="1" s="1"/>
  <c r="W43" i="1"/>
  <c r="AJ43" i="1"/>
  <c r="W76" i="1"/>
  <c r="W81" i="1"/>
  <c r="W104" i="1"/>
  <c r="S126" i="1"/>
  <c r="T126" i="1" s="1"/>
  <c r="X51" i="1"/>
  <c r="S51" i="1"/>
  <c r="T51" i="1" s="1"/>
  <c r="W51" i="1" s="1"/>
  <c r="X35" i="1"/>
  <c r="S35" i="1"/>
  <c r="T35" i="1" s="1"/>
  <c r="W39" i="1"/>
  <c r="X72" i="1"/>
  <c r="S72" i="1"/>
  <c r="T72" i="1" s="1"/>
  <c r="W67" i="1"/>
  <c r="R122" i="1"/>
  <c r="X122" i="1" s="1"/>
  <c r="L122" i="1"/>
  <c r="L5" i="1" s="1"/>
  <c r="X63" i="1"/>
  <c r="S63" i="1"/>
  <c r="T63" i="1" s="1"/>
  <c r="X54" i="1"/>
  <c r="S54" i="1"/>
  <c r="T54" i="1" s="1"/>
  <c r="S95" i="1"/>
  <c r="T95" i="1" s="1"/>
  <c r="AJ106" i="1"/>
  <c r="W106" i="1"/>
  <c r="X6" i="1"/>
  <c r="W27" i="1"/>
  <c r="W45" i="1"/>
  <c r="W91" i="1"/>
  <c r="S101" i="1"/>
  <c r="T101" i="1" s="1"/>
  <c r="W111" i="1"/>
  <c r="AJ111" i="1"/>
  <c r="S117" i="1"/>
  <c r="T117" i="1" s="1"/>
  <c r="W14" i="1"/>
  <c r="W23" i="1"/>
  <c r="AJ19" i="1"/>
  <c r="W19" i="1"/>
  <c r="AJ69" i="1"/>
  <c r="W123" i="1"/>
  <c r="AJ9" i="1"/>
  <c r="W9" i="1"/>
  <c r="X60" i="1"/>
  <c r="S60" i="1"/>
  <c r="T60" i="1" s="1"/>
  <c r="W92" i="1"/>
  <c r="W86" i="1"/>
  <c r="W108" i="1"/>
  <c r="AJ123" i="1"/>
  <c r="W40" i="1"/>
  <c r="W83" i="1"/>
  <c r="W31" i="1"/>
  <c r="W37" i="1"/>
  <c r="S47" i="1"/>
  <c r="T47" i="1" s="1"/>
  <c r="S65" i="1"/>
  <c r="T65" i="1" s="1"/>
  <c r="S68" i="1"/>
  <c r="T68" i="1" s="1"/>
  <c r="S74" i="1"/>
  <c r="T74" i="1" s="1"/>
  <c r="S77" i="1"/>
  <c r="T77" i="1" s="1"/>
  <c r="W80" i="1"/>
  <c r="S99" i="1"/>
  <c r="T99" i="1" s="1"/>
  <c r="S102" i="1"/>
  <c r="T102" i="1" s="1"/>
  <c r="W105" i="1"/>
  <c r="S16" i="1"/>
  <c r="T16" i="1" s="1"/>
  <c r="W16" i="1" s="1"/>
  <c r="W50" i="1"/>
  <c r="W53" i="1"/>
  <c r="W56" i="1"/>
  <c r="W59" i="1"/>
  <c r="S115" i="1"/>
  <c r="T115" i="1" s="1"/>
  <c r="W28" i="1"/>
  <c r="W112" i="1"/>
  <c r="W118" i="1"/>
  <c r="W121" i="1"/>
  <c r="W124" i="1"/>
  <c r="W25" i="1"/>
  <c r="W109" i="1"/>
  <c r="S128" i="1"/>
  <c r="T128" i="1" s="1"/>
  <c r="S113" i="1"/>
  <c r="T113" i="1" s="1"/>
  <c r="S119" i="1"/>
  <c r="T119" i="1" s="1"/>
  <c r="W22" i="1" l="1"/>
  <c r="W62" i="1"/>
  <c r="AJ71" i="1"/>
  <c r="AJ88" i="1"/>
  <c r="W88" i="1"/>
  <c r="AJ120" i="1"/>
  <c r="W120" i="1"/>
  <c r="AJ87" i="1"/>
  <c r="W87" i="1"/>
  <c r="W73" i="1"/>
  <c r="AJ85" i="1"/>
  <c r="W114" i="1"/>
  <c r="R5" i="1"/>
  <c r="W122" i="1"/>
  <c r="AJ34" i="1"/>
  <c r="W52" i="1"/>
  <c r="W75" i="1"/>
  <c r="AJ75" i="1"/>
  <c r="W32" i="1"/>
  <c r="W48" i="1"/>
  <c r="AJ48" i="1"/>
  <c r="AJ7" i="1"/>
  <c r="W7" i="1"/>
  <c r="AJ21" i="1"/>
  <c r="W21" i="1"/>
  <c r="AJ102" i="1"/>
  <c r="W102" i="1"/>
  <c r="W72" i="1"/>
  <c r="AJ72" i="1"/>
  <c r="AJ51" i="1"/>
  <c r="AJ12" i="1"/>
  <c r="W12" i="1"/>
  <c r="AJ16" i="1"/>
  <c r="AJ89" i="1"/>
  <c r="W119" i="1"/>
  <c r="AJ119" i="1"/>
  <c r="W126" i="1"/>
  <c r="AJ126" i="1"/>
  <c r="AJ24" i="1"/>
  <c r="W24" i="1"/>
  <c r="W54" i="1"/>
  <c r="AJ54" i="1"/>
  <c r="W63" i="1"/>
  <c r="AJ63" i="1"/>
  <c r="AJ15" i="1"/>
  <c r="W115" i="1"/>
  <c r="AJ115" i="1"/>
  <c r="W60" i="1"/>
  <c r="AJ60" i="1"/>
  <c r="AJ95" i="1"/>
  <c r="W95" i="1"/>
  <c r="AJ68" i="1"/>
  <c r="W68" i="1"/>
  <c r="W35" i="1"/>
  <c r="AJ35" i="1"/>
  <c r="AJ99" i="1"/>
  <c r="W99" i="1"/>
  <c r="AJ77" i="1"/>
  <c r="W77" i="1"/>
  <c r="AJ65" i="1"/>
  <c r="W65" i="1"/>
  <c r="T5" i="1"/>
  <c r="AJ6" i="1"/>
  <c r="W6" i="1"/>
  <c r="W113" i="1"/>
  <c r="AJ113" i="1"/>
  <c r="AJ47" i="1"/>
  <c r="W47" i="1"/>
  <c r="S5" i="1"/>
  <c r="AJ101" i="1"/>
  <c r="W101" i="1"/>
  <c r="W57" i="1"/>
  <c r="AJ57" i="1"/>
  <c r="AJ74" i="1"/>
  <c r="W74" i="1"/>
  <c r="AJ128" i="1"/>
  <c r="W128" i="1"/>
  <c r="W117" i="1"/>
  <c r="AJ117" i="1"/>
  <c r="AJ5" i="1" l="1"/>
</calcChain>
</file>

<file path=xl/sharedStrings.xml><?xml version="1.0" encoding="utf-8"?>
<sst xmlns="http://schemas.openxmlformats.org/spreadsheetml/2006/main" count="755" uniqueCount="391">
  <si>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</si>
  <si>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</si>
  <si>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</si>
  <si>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</si>
  <si>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</si>
  <si>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</si>
  <si>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</si>
  <si>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</si>
  <si>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</si>
  <si>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</si>
  <si>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</si>
  <si>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</si>
  <si>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</si>
  <si>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</si>
  <si>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</si>
  <si>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</si>
  <si>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</si>
  <si>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</si>
  <si>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</si>
  <si>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</si>
  <si>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</si>
  <si>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</si>
  <si>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</si>
  <si>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</si>
  <si>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</si>
  <si>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</si>
  <si>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</si>
  <si>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20,08,</t>
  </si>
  <si>
    <t>24,08,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</si>
  <si>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</si>
  <si>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</si>
  <si>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</si>
  <si>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</si>
  <si>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</si>
  <si>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</si>
  <si>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</si>
  <si>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</si>
  <si>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</si>
  <si>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</si>
  <si>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</si>
  <si>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</si>
  <si>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</si>
  <si>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</si>
  <si>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</si>
  <si>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</si>
  <si>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</si>
  <si>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нужно увеличить продажи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</si>
  <si>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</si>
  <si>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</si>
  <si>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</si>
  <si>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</si>
  <si>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</si>
  <si>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</si>
  <si>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</si>
  <si>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</si>
  <si>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</si>
  <si>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</si>
  <si>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</si>
  <si>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</si>
  <si>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</si>
  <si>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</si>
  <si>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</si>
  <si>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</si>
  <si>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</si>
  <si>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</si>
  <si>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</si>
  <si>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</si>
  <si>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</si>
  <si>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</si>
  <si>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</si>
  <si>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</si>
  <si>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</si>
  <si>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</si>
  <si>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</si>
  <si>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</si>
  <si>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</si>
  <si>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</si>
  <si>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</si>
  <si>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</si>
  <si>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</si>
  <si>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</si>
  <si>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</si>
  <si>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</si>
  <si>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</si>
  <si>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</si>
  <si>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</si>
  <si>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заказываем с 22,07,26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</si>
  <si>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</si>
  <si>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</si>
  <si>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</si>
  <si>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</si>
  <si>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</si>
  <si>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</si>
  <si>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</si>
  <si>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</si>
  <si>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</si>
  <si>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</si>
  <si>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</si>
  <si>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</si>
  <si>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</si>
  <si>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</si>
  <si>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</si>
  <si>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</si>
  <si>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</si>
  <si>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</si>
  <si>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</si>
  <si>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</si>
  <si>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</si>
  <si>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</si>
  <si>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</si>
  <si>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</si>
  <si>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</si>
  <si>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</si>
  <si>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</si>
  <si>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</si>
  <si>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</si>
  <si>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</si>
  <si>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</si>
  <si>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</si>
  <si>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не в матрице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</si>
  <si>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</si>
  <si>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</si>
  <si>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</si>
  <si>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</si>
  <si>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</si>
  <si>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</si>
  <si>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</si>
  <si>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</si>
  <si>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</si>
  <si>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</si>
  <si>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</si>
  <si>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</si>
  <si>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</si>
  <si>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</si>
  <si>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нужно увеличить продажи!!! / 181кг списание (11,08,26)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</si>
  <si>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</si>
  <si>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</si>
  <si>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</si>
  <si>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</si>
  <si>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</si>
  <si>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</si>
  <si>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</si>
  <si>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</si>
  <si>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</si>
  <si>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</si>
  <si>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</si>
  <si>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</si>
  <si>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</si>
  <si>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</si>
  <si>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нужно увеличить продажи!!!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</si>
  <si>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</si>
  <si>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</si>
  <si>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</si>
  <si>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</si>
  <si>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</si>
  <si>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</si>
  <si>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</si>
  <si>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</si>
  <si>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</si>
  <si>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</si>
  <si>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</si>
  <si>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</si>
  <si>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80кг под задачи ТК (31,07,26)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</si>
  <si>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</si>
  <si>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</si>
  <si>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</si>
  <si>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</si>
  <si>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</si>
  <si>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</si>
  <si>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</si>
  <si>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</si>
  <si>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</si>
  <si>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</si>
  <si>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</si>
  <si>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</si>
  <si>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</si>
  <si>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</si>
  <si>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</si>
  <si>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</si>
  <si>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</si>
  <si>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</si>
  <si>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</si>
  <si>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</si>
  <si>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</si>
  <si>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</si>
  <si>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</si>
  <si>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</si>
  <si>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</si>
  <si>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</si>
  <si>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</si>
  <si>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</si>
  <si>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</si>
  <si>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</si>
  <si>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</si>
  <si>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</si>
  <si>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</si>
  <si>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</si>
  <si>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</si>
  <si>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</si>
  <si>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</si>
  <si>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</si>
  <si>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</si>
  <si>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</si>
  <si>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</si>
  <si>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</si>
  <si>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</si>
  <si>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</si>
  <si>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</si>
  <si>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</si>
  <si>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</si>
  <si>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</si>
  <si>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</si>
  <si>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</si>
  <si>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</si>
  <si>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</si>
  <si>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</si>
  <si>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</si>
  <si>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</si>
  <si>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</si>
  <si>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</si>
  <si>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</si>
  <si>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</si>
  <si>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</si>
  <si>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</si>
  <si>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</si>
  <si>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</si>
  <si>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</si>
  <si>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</si>
  <si>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</si>
  <si>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</si>
  <si>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</si>
  <si>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</si>
  <si>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</si>
  <si>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</si>
  <si>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</si>
  <si>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</si>
  <si>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</si>
  <si>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</si>
  <si>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>SU004157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</si>
  <si>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</si>
  <si>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</si>
  <si>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</si>
  <si>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</si>
  <si>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</si>
  <si>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</si>
  <si>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</si>
  <si>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</si>
  <si>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</si>
  <si>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</si>
  <si>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14шт списание сроки (11,08,26)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</si>
  <si>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</si>
  <si>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</si>
  <si>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</si>
  <si>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</si>
  <si>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</si>
  <si>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</si>
  <si>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</si>
  <si>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</si>
  <si>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</si>
  <si>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</si>
  <si>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</si>
  <si>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</si>
  <si>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</si>
  <si>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</si>
  <si>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</si>
  <si>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</si>
  <si>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</si>
  <si>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</si>
  <si>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нужно увеличить продажи / 70шт сеть Молоко (07,08,26)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</si>
  <si>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</si>
  <si>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</si>
  <si>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</si>
  <si>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</si>
  <si>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</si>
  <si>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</si>
  <si>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</si>
  <si>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</si>
  <si>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</si>
  <si>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</si>
  <si>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</si>
  <si>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</si>
  <si>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</si>
  <si>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</si>
  <si>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</si>
  <si>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</si>
  <si>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</si>
  <si>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</si>
  <si>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</si>
  <si>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</si>
  <si>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</si>
  <si>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</si>
  <si>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</si>
  <si>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</si>
  <si>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</si>
  <si>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</si>
  <si>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</si>
  <si>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</si>
  <si>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</si>
  <si>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</si>
  <si>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</si>
  <si>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</si>
  <si>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</si>
  <si>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</si>
  <si>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</si>
  <si>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</si>
  <si>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24,08,доз</t>
  </si>
  <si>
    <t>24,08,недогр</t>
  </si>
  <si>
    <t>Ветчины Нежная Особая Особая Весовые П/а Особый рецепт большой батон</t>
  </si>
  <si>
    <t>Сардельки «Стародворские с говядиной» Весовые NDX ТМ «Стародворье»</t>
  </si>
  <si>
    <t>Сосиски «Молочные оригинальные» Весовой п/а ТМ «Особый рецепт»</t>
  </si>
  <si>
    <t>Вареные колбасы Докторская ГОСТ Вязанка Весовые Вектор Вязанка</t>
  </si>
  <si>
    <t>Сосиски «Молокуши (Вязанка Молочные)» Весовой п/а мгс ТМ «Вязанка»</t>
  </si>
  <si>
    <t>Сосиски «Сливочные» ф/в 0,45 п/а мгс ТМ «Вязанка»</t>
  </si>
  <si>
    <t>С/к колбасы Княжеская Бордо Весовые б/о терм/п Стародворье</t>
  </si>
  <si>
    <t>Вареные колбасы «Молочная Дугушка» Весовые Вектор ТМ «Дугушка»</t>
  </si>
  <si>
    <t>Вареные колбасы Докторская ГОСТ Дугушка Весовые Вектор Дугушка</t>
  </si>
  <si>
    <t>Ветчины Дугушка Дугушка Вес б/о Дугушка</t>
  </si>
  <si>
    <t>Сосиски «Молочные для завтрака» Весовой п/а ТМ «Особый рецепт»</t>
  </si>
  <si>
    <t>С/к колбасы Баварская Бавария Фикс.вес 0,17 б/о терм/п Стародворье</t>
  </si>
  <si>
    <t>В/к колбасы «Рубленая Запеченная» Весовые Вектор ТМ «Дугушка»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</si>
  <si>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</si>
  <si>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</si>
  <si>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Вареные колбасы «Дугушка со шпиком» Весовой Вектор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</si>
  <si>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</si>
  <si>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</si>
  <si>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</si>
  <si>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Копченые колбасы «Балыкбургская» Весовой фиброуз ТМ «Баварушка»</t>
  </si>
  <si>
    <t>Копченые колбасы «Салями Филейбургская зернистая» Весовой фиброуз ТМ «Баварушка»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</si>
  <si>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</si>
  <si>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</si>
  <si>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«Молочная Дугушка» Фикс.вес 0,6 П/а ТМ «Дугушка»</t>
  </si>
  <si>
    <t>Вареные колбасы «Докторская ГОСТ» Фикс.вес 0,6 п/а ТМ «Дугушка»</t>
  </si>
  <si>
    <t>Вареные колбасы «Дугушка Стародворская» Вес п/а ТМ «Дугушка»</t>
  </si>
  <si>
    <t>Ветчины «Дугушка» Фикс.вес 0,6 полиамид ТМ «Дугушка»</t>
  </si>
  <si>
    <t>Сосиски «Датские» Весовой п/а ТМ «Зареченские продукты»</t>
  </si>
  <si>
    <t>Колбаса Мясорубская ТМ Стародворье с рубленой грудинкой в оболочке фиброуз в вакуумной упаковке 0,35 кг срез</t>
  </si>
  <si>
    <t>Сосиски Сочинки с сыром Бордо ф/в 0,4 кг п/а Стародворье</t>
  </si>
  <si>
    <t>Сосиски «Сочинки» Весовой п/а ТМ «Стародворье»</t>
  </si>
  <si>
    <t>Вареные колбасы Сливушка Вязанка Фикс.вес 0,45 П/а Вязанка</t>
  </si>
  <si>
    <t>Колбаса Мясорубская ТМ Стародворье с рубленой грудинкой в оболочке фиброуз в вакуумной упаковке</t>
  </si>
  <si>
    <t>Сардельки «Сочинки с сыром» Фикс.вес 0,4 п/а ТМ «Стародворье»</t>
  </si>
  <si>
    <t>Сосиски Сочинки по-баварски Бавария Фикс.вес 0,4 П/а мгс Стародворье</t>
  </si>
  <si>
    <t>Сосиски «Сочинки по-баварски с сыром» Фикс.вес 0,4 П/а мгс ТМ «Стародворье»</t>
  </si>
  <si>
    <t>Вареные колбасы «Филейская» Фикс.вес 0,45 Вектор ТМ «Вязанка»</t>
  </si>
  <si>
    <t>Вареные колбасы Молокуша Вязанка Фикс.вес 0,45 п/а Вязанка</t>
  </si>
  <si>
    <t>Ветчины «Филейская» Весовые Вектор ТМ «Вязанка»</t>
  </si>
  <si>
    <t>Вареные колбасы «Филейская» Весовые Вектор ТМ «Вязанка»</t>
  </si>
  <si>
    <t>Колбаса вареная Филейская ТМ Вязанка ТС Классическая полиамид ф/в 0,4 кг</t>
  </si>
  <si>
    <t>Ветчины «Сливушка с индейкой» Весовой п/а ТМ «Вязанка»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</si>
  <si>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</si>
  <si>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</si>
  <si>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</si>
  <si>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</si>
  <si>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</si>
  <si>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</si>
  <si>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Вареные колбасы «Сливушка» Вес П/а ТМ «Вязанка»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</si>
  <si>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</si>
  <si>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</si>
  <si>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</si>
  <si>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</si>
  <si>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</si>
  <si>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</si>
  <si>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Колбаса вареная Мусульманская ТМ Вязанка Халяль вектор ф/в 0,4 кг Казахстан АК</t>
  </si>
  <si>
    <t>Сосиски Восточные халяль ТМ Вязанка полиамид в/у ф/в 0,33 кг Казахстан АК</t>
  </si>
  <si>
    <t>П/к колбасы «Аль-Ислами халяль» ф/в 0,35 фиброуз ТМ «Вязанка»</t>
  </si>
  <si>
    <t>Сосиски «Баварские» Фикс.вес 0,35 П/а ТМ «Стародворье»</t>
  </si>
  <si>
    <t>Копченые колбасы «Сервелат Мясорубский» Фикс.вес 0,08 нарезка ТМ «Стародворье»</t>
  </si>
  <si>
    <t>Вареные колбасы «Филейная» Весовой п/а ТМ «Особый рецепт» большой батон</t>
  </si>
  <si>
    <t>Вареные колбасы «Молочная» Весовой п/а ТМ «Особый рецепт»</t>
  </si>
  <si>
    <t>Вареные колбасы «Со шпиком» Весовой п/а ТМ «Особый рецепт» большой батон</t>
  </si>
  <si>
    <t>Вареные колбасы «Филейская со шпиком» Весовой п/а ТМ «Вязанка»</t>
  </si>
  <si>
    <t>Ветчины «Нежная с индейкой» Весовой п/а ТМ «Особый рецепт»</t>
  </si>
  <si>
    <t>Вареные колбасы «Сливушка» Фикс.вес 0,11 нарезка ТМ «Вязанка»</t>
  </si>
  <si>
    <t>Копченые колбасы «Балыковая » Фикс.вес 0,09 нарезка ТМ «Вязанка»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</si>
  <si>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</si>
  <si>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</si>
  <si>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</si>
  <si>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</si>
  <si>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Деликатесы в/к «Грудинка копчено-вареная» Фикс.вес 0,12 нарезка ТМ «Стародворье»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</si>
  <si>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</si>
  <si>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</si>
  <si>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</si>
  <si>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</si>
  <si>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</si>
  <si>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Фикс.вес 0,28 фиброуз срез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</si>
  <si>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</si>
  <si>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</si>
  <si>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«Со шпиком» Весовой п/а ТМ «Стародворье»</t>
  </si>
  <si>
    <t>Вареные колбасы «Ветчинно-рубленая» Весовой п/а ТМ «Особый рецепт»</t>
  </si>
  <si>
    <t>Консервы «Буженина в пряном маринаде» Фикс.вес 0,25 ТМ «Стародворье»</t>
  </si>
  <si>
    <t>Вареные колбасы «Докторская Классическая» Весовой п/а ТМ «Особый рецепт»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</si>
</sst>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#,##0_ ;[Red]\-#,##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6" fillId="0" borderId="1"/>
  </cellStyleXfs>
  <cellXfs count="26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4" fillId="5" borderId="1" xfId="1" applyNumberFormat="1" applyFont="1" applyFill="1"/>
    <xf numFmtId="164" fontId="1" fillId="6" borderId="1" xfId="1" applyNumberFormat="1" applyFont="1" applyFill="1"/>
    <xf numFmtId="164" fontId="1" fillId="7" borderId="1" xfId="1" applyNumberFormat="1" applyFont="1" applyFill="1"/>
    <xf numFmtId="164" fontId="6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 applyFont="1"/>
    <xf numFmtId="164" fontId="1" fillId="8" borderId="1" xfId="1" applyNumberFormat="1" applyFont="1" applyFill="1"/>
    <xf numFmtId="0" fontId="0" fillId="0" borderId="1" xfId="0" applyBorder="1"/>
    <xf numFmtId="0" fontId="7" fillId="7" borderId="3" xfId="0" applyFont="1" applyFill="1" applyBorder="1"/>
    <xf numFmtId="0" fontId="0" fillId="7" borderId="3" xfId="0" applyFill="1" applyBorder="1"/>
    <xf numFmtId="166" fontId="0" fillId="7" borderId="3" xfId="0" applyNumberFormat="1" applyFill="1" applyBorder="1"/>
    <xf numFmtId="0" fontId="7" fillId="0" borderId="3" xfId="0" applyFont="1" applyBorder="1"/>
    <xf numFmtId="0" fontId="0" fillId="0" borderId="3" xfId="0" applyBorder="1"/>
    <xf numFmtId="166" fontId="0" fillId="0" borderId="3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0,08,26%20&#1076;&#108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едогруз 22,08"/>
    </sheetNames>
    <sheetDataSet>
      <sheetData sheetId="0">
        <row r="1">
          <cell r="Y1">
            <v>0.98</v>
          </cell>
        </row>
        <row r="2">
          <cell r="Y2" t="str">
            <v>дн</v>
          </cell>
          <cell r="AN2">
            <v>17000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заказ в пути</v>
          </cell>
          <cell r="V3" t="str">
            <v>заказ в пути</v>
          </cell>
          <cell r="W3" t="str">
            <v>ср нов</v>
          </cell>
          <cell r="X3" t="str">
            <v>расчет</v>
          </cell>
          <cell r="Y3" t="str">
            <v>итого</v>
          </cell>
          <cell r="Z3" t="str">
            <v>заказ</v>
          </cell>
          <cell r="AA3" t="str">
            <v>заказ</v>
          </cell>
          <cell r="AB3" t="str">
            <v>ТК</v>
          </cell>
          <cell r="AC3" t="str">
            <v>кон ост</v>
          </cell>
          <cell r="AD3" t="str">
            <v>факт</v>
          </cell>
          <cell r="AE3" t="str">
            <v>ср</v>
          </cell>
          <cell r="AF3" t="str">
            <v>ср</v>
          </cell>
          <cell r="AG3" t="str">
            <v>ср</v>
          </cell>
          <cell r="AH3" t="str">
            <v>ср</v>
          </cell>
          <cell r="AI3" t="str">
            <v>ср</v>
          </cell>
          <cell r="AJ3" t="str">
            <v>ср</v>
          </cell>
          <cell r="AK3" t="str">
            <v>ср</v>
          </cell>
          <cell r="AL3" t="str">
            <v>ср</v>
          </cell>
          <cell r="AM3" t="str">
            <v>комментарии</v>
          </cell>
          <cell r="AN3" t="str">
            <v>вес</v>
          </cell>
          <cell r="AO3" t="str">
            <v>вес</v>
          </cell>
        </row>
        <row r="4">
          <cell r="O4" t="str">
            <v>18,08,</v>
          </cell>
          <cell r="P4" t="str">
            <v>18,08,недогр</v>
          </cell>
          <cell r="Q4" t="str">
            <v>22,08,</v>
          </cell>
          <cell r="R4" t="str">
            <v>22,08,недогр</v>
          </cell>
          <cell r="S4" t="str">
            <v>22,08,доз</v>
          </cell>
          <cell r="T4" t="str">
            <v>23,08,</v>
          </cell>
          <cell r="U4" t="str">
            <v>23,08,недогр</v>
          </cell>
          <cell r="V4" t="str">
            <v>23,08,доз</v>
          </cell>
          <cell r="W4" t="str">
            <v>20,08,</v>
          </cell>
          <cell r="Z4" t="str">
            <v>25,08,</v>
          </cell>
          <cell r="AA4" t="str">
            <v>24,08,</v>
          </cell>
          <cell r="AB4" t="str">
            <v>Хмель</v>
          </cell>
          <cell r="AE4" t="str">
            <v>18,08,</v>
          </cell>
          <cell r="AF4" t="str">
            <v>13,08,</v>
          </cell>
          <cell r="AG4" t="str">
            <v>11,08,</v>
          </cell>
          <cell r="AH4" t="str">
            <v>06,08,</v>
          </cell>
          <cell r="AI4" t="str">
            <v>04,08,</v>
          </cell>
          <cell r="AJ4" t="str">
            <v>30,07,</v>
          </cell>
          <cell r="AK4" t="str">
            <v>28,07,</v>
          </cell>
          <cell r="AL4" t="str">
            <v>23,07,</v>
          </cell>
          <cell r="AN4" t="str">
            <v>25,08,</v>
          </cell>
          <cell r="AO4" t="str">
            <v>24,08,</v>
          </cell>
          <cell r="AQ4">
            <v>1</v>
          </cell>
        </row>
        <row r="5">
          <cell r="E5">
            <v>73581.433000000019</v>
          </cell>
          <cell r="F5">
            <v>46657.596999999994</v>
          </cell>
          <cell r="K5">
            <v>92199.357999999949</v>
          </cell>
          <cell r="L5">
            <v>-18617.925000000003</v>
          </cell>
          <cell r="M5">
            <v>58637.696000000018</v>
          </cell>
          <cell r="N5">
            <v>14943.736999999999</v>
          </cell>
          <cell r="O5">
            <v>19603.011368952004</v>
          </cell>
          <cell r="P5">
            <v>-1273.5</v>
          </cell>
          <cell r="Q5">
            <v>22586.476596293371</v>
          </cell>
          <cell r="R5">
            <v>-2032.9</v>
          </cell>
          <cell r="S5">
            <v>1855.5555555555557</v>
          </cell>
          <cell r="T5">
            <v>20743.400047946052</v>
          </cell>
          <cell r="U5">
            <v>-1208</v>
          </cell>
          <cell r="V5">
            <v>1200</v>
          </cell>
          <cell r="W5">
            <v>11727.539200000003</v>
          </cell>
          <cell r="X5">
            <v>30243.415234286313</v>
          </cell>
          <cell r="Y5">
            <v>37578.120353377686</v>
          </cell>
          <cell r="Z5">
            <v>29236.898753377685</v>
          </cell>
          <cell r="AA5">
            <v>13146.432301714285</v>
          </cell>
          <cell r="AE5">
            <v>13329.492600000001</v>
          </cell>
          <cell r="AF5">
            <v>12669.461800000005</v>
          </cell>
          <cell r="AG5">
            <v>10646.113600000001</v>
          </cell>
          <cell r="AH5">
            <v>10433.826400000007</v>
          </cell>
          <cell r="AI5">
            <v>11173.737200000001</v>
          </cell>
          <cell r="AJ5">
            <v>12763.749600000005</v>
          </cell>
          <cell r="AK5">
            <v>14118.473</v>
          </cell>
          <cell r="AL5">
            <v>10392.847799999996</v>
          </cell>
          <cell r="AN5">
            <v>16997</v>
          </cell>
          <cell r="AO5">
            <v>7985</v>
          </cell>
          <cell r="AQ5">
            <v>1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2019.1469999999999</v>
          </cell>
          <cell r="D6">
            <v>3887.194</v>
          </cell>
          <cell r="E6">
            <v>2033.1679999999999</v>
          </cell>
          <cell r="F6">
            <v>2734.6849999999999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2268.741</v>
          </cell>
          <cell r="L6">
            <v>-235.57300000000009</v>
          </cell>
          <cell r="M6">
            <v>1628.1079999999999</v>
          </cell>
          <cell r="N6">
            <v>405.06</v>
          </cell>
          <cell r="O6">
            <v>571.67824957775997</v>
          </cell>
          <cell r="Q6">
            <v>215.47622976</v>
          </cell>
          <cell r="T6">
            <v>267.65433023999998</v>
          </cell>
          <cell r="W6">
            <v>325.6216</v>
          </cell>
          <cell r="X6">
            <v>117.96539042224003</v>
          </cell>
          <cell r="Y6">
            <v>0</v>
          </cell>
          <cell r="Z6">
            <v>0</v>
          </cell>
          <cell r="AC6">
            <v>11.637722465517522</v>
          </cell>
          <cell r="AD6">
            <v>11.637722465517522</v>
          </cell>
          <cell r="AE6">
            <v>402.60879999999997</v>
          </cell>
          <cell r="AF6">
            <v>419.20679999999999</v>
          </cell>
          <cell r="AG6">
            <v>402.01659999999998</v>
          </cell>
          <cell r="AH6">
            <v>337.73419999999999</v>
          </cell>
          <cell r="AI6">
            <v>348.79259999999999</v>
          </cell>
          <cell r="AJ6">
            <v>383.91660000000002</v>
          </cell>
          <cell r="AK6">
            <v>414.53539999999992</v>
          </cell>
          <cell r="AL6">
            <v>309.1234</v>
          </cell>
          <cell r="AN6">
            <v>0</v>
          </cell>
          <cell r="AO6">
            <v>0</v>
          </cell>
          <cell r="AP6" t="str">
            <v>SU000722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473.78399999999999</v>
          </cell>
          <cell r="D7">
            <v>2893.569</v>
          </cell>
          <cell r="E7">
            <v>1688.492</v>
          </cell>
          <cell r="F7">
            <v>1204.04</v>
          </cell>
          <cell r="G7">
            <v>1</v>
          </cell>
          <cell r="H7">
            <v>45</v>
          </cell>
          <cell r="I7" t="str">
            <v>матрица</v>
          </cell>
          <cell r="K7">
            <v>1499.1020000000001</v>
          </cell>
          <cell r="L7">
            <v>189.38999999999987</v>
          </cell>
          <cell r="M7">
            <v>1081.529</v>
          </cell>
          <cell r="N7">
            <v>606.96299999999997</v>
          </cell>
          <cell r="O7">
            <v>753.70391199999995</v>
          </cell>
          <cell r="Q7">
            <v>200.7</v>
          </cell>
          <cell r="T7">
            <v>249.3</v>
          </cell>
          <cell r="W7">
            <v>216.3058</v>
          </cell>
          <cell r="X7">
            <v>187.92568800000026</v>
          </cell>
          <cell r="Y7">
            <v>399.90537200000028</v>
          </cell>
          <cell r="Z7">
            <v>399.90537200000028</v>
          </cell>
          <cell r="AC7">
            <v>12.98</v>
          </cell>
          <cell r="AD7">
            <v>11.131203657044795</v>
          </cell>
          <cell r="AE7">
            <v>223.072</v>
          </cell>
          <cell r="AF7">
            <v>285.97500000000002</v>
          </cell>
          <cell r="AG7">
            <v>246.8064</v>
          </cell>
          <cell r="AH7">
            <v>136.39259999999999</v>
          </cell>
          <cell r="AI7">
            <v>175.6748</v>
          </cell>
          <cell r="AJ7">
            <v>232.39340000000001</v>
          </cell>
          <cell r="AK7">
            <v>194.2758</v>
          </cell>
          <cell r="AL7">
            <v>139.5838</v>
          </cell>
          <cell r="AN7">
            <v>400</v>
          </cell>
          <cell r="AO7">
            <v>0</v>
          </cell>
          <cell r="AP7" t="str">
            <v>SU001523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2754.893</v>
          </cell>
          <cell r="D8">
            <v>6282.7259999999997</v>
          </cell>
          <cell r="E8">
            <v>4646.4849999999997</v>
          </cell>
          <cell r="F8">
            <v>2260.8630000000003</v>
          </cell>
          <cell r="G8">
            <v>1</v>
          </cell>
          <cell r="H8">
            <v>45</v>
          </cell>
          <cell r="I8" t="str">
            <v>матрица</v>
          </cell>
          <cell r="K8">
            <v>4805.0240000000003</v>
          </cell>
          <cell r="L8">
            <v>-158.53900000000067</v>
          </cell>
          <cell r="M8">
            <v>2732.1219999999994</v>
          </cell>
          <cell r="N8">
            <v>1914.3630000000001</v>
          </cell>
          <cell r="O8">
            <v>976.73630996240047</v>
          </cell>
          <cell r="Q8">
            <v>1024.615398301479</v>
          </cell>
          <cell r="T8">
            <v>1272.728544078519</v>
          </cell>
          <cell r="W8">
            <v>546.42439999999988</v>
          </cell>
          <cell r="X8">
            <v>1022.1495476575997</v>
          </cell>
          <cell r="Y8">
            <v>1557.6454596575995</v>
          </cell>
          <cell r="Z8">
            <v>857.64545965759953</v>
          </cell>
          <cell r="AA8">
            <v>700</v>
          </cell>
          <cell r="AC8">
            <v>12.979999999999999</v>
          </cell>
          <cell r="AD8">
            <v>10.12938524037799</v>
          </cell>
          <cell r="AE8">
            <v>608.08999999999992</v>
          </cell>
          <cell r="AF8">
            <v>673.42660000000001</v>
          </cell>
          <cell r="AG8">
            <v>716.37299999999993</v>
          </cell>
          <cell r="AH8">
            <v>543.649</v>
          </cell>
          <cell r="AI8">
            <v>613.56360000000006</v>
          </cell>
          <cell r="AJ8">
            <v>603.60799999999995</v>
          </cell>
          <cell r="AK8">
            <v>601.60220000000004</v>
          </cell>
          <cell r="AL8">
            <v>449.45300000000009</v>
          </cell>
          <cell r="AN8">
            <v>858</v>
          </cell>
          <cell r="AO8">
            <v>700</v>
          </cell>
          <cell r="AP8" t="str">
            <v>SU001721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23</v>
          </cell>
          <cell r="D9">
            <v>10</v>
          </cell>
          <cell r="E9">
            <v>7</v>
          </cell>
          <cell r="F9">
            <v>18</v>
          </cell>
          <cell r="G9">
            <v>0.4</v>
          </cell>
          <cell r="H9">
            <v>50</v>
          </cell>
          <cell r="I9" t="str">
            <v>матрица</v>
          </cell>
          <cell r="K9">
            <v>14</v>
          </cell>
          <cell r="L9">
            <v>-7</v>
          </cell>
          <cell r="M9">
            <v>7</v>
          </cell>
          <cell r="Q9">
            <v>0</v>
          </cell>
          <cell r="W9">
            <v>1.4</v>
          </cell>
          <cell r="Y9">
            <v>0</v>
          </cell>
          <cell r="Z9">
            <v>0</v>
          </cell>
          <cell r="AC9">
            <v>12.857142857142858</v>
          </cell>
          <cell r="AD9">
            <v>12.857142857142858</v>
          </cell>
          <cell r="AE9">
            <v>1.4</v>
          </cell>
          <cell r="AF9">
            <v>1.8</v>
          </cell>
          <cell r="AG9">
            <v>2.4</v>
          </cell>
          <cell r="AH9">
            <v>1</v>
          </cell>
          <cell r="AI9">
            <v>1.2</v>
          </cell>
          <cell r="AJ9">
            <v>2.6</v>
          </cell>
          <cell r="AK9">
            <v>2.2000000000000002</v>
          </cell>
          <cell r="AL9">
            <v>0</v>
          </cell>
          <cell r="AM9" t="str">
            <v>19 шт списано (12,07,26)</v>
          </cell>
          <cell r="AN9">
            <v>0</v>
          </cell>
          <cell r="AO9">
            <v>0</v>
          </cell>
          <cell r="AP9" t="str">
            <v>SU001485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1956.55</v>
          </cell>
          <cell r="D10">
            <v>2792</v>
          </cell>
          <cell r="E10">
            <v>2608.174</v>
          </cell>
          <cell r="F10">
            <v>615.37599999999998</v>
          </cell>
          <cell r="G10">
            <v>0.45</v>
          </cell>
          <cell r="H10">
            <v>45</v>
          </cell>
          <cell r="I10" t="str">
            <v>ВНИМАНИЕ / матрица</v>
          </cell>
          <cell r="K10">
            <v>3201</v>
          </cell>
          <cell r="L10">
            <v>-592.82600000000002</v>
          </cell>
          <cell r="M10">
            <v>2464.174</v>
          </cell>
          <cell r="N10">
            <v>144</v>
          </cell>
          <cell r="O10">
            <v>907.60799999999995</v>
          </cell>
          <cell r="Q10">
            <v>535.19999999999993</v>
          </cell>
          <cell r="S10">
            <v>1000</v>
          </cell>
          <cell r="T10">
            <v>664.80000000000007</v>
          </cell>
          <cell r="W10">
            <v>492.83479999999997</v>
          </cell>
          <cell r="X10">
            <v>2000</v>
          </cell>
          <cell r="Y10">
            <v>2000</v>
          </cell>
          <cell r="Z10">
            <v>700</v>
          </cell>
          <cell r="AA10">
            <v>1300</v>
          </cell>
          <cell r="AC10">
            <v>11.612378022006565</v>
          </cell>
          <cell r="AD10">
            <v>5.5251455457285079</v>
          </cell>
          <cell r="AE10">
            <v>540.4348</v>
          </cell>
          <cell r="AF10">
            <v>426.41899999999998</v>
          </cell>
          <cell r="AG10">
            <v>373.01900000000001</v>
          </cell>
          <cell r="AH10">
            <v>298</v>
          </cell>
          <cell r="AI10">
            <v>339</v>
          </cell>
          <cell r="AJ10">
            <v>705.87099999999998</v>
          </cell>
          <cell r="AK10">
            <v>624.67100000000005</v>
          </cell>
          <cell r="AL10">
            <v>265.39999999999998</v>
          </cell>
          <cell r="AM10" t="str">
            <v>1000шт под ЮТЛ (Хмель 15,07,26)</v>
          </cell>
          <cell r="AN10">
            <v>315</v>
          </cell>
          <cell r="AO10">
            <v>585</v>
          </cell>
          <cell r="AP10" t="str">
            <v>SU001718</v>
          </cell>
          <cell r="AQ10" t="str">
            <v>SU001718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5853.0209999999997</v>
          </cell>
          <cell r="D11">
            <v>2392</v>
          </cell>
          <cell r="E11">
            <v>4360.366</v>
          </cell>
          <cell r="F11">
            <v>1646.655</v>
          </cell>
          <cell r="G11">
            <v>0.45</v>
          </cell>
          <cell r="H11">
            <v>45</v>
          </cell>
          <cell r="I11" t="str">
            <v>ВНИМАНИЕ / матрица</v>
          </cell>
          <cell r="K11">
            <v>4886</v>
          </cell>
          <cell r="L11">
            <v>-525.63400000000001</v>
          </cell>
          <cell r="M11">
            <v>3424.366</v>
          </cell>
          <cell r="N11">
            <v>936</v>
          </cell>
          <cell r="O11">
            <v>260</v>
          </cell>
          <cell r="Q11">
            <v>356.8</v>
          </cell>
          <cell r="T11">
            <v>443.2</v>
          </cell>
          <cell r="W11">
            <v>684.8732</v>
          </cell>
          <cell r="X11">
            <v>4826.9502000000002</v>
          </cell>
          <cell r="Y11">
            <v>4826.9502000000002</v>
          </cell>
          <cell r="Z11">
            <v>1826.9502000000002</v>
          </cell>
          <cell r="AA11">
            <v>3000</v>
          </cell>
          <cell r="AC11">
            <v>11</v>
          </cell>
          <cell r="AD11">
            <v>3.9520527303448283</v>
          </cell>
          <cell r="AE11">
            <v>689.67319999999995</v>
          </cell>
          <cell r="AF11">
            <v>718.03</v>
          </cell>
          <cell r="AG11">
            <v>763.07439999999997</v>
          </cell>
          <cell r="AH11">
            <v>683.4</v>
          </cell>
          <cell r="AI11">
            <v>536.79999999999995</v>
          </cell>
          <cell r="AJ11">
            <v>707.36580000000004</v>
          </cell>
          <cell r="AK11">
            <v>771.7657999999999</v>
          </cell>
          <cell r="AL11">
            <v>431.2</v>
          </cell>
          <cell r="AM11" t="str">
            <v>1000 сеть МКД (05,08,26)</v>
          </cell>
          <cell r="AN11">
            <v>822</v>
          </cell>
          <cell r="AO11">
            <v>1350</v>
          </cell>
          <cell r="AP11" t="str">
            <v>SU001720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282</v>
          </cell>
          <cell r="D12">
            <v>37</v>
          </cell>
          <cell r="E12">
            <v>119</v>
          </cell>
          <cell r="F12">
            <v>126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149</v>
          </cell>
          <cell r="L12">
            <v>-30</v>
          </cell>
          <cell r="M12">
            <v>89</v>
          </cell>
          <cell r="N12">
            <v>30</v>
          </cell>
          <cell r="Q12">
            <v>0</v>
          </cell>
          <cell r="W12">
            <v>17.8</v>
          </cell>
          <cell r="X12">
            <v>87.600000000000023</v>
          </cell>
          <cell r="Y12">
            <v>87.600000000000023</v>
          </cell>
          <cell r="Z12">
            <v>87.600000000000023</v>
          </cell>
          <cell r="AC12">
            <v>12</v>
          </cell>
          <cell r="AD12">
            <v>7.0786516853932584</v>
          </cell>
          <cell r="AE12">
            <v>17.8</v>
          </cell>
          <cell r="AF12">
            <v>13.2</v>
          </cell>
          <cell r="AG12">
            <v>20</v>
          </cell>
          <cell r="AH12">
            <v>19.234000000000002</v>
          </cell>
          <cell r="AI12">
            <v>23.6</v>
          </cell>
          <cell r="AJ12">
            <v>35</v>
          </cell>
          <cell r="AK12">
            <v>24.6</v>
          </cell>
          <cell r="AL12">
            <v>9</v>
          </cell>
          <cell r="AN12">
            <v>15</v>
          </cell>
          <cell r="AO12">
            <v>0</v>
          </cell>
          <cell r="AP12" t="str">
            <v>SU002092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96</v>
          </cell>
          <cell r="D13">
            <v>9</v>
          </cell>
          <cell r="E13">
            <v>60</v>
          </cell>
          <cell r="F13">
            <v>19</v>
          </cell>
          <cell r="G13">
            <v>0.3</v>
          </cell>
          <cell r="H13">
            <v>40</v>
          </cell>
          <cell r="I13" t="str">
            <v>матрица</v>
          </cell>
          <cell r="K13">
            <v>80</v>
          </cell>
          <cell r="L13">
            <v>-20</v>
          </cell>
          <cell r="M13">
            <v>60</v>
          </cell>
          <cell r="Q13">
            <v>75</v>
          </cell>
          <cell r="R13">
            <v>-78</v>
          </cell>
          <cell r="W13">
            <v>12</v>
          </cell>
          <cell r="X13">
            <v>50</v>
          </cell>
          <cell r="Y13">
            <v>50</v>
          </cell>
          <cell r="Z13">
            <v>50</v>
          </cell>
          <cell r="AC13">
            <v>5.5</v>
          </cell>
          <cell r="AD13">
            <v>7.833333333333333</v>
          </cell>
          <cell r="AE13">
            <v>12.6</v>
          </cell>
          <cell r="AF13">
            <v>7.2</v>
          </cell>
          <cell r="AG13">
            <v>4.2</v>
          </cell>
          <cell r="AH13">
            <v>8.1999999999999993</v>
          </cell>
          <cell r="AI13">
            <v>11.8</v>
          </cell>
          <cell r="AJ13">
            <v>8.4</v>
          </cell>
          <cell r="AK13">
            <v>3.2</v>
          </cell>
          <cell r="AL13">
            <v>1</v>
          </cell>
          <cell r="AN13">
            <v>15</v>
          </cell>
          <cell r="AO13">
            <v>0</v>
          </cell>
          <cell r="AP13" t="str">
            <v>SU002252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383</v>
          </cell>
          <cell r="D14">
            <v>103</v>
          </cell>
          <cell r="E14">
            <v>297</v>
          </cell>
          <cell r="F14">
            <v>6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397</v>
          </cell>
          <cell r="L14">
            <v>-100</v>
          </cell>
          <cell r="M14">
            <v>87</v>
          </cell>
          <cell r="N14">
            <v>210</v>
          </cell>
          <cell r="Q14">
            <v>151.99999999999989</v>
          </cell>
          <cell r="W14">
            <v>17.399999999999999</v>
          </cell>
          <cell r="X14">
            <v>50.800000000000097</v>
          </cell>
          <cell r="Y14">
            <v>50.800000000000097</v>
          </cell>
          <cell r="Z14">
            <v>50.800000000000097</v>
          </cell>
          <cell r="AC14">
            <v>12</v>
          </cell>
          <cell r="AD14">
            <v>9.0804597701149365</v>
          </cell>
          <cell r="AE14">
            <v>35.4</v>
          </cell>
          <cell r="AF14">
            <v>34.200000000000003</v>
          </cell>
          <cell r="AG14">
            <v>26</v>
          </cell>
          <cell r="AH14">
            <v>27.634</v>
          </cell>
          <cell r="AI14">
            <v>36.799999999999997</v>
          </cell>
          <cell r="AJ14">
            <v>60.2</v>
          </cell>
          <cell r="AK14">
            <v>65.2</v>
          </cell>
          <cell r="AL14">
            <v>36.6</v>
          </cell>
          <cell r="AN14">
            <v>9</v>
          </cell>
          <cell r="AO14">
            <v>0</v>
          </cell>
          <cell r="AP14" t="str">
            <v>SU001869</v>
          </cell>
        </row>
        <row r="15">
          <cell r="A15" t="str">
            <v xml:space="preserve"> 103  Сосиски Классические, 0.42кг,ядрена копотьПОКОМ</v>
          </cell>
          <cell r="B15" t="str">
            <v>шт</v>
          </cell>
          <cell r="C15">
            <v>336</v>
          </cell>
          <cell r="D15">
            <v>2</v>
          </cell>
          <cell r="E15">
            <v>5</v>
          </cell>
          <cell r="F15">
            <v>272</v>
          </cell>
          <cell r="G15">
            <v>0</v>
          </cell>
          <cell r="I15" t="str">
            <v>не в матрице</v>
          </cell>
          <cell r="K15">
            <v>53</v>
          </cell>
          <cell r="L15">
            <v>-48</v>
          </cell>
          <cell r="M15">
            <v>5</v>
          </cell>
          <cell r="Q15">
            <v>0</v>
          </cell>
          <cell r="W15">
            <v>1</v>
          </cell>
          <cell r="Y15">
            <v>0</v>
          </cell>
          <cell r="Z15">
            <v>0</v>
          </cell>
          <cell r="AC15">
            <v>272</v>
          </cell>
          <cell r="AD15">
            <v>272</v>
          </cell>
          <cell r="AE15">
            <v>1</v>
          </cell>
          <cell r="AF15">
            <v>5.2</v>
          </cell>
          <cell r="AG15">
            <v>4.4000000000000004</v>
          </cell>
          <cell r="AH15">
            <v>0.2</v>
          </cell>
          <cell r="AI15">
            <v>4.4000000000000004</v>
          </cell>
          <cell r="AJ15">
            <v>4.2</v>
          </cell>
          <cell r="AK15">
            <v>0</v>
          </cell>
          <cell r="AL15">
            <v>0</v>
          </cell>
          <cell r="AM15" t="str">
            <v>Продукция для ПРС!!!</v>
          </cell>
          <cell r="AN15">
            <v>0</v>
          </cell>
          <cell r="AO15">
            <v>0</v>
          </cell>
          <cell r="AP15" t="str">
            <v>SU000341</v>
          </cell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3949.2420000000002</v>
          </cell>
          <cell r="D16">
            <v>5740.3339999999998</v>
          </cell>
          <cell r="E16">
            <v>4270.7960000000003</v>
          </cell>
          <cell r="F16">
            <v>3018.5230000000001</v>
          </cell>
          <cell r="G16">
            <v>1</v>
          </cell>
          <cell r="H16">
            <v>70</v>
          </cell>
          <cell r="I16" t="str">
            <v>матрица</v>
          </cell>
          <cell r="K16">
            <v>4821.759</v>
          </cell>
          <cell r="L16">
            <v>-550.96299999999974</v>
          </cell>
          <cell r="M16">
            <v>2883.3020000000006</v>
          </cell>
          <cell r="N16">
            <v>1387.4939999999999</v>
          </cell>
          <cell r="O16">
            <v>1598.80850351872</v>
          </cell>
          <cell r="Q16">
            <v>267.60000000000002</v>
          </cell>
          <cell r="T16">
            <v>332.4</v>
          </cell>
          <cell r="W16">
            <v>576.6604000000001</v>
          </cell>
          <cell r="X16">
            <v>1702.593296481281</v>
          </cell>
          <cell r="Y16">
            <v>2267.7204884812809</v>
          </cell>
          <cell r="Z16">
            <v>1402.7204884812809</v>
          </cell>
          <cell r="AA16">
            <v>865</v>
          </cell>
          <cell r="AC16">
            <v>12.98</v>
          </cell>
          <cell r="AD16">
            <v>9.047493990429583</v>
          </cell>
          <cell r="AE16">
            <v>628.17099999999994</v>
          </cell>
          <cell r="AF16">
            <v>726.94060000000002</v>
          </cell>
          <cell r="AG16">
            <v>643.96600000000001</v>
          </cell>
          <cell r="AH16">
            <v>609.90919999999994</v>
          </cell>
          <cell r="AI16">
            <v>693.11580000000004</v>
          </cell>
          <cell r="AJ16">
            <v>746.79539999999997</v>
          </cell>
          <cell r="AK16">
            <v>794.77139999999997</v>
          </cell>
          <cell r="AL16">
            <v>554.79759999999999</v>
          </cell>
          <cell r="AN16">
            <v>1403</v>
          </cell>
          <cell r="AO16">
            <v>865</v>
          </cell>
          <cell r="AP16" t="str">
            <v>SU002035</v>
          </cell>
          <cell r="AQ16" t="str">
            <v>SU002035</v>
          </cell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3045.259</v>
          </cell>
          <cell r="D17">
            <v>3464.7330000000002</v>
          </cell>
          <cell r="E17">
            <v>3118.3069999999998</v>
          </cell>
          <cell r="F17">
            <v>1311.933</v>
          </cell>
          <cell r="G17">
            <v>1</v>
          </cell>
          <cell r="H17">
            <v>50</v>
          </cell>
          <cell r="I17" t="str">
            <v>матрица</v>
          </cell>
          <cell r="K17">
            <v>4089.0889999999999</v>
          </cell>
          <cell r="L17">
            <v>-970.78200000000015</v>
          </cell>
          <cell r="M17">
            <v>1418.0369999999998</v>
          </cell>
          <cell r="N17">
            <v>1700.27</v>
          </cell>
          <cell r="O17">
            <v>270.40264458688011</v>
          </cell>
          <cell r="Q17">
            <v>888.46132639817574</v>
          </cell>
          <cell r="T17">
            <v>1103.604427857824</v>
          </cell>
          <cell r="V17">
            <v>300</v>
          </cell>
          <cell r="W17">
            <v>283.60739999999998</v>
          </cell>
          <cell r="Y17">
            <v>0</v>
          </cell>
          <cell r="Z17">
            <v>0</v>
          </cell>
          <cell r="AC17">
            <v>13.661143534487746</v>
          </cell>
          <cell r="AD17">
            <v>12.603343209108365</v>
          </cell>
          <cell r="AE17">
            <v>445.85719999999998</v>
          </cell>
          <cell r="AF17">
            <v>436.47500000000002</v>
          </cell>
          <cell r="AG17">
            <v>435.79059999999993</v>
          </cell>
          <cell r="AH17">
            <v>509.04079999999999</v>
          </cell>
          <cell r="AI17">
            <v>530.1232</v>
          </cell>
          <cell r="AJ17">
            <v>537.54300000000001</v>
          </cell>
          <cell r="AK17">
            <v>623.73239999999998</v>
          </cell>
          <cell r="AL17">
            <v>623.553</v>
          </cell>
          <cell r="AN17">
            <v>0</v>
          </cell>
          <cell r="AO17">
            <v>0</v>
          </cell>
          <cell r="AP17" t="str">
            <v>SU000126</v>
          </cell>
          <cell r="AQ17" t="str">
            <v>SU000126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328.6</v>
          </cell>
          <cell r="D18">
            <v>310.21800000000002</v>
          </cell>
          <cell r="E18">
            <v>448.40499999999997</v>
          </cell>
          <cell r="F18">
            <v>-10.763999999999999</v>
          </cell>
          <cell r="G18">
            <v>1</v>
          </cell>
          <cell r="H18">
            <v>60</v>
          </cell>
          <cell r="I18" t="str">
            <v>матрица</v>
          </cell>
          <cell r="K18">
            <v>523.84400000000005</v>
          </cell>
          <cell r="L18">
            <v>-75.439000000000078</v>
          </cell>
          <cell r="M18">
            <v>146.16099999999994</v>
          </cell>
          <cell r="N18">
            <v>302.24400000000003</v>
          </cell>
          <cell r="Q18">
            <v>211.8583999999999</v>
          </cell>
          <cell r="W18">
            <v>29.232199999999988</v>
          </cell>
          <cell r="X18">
            <v>149.69199999999995</v>
          </cell>
          <cell r="Y18">
            <v>149.69199999999995</v>
          </cell>
          <cell r="Z18">
            <v>149.69199999999995</v>
          </cell>
          <cell r="AC18">
            <v>12</v>
          </cell>
          <cell r="AD18">
            <v>6.8792085440028456</v>
          </cell>
          <cell r="AE18">
            <v>29.232199999999992</v>
          </cell>
          <cell r="AF18">
            <v>22.357199999999999</v>
          </cell>
          <cell r="AG18">
            <v>-0.251</v>
          </cell>
          <cell r="AH18">
            <v>23.059200000000001</v>
          </cell>
          <cell r="AI18">
            <v>27.917000000000002</v>
          </cell>
          <cell r="AJ18">
            <v>18.902000000000001</v>
          </cell>
          <cell r="AK18">
            <v>36.507800000000003</v>
          </cell>
          <cell r="AL18">
            <v>45.231999999999992</v>
          </cell>
          <cell r="AN18">
            <v>150</v>
          </cell>
          <cell r="AO18">
            <v>0</v>
          </cell>
          <cell r="AP18" t="str">
            <v>SU002011</v>
          </cell>
        </row>
        <row r="19">
          <cell r="A19" t="str">
            <v xml:space="preserve"> 219  Колбаса Докторская Особая ТМ Особый рецепт, ВЕС  ПОКОМ</v>
          </cell>
          <cell r="B19" t="str">
            <v>кг</v>
          </cell>
          <cell r="C19">
            <v>-4.9740000000000002</v>
          </cell>
          <cell r="E19">
            <v>1.7549999999999999</v>
          </cell>
          <cell r="F19">
            <v>-27.492999999999999</v>
          </cell>
          <cell r="G19">
            <v>0</v>
          </cell>
          <cell r="I19" t="str">
            <v>не в матрице</v>
          </cell>
          <cell r="J19" t="str">
            <v xml:space="preserve"> 597  Колбаса Классическая ТМ Особый рецепт в оболочке полиамид ВЕС. ПОКОМ</v>
          </cell>
          <cell r="K19">
            <v>22.5</v>
          </cell>
          <cell r="L19">
            <v>-20.745000000000001</v>
          </cell>
          <cell r="M19">
            <v>1.7549999999999999</v>
          </cell>
          <cell r="Q19">
            <v>0</v>
          </cell>
          <cell r="W19">
            <v>0.35099999999999998</v>
          </cell>
          <cell r="Y19">
            <v>0</v>
          </cell>
          <cell r="Z19">
            <v>0</v>
          </cell>
          <cell r="AC19">
            <v>-78.327635327635335</v>
          </cell>
          <cell r="AD19">
            <v>-78.327635327635335</v>
          </cell>
          <cell r="AE19">
            <v>0.35099999999999998</v>
          </cell>
          <cell r="AF19">
            <v>-0.36499999999999999</v>
          </cell>
          <cell r="AG19">
            <v>-0.51300000000000001</v>
          </cell>
          <cell r="AH19">
            <v>-0.14799999999999999</v>
          </cell>
          <cell r="AI19">
            <v>0</v>
          </cell>
          <cell r="AJ19">
            <v>0.49480000000000002</v>
          </cell>
          <cell r="AK19">
            <v>0.49480000000000002</v>
          </cell>
          <cell r="AL19">
            <v>0</v>
          </cell>
          <cell r="AN19">
            <v>0</v>
          </cell>
          <cell r="AO19">
            <v>0</v>
          </cell>
          <cell r="AP19" t="str">
            <v>SU004238</v>
          </cell>
          <cell r="AQ19" t="str">
            <v>SU004238</v>
          </cell>
        </row>
        <row r="20">
          <cell r="A20" t="str">
            <v xml:space="preserve"> 225  Колбаса Дугушка со шпиком, ВЕС, ТМ Стародворье   ПОКОМ</v>
          </cell>
          <cell r="B20" t="str">
            <v>кг</v>
          </cell>
          <cell r="G20">
            <v>0</v>
          </cell>
          <cell r="I20" t="str">
            <v>матрица</v>
          </cell>
          <cell r="L20">
            <v>0</v>
          </cell>
          <cell r="M20">
            <v>0</v>
          </cell>
          <cell r="Q20">
            <v>0</v>
          </cell>
          <cell r="W20">
            <v>0</v>
          </cell>
          <cell r="Y20">
            <v>0</v>
          </cell>
          <cell r="Z20">
            <v>0</v>
          </cell>
          <cell r="AC20" t="e">
            <v>#DIV/0!</v>
          </cell>
          <cell r="AD20" t="e">
            <v>#DIV/0!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 t="str">
            <v>нет потребности</v>
          </cell>
          <cell r="AN20">
            <v>0</v>
          </cell>
          <cell r="AO20">
            <v>0</v>
          </cell>
          <cell r="AP20" t="str">
            <v>SU002182</v>
          </cell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B21" t="str">
            <v>кг</v>
          </cell>
          <cell r="C21">
            <v>4.0739999999999998</v>
          </cell>
          <cell r="D21">
            <v>20.452000000000002</v>
          </cell>
          <cell r="E21">
            <v>4.4169999999999998</v>
          </cell>
          <cell r="F21">
            <v>21.475999999999999</v>
          </cell>
          <cell r="G21">
            <v>1</v>
          </cell>
          <cell r="H21">
            <v>180</v>
          </cell>
          <cell r="I21" t="str">
            <v>матрица</v>
          </cell>
          <cell r="K21">
            <v>3.2</v>
          </cell>
          <cell r="L21">
            <v>1.2169999999999996</v>
          </cell>
          <cell r="M21">
            <v>4.4169999999999998</v>
          </cell>
          <cell r="Q21">
            <v>0</v>
          </cell>
          <cell r="W21">
            <v>0.88339999999999996</v>
          </cell>
          <cell r="Y21">
            <v>0</v>
          </cell>
          <cell r="Z21">
            <v>0</v>
          </cell>
          <cell r="AC21">
            <v>24.310618066561013</v>
          </cell>
          <cell r="AD21">
            <v>24.310618066561013</v>
          </cell>
          <cell r="AE21">
            <v>0.88339999999999996</v>
          </cell>
          <cell r="AF21">
            <v>1.4618</v>
          </cell>
          <cell r="AG21">
            <v>1.1292</v>
          </cell>
          <cell r="AH21">
            <v>0.64200000000000002</v>
          </cell>
          <cell r="AI21">
            <v>0.42899999999999999</v>
          </cell>
          <cell r="AJ21">
            <v>1.0448</v>
          </cell>
          <cell r="AK21">
            <v>1.1863999999999999</v>
          </cell>
          <cell r="AL21">
            <v>0.42980000000000002</v>
          </cell>
          <cell r="AM21" t="str">
            <v>нужно увеличить продажи</v>
          </cell>
          <cell r="AN21">
            <v>0</v>
          </cell>
          <cell r="AO21">
            <v>0</v>
          </cell>
          <cell r="AP21" t="str">
            <v>SU001920</v>
          </cell>
        </row>
        <row r="22">
          <cell r="A22" t="str">
            <v xml:space="preserve"> 229  Колбаса Молочная Дугушка, в/у, ВЕС, ТМ Стародворье   ПОКОМ</v>
          </cell>
          <cell r="B22" t="str">
            <v>кг</v>
          </cell>
          <cell r="C22">
            <v>4132.4440000000004</v>
          </cell>
          <cell r="D22">
            <v>9744.6650000000009</v>
          </cell>
          <cell r="E22">
            <v>5972.8879999999999</v>
          </cell>
          <cell r="F22">
            <v>5774.89</v>
          </cell>
          <cell r="G22">
            <v>1</v>
          </cell>
          <cell r="H22">
            <v>60</v>
          </cell>
          <cell r="I22" t="str">
            <v>матрица</v>
          </cell>
          <cell r="K22">
            <v>5380.9189999999999</v>
          </cell>
          <cell r="L22">
            <v>591.96900000000005</v>
          </cell>
          <cell r="M22">
            <v>5972.8879999999999</v>
          </cell>
          <cell r="O22">
            <v>3489.2332883200011</v>
          </cell>
          <cell r="Q22">
            <v>1826.1224807039989</v>
          </cell>
          <cell r="T22">
            <v>2268.3225432959989</v>
          </cell>
          <cell r="W22">
            <v>1194.5776000000001</v>
          </cell>
          <cell r="X22">
            <v>976.36288768000031</v>
          </cell>
          <cell r="Y22">
            <v>0</v>
          </cell>
          <cell r="Z22">
            <v>0</v>
          </cell>
          <cell r="AC22">
            <v>11.182671023062879</v>
          </cell>
          <cell r="AD22">
            <v>11.182671023062879</v>
          </cell>
          <cell r="AE22">
            <v>1235.5082</v>
          </cell>
          <cell r="AF22">
            <v>1204.5540000000001</v>
          </cell>
          <cell r="AG22">
            <v>901.40879999999993</v>
          </cell>
          <cell r="AH22">
            <v>763.35619999999994</v>
          </cell>
          <cell r="AI22">
            <v>859.37340000000006</v>
          </cell>
          <cell r="AJ22">
            <v>796.55060000000003</v>
          </cell>
          <cell r="AK22">
            <v>870.48359999999991</v>
          </cell>
          <cell r="AL22">
            <v>625.42460000000005</v>
          </cell>
          <cell r="AN22">
            <v>0</v>
          </cell>
          <cell r="AO22">
            <v>0</v>
          </cell>
          <cell r="AP22" t="str">
            <v>SU002010</v>
          </cell>
        </row>
        <row r="23">
          <cell r="A23" t="str">
            <v xml:space="preserve"> 230  Колбаса Молочная Особая ТМ Особый рецепт, п/а, ВЕС. ПОКОМ</v>
          </cell>
          <cell r="B23" t="str">
            <v>кг</v>
          </cell>
          <cell r="C23">
            <v>-7.4930000000000003</v>
          </cell>
          <cell r="E23">
            <v>4.97</v>
          </cell>
          <cell r="F23">
            <v>-12.462999999999999</v>
          </cell>
          <cell r="G23">
            <v>0</v>
          </cell>
          <cell r="I23" t="str">
            <v>не в матрице</v>
          </cell>
          <cell r="J23" t="str">
            <v xml:space="preserve"> 457  Колбаса Молочная ТМ Особый рецепт ВЕС большой батон  ПОКОМ</v>
          </cell>
          <cell r="K23">
            <v>5</v>
          </cell>
          <cell r="L23">
            <v>-3.0000000000000249E-2</v>
          </cell>
          <cell r="M23">
            <v>4.97</v>
          </cell>
          <cell r="Q23">
            <v>0</v>
          </cell>
          <cell r="W23">
            <v>0.99399999999999999</v>
          </cell>
          <cell r="Y23">
            <v>0</v>
          </cell>
          <cell r="Z23">
            <v>0</v>
          </cell>
          <cell r="AC23">
            <v>-12.538229376257545</v>
          </cell>
          <cell r="AD23">
            <v>-12.538229376257545</v>
          </cell>
          <cell r="AE23">
            <v>0.99399999999999999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1.4985999999999999</v>
          </cell>
          <cell r="AK23">
            <v>1.4985999999999999</v>
          </cell>
          <cell r="AL23">
            <v>0</v>
          </cell>
          <cell r="AN23">
            <v>0</v>
          </cell>
          <cell r="AO23">
            <v>0</v>
          </cell>
          <cell r="AP23" t="str">
            <v>SU003422</v>
          </cell>
          <cell r="AQ23" t="str">
            <v>SU003422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B24" t="str">
            <v>кг</v>
          </cell>
          <cell r="C24">
            <v>335.72899999999998</v>
          </cell>
          <cell r="D24">
            <v>1254.8689999999999</v>
          </cell>
          <cell r="E24">
            <v>209.511</v>
          </cell>
          <cell r="F24">
            <v>583.08699999999999</v>
          </cell>
          <cell r="G24">
            <v>1</v>
          </cell>
          <cell r="H24">
            <v>70</v>
          </cell>
          <cell r="I24" t="str">
            <v>матрица</v>
          </cell>
          <cell r="K24">
            <v>1037.5450000000001</v>
          </cell>
          <cell r="L24">
            <v>-828.03400000000011</v>
          </cell>
          <cell r="M24">
            <v>108.401</v>
          </cell>
          <cell r="N24">
            <v>101.11</v>
          </cell>
          <cell r="Q24">
            <v>0</v>
          </cell>
          <cell r="W24">
            <v>21.680199999999999</v>
          </cell>
          <cell r="Y24">
            <v>0</v>
          </cell>
          <cell r="Z24">
            <v>0</v>
          </cell>
          <cell r="AC24">
            <v>26.894908718554259</v>
          </cell>
          <cell r="AD24">
            <v>26.894908718554259</v>
          </cell>
          <cell r="AE24">
            <v>72.813199999999995</v>
          </cell>
          <cell r="AF24">
            <v>77.070599999999999</v>
          </cell>
          <cell r="AG24">
            <v>121.82040000000001</v>
          </cell>
          <cell r="AH24">
            <v>64.7166</v>
          </cell>
          <cell r="AI24">
            <v>29.255199999999999</v>
          </cell>
          <cell r="AJ24">
            <v>86.518400000000014</v>
          </cell>
          <cell r="AK24">
            <v>112.26900000000001</v>
          </cell>
          <cell r="AL24">
            <v>80.832799999999992</v>
          </cell>
          <cell r="AM24" t="str">
            <v>нужно увеличить продажи</v>
          </cell>
          <cell r="AN24">
            <v>0</v>
          </cell>
          <cell r="AO24">
            <v>0</v>
          </cell>
          <cell r="AP24" t="str">
            <v>SU002150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B25" t="str">
            <v>кг</v>
          </cell>
          <cell r="C25">
            <v>1316.174</v>
          </cell>
          <cell r="D25">
            <v>1676.538</v>
          </cell>
          <cell r="E25">
            <v>1398.375</v>
          </cell>
          <cell r="F25">
            <v>990.20899999999995</v>
          </cell>
          <cell r="G25">
            <v>1</v>
          </cell>
          <cell r="H25">
            <v>70</v>
          </cell>
          <cell r="I25" t="str">
            <v>матрица</v>
          </cell>
          <cell r="K25">
            <v>1519.923</v>
          </cell>
          <cell r="L25">
            <v>-121.548</v>
          </cell>
          <cell r="M25">
            <v>1063.414</v>
          </cell>
          <cell r="N25">
            <v>334.96100000000001</v>
          </cell>
          <cell r="O25">
            <v>457.30278177584012</v>
          </cell>
          <cell r="Q25">
            <v>322.91478138456802</v>
          </cell>
          <cell r="T25">
            <v>401.10939212343197</v>
          </cell>
          <cell r="W25">
            <v>212.68279999999999</v>
          </cell>
          <cell r="X25">
            <v>380.65764471615955</v>
          </cell>
          <cell r="Y25">
            <v>589.0867887161595</v>
          </cell>
          <cell r="Z25">
            <v>589.0867887161595</v>
          </cell>
          <cell r="AC25">
            <v>12.979999999999997</v>
          </cell>
          <cell r="AD25">
            <v>10.210209548133841</v>
          </cell>
          <cell r="AE25">
            <v>230.36799999999999</v>
          </cell>
          <cell r="AF25">
            <v>244.7884</v>
          </cell>
          <cell r="AG25">
            <v>233.47839999999999</v>
          </cell>
          <cell r="AH25">
            <v>197.40940000000001</v>
          </cell>
          <cell r="AI25">
            <v>248.37119999999999</v>
          </cell>
          <cell r="AJ25">
            <v>254.24639999999999</v>
          </cell>
          <cell r="AK25">
            <v>255.9778</v>
          </cell>
          <cell r="AL25">
            <v>183.00020000000001</v>
          </cell>
          <cell r="AN25">
            <v>589</v>
          </cell>
          <cell r="AO25">
            <v>0</v>
          </cell>
          <cell r="AP25" t="str">
            <v>SU002158</v>
          </cell>
        </row>
        <row r="26">
          <cell r="A26" t="str">
            <v xml:space="preserve"> 240  Колбаса Салями охотничья,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M26">
            <v>0</v>
          </cell>
          <cell r="Q26">
            <v>0</v>
          </cell>
          <cell r="W26">
            <v>0</v>
          </cell>
          <cell r="Y26">
            <v>0</v>
          </cell>
          <cell r="Z26">
            <v>0</v>
          </cell>
          <cell r="AC26" t="e">
            <v>#DIV/0!</v>
          </cell>
          <cell r="AD26" t="e">
            <v>#DIV/0!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 t="str">
            <v>нет потребности</v>
          </cell>
          <cell r="AN26">
            <v>0</v>
          </cell>
          <cell r="AO26">
            <v>0</v>
          </cell>
          <cell r="AP26" t="str">
            <v>SU001921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2323.6109999999999</v>
          </cell>
          <cell r="D27">
            <v>2015.317</v>
          </cell>
          <cell r="E27">
            <v>2505.23</v>
          </cell>
          <cell r="F27">
            <v>633.43299999999999</v>
          </cell>
          <cell r="G27">
            <v>1</v>
          </cell>
          <cell r="H27">
            <v>70</v>
          </cell>
          <cell r="I27" t="str">
            <v>матрица</v>
          </cell>
          <cell r="K27">
            <v>2693.62</v>
          </cell>
          <cell r="L27">
            <v>-188.38999999999987</v>
          </cell>
          <cell r="M27">
            <v>1782.2339999999999</v>
          </cell>
          <cell r="N27">
            <v>722.99599999999998</v>
          </cell>
          <cell r="O27">
            <v>416</v>
          </cell>
          <cell r="Q27">
            <v>1084.23770304</v>
          </cell>
          <cell r="T27">
            <v>1346.7885369600001</v>
          </cell>
          <cell r="W27">
            <v>356.4468</v>
          </cell>
          <cell r="X27">
            <v>796.90236000000027</v>
          </cell>
          <cell r="Y27">
            <v>1146.2202240000001</v>
          </cell>
          <cell r="Z27">
            <v>1146.2202240000001</v>
          </cell>
          <cell r="AC27">
            <v>12.980000000000002</v>
          </cell>
          <cell r="AD27">
            <v>9.7643161335716862</v>
          </cell>
          <cell r="AE27">
            <v>377.3442</v>
          </cell>
          <cell r="AF27">
            <v>436.64600000000002</v>
          </cell>
          <cell r="AG27">
            <v>375.16520000000003</v>
          </cell>
          <cell r="AH27">
            <v>497.58879999999999</v>
          </cell>
          <cell r="AI27">
            <v>453.67960000000011</v>
          </cell>
          <cell r="AJ27">
            <v>417.40320000000003</v>
          </cell>
          <cell r="AK27">
            <v>457.06279999999998</v>
          </cell>
          <cell r="AL27">
            <v>304.71480000000003</v>
          </cell>
          <cell r="AN27">
            <v>1146</v>
          </cell>
          <cell r="AO27">
            <v>0</v>
          </cell>
          <cell r="AP27" t="str">
            <v>SU002151</v>
          </cell>
        </row>
        <row r="28">
          <cell r="A28" t="str">
            <v xml:space="preserve"> 244  Колбаса Сервелат Кремлевский, ВЕС. ПОКОМ</v>
          </cell>
          <cell r="B28" t="str">
            <v>кг</v>
          </cell>
          <cell r="C28">
            <v>81.498000000000005</v>
          </cell>
          <cell r="E28">
            <v>6.5110000000000001</v>
          </cell>
          <cell r="F28">
            <v>69.201999999999998</v>
          </cell>
          <cell r="G28">
            <v>1</v>
          </cell>
          <cell r="H28">
            <v>40</v>
          </cell>
          <cell r="I28" t="str">
            <v>матрица</v>
          </cell>
          <cell r="K28">
            <v>7.2</v>
          </cell>
          <cell r="L28">
            <v>-0.68900000000000006</v>
          </cell>
          <cell r="M28">
            <v>6.5110000000000001</v>
          </cell>
          <cell r="Q28">
            <v>0</v>
          </cell>
          <cell r="W28">
            <v>1.3022</v>
          </cell>
          <cell r="Y28">
            <v>0</v>
          </cell>
          <cell r="Z28">
            <v>0</v>
          </cell>
          <cell r="AC28">
            <v>53.142374443249885</v>
          </cell>
          <cell r="AD28">
            <v>53.142374443249885</v>
          </cell>
          <cell r="AE28">
            <v>1.3022</v>
          </cell>
          <cell r="AF28">
            <v>1.9805999999999999</v>
          </cell>
          <cell r="AG28">
            <v>1.2582</v>
          </cell>
          <cell r="AH28">
            <v>0.73199999999999998</v>
          </cell>
          <cell r="AI28">
            <v>1.3146</v>
          </cell>
          <cell r="AJ28">
            <v>7.8512000000000004</v>
          </cell>
          <cell r="AK28">
            <v>8.7356000000000016</v>
          </cell>
          <cell r="AL28">
            <v>3.5047999999999999</v>
          </cell>
          <cell r="AM28" t="str">
            <v>нужно увеличить продажи!!!</v>
          </cell>
          <cell r="AN28">
            <v>0</v>
          </cell>
          <cell r="AO28">
            <v>0</v>
          </cell>
          <cell r="AP28" t="str">
            <v>SU001822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G29">
            <v>0</v>
          </cell>
          <cell r="I29" t="str">
            <v>матрица</v>
          </cell>
          <cell r="L29">
            <v>0</v>
          </cell>
          <cell r="M29">
            <v>0</v>
          </cell>
          <cell r="Q29">
            <v>0</v>
          </cell>
          <cell r="W29">
            <v>0</v>
          </cell>
          <cell r="Y29">
            <v>0</v>
          </cell>
          <cell r="Z29">
            <v>0</v>
          </cell>
          <cell r="AC29" t="e">
            <v>#DIV/0!</v>
          </cell>
          <cell r="AD29" t="e">
            <v>#DIV/0!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 t="str">
            <v>нет потребности</v>
          </cell>
          <cell r="AN29">
            <v>0</v>
          </cell>
          <cell r="AO29">
            <v>0</v>
          </cell>
          <cell r="AP29" t="str">
            <v>SU001051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M30">
            <v>0</v>
          </cell>
          <cell r="Q30">
            <v>0</v>
          </cell>
          <cell r="W30">
            <v>0</v>
          </cell>
          <cell r="Y30">
            <v>0</v>
          </cell>
          <cell r="Z30">
            <v>0</v>
          </cell>
          <cell r="AC30" t="e">
            <v>#DIV/0!</v>
          </cell>
          <cell r="AD30" t="e">
            <v>#DIV/0!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 t="str">
            <v>нет потребности</v>
          </cell>
          <cell r="AN30">
            <v>0</v>
          </cell>
          <cell r="AO30">
            <v>0</v>
          </cell>
          <cell r="AP30" t="str">
            <v>SU002287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1400.299</v>
          </cell>
          <cell r="D31">
            <v>2826.5219999999999</v>
          </cell>
          <cell r="E31">
            <v>3172.8249999999998</v>
          </cell>
          <cell r="F31">
            <v>187.90199999999999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2490.0369999999998</v>
          </cell>
          <cell r="L31">
            <v>682.78800000000001</v>
          </cell>
          <cell r="M31">
            <v>2203.2379999999998</v>
          </cell>
          <cell r="N31">
            <v>969.58699999999999</v>
          </cell>
          <cell r="O31">
            <v>416</v>
          </cell>
          <cell r="Q31">
            <v>668.99999999999989</v>
          </cell>
          <cell r="T31">
            <v>831.00000000000011</v>
          </cell>
          <cell r="W31">
            <v>440.64759999999995</v>
          </cell>
          <cell r="X31">
            <v>2743.2215999999999</v>
          </cell>
          <cell r="Y31">
            <v>2743.2215999999999</v>
          </cell>
          <cell r="Z31">
            <v>2610</v>
          </cell>
          <cell r="AA31">
            <v>1371.6107999999999</v>
          </cell>
          <cell r="AC31">
            <v>13.810384534035817</v>
          </cell>
          <cell r="AD31">
            <v>4.7745681583197097</v>
          </cell>
          <cell r="AE31">
            <v>365.18979999999999</v>
          </cell>
          <cell r="AF31">
            <v>310.87279999999998</v>
          </cell>
          <cell r="AG31">
            <v>178.89779999999999</v>
          </cell>
          <cell r="AH31">
            <v>437.43319999999989</v>
          </cell>
          <cell r="AI31">
            <v>568.72439999999995</v>
          </cell>
          <cell r="AJ31">
            <v>251.48259999999999</v>
          </cell>
          <cell r="AK31">
            <v>368.85539999999997</v>
          </cell>
          <cell r="AL31">
            <v>396.49419999999998</v>
          </cell>
          <cell r="AN31">
            <v>2610</v>
          </cell>
          <cell r="AO31">
            <v>1372</v>
          </cell>
          <cell r="AP31" t="str">
            <v>SU000227</v>
          </cell>
        </row>
        <row r="32">
          <cell r="A32" t="str">
            <v xml:space="preserve"> 253  Сосиски Ганноверские   ПОКОМ</v>
          </cell>
          <cell r="B32" t="str">
            <v>кг</v>
          </cell>
          <cell r="C32">
            <v>-0.23</v>
          </cell>
          <cell r="F32">
            <v>-0.23</v>
          </cell>
          <cell r="G32">
            <v>0</v>
          </cell>
          <cell r="H32">
            <v>40</v>
          </cell>
          <cell r="I32" t="str">
            <v>не в матрице</v>
          </cell>
          <cell r="L32">
            <v>0</v>
          </cell>
          <cell r="M32">
            <v>0</v>
          </cell>
          <cell r="Q32">
            <v>0</v>
          </cell>
          <cell r="W32">
            <v>0</v>
          </cell>
          <cell r="Y32">
            <v>0</v>
          </cell>
          <cell r="Z32">
            <v>0</v>
          </cell>
          <cell r="AC32" t="e">
            <v>#DIV/0!</v>
          </cell>
          <cell r="AD32" t="e">
            <v>#DIV/0!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-9.8000000000000004E-2</v>
          </cell>
          <cell r="AJ32">
            <v>12.5518</v>
          </cell>
          <cell r="AK32">
            <v>13.9894</v>
          </cell>
          <cell r="AL32">
            <v>4.5703999999999994</v>
          </cell>
          <cell r="AN32">
            <v>0</v>
          </cell>
          <cell r="AO32">
            <v>0</v>
          </cell>
          <cell r="AP32" t="str">
            <v>SU001340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 t="str">
            <v>кг</v>
          </cell>
          <cell r="C33">
            <v>1148.73</v>
          </cell>
          <cell r="D33">
            <v>431.798</v>
          </cell>
          <cell r="E33">
            <v>3281.402</v>
          </cell>
          <cell r="F33">
            <v>-114.405</v>
          </cell>
          <cell r="G33">
            <v>1</v>
          </cell>
          <cell r="H33">
            <v>40</v>
          </cell>
          <cell r="I33" t="str">
            <v>НЕДОГРУЗ / матрица</v>
          </cell>
          <cell r="K33">
            <v>3984.6759999999999</v>
          </cell>
          <cell r="L33">
            <v>-703.27399999999989</v>
          </cell>
          <cell r="M33">
            <v>3281.402</v>
          </cell>
          <cell r="O33">
            <v>520</v>
          </cell>
          <cell r="P33">
            <v>-522</v>
          </cell>
          <cell r="Q33">
            <v>892</v>
          </cell>
          <cell r="T33">
            <v>1208</v>
          </cell>
          <cell r="U33">
            <v>-1208</v>
          </cell>
          <cell r="W33">
            <v>656.28039999999999</v>
          </cell>
          <cell r="X33">
            <v>2200</v>
          </cell>
          <cell r="Y33">
            <v>2200</v>
          </cell>
          <cell r="Z33">
            <v>2200</v>
          </cell>
          <cell r="AA33">
            <v>1100</v>
          </cell>
          <cell r="AC33">
            <v>6.2101427987183531</v>
          </cell>
          <cell r="AD33">
            <v>3.0224809395496193</v>
          </cell>
          <cell r="AE33">
            <v>656.84399999999994</v>
          </cell>
          <cell r="AF33">
            <v>328.15300000000002</v>
          </cell>
          <cell r="AG33">
            <v>-0.84619999999999995</v>
          </cell>
          <cell r="AH33">
            <v>8.5924000000000014</v>
          </cell>
          <cell r="AI33">
            <v>9.855599999999999</v>
          </cell>
          <cell r="AJ33">
            <v>688.04320000000007</v>
          </cell>
          <cell r="AK33">
            <v>1184.2532000000001</v>
          </cell>
          <cell r="AL33">
            <v>1031.4698000000001</v>
          </cell>
          <cell r="AN33">
            <v>2200</v>
          </cell>
          <cell r="AO33">
            <v>1100</v>
          </cell>
          <cell r="AP33" t="str">
            <v>SU002074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 t="str">
            <v>кг</v>
          </cell>
          <cell r="G34">
            <v>0</v>
          </cell>
          <cell r="I34" t="str">
            <v>матрица</v>
          </cell>
          <cell r="L34">
            <v>0</v>
          </cell>
          <cell r="M34">
            <v>0</v>
          </cell>
          <cell r="Q34">
            <v>0</v>
          </cell>
          <cell r="W34">
            <v>0</v>
          </cell>
          <cell r="Y34">
            <v>0</v>
          </cell>
          <cell r="Z34">
            <v>0</v>
          </cell>
          <cell r="AC34" t="e">
            <v>#DIV/0!</v>
          </cell>
          <cell r="AD34" t="e">
            <v>#DIV/0!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 t="str">
            <v>нет потребности</v>
          </cell>
          <cell r="AN34">
            <v>0</v>
          </cell>
          <cell r="AO34">
            <v>0</v>
          </cell>
          <cell r="AP34" t="str">
            <v>SU000246</v>
          </cell>
        </row>
        <row r="35">
          <cell r="A35" t="str">
            <v xml:space="preserve"> 263  Шпикачки Стародворские, ВЕС.  ПОКОМ</v>
          </cell>
          <cell r="B35" t="str">
            <v>кг</v>
          </cell>
          <cell r="G35">
            <v>0</v>
          </cell>
          <cell r="I35" t="str">
            <v>матрица</v>
          </cell>
          <cell r="L35">
            <v>0</v>
          </cell>
          <cell r="M35">
            <v>0</v>
          </cell>
          <cell r="Q35">
            <v>0</v>
          </cell>
          <cell r="W35">
            <v>0</v>
          </cell>
          <cell r="Y35">
            <v>0</v>
          </cell>
          <cell r="Z35">
            <v>0</v>
          </cell>
          <cell r="AC35" t="e">
            <v>#DIV/0!</v>
          </cell>
          <cell r="AD35" t="e">
            <v>#DIV/0!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 t="str">
            <v>нет потребности</v>
          </cell>
          <cell r="AN35">
            <v>0</v>
          </cell>
          <cell r="AO35">
            <v>0</v>
          </cell>
          <cell r="AP35" t="str">
            <v>SU001430</v>
          </cell>
        </row>
        <row r="36">
          <cell r="A36" t="str">
            <v xml:space="preserve"> 265  Колбаса Балыкбургская, ВЕС, ТМ Баварушка  ПОКОМ</v>
          </cell>
          <cell r="B36" t="str">
            <v>кг</v>
          </cell>
          <cell r="G36">
            <v>0</v>
          </cell>
          <cell r="I36" t="str">
            <v>матрица</v>
          </cell>
          <cell r="L36">
            <v>0</v>
          </cell>
          <cell r="M36">
            <v>0</v>
          </cell>
          <cell r="Q36">
            <v>0</v>
          </cell>
          <cell r="W36">
            <v>0</v>
          </cell>
          <cell r="Y36">
            <v>0</v>
          </cell>
          <cell r="Z36">
            <v>0</v>
          </cell>
          <cell r="AC36" t="e">
            <v>#DIV/0!</v>
          </cell>
          <cell r="AD36" t="e">
            <v>#DIV/0!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 t="str">
            <v>нет потребности</v>
          </cell>
          <cell r="AN36">
            <v>0</v>
          </cell>
          <cell r="AO36">
            <v>0</v>
          </cell>
          <cell r="AP36" t="str">
            <v>SU002612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G37">
            <v>0</v>
          </cell>
          <cell r="I37" t="str">
            <v>матрица</v>
          </cell>
          <cell r="L37">
            <v>0</v>
          </cell>
          <cell r="M37">
            <v>0</v>
          </cell>
          <cell r="Q37">
            <v>0</v>
          </cell>
          <cell r="W37">
            <v>0</v>
          </cell>
          <cell r="Y37">
            <v>0</v>
          </cell>
          <cell r="Z37">
            <v>0</v>
          </cell>
          <cell r="AC37" t="e">
            <v>#DIV/0!</v>
          </cell>
          <cell r="AD37" t="e">
            <v>#DIV/0!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 t="str">
            <v>нет потребности</v>
          </cell>
          <cell r="AN37">
            <v>0</v>
          </cell>
          <cell r="AO37">
            <v>0</v>
          </cell>
          <cell r="AP37" t="str">
            <v>SU002614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1008</v>
          </cell>
          <cell r="D38">
            <v>4256</v>
          </cell>
          <cell r="E38">
            <v>5155</v>
          </cell>
          <cell r="F38">
            <v>-322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4558</v>
          </cell>
          <cell r="L38">
            <v>597</v>
          </cell>
          <cell r="M38">
            <v>4075</v>
          </cell>
          <cell r="N38">
            <v>1080</v>
          </cell>
          <cell r="O38">
            <v>780</v>
          </cell>
          <cell r="Q38">
            <v>1767.944</v>
          </cell>
          <cell r="T38">
            <v>2196.056</v>
          </cell>
          <cell r="W38">
            <v>815</v>
          </cell>
          <cell r="X38">
            <v>4543</v>
          </cell>
          <cell r="Y38">
            <v>4543</v>
          </cell>
          <cell r="Z38">
            <v>3000</v>
          </cell>
          <cell r="AA38">
            <v>2220</v>
          </cell>
          <cell r="AB38" t="str">
            <v>ОЧЕНЬ НУЖНА ЭТА ПОЗИЦИЯ !!!</v>
          </cell>
          <cell r="AC38">
            <v>11.830674846625767</v>
          </cell>
          <cell r="AD38">
            <v>5.4257668711656439</v>
          </cell>
          <cell r="AE38">
            <v>779</v>
          </cell>
          <cell r="AF38">
            <v>633.6</v>
          </cell>
          <cell r="AG38">
            <v>113.2</v>
          </cell>
          <cell r="AH38">
            <v>461.2</v>
          </cell>
          <cell r="AI38">
            <v>811.2</v>
          </cell>
          <cell r="AJ38">
            <v>861.6</v>
          </cell>
          <cell r="AK38">
            <v>877.4</v>
          </cell>
          <cell r="AL38">
            <v>623.4</v>
          </cell>
          <cell r="AN38">
            <v>1200</v>
          </cell>
          <cell r="AO38">
            <v>888</v>
          </cell>
          <cell r="AP38" t="str">
            <v>SU002618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839.75</v>
          </cell>
          <cell r="D39">
            <v>263</v>
          </cell>
          <cell r="E39">
            <v>735</v>
          </cell>
          <cell r="F39">
            <v>253.75</v>
          </cell>
          <cell r="G39">
            <v>0.45</v>
          </cell>
          <cell r="H39">
            <v>50</v>
          </cell>
          <cell r="I39" t="str">
            <v>ВНИМАНИЕ / матрица</v>
          </cell>
          <cell r="K39">
            <v>1175</v>
          </cell>
          <cell r="L39">
            <v>-440</v>
          </cell>
          <cell r="M39">
            <v>735</v>
          </cell>
          <cell r="Q39">
            <v>200</v>
          </cell>
          <cell r="W39">
            <v>147</v>
          </cell>
          <cell r="X39">
            <v>1016.25</v>
          </cell>
          <cell r="Y39">
            <v>1516.25</v>
          </cell>
          <cell r="Z39">
            <v>716.25</v>
          </cell>
          <cell r="AA39">
            <v>800</v>
          </cell>
          <cell r="AB39" t="str">
            <v xml:space="preserve">еще плюс 500 сеть ютл </v>
          </cell>
          <cell r="AC39">
            <v>13.401360544217686</v>
          </cell>
          <cell r="AD39">
            <v>3.0867346938775508</v>
          </cell>
          <cell r="AE39">
            <v>147.6</v>
          </cell>
          <cell r="AF39">
            <v>112.6</v>
          </cell>
          <cell r="AG39">
            <v>71</v>
          </cell>
          <cell r="AH39">
            <v>70.400000000000006</v>
          </cell>
          <cell r="AI39">
            <v>98.4</v>
          </cell>
          <cell r="AJ39">
            <v>126.8</v>
          </cell>
          <cell r="AK39">
            <v>127.8</v>
          </cell>
          <cell r="AL39">
            <v>67.2</v>
          </cell>
          <cell r="AM39" t="str">
            <v>500шт под ЮТЛ (Хмель 21,08,26)</v>
          </cell>
          <cell r="AN39">
            <v>322</v>
          </cell>
          <cell r="AO39">
            <v>360</v>
          </cell>
          <cell r="AP39" t="str">
            <v>SU002734</v>
          </cell>
        </row>
        <row r="40">
          <cell r="A40" t="str">
            <v xml:space="preserve"> 278  Сосиски Сочинки с сочным окороком, МГС 0.4кг,   ПОКОМ</v>
          </cell>
          <cell r="B40" t="str">
            <v>шт</v>
          </cell>
          <cell r="C40">
            <v>-5</v>
          </cell>
          <cell r="D40">
            <v>832</v>
          </cell>
          <cell r="E40">
            <v>742</v>
          </cell>
          <cell r="F40">
            <v>43</v>
          </cell>
          <cell r="G40">
            <v>0.4</v>
          </cell>
          <cell r="H40">
            <v>45</v>
          </cell>
          <cell r="I40" t="str">
            <v>НЕДОГРУЗ / матрица</v>
          </cell>
          <cell r="K40">
            <v>2165</v>
          </cell>
          <cell r="L40">
            <v>-1423</v>
          </cell>
          <cell r="M40">
            <v>742</v>
          </cell>
          <cell r="O40">
            <v>208</v>
          </cell>
          <cell r="Q40">
            <v>400</v>
          </cell>
          <cell r="R40">
            <v>-402</v>
          </cell>
          <cell r="W40">
            <v>148.4</v>
          </cell>
          <cell r="X40">
            <v>500</v>
          </cell>
          <cell r="Y40">
            <v>500</v>
          </cell>
          <cell r="Z40">
            <v>500</v>
          </cell>
          <cell r="AA40">
            <v>250</v>
          </cell>
          <cell r="AC40">
            <v>6.7318059299191368</v>
          </cell>
          <cell r="AD40">
            <v>4.3867924528301883</v>
          </cell>
          <cell r="AE40">
            <v>148.4</v>
          </cell>
          <cell r="AF40">
            <v>122.2</v>
          </cell>
          <cell r="AG40">
            <v>91.8</v>
          </cell>
          <cell r="AH40">
            <v>163.6</v>
          </cell>
          <cell r="AI40">
            <v>166.8</v>
          </cell>
          <cell r="AJ40">
            <v>188.8</v>
          </cell>
          <cell r="AK40">
            <v>301.60000000000002</v>
          </cell>
          <cell r="AL40">
            <v>192.2</v>
          </cell>
          <cell r="AN40">
            <v>200</v>
          </cell>
          <cell r="AO40">
            <v>100</v>
          </cell>
          <cell r="AP40" t="str">
            <v>SU002621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C41">
            <v>-33</v>
          </cell>
          <cell r="D41">
            <v>30</v>
          </cell>
          <cell r="E41">
            <v>13</v>
          </cell>
          <cell r="F41">
            <v>-13</v>
          </cell>
          <cell r="G41">
            <v>0.4</v>
          </cell>
          <cell r="H41">
            <v>40</v>
          </cell>
          <cell r="I41" t="str">
            <v>НЕДОГРУЗ / матрица</v>
          </cell>
          <cell r="K41">
            <v>569</v>
          </cell>
          <cell r="L41">
            <v>-556</v>
          </cell>
          <cell r="M41">
            <v>13</v>
          </cell>
          <cell r="O41">
            <v>100</v>
          </cell>
          <cell r="P41">
            <v>-102</v>
          </cell>
          <cell r="Q41">
            <v>200</v>
          </cell>
          <cell r="R41">
            <v>-203.99999999999997</v>
          </cell>
          <cell r="W41">
            <v>2.6</v>
          </cell>
          <cell r="X41">
            <v>200</v>
          </cell>
          <cell r="Y41">
            <v>200</v>
          </cell>
          <cell r="Z41">
            <v>200</v>
          </cell>
          <cell r="AA41">
            <v>100</v>
          </cell>
          <cell r="AC41">
            <v>108.07692307692308</v>
          </cell>
          <cell r="AD41">
            <v>71.153846153846146</v>
          </cell>
          <cell r="AE41">
            <v>2.6</v>
          </cell>
          <cell r="AF41">
            <v>46</v>
          </cell>
          <cell r="AG41">
            <v>64.400000000000006</v>
          </cell>
          <cell r="AH41">
            <v>125</v>
          </cell>
          <cell r="AI41">
            <v>116.2</v>
          </cell>
          <cell r="AJ41">
            <v>86.8</v>
          </cell>
          <cell r="AK41">
            <v>126.8</v>
          </cell>
          <cell r="AL41">
            <v>86</v>
          </cell>
          <cell r="AN41">
            <v>80</v>
          </cell>
          <cell r="AO41">
            <v>40</v>
          </cell>
          <cell r="AP41" t="str">
            <v>SU002205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D42">
            <v>52.552</v>
          </cell>
          <cell r="F42">
            <v>48.122999999999998</v>
          </cell>
          <cell r="G42">
            <v>1</v>
          </cell>
          <cell r="I42" t="str">
            <v>НЕДОГРУЗ / матрица</v>
          </cell>
          <cell r="K42">
            <v>82.6</v>
          </cell>
          <cell r="L42">
            <v>-82.6</v>
          </cell>
          <cell r="M42">
            <v>0</v>
          </cell>
          <cell r="O42">
            <v>20</v>
          </cell>
          <cell r="Q42">
            <v>0</v>
          </cell>
          <cell r="W42">
            <v>0</v>
          </cell>
          <cell r="Y42">
            <v>0</v>
          </cell>
          <cell r="Z42">
            <v>0</v>
          </cell>
          <cell r="AA42">
            <v>0</v>
          </cell>
          <cell r="AC42" t="e">
            <v>#DIV/0!</v>
          </cell>
          <cell r="AD42" t="e">
            <v>#DIV/0!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 t="str">
            <v>300кг под задачи ТК (05,08,26) / 31,07,26 начали заказывать</v>
          </cell>
          <cell r="AN42">
            <v>0</v>
          </cell>
          <cell r="AO42">
            <v>0</v>
          </cell>
          <cell r="AP42" t="str">
            <v>SU002725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327</v>
          </cell>
          <cell r="D43">
            <v>220</v>
          </cell>
          <cell r="E43">
            <v>212</v>
          </cell>
          <cell r="F43">
            <v>276</v>
          </cell>
          <cell r="G43">
            <v>0.1</v>
          </cell>
          <cell r="H43">
            <v>731</v>
          </cell>
          <cell r="I43" t="str">
            <v>матрица</v>
          </cell>
          <cell r="K43">
            <v>270</v>
          </cell>
          <cell r="L43">
            <v>-58</v>
          </cell>
          <cell r="M43">
            <v>212</v>
          </cell>
          <cell r="Q43">
            <v>102.6</v>
          </cell>
          <cell r="W43">
            <v>42.4</v>
          </cell>
          <cell r="X43">
            <v>130.19999999999993</v>
          </cell>
          <cell r="Y43">
            <v>130.19999999999993</v>
          </cell>
          <cell r="Z43">
            <v>130.19999999999993</v>
          </cell>
          <cell r="AC43">
            <v>12</v>
          </cell>
          <cell r="AD43">
            <v>8.9292452830188687</v>
          </cell>
          <cell r="AE43">
            <v>42.4</v>
          </cell>
          <cell r="AF43">
            <v>41.4</v>
          </cell>
          <cell r="AG43">
            <v>35</v>
          </cell>
          <cell r="AH43">
            <v>35.4</v>
          </cell>
          <cell r="AI43">
            <v>37.4</v>
          </cell>
          <cell r="AJ43">
            <v>57.4</v>
          </cell>
          <cell r="AK43">
            <v>55.2</v>
          </cell>
          <cell r="AL43">
            <v>30.6</v>
          </cell>
          <cell r="AN43">
            <v>13</v>
          </cell>
          <cell r="AO43">
            <v>0</v>
          </cell>
          <cell r="AP43" t="str">
            <v>SU002368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D44">
            <v>2</v>
          </cell>
          <cell r="E44">
            <v>21</v>
          </cell>
          <cell r="F44">
            <v>-2</v>
          </cell>
          <cell r="G44">
            <v>0.35</v>
          </cell>
          <cell r="H44">
            <v>40</v>
          </cell>
          <cell r="I44" t="str">
            <v>НЕДОГРУЗ / матрица</v>
          </cell>
          <cell r="K44">
            <v>125</v>
          </cell>
          <cell r="L44">
            <v>-104</v>
          </cell>
          <cell r="M44">
            <v>21</v>
          </cell>
          <cell r="O44">
            <v>50</v>
          </cell>
          <cell r="P44">
            <v>-54</v>
          </cell>
          <cell r="Q44">
            <v>50</v>
          </cell>
          <cell r="R44">
            <v>-54</v>
          </cell>
          <cell r="W44">
            <v>4.2</v>
          </cell>
          <cell r="X44">
            <v>50</v>
          </cell>
          <cell r="Y44">
            <v>50</v>
          </cell>
          <cell r="Z44">
            <v>50</v>
          </cell>
          <cell r="AA44">
            <v>25</v>
          </cell>
          <cell r="AC44">
            <v>15.476190476190476</v>
          </cell>
          <cell r="AD44">
            <v>10.476190476190476</v>
          </cell>
          <cell r="AE44">
            <v>4.2</v>
          </cell>
          <cell r="AF44">
            <v>15.8</v>
          </cell>
          <cell r="AG44">
            <v>18.2</v>
          </cell>
          <cell r="AH44">
            <v>15.8</v>
          </cell>
          <cell r="AI44">
            <v>18.8</v>
          </cell>
          <cell r="AJ44">
            <v>28.4</v>
          </cell>
          <cell r="AK44">
            <v>24.4</v>
          </cell>
          <cell r="AL44">
            <v>10.199999999999999</v>
          </cell>
          <cell r="AN44">
            <v>18</v>
          </cell>
          <cell r="AO44">
            <v>9</v>
          </cell>
          <cell r="AP44" t="str">
            <v>SU002660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18.667999999999999</v>
          </cell>
          <cell r="D45">
            <v>27.004999999999999</v>
          </cell>
          <cell r="E45">
            <v>14.656000000000001</v>
          </cell>
          <cell r="F45">
            <v>23.622</v>
          </cell>
          <cell r="G45">
            <v>1</v>
          </cell>
          <cell r="H45">
            <v>40</v>
          </cell>
          <cell r="I45" t="str">
            <v>матрица</v>
          </cell>
          <cell r="K45">
            <v>21.2</v>
          </cell>
          <cell r="L45">
            <v>-6.5439999999999987</v>
          </cell>
          <cell r="M45">
            <v>14.656000000000001</v>
          </cell>
          <cell r="Q45">
            <v>4</v>
          </cell>
          <cell r="W45">
            <v>2.9312</v>
          </cell>
          <cell r="X45">
            <v>7.5523999999999987</v>
          </cell>
          <cell r="Y45">
            <v>7.5523999999999987</v>
          </cell>
          <cell r="Z45">
            <v>7.5523999999999987</v>
          </cell>
          <cell r="AC45">
            <v>12</v>
          </cell>
          <cell r="AD45">
            <v>9.4234443231441052</v>
          </cell>
          <cell r="AE45">
            <v>3.1116000000000001</v>
          </cell>
          <cell r="AF45">
            <v>2.6240000000000001</v>
          </cell>
          <cell r="AG45">
            <v>3.7808000000000002</v>
          </cell>
          <cell r="AH45">
            <v>4.3208000000000002</v>
          </cell>
          <cell r="AI45">
            <v>3.3064</v>
          </cell>
          <cell r="AJ45">
            <v>1.6506000000000001</v>
          </cell>
          <cell r="AK45">
            <v>2.6989999999999998</v>
          </cell>
          <cell r="AL45">
            <v>4.2096</v>
          </cell>
          <cell r="AN45">
            <v>8</v>
          </cell>
          <cell r="AO45">
            <v>0</v>
          </cell>
          <cell r="AP45" t="str">
            <v>SU002756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-32</v>
          </cell>
          <cell r="D46">
            <v>268</v>
          </cell>
          <cell r="E46">
            <v>154</v>
          </cell>
          <cell r="F46">
            <v>-31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348</v>
          </cell>
          <cell r="L46">
            <v>-194</v>
          </cell>
          <cell r="M46">
            <v>154</v>
          </cell>
          <cell r="Q46">
            <v>100</v>
          </cell>
          <cell r="W46">
            <v>30.8</v>
          </cell>
          <cell r="X46">
            <v>100</v>
          </cell>
          <cell r="Y46">
            <v>100</v>
          </cell>
          <cell r="Z46">
            <v>100</v>
          </cell>
          <cell r="AA46">
            <v>50</v>
          </cell>
          <cell r="AC46">
            <v>7.1103896103896105</v>
          </cell>
          <cell r="AD46">
            <v>2.2402597402597402</v>
          </cell>
          <cell r="AE46">
            <v>31.8</v>
          </cell>
          <cell r="AF46">
            <v>4.8</v>
          </cell>
          <cell r="AG46">
            <v>0.4</v>
          </cell>
          <cell r="AH46">
            <v>-0.2</v>
          </cell>
          <cell r="AI46">
            <v>-0.8</v>
          </cell>
          <cell r="AJ46">
            <v>0.6</v>
          </cell>
          <cell r="AK46">
            <v>1.4</v>
          </cell>
          <cell r="AL46">
            <v>0.2</v>
          </cell>
          <cell r="AN46">
            <v>40</v>
          </cell>
          <cell r="AO46">
            <v>20</v>
          </cell>
          <cell r="AP46" t="str">
            <v>SU002801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9</v>
          </cell>
          <cell r="D47">
            <v>326</v>
          </cell>
          <cell r="E47">
            <v>146</v>
          </cell>
          <cell r="F47">
            <v>87</v>
          </cell>
          <cell r="G47">
            <v>0.4</v>
          </cell>
          <cell r="H47">
            <v>45</v>
          </cell>
          <cell r="I47" t="str">
            <v>НЕДОГРУЗ / матрица</v>
          </cell>
          <cell r="K47">
            <v>525</v>
          </cell>
          <cell r="L47">
            <v>-379</v>
          </cell>
          <cell r="M47">
            <v>146</v>
          </cell>
          <cell r="O47">
            <v>50</v>
          </cell>
          <cell r="Q47">
            <v>60.199999999999989</v>
          </cell>
          <cell r="W47">
            <v>29.2</v>
          </cell>
          <cell r="X47">
            <v>100</v>
          </cell>
          <cell r="Y47">
            <v>100</v>
          </cell>
          <cell r="Z47">
            <v>100</v>
          </cell>
          <cell r="AA47">
            <v>50</v>
          </cell>
          <cell r="AC47">
            <v>11.890410958904109</v>
          </cell>
          <cell r="AD47">
            <v>6.7534246575342465</v>
          </cell>
          <cell r="AE47">
            <v>29.2</v>
          </cell>
          <cell r="AF47">
            <v>8.8000000000000007</v>
          </cell>
          <cell r="AG47">
            <v>0</v>
          </cell>
          <cell r="AH47">
            <v>0.4</v>
          </cell>
          <cell r="AI47">
            <v>26</v>
          </cell>
          <cell r="AJ47">
            <v>58.6</v>
          </cell>
          <cell r="AK47">
            <v>50</v>
          </cell>
          <cell r="AL47">
            <v>30.6</v>
          </cell>
          <cell r="AN47">
            <v>40</v>
          </cell>
          <cell r="AO47">
            <v>20</v>
          </cell>
          <cell r="AP47" t="str">
            <v>SU002799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35.881</v>
          </cell>
          <cell r="D48">
            <v>18.788</v>
          </cell>
          <cell r="E48">
            <v>29.079000000000001</v>
          </cell>
          <cell r="F48">
            <v>24.257000000000001</v>
          </cell>
          <cell r="G48">
            <v>1</v>
          </cell>
          <cell r="H48">
            <v>40</v>
          </cell>
          <cell r="I48" t="str">
            <v>НЕДОГРУЗ / матрица</v>
          </cell>
          <cell r="K48">
            <v>33.121000000000002</v>
          </cell>
          <cell r="L48">
            <v>-4.0420000000000016</v>
          </cell>
          <cell r="M48">
            <v>29.079000000000001</v>
          </cell>
          <cell r="Q48">
            <v>34.781200000000013</v>
          </cell>
          <cell r="W48">
            <v>5.8158000000000003</v>
          </cell>
          <cell r="X48">
            <v>10.751399999999993</v>
          </cell>
          <cell r="Y48">
            <v>10.751399999999993</v>
          </cell>
          <cell r="Z48">
            <v>10.751399999999993</v>
          </cell>
          <cell r="AC48">
            <v>12</v>
          </cell>
          <cell r="AD48">
            <v>10.151346332404831</v>
          </cell>
          <cell r="AE48">
            <v>5.8158000000000003</v>
          </cell>
          <cell r="AF48">
            <v>7.0093999999999994</v>
          </cell>
          <cell r="AG48">
            <v>6.5449999999999999</v>
          </cell>
          <cell r="AH48">
            <v>3.3479999999999999</v>
          </cell>
          <cell r="AI48">
            <v>1.8211999999999999</v>
          </cell>
          <cell r="AJ48">
            <v>7.1238000000000001</v>
          </cell>
          <cell r="AK48">
            <v>8.9621999999999993</v>
          </cell>
          <cell r="AL48">
            <v>4.3483999999999998</v>
          </cell>
          <cell r="AN48">
            <v>11</v>
          </cell>
          <cell r="AO48">
            <v>0</v>
          </cell>
          <cell r="AP48" t="str">
            <v>SU002847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508</v>
          </cell>
          <cell r="D49">
            <v>351</v>
          </cell>
          <cell r="E49">
            <v>644</v>
          </cell>
          <cell r="F49">
            <v>-55</v>
          </cell>
          <cell r="G49">
            <v>0.35</v>
          </cell>
          <cell r="H49">
            <v>40</v>
          </cell>
          <cell r="I49" t="str">
            <v>НЕДОГРУЗ / матрица</v>
          </cell>
          <cell r="K49">
            <v>886</v>
          </cell>
          <cell r="L49">
            <v>-242</v>
          </cell>
          <cell r="M49">
            <v>494</v>
          </cell>
          <cell r="N49">
            <v>150</v>
          </cell>
          <cell r="O49">
            <v>158.80799999999991</v>
          </cell>
          <cell r="P49">
            <v>-162</v>
          </cell>
          <cell r="Q49">
            <v>200</v>
          </cell>
          <cell r="R49">
            <v>-204.00000000000003</v>
          </cell>
          <cell r="W49">
            <v>98.8</v>
          </cell>
          <cell r="X49">
            <v>200</v>
          </cell>
          <cell r="Y49">
            <v>900</v>
          </cell>
          <cell r="Z49">
            <v>900</v>
          </cell>
          <cell r="AA49">
            <v>450</v>
          </cell>
          <cell r="AB49" t="str">
            <v xml:space="preserve">1500 нужно в сеть ютл </v>
          </cell>
          <cell r="AC49">
            <v>13.034493927125506</v>
          </cell>
          <cell r="AD49">
            <v>1.4353036437246955</v>
          </cell>
          <cell r="AE49">
            <v>122.8</v>
          </cell>
          <cell r="AF49">
            <v>88.6</v>
          </cell>
          <cell r="AG49">
            <v>86.8</v>
          </cell>
          <cell r="AH49">
            <v>80.2</v>
          </cell>
          <cell r="AI49">
            <v>92.8</v>
          </cell>
          <cell r="AJ49">
            <v>120.2</v>
          </cell>
          <cell r="AK49">
            <v>117.4</v>
          </cell>
          <cell r="AL49">
            <v>88</v>
          </cell>
          <cell r="AN49">
            <v>315</v>
          </cell>
          <cell r="AO49">
            <v>158</v>
          </cell>
          <cell r="AP49" t="str">
            <v>SU002848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61</v>
          </cell>
          <cell r="D50">
            <v>511</v>
          </cell>
          <cell r="E50">
            <v>154</v>
          </cell>
          <cell r="F50">
            <v>222</v>
          </cell>
          <cell r="G50">
            <v>0.4</v>
          </cell>
          <cell r="H50">
            <v>40</v>
          </cell>
          <cell r="I50" t="str">
            <v>НЕДОГРУЗ / матрица</v>
          </cell>
          <cell r="K50">
            <v>640</v>
          </cell>
          <cell r="L50">
            <v>-486</v>
          </cell>
          <cell r="M50">
            <v>154</v>
          </cell>
          <cell r="O50">
            <v>100</v>
          </cell>
          <cell r="Q50">
            <v>150</v>
          </cell>
          <cell r="W50">
            <v>30.8</v>
          </cell>
          <cell r="X50">
            <v>50</v>
          </cell>
          <cell r="Y50">
            <v>50</v>
          </cell>
          <cell r="Z50">
            <v>50</v>
          </cell>
          <cell r="AA50">
            <v>25</v>
          </cell>
          <cell r="AC50">
            <v>17.759740259740258</v>
          </cell>
          <cell r="AD50">
            <v>15.324675324675324</v>
          </cell>
          <cell r="AE50">
            <v>31.2</v>
          </cell>
          <cell r="AF50">
            <v>27.8</v>
          </cell>
          <cell r="AG50">
            <v>53.4</v>
          </cell>
          <cell r="AH50">
            <v>47</v>
          </cell>
          <cell r="AI50">
            <v>48.6</v>
          </cell>
          <cell r="AJ50">
            <v>78.8</v>
          </cell>
          <cell r="AK50">
            <v>51</v>
          </cell>
          <cell r="AL50">
            <v>35.799999999999997</v>
          </cell>
          <cell r="AN50">
            <v>20</v>
          </cell>
          <cell r="AO50">
            <v>10</v>
          </cell>
          <cell r="AP50" t="str">
            <v>SU002686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71.088999999999999</v>
          </cell>
          <cell r="D51">
            <v>229.054</v>
          </cell>
          <cell r="E51">
            <v>87.635999999999996</v>
          </cell>
          <cell r="F51">
            <v>19.741</v>
          </cell>
          <cell r="G51">
            <v>1</v>
          </cell>
          <cell r="H51">
            <v>50</v>
          </cell>
          <cell r="I51" t="str">
            <v>матрица</v>
          </cell>
          <cell r="K51">
            <v>260.08999999999997</v>
          </cell>
          <cell r="L51">
            <v>-172.45399999999998</v>
          </cell>
          <cell r="M51">
            <v>-53.712999999999994</v>
          </cell>
          <cell r="N51">
            <v>141.34899999999999</v>
          </cell>
          <cell r="Q51">
            <v>54.571199999999983</v>
          </cell>
          <cell r="W51">
            <v>-10.742599999999999</v>
          </cell>
          <cell r="X51">
            <v>60</v>
          </cell>
          <cell r="Y51">
            <v>60</v>
          </cell>
          <cell r="Z51">
            <v>60</v>
          </cell>
          <cell r="AC51">
            <v>-12.502764693835756</v>
          </cell>
          <cell r="AD51">
            <v>-6.9175246215999842</v>
          </cell>
          <cell r="AE51">
            <v>17.911200000000001</v>
          </cell>
          <cell r="AF51">
            <v>18.7516</v>
          </cell>
          <cell r="AG51">
            <v>17.372199999999999</v>
          </cell>
          <cell r="AH51">
            <v>14.885999999999999</v>
          </cell>
          <cell r="AI51">
            <v>16.802199999999999</v>
          </cell>
          <cell r="AJ51">
            <v>14.042400000000001</v>
          </cell>
          <cell r="AK51">
            <v>19.11</v>
          </cell>
          <cell r="AL51">
            <v>17.2288</v>
          </cell>
          <cell r="AN51">
            <v>60</v>
          </cell>
          <cell r="AO51">
            <v>0</v>
          </cell>
          <cell r="AP51" t="str">
            <v>SU002828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909.63800000000003</v>
          </cell>
          <cell r="D52">
            <v>1210.748</v>
          </cell>
          <cell r="E52">
            <v>841.53599999999994</v>
          </cell>
          <cell r="F52">
            <v>386.55599999999998</v>
          </cell>
          <cell r="G52">
            <v>1</v>
          </cell>
          <cell r="H52">
            <v>50</v>
          </cell>
          <cell r="I52" t="str">
            <v>матрица</v>
          </cell>
          <cell r="K52">
            <v>1224.2149999999999</v>
          </cell>
          <cell r="L52">
            <v>-382.67899999999997</v>
          </cell>
          <cell r="M52">
            <v>517.01900000000001</v>
          </cell>
          <cell r="N52">
            <v>324.517</v>
          </cell>
          <cell r="Q52">
            <v>414.87601488000001</v>
          </cell>
          <cell r="T52">
            <v>515.33926512000005</v>
          </cell>
          <cell r="W52">
            <v>103.4038</v>
          </cell>
          <cell r="Y52">
            <v>0</v>
          </cell>
          <cell r="Z52">
            <v>0</v>
          </cell>
          <cell r="AC52">
            <v>12.734263924536622</v>
          </cell>
          <cell r="AD52">
            <v>12.734263924536622</v>
          </cell>
          <cell r="AE52">
            <v>157.8124</v>
          </cell>
          <cell r="AF52">
            <v>128.76320000000001</v>
          </cell>
          <cell r="AG52">
            <v>111.2424</v>
          </cell>
          <cell r="AH52">
            <v>138.00559999999999</v>
          </cell>
          <cell r="AI52">
            <v>108.6206</v>
          </cell>
          <cell r="AJ52">
            <v>78.2346</v>
          </cell>
          <cell r="AK52">
            <v>79.395399999999995</v>
          </cell>
          <cell r="AL52">
            <v>52.078800000000022</v>
          </cell>
          <cell r="AN52">
            <v>0</v>
          </cell>
          <cell r="AO52">
            <v>0</v>
          </cell>
          <cell r="AP52" t="str">
            <v>SU002830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G53">
            <v>0</v>
          </cell>
          <cell r="I53" t="str">
            <v>матрица</v>
          </cell>
          <cell r="L53">
            <v>0</v>
          </cell>
          <cell r="M53">
            <v>0</v>
          </cell>
          <cell r="Q53">
            <v>0</v>
          </cell>
          <cell r="W53">
            <v>0</v>
          </cell>
          <cell r="Y53">
            <v>0</v>
          </cell>
          <cell r="Z53">
            <v>0</v>
          </cell>
          <cell r="AC53" t="e">
            <v>#DIV/0!</v>
          </cell>
          <cell r="AD53" t="e">
            <v>#DIV/0!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 t="str">
            <v>нет потребности</v>
          </cell>
          <cell r="AN53">
            <v>0</v>
          </cell>
          <cell r="AO53">
            <v>0</v>
          </cell>
          <cell r="AP53" t="str">
            <v>SU002655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366</v>
          </cell>
          <cell r="D54">
            <v>644</v>
          </cell>
          <cell r="E54">
            <v>496</v>
          </cell>
          <cell r="F54">
            <v>335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627</v>
          </cell>
          <cell r="L54">
            <v>-131</v>
          </cell>
          <cell r="M54">
            <v>346</v>
          </cell>
          <cell r="N54">
            <v>150</v>
          </cell>
          <cell r="O54">
            <v>124.983456</v>
          </cell>
          <cell r="Q54">
            <v>180.29425119999991</v>
          </cell>
          <cell r="S54">
            <v>555.55555555555554</v>
          </cell>
          <cell r="T54">
            <v>223.9529488</v>
          </cell>
          <cell r="W54">
            <v>69.2</v>
          </cell>
          <cell r="Y54">
            <v>0</v>
          </cell>
          <cell r="Z54">
            <v>0</v>
          </cell>
          <cell r="AC54">
            <v>20.517141785484903</v>
          </cell>
          <cell r="AD54">
            <v>12.488882312138728</v>
          </cell>
          <cell r="AE54">
            <v>93.6</v>
          </cell>
          <cell r="AF54">
            <v>82</v>
          </cell>
          <cell r="AG54">
            <v>69.599999999999994</v>
          </cell>
          <cell r="AH54">
            <v>75.2</v>
          </cell>
          <cell r="AI54">
            <v>79.400000000000006</v>
          </cell>
          <cell r="AJ54">
            <v>86.2</v>
          </cell>
          <cell r="AK54">
            <v>84</v>
          </cell>
          <cell r="AL54">
            <v>66.400000000000006</v>
          </cell>
          <cell r="AN54">
            <v>0</v>
          </cell>
          <cell r="AO54">
            <v>0</v>
          </cell>
          <cell r="AP54" t="str">
            <v>SU002815</v>
          </cell>
          <cell r="AQ54" t="str">
            <v>SU002815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677</v>
          </cell>
          <cell r="D55">
            <v>675</v>
          </cell>
          <cell r="E55">
            <v>694</v>
          </cell>
          <cell r="F55">
            <v>691</v>
          </cell>
          <cell r="G55">
            <v>0.45</v>
          </cell>
          <cell r="H55">
            <v>50</v>
          </cell>
          <cell r="I55" t="str">
            <v>матрица</v>
          </cell>
          <cell r="K55">
            <v>641</v>
          </cell>
          <cell r="L55">
            <v>53</v>
          </cell>
          <cell r="M55">
            <v>694</v>
          </cell>
          <cell r="O55">
            <v>166.32128239999989</v>
          </cell>
          <cell r="Q55">
            <v>295.51575548</v>
          </cell>
          <cell r="T55">
            <v>367.07562452000008</v>
          </cell>
          <cell r="W55">
            <v>138.80000000000001</v>
          </cell>
          <cell r="X55">
            <v>145.68733760000021</v>
          </cell>
          <cell r="Y55">
            <v>281.71133760000021</v>
          </cell>
          <cell r="Z55">
            <v>281.71133760000021</v>
          </cell>
          <cell r="AC55">
            <v>12.979999999999999</v>
          </cell>
          <cell r="AD55">
            <v>10.950379412103745</v>
          </cell>
          <cell r="AE55">
            <v>140.19999999999999</v>
          </cell>
          <cell r="AF55">
            <v>121.6</v>
          </cell>
          <cell r="AG55">
            <v>115</v>
          </cell>
          <cell r="AH55">
            <v>109</v>
          </cell>
          <cell r="AI55">
            <v>86</v>
          </cell>
          <cell r="AJ55">
            <v>112.8</v>
          </cell>
          <cell r="AK55">
            <v>148.19999999999999</v>
          </cell>
          <cell r="AL55">
            <v>93.6</v>
          </cell>
          <cell r="AN55">
            <v>127</v>
          </cell>
          <cell r="AO55">
            <v>0</v>
          </cell>
          <cell r="AP55" t="str">
            <v>SU002816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G56">
            <v>0</v>
          </cell>
          <cell r="I56" t="str">
            <v>матрица</v>
          </cell>
          <cell r="L56">
            <v>0</v>
          </cell>
          <cell r="M56">
            <v>0</v>
          </cell>
          <cell r="Q56">
            <v>0</v>
          </cell>
          <cell r="W56">
            <v>0</v>
          </cell>
          <cell r="Y56">
            <v>0</v>
          </cell>
          <cell r="Z56">
            <v>0</v>
          </cell>
          <cell r="AC56" t="e">
            <v>#DIV/0!</v>
          </cell>
          <cell r="AD56" t="e">
            <v>#DIV/0!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 t="str">
            <v>нет потребности</v>
          </cell>
          <cell r="AN56">
            <v>0</v>
          </cell>
          <cell r="AO56">
            <v>0</v>
          </cell>
          <cell r="AP56" t="str">
            <v>SU002758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D57">
            <v>50</v>
          </cell>
          <cell r="E57">
            <v>12</v>
          </cell>
          <cell r="F57">
            <v>19</v>
          </cell>
          <cell r="G57">
            <v>0.4</v>
          </cell>
          <cell r="H57">
            <v>40</v>
          </cell>
          <cell r="I57" t="str">
            <v>НЕДОГРУЗ / матрица</v>
          </cell>
          <cell r="K57">
            <v>30</v>
          </cell>
          <cell r="L57">
            <v>-18</v>
          </cell>
          <cell r="M57">
            <v>12</v>
          </cell>
          <cell r="Q57">
            <v>10</v>
          </cell>
          <cell r="W57">
            <v>2.4</v>
          </cell>
          <cell r="X57">
            <v>10</v>
          </cell>
          <cell r="Y57">
            <v>10</v>
          </cell>
          <cell r="Z57">
            <v>10</v>
          </cell>
          <cell r="AC57">
            <v>16.25</v>
          </cell>
          <cell r="AD57">
            <v>12.083333333333334</v>
          </cell>
          <cell r="AE57">
            <v>2.4</v>
          </cell>
          <cell r="AF57">
            <v>-0.4</v>
          </cell>
          <cell r="AG57">
            <v>0.2</v>
          </cell>
          <cell r="AH57">
            <v>2.4</v>
          </cell>
          <cell r="AI57">
            <v>2.8</v>
          </cell>
          <cell r="AJ57">
            <v>4.8</v>
          </cell>
          <cell r="AK57">
            <v>5.6</v>
          </cell>
          <cell r="AL57">
            <v>3</v>
          </cell>
          <cell r="AN57">
            <v>4</v>
          </cell>
          <cell r="AO57">
            <v>0</v>
          </cell>
          <cell r="AP57" t="str">
            <v>SU002759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237.38200000000001</v>
          </cell>
          <cell r="D58">
            <v>761.19600000000003</v>
          </cell>
          <cell r="E58">
            <v>397.166</v>
          </cell>
          <cell r="F58">
            <v>313.839</v>
          </cell>
          <cell r="G58">
            <v>1</v>
          </cell>
          <cell r="H58">
            <v>50</v>
          </cell>
          <cell r="I58" t="str">
            <v>матрица</v>
          </cell>
          <cell r="K58">
            <v>623.72699999999998</v>
          </cell>
          <cell r="L58">
            <v>-226.56099999999998</v>
          </cell>
          <cell r="M58">
            <v>290.13900000000001</v>
          </cell>
          <cell r="N58">
            <v>107.027</v>
          </cell>
          <cell r="O58">
            <v>231.74273485791991</v>
          </cell>
          <cell r="Q58">
            <v>0</v>
          </cell>
          <cell r="S58">
            <v>100</v>
          </cell>
          <cell r="W58">
            <v>58.027799999999999</v>
          </cell>
          <cell r="X58">
            <v>150.75186514208002</v>
          </cell>
          <cell r="Y58">
            <v>150.75186514208002</v>
          </cell>
          <cell r="Z58">
            <v>150.75186514208002</v>
          </cell>
          <cell r="AC58">
            <v>13.723311929799165</v>
          </cell>
          <cell r="AD58">
            <v>9.4020751236117839</v>
          </cell>
          <cell r="AE58">
            <v>74.771800000000013</v>
          </cell>
          <cell r="AF58">
            <v>94.477599999999981</v>
          </cell>
          <cell r="AG58">
            <v>78.927799999999991</v>
          </cell>
          <cell r="AH58">
            <v>65.617199999999997</v>
          </cell>
          <cell r="AI58">
            <v>68.840999999999994</v>
          </cell>
          <cell r="AJ58">
            <v>74.638599999999997</v>
          </cell>
          <cell r="AK58">
            <v>99.823999999999998</v>
          </cell>
          <cell r="AL58">
            <v>124.6264</v>
          </cell>
          <cell r="AN58">
            <v>151</v>
          </cell>
          <cell r="AO58">
            <v>0</v>
          </cell>
          <cell r="AP58" t="str">
            <v>SU002829</v>
          </cell>
          <cell r="AQ58" t="str">
            <v>SU002829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104</v>
          </cell>
          <cell r="D59">
            <v>232</v>
          </cell>
          <cell r="E59">
            <v>136</v>
          </cell>
          <cell r="F59">
            <v>160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175</v>
          </cell>
          <cell r="L59">
            <v>-39</v>
          </cell>
          <cell r="M59">
            <v>136</v>
          </cell>
          <cell r="Q59">
            <v>77.600000000000023</v>
          </cell>
          <cell r="W59">
            <v>27.2</v>
          </cell>
          <cell r="X59">
            <v>88.799999999999955</v>
          </cell>
          <cell r="Y59">
            <v>88.799999999999955</v>
          </cell>
          <cell r="Z59">
            <v>88.799999999999955</v>
          </cell>
          <cell r="AC59">
            <v>12</v>
          </cell>
          <cell r="AD59">
            <v>8.7352941176470598</v>
          </cell>
          <cell r="AE59">
            <v>27.2</v>
          </cell>
          <cell r="AF59">
            <v>26.2</v>
          </cell>
          <cell r="AG59">
            <v>26.8</v>
          </cell>
          <cell r="AH59">
            <v>27.6</v>
          </cell>
          <cell r="AI59">
            <v>24.4</v>
          </cell>
          <cell r="AJ59">
            <v>26.4</v>
          </cell>
          <cell r="AK59">
            <v>26.6</v>
          </cell>
          <cell r="AL59">
            <v>17.600000000000001</v>
          </cell>
          <cell r="AN59">
            <v>9</v>
          </cell>
          <cell r="AO59">
            <v>0</v>
          </cell>
          <cell r="AP59" t="str">
            <v>SU002841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491.87299999999999</v>
          </cell>
          <cell r="D60">
            <v>782.45100000000002</v>
          </cell>
          <cell r="E60">
            <v>492.62299999999999</v>
          </cell>
          <cell r="F60">
            <v>426.03100000000001</v>
          </cell>
          <cell r="G60">
            <v>1</v>
          </cell>
          <cell r="H60">
            <v>50</v>
          </cell>
          <cell r="I60" t="str">
            <v>матрица</v>
          </cell>
          <cell r="K60">
            <v>654.69799999999998</v>
          </cell>
          <cell r="L60">
            <v>-162.07499999999999</v>
          </cell>
          <cell r="M60">
            <v>364.81599999999997</v>
          </cell>
          <cell r="N60">
            <v>127.807</v>
          </cell>
          <cell r="Q60">
            <v>133.80848404799971</v>
          </cell>
          <cell r="W60">
            <v>72.963200000000001</v>
          </cell>
          <cell r="X60">
            <v>315.71891595200026</v>
          </cell>
          <cell r="Y60">
            <v>315.71891595200026</v>
          </cell>
          <cell r="Z60">
            <v>315.71891595200026</v>
          </cell>
          <cell r="AC60">
            <v>11.999999999999998</v>
          </cell>
          <cell r="AD60">
            <v>7.6729020115345774</v>
          </cell>
          <cell r="AE60">
            <v>88.772199999999998</v>
          </cell>
          <cell r="AF60">
            <v>93.292600000000007</v>
          </cell>
          <cell r="AG60">
            <v>105.92659999999999</v>
          </cell>
          <cell r="AH60">
            <v>80.308399999999992</v>
          </cell>
          <cell r="AI60">
            <v>57.7956</v>
          </cell>
          <cell r="AJ60">
            <v>86.590799999999987</v>
          </cell>
          <cell r="AK60">
            <v>102.032</v>
          </cell>
          <cell r="AL60">
            <v>70.132199999999997</v>
          </cell>
          <cell r="AN60">
            <v>316</v>
          </cell>
          <cell r="AO60">
            <v>0</v>
          </cell>
          <cell r="AP60" t="str">
            <v>SU002928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48.067999999999998</v>
          </cell>
          <cell r="D61">
            <v>53.972999999999999</v>
          </cell>
          <cell r="E61">
            <v>24.356999999999999</v>
          </cell>
          <cell r="F61">
            <v>77.317999999999998</v>
          </cell>
          <cell r="G61">
            <v>1</v>
          </cell>
          <cell r="H61">
            <v>55</v>
          </cell>
          <cell r="I61" t="str">
            <v>матрица</v>
          </cell>
          <cell r="K61">
            <v>22.2</v>
          </cell>
          <cell r="L61">
            <v>2.157</v>
          </cell>
          <cell r="M61">
            <v>24.356999999999999</v>
          </cell>
          <cell r="Q61">
            <v>0</v>
          </cell>
          <cell r="W61">
            <v>4.8713999999999995</v>
          </cell>
          <cell r="Y61">
            <v>0</v>
          </cell>
          <cell r="Z61">
            <v>0</v>
          </cell>
          <cell r="AC61">
            <v>15.871823295151293</v>
          </cell>
          <cell r="AD61">
            <v>15.871823295151293</v>
          </cell>
          <cell r="AE61">
            <v>4.8714000000000004</v>
          </cell>
          <cell r="AF61">
            <v>8.2176000000000009</v>
          </cell>
          <cell r="AG61">
            <v>6.5724</v>
          </cell>
          <cell r="AH61">
            <v>2.7147999999999999</v>
          </cell>
          <cell r="AI61">
            <v>3.7801999999999998</v>
          </cell>
          <cell r="AJ61">
            <v>7.5739999999999998</v>
          </cell>
          <cell r="AK61">
            <v>8.3827999999999996</v>
          </cell>
          <cell r="AL61">
            <v>3.4996</v>
          </cell>
          <cell r="AN61">
            <v>0</v>
          </cell>
          <cell r="AO61">
            <v>0</v>
          </cell>
          <cell r="AP61" t="str">
            <v>SU002833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105</v>
          </cell>
          <cell r="D62">
            <v>147</v>
          </cell>
          <cell r="E62">
            <v>118</v>
          </cell>
          <cell r="F62">
            <v>119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132</v>
          </cell>
          <cell r="L62">
            <v>-14</v>
          </cell>
          <cell r="M62">
            <v>118</v>
          </cell>
          <cell r="Q62">
            <v>100.2</v>
          </cell>
          <cell r="W62">
            <v>23.6</v>
          </cell>
          <cell r="X62">
            <v>64.000000000000057</v>
          </cell>
          <cell r="Y62">
            <v>64.000000000000057</v>
          </cell>
          <cell r="Z62">
            <v>64.000000000000057</v>
          </cell>
          <cell r="AC62">
            <v>12.000000000000002</v>
          </cell>
          <cell r="AD62">
            <v>9.2881355932203373</v>
          </cell>
          <cell r="AE62">
            <v>23.6</v>
          </cell>
          <cell r="AF62">
            <v>20.2</v>
          </cell>
          <cell r="AG62">
            <v>24</v>
          </cell>
          <cell r="AH62">
            <v>23</v>
          </cell>
          <cell r="AI62">
            <v>23.6</v>
          </cell>
          <cell r="AJ62">
            <v>23</v>
          </cell>
          <cell r="AK62">
            <v>24.2</v>
          </cell>
          <cell r="AL62">
            <v>17.600000000000001</v>
          </cell>
          <cell r="AN62">
            <v>6</v>
          </cell>
          <cell r="AO62">
            <v>0</v>
          </cell>
          <cell r="AP62" t="str">
            <v>SU002840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18</v>
          </cell>
          <cell r="D63">
            <v>10</v>
          </cell>
          <cell r="E63">
            <v>1</v>
          </cell>
          <cell r="F63">
            <v>27</v>
          </cell>
          <cell r="G63">
            <v>0.4</v>
          </cell>
          <cell r="H63">
            <v>50</v>
          </cell>
          <cell r="I63" t="str">
            <v>матрица</v>
          </cell>
          <cell r="K63">
            <v>3</v>
          </cell>
          <cell r="L63">
            <v>-2</v>
          </cell>
          <cell r="M63">
            <v>1</v>
          </cell>
          <cell r="Q63">
            <v>0</v>
          </cell>
          <cell r="W63">
            <v>0.2</v>
          </cell>
          <cell r="Y63">
            <v>0</v>
          </cell>
          <cell r="Z63">
            <v>0</v>
          </cell>
          <cell r="AC63">
            <v>135</v>
          </cell>
          <cell r="AD63">
            <v>135</v>
          </cell>
          <cell r="AE63">
            <v>0.2</v>
          </cell>
          <cell r="AF63">
            <v>0.8</v>
          </cell>
          <cell r="AG63">
            <v>1.4</v>
          </cell>
          <cell r="AH63">
            <v>2.2000000000000002</v>
          </cell>
          <cell r="AI63">
            <v>2.2000000000000002</v>
          </cell>
          <cell r="AJ63">
            <v>1</v>
          </cell>
          <cell r="AK63">
            <v>1.6</v>
          </cell>
          <cell r="AL63">
            <v>2.8</v>
          </cell>
          <cell r="AM63" t="str">
            <v>нужно увеличить продажи!!!</v>
          </cell>
          <cell r="AN63">
            <v>0</v>
          </cell>
          <cell r="AO63">
            <v>0</v>
          </cell>
          <cell r="AP63" t="str">
            <v>SU002831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-26.584</v>
          </cell>
          <cell r="D64">
            <v>296.51600000000002</v>
          </cell>
          <cell r="E64">
            <v>9.8889999999999993</v>
          </cell>
          <cell r="F64">
            <v>71.605000000000004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168.8</v>
          </cell>
          <cell r="L64">
            <v>-158.911</v>
          </cell>
          <cell r="M64">
            <v>9.8889999999999993</v>
          </cell>
          <cell r="Q64">
            <v>0</v>
          </cell>
          <cell r="W64">
            <v>1.9777999999999998</v>
          </cell>
          <cell r="X64">
            <v>50</v>
          </cell>
          <cell r="Y64">
            <v>50</v>
          </cell>
          <cell r="Z64">
            <v>50</v>
          </cell>
          <cell r="AA64">
            <v>25</v>
          </cell>
          <cell r="AC64">
            <v>74.125290727070507</v>
          </cell>
          <cell r="AD64">
            <v>36.204368490241691</v>
          </cell>
          <cell r="AE64">
            <v>1.9778</v>
          </cell>
          <cell r="AF64">
            <v>35.930399999999999</v>
          </cell>
          <cell r="AG64">
            <v>33.767200000000003</v>
          </cell>
          <cell r="AH64">
            <v>5.1779999999999999</v>
          </cell>
          <cell r="AI64">
            <v>12.8698</v>
          </cell>
          <cell r="AJ64">
            <v>11.319000000000001</v>
          </cell>
          <cell r="AK64">
            <v>7.4388000000000014</v>
          </cell>
          <cell r="AL64">
            <v>8.8168000000000006</v>
          </cell>
          <cell r="AM64" t="str">
            <v>300кг под задачи ТК (05,08,26) / 150кг под задачи ТК (31,07,26)</v>
          </cell>
          <cell r="AN64">
            <v>50</v>
          </cell>
          <cell r="AO64">
            <v>25</v>
          </cell>
          <cell r="AP64" t="str">
            <v>SU002843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-40.819000000000003</v>
          </cell>
          <cell r="D65">
            <v>261.31700000000001</v>
          </cell>
          <cell r="E65">
            <v>98.992000000000004</v>
          </cell>
          <cell r="F65">
            <v>-53.939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233.49700000000001</v>
          </cell>
          <cell r="L65">
            <v>-134.505</v>
          </cell>
          <cell r="M65">
            <v>98.992000000000004</v>
          </cell>
          <cell r="Q65">
            <v>50</v>
          </cell>
          <cell r="W65">
            <v>19.798400000000001</v>
          </cell>
          <cell r="X65">
            <v>60</v>
          </cell>
          <cell r="Y65">
            <v>60</v>
          </cell>
          <cell r="Z65">
            <v>60</v>
          </cell>
          <cell r="AA65">
            <v>30</v>
          </cell>
          <cell r="AC65">
            <v>4.3468664134475512</v>
          </cell>
          <cell r="AD65">
            <v>-0.19895547114918377</v>
          </cell>
          <cell r="AE65">
            <v>10.039999999999999</v>
          </cell>
          <cell r="AF65">
            <v>35.883800000000001</v>
          </cell>
          <cell r="AG65">
            <v>36.3566</v>
          </cell>
          <cell r="AH65">
            <v>15.0884</v>
          </cell>
          <cell r="AI65">
            <v>0.26879999999999998</v>
          </cell>
          <cell r="AJ65">
            <v>0.55599999999999994</v>
          </cell>
          <cell r="AK65">
            <v>8.0599999999999987</v>
          </cell>
          <cell r="AL65">
            <v>8.0434000000000001</v>
          </cell>
          <cell r="AM65" t="str">
            <v>300кг под задачи ТК (05,08,26) / 150кг под задачи ТК (31,07,26)</v>
          </cell>
          <cell r="AN65">
            <v>60</v>
          </cell>
          <cell r="AO65">
            <v>30</v>
          </cell>
          <cell r="AP65" t="str">
            <v>SU002845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878</v>
          </cell>
          <cell r="D66">
            <v>1011</v>
          </cell>
          <cell r="E66">
            <v>940</v>
          </cell>
          <cell r="F66">
            <v>124</v>
          </cell>
          <cell r="G66">
            <v>0.4</v>
          </cell>
          <cell r="H66">
            <v>40</v>
          </cell>
          <cell r="I66" t="str">
            <v>матрица</v>
          </cell>
          <cell r="K66">
            <v>1435</v>
          </cell>
          <cell r="L66">
            <v>-495</v>
          </cell>
          <cell r="M66">
            <v>820</v>
          </cell>
          <cell r="N66">
            <v>120</v>
          </cell>
          <cell r="Q66">
            <v>551.05975999999987</v>
          </cell>
          <cell r="T66">
            <v>684.50024000000008</v>
          </cell>
          <cell r="W66">
            <v>164</v>
          </cell>
          <cell r="X66">
            <v>608.44000000000005</v>
          </cell>
          <cell r="Y66">
            <v>769.16000000000008</v>
          </cell>
          <cell r="Z66">
            <v>769.16000000000008</v>
          </cell>
          <cell r="AC66">
            <v>12.980000000000002</v>
          </cell>
          <cell r="AD66">
            <v>8.2899999999999991</v>
          </cell>
          <cell r="AE66">
            <v>188.8</v>
          </cell>
          <cell r="AF66">
            <v>96.2</v>
          </cell>
          <cell r="AG66">
            <v>124.2</v>
          </cell>
          <cell r="AH66">
            <v>168</v>
          </cell>
          <cell r="AI66">
            <v>89.6</v>
          </cell>
          <cell r="AJ66">
            <v>26.4</v>
          </cell>
          <cell r="AK66">
            <v>94.8</v>
          </cell>
          <cell r="AL66">
            <v>113.2</v>
          </cell>
          <cell r="AN66">
            <v>308</v>
          </cell>
          <cell r="AO66">
            <v>0</v>
          </cell>
          <cell r="AP66" t="str">
            <v>SU002842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79</v>
          </cell>
          <cell r="D67">
            <v>315</v>
          </cell>
          <cell r="E67">
            <v>193</v>
          </cell>
          <cell r="G67">
            <v>0.4</v>
          </cell>
          <cell r="H67">
            <v>40</v>
          </cell>
          <cell r="I67" t="str">
            <v>НЕДОГРУЗ / матрица</v>
          </cell>
          <cell r="K67">
            <v>667</v>
          </cell>
          <cell r="L67">
            <v>-474</v>
          </cell>
          <cell r="M67">
            <v>133</v>
          </cell>
          <cell r="N67">
            <v>60</v>
          </cell>
          <cell r="O67">
            <v>50</v>
          </cell>
          <cell r="Q67">
            <v>187.4</v>
          </cell>
          <cell r="R67">
            <v>-191.99999999999997</v>
          </cell>
          <cell r="W67">
            <v>26.6</v>
          </cell>
          <cell r="X67">
            <v>200</v>
          </cell>
          <cell r="Y67">
            <v>200</v>
          </cell>
          <cell r="Z67">
            <v>200</v>
          </cell>
          <cell r="AA67">
            <v>100</v>
          </cell>
          <cell r="AC67">
            <v>12.984962406015036</v>
          </cell>
          <cell r="AD67">
            <v>8.9248120300751879</v>
          </cell>
          <cell r="AE67">
            <v>38.4</v>
          </cell>
          <cell r="AF67">
            <v>0.6</v>
          </cell>
          <cell r="AG67">
            <v>0</v>
          </cell>
          <cell r="AH67">
            <v>0.4</v>
          </cell>
          <cell r="AI67">
            <v>0.8</v>
          </cell>
          <cell r="AJ67">
            <v>45.6</v>
          </cell>
          <cell r="AK67">
            <v>95.8</v>
          </cell>
          <cell r="AL67">
            <v>80.400000000000006</v>
          </cell>
          <cell r="AN67">
            <v>80</v>
          </cell>
          <cell r="AO67">
            <v>40</v>
          </cell>
          <cell r="AP67" t="str">
            <v>SU002844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131.67500000000001</v>
          </cell>
          <cell r="D68">
            <v>182.43899999999999</v>
          </cell>
          <cell r="E68">
            <v>131.47399999999999</v>
          </cell>
          <cell r="F68">
            <v>90.784000000000006</v>
          </cell>
          <cell r="G68">
            <v>1</v>
          </cell>
          <cell r="H68">
            <v>40</v>
          </cell>
          <cell r="I68" t="str">
            <v>матрица</v>
          </cell>
          <cell r="K68">
            <v>130.68799999999999</v>
          </cell>
          <cell r="L68">
            <v>0.78600000000000136</v>
          </cell>
          <cell r="M68">
            <v>55.727999999999994</v>
          </cell>
          <cell r="N68">
            <v>75.745999999999995</v>
          </cell>
          <cell r="Q68">
            <v>0</v>
          </cell>
          <cell r="W68">
            <v>11.145599999999998</v>
          </cell>
          <cell r="X68">
            <v>42.963199999999958</v>
          </cell>
          <cell r="Y68">
            <v>42.963199999999958</v>
          </cell>
          <cell r="Z68">
            <v>42.963199999999958</v>
          </cell>
          <cell r="AC68">
            <v>11.999999999999998</v>
          </cell>
          <cell r="AD68">
            <v>8.1452770600057445</v>
          </cell>
          <cell r="AE68">
            <v>9.0595999999999979</v>
          </cell>
          <cell r="AF68">
            <v>17.7364</v>
          </cell>
          <cell r="AG68">
            <v>6.0776000000000003</v>
          </cell>
          <cell r="AH68">
            <v>4.7904</v>
          </cell>
          <cell r="AI68">
            <v>12.265599999999999</v>
          </cell>
          <cell r="AJ68">
            <v>17.055599999999998</v>
          </cell>
          <cell r="AK68">
            <v>11.9252</v>
          </cell>
          <cell r="AL68">
            <v>7.8718000000000004</v>
          </cell>
          <cell r="AN68">
            <v>43</v>
          </cell>
          <cell r="AO68">
            <v>0</v>
          </cell>
          <cell r="AP68" t="str">
            <v>SU002941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59.363</v>
          </cell>
          <cell r="D69">
            <v>389.28</v>
          </cell>
          <cell r="E69">
            <v>48.875999999999998</v>
          </cell>
          <cell r="F69">
            <v>191.06299999999999</v>
          </cell>
          <cell r="G69">
            <v>1</v>
          </cell>
          <cell r="H69">
            <v>40</v>
          </cell>
          <cell r="I69" t="str">
            <v>матрица</v>
          </cell>
          <cell r="K69">
            <v>237.13200000000001</v>
          </cell>
          <cell r="L69">
            <v>-188.256</v>
          </cell>
          <cell r="M69">
            <v>16.555999999999997</v>
          </cell>
          <cell r="N69">
            <v>32.32</v>
          </cell>
          <cell r="Q69">
            <v>0</v>
          </cell>
          <cell r="W69">
            <v>3.3111999999999995</v>
          </cell>
          <cell r="Y69">
            <v>0</v>
          </cell>
          <cell r="Z69">
            <v>0</v>
          </cell>
          <cell r="AC69">
            <v>57.702041555931388</v>
          </cell>
          <cell r="AD69">
            <v>57.702041555931388</v>
          </cell>
          <cell r="AE69">
            <v>20.581600000000002</v>
          </cell>
          <cell r="AF69">
            <v>30.961200000000002</v>
          </cell>
          <cell r="AG69">
            <v>27.160799999999998</v>
          </cell>
          <cell r="AH69">
            <v>17.945</v>
          </cell>
          <cell r="AI69">
            <v>16.682200000000002</v>
          </cell>
          <cell r="AJ69">
            <v>20.416399999999999</v>
          </cell>
          <cell r="AK69">
            <v>21.869800000000001</v>
          </cell>
          <cell r="AL69">
            <v>14.438000000000001</v>
          </cell>
          <cell r="AN69">
            <v>0</v>
          </cell>
          <cell r="AO69">
            <v>0</v>
          </cell>
          <cell r="AP69" t="str">
            <v>SU002943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764.34199999999998</v>
          </cell>
          <cell r="D70">
            <v>374.04199999999997</v>
          </cell>
          <cell r="E70">
            <v>525.47400000000005</v>
          </cell>
          <cell r="F70">
            <v>354.42099999999999</v>
          </cell>
          <cell r="G70">
            <v>1</v>
          </cell>
          <cell r="H70">
            <v>40</v>
          </cell>
          <cell r="I70" t="str">
            <v>матрица</v>
          </cell>
          <cell r="K70">
            <v>631.66800000000001</v>
          </cell>
          <cell r="L70">
            <v>-106.19399999999996</v>
          </cell>
          <cell r="M70">
            <v>417.27700000000004</v>
          </cell>
          <cell r="N70">
            <v>108.197</v>
          </cell>
          <cell r="Q70">
            <v>378.85399999999993</v>
          </cell>
          <cell r="R70">
            <v>-383.4</v>
          </cell>
          <cell r="W70">
            <v>83.455400000000012</v>
          </cell>
          <cell r="X70">
            <v>268.18980000000028</v>
          </cell>
          <cell r="Y70">
            <v>268.18980000000028</v>
          </cell>
          <cell r="Z70">
            <v>268.18980000000028</v>
          </cell>
          <cell r="AC70">
            <v>7.405929394622758</v>
          </cell>
          <cell r="AD70">
            <v>8.7864296378664495</v>
          </cell>
          <cell r="AE70">
            <v>94.111999999999995</v>
          </cell>
          <cell r="AF70">
            <v>81.416399999999996</v>
          </cell>
          <cell r="AG70">
            <v>61.898000000000003</v>
          </cell>
          <cell r="AH70">
            <v>89.253599999999992</v>
          </cell>
          <cell r="AI70">
            <v>110.14279999999999</v>
          </cell>
          <cell r="AJ70">
            <v>106.628</v>
          </cell>
          <cell r="AK70">
            <v>119.44499999999999</v>
          </cell>
          <cell r="AL70">
            <v>150.35599999999999</v>
          </cell>
          <cell r="AN70">
            <v>268</v>
          </cell>
          <cell r="AO70">
            <v>0</v>
          </cell>
          <cell r="AP70" t="str">
            <v>SU002945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115.339</v>
          </cell>
          <cell r="D71">
            <v>182.22200000000001</v>
          </cell>
          <cell r="E71">
            <v>117.982</v>
          </cell>
          <cell r="F71">
            <v>-28.298999999999999</v>
          </cell>
          <cell r="G71">
            <v>1</v>
          </cell>
          <cell r="H71">
            <v>40</v>
          </cell>
          <cell r="I71" t="str">
            <v>матрица</v>
          </cell>
          <cell r="K71">
            <v>235.834</v>
          </cell>
          <cell r="L71">
            <v>-117.852</v>
          </cell>
          <cell r="M71">
            <v>85.561999999999998</v>
          </cell>
          <cell r="N71">
            <v>32.42</v>
          </cell>
          <cell r="Q71">
            <v>186.3614</v>
          </cell>
          <cell r="W71">
            <v>17.112400000000001</v>
          </cell>
          <cell r="X71">
            <v>47.286400000000008</v>
          </cell>
          <cell r="Y71">
            <v>47.286400000000008</v>
          </cell>
          <cell r="Z71">
            <v>47.286400000000008</v>
          </cell>
          <cell r="AC71">
            <v>12</v>
          </cell>
          <cell r="AD71">
            <v>9.2367172342862478</v>
          </cell>
          <cell r="AE71">
            <v>30.803799999999999</v>
          </cell>
          <cell r="AF71">
            <v>13.1944</v>
          </cell>
          <cell r="AG71">
            <v>3.5874000000000001</v>
          </cell>
          <cell r="AH71">
            <v>14.342000000000001</v>
          </cell>
          <cell r="AI71">
            <v>18.890999999999998</v>
          </cell>
          <cell r="AJ71">
            <v>10.531000000000001</v>
          </cell>
          <cell r="AK71">
            <v>10.1662</v>
          </cell>
          <cell r="AL71">
            <v>7.0498000000000003</v>
          </cell>
          <cell r="AN71">
            <v>47</v>
          </cell>
          <cell r="AO71">
            <v>0</v>
          </cell>
          <cell r="AP71" t="str">
            <v>SU002947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G72">
            <v>0</v>
          </cell>
          <cell r="I72" t="str">
            <v>матрица</v>
          </cell>
          <cell r="L72">
            <v>0</v>
          </cell>
          <cell r="M72">
            <v>0</v>
          </cell>
          <cell r="Q72">
            <v>0</v>
          </cell>
          <cell r="W72">
            <v>0</v>
          </cell>
          <cell r="Y72">
            <v>0</v>
          </cell>
          <cell r="Z72">
            <v>0</v>
          </cell>
          <cell r="AC72" t="e">
            <v>#DIV/0!</v>
          </cell>
          <cell r="AD72" t="e">
            <v>#DIV/0!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 t="str">
            <v>нет потребности</v>
          </cell>
          <cell r="AN72">
            <v>0</v>
          </cell>
          <cell r="AO72">
            <v>0</v>
          </cell>
          <cell r="AP72" t="str">
            <v>SU002918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709.1</v>
          </cell>
          <cell r="D73">
            <v>204.63800000000001</v>
          </cell>
          <cell r="E73">
            <v>230.79599999999999</v>
          </cell>
          <cell r="F73">
            <v>484.81400000000002</v>
          </cell>
          <cell r="G73">
            <v>1</v>
          </cell>
          <cell r="H73">
            <v>30</v>
          </cell>
          <cell r="I73" t="str">
            <v>матрица</v>
          </cell>
          <cell r="K73">
            <v>378.4</v>
          </cell>
          <cell r="L73">
            <v>-147.60399999999998</v>
          </cell>
          <cell r="M73">
            <v>230.79599999999999</v>
          </cell>
          <cell r="Q73">
            <v>0</v>
          </cell>
          <cell r="W73">
            <v>46.159199999999998</v>
          </cell>
          <cell r="X73">
            <v>69.09639999999996</v>
          </cell>
          <cell r="Y73">
            <v>69.09639999999996</v>
          </cell>
          <cell r="Z73">
            <v>69.09639999999996</v>
          </cell>
          <cell r="AC73">
            <v>12</v>
          </cell>
          <cell r="AD73">
            <v>10.503084975476179</v>
          </cell>
          <cell r="AE73">
            <v>46.7592</v>
          </cell>
          <cell r="AF73">
            <v>74.270200000000003</v>
          </cell>
          <cell r="AG73">
            <v>73.813599999999994</v>
          </cell>
          <cell r="AH73">
            <v>59.351199999999992</v>
          </cell>
          <cell r="AI73">
            <v>99.834000000000003</v>
          </cell>
          <cell r="AJ73">
            <v>113.3442</v>
          </cell>
          <cell r="AK73">
            <v>77.829800000000006</v>
          </cell>
          <cell r="AL73">
            <v>48.958399999999997</v>
          </cell>
          <cell r="AN73">
            <v>69</v>
          </cell>
          <cell r="AO73">
            <v>0</v>
          </cell>
          <cell r="AP73" t="str">
            <v>SU002835</v>
          </cell>
        </row>
        <row r="74">
          <cell r="A74" t="str">
            <v xml:space="preserve"> 365  Колбаса Салями Филейбургская зернистая, 0,28 кг срез ТМ Баварушка ПОКОМ</v>
          </cell>
          <cell r="B74" t="str">
            <v>шт</v>
          </cell>
          <cell r="E74">
            <v>1</v>
          </cell>
          <cell r="F74">
            <v>-1</v>
          </cell>
          <cell r="G74">
            <v>0</v>
          </cell>
          <cell r="I74" t="str">
            <v>не в матрице</v>
          </cell>
          <cell r="K74">
            <v>1</v>
          </cell>
          <cell r="L74">
            <v>0</v>
          </cell>
          <cell r="M74">
            <v>1</v>
          </cell>
          <cell r="Q74">
            <v>0</v>
          </cell>
          <cell r="W74">
            <v>0.2</v>
          </cell>
          <cell r="Y74">
            <v>0</v>
          </cell>
          <cell r="Z74">
            <v>0</v>
          </cell>
          <cell r="AC74">
            <v>-5</v>
          </cell>
          <cell r="AD74">
            <v>-5</v>
          </cell>
          <cell r="AE74">
            <v>0.2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N74">
            <v>0</v>
          </cell>
          <cell r="AO74">
            <v>0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B75" t="str">
            <v>шт</v>
          </cell>
          <cell r="C75">
            <v>1155</v>
          </cell>
          <cell r="D75">
            <v>212</v>
          </cell>
          <cell r="E75">
            <v>639</v>
          </cell>
          <cell r="F75">
            <v>482</v>
          </cell>
          <cell r="G75">
            <v>0.6</v>
          </cell>
          <cell r="H75">
            <v>60</v>
          </cell>
          <cell r="I75" t="str">
            <v>матрица</v>
          </cell>
          <cell r="K75">
            <v>739</v>
          </cell>
          <cell r="L75">
            <v>-100</v>
          </cell>
          <cell r="M75">
            <v>639</v>
          </cell>
          <cell r="Q75">
            <v>317.08816000000002</v>
          </cell>
          <cell r="T75">
            <v>393.87184000000008</v>
          </cell>
          <cell r="W75">
            <v>127.8</v>
          </cell>
          <cell r="X75">
            <v>340.63999999999987</v>
          </cell>
          <cell r="Y75">
            <v>465.8839999999999</v>
          </cell>
          <cell r="Z75">
            <v>465.8839999999999</v>
          </cell>
          <cell r="AC75">
            <v>12.98</v>
          </cell>
          <cell r="AD75">
            <v>9.3345852895148678</v>
          </cell>
          <cell r="AE75">
            <v>127.8</v>
          </cell>
          <cell r="AF75">
            <v>101.6</v>
          </cell>
          <cell r="AG75">
            <v>91.8</v>
          </cell>
          <cell r="AH75">
            <v>71.400000000000006</v>
          </cell>
          <cell r="AI75">
            <v>79.400000000000006</v>
          </cell>
          <cell r="AJ75">
            <v>144.80000000000001</v>
          </cell>
          <cell r="AK75">
            <v>132.19999999999999</v>
          </cell>
          <cell r="AL75">
            <v>65.599999999999994</v>
          </cell>
          <cell r="AN75">
            <v>280</v>
          </cell>
          <cell r="AO75">
            <v>0</v>
          </cell>
          <cell r="AP75" t="str">
            <v>SU002632</v>
          </cell>
        </row>
        <row r="76">
          <cell r="A76" t="str">
            <v xml:space="preserve"> 377  Колбаса Молочная Дугушка 0,6кг ТМ Стародворье  ПОКОМ</v>
          </cell>
          <cell r="B76" t="str">
            <v>шт</v>
          </cell>
          <cell r="C76">
            <v>831</v>
          </cell>
          <cell r="D76">
            <v>520</v>
          </cell>
          <cell r="E76">
            <v>646</v>
          </cell>
          <cell r="F76">
            <v>503</v>
          </cell>
          <cell r="G76">
            <v>0.6</v>
          </cell>
          <cell r="H76">
            <v>60</v>
          </cell>
          <cell r="I76" t="str">
            <v>матрица</v>
          </cell>
          <cell r="K76">
            <v>720</v>
          </cell>
          <cell r="L76">
            <v>-74</v>
          </cell>
          <cell r="M76">
            <v>646</v>
          </cell>
          <cell r="O76">
            <v>347.88</v>
          </cell>
          <cell r="Q76">
            <v>354.23999999999972</v>
          </cell>
          <cell r="W76">
            <v>129.19999999999999</v>
          </cell>
          <cell r="X76">
            <v>345.28000000000009</v>
          </cell>
          <cell r="Y76">
            <v>471.89600000000007</v>
          </cell>
          <cell r="Z76">
            <v>471.89600000000007</v>
          </cell>
          <cell r="AC76">
            <v>12.979999999999999</v>
          </cell>
          <cell r="AD76">
            <v>9.3275541795665617</v>
          </cell>
          <cell r="AE76">
            <v>129.19999999999999</v>
          </cell>
          <cell r="AF76">
            <v>126</v>
          </cell>
          <cell r="AG76">
            <v>88.6</v>
          </cell>
          <cell r="AH76">
            <v>74.400000000000006</v>
          </cell>
          <cell r="AI76">
            <v>96.8</v>
          </cell>
          <cell r="AJ76">
            <v>125.2</v>
          </cell>
          <cell r="AK76">
            <v>118.6</v>
          </cell>
          <cell r="AL76">
            <v>74.400000000000006</v>
          </cell>
          <cell r="AN76">
            <v>283</v>
          </cell>
          <cell r="AO76">
            <v>0</v>
          </cell>
          <cell r="AP76" t="str">
            <v>SU002631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B77" t="str">
            <v>шт</v>
          </cell>
          <cell r="D77">
            <v>40</v>
          </cell>
          <cell r="F77">
            <v>40</v>
          </cell>
          <cell r="G77">
            <v>0.4</v>
          </cell>
          <cell r="I77" t="str">
            <v>матрица</v>
          </cell>
          <cell r="L77">
            <v>0</v>
          </cell>
          <cell r="M77">
            <v>0</v>
          </cell>
          <cell r="Q77">
            <v>10</v>
          </cell>
          <cell r="W77">
            <v>0</v>
          </cell>
          <cell r="Y77">
            <v>0</v>
          </cell>
          <cell r="Z77">
            <v>0</v>
          </cell>
          <cell r="AC77" t="e">
            <v>#DIV/0!</v>
          </cell>
          <cell r="AD77" t="e">
            <v>#DIV/0!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 t="str">
            <v>с 14,08,26 начинаем заказывать</v>
          </cell>
          <cell r="AN77">
            <v>0</v>
          </cell>
          <cell r="AO77">
            <v>0</v>
          </cell>
          <cell r="AP77" t="str">
            <v>SU002983</v>
          </cell>
        </row>
        <row r="78">
          <cell r="A78" t="str">
            <v xml:space="preserve"> 388  Сосиски Восточные Халяль ТМ Вязанка 0,33 кг АК. ПОКОМ</v>
          </cell>
          <cell r="B78" t="str">
            <v>шт</v>
          </cell>
          <cell r="C78">
            <v>1</v>
          </cell>
          <cell r="F78">
            <v>1</v>
          </cell>
          <cell r="G78">
            <v>0</v>
          </cell>
          <cell r="I78" t="str">
            <v>матрица</v>
          </cell>
          <cell r="L78">
            <v>0</v>
          </cell>
          <cell r="M78">
            <v>0</v>
          </cell>
          <cell r="Q78">
            <v>0</v>
          </cell>
          <cell r="W78">
            <v>0</v>
          </cell>
          <cell r="Y78">
            <v>0</v>
          </cell>
          <cell r="Z78">
            <v>0</v>
          </cell>
          <cell r="AC78" t="e">
            <v>#DIV/0!</v>
          </cell>
          <cell r="AD78" t="e">
            <v>#DIV/0!</v>
          </cell>
          <cell r="AE78">
            <v>0</v>
          </cell>
          <cell r="AF78">
            <v>0.2</v>
          </cell>
          <cell r="AG78">
            <v>0.2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 t="str">
            <v>нет потребности</v>
          </cell>
          <cell r="AN78">
            <v>0</v>
          </cell>
          <cell r="AO78">
            <v>0</v>
          </cell>
          <cell r="AP78" t="str">
            <v>SU002984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B79" t="str">
            <v>шт</v>
          </cell>
          <cell r="C79">
            <v>14</v>
          </cell>
          <cell r="D79">
            <v>66</v>
          </cell>
          <cell r="E79">
            <v>20</v>
          </cell>
          <cell r="F79">
            <v>64</v>
          </cell>
          <cell r="G79">
            <v>0.35</v>
          </cell>
          <cell r="H79">
            <v>90</v>
          </cell>
          <cell r="I79" t="str">
            <v>матрица</v>
          </cell>
          <cell r="K79">
            <v>57</v>
          </cell>
          <cell r="L79">
            <v>-37</v>
          </cell>
          <cell r="M79">
            <v>20</v>
          </cell>
          <cell r="Q79">
            <v>0</v>
          </cell>
          <cell r="W79">
            <v>4</v>
          </cell>
          <cell r="Y79">
            <v>0</v>
          </cell>
          <cell r="Z79">
            <v>0</v>
          </cell>
          <cell r="AC79">
            <v>16</v>
          </cell>
          <cell r="AD79">
            <v>16</v>
          </cell>
          <cell r="AE79">
            <v>4</v>
          </cell>
          <cell r="AF79">
            <v>8.8000000000000007</v>
          </cell>
          <cell r="AG79">
            <v>7.2</v>
          </cell>
          <cell r="AH79">
            <v>9.4</v>
          </cell>
          <cell r="AI79">
            <v>10.4</v>
          </cell>
          <cell r="AJ79">
            <v>6.2</v>
          </cell>
          <cell r="AK79">
            <v>9.4</v>
          </cell>
          <cell r="AL79">
            <v>9.4</v>
          </cell>
          <cell r="AN79">
            <v>0</v>
          </cell>
          <cell r="AO79">
            <v>0</v>
          </cell>
          <cell r="AP79" t="str">
            <v>SU002985</v>
          </cell>
        </row>
        <row r="80">
          <cell r="A80" t="str">
            <v xml:space="preserve"> 395  Колбаса Докторская ГОСТ ТМ Вязанка в оболочке полиамид 0,37 кг. ПОКОМ</v>
          </cell>
          <cell r="B80" t="str">
            <v>шт</v>
          </cell>
          <cell r="C80">
            <v>88</v>
          </cell>
          <cell r="D80">
            <v>275</v>
          </cell>
          <cell r="E80">
            <v>153</v>
          </cell>
          <cell r="F80">
            <v>195</v>
          </cell>
          <cell r="G80">
            <v>0.37</v>
          </cell>
          <cell r="H80">
            <v>50</v>
          </cell>
          <cell r="I80" t="str">
            <v>матрица</v>
          </cell>
          <cell r="K80">
            <v>175</v>
          </cell>
          <cell r="L80">
            <v>-22</v>
          </cell>
          <cell r="M80">
            <v>153</v>
          </cell>
          <cell r="Q80">
            <v>85.600000000000023</v>
          </cell>
          <cell r="W80">
            <v>30.6</v>
          </cell>
          <cell r="X80">
            <v>86.600000000000023</v>
          </cell>
          <cell r="Y80">
            <v>86.600000000000023</v>
          </cell>
          <cell r="Z80">
            <v>86.600000000000023</v>
          </cell>
          <cell r="AC80">
            <v>12.000000000000002</v>
          </cell>
          <cell r="AD80">
            <v>9.169934640522877</v>
          </cell>
          <cell r="AE80">
            <v>30.6</v>
          </cell>
          <cell r="AF80">
            <v>27.4</v>
          </cell>
          <cell r="AG80">
            <v>35.4</v>
          </cell>
          <cell r="AH80">
            <v>29.4</v>
          </cell>
          <cell r="AI80">
            <v>16.2</v>
          </cell>
          <cell r="AJ80">
            <v>28.8</v>
          </cell>
          <cell r="AK80">
            <v>28.8</v>
          </cell>
          <cell r="AL80">
            <v>18.2</v>
          </cell>
          <cell r="AN80">
            <v>32</v>
          </cell>
          <cell r="AO80">
            <v>0</v>
          </cell>
          <cell r="AP80" t="str">
            <v>SU002986</v>
          </cell>
        </row>
        <row r="81">
          <cell r="A81" t="str">
            <v xml:space="preserve"> 397  Ветчина Дугушка ТМ Стародворье ТС Дугушка в полиамидной оболочке 0,6 кг. ПОКОМ</v>
          </cell>
          <cell r="B81" t="str">
            <v>шт</v>
          </cell>
          <cell r="C81">
            <v>722</v>
          </cell>
          <cell r="D81">
            <v>13</v>
          </cell>
          <cell r="E81">
            <v>309</v>
          </cell>
          <cell r="F81">
            <v>389</v>
          </cell>
          <cell r="G81">
            <v>0.6</v>
          </cell>
          <cell r="H81">
            <v>70</v>
          </cell>
          <cell r="I81" t="str">
            <v>ВНИМАНИЕ / матрица</v>
          </cell>
          <cell r="K81">
            <v>331</v>
          </cell>
          <cell r="L81">
            <v>-22</v>
          </cell>
          <cell r="M81">
            <v>309</v>
          </cell>
          <cell r="Q81">
            <v>127</v>
          </cell>
          <cell r="W81">
            <v>61.8</v>
          </cell>
          <cell r="X81">
            <v>163.79999999999995</v>
          </cell>
          <cell r="Y81">
            <v>163.79999999999995</v>
          </cell>
          <cell r="Z81">
            <v>163.79999999999995</v>
          </cell>
          <cell r="AC81">
            <v>11</v>
          </cell>
          <cell r="AD81">
            <v>8.349514563106796</v>
          </cell>
          <cell r="AE81">
            <v>61.8</v>
          </cell>
          <cell r="AF81">
            <v>34.200000000000003</v>
          </cell>
          <cell r="AG81">
            <v>32.6</v>
          </cell>
          <cell r="AH81">
            <v>19.600000000000001</v>
          </cell>
          <cell r="AI81">
            <v>83.6</v>
          </cell>
          <cell r="AJ81">
            <v>196.6</v>
          </cell>
          <cell r="AK81">
            <v>134</v>
          </cell>
          <cell r="AL81">
            <v>33.200000000000003</v>
          </cell>
          <cell r="AM81" t="str">
            <v>500шт под ЮТЛ (Хмель 05,08,26) / 500шт под ЮТЛ (Хмель 15,07,26)</v>
          </cell>
          <cell r="AN81">
            <v>98</v>
          </cell>
          <cell r="AO81">
            <v>0</v>
          </cell>
          <cell r="AP81" t="str">
            <v>SU002643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B82" t="str">
            <v>шт</v>
          </cell>
          <cell r="C82">
            <v>84</v>
          </cell>
          <cell r="D82">
            <v>372</v>
          </cell>
          <cell r="E82">
            <v>206</v>
          </cell>
          <cell r="F82">
            <v>55</v>
          </cell>
          <cell r="G82">
            <v>0.33</v>
          </cell>
          <cell r="H82">
            <v>40</v>
          </cell>
          <cell r="I82" t="str">
            <v>матрица</v>
          </cell>
          <cell r="K82">
            <v>342</v>
          </cell>
          <cell r="L82">
            <v>-136</v>
          </cell>
          <cell r="M82">
            <v>206</v>
          </cell>
          <cell r="O82">
            <v>144.0712</v>
          </cell>
          <cell r="Q82">
            <v>156.54000000000011</v>
          </cell>
          <cell r="W82">
            <v>41.2</v>
          </cell>
          <cell r="X82">
            <v>138.7887999999999</v>
          </cell>
          <cell r="Y82">
            <v>138.7887999999999</v>
          </cell>
          <cell r="Z82">
            <v>138.7887999999999</v>
          </cell>
          <cell r="AC82">
            <v>11.999999999999998</v>
          </cell>
          <cell r="AD82">
            <v>8.6313398058252453</v>
          </cell>
          <cell r="AE82">
            <v>49.6</v>
          </cell>
          <cell r="AF82">
            <v>42</v>
          </cell>
          <cell r="AG82">
            <v>24.8</v>
          </cell>
          <cell r="AH82">
            <v>34.4</v>
          </cell>
          <cell r="AI82">
            <v>51</v>
          </cell>
          <cell r="AJ82">
            <v>66.400000000000006</v>
          </cell>
          <cell r="AK82">
            <v>43.8</v>
          </cell>
          <cell r="AL82">
            <v>14</v>
          </cell>
          <cell r="AN82">
            <v>46</v>
          </cell>
          <cell r="AO82">
            <v>0</v>
          </cell>
          <cell r="AP82" t="str">
            <v>SU002367</v>
          </cell>
        </row>
        <row r="83">
          <cell r="A83" t="str">
            <v xml:space="preserve"> 408  Ветчина Сливушка с индейкой ТМ Вязанка, 0,4кг  ПОКОМ</v>
          </cell>
          <cell r="B83" t="str">
            <v>шт</v>
          </cell>
          <cell r="C83">
            <v>50</v>
          </cell>
          <cell r="D83">
            <v>114</v>
          </cell>
          <cell r="E83">
            <v>66</v>
          </cell>
          <cell r="F83">
            <v>113</v>
          </cell>
          <cell r="G83">
            <v>0.4</v>
          </cell>
          <cell r="H83">
            <v>55</v>
          </cell>
          <cell r="I83" t="str">
            <v>матрица</v>
          </cell>
          <cell r="K83">
            <v>58</v>
          </cell>
          <cell r="L83">
            <v>8</v>
          </cell>
          <cell r="M83">
            <v>66</v>
          </cell>
          <cell r="Q83">
            <v>19.19999999999996</v>
          </cell>
          <cell r="W83">
            <v>13.2</v>
          </cell>
          <cell r="X83">
            <v>26.200000000000017</v>
          </cell>
          <cell r="Y83">
            <v>26.200000000000017</v>
          </cell>
          <cell r="Z83">
            <v>26.200000000000017</v>
          </cell>
          <cell r="AC83">
            <v>11.999999999999998</v>
          </cell>
          <cell r="AD83">
            <v>10.015151515151512</v>
          </cell>
          <cell r="AE83">
            <v>13.2</v>
          </cell>
          <cell r="AF83">
            <v>12.8</v>
          </cell>
          <cell r="AG83">
            <v>9.6</v>
          </cell>
          <cell r="AH83">
            <v>8.6</v>
          </cell>
          <cell r="AI83">
            <v>10.8</v>
          </cell>
          <cell r="AJ83">
            <v>12.2</v>
          </cell>
          <cell r="AK83">
            <v>8.4</v>
          </cell>
          <cell r="AL83">
            <v>8.4</v>
          </cell>
          <cell r="AN83">
            <v>10</v>
          </cell>
          <cell r="AO83">
            <v>0</v>
          </cell>
          <cell r="AP83" t="str">
            <v>SU002735</v>
          </cell>
        </row>
        <row r="84">
          <cell r="A84" t="str">
            <v xml:space="preserve"> 410  Сосиски Баварские с сыром ТМ Стародворье 0,35 кг. ПОКОМ</v>
          </cell>
          <cell r="B84" t="str">
            <v>шт</v>
          </cell>
          <cell r="C84">
            <v>-8</v>
          </cell>
          <cell r="D84">
            <v>375</v>
          </cell>
          <cell r="E84">
            <v>98</v>
          </cell>
          <cell r="F84">
            <v>262</v>
          </cell>
          <cell r="G84">
            <v>0.35</v>
          </cell>
          <cell r="H84">
            <v>40</v>
          </cell>
          <cell r="I84" t="str">
            <v>НЕДОГРУЗ / матрица</v>
          </cell>
          <cell r="K84">
            <v>70</v>
          </cell>
          <cell r="L84">
            <v>28</v>
          </cell>
          <cell r="M84">
            <v>98</v>
          </cell>
          <cell r="O84">
            <v>50</v>
          </cell>
          <cell r="Q84">
            <v>0</v>
          </cell>
          <cell r="W84">
            <v>19.600000000000001</v>
          </cell>
          <cell r="X84">
            <v>50</v>
          </cell>
          <cell r="Y84">
            <v>50</v>
          </cell>
          <cell r="Z84">
            <v>50</v>
          </cell>
          <cell r="AA84">
            <v>25</v>
          </cell>
          <cell r="AC84">
            <v>19.744897959183671</v>
          </cell>
          <cell r="AD84">
            <v>15.918367346938775</v>
          </cell>
          <cell r="AE84">
            <v>19.600000000000001</v>
          </cell>
          <cell r="AF84">
            <v>50</v>
          </cell>
          <cell r="AG84">
            <v>40</v>
          </cell>
          <cell r="AH84">
            <v>12.4</v>
          </cell>
          <cell r="AI84">
            <v>-1</v>
          </cell>
          <cell r="AJ84">
            <v>8.8000000000000007</v>
          </cell>
          <cell r="AK84">
            <v>26.2</v>
          </cell>
          <cell r="AL84">
            <v>35.799999999999997</v>
          </cell>
          <cell r="AN84">
            <v>18</v>
          </cell>
          <cell r="AO84">
            <v>9</v>
          </cell>
          <cell r="AP84" t="str">
            <v>SU003168</v>
          </cell>
        </row>
        <row r="85">
          <cell r="A85" t="str">
            <v xml:space="preserve"> 412  Сосиски Баварские ТМ Стародворье 0,35 кг ПОКОМ</v>
          </cell>
          <cell r="B85" t="str">
            <v>шт</v>
          </cell>
          <cell r="C85">
            <v>-1</v>
          </cell>
          <cell r="D85">
            <v>315</v>
          </cell>
          <cell r="E85">
            <v>-3</v>
          </cell>
          <cell r="F85">
            <v>10</v>
          </cell>
          <cell r="G85">
            <v>0.35</v>
          </cell>
          <cell r="H85">
            <v>45</v>
          </cell>
          <cell r="I85" t="str">
            <v>НЕДОГРУЗ / матрица</v>
          </cell>
          <cell r="K85">
            <v>269</v>
          </cell>
          <cell r="L85">
            <v>-272</v>
          </cell>
          <cell r="M85">
            <v>-153</v>
          </cell>
          <cell r="N85">
            <v>150</v>
          </cell>
          <cell r="O85">
            <v>50</v>
          </cell>
          <cell r="Q85">
            <v>100</v>
          </cell>
          <cell r="W85">
            <v>-30.6</v>
          </cell>
          <cell r="X85">
            <v>100</v>
          </cell>
          <cell r="Y85">
            <v>100</v>
          </cell>
          <cell r="Z85">
            <v>100</v>
          </cell>
          <cell r="AA85">
            <v>50</v>
          </cell>
          <cell r="AC85">
            <v>-10.130718954248366</v>
          </cell>
          <cell r="AD85">
            <v>-5.2287581699346406</v>
          </cell>
          <cell r="AE85">
            <v>-0.6</v>
          </cell>
          <cell r="AF85">
            <v>0</v>
          </cell>
          <cell r="AG85">
            <v>2.8</v>
          </cell>
          <cell r="AH85">
            <v>74.400000000000006</v>
          </cell>
          <cell r="AI85">
            <v>77.2</v>
          </cell>
          <cell r="AJ85">
            <v>16.600000000000001</v>
          </cell>
          <cell r="AK85">
            <v>66.599999999999994</v>
          </cell>
          <cell r="AL85">
            <v>83</v>
          </cell>
          <cell r="AN85">
            <v>35</v>
          </cell>
          <cell r="AO85">
            <v>18</v>
          </cell>
          <cell r="AP85" t="str">
            <v>SU003167</v>
          </cell>
        </row>
        <row r="86">
          <cell r="A86" t="str">
            <v xml:space="preserve"> 425 Сосиски Сливочные Вязанка Сливушки Весовые П/а мгс Вязанка  Поком</v>
          </cell>
          <cell r="B86" t="str">
            <v>кг</v>
          </cell>
          <cell r="C86">
            <v>-5.4409999999999998</v>
          </cell>
          <cell r="F86">
            <v>-5.4409999999999998</v>
          </cell>
          <cell r="G86">
            <v>0</v>
          </cell>
          <cell r="I86" t="str">
            <v>не в матрице</v>
          </cell>
          <cell r="J86" t="str">
            <v xml:space="preserve"> 017  Сосиски Вязанка Сливочные, Вязанка амицел ВЕС.ПОКОМ</v>
          </cell>
          <cell r="L86">
            <v>0</v>
          </cell>
          <cell r="M86">
            <v>0</v>
          </cell>
          <cell r="Q86">
            <v>0</v>
          </cell>
          <cell r="W86">
            <v>0</v>
          </cell>
          <cell r="Y86">
            <v>0</v>
          </cell>
          <cell r="Z86">
            <v>0</v>
          </cell>
          <cell r="AC86" t="e">
            <v>#DIV/0!</v>
          </cell>
          <cell r="AD86" t="e">
            <v>#DIV/0!</v>
          </cell>
          <cell r="AE86">
            <v>0</v>
          </cell>
          <cell r="AF86">
            <v>0</v>
          </cell>
          <cell r="AG86">
            <v>1.0882000000000001</v>
          </cell>
          <cell r="AH86">
            <v>1.0882000000000001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N86">
            <v>0</v>
          </cell>
          <cell r="AO86">
            <v>0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B87" t="str">
            <v>шт</v>
          </cell>
          <cell r="C87">
            <v>53</v>
          </cell>
          <cell r="D87">
            <v>50</v>
          </cell>
          <cell r="E87">
            <v>2</v>
          </cell>
          <cell r="F87">
            <v>103</v>
          </cell>
          <cell r="G87">
            <v>0.4</v>
          </cell>
          <cell r="H87">
            <v>55</v>
          </cell>
          <cell r="I87" t="str">
            <v>матрица</v>
          </cell>
          <cell r="L87">
            <v>2</v>
          </cell>
          <cell r="M87">
            <v>2</v>
          </cell>
          <cell r="Q87">
            <v>0</v>
          </cell>
          <cell r="W87">
            <v>0.4</v>
          </cell>
          <cell r="Y87">
            <v>0</v>
          </cell>
          <cell r="Z87">
            <v>0</v>
          </cell>
          <cell r="AC87">
            <v>257.5</v>
          </cell>
          <cell r="AD87">
            <v>257.5</v>
          </cell>
          <cell r="AE87">
            <v>0.4</v>
          </cell>
          <cell r="AF87">
            <v>8.6</v>
          </cell>
          <cell r="AG87">
            <v>8.6</v>
          </cell>
          <cell r="AH87">
            <v>4.4000000000000004</v>
          </cell>
          <cell r="AI87">
            <v>7.6</v>
          </cell>
          <cell r="AJ87">
            <v>4</v>
          </cell>
          <cell r="AK87">
            <v>4</v>
          </cell>
          <cell r="AL87">
            <v>0</v>
          </cell>
          <cell r="AM87" t="str">
            <v>нужно увеличить продажи!!!</v>
          </cell>
          <cell r="AN87">
            <v>0</v>
          </cell>
          <cell r="AO87">
            <v>0</v>
          </cell>
          <cell r="AP87" t="str">
            <v>SU003272</v>
          </cell>
        </row>
        <row r="88">
          <cell r="A88" t="str">
            <v xml:space="preserve"> 433 Колбаса Стародворская со шпиком  в оболочке полиамид. ТМ Стародворье ВЕС ПОКОМ</v>
          </cell>
          <cell r="B88" t="str">
            <v>кг</v>
          </cell>
          <cell r="C88">
            <v>33.728999999999999</v>
          </cell>
          <cell r="E88">
            <v>4.0910000000000002</v>
          </cell>
          <cell r="F88">
            <v>16.384</v>
          </cell>
          <cell r="G88">
            <v>1</v>
          </cell>
          <cell r="H88">
            <v>55</v>
          </cell>
          <cell r="I88" t="str">
            <v>матрица</v>
          </cell>
          <cell r="K88">
            <v>15.3</v>
          </cell>
          <cell r="L88">
            <v>-11.209</v>
          </cell>
          <cell r="M88">
            <v>4.0910000000000002</v>
          </cell>
          <cell r="Q88">
            <v>0</v>
          </cell>
          <cell r="W88">
            <v>0.81820000000000004</v>
          </cell>
          <cell r="Y88">
            <v>0</v>
          </cell>
          <cell r="Z88">
            <v>0</v>
          </cell>
          <cell r="AC88">
            <v>20.024443901246638</v>
          </cell>
          <cell r="AD88">
            <v>20.024443901246638</v>
          </cell>
          <cell r="AE88">
            <v>0.81820000000000004</v>
          </cell>
          <cell r="AF88">
            <v>1.704</v>
          </cell>
          <cell r="AG88">
            <v>2.0099999999999998</v>
          </cell>
          <cell r="AH88">
            <v>1.7163999999999999</v>
          </cell>
          <cell r="AI88">
            <v>1.7183999999999999</v>
          </cell>
          <cell r="AJ88">
            <v>0.57800000000000007</v>
          </cell>
          <cell r="AK88">
            <v>1.7447999999999999</v>
          </cell>
          <cell r="AL88">
            <v>1.7296</v>
          </cell>
          <cell r="AM88" t="str">
            <v>нужно увеличить продажи!!!</v>
          </cell>
          <cell r="AN88">
            <v>0</v>
          </cell>
          <cell r="AO88">
            <v>0</v>
          </cell>
          <cell r="AP88" t="str">
            <v>SU003275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B89" t="str">
            <v>кг</v>
          </cell>
          <cell r="G89">
            <v>0</v>
          </cell>
          <cell r="I89" t="str">
            <v>матрица</v>
          </cell>
          <cell r="L89">
            <v>0</v>
          </cell>
          <cell r="M89">
            <v>0</v>
          </cell>
          <cell r="Q89">
            <v>0</v>
          </cell>
          <cell r="W89">
            <v>0</v>
          </cell>
          <cell r="Y89">
            <v>0</v>
          </cell>
          <cell r="Z89">
            <v>0</v>
          </cell>
          <cell r="AC89" t="e">
            <v>#DIV/0!</v>
          </cell>
          <cell r="AD89" t="e">
            <v>#DIV/0!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 t="str">
            <v>нет потребности</v>
          </cell>
          <cell r="AN89">
            <v>0</v>
          </cell>
          <cell r="AO89">
            <v>0</v>
          </cell>
          <cell r="AP89" t="str">
            <v>SU003273</v>
          </cell>
        </row>
        <row r="90">
          <cell r="A90" t="str">
            <v xml:space="preserve"> 449  Колбаса Дугушка Стародворская ВЕС ТС Дугушка ПОКОМ</v>
          </cell>
          <cell r="B90" t="str">
            <v>кг</v>
          </cell>
          <cell r="C90">
            <v>3866.12</v>
          </cell>
          <cell r="D90">
            <v>5962.2690000000002</v>
          </cell>
          <cell r="E90">
            <v>4315.1090000000004</v>
          </cell>
          <cell r="F90">
            <v>3348.8519999999999</v>
          </cell>
          <cell r="G90">
            <v>1</v>
          </cell>
          <cell r="H90">
            <v>60</v>
          </cell>
          <cell r="I90" t="str">
            <v>матрица</v>
          </cell>
          <cell r="K90">
            <v>4583.6000000000004</v>
          </cell>
          <cell r="L90">
            <v>-268.49099999999999</v>
          </cell>
          <cell r="M90">
            <v>4213.1590000000006</v>
          </cell>
          <cell r="N90">
            <v>101.95</v>
          </cell>
          <cell r="O90">
            <v>1377.1870138935999</v>
          </cell>
          <cell r="Q90">
            <v>2305.7990356897199</v>
          </cell>
          <cell r="T90">
            <v>2864.1539591302808</v>
          </cell>
          <cell r="W90">
            <v>842.63180000000011</v>
          </cell>
          <cell r="X90">
            <v>215.58959128640072</v>
          </cell>
          <cell r="Y90">
            <v>0</v>
          </cell>
          <cell r="Z90">
            <v>0</v>
          </cell>
          <cell r="AC90">
            <v>11.744147335424085</v>
          </cell>
          <cell r="AD90">
            <v>11.744147335424085</v>
          </cell>
          <cell r="AE90">
            <v>930.80480000000011</v>
          </cell>
          <cell r="AF90">
            <v>746.08699999999999</v>
          </cell>
          <cell r="AG90">
            <v>678.24040000000002</v>
          </cell>
          <cell r="AH90">
            <v>611.37299999999993</v>
          </cell>
          <cell r="AI90">
            <v>524.66000000000008</v>
          </cell>
          <cell r="AJ90">
            <v>546.37159999999994</v>
          </cell>
          <cell r="AK90">
            <v>631.18540000000007</v>
          </cell>
          <cell r="AL90">
            <v>487.42919999999992</v>
          </cell>
          <cell r="AN90">
            <v>0</v>
          </cell>
          <cell r="AO90">
            <v>0</v>
          </cell>
          <cell r="AP90" t="str">
            <v>SU002634</v>
          </cell>
          <cell r="AQ90" t="str">
            <v>SU002634</v>
          </cell>
        </row>
        <row r="91">
          <cell r="A91" t="str">
            <v xml:space="preserve"> 451 Сосиски Филейские ТМ Вязанка в оболочке целлофан 0,3 кг. ПОКОМ</v>
          </cell>
          <cell r="B91" t="str">
            <v>шт</v>
          </cell>
          <cell r="C91">
            <v>146</v>
          </cell>
          <cell r="D91">
            <v>322</v>
          </cell>
          <cell r="E91">
            <v>245</v>
          </cell>
          <cell r="F91">
            <v>197</v>
          </cell>
          <cell r="G91">
            <v>0.3</v>
          </cell>
          <cell r="H91">
            <v>40</v>
          </cell>
          <cell r="I91" t="str">
            <v>матрица</v>
          </cell>
          <cell r="K91">
            <v>271</v>
          </cell>
          <cell r="L91">
            <v>-26</v>
          </cell>
          <cell r="M91">
            <v>245</v>
          </cell>
          <cell r="O91">
            <v>208.21943999999999</v>
          </cell>
          <cell r="Q91">
            <v>0</v>
          </cell>
          <cell r="W91">
            <v>49</v>
          </cell>
          <cell r="X91">
            <v>182.78056000000004</v>
          </cell>
          <cell r="Y91">
            <v>182.78056000000004</v>
          </cell>
          <cell r="Z91">
            <v>182.78056000000004</v>
          </cell>
          <cell r="AC91">
            <v>12</v>
          </cell>
          <cell r="AD91">
            <v>8.2697844897959172</v>
          </cell>
          <cell r="AE91">
            <v>49</v>
          </cell>
          <cell r="AF91">
            <v>54.8</v>
          </cell>
          <cell r="AG91">
            <v>31.2</v>
          </cell>
          <cell r="AH91">
            <v>37.799999999999997</v>
          </cell>
          <cell r="AI91">
            <v>35.799999999999997</v>
          </cell>
          <cell r="AJ91">
            <v>44</v>
          </cell>
          <cell r="AK91">
            <v>54.4</v>
          </cell>
          <cell r="AL91">
            <v>32.200000000000003</v>
          </cell>
          <cell r="AN91">
            <v>55</v>
          </cell>
          <cell r="AO91">
            <v>0</v>
          </cell>
          <cell r="AP91" t="str">
            <v>SU002825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B92" t="str">
            <v>кг</v>
          </cell>
          <cell r="C92">
            <v>1501.596</v>
          </cell>
          <cell r="D92">
            <v>4179.04</v>
          </cell>
          <cell r="E92">
            <v>1786.174</v>
          </cell>
          <cell r="F92">
            <v>383.12700000000001</v>
          </cell>
          <cell r="G92">
            <v>1</v>
          </cell>
          <cell r="H92">
            <v>60</v>
          </cell>
          <cell r="I92" t="str">
            <v>матрица</v>
          </cell>
          <cell r="K92">
            <v>3731.7339999999999</v>
          </cell>
          <cell r="L92">
            <v>-1945.56</v>
          </cell>
          <cell r="M92">
            <v>1786.174</v>
          </cell>
          <cell r="O92">
            <v>794.34634021391992</v>
          </cell>
          <cell r="Q92">
            <v>1619.6354969949839</v>
          </cell>
          <cell r="T92">
            <v>2011.834227209016</v>
          </cell>
          <cell r="W92">
            <v>357.23480000000001</v>
          </cell>
          <cell r="Y92">
            <v>0</v>
          </cell>
          <cell r="Z92">
            <v>0</v>
          </cell>
          <cell r="AC92">
            <v>13.46157503249381</v>
          </cell>
          <cell r="AD92">
            <v>13.46157503249381</v>
          </cell>
          <cell r="AE92">
            <v>505.72719999999998</v>
          </cell>
          <cell r="AF92">
            <v>276.84160000000003</v>
          </cell>
          <cell r="AG92">
            <v>190.1532</v>
          </cell>
          <cell r="AH92">
            <v>224.54220000000001</v>
          </cell>
          <cell r="AI92">
            <v>235.44120000000001</v>
          </cell>
          <cell r="AJ92">
            <v>237.84280000000001</v>
          </cell>
          <cell r="AK92">
            <v>261.7706</v>
          </cell>
          <cell r="AL92">
            <v>210.9222</v>
          </cell>
          <cell r="AN92">
            <v>0</v>
          </cell>
          <cell r="AO92">
            <v>0</v>
          </cell>
          <cell r="AP92" t="str">
            <v>SU003423</v>
          </cell>
          <cell r="AQ92" t="str">
            <v>SU003423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B93" t="str">
            <v>кг</v>
          </cell>
          <cell r="C93">
            <v>5155.0910000000003</v>
          </cell>
          <cell r="D93">
            <v>3786.1170000000002</v>
          </cell>
          <cell r="E93">
            <v>3167.6869999999999</v>
          </cell>
          <cell r="F93">
            <v>3242.4430000000002</v>
          </cell>
          <cell r="G93">
            <v>1</v>
          </cell>
          <cell r="H93">
            <v>60</v>
          </cell>
          <cell r="I93" t="str">
            <v>матрица</v>
          </cell>
          <cell r="K93">
            <v>4175.7219999999998</v>
          </cell>
          <cell r="L93">
            <v>-1008.0349999999999</v>
          </cell>
          <cell r="M93">
            <v>1522.6769999999999</v>
          </cell>
          <cell r="N93">
            <v>1645.01</v>
          </cell>
          <cell r="O93">
            <v>1039.1909161649589</v>
          </cell>
          <cell r="Q93">
            <v>398.05942898159287</v>
          </cell>
          <cell r="T93">
            <v>494.45050147040922</v>
          </cell>
          <cell r="V93">
            <v>300</v>
          </cell>
          <cell r="W93">
            <v>304.53539999999998</v>
          </cell>
          <cell r="Y93">
            <v>0</v>
          </cell>
          <cell r="Z93">
            <v>0</v>
          </cell>
          <cell r="AC93">
            <v>17.975394146680358</v>
          </cell>
          <cell r="AD93">
            <v>16.990286996575641</v>
          </cell>
          <cell r="AE93">
            <v>631.58000000000004</v>
          </cell>
          <cell r="AF93">
            <v>682.72479999999996</v>
          </cell>
          <cell r="AG93">
            <v>684.17160000000001</v>
          </cell>
          <cell r="AH93">
            <v>529.6386</v>
          </cell>
          <cell r="AI93">
            <v>447.9076</v>
          </cell>
          <cell r="AJ93">
            <v>485.68380000000008</v>
          </cell>
          <cell r="AK93">
            <v>514.53820000000007</v>
          </cell>
          <cell r="AL93">
            <v>401.62819999999999</v>
          </cell>
          <cell r="AM93" t="str">
            <v>нужно увеличить продажи</v>
          </cell>
          <cell r="AN93">
            <v>0</v>
          </cell>
          <cell r="AO93">
            <v>0</v>
          </cell>
          <cell r="AP93" t="str">
            <v>SU003420</v>
          </cell>
          <cell r="AQ93" t="str">
            <v>SU003420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B94" t="str">
            <v>кг</v>
          </cell>
          <cell r="C94">
            <v>5918.6170000000002</v>
          </cell>
          <cell r="D94">
            <v>6028.2030000000004</v>
          </cell>
          <cell r="E94">
            <v>2740.491</v>
          </cell>
          <cell r="F94">
            <v>5512.5709999999999</v>
          </cell>
          <cell r="G94">
            <v>1</v>
          </cell>
          <cell r="H94">
            <v>60</v>
          </cell>
          <cell r="I94" t="str">
            <v>матрица</v>
          </cell>
          <cell r="K94">
            <v>6008.5770000000002</v>
          </cell>
          <cell r="L94">
            <v>-3268.0860000000002</v>
          </cell>
          <cell r="M94">
            <v>1989.252</v>
          </cell>
          <cell r="N94">
            <v>751.23900000000003</v>
          </cell>
          <cell r="O94">
            <v>1317.9080096</v>
          </cell>
          <cell r="Q94">
            <v>0</v>
          </cell>
          <cell r="V94">
            <v>400</v>
          </cell>
          <cell r="W94">
            <v>397.85039999999998</v>
          </cell>
          <cell r="Y94">
            <v>0</v>
          </cell>
          <cell r="Z94">
            <v>0</v>
          </cell>
          <cell r="AC94">
            <v>18.173863868428938</v>
          </cell>
          <cell r="AD94">
            <v>17.168460832513929</v>
          </cell>
          <cell r="AE94">
            <v>698.25620000000004</v>
          </cell>
          <cell r="AF94">
            <v>848.86939999999993</v>
          </cell>
          <cell r="AG94">
            <v>803.57920000000001</v>
          </cell>
          <cell r="AH94">
            <v>649.25559999999996</v>
          </cell>
          <cell r="AI94">
            <v>717.88199999999995</v>
          </cell>
          <cell r="AJ94">
            <v>624.51419999999996</v>
          </cell>
          <cell r="AK94">
            <v>657.89699999999982</v>
          </cell>
          <cell r="AL94">
            <v>520.9251999999999</v>
          </cell>
          <cell r="AM94" t="str">
            <v>нужно увеличить продажи</v>
          </cell>
          <cell r="AN94">
            <v>0</v>
          </cell>
          <cell r="AO94">
            <v>0</v>
          </cell>
          <cell r="AP94" t="str">
            <v>SU003422</v>
          </cell>
          <cell r="AQ94" t="str">
            <v>SU003422</v>
          </cell>
        </row>
        <row r="95">
          <cell r="A95" t="str">
            <v xml:space="preserve"> 460  Колбаса Стародворская Традиционная ВЕС ТМ Стародворье в оболочке полиамид. ПОКОМ</v>
          </cell>
          <cell r="B95" t="str">
            <v>кг</v>
          </cell>
          <cell r="C95">
            <v>76.864000000000004</v>
          </cell>
          <cell r="D95">
            <v>2.67</v>
          </cell>
          <cell r="E95">
            <v>26.853999999999999</v>
          </cell>
          <cell r="F95">
            <v>48.497999999999998</v>
          </cell>
          <cell r="G95">
            <v>1</v>
          </cell>
          <cell r="H95">
            <v>55</v>
          </cell>
          <cell r="I95" t="str">
            <v>матрица</v>
          </cell>
          <cell r="K95">
            <v>27.2</v>
          </cell>
          <cell r="L95">
            <v>-0.34600000000000009</v>
          </cell>
          <cell r="M95">
            <v>26.853999999999999</v>
          </cell>
          <cell r="Q95">
            <v>0</v>
          </cell>
          <cell r="W95">
            <v>5.3708</v>
          </cell>
          <cell r="X95">
            <v>15.951600000000006</v>
          </cell>
          <cell r="Y95">
            <v>15.951600000000006</v>
          </cell>
          <cell r="Z95">
            <v>15.951600000000006</v>
          </cell>
          <cell r="AC95">
            <v>12</v>
          </cell>
          <cell r="AD95">
            <v>9.0299396737916133</v>
          </cell>
          <cell r="AE95">
            <v>5.3708</v>
          </cell>
          <cell r="AF95">
            <v>3.2181999999999999</v>
          </cell>
          <cell r="AG95">
            <v>2.9496000000000002</v>
          </cell>
          <cell r="AH95">
            <v>2.4131999999999998</v>
          </cell>
          <cell r="AI95">
            <v>4.8087999999999997</v>
          </cell>
          <cell r="AJ95">
            <v>2.9365999999999999</v>
          </cell>
          <cell r="AK95">
            <v>2.9626000000000001</v>
          </cell>
          <cell r="AL95">
            <v>9.1290000000000013</v>
          </cell>
          <cell r="AN95">
            <v>16</v>
          </cell>
          <cell r="AO95">
            <v>0</v>
          </cell>
          <cell r="AP95" t="str">
            <v>SU003392</v>
          </cell>
        </row>
        <row r="96">
          <cell r="A96" t="str">
            <v xml:space="preserve"> 463  Колбаса Молочная Традиционнаяв оболочке полиамид.ТМ Стародворье. ВЕС ПОКОМ</v>
          </cell>
          <cell r="B96" t="str">
            <v>кг</v>
          </cell>
          <cell r="C96">
            <v>-1.36</v>
          </cell>
          <cell r="F96">
            <v>-1.36</v>
          </cell>
          <cell r="G96">
            <v>0</v>
          </cell>
          <cell r="I96" t="str">
            <v>не в матрице</v>
          </cell>
          <cell r="L96">
            <v>0</v>
          </cell>
          <cell r="M96">
            <v>0</v>
          </cell>
          <cell r="Q96">
            <v>0</v>
          </cell>
          <cell r="W96">
            <v>0</v>
          </cell>
          <cell r="Y96">
            <v>0</v>
          </cell>
          <cell r="Z96">
            <v>0</v>
          </cell>
          <cell r="AC96" t="e">
            <v>#DIV/0!</v>
          </cell>
          <cell r="AD96" t="e">
            <v>#DIV/0!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0.27200000000000002</v>
          </cell>
          <cell r="AN96">
            <v>0</v>
          </cell>
          <cell r="AO96">
            <v>0</v>
          </cell>
          <cell r="AP96" t="str">
            <v>SU003394</v>
          </cell>
        </row>
        <row r="97">
          <cell r="A97" t="str">
            <v xml:space="preserve"> 485  Колбаса Молочная по-стародворски ТМ Стародворье в оболочке полиамид. ВЕС ПОКОМ </v>
          </cell>
          <cell r="B97" t="str">
            <v>кг</v>
          </cell>
          <cell r="C97">
            <v>-2.5960000000000001</v>
          </cell>
          <cell r="F97">
            <v>-2.5960000000000001</v>
          </cell>
          <cell r="G97">
            <v>0</v>
          </cell>
          <cell r="I97" t="str">
            <v>не в матрице</v>
          </cell>
          <cell r="L97">
            <v>0</v>
          </cell>
          <cell r="M97">
            <v>0</v>
          </cell>
          <cell r="Q97">
            <v>0</v>
          </cell>
          <cell r="W97">
            <v>0</v>
          </cell>
          <cell r="Y97">
            <v>0</v>
          </cell>
          <cell r="Z97">
            <v>0</v>
          </cell>
          <cell r="AC97" t="e">
            <v>#DIV/0!</v>
          </cell>
          <cell r="AD97" t="e">
            <v>#DIV/0!</v>
          </cell>
          <cell r="AE97">
            <v>0</v>
          </cell>
          <cell r="AF97">
            <v>0.5484</v>
          </cell>
          <cell r="AG97">
            <v>3.7995999999999999</v>
          </cell>
          <cell r="AH97">
            <v>5.4039999999999999</v>
          </cell>
          <cell r="AI97">
            <v>5.3784000000000001</v>
          </cell>
          <cell r="AJ97">
            <v>6.8639999999999999</v>
          </cell>
          <cell r="AK97">
            <v>3.9003999999999999</v>
          </cell>
          <cell r="AL97">
            <v>2.42</v>
          </cell>
          <cell r="AN97">
            <v>0</v>
          </cell>
          <cell r="AO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-3</v>
          </cell>
          <cell r="D98">
            <v>2</v>
          </cell>
          <cell r="F98">
            <v>-3</v>
          </cell>
          <cell r="G98">
            <v>0.3</v>
          </cell>
          <cell r="H98">
            <v>40</v>
          </cell>
          <cell r="I98" t="str">
            <v>НЕДОГРУЗ / матрица</v>
          </cell>
          <cell r="K98">
            <v>182</v>
          </cell>
          <cell r="L98">
            <v>-182</v>
          </cell>
          <cell r="M98">
            <v>0</v>
          </cell>
          <cell r="Q98">
            <v>50</v>
          </cell>
          <cell r="R98">
            <v>-54</v>
          </cell>
          <cell r="W98">
            <v>0</v>
          </cell>
          <cell r="X98">
            <v>50</v>
          </cell>
          <cell r="Y98">
            <v>50</v>
          </cell>
          <cell r="Z98">
            <v>50</v>
          </cell>
          <cell r="AA98">
            <v>25</v>
          </cell>
          <cell r="AC98" t="e">
            <v>#DIV/0!</v>
          </cell>
          <cell r="AD98" t="e">
            <v>#DIV/0!</v>
          </cell>
          <cell r="AE98">
            <v>0</v>
          </cell>
          <cell r="AF98">
            <v>8.4</v>
          </cell>
          <cell r="AG98">
            <v>9.6</v>
          </cell>
          <cell r="AH98">
            <v>9.1999999999999993</v>
          </cell>
          <cell r="AI98">
            <v>15.2</v>
          </cell>
          <cell r="AJ98">
            <v>23.8</v>
          </cell>
          <cell r="AK98">
            <v>25.4</v>
          </cell>
          <cell r="AL98">
            <v>17.2</v>
          </cell>
          <cell r="AN98">
            <v>15</v>
          </cell>
          <cell r="AO98">
            <v>8</v>
          </cell>
          <cell r="AP98" t="str">
            <v>SU002948</v>
          </cell>
        </row>
        <row r="99">
          <cell r="A99" t="str">
            <v xml:space="preserve"> 517  Сосиски С сыром ТМ Ядрена копоть 0,3кг  ПОКОМ</v>
          </cell>
          <cell r="B99" t="str">
            <v>шт</v>
          </cell>
          <cell r="C99">
            <v>56</v>
          </cell>
          <cell r="D99">
            <v>156</v>
          </cell>
          <cell r="E99">
            <v>39</v>
          </cell>
          <cell r="F99">
            <v>169</v>
          </cell>
          <cell r="G99">
            <v>0.3</v>
          </cell>
          <cell r="H99">
            <v>40</v>
          </cell>
          <cell r="I99" t="str">
            <v>матрица</v>
          </cell>
          <cell r="K99">
            <v>41</v>
          </cell>
          <cell r="L99">
            <v>-2</v>
          </cell>
          <cell r="M99">
            <v>39</v>
          </cell>
          <cell r="Q99">
            <v>0</v>
          </cell>
          <cell r="W99">
            <v>7.8</v>
          </cell>
          <cell r="Y99">
            <v>0</v>
          </cell>
          <cell r="Z99">
            <v>0</v>
          </cell>
          <cell r="AC99">
            <v>21.666666666666668</v>
          </cell>
          <cell r="AD99">
            <v>21.666666666666668</v>
          </cell>
          <cell r="AE99">
            <v>7.8</v>
          </cell>
          <cell r="AF99">
            <v>17.2</v>
          </cell>
          <cell r="AG99">
            <v>16.2</v>
          </cell>
          <cell r="AH99">
            <v>4</v>
          </cell>
          <cell r="AI99">
            <v>9.6</v>
          </cell>
          <cell r="AJ99">
            <v>11</v>
          </cell>
          <cell r="AK99">
            <v>12.4</v>
          </cell>
          <cell r="AL99">
            <v>6.8</v>
          </cell>
          <cell r="AM99" t="str">
            <v>нужно увеличить продажи</v>
          </cell>
          <cell r="AN99">
            <v>0</v>
          </cell>
          <cell r="AO99">
            <v>0</v>
          </cell>
          <cell r="AP99" t="str">
            <v>SU003665</v>
          </cell>
        </row>
        <row r="100">
          <cell r="A100" t="str">
            <v xml:space="preserve"> 523  Колбаса Сальчичон нарезка 0,07кг ТМ Стародворье  ПОКОМ </v>
          </cell>
          <cell r="B100" t="str">
            <v>шт</v>
          </cell>
          <cell r="C100">
            <v>505</v>
          </cell>
          <cell r="D100">
            <v>23</v>
          </cell>
          <cell r="E100">
            <v>127</v>
          </cell>
          <cell r="F100">
            <v>327</v>
          </cell>
          <cell r="G100">
            <v>7.0000000000000007E-2</v>
          </cell>
          <cell r="H100">
            <v>90</v>
          </cell>
          <cell r="I100" t="str">
            <v>ВНИМАНИЕ / матрица</v>
          </cell>
          <cell r="K100">
            <v>189</v>
          </cell>
          <cell r="L100">
            <v>-62</v>
          </cell>
          <cell r="M100">
            <v>127</v>
          </cell>
          <cell r="Q100">
            <v>0</v>
          </cell>
          <cell r="W100">
            <v>25.4</v>
          </cell>
          <cell r="Y100">
            <v>400</v>
          </cell>
          <cell r="Z100">
            <v>400</v>
          </cell>
          <cell r="AB100" t="str">
            <v xml:space="preserve">400 сеть молоко </v>
          </cell>
          <cell r="AC100">
            <v>28.622047244094489</v>
          </cell>
          <cell r="AD100">
            <v>12.874015748031496</v>
          </cell>
          <cell r="AE100">
            <v>25.4</v>
          </cell>
          <cell r="AF100">
            <v>27.8</v>
          </cell>
          <cell r="AG100">
            <v>21.6</v>
          </cell>
          <cell r="AH100">
            <v>29</v>
          </cell>
          <cell r="AI100">
            <v>32.4</v>
          </cell>
          <cell r="AJ100">
            <v>33.4</v>
          </cell>
          <cell r="AK100">
            <v>34.799999999999997</v>
          </cell>
          <cell r="AL100">
            <v>22.2</v>
          </cell>
          <cell r="AM100" t="str">
            <v>плюсом 400шт сеть Молоко (21,08,26) / плюсом 300шт сеть Молоко (05,08,26)</v>
          </cell>
          <cell r="AN100">
            <v>28</v>
          </cell>
          <cell r="AO100">
            <v>0</v>
          </cell>
          <cell r="AP100" t="str">
            <v>SU003893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B101" t="str">
            <v>шт</v>
          </cell>
          <cell r="C101">
            <v>428</v>
          </cell>
          <cell r="D101">
            <v>22</v>
          </cell>
          <cell r="E101">
            <v>138</v>
          </cell>
          <cell r="F101">
            <v>248</v>
          </cell>
          <cell r="G101">
            <v>7.0000000000000007E-2</v>
          </cell>
          <cell r="H101">
            <v>90</v>
          </cell>
          <cell r="I101" t="str">
            <v>ВНИМАНИЕ / матрица</v>
          </cell>
          <cell r="K101">
            <v>192</v>
          </cell>
          <cell r="L101">
            <v>-54</v>
          </cell>
          <cell r="M101">
            <v>138</v>
          </cell>
          <cell r="Q101">
            <v>0</v>
          </cell>
          <cell r="W101">
            <v>27.6</v>
          </cell>
          <cell r="X101">
            <v>83.200000000000045</v>
          </cell>
          <cell r="Y101">
            <v>583.20000000000005</v>
          </cell>
          <cell r="Z101">
            <v>583.20000000000005</v>
          </cell>
          <cell r="AB101" t="str">
            <v xml:space="preserve">500 сеть молоко </v>
          </cell>
          <cell r="AC101">
            <v>30.115942028985508</v>
          </cell>
          <cell r="AD101">
            <v>8.9855072463768106</v>
          </cell>
          <cell r="AE101">
            <v>27.6</v>
          </cell>
          <cell r="AF101">
            <v>32.200000000000003</v>
          </cell>
          <cell r="AG101">
            <v>28.8</v>
          </cell>
          <cell r="AH101">
            <v>31.6</v>
          </cell>
          <cell r="AI101">
            <v>28.2</v>
          </cell>
          <cell r="AJ101">
            <v>29.6</v>
          </cell>
          <cell r="AK101">
            <v>31.2</v>
          </cell>
          <cell r="AL101">
            <v>22.8</v>
          </cell>
          <cell r="AM101" t="str">
            <v>плюсом 500шт сеть Молоко (21,08,26) / плюсом 300шт сеть Молоко (05,08,26)</v>
          </cell>
          <cell r="AN101">
            <v>41</v>
          </cell>
          <cell r="AO101">
            <v>0</v>
          </cell>
          <cell r="AP101" t="str">
            <v>SU003894</v>
          </cell>
        </row>
        <row r="102">
          <cell r="A102" t="str">
            <v xml:space="preserve"> 525  Колбаса Фуэт нарезка 0,07кг ТМ Стародворье  ПОКОМ</v>
          </cell>
          <cell r="B102" t="str">
            <v>шт</v>
          </cell>
          <cell r="C102">
            <v>438</v>
          </cell>
          <cell r="D102">
            <v>10</v>
          </cell>
          <cell r="E102">
            <v>93</v>
          </cell>
          <cell r="F102">
            <v>304</v>
          </cell>
          <cell r="G102">
            <v>7.0000000000000007E-2</v>
          </cell>
          <cell r="H102">
            <v>90</v>
          </cell>
          <cell r="I102" t="str">
            <v>ВНИМАНИЕ / матрица</v>
          </cell>
          <cell r="K102">
            <v>137</v>
          </cell>
          <cell r="L102">
            <v>-44</v>
          </cell>
          <cell r="M102">
            <v>93</v>
          </cell>
          <cell r="Q102">
            <v>0</v>
          </cell>
          <cell r="W102">
            <v>18.600000000000001</v>
          </cell>
          <cell r="Y102">
            <v>400</v>
          </cell>
          <cell r="Z102">
            <v>400</v>
          </cell>
          <cell r="AB102" t="str">
            <v xml:space="preserve">400 сеть молоко </v>
          </cell>
          <cell r="AC102">
            <v>37.849462365591393</v>
          </cell>
          <cell r="AD102">
            <v>16.344086021505376</v>
          </cell>
          <cell r="AE102">
            <v>18.600000000000001</v>
          </cell>
          <cell r="AF102">
            <v>23.4</v>
          </cell>
          <cell r="AG102">
            <v>18.399999999999999</v>
          </cell>
          <cell r="AH102">
            <v>22.2</v>
          </cell>
          <cell r="AI102">
            <v>23.2</v>
          </cell>
          <cell r="AJ102">
            <v>24.6</v>
          </cell>
          <cell r="AK102">
            <v>27.4</v>
          </cell>
          <cell r="AL102">
            <v>18.8</v>
          </cell>
          <cell r="AM102" t="str">
            <v>плюсом 400шт сеть Молоко (21,08,26) / плюсом 300шт сеть Молоко (05,08,26)</v>
          </cell>
          <cell r="AN102">
            <v>28</v>
          </cell>
          <cell r="AO102">
            <v>0</v>
          </cell>
          <cell r="AP102" t="str">
            <v>SU003896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B103" t="str">
            <v>шт</v>
          </cell>
          <cell r="C103">
            <v>4</v>
          </cell>
          <cell r="E103">
            <v>-3</v>
          </cell>
          <cell r="F103">
            <v>-11</v>
          </cell>
          <cell r="G103">
            <v>0</v>
          </cell>
          <cell r="H103">
            <v>90</v>
          </cell>
          <cell r="I103" t="str">
            <v>не в матрице</v>
          </cell>
          <cell r="K103">
            <v>107</v>
          </cell>
          <cell r="L103">
            <v>-110</v>
          </cell>
          <cell r="M103">
            <v>-3</v>
          </cell>
          <cell r="Q103">
            <v>0</v>
          </cell>
          <cell r="W103">
            <v>-0.6</v>
          </cell>
          <cell r="Y103">
            <v>0</v>
          </cell>
          <cell r="Z103">
            <v>0</v>
          </cell>
          <cell r="AC103">
            <v>18.333333333333336</v>
          </cell>
          <cell r="AD103">
            <v>18.333333333333336</v>
          </cell>
          <cell r="AE103">
            <v>-0.6</v>
          </cell>
          <cell r="AF103">
            <v>-0.2</v>
          </cell>
          <cell r="AG103">
            <v>-0.4</v>
          </cell>
          <cell r="AH103">
            <v>9.1999999999999993</v>
          </cell>
          <cell r="AI103">
            <v>15.4</v>
          </cell>
          <cell r="AJ103">
            <v>13.6</v>
          </cell>
          <cell r="AK103">
            <v>20.2</v>
          </cell>
          <cell r="AL103">
            <v>19</v>
          </cell>
          <cell r="AN103">
            <v>0</v>
          </cell>
          <cell r="AO103">
            <v>0</v>
          </cell>
          <cell r="AP103" t="str">
            <v>SU003925</v>
          </cell>
        </row>
        <row r="104">
          <cell r="A104" t="str">
            <v xml:space="preserve"> 544  Сосиски Мясные для гриля ТС Ядрена копоть 0,3 кг  ПОКОМ</v>
          </cell>
          <cell r="B104" t="str">
            <v>шт</v>
          </cell>
          <cell r="C104">
            <v>31</v>
          </cell>
          <cell r="D104">
            <v>3</v>
          </cell>
          <cell r="E104">
            <v>19</v>
          </cell>
          <cell r="F104">
            <v>14</v>
          </cell>
          <cell r="G104">
            <v>0.3</v>
          </cell>
          <cell r="H104">
            <v>40</v>
          </cell>
          <cell r="I104" t="str">
            <v>матрица</v>
          </cell>
          <cell r="K104">
            <v>44</v>
          </cell>
          <cell r="L104">
            <v>-25</v>
          </cell>
          <cell r="M104">
            <v>19</v>
          </cell>
          <cell r="Q104">
            <v>20</v>
          </cell>
          <cell r="W104">
            <v>3.8</v>
          </cell>
          <cell r="X104">
            <v>11.599999999999994</v>
          </cell>
          <cell r="Y104">
            <v>11.599999999999994</v>
          </cell>
          <cell r="Z104">
            <v>11.599999999999994</v>
          </cell>
          <cell r="AC104">
            <v>11.999999999999998</v>
          </cell>
          <cell r="AD104">
            <v>8.9473684210526319</v>
          </cell>
          <cell r="AE104">
            <v>3.8</v>
          </cell>
          <cell r="AF104">
            <v>0.6</v>
          </cell>
          <cell r="AG104">
            <v>-0.4</v>
          </cell>
          <cell r="AH104">
            <v>0.6</v>
          </cell>
          <cell r="AI104">
            <v>4.4000000000000004</v>
          </cell>
          <cell r="AJ104">
            <v>4.8</v>
          </cell>
          <cell r="AK104">
            <v>1.6</v>
          </cell>
          <cell r="AL104">
            <v>2.8</v>
          </cell>
          <cell r="AN104">
            <v>3</v>
          </cell>
          <cell r="AO104">
            <v>0</v>
          </cell>
          <cell r="AP104" t="str">
            <v>SU004016</v>
          </cell>
        </row>
        <row r="105">
          <cell r="A105" t="str">
            <v xml:space="preserve"> 547  Колбаса Мясная Классическая ТМ Вязанка в оболочке полиамид. ВЕС  ПОКОМ</v>
          </cell>
          <cell r="B105" t="str">
            <v>кг</v>
          </cell>
          <cell r="C105">
            <v>30.44</v>
          </cell>
          <cell r="D105">
            <v>1.59</v>
          </cell>
          <cell r="E105">
            <v>12.779</v>
          </cell>
          <cell r="F105">
            <v>18.382000000000001</v>
          </cell>
          <cell r="G105">
            <v>1</v>
          </cell>
          <cell r="H105">
            <v>55</v>
          </cell>
          <cell r="I105" t="str">
            <v>матрица</v>
          </cell>
          <cell r="K105">
            <v>9.1999999999999993</v>
          </cell>
          <cell r="L105">
            <v>3.5790000000000006</v>
          </cell>
          <cell r="M105">
            <v>12.779</v>
          </cell>
          <cell r="Q105">
            <v>0</v>
          </cell>
          <cell r="W105">
            <v>2.5558000000000001</v>
          </cell>
          <cell r="X105">
            <v>12.287600000000001</v>
          </cell>
          <cell r="Y105">
            <v>12.287600000000001</v>
          </cell>
          <cell r="Z105">
            <v>12.287600000000001</v>
          </cell>
          <cell r="AC105">
            <v>12</v>
          </cell>
          <cell r="AD105">
            <v>7.1922685656154632</v>
          </cell>
          <cell r="AE105">
            <v>2.5558000000000001</v>
          </cell>
          <cell r="AF105">
            <v>1.869</v>
          </cell>
          <cell r="AG105">
            <v>0.8869999999999999</v>
          </cell>
          <cell r="AH105">
            <v>2.1185999999999998</v>
          </cell>
          <cell r="AI105">
            <v>2.1888000000000001</v>
          </cell>
          <cell r="AJ105">
            <v>1.9019999999999999</v>
          </cell>
          <cell r="AK105">
            <v>2.5404</v>
          </cell>
          <cell r="AL105">
            <v>2.8206000000000002</v>
          </cell>
          <cell r="AN105">
            <v>12</v>
          </cell>
          <cell r="AO105">
            <v>0</v>
          </cell>
          <cell r="AP105" t="str">
            <v>SU004157</v>
          </cell>
        </row>
        <row r="106">
          <cell r="A106" t="str">
            <v xml:space="preserve"> 551  Колбаса Сливушка ТМ Вязанка в модифицированной газовой среде 0,11 кг нарезка  ПОКОМ</v>
          </cell>
          <cell r="B106" t="str">
            <v>шт</v>
          </cell>
          <cell r="C106">
            <v>245</v>
          </cell>
          <cell r="D106">
            <v>21</v>
          </cell>
          <cell r="E106">
            <v>93</v>
          </cell>
          <cell r="F106">
            <v>123</v>
          </cell>
          <cell r="G106">
            <v>0.11</v>
          </cell>
          <cell r="H106">
            <v>30</v>
          </cell>
          <cell r="I106" t="str">
            <v>ВНИМАНИЕ / матрица</v>
          </cell>
          <cell r="K106">
            <v>142</v>
          </cell>
          <cell r="L106">
            <v>-49</v>
          </cell>
          <cell r="M106">
            <v>93</v>
          </cell>
          <cell r="Q106">
            <v>22.600000000000019</v>
          </cell>
          <cell r="W106">
            <v>18.600000000000001</v>
          </cell>
          <cell r="X106">
            <v>77.599999999999994</v>
          </cell>
          <cell r="Y106">
            <v>577.6</v>
          </cell>
          <cell r="Z106">
            <v>577.6</v>
          </cell>
          <cell r="AB106" t="str">
            <v xml:space="preserve">500 сеть молоко </v>
          </cell>
          <cell r="AC106">
            <v>38.881720430107528</v>
          </cell>
          <cell r="AD106">
            <v>7.8279569892473129</v>
          </cell>
          <cell r="AE106">
            <v>20.6</v>
          </cell>
          <cell r="AF106">
            <v>12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 t="str">
            <v>плюсом 500шт сеть Молоко (21,08,26) / плюсом 300шт сеть Молоко (05,08,26)</v>
          </cell>
          <cell r="AN106">
            <v>64</v>
          </cell>
          <cell r="AO106">
            <v>0</v>
          </cell>
          <cell r="AP106" t="str">
            <v>SU003745</v>
          </cell>
        </row>
        <row r="107">
          <cell r="A107" t="str">
            <v xml:space="preserve"> 552  Ветчина Сливушка с индейкой ТМ Вязанка в модифицированной газовой среде 0,1 кг нарезка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M107">
            <v>0</v>
          </cell>
          <cell r="Q107">
            <v>0</v>
          </cell>
          <cell r="W107">
            <v>0</v>
          </cell>
          <cell r="Y107">
            <v>0</v>
          </cell>
          <cell r="Z107">
            <v>0</v>
          </cell>
          <cell r="AC107" t="e">
            <v>#DIV/0!</v>
          </cell>
          <cell r="AD107" t="e">
            <v>#DIV/0!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 t="str">
            <v>нет потребности</v>
          </cell>
          <cell r="AN107">
            <v>0</v>
          </cell>
          <cell r="AO107">
            <v>0</v>
          </cell>
          <cell r="AP107" t="str">
            <v>SU002356</v>
          </cell>
        </row>
        <row r="108">
          <cell r="A108" t="str">
            <v xml:space="preserve"> 553  Ассорти колбас Мясорубская коллекция: Сервелат Делюкс, С балыком 0,08 кг нарезка  ПОКОМ</v>
          </cell>
          <cell r="B108" t="str">
            <v>шт</v>
          </cell>
          <cell r="C108">
            <v>575</v>
          </cell>
          <cell r="D108">
            <v>270</v>
          </cell>
          <cell r="E108">
            <v>205</v>
          </cell>
          <cell r="F108">
            <v>576</v>
          </cell>
          <cell r="G108">
            <v>0.08</v>
          </cell>
          <cell r="H108">
            <v>45</v>
          </cell>
          <cell r="I108" t="str">
            <v>ВНИМАНИЕ / матрица</v>
          </cell>
          <cell r="K108">
            <v>257</v>
          </cell>
          <cell r="L108">
            <v>-52</v>
          </cell>
          <cell r="M108">
            <v>205</v>
          </cell>
          <cell r="Q108">
            <v>0</v>
          </cell>
          <cell r="W108">
            <v>41</v>
          </cell>
          <cell r="Y108">
            <v>300</v>
          </cell>
          <cell r="Z108">
            <v>300</v>
          </cell>
          <cell r="AB108" t="str">
            <v xml:space="preserve">300 сеть молоко </v>
          </cell>
          <cell r="AC108">
            <v>21.365853658536587</v>
          </cell>
          <cell r="AD108">
            <v>14.048780487804878</v>
          </cell>
          <cell r="AE108">
            <v>41</v>
          </cell>
          <cell r="AF108">
            <v>42.2</v>
          </cell>
          <cell r="AG108">
            <v>49.2</v>
          </cell>
          <cell r="AH108">
            <v>54.2</v>
          </cell>
          <cell r="AI108">
            <v>46.4</v>
          </cell>
          <cell r="AJ108">
            <v>59</v>
          </cell>
          <cell r="AK108">
            <v>58.6</v>
          </cell>
          <cell r="AL108">
            <v>35.6</v>
          </cell>
          <cell r="AM108" t="str">
            <v>плюсом 300шт сеть Молоко (21,08,26) / плюсом 300шт сеть Молоко (05,08,26)</v>
          </cell>
          <cell r="AN108">
            <v>24</v>
          </cell>
          <cell r="AO108">
            <v>0</v>
          </cell>
          <cell r="AP108" t="str">
            <v>SU004026</v>
          </cell>
        </row>
        <row r="109">
          <cell r="A109" t="str">
            <v xml:space="preserve"> 554  Колбаса Сервелат Мясорубский ТМ Стародворье в упаковке скин 0,08 кг нарезка  ПОКОМ</v>
          </cell>
          <cell r="B109" t="str">
            <v>шт</v>
          </cell>
          <cell r="C109">
            <v>456</v>
          </cell>
          <cell r="D109">
            <v>57</v>
          </cell>
          <cell r="E109">
            <v>208</v>
          </cell>
          <cell r="F109">
            <v>199</v>
          </cell>
          <cell r="G109">
            <v>0.08</v>
          </cell>
          <cell r="H109">
            <v>45</v>
          </cell>
          <cell r="I109" t="str">
            <v>ВНИМАНИЕ / матрица</v>
          </cell>
          <cell r="K109">
            <v>316</v>
          </cell>
          <cell r="L109">
            <v>-108</v>
          </cell>
          <cell r="M109">
            <v>208</v>
          </cell>
          <cell r="Q109">
            <v>97.600000000000023</v>
          </cell>
          <cell r="W109">
            <v>41.6</v>
          </cell>
          <cell r="X109">
            <v>202.60000000000002</v>
          </cell>
          <cell r="Y109">
            <v>802.6</v>
          </cell>
          <cell r="Z109">
            <v>802.6</v>
          </cell>
          <cell r="AB109" t="str">
            <v xml:space="preserve">600 сеть молоко </v>
          </cell>
          <cell r="AC109">
            <v>26.423076923076923</v>
          </cell>
          <cell r="AD109">
            <v>7.1298076923076925</v>
          </cell>
          <cell r="AE109">
            <v>41.6</v>
          </cell>
          <cell r="AF109">
            <v>22.6</v>
          </cell>
          <cell r="AG109">
            <v>9.6</v>
          </cell>
          <cell r="AH109">
            <v>4.4000000000000004</v>
          </cell>
          <cell r="AI109">
            <v>25.8</v>
          </cell>
          <cell r="AJ109">
            <v>24.4</v>
          </cell>
          <cell r="AK109">
            <v>2.2000000000000002</v>
          </cell>
          <cell r="AL109">
            <v>12.4</v>
          </cell>
          <cell r="AM109" t="str">
            <v>плюсом 600шт сеть Молоко (21,08,26) / плюсом 300шт сеть Молоко (05,08,26)</v>
          </cell>
          <cell r="AN109">
            <v>64</v>
          </cell>
          <cell r="AO109">
            <v>0</v>
          </cell>
          <cell r="AP109" t="str">
            <v>SU003178</v>
          </cell>
        </row>
        <row r="110">
          <cell r="A110" t="str">
            <v xml:space="preserve"> 555  Колбаса Молокуша ТМ Вязанка в модифицированной газовой среде 0,17 кг нарезка  ПОКОМ</v>
          </cell>
          <cell r="B110" t="str">
            <v>шт</v>
          </cell>
          <cell r="C110">
            <v>135</v>
          </cell>
          <cell r="D110">
            <v>124</v>
          </cell>
          <cell r="E110">
            <v>81</v>
          </cell>
          <cell r="F110">
            <v>165</v>
          </cell>
          <cell r="G110">
            <v>0.17</v>
          </cell>
          <cell r="H110">
            <v>30</v>
          </cell>
          <cell r="I110" t="str">
            <v>ВНИМАНИЕ / матрица</v>
          </cell>
          <cell r="K110">
            <v>93</v>
          </cell>
          <cell r="L110">
            <v>-12</v>
          </cell>
          <cell r="M110">
            <v>81</v>
          </cell>
          <cell r="Q110">
            <v>0</v>
          </cell>
          <cell r="W110">
            <v>16.2</v>
          </cell>
          <cell r="X110">
            <v>29.399999999999977</v>
          </cell>
          <cell r="Y110">
            <v>529.4</v>
          </cell>
          <cell r="Z110">
            <v>529.4</v>
          </cell>
          <cell r="AB110" t="str">
            <v xml:space="preserve">500 сеть молоко </v>
          </cell>
          <cell r="AC110">
            <v>42.864197530864196</v>
          </cell>
          <cell r="AD110">
            <v>10.185185185185185</v>
          </cell>
          <cell r="AE110">
            <v>16.2</v>
          </cell>
          <cell r="AF110">
            <v>20.6</v>
          </cell>
          <cell r="AG110">
            <v>16</v>
          </cell>
          <cell r="AH110">
            <v>14.6</v>
          </cell>
          <cell r="AI110">
            <v>10.8</v>
          </cell>
          <cell r="AJ110">
            <v>15.6</v>
          </cell>
          <cell r="AK110">
            <v>14</v>
          </cell>
          <cell r="AL110">
            <v>2.4</v>
          </cell>
          <cell r="AM110" t="str">
            <v>плюсом 500шт сеть Молоко (21,08,26) / плюсом 300шт сеть Молоко (05,08,26)</v>
          </cell>
          <cell r="AN110">
            <v>90</v>
          </cell>
          <cell r="AO110">
            <v>0</v>
          </cell>
          <cell r="AP110" t="str">
            <v>SU002354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B111" t="str">
            <v>кг</v>
          </cell>
          <cell r="C111">
            <v>168.83500000000001</v>
          </cell>
          <cell r="D111">
            <v>62.28</v>
          </cell>
          <cell r="E111">
            <v>213.87100000000001</v>
          </cell>
          <cell r="F111">
            <v>-14.114000000000001</v>
          </cell>
          <cell r="G111">
            <v>1</v>
          </cell>
          <cell r="H111">
            <v>40</v>
          </cell>
          <cell r="I111" t="str">
            <v>НЕДОГРУЗ / матрица</v>
          </cell>
          <cell r="K111">
            <v>263.73399999999998</v>
          </cell>
          <cell r="L111">
            <v>-49.862999999999971</v>
          </cell>
          <cell r="M111">
            <v>213.87100000000001</v>
          </cell>
          <cell r="O111">
            <v>110.25716</v>
          </cell>
          <cell r="Q111">
            <v>236.92699999999999</v>
          </cell>
          <cell r="W111">
            <v>42.7742</v>
          </cell>
          <cell r="X111">
            <v>180.22023999999996</v>
          </cell>
          <cell r="Y111">
            <v>180.22023999999996</v>
          </cell>
          <cell r="Z111">
            <v>180.22023999999996</v>
          </cell>
          <cell r="AA111">
            <v>90.110119999999981</v>
          </cell>
          <cell r="AC111">
            <v>14.106646529917565</v>
          </cell>
          <cell r="AD111">
            <v>7.7867069401648656</v>
          </cell>
          <cell r="AE111">
            <v>42.7742</v>
          </cell>
          <cell r="AF111">
            <v>44.640799999999999</v>
          </cell>
          <cell r="AG111">
            <v>37.654600000000002</v>
          </cell>
          <cell r="AH111">
            <v>36.516399999999997</v>
          </cell>
          <cell r="AI111">
            <v>39.003799999999998</v>
          </cell>
          <cell r="AJ111">
            <v>47.948999999999998</v>
          </cell>
          <cell r="AK111">
            <v>50.321599999999997</v>
          </cell>
          <cell r="AL111">
            <v>34.956800000000001</v>
          </cell>
          <cell r="AN111">
            <v>180</v>
          </cell>
          <cell r="AO111">
            <v>90</v>
          </cell>
          <cell r="AP111" t="str">
            <v>SU004044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B112" t="str">
            <v>кг</v>
          </cell>
          <cell r="C112">
            <v>149.86500000000001</v>
          </cell>
          <cell r="D112">
            <v>2.8340000000000001</v>
          </cell>
          <cell r="E112">
            <v>85.805000000000007</v>
          </cell>
          <cell r="F112">
            <v>50.616999999999997</v>
          </cell>
          <cell r="G112">
            <v>1</v>
          </cell>
          <cell r="H112">
            <v>40</v>
          </cell>
          <cell r="I112" t="str">
            <v>НЕДОГРУЗ / матрица</v>
          </cell>
          <cell r="K112">
            <v>85.915000000000006</v>
          </cell>
          <cell r="L112">
            <v>-0.10999999999999943</v>
          </cell>
          <cell r="M112">
            <v>85.805000000000007</v>
          </cell>
          <cell r="Q112">
            <v>104.5</v>
          </cell>
          <cell r="W112">
            <v>17.161000000000001</v>
          </cell>
          <cell r="X112">
            <v>50.815000000000019</v>
          </cell>
          <cell r="Y112">
            <v>50.815000000000019</v>
          </cell>
          <cell r="Z112">
            <v>50.815000000000019</v>
          </cell>
          <cell r="AA112">
            <v>25.40750000000001</v>
          </cell>
          <cell r="AC112">
            <v>13.480537264728163</v>
          </cell>
          <cell r="AD112">
            <v>9.0389254705436741</v>
          </cell>
          <cell r="AE112">
            <v>17.161000000000001</v>
          </cell>
          <cell r="AF112">
            <v>14.714</v>
          </cell>
          <cell r="AG112">
            <v>10.642200000000001</v>
          </cell>
          <cell r="AH112">
            <v>4.7026000000000003</v>
          </cell>
          <cell r="AI112">
            <v>14.215400000000001</v>
          </cell>
          <cell r="AJ112">
            <v>21.378</v>
          </cell>
          <cell r="AK112">
            <v>13.5524</v>
          </cell>
          <cell r="AL112">
            <v>5.1452</v>
          </cell>
          <cell r="AN112">
            <v>51</v>
          </cell>
          <cell r="AO112">
            <v>25</v>
          </cell>
          <cell r="AP112" t="str">
            <v>SU004047</v>
          </cell>
        </row>
        <row r="113">
          <cell r="A113" t="str">
            <v xml:space="preserve"> 558  Колбаса Балыковая НОВАЯ ВЕС Вязанка фиброуз в/у ПОКОМ</v>
          </cell>
          <cell r="B113" t="str">
            <v>кг</v>
          </cell>
          <cell r="C113">
            <v>159.31</v>
          </cell>
          <cell r="D113">
            <v>158.161</v>
          </cell>
          <cell r="E113">
            <v>237.26599999999999</v>
          </cell>
          <cell r="F113">
            <v>2.621</v>
          </cell>
          <cell r="G113">
            <v>1</v>
          </cell>
          <cell r="H113">
            <v>40</v>
          </cell>
          <cell r="I113" t="str">
            <v>НЕДОГРУЗ / матрица</v>
          </cell>
          <cell r="K113">
            <v>290.21800000000002</v>
          </cell>
          <cell r="L113">
            <v>-52.952000000000027</v>
          </cell>
          <cell r="M113">
            <v>216.15899999999999</v>
          </cell>
          <cell r="N113">
            <v>21.106999999999999</v>
          </cell>
          <cell r="O113">
            <v>114.212592</v>
          </cell>
          <cell r="P113">
            <v>-115.5</v>
          </cell>
          <cell r="Q113">
            <v>100</v>
          </cell>
          <cell r="R113">
            <v>-101.5</v>
          </cell>
          <cell r="W113">
            <v>43.2318</v>
          </cell>
          <cell r="X113">
            <v>80</v>
          </cell>
          <cell r="Y113">
            <v>80</v>
          </cell>
          <cell r="Z113">
            <v>80</v>
          </cell>
          <cell r="AA113">
            <v>40</v>
          </cell>
          <cell r="AC113">
            <v>2.7718853251541691</v>
          </cell>
          <cell r="AD113">
            <v>2.3439595853052615</v>
          </cell>
          <cell r="AE113">
            <v>47.453200000000002</v>
          </cell>
          <cell r="AF113">
            <v>41.672199999999997</v>
          </cell>
          <cell r="AG113">
            <v>33.958799999999997</v>
          </cell>
          <cell r="AH113">
            <v>31.296800000000001</v>
          </cell>
          <cell r="AI113">
            <v>35.985399999999998</v>
          </cell>
          <cell r="AJ113">
            <v>43.4876</v>
          </cell>
          <cell r="AK113">
            <v>38.700800000000001</v>
          </cell>
          <cell r="AL113">
            <v>22.611000000000001</v>
          </cell>
          <cell r="AN113">
            <v>80</v>
          </cell>
          <cell r="AO113">
            <v>40</v>
          </cell>
          <cell r="AP113" t="str">
            <v>SU004041</v>
          </cell>
        </row>
        <row r="114">
          <cell r="A114" t="str">
            <v xml:space="preserve"> 564  Сосиски Сочные 0,3 кг ТМ Вязанка  ПОКОМ</v>
          </cell>
          <cell r="B114" t="str">
            <v>шт</v>
          </cell>
          <cell r="C114">
            <v>53</v>
          </cell>
          <cell r="D114">
            <v>6</v>
          </cell>
          <cell r="E114">
            <v>10</v>
          </cell>
          <cell r="F114">
            <v>11</v>
          </cell>
          <cell r="G114">
            <v>0.3</v>
          </cell>
          <cell r="H114">
            <v>45</v>
          </cell>
          <cell r="I114" t="str">
            <v>матрица</v>
          </cell>
          <cell r="K114">
            <v>142</v>
          </cell>
          <cell r="L114">
            <v>-132</v>
          </cell>
          <cell r="M114">
            <v>10</v>
          </cell>
          <cell r="Q114">
            <v>0</v>
          </cell>
          <cell r="W114">
            <v>2</v>
          </cell>
          <cell r="X114">
            <v>13</v>
          </cell>
          <cell r="Y114">
            <v>13</v>
          </cell>
          <cell r="Z114">
            <v>13</v>
          </cell>
          <cell r="AC114">
            <v>12</v>
          </cell>
          <cell r="AD114">
            <v>5.5</v>
          </cell>
          <cell r="AE114">
            <v>2</v>
          </cell>
          <cell r="AF114">
            <v>3.2</v>
          </cell>
          <cell r="AG114">
            <v>4</v>
          </cell>
          <cell r="AH114">
            <v>3.8</v>
          </cell>
          <cell r="AI114">
            <v>7.4</v>
          </cell>
          <cell r="AJ114">
            <v>15.4</v>
          </cell>
          <cell r="AK114">
            <v>15.2</v>
          </cell>
          <cell r="AL114">
            <v>5.8</v>
          </cell>
          <cell r="AN114">
            <v>4</v>
          </cell>
          <cell r="AO114">
            <v>0</v>
          </cell>
          <cell r="AP114" t="str">
            <v>SU004053</v>
          </cell>
        </row>
        <row r="115">
          <cell r="A115" t="str">
            <v xml:space="preserve"> 567 Колбаса Со шпиком Стародворская ТМ Стародворье в оболочке полиамид ВЕС  ПОКОМ</v>
          </cell>
          <cell r="B115" t="str">
            <v>кг</v>
          </cell>
          <cell r="C115">
            <v>22.251000000000001</v>
          </cell>
          <cell r="D115">
            <v>14.807</v>
          </cell>
          <cell r="E115">
            <v>2.76</v>
          </cell>
          <cell r="F115">
            <v>16.754999999999999</v>
          </cell>
          <cell r="G115">
            <v>1</v>
          </cell>
          <cell r="H115">
            <v>55</v>
          </cell>
          <cell r="I115" t="str">
            <v>матрица</v>
          </cell>
          <cell r="K115">
            <v>18.899999999999999</v>
          </cell>
          <cell r="L115">
            <v>-16.14</v>
          </cell>
          <cell r="M115">
            <v>2.76</v>
          </cell>
          <cell r="Q115">
            <v>0</v>
          </cell>
          <cell r="W115">
            <v>0.55199999999999994</v>
          </cell>
          <cell r="Y115">
            <v>0</v>
          </cell>
          <cell r="Z115">
            <v>0</v>
          </cell>
          <cell r="AC115">
            <v>30.353260869565219</v>
          </cell>
          <cell r="AD115">
            <v>30.353260869565219</v>
          </cell>
          <cell r="AE115">
            <v>0.55199999999999994</v>
          </cell>
          <cell r="AF115">
            <v>0</v>
          </cell>
          <cell r="AG115">
            <v>0</v>
          </cell>
          <cell r="AH115">
            <v>0</v>
          </cell>
          <cell r="AI115">
            <v>0.82919999999999994</v>
          </cell>
          <cell r="AJ115">
            <v>1.1052</v>
          </cell>
          <cell r="AK115">
            <v>0.27600000000000002</v>
          </cell>
          <cell r="AL115">
            <v>0</v>
          </cell>
          <cell r="AM115" t="str">
            <v>нужно увеличить продажи!!!</v>
          </cell>
          <cell r="AN115">
            <v>0</v>
          </cell>
          <cell r="AO115">
            <v>0</v>
          </cell>
          <cell r="AP115" t="str">
            <v>SU004007</v>
          </cell>
        </row>
        <row r="116">
          <cell r="A116" t="str">
            <v xml:space="preserve"> 569  Колбаса Балыковая ТМ Вязанка в оболочке фиброуз в вакуумной упаковке 0,28 кг срез.  ПОКОМ</v>
          </cell>
          <cell r="B116" t="str">
            <v>шт</v>
          </cell>
          <cell r="C116">
            <v>309</v>
          </cell>
          <cell r="D116">
            <v>408</v>
          </cell>
          <cell r="E116">
            <v>383</v>
          </cell>
          <cell r="F116">
            <v>176</v>
          </cell>
          <cell r="G116">
            <v>0.28000000000000003</v>
          </cell>
          <cell r="H116">
            <v>40</v>
          </cell>
          <cell r="I116" t="str">
            <v>НЕДОГРУЗ / матрица</v>
          </cell>
          <cell r="K116">
            <v>497</v>
          </cell>
          <cell r="L116">
            <v>-114</v>
          </cell>
          <cell r="M116">
            <v>383</v>
          </cell>
          <cell r="Q116">
            <v>193.82813751085709</v>
          </cell>
          <cell r="T116">
            <v>240.76409906057151</v>
          </cell>
          <cell r="W116">
            <v>76.599999999999994</v>
          </cell>
          <cell r="X116">
            <v>308.60776342857127</v>
          </cell>
          <cell r="Y116">
            <v>308.60776342857127</v>
          </cell>
          <cell r="Z116">
            <v>308.60776342857127</v>
          </cell>
          <cell r="AA116">
            <v>154.30388171428564</v>
          </cell>
          <cell r="AC116">
            <v>14.014410988437151</v>
          </cell>
          <cell r="AD116">
            <v>7.9711780231257015</v>
          </cell>
          <cell r="AE116">
            <v>78.2</v>
          </cell>
          <cell r="AF116">
            <v>70.2</v>
          </cell>
          <cell r="AG116">
            <v>72</v>
          </cell>
          <cell r="AH116">
            <v>68.400000000000006</v>
          </cell>
          <cell r="AI116">
            <v>58.2</v>
          </cell>
          <cell r="AJ116">
            <v>83.8</v>
          </cell>
          <cell r="AK116">
            <v>89</v>
          </cell>
          <cell r="AL116">
            <v>60.4</v>
          </cell>
          <cell r="AN116">
            <v>86</v>
          </cell>
          <cell r="AO116">
            <v>43</v>
          </cell>
          <cell r="AP116" t="str">
            <v>SU004039</v>
          </cell>
        </row>
        <row r="117">
          <cell r="A117" t="str">
            <v xml:space="preserve"> 570  Колбаса Сервелат Финский ТМ Вязанка в оболочке фиброуз в вак. упаковке 0,28 кг срез  ПОКОМ</v>
          </cell>
          <cell r="B117" t="str">
            <v>шт</v>
          </cell>
          <cell r="C117">
            <v>-15.273999999999999</v>
          </cell>
          <cell r="D117">
            <v>44</v>
          </cell>
          <cell r="E117">
            <v>114</v>
          </cell>
          <cell r="F117">
            <v>-3.274</v>
          </cell>
          <cell r="G117">
            <v>0.28000000000000003</v>
          </cell>
          <cell r="H117">
            <v>40</v>
          </cell>
          <cell r="I117" t="str">
            <v>НЕДОГРУЗ / матрица</v>
          </cell>
          <cell r="K117">
            <v>213</v>
          </cell>
          <cell r="L117">
            <v>-99</v>
          </cell>
          <cell r="M117">
            <v>114</v>
          </cell>
          <cell r="O117">
            <v>185.01599999999999</v>
          </cell>
          <cell r="P117">
            <v>-186</v>
          </cell>
          <cell r="Q117">
            <v>200</v>
          </cell>
          <cell r="R117">
            <v>-203.99999999999997</v>
          </cell>
          <cell r="W117">
            <v>22.8</v>
          </cell>
          <cell r="X117">
            <v>150</v>
          </cell>
          <cell r="Y117">
            <v>150</v>
          </cell>
          <cell r="Z117">
            <v>150</v>
          </cell>
          <cell r="AA117">
            <v>75</v>
          </cell>
          <cell r="AC117">
            <v>9.5062280701754371</v>
          </cell>
          <cell r="AD117">
            <v>8.5851754385964902</v>
          </cell>
          <cell r="AE117">
            <v>22.8</v>
          </cell>
          <cell r="AF117">
            <v>68.2</v>
          </cell>
          <cell r="AG117">
            <v>81.8</v>
          </cell>
          <cell r="AH117">
            <v>56.2</v>
          </cell>
          <cell r="AI117">
            <v>63.6</v>
          </cell>
          <cell r="AJ117">
            <v>109</v>
          </cell>
          <cell r="AK117">
            <v>91.4</v>
          </cell>
          <cell r="AL117">
            <v>49.0548</v>
          </cell>
          <cell r="AN117">
            <v>42</v>
          </cell>
          <cell r="AO117">
            <v>21</v>
          </cell>
          <cell r="AP117" t="str">
            <v>SU004045</v>
          </cell>
        </row>
        <row r="118">
          <cell r="A118" t="str">
            <v xml:space="preserve"> 571  Колбаса Сервелат Ореховый ТМ Вязанка в оболочке фиброуз в вак. упаковке 0,28 кг срез  ПОКОМ</v>
          </cell>
          <cell r="B118" t="str">
            <v>шт</v>
          </cell>
          <cell r="C118">
            <v>534.5</v>
          </cell>
          <cell r="D118">
            <v>355</v>
          </cell>
          <cell r="E118">
            <v>546</v>
          </cell>
          <cell r="F118">
            <v>25.5</v>
          </cell>
          <cell r="G118">
            <v>0.28000000000000003</v>
          </cell>
          <cell r="H118">
            <v>40</v>
          </cell>
          <cell r="I118" t="str">
            <v>НЕДОГРУЗ / матрица</v>
          </cell>
          <cell r="K118">
            <v>780</v>
          </cell>
          <cell r="L118">
            <v>-234</v>
          </cell>
          <cell r="M118">
            <v>546</v>
          </cell>
          <cell r="O118">
            <v>130</v>
          </cell>
          <cell r="P118">
            <v>-132</v>
          </cell>
          <cell r="Q118">
            <v>250</v>
          </cell>
          <cell r="W118">
            <v>109.2</v>
          </cell>
          <cell r="X118">
            <v>250</v>
          </cell>
          <cell r="Y118">
            <v>250</v>
          </cell>
          <cell r="Z118">
            <v>250</v>
          </cell>
          <cell r="AA118">
            <v>125</v>
          </cell>
          <cell r="AC118">
            <v>5.9386446886446889</v>
          </cell>
          <cell r="AD118">
            <v>2.5045787545787546</v>
          </cell>
          <cell r="AE118">
            <v>110.4</v>
          </cell>
          <cell r="AF118">
            <v>107.2</v>
          </cell>
          <cell r="AG118">
            <v>111.6</v>
          </cell>
          <cell r="AH118">
            <v>111.6</v>
          </cell>
          <cell r="AI118">
            <v>95.6</v>
          </cell>
          <cell r="AJ118">
            <v>123.2</v>
          </cell>
          <cell r="AK118">
            <v>137</v>
          </cell>
          <cell r="AL118">
            <v>87.1</v>
          </cell>
          <cell r="AN118">
            <v>70</v>
          </cell>
          <cell r="AO118">
            <v>35</v>
          </cell>
          <cell r="AP118" t="str">
            <v>SU004042</v>
          </cell>
        </row>
        <row r="119">
          <cell r="A119" t="str">
            <v xml:space="preserve"> 574  Колбаса Сервелат Финский ТМ Вязанка в упаковке скин 0,09 кг нарезка  ПОКОМ</v>
          </cell>
          <cell r="B119" t="str">
            <v>шт</v>
          </cell>
          <cell r="C119">
            <v>67</v>
          </cell>
          <cell r="D119">
            <v>182</v>
          </cell>
          <cell r="E119">
            <v>101</v>
          </cell>
          <cell r="F119">
            <v>22</v>
          </cell>
          <cell r="G119">
            <v>0.09</v>
          </cell>
          <cell r="H119">
            <v>45</v>
          </cell>
          <cell r="I119" t="str">
            <v>ВНИМАНИЕ / матрица</v>
          </cell>
          <cell r="K119">
            <v>218</v>
          </cell>
          <cell r="L119">
            <v>-117</v>
          </cell>
          <cell r="M119">
            <v>101</v>
          </cell>
          <cell r="Q119">
            <v>126.18</v>
          </cell>
          <cell r="W119">
            <v>20.2</v>
          </cell>
          <cell r="X119">
            <v>94.21999999999997</v>
          </cell>
          <cell r="Y119">
            <v>794.22</v>
          </cell>
          <cell r="Z119">
            <v>794.22</v>
          </cell>
          <cell r="AB119" t="str">
            <v xml:space="preserve">700 сеть молоко </v>
          </cell>
          <cell r="AC119">
            <v>46.653465346534659</v>
          </cell>
          <cell r="AD119">
            <v>7.3356435643564364</v>
          </cell>
          <cell r="AE119">
            <v>22.8</v>
          </cell>
          <cell r="AF119">
            <v>17.399999999999999</v>
          </cell>
          <cell r="AG119">
            <v>12.2</v>
          </cell>
          <cell r="AH119">
            <v>15.6</v>
          </cell>
          <cell r="AI119">
            <v>14.2</v>
          </cell>
          <cell r="AJ119">
            <v>12.2</v>
          </cell>
          <cell r="AK119">
            <v>13.2</v>
          </cell>
          <cell r="AL119">
            <v>5.4</v>
          </cell>
          <cell r="AM119" t="str">
            <v>плюсом 700шт сеть Молоко (21,08,26)</v>
          </cell>
          <cell r="AN119">
            <v>71</v>
          </cell>
          <cell r="AO119">
            <v>0</v>
          </cell>
          <cell r="AP119" t="str">
            <v>SU003751</v>
          </cell>
        </row>
        <row r="120">
          <cell r="A120" t="str">
            <v xml:space="preserve"> 577  Колбаса Молочная Стародворская ТМ Стародворье в оболочке полиамид НД ВЕС.  ПОКОМ</v>
          </cell>
          <cell r="B120" t="str">
            <v>кг</v>
          </cell>
          <cell r="C120">
            <v>-0.09</v>
          </cell>
          <cell r="F120">
            <v>-0.09</v>
          </cell>
          <cell r="G120">
            <v>0</v>
          </cell>
          <cell r="H120">
            <v>55</v>
          </cell>
          <cell r="I120" t="str">
            <v>не в матрице</v>
          </cell>
          <cell r="L120">
            <v>0</v>
          </cell>
          <cell r="M120">
            <v>0</v>
          </cell>
          <cell r="Q120">
            <v>0</v>
          </cell>
          <cell r="W120">
            <v>0</v>
          </cell>
          <cell r="Y120">
            <v>0</v>
          </cell>
          <cell r="Z120">
            <v>0</v>
          </cell>
          <cell r="AC120" t="e">
            <v>#DIV/0!</v>
          </cell>
          <cell r="AD120" t="e">
            <v>#DIV/0!</v>
          </cell>
          <cell r="AE120">
            <v>0</v>
          </cell>
          <cell r="AF120">
            <v>0</v>
          </cell>
          <cell r="AG120">
            <v>2.1854</v>
          </cell>
          <cell r="AH120">
            <v>2.1854</v>
          </cell>
          <cell r="AI120">
            <v>1.3512</v>
          </cell>
          <cell r="AJ120">
            <v>2.4342000000000001</v>
          </cell>
          <cell r="AK120">
            <v>1.6259999999999999</v>
          </cell>
          <cell r="AL120">
            <v>1.085</v>
          </cell>
          <cell r="AN120">
            <v>0</v>
          </cell>
          <cell r="AO120">
            <v>0</v>
          </cell>
        </row>
        <row r="121">
          <cell r="A121" t="str">
            <v xml:space="preserve"> 579  Колбаса Ветчинно-рубленая ТМ Особый рецепт в оболочке полиамид.ВЕС  ПОКОМ</v>
          </cell>
          <cell r="B121" t="str">
            <v>кг</v>
          </cell>
          <cell r="C121">
            <v>125.17700000000001</v>
          </cell>
          <cell r="E121">
            <v>27.283999999999999</v>
          </cell>
          <cell r="F121">
            <v>75.736000000000004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42.5</v>
          </cell>
          <cell r="L121">
            <v>-15.216000000000001</v>
          </cell>
          <cell r="M121">
            <v>27.283999999999999</v>
          </cell>
          <cell r="Q121">
            <v>0</v>
          </cell>
          <cell r="W121">
            <v>5.4567999999999994</v>
          </cell>
          <cell r="Y121">
            <v>0</v>
          </cell>
          <cell r="Z121">
            <v>0</v>
          </cell>
          <cell r="AC121">
            <v>13.87919659873919</v>
          </cell>
          <cell r="AD121">
            <v>13.87919659873919</v>
          </cell>
          <cell r="AE121">
            <v>5.4567999999999994</v>
          </cell>
          <cell r="AF121">
            <v>8.9201999999999995</v>
          </cell>
          <cell r="AG121">
            <v>6.9382000000000001</v>
          </cell>
          <cell r="AH121">
            <v>6.2747999999999999</v>
          </cell>
          <cell r="AI121">
            <v>10.271599999999999</v>
          </cell>
          <cell r="AJ121">
            <v>16.718</v>
          </cell>
          <cell r="AK121">
            <v>14.504</v>
          </cell>
          <cell r="AL121">
            <v>5.6520000000000001</v>
          </cell>
          <cell r="AM121" t="str">
            <v>нужно увеличить продажи!!!</v>
          </cell>
          <cell r="AN121">
            <v>0</v>
          </cell>
          <cell r="AO121">
            <v>0</v>
          </cell>
          <cell r="AP121" t="str">
            <v>SU004131</v>
          </cell>
        </row>
        <row r="122">
          <cell r="A122" t="str">
            <v xml:space="preserve"> 580  Ветчина Нежная с индейкой ТМ Особый рецепт в оболочке полиамид.ВЕС  ПОКОМ</v>
          </cell>
          <cell r="B122" t="str">
            <v>кг</v>
          </cell>
          <cell r="C122">
            <v>41.155999999999999</v>
          </cell>
          <cell r="E122">
            <v>12.425000000000001</v>
          </cell>
          <cell r="F122">
            <v>33.710999999999999</v>
          </cell>
          <cell r="G122">
            <v>1</v>
          </cell>
          <cell r="H122">
            <v>50</v>
          </cell>
          <cell r="I122" t="str">
            <v>матрица</v>
          </cell>
          <cell r="K122">
            <v>2.5</v>
          </cell>
          <cell r="L122">
            <v>9.9250000000000007</v>
          </cell>
          <cell r="M122">
            <v>12.425000000000001</v>
          </cell>
          <cell r="Q122">
            <v>0</v>
          </cell>
          <cell r="W122">
            <v>2.4850000000000003</v>
          </cell>
          <cell r="Y122">
            <v>0</v>
          </cell>
          <cell r="Z122">
            <v>0</v>
          </cell>
          <cell r="AC122">
            <v>13.565794768611667</v>
          </cell>
          <cell r="AD122">
            <v>13.565794768611667</v>
          </cell>
          <cell r="AE122">
            <v>2.4849999999999999</v>
          </cell>
          <cell r="AF122">
            <v>3.984</v>
          </cell>
          <cell r="AG122">
            <v>3.3889999999999998</v>
          </cell>
          <cell r="AH122">
            <v>4.8133999999999997</v>
          </cell>
          <cell r="AI122">
            <v>2.9209999999999998</v>
          </cell>
          <cell r="AJ122">
            <v>5.9039999999999999</v>
          </cell>
          <cell r="AK122">
            <v>10.317399999999999</v>
          </cell>
          <cell r="AL122">
            <v>4.4803999999999977</v>
          </cell>
          <cell r="AN122">
            <v>0</v>
          </cell>
          <cell r="AO122">
            <v>0</v>
          </cell>
          <cell r="AP122" t="str">
            <v>SU003686</v>
          </cell>
        </row>
        <row r="123">
          <cell r="A123" t="str">
            <v xml:space="preserve"> 583  Колбаса Балыковая ТМ Вязанка в упаковке скин 0,09 кг нарезка  ПОКОМ</v>
          </cell>
          <cell r="B123" t="str">
            <v>шт</v>
          </cell>
          <cell r="C123">
            <v>352</v>
          </cell>
          <cell r="D123">
            <v>15</v>
          </cell>
          <cell r="E123">
            <v>55</v>
          </cell>
          <cell r="F123">
            <v>250</v>
          </cell>
          <cell r="G123">
            <v>0.09</v>
          </cell>
          <cell r="H123">
            <v>45</v>
          </cell>
          <cell r="I123" t="str">
            <v>ВНИМАНИЕ / матрица</v>
          </cell>
          <cell r="K123">
            <v>120</v>
          </cell>
          <cell r="L123">
            <v>-65</v>
          </cell>
          <cell r="M123">
            <v>55</v>
          </cell>
          <cell r="Q123">
            <v>0</v>
          </cell>
          <cell r="W123">
            <v>11</v>
          </cell>
          <cell r="Y123">
            <v>400</v>
          </cell>
          <cell r="Z123">
            <v>400</v>
          </cell>
          <cell r="AB123" t="str">
            <v xml:space="preserve">500 сеть молоко </v>
          </cell>
          <cell r="AC123">
            <v>59.090909090909093</v>
          </cell>
          <cell r="AD123">
            <v>22.727272727272727</v>
          </cell>
          <cell r="AE123">
            <v>11</v>
          </cell>
          <cell r="AF123">
            <v>11.2</v>
          </cell>
          <cell r="AG123">
            <v>16.2</v>
          </cell>
          <cell r="AH123">
            <v>19.399999999999999</v>
          </cell>
          <cell r="AI123">
            <v>14.4</v>
          </cell>
          <cell r="AJ123">
            <v>11.6</v>
          </cell>
          <cell r="AK123">
            <v>13.8</v>
          </cell>
          <cell r="AL123">
            <v>8.8000000000000007</v>
          </cell>
          <cell r="AM123" t="str">
            <v>нужно увеличить продажи / плюсом 400шт сеть Молоко (21,08,26) / плюсом 300шт сеть Молоко (05,08,26)</v>
          </cell>
          <cell r="AN123">
            <v>36</v>
          </cell>
          <cell r="AO123">
            <v>0</v>
          </cell>
          <cell r="AP123" t="str">
            <v>SU003753</v>
          </cell>
        </row>
        <row r="124">
          <cell r="A124" t="str">
            <v xml:space="preserve"> 584  Колбаса Сервелат Ореховый ТМ Вязанка в упаковке скин 0,09 кг нарезка  ПОКОМ</v>
          </cell>
          <cell r="B124" t="str">
            <v>шт</v>
          </cell>
          <cell r="C124">
            <v>298</v>
          </cell>
          <cell r="D124">
            <v>59</v>
          </cell>
          <cell r="E124">
            <v>82</v>
          </cell>
          <cell r="F124">
            <v>239</v>
          </cell>
          <cell r="G124">
            <v>0.09</v>
          </cell>
          <cell r="H124">
            <v>45</v>
          </cell>
          <cell r="I124" t="str">
            <v>ВНИМАНИЕ / матрица</v>
          </cell>
          <cell r="K124">
            <v>110</v>
          </cell>
          <cell r="L124">
            <v>-28</v>
          </cell>
          <cell r="M124">
            <v>82</v>
          </cell>
          <cell r="Q124">
            <v>0</v>
          </cell>
          <cell r="W124">
            <v>16.399999999999999</v>
          </cell>
          <cell r="Y124">
            <v>500</v>
          </cell>
          <cell r="Z124">
            <v>500</v>
          </cell>
          <cell r="AB124" t="str">
            <v xml:space="preserve">500 сеть молоко </v>
          </cell>
          <cell r="AC124">
            <v>45.060975609756099</v>
          </cell>
          <cell r="AD124">
            <v>14.573170731707318</v>
          </cell>
          <cell r="AE124">
            <v>16.399999999999999</v>
          </cell>
          <cell r="AF124">
            <v>18.8</v>
          </cell>
          <cell r="AG124">
            <v>15.4</v>
          </cell>
          <cell r="AH124">
            <v>16.2</v>
          </cell>
          <cell r="AI124">
            <v>9</v>
          </cell>
          <cell r="AJ124">
            <v>10.199999999999999</v>
          </cell>
          <cell r="AK124">
            <v>17.399999999999999</v>
          </cell>
          <cell r="AL124">
            <v>9.8000000000000007</v>
          </cell>
          <cell r="AM124" t="str">
            <v>плюсом 500шт сеть Молоко (21,08,26) / плюсом 300шт сеть Молоко (05,08,26)</v>
          </cell>
          <cell r="AN124">
            <v>45</v>
          </cell>
          <cell r="AO124">
            <v>0</v>
          </cell>
          <cell r="AP124" t="str">
            <v>SU003988</v>
          </cell>
        </row>
        <row r="125">
          <cell r="A125" t="str">
            <v xml:space="preserve"> 585  Колбаса Молочная ТМ Стародворье в оболочке вектор НД ВЕС.  ПОКОМ</v>
          </cell>
          <cell r="B125" t="str">
            <v>кг</v>
          </cell>
          <cell r="C125">
            <v>32.576000000000001</v>
          </cell>
          <cell r="D125">
            <v>244.29300000000001</v>
          </cell>
          <cell r="E125">
            <v>77.186999999999998</v>
          </cell>
          <cell r="F125">
            <v>169.49</v>
          </cell>
          <cell r="G125">
            <v>1</v>
          </cell>
          <cell r="H125">
            <v>60</v>
          </cell>
          <cell r="I125" t="str">
            <v>матрица</v>
          </cell>
          <cell r="K125">
            <v>98.882000000000005</v>
          </cell>
          <cell r="L125">
            <v>-21.695000000000007</v>
          </cell>
          <cell r="M125">
            <v>77.186999999999998</v>
          </cell>
          <cell r="Q125">
            <v>150</v>
          </cell>
          <cell r="W125">
            <v>15.4374</v>
          </cell>
          <cell r="Y125">
            <v>0</v>
          </cell>
          <cell r="Z125">
            <v>0</v>
          </cell>
          <cell r="AC125">
            <v>20.695842564162358</v>
          </cell>
          <cell r="AD125">
            <v>20.695842564162358</v>
          </cell>
          <cell r="AE125">
            <v>15.4374</v>
          </cell>
          <cell r="AF125">
            <v>20.627600000000001</v>
          </cell>
          <cell r="AG125">
            <v>16.761399999999998</v>
          </cell>
          <cell r="AH125">
            <v>9.4372000000000007</v>
          </cell>
          <cell r="AI125">
            <v>6.8977999999999993</v>
          </cell>
          <cell r="AJ125">
            <v>9.4394000000000009</v>
          </cell>
          <cell r="AK125">
            <v>15.491400000000001</v>
          </cell>
          <cell r="AL125">
            <v>11.78399999999999</v>
          </cell>
          <cell r="AM125" t="str">
            <v>нужно увеличить продажи / 08,07,26 +350кг (задача от завода для ТК / просили 450кг) не продали - переместили в Крым</v>
          </cell>
          <cell r="AN125">
            <v>0</v>
          </cell>
          <cell r="AO125">
            <v>0</v>
          </cell>
          <cell r="AP125" t="str">
            <v>SU004103</v>
          </cell>
        </row>
        <row r="126">
          <cell r="A126" t="str">
            <v xml:space="preserve"> 586  Колбаса Мясная ТМ Стародворье в оболочке вектор НД ВЕС.  ПОКОМ</v>
          </cell>
          <cell r="B126" t="str">
            <v>кг</v>
          </cell>
          <cell r="C126">
            <v>434.37</v>
          </cell>
          <cell r="D126">
            <v>1002.655</v>
          </cell>
          <cell r="E126">
            <v>648.61900000000003</v>
          </cell>
          <cell r="F126">
            <v>766.62599999999998</v>
          </cell>
          <cell r="G126">
            <v>1</v>
          </cell>
          <cell r="H126">
            <v>60</v>
          </cell>
          <cell r="I126" t="str">
            <v>матрица</v>
          </cell>
          <cell r="K126">
            <v>701.15800000000002</v>
          </cell>
          <cell r="L126">
            <v>-52.538999999999987</v>
          </cell>
          <cell r="M126">
            <v>648.61900000000003</v>
          </cell>
          <cell r="O126">
            <v>359.30493247999999</v>
          </cell>
          <cell r="Q126">
            <v>400</v>
          </cell>
          <cell r="W126">
            <v>129.72380000000001</v>
          </cell>
          <cell r="X126">
            <v>30.754667520000339</v>
          </cell>
          <cell r="Y126">
            <v>0</v>
          </cell>
          <cell r="Z126">
            <v>0</v>
          </cell>
          <cell r="AC126">
            <v>11.762921934756767</v>
          </cell>
          <cell r="AD126">
            <v>11.762921934756767</v>
          </cell>
          <cell r="AE126">
            <v>131.09280000000001</v>
          </cell>
          <cell r="AF126">
            <v>145.64699999999999</v>
          </cell>
          <cell r="AG126">
            <v>115.8732</v>
          </cell>
          <cell r="AH126">
            <v>76.514800000000008</v>
          </cell>
          <cell r="AI126">
            <v>92.683799999999991</v>
          </cell>
          <cell r="AJ126">
            <v>121.5682</v>
          </cell>
          <cell r="AK126">
            <v>123.7212</v>
          </cell>
          <cell r="AL126">
            <v>82.874800000000008</v>
          </cell>
          <cell r="AN126">
            <v>0</v>
          </cell>
          <cell r="AO126">
            <v>0</v>
          </cell>
          <cell r="AP126" t="str">
            <v>SU004104</v>
          </cell>
        </row>
        <row r="127">
          <cell r="A127" t="str">
            <v xml:space="preserve"> 588 Колбаса Со шпиком ТМ Стародворье в оболочке вектор ВЕС  ПОКОМ</v>
          </cell>
          <cell r="B127" t="str">
            <v>кг</v>
          </cell>
          <cell r="C127">
            <v>193.464</v>
          </cell>
          <cell r="D127">
            <v>2.73</v>
          </cell>
          <cell r="E127">
            <v>46.12</v>
          </cell>
          <cell r="F127">
            <v>132.01900000000001</v>
          </cell>
          <cell r="G127">
            <v>1</v>
          </cell>
          <cell r="H127">
            <v>60</v>
          </cell>
          <cell r="I127" t="str">
            <v>матрица</v>
          </cell>
          <cell r="K127">
            <v>54.67</v>
          </cell>
          <cell r="L127">
            <v>-8.5500000000000043</v>
          </cell>
          <cell r="M127">
            <v>46.12</v>
          </cell>
          <cell r="Q127">
            <v>0</v>
          </cell>
          <cell r="W127">
            <v>9.2240000000000002</v>
          </cell>
          <cell r="Y127">
            <v>0</v>
          </cell>
          <cell r="Z127">
            <v>0</v>
          </cell>
          <cell r="AC127">
            <v>14.31255420641804</v>
          </cell>
          <cell r="AD127">
            <v>14.31255420641804</v>
          </cell>
          <cell r="AE127">
            <v>9.2240000000000002</v>
          </cell>
          <cell r="AF127">
            <v>16.507400000000001</v>
          </cell>
          <cell r="AG127">
            <v>16.0214</v>
          </cell>
          <cell r="AH127">
            <v>12.3848</v>
          </cell>
          <cell r="AI127">
            <v>9.4190000000000005</v>
          </cell>
          <cell r="AJ127">
            <v>12.1662</v>
          </cell>
          <cell r="AK127">
            <v>14.089600000000001</v>
          </cell>
          <cell r="AL127">
            <v>13.230600000000001</v>
          </cell>
          <cell r="AM127" t="str">
            <v>08,07,26 +250кг (задача от завода для ТК / просили 350кг)</v>
          </cell>
          <cell r="AN127">
            <v>0</v>
          </cell>
          <cell r="AO127">
            <v>0</v>
          </cell>
          <cell r="AP127" t="str">
            <v>SU004106</v>
          </cell>
        </row>
        <row r="128">
          <cell r="A128" t="str">
            <v xml:space="preserve"> 597  Колбаса Классическая ТМ Особый рецепт в оболочке полиамид ВЕС. ПОКОМ</v>
          </cell>
          <cell r="B128" t="str">
            <v>кг</v>
          </cell>
          <cell r="C128">
            <v>1845.1659999999999</v>
          </cell>
          <cell r="D128">
            <v>996.54700000000003</v>
          </cell>
          <cell r="E128">
            <v>1308.2850000000001</v>
          </cell>
          <cell r="F128">
            <v>1413.9570000000001</v>
          </cell>
          <cell r="G128">
            <v>1</v>
          </cell>
          <cell r="H128">
            <v>60</v>
          </cell>
          <cell r="I128" t="str">
            <v>матрица</v>
          </cell>
          <cell r="K128">
            <v>1006.999</v>
          </cell>
          <cell r="L128">
            <v>301.28600000000006</v>
          </cell>
          <cell r="M128">
            <v>1308.2850000000001</v>
          </cell>
          <cell r="O128">
            <v>698.08860160000006</v>
          </cell>
          <cell r="Q128">
            <v>291.82695192000011</v>
          </cell>
          <cell r="S128">
            <v>200</v>
          </cell>
          <cell r="T128">
            <v>362.49356808000022</v>
          </cell>
          <cell r="V128">
            <v>200</v>
          </cell>
          <cell r="W128">
            <v>261.65700000000004</v>
          </cell>
          <cell r="X128">
            <v>373.51787839999974</v>
          </cell>
          <cell r="Y128">
            <v>629.94173839999985</v>
          </cell>
          <cell r="Z128">
            <v>629.94173839999985</v>
          </cell>
          <cell r="AC128">
            <v>14.508718895347727</v>
          </cell>
          <cell r="AD128">
            <v>10.572490403849317</v>
          </cell>
          <cell r="AE128">
            <v>263.20299999999997</v>
          </cell>
          <cell r="AF128">
            <v>260.8614</v>
          </cell>
          <cell r="AG128">
            <v>157.86420000000001</v>
          </cell>
          <cell r="AH128">
            <v>170.6746</v>
          </cell>
          <cell r="AI128">
            <v>196.4392</v>
          </cell>
          <cell r="AJ128">
            <v>182.04040000000001</v>
          </cell>
          <cell r="AK128">
            <v>202.87360000000001</v>
          </cell>
          <cell r="AL128">
            <v>154.0368</v>
          </cell>
          <cell r="AN128">
            <v>630</v>
          </cell>
          <cell r="AO128">
            <v>0</v>
          </cell>
          <cell r="AP128" t="str">
            <v>SU004238</v>
          </cell>
          <cell r="AQ128" t="str">
            <v>SU004238</v>
          </cell>
        </row>
        <row r="129">
          <cell r="A129" t="str">
            <v xml:space="preserve"> 614  Буженина в пряном маринаде 0,25 кг консервы из мяса индейки ТМ Стародворье  ПОКОМ</v>
          </cell>
          <cell r="B129" t="str">
            <v>шт</v>
          </cell>
          <cell r="C129">
            <v>59</v>
          </cell>
          <cell r="D129">
            <v>2</v>
          </cell>
          <cell r="E129">
            <v>31</v>
          </cell>
          <cell r="F129">
            <v>39</v>
          </cell>
          <cell r="G129">
            <v>0.25</v>
          </cell>
          <cell r="I129" t="str">
            <v>НЕДОГРУЗ / матрица</v>
          </cell>
          <cell r="K129">
            <v>19</v>
          </cell>
          <cell r="L129">
            <v>12</v>
          </cell>
          <cell r="M129">
            <v>31</v>
          </cell>
          <cell r="Q129">
            <v>28.2</v>
          </cell>
          <cell r="W129">
            <v>6.2</v>
          </cell>
          <cell r="X129">
            <v>20</v>
          </cell>
          <cell r="Y129">
            <v>20</v>
          </cell>
          <cell r="Z129">
            <v>20</v>
          </cell>
          <cell r="AA129">
            <v>10</v>
          </cell>
          <cell r="AC129">
            <v>15.67741935483871</v>
          </cell>
          <cell r="AD129">
            <v>10.838709677419356</v>
          </cell>
          <cell r="AE129">
            <v>6.2</v>
          </cell>
          <cell r="AF129">
            <v>10.4</v>
          </cell>
          <cell r="AG129">
            <v>8.8000000000000007</v>
          </cell>
          <cell r="AH129">
            <v>18.600000000000001</v>
          </cell>
          <cell r="AI129">
            <v>16.2</v>
          </cell>
          <cell r="AJ129">
            <v>0</v>
          </cell>
          <cell r="AK129">
            <v>0</v>
          </cell>
          <cell r="AL129">
            <v>0</v>
          </cell>
          <cell r="AM129" t="str">
            <v>новинка</v>
          </cell>
          <cell r="AN129">
            <v>5</v>
          </cell>
          <cell r="AO129">
            <v>3</v>
          </cell>
          <cell r="AP129" t="str">
            <v>SU004146</v>
          </cell>
        </row>
        <row r="130">
          <cell r="A130" t="str">
            <v xml:space="preserve"> 615  Гречка по-купечески с говядиной и овощами 0,325кг ТМ Стародворье  ПОКОМ</v>
          </cell>
          <cell r="B130" t="str">
            <v>шт</v>
          </cell>
          <cell r="C130">
            <v>52</v>
          </cell>
          <cell r="D130">
            <v>12</v>
          </cell>
          <cell r="E130">
            <v>38</v>
          </cell>
          <cell r="F130">
            <v>95</v>
          </cell>
          <cell r="G130">
            <v>0.32500000000000001</v>
          </cell>
          <cell r="I130" t="str">
            <v>матрица</v>
          </cell>
          <cell r="K130">
            <v>9</v>
          </cell>
          <cell r="L130">
            <v>29</v>
          </cell>
          <cell r="M130">
            <v>38</v>
          </cell>
          <cell r="Q130">
            <v>0</v>
          </cell>
          <cell r="W130">
            <v>7.6</v>
          </cell>
          <cell r="Y130">
            <v>0</v>
          </cell>
          <cell r="Z130">
            <v>0</v>
          </cell>
          <cell r="AC130">
            <v>12.5</v>
          </cell>
          <cell r="AD130">
            <v>12.5</v>
          </cell>
          <cell r="AE130">
            <v>7.6</v>
          </cell>
          <cell r="AF130">
            <v>5.2</v>
          </cell>
          <cell r="AG130">
            <v>5.2</v>
          </cell>
          <cell r="AH130">
            <v>10.199999999999999</v>
          </cell>
          <cell r="AI130">
            <v>9.8000000000000007</v>
          </cell>
          <cell r="AJ130">
            <v>0</v>
          </cell>
          <cell r="AK130">
            <v>0</v>
          </cell>
          <cell r="AL130">
            <v>0</v>
          </cell>
          <cell r="AM130" t="str">
            <v>новинка</v>
          </cell>
          <cell r="AN130">
            <v>0</v>
          </cell>
          <cell r="AO130">
            <v>0</v>
          </cell>
          <cell r="AP130" t="str">
            <v>SU004144</v>
          </cell>
        </row>
        <row r="131">
          <cell r="A131" t="str">
            <v xml:space="preserve"> 616  Индейка томлёная в собственном соку 0,25кг ТМ Стародлворье Консервый из мяс.птицы  ПОКОМ</v>
          </cell>
          <cell r="B131" t="str">
            <v>шт</v>
          </cell>
          <cell r="C131">
            <v>95</v>
          </cell>
          <cell r="D131">
            <v>36</v>
          </cell>
          <cell r="E131">
            <v>31</v>
          </cell>
          <cell r="F131">
            <v>103</v>
          </cell>
          <cell r="G131">
            <v>0.25</v>
          </cell>
          <cell r="I131" t="str">
            <v>матрица</v>
          </cell>
          <cell r="K131">
            <v>20</v>
          </cell>
          <cell r="L131">
            <v>11</v>
          </cell>
          <cell r="M131">
            <v>31</v>
          </cell>
          <cell r="Q131">
            <v>0</v>
          </cell>
          <cell r="W131">
            <v>6.2</v>
          </cell>
          <cell r="Y131">
            <v>0</v>
          </cell>
          <cell r="Z131">
            <v>0</v>
          </cell>
          <cell r="AC131">
            <v>16.612903225806452</v>
          </cell>
          <cell r="AD131">
            <v>16.612903225806452</v>
          </cell>
          <cell r="AE131">
            <v>6.2</v>
          </cell>
          <cell r="AF131">
            <v>9.8000000000000007</v>
          </cell>
          <cell r="AG131">
            <v>6.6</v>
          </cell>
          <cell r="AH131">
            <v>14.4</v>
          </cell>
          <cell r="AI131">
            <v>13.2</v>
          </cell>
          <cell r="AJ131">
            <v>0</v>
          </cell>
          <cell r="AK131">
            <v>0</v>
          </cell>
          <cell r="AL131">
            <v>0</v>
          </cell>
          <cell r="AM131" t="str">
            <v>новинка</v>
          </cell>
          <cell r="AN131">
            <v>0</v>
          </cell>
          <cell r="AO131">
            <v>0</v>
          </cell>
          <cell r="AP131" t="str">
            <v>SU004145</v>
          </cell>
        </row>
        <row r="132">
          <cell r="A132" t="str">
            <v>495  Колбаса Сочинка по-европейски с сочной грудинкой 0,3кг ТМ Стародворье  ПОКОМ</v>
          </cell>
          <cell r="B132" t="str">
            <v>шт</v>
          </cell>
          <cell r="C132">
            <v>42</v>
          </cell>
          <cell r="D132">
            <v>14</v>
          </cell>
          <cell r="E132">
            <v>66</v>
          </cell>
          <cell r="F132">
            <v>35</v>
          </cell>
          <cell r="G132">
            <v>0.3</v>
          </cell>
          <cell r="H132">
            <v>40</v>
          </cell>
          <cell r="I132" t="str">
            <v>НЕДОГРУЗ / матрица</v>
          </cell>
          <cell r="K132">
            <v>201</v>
          </cell>
          <cell r="L132">
            <v>-135</v>
          </cell>
          <cell r="M132">
            <v>66</v>
          </cell>
          <cell r="Q132">
            <v>100</v>
          </cell>
          <cell r="R132">
            <v>-102.00000000000001</v>
          </cell>
          <cell r="W132">
            <v>13.2</v>
          </cell>
          <cell r="X132">
            <v>50</v>
          </cell>
          <cell r="Y132">
            <v>50</v>
          </cell>
          <cell r="Z132">
            <v>50</v>
          </cell>
          <cell r="AA132">
            <v>25</v>
          </cell>
          <cell r="AC132">
            <v>8.1818181818181817</v>
          </cell>
          <cell r="AD132">
            <v>10.227272727272728</v>
          </cell>
          <cell r="AE132">
            <v>13.6</v>
          </cell>
          <cell r="AF132">
            <v>34</v>
          </cell>
          <cell r="AG132">
            <v>30.8</v>
          </cell>
          <cell r="AH132">
            <v>19.2</v>
          </cell>
          <cell r="AI132">
            <v>19</v>
          </cell>
          <cell r="AJ132">
            <v>33.6</v>
          </cell>
          <cell r="AK132">
            <v>39.4</v>
          </cell>
          <cell r="AL132">
            <v>30.6</v>
          </cell>
          <cell r="AN132">
            <v>15</v>
          </cell>
          <cell r="AO132">
            <v>8</v>
          </cell>
          <cell r="AP132" t="str">
            <v>SU002944</v>
          </cell>
        </row>
        <row r="133">
          <cell r="A133" t="str">
            <v>496  Колбаса Сочинка по-фински с сочным окроком 0,3кг ТМ Стародворье  ПОКОМ</v>
          </cell>
          <cell r="B133" t="str">
            <v>шт</v>
          </cell>
          <cell r="C133">
            <v>-10</v>
          </cell>
          <cell r="D133">
            <v>1</v>
          </cell>
          <cell r="E133">
            <v>2</v>
          </cell>
          <cell r="F133">
            <v>-12</v>
          </cell>
          <cell r="G133">
            <v>0.3</v>
          </cell>
          <cell r="H133">
            <v>40</v>
          </cell>
          <cell r="I133" t="str">
            <v>НЕДОГРУЗ / матрица</v>
          </cell>
          <cell r="K133">
            <v>3</v>
          </cell>
          <cell r="L133">
            <v>-1</v>
          </cell>
          <cell r="M133">
            <v>2</v>
          </cell>
          <cell r="Q133">
            <v>50</v>
          </cell>
          <cell r="R133">
            <v>-54</v>
          </cell>
          <cell r="W133">
            <v>0.4</v>
          </cell>
          <cell r="X133">
            <v>50</v>
          </cell>
          <cell r="Y133">
            <v>50</v>
          </cell>
          <cell r="Z133">
            <v>50</v>
          </cell>
          <cell r="AA133">
            <v>25</v>
          </cell>
          <cell r="AC133">
            <v>147.5</v>
          </cell>
          <cell r="AD133">
            <v>95</v>
          </cell>
          <cell r="AE133">
            <v>0.4</v>
          </cell>
          <cell r="AF133">
            <v>19.2</v>
          </cell>
          <cell r="AG133">
            <v>26.8</v>
          </cell>
          <cell r="AH133">
            <v>27.2</v>
          </cell>
          <cell r="AI133">
            <v>25.8</v>
          </cell>
          <cell r="AJ133">
            <v>20.8</v>
          </cell>
          <cell r="AK133">
            <v>23.6</v>
          </cell>
          <cell r="AL133">
            <v>23.6</v>
          </cell>
          <cell r="AN133">
            <v>15</v>
          </cell>
          <cell r="AO133">
            <v>8</v>
          </cell>
          <cell r="AP133" t="str">
            <v>SU002942</v>
          </cell>
        </row>
        <row r="134">
          <cell r="A134" t="str">
            <v>503 Колбаса Филейская со шпиком ТМ Вязанка в оболочке полиамид.ПОКОМ</v>
          </cell>
          <cell r="B134" t="str">
            <v>кг</v>
          </cell>
          <cell r="C134">
            <v>107.208</v>
          </cell>
          <cell r="D134">
            <v>73.757999999999996</v>
          </cell>
          <cell r="E134">
            <v>55.012999999999998</v>
          </cell>
          <cell r="F134">
            <v>116.578</v>
          </cell>
          <cell r="G134">
            <v>1</v>
          </cell>
          <cell r="H134">
            <v>50</v>
          </cell>
          <cell r="I134" t="str">
            <v>матрица</v>
          </cell>
          <cell r="K134">
            <v>56.5</v>
          </cell>
          <cell r="L134">
            <v>-1.4870000000000019</v>
          </cell>
          <cell r="M134">
            <v>55.012999999999998</v>
          </cell>
          <cell r="Q134">
            <v>0</v>
          </cell>
          <cell r="W134">
            <v>11.002599999999999</v>
          </cell>
          <cell r="X134">
            <v>15.453199999999981</v>
          </cell>
          <cell r="Y134">
            <v>15.453199999999981</v>
          </cell>
          <cell r="Z134">
            <v>15.453199999999981</v>
          </cell>
          <cell r="AC134">
            <v>12</v>
          </cell>
          <cell r="AD134">
            <v>10.595495610128516</v>
          </cell>
          <cell r="AE134">
            <v>11.002599999999999</v>
          </cell>
          <cell r="AF134">
            <v>13.903600000000001</v>
          </cell>
          <cell r="AG134">
            <v>13.324199999999999</v>
          </cell>
          <cell r="AH134">
            <v>7.5507999999999997</v>
          </cell>
          <cell r="AI134">
            <v>9.7211999999999996</v>
          </cell>
          <cell r="AJ134">
            <v>14.6806</v>
          </cell>
          <cell r="AK134">
            <v>16.251000000000001</v>
          </cell>
          <cell r="AL134">
            <v>9.7181999999999995</v>
          </cell>
          <cell r="AN134">
            <v>15</v>
          </cell>
          <cell r="AO134">
            <v>0</v>
          </cell>
          <cell r="AP134" t="str">
            <v>SU003642</v>
          </cell>
        </row>
        <row r="135">
          <cell r="A135" t="str">
            <v>515  Колбаса Сервелат Мясорубский Делюкс 0,3кг ТМ Стародворье  ПОКОМ</v>
          </cell>
          <cell r="B135" t="str">
            <v>шт</v>
          </cell>
          <cell r="C135">
            <v>7</v>
          </cell>
          <cell r="D135">
            <v>32</v>
          </cell>
          <cell r="E135">
            <v>49</v>
          </cell>
          <cell r="F135">
            <v>4</v>
          </cell>
          <cell r="G135">
            <v>0.3</v>
          </cell>
          <cell r="H135">
            <v>40</v>
          </cell>
          <cell r="I135" t="str">
            <v>НЕДОГРУЗ / матрица</v>
          </cell>
          <cell r="K135">
            <v>59</v>
          </cell>
          <cell r="L135">
            <v>-10</v>
          </cell>
          <cell r="M135">
            <v>49</v>
          </cell>
          <cell r="Q135">
            <v>20</v>
          </cell>
          <cell r="W135">
            <v>9.8000000000000007</v>
          </cell>
          <cell r="X135">
            <v>30</v>
          </cell>
          <cell r="Y135">
            <v>30</v>
          </cell>
          <cell r="Z135">
            <v>30</v>
          </cell>
          <cell r="AA135">
            <v>15</v>
          </cell>
          <cell r="AC135">
            <v>7.0408163265306118</v>
          </cell>
          <cell r="AD135">
            <v>2.4489795918367343</v>
          </cell>
          <cell r="AE135">
            <v>9.8000000000000007</v>
          </cell>
          <cell r="AF135">
            <v>4.5999999999999996</v>
          </cell>
          <cell r="AG135">
            <v>2.8</v>
          </cell>
          <cell r="AH135">
            <v>9.1999999999999993</v>
          </cell>
          <cell r="AI135">
            <v>12</v>
          </cell>
          <cell r="AJ135">
            <v>10.6</v>
          </cell>
          <cell r="AK135">
            <v>11.8</v>
          </cell>
          <cell r="AL135">
            <v>9</v>
          </cell>
          <cell r="AN135">
            <v>9</v>
          </cell>
          <cell r="AO135">
            <v>5</v>
          </cell>
          <cell r="AP135" t="str">
            <v>SU003829</v>
          </cell>
        </row>
        <row r="136">
          <cell r="A136" t="str">
            <v>519  Грудинка 0,12 кг нарезка ТМ Стародворье  ПОКОМ</v>
          </cell>
          <cell r="B136" t="str">
            <v>шт</v>
          </cell>
          <cell r="C136">
            <v>34</v>
          </cell>
          <cell r="D136">
            <v>122</v>
          </cell>
          <cell r="E136">
            <v>69</v>
          </cell>
          <cell r="F136">
            <v>93</v>
          </cell>
          <cell r="G136">
            <v>0.12</v>
          </cell>
          <cell r="H136">
            <v>45</v>
          </cell>
          <cell r="I136" t="str">
            <v>матрица</v>
          </cell>
          <cell r="K136">
            <v>53</v>
          </cell>
          <cell r="L136">
            <v>16</v>
          </cell>
          <cell r="M136">
            <v>69</v>
          </cell>
          <cell r="Q136">
            <v>39.59999999999998</v>
          </cell>
          <cell r="W136">
            <v>13.8</v>
          </cell>
          <cell r="X136">
            <v>33.000000000000043</v>
          </cell>
          <cell r="Y136">
            <v>33.000000000000043</v>
          </cell>
          <cell r="Z136">
            <v>33.000000000000043</v>
          </cell>
          <cell r="AC136">
            <v>12.000000000000002</v>
          </cell>
          <cell r="AD136">
            <v>9.6086956521739104</v>
          </cell>
          <cell r="AE136">
            <v>13.8</v>
          </cell>
          <cell r="AF136">
            <v>11.8</v>
          </cell>
          <cell r="AG136">
            <v>8.6</v>
          </cell>
          <cell r="AH136">
            <v>9.1999999999999993</v>
          </cell>
          <cell r="AI136">
            <v>6.6</v>
          </cell>
          <cell r="AJ136">
            <v>6</v>
          </cell>
          <cell r="AK136">
            <v>11.4</v>
          </cell>
          <cell r="AL136">
            <v>10.4</v>
          </cell>
          <cell r="AN136">
            <v>4</v>
          </cell>
          <cell r="AO136">
            <v>0</v>
          </cell>
          <cell r="AP136" t="str">
            <v>SU003921</v>
          </cell>
        </row>
        <row r="137">
          <cell r="A137" t="str">
            <v>БОНУС_615  Гречка по-купечески с говядиной и овощами 0,325кг ТМ Стародворье  ПОКОМ</v>
          </cell>
          <cell r="B137" t="str">
            <v>шт</v>
          </cell>
          <cell r="C137">
            <v>51</v>
          </cell>
          <cell r="E137">
            <v>18</v>
          </cell>
          <cell r="F137">
            <v>40</v>
          </cell>
          <cell r="G137">
            <v>0</v>
          </cell>
          <cell r="I137" t="str">
            <v>бонус</v>
          </cell>
          <cell r="J137" t="str">
            <v xml:space="preserve"> 615  Гречка по-купечески с говядиной и овощами 0,325кг ТМ Стародворье  ПОКОМ</v>
          </cell>
          <cell r="K137">
            <v>8</v>
          </cell>
          <cell r="L137">
            <v>10</v>
          </cell>
          <cell r="M137">
            <v>18</v>
          </cell>
          <cell r="Q137">
            <v>0</v>
          </cell>
          <cell r="W137">
            <v>3.6</v>
          </cell>
          <cell r="Y137">
            <v>0</v>
          </cell>
          <cell r="Z137">
            <v>0</v>
          </cell>
          <cell r="AC137">
            <v>11.111111111111111</v>
          </cell>
          <cell r="AD137">
            <v>11.111111111111111</v>
          </cell>
          <cell r="AE137">
            <v>3.6</v>
          </cell>
          <cell r="AF137">
            <v>4.8</v>
          </cell>
          <cell r="AG137">
            <v>2.4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N137">
            <v>0</v>
          </cell>
          <cell r="AO137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7" sqref="AN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1" width="7" style="19" customWidth="1"/>
    <col min="22" max="22" width="7" customWidth="1"/>
    <col min="23" max="24" width="5" customWidth="1"/>
    <col min="25" max="34" width="6" customWidth="1"/>
    <col min="35" max="35" width="16.5703125" customWidth="1"/>
    <col min="36" max="36" width="7" customWidth="1"/>
  </cols>
  <sheetData>
    <row r="1" spans="1:3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7">
        <v>-1.23</v>
      </c>
      <c r="U1" s="17"/>
      <c r="V1" s="1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16</v>
      </c>
      <c r="S3" s="3" t="s">
        <v>17</v>
      </c>
      <c r="T3" s="3" t="s">
        <v>18</v>
      </c>
      <c r="U3" s="3" t="s">
        <v>18</v>
      </c>
      <c r="V3" s="3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</row>
    <row r="4" spans="1:3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 t="s">
        <v>28</v>
      </c>
      <c r="U4" s="1" t="s">
        <v>306</v>
      </c>
      <c r="V4" s="1" t="s">
        <v>305</v>
      </c>
      <c r="W4" s="1"/>
      <c r="X4" s="1"/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/>
      <c r="AJ4" s="1"/>
      <c r="AL4">
        <v>1</v>
      </c>
    </row>
    <row r="5" spans="1:39" x14ac:dyDescent="0.25">
      <c r="A5" s="1"/>
      <c r="B5" s="1"/>
      <c r="C5" s="1"/>
      <c r="D5" s="1"/>
      <c r="E5" s="4">
        <f>SUM(E6:E499)</f>
        <v>21085.244999999995</v>
      </c>
      <c r="F5" s="4">
        <f>SUM(F6:F499)</f>
        <v>17790.478000000003</v>
      </c>
      <c r="G5" s="7"/>
      <c r="H5" s="1"/>
      <c r="I5" s="1"/>
      <c r="J5" s="1"/>
      <c r="K5" s="4">
        <f t="shared" ref="K5:V5" si="0">SUM(K6:K499)</f>
        <v>28518.525000000005</v>
      </c>
      <c r="L5" s="4">
        <f t="shared" si="0"/>
        <v>-7433.2800000000007</v>
      </c>
      <c r="M5" s="4">
        <f t="shared" si="0"/>
        <v>0</v>
      </c>
      <c r="N5" s="4">
        <f t="shared" si="0"/>
        <v>0</v>
      </c>
      <c r="O5" s="4">
        <f t="shared" si="0"/>
        <v>13199.154219999999</v>
      </c>
      <c r="P5" s="4">
        <f t="shared" si="0"/>
        <v>-3371.2559999999999</v>
      </c>
      <c r="Q5" s="4">
        <f t="shared" si="0"/>
        <v>1700</v>
      </c>
      <c r="R5" s="4">
        <f t="shared" si="0"/>
        <v>4217.0490000000009</v>
      </c>
      <c r="S5" s="4">
        <f t="shared" si="0"/>
        <v>19437.626243999999</v>
      </c>
      <c r="T5" s="4">
        <f t="shared" si="0"/>
        <v>13845.357700000002</v>
      </c>
      <c r="U5" s="4">
        <f t="shared" ref="U5" si="1">SUM(U6:U499)</f>
        <v>-1883.48</v>
      </c>
      <c r="V5" s="4">
        <f t="shared" si="0"/>
        <v>1550</v>
      </c>
      <c r="W5" s="1"/>
      <c r="X5" s="1"/>
      <c r="Y5" s="4">
        <f t="shared" ref="Y5:AH5" si="2">SUM(Y6:Y499)</f>
        <v>3809.9485999999984</v>
      </c>
      <c r="Z5" s="4">
        <f t="shared" si="2"/>
        <v>4467.6592000000001</v>
      </c>
      <c r="AA5" s="4">
        <f t="shared" si="2"/>
        <v>4046.9829999999988</v>
      </c>
      <c r="AB5" s="4">
        <f t="shared" si="2"/>
        <v>3390.857199999999</v>
      </c>
      <c r="AC5" s="4">
        <f t="shared" si="2"/>
        <v>3745.7852000000003</v>
      </c>
      <c r="AD5" s="4">
        <f t="shared" si="2"/>
        <v>4644.2882000000009</v>
      </c>
      <c r="AE5" s="4">
        <f t="shared" si="2"/>
        <v>4604.8541999999989</v>
      </c>
      <c r="AF5" s="4">
        <f t="shared" si="2"/>
        <v>4923.7491999999984</v>
      </c>
      <c r="AG5" s="4">
        <f t="shared" si="2"/>
        <v>4846.7421999999979</v>
      </c>
      <c r="AH5" s="4">
        <f t="shared" si="2"/>
        <v>4677.3707999999961</v>
      </c>
      <c r="AI5" s="1"/>
      <c r="AJ5" s="4">
        <f>SUM(AJ6:AJ499)</f>
        <v>10724</v>
      </c>
      <c r="AL5">
        <v>1</v>
      </c>
      <c r="AM5" s="4">
        <f>SUM(AM6:AM499)</f>
        <v>1550</v>
      </c>
    </row>
    <row r="6" spans="1:39" x14ac:dyDescent="0.25">
      <c r="A6" s="1" t="s">
        <v>39</v>
      </c>
      <c r="B6" s="1" t="s">
        <v>40</v>
      </c>
      <c r="C6" s="1">
        <v>243.61799999999999</v>
      </c>
      <c r="D6" s="1">
        <v>262.77100000000002</v>
      </c>
      <c r="E6" s="1">
        <v>319.81400000000002</v>
      </c>
      <c r="F6" s="1">
        <v>176.00700000000001</v>
      </c>
      <c r="G6" s="7">
        <v>1</v>
      </c>
      <c r="H6" s="1">
        <v>50</v>
      </c>
      <c r="I6" s="1" t="s">
        <v>41</v>
      </c>
      <c r="J6" s="1"/>
      <c r="K6" s="1">
        <v>297.5</v>
      </c>
      <c r="L6" s="1">
        <f t="shared" ref="L6:L37" si="3">E6-K6</f>
        <v>22.314000000000021</v>
      </c>
      <c r="M6" s="1"/>
      <c r="N6" s="1"/>
      <c r="O6" s="1">
        <v>230.60028399999999</v>
      </c>
      <c r="P6" s="1"/>
      <c r="Q6" s="1">
        <v>100</v>
      </c>
      <c r="R6" s="1">
        <f t="shared" ref="R6:R37" si="4">E6/5</f>
        <v>63.962800000000001</v>
      </c>
      <c r="S6" s="5">
        <f>12*R6-Q6-P6-O6-F6</f>
        <v>260.94631599999997</v>
      </c>
      <c r="T6" s="5">
        <f>S6+$T$1*R6</f>
        <v>182.27207199999998</v>
      </c>
      <c r="U6" s="5"/>
      <c r="V6" s="5"/>
      <c r="W6" s="1">
        <f>(F6+O6+P6+Q6+T6)/R6</f>
        <v>10.769999999999998</v>
      </c>
      <c r="X6" s="1">
        <f>(F6+O6+P6+Q6)/R6</f>
        <v>7.9203425115848587</v>
      </c>
      <c r="Y6" s="1">
        <v>58.955199999999998</v>
      </c>
      <c r="Z6" s="1">
        <v>54.327599999999997</v>
      </c>
      <c r="AA6" s="1">
        <v>47.706800000000001</v>
      </c>
      <c r="AB6" s="1">
        <v>28.063800000000001</v>
      </c>
      <c r="AC6" s="1">
        <v>26.715599999999998</v>
      </c>
      <c r="AD6" s="1">
        <v>48.6646</v>
      </c>
      <c r="AE6" s="1">
        <v>55.111400000000003</v>
      </c>
      <c r="AF6" s="1">
        <v>50.386399999999988</v>
      </c>
      <c r="AG6" s="1">
        <v>51.108400000000003</v>
      </c>
      <c r="AH6" s="1">
        <v>52.763399999999997</v>
      </c>
      <c r="AI6" s="1"/>
      <c r="AJ6" s="1">
        <f>ROUND(G6*T6,0)</f>
        <v>182</v>
      </c>
      <c r="AK6" t="s">
        <v>42</v>
      </c>
    </row>
    <row r="7" spans="1:39" x14ac:dyDescent="0.25">
      <c r="A7" s="1" t="s">
        <v>43</v>
      </c>
      <c r="B7" s="1" t="s">
        <v>40</v>
      </c>
      <c r="C7" s="1">
        <v>97.340999999999994</v>
      </c>
      <c r="D7" s="1">
        <v>833.14800000000002</v>
      </c>
      <c r="E7" s="1">
        <v>376.19400000000002</v>
      </c>
      <c r="F7" s="1">
        <v>483.07400000000001</v>
      </c>
      <c r="G7" s="7">
        <v>1</v>
      </c>
      <c r="H7" s="1">
        <v>45</v>
      </c>
      <c r="I7" s="1" t="s">
        <v>41</v>
      </c>
      <c r="J7" s="1"/>
      <c r="K7" s="1">
        <v>915.56</v>
      </c>
      <c r="L7" s="1">
        <f t="shared" si="3"/>
        <v>-539.36599999999999</v>
      </c>
      <c r="M7" s="1"/>
      <c r="N7" s="1"/>
      <c r="O7" s="1">
        <v>382.19719199999969</v>
      </c>
      <c r="P7" s="1"/>
      <c r="Q7" s="1"/>
      <c r="R7" s="1">
        <f t="shared" si="4"/>
        <v>75.238799999999998</v>
      </c>
      <c r="S7" s="5">
        <f>12*R7-Q7-P7-O7-F7</f>
        <v>37.594408000000215</v>
      </c>
      <c r="T7" s="5">
        <f>S7</f>
        <v>37.594408000000215</v>
      </c>
      <c r="U7" s="5"/>
      <c r="V7" s="5"/>
      <c r="W7" s="1">
        <f>(F7+O7+P7+Q7+T7)/R7</f>
        <v>11.999999999999998</v>
      </c>
      <c r="X7" s="1">
        <f>(F7+O7+P7+Q7)/R7</f>
        <v>11.500332169040439</v>
      </c>
      <c r="Y7" s="1">
        <v>35.7254</v>
      </c>
      <c r="Z7" s="1">
        <v>94.933799999999991</v>
      </c>
      <c r="AA7" s="1">
        <v>81.040400000000005</v>
      </c>
      <c r="AB7" s="1">
        <v>58.811599999999999</v>
      </c>
      <c r="AC7" s="1">
        <v>63.0702</v>
      </c>
      <c r="AD7" s="1">
        <v>39.780999999999999</v>
      </c>
      <c r="AE7" s="1">
        <v>30.569600000000001</v>
      </c>
      <c r="AF7" s="1">
        <v>17.161999999999999</v>
      </c>
      <c r="AG7" s="1">
        <v>29.265599999999999</v>
      </c>
      <c r="AH7" s="1">
        <v>120.8122</v>
      </c>
      <c r="AI7" s="1"/>
      <c r="AJ7" s="1">
        <f>ROUND(G7*T7,0)</f>
        <v>38</v>
      </c>
      <c r="AK7" t="s">
        <v>44</v>
      </c>
    </row>
    <row r="8" spans="1:39" x14ac:dyDescent="0.25">
      <c r="A8" s="1" t="s">
        <v>45</v>
      </c>
      <c r="B8" s="1" t="s">
        <v>40</v>
      </c>
      <c r="C8" s="1">
        <v>164.37700000000001</v>
      </c>
      <c r="D8" s="1">
        <v>886.57299999999998</v>
      </c>
      <c r="E8" s="1">
        <v>383.09800000000001</v>
      </c>
      <c r="F8" s="1">
        <v>592.16099999999994</v>
      </c>
      <c r="G8" s="7">
        <v>1</v>
      </c>
      <c r="H8" s="1">
        <v>45</v>
      </c>
      <c r="I8" s="1" t="s">
        <v>41</v>
      </c>
      <c r="J8" s="1"/>
      <c r="K8" s="1">
        <v>1123.634</v>
      </c>
      <c r="L8" s="1">
        <f t="shared" si="3"/>
        <v>-740.53600000000006</v>
      </c>
      <c r="M8" s="1"/>
      <c r="N8" s="1"/>
      <c r="O8" s="1">
        <v>451.65939999999989</v>
      </c>
      <c r="P8" s="1"/>
      <c r="Q8" s="1"/>
      <c r="R8" s="1">
        <f t="shared" si="4"/>
        <v>76.619600000000005</v>
      </c>
      <c r="S8" s="5"/>
      <c r="T8" s="5">
        <f>S8</f>
        <v>0</v>
      </c>
      <c r="U8" s="5"/>
      <c r="V8" s="5"/>
      <c r="W8" s="1">
        <f>(F8+O8+P8+Q8+T8)/R8</f>
        <v>13.623412286151321</v>
      </c>
      <c r="X8" s="1">
        <f>(F8+O8+P8+Q8)/R8</f>
        <v>13.623412286151321</v>
      </c>
      <c r="Y8" s="1">
        <v>58.682200000000002</v>
      </c>
      <c r="Z8" s="1">
        <v>110.33499999999999</v>
      </c>
      <c r="AA8" s="1">
        <v>93.042000000000002</v>
      </c>
      <c r="AB8" s="1">
        <v>68.473199999999991</v>
      </c>
      <c r="AC8" s="1">
        <v>73.171999999999997</v>
      </c>
      <c r="AD8" s="1">
        <v>62.864999999999988</v>
      </c>
      <c r="AE8" s="1">
        <v>52.998600000000003</v>
      </c>
      <c r="AF8" s="1">
        <v>41.674400000000013</v>
      </c>
      <c r="AG8" s="1">
        <v>95.290599999999998</v>
      </c>
      <c r="AH8" s="1">
        <v>107.0196</v>
      </c>
      <c r="AI8" s="14" t="s">
        <v>46</v>
      </c>
      <c r="AJ8" s="1">
        <f>ROUND(G8*T8,0)</f>
        <v>0</v>
      </c>
      <c r="AK8" t="s">
        <v>47</v>
      </c>
    </row>
    <row r="9" spans="1:39" x14ac:dyDescent="0.25">
      <c r="A9" s="9" t="s">
        <v>48</v>
      </c>
      <c r="B9" s="9" t="s">
        <v>49</v>
      </c>
      <c r="C9" s="9"/>
      <c r="D9" s="9"/>
      <c r="E9" s="9"/>
      <c r="F9" s="9"/>
      <c r="G9" s="10">
        <v>0</v>
      </c>
      <c r="H9" s="9"/>
      <c r="I9" s="9" t="s">
        <v>41</v>
      </c>
      <c r="J9" s="9"/>
      <c r="K9" s="9"/>
      <c r="L9" s="9">
        <f t="shared" si="3"/>
        <v>0</v>
      </c>
      <c r="M9" s="9"/>
      <c r="N9" s="9"/>
      <c r="O9" s="9">
        <v>0</v>
      </c>
      <c r="P9" s="9"/>
      <c r="Q9" s="9"/>
      <c r="R9" s="9">
        <f t="shared" si="4"/>
        <v>0</v>
      </c>
      <c r="S9" s="11"/>
      <c r="T9" s="5">
        <f>S9</f>
        <v>0</v>
      </c>
      <c r="U9" s="5"/>
      <c r="V9" s="5"/>
      <c r="W9" s="1" t="e">
        <f>(F9+O9+P9+Q9+T9)/R9</f>
        <v>#DIV/0!</v>
      </c>
      <c r="X9" s="9" t="e">
        <f>(F9+O9+P9+Q9)/R9</f>
        <v>#DIV/0!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 t="s">
        <v>50</v>
      </c>
      <c r="AJ9" s="1">
        <f>ROUND(G9*T9,0)</f>
        <v>0</v>
      </c>
      <c r="AK9" t="s">
        <v>51</v>
      </c>
    </row>
    <row r="10" spans="1:39" x14ac:dyDescent="0.25">
      <c r="A10" s="18" t="s">
        <v>52</v>
      </c>
      <c r="B10" s="1" t="s">
        <v>49</v>
      </c>
      <c r="C10" s="1">
        <v>558</v>
      </c>
      <c r="D10" s="1">
        <v>24</v>
      </c>
      <c r="E10" s="1">
        <v>303</v>
      </c>
      <c r="F10" s="1">
        <v>293</v>
      </c>
      <c r="G10" s="7">
        <v>0.45</v>
      </c>
      <c r="H10" s="1">
        <v>45</v>
      </c>
      <c r="I10" s="1" t="s">
        <v>41</v>
      </c>
      <c r="J10" s="1"/>
      <c r="K10" s="1">
        <v>831</v>
      </c>
      <c r="L10" s="1">
        <f t="shared" si="3"/>
        <v>-528</v>
      </c>
      <c r="M10" s="1"/>
      <c r="N10" s="1"/>
      <c r="O10" s="1">
        <v>694.96000000000015</v>
      </c>
      <c r="P10" s="1"/>
      <c r="Q10" s="1"/>
      <c r="R10" s="1">
        <f t="shared" si="4"/>
        <v>60.6</v>
      </c>
      <c r="S10" s="5"/>
      <c r="T10" s="5">
        <f>S10</f>
        <v>0</v>
      </c>
      <c r="U10" s="5"/>
      <c r="V10" s="5"/>
      <c r="W10" s="1">
        <f>(F10+O10+P10+Q10+T10+V10)/R10</f>
        <v>16.302970297029706</v>
      </c>
      <c r="X10" s="1">
        <f>(F10+O10+P10+Q10)/R10</f>
        <v>16.302970297029706</v>
      </c>
      <c r="Y10" s="1">
        <v>118.4</v>
      </c>
      <c r="Z10" s="1">
        <v>112.2</v>
      </c>
      <c r="AA10" s="1">
        <v>85.6</v>
      </c>
      <c r="AB10" s="1">
        <v>78.400000000000006</v>
      </c>
      <c r="AC10" s="1">
        <v>92.6</v>
      </c>
      <c r="AD10" s="1">
        <v>123.8</v>
      </c>
      <c r="AE10" s="1">
        <v>121.2</v>
      </c>
      <c r="AF10" s="1">
        <v>130.4</v>
      </c>
      <c r="AG10" s="1">
        <v>130.80000000000001</v>
      </c>
      <c r="AH10" s="1">
        <v>112.4</v>
      </c>
      <c r="AI10" s="1"/>
      <c r="AJ10" s="1">
        <f>ROUND(G10*T10,0)</f>
        <v>0</v>
      </c>
      <c r="AK10" t="s">
        <v>53</v>
      </c>
      <c r="AL10" t="str">
        <f>VLOOKUP(A10,[1]Sheet!$A:$AQ,43,0)</f>
        <v>SU001718</v>
      </c>
      <c r="AM10">
        <f>ROUND(V10*G10,0)</f>
        <v>0</v>
      </c>
    </row>
    <row r="11" spans="1:39" x14ac:dyDescent="0.25">
      <c r="A11" s="1" t="s">
        <v>54</v>
      </c>
      <c r="B11" s="1" t="s">
        <v>49</v>
      </c>
      <c r="C11" s="1">
        <v>599</v>
      </c>
      <c r="D11" s="1">
        <v>379</v>
      </c>
      <c r="E11" s="1">
        <v>815</v>
      </c>
      <c r="F11" s="1">
        <v>83</v>
      </c>
      <c r="G11" s="7">
        <v>0.45</v>
      </c>
      <c r="H11" s="1">
        <v>45</v>
      </c>
      <c r="I11" s="1" t="s">
        <v>41</v>
      </c>
      <c r="J11" s="1"/>
      <c r="K11" s="1">
        <v>1064</v>
      </c>
      <c r="L11" s="1">
        <f t="shared" si="3"/>
        <v>-249</v>
      </c>
      <c r="M11" s="1"/>
      <c r="N11" s="1"/>
      <c r="O11" s="1">
        <v>767.80799999999988</v>
      </c>
      <c r="P11" s="1"/>
      <c r="Q11" s="1"/>
      <c r="R11" s="1">
        <f t="shared" si="4"/>
        <v>163</v>
      </c>
      <c r="S11" s="5">
        <f>12*R11-Q11-P11-O11-F11</f>
        <v>1105.192</v>
      </c>
      <c r="T11" s="5">
        <f>S11+$T$1*R11</f>
        <v>904.702</v>
      </c>
      <c r="U11" s="5"/>
      <c r="V11" s="5"/>
      <c r="W11" s="1">
        <f>(F11+O11+P11+Q11+T11)/R11</f>
        <v>10.769999999999998</v>
      </c>
      <c r="X11" s="1">
        <f>(F11+O11+P11+Q11)/R11</f>
        <v>5.2196809815950909</v>
      </c>
      <c r="Y11" s="1">
        <v>152.80000000000001</v>
      </c>
      <c r="Z11" s="1">
        <v>151.19999999999999</v>
      </c>
      <c r="AA11" s="1">
        <v>121.8</v>
      </c>
      <c r="AB11" s="1">
        <v>115.2</v>
      </c>
      <c r="AC11" s="1">
        <v>136.4</v>
      </c>
      <c r="AD11" s="1">
        <v>154.6</v>
      </c>
      <c r="AE11" s="1">
        <v>104</v>
      </c>
      <c r="AF11" s="1">
        <v>95.2</v>
      </c>
      <c r="AG11" s="1">
        <v>133.4</v>
      </c>
      <c r="AH11" s="1">
        <v>138</v>
      </c>
      <c r="AI11" s="1"/>
      <c r="AJ11" s="1">
        <f>ROUND(G11*T11,0)</f>
        <v>407</v>
      </c>
      <c r="AK11" t="s">
        <v>55</v>
      </c>
    </row>
    <row r="12" spans="1:39" x14ac:dyDescent="0.25">
      <c r="A12" s="1" t="s">
        <v>56</v>
      </c>
      <c r="B12" s="1" t="s">
        <v>49</v>
      </c>
      <c r="C12" s="1"/>
      <c r="D12" s="1">
        <v>47</v>
      </c>
      <c r="E12" s="1">
        <v>46</v>
      </c>
      <c r="F12" s="1">
        <v>-3</v>
      </c>
      <c r="G12" s="7">
        <v>0.17</v>
      </c>
      <c r="H12" s="1">
        <v>180</v>
      </c>
      <c r="I12" s="1" t="s">
        <v>41</v>
      </c>
      <c r="J12" s="1"/>
      <c r="K12" s="1">
        <v>97</v>
      </c>
      <c r="L12" s="1">
        <f t="shared" si="3"/>
        <v>-51</v>
      </c>
      <c r="M12" s="1"/>
      <c r="N12" s="1"/>
      <c r="O12" s="1">
        <v>96.299999999999983</v>
      </c>
      <c r="P12" s="1"/>
      <c r="Q12" s="1"/>
      <c r="R12" s="1">
        <f t="shared" si="4"/>
        <v>9.1999999999999993</v>
      </c>
      <c r="S12" s="5">
        <f>12*R12-Q12-P12-O12-F12</f>
        <v>17.100000000000009</v>
      </c>
      <c r="T12" s="5">
        <f>S12</f>
        <v>17.100000000000009</v>
      </c>
      <c r="U12" s="5"/>
      <c r="V12" s="5"/>
      <c r="W12" s="1">
        <f>(F12+O12+P12+Q12+T12)/R12</f>
        <v>12</v>
      </c>
      <c r="X12" s="1">
        <f>(F12+O12+P12+Q12)/R12</f>
        <v>10.141304347826086</v>
      </c>
      <c r="Y12" s="1">
        <v>6.6</v>
      </c>
      <c r="Z12" s="1">
        <v>19.399999999999999</v>
      </c>
      <c r="AA12" s="1">
        <v>18</v>
      </c>
      <c r="AB12" s="1">
        <v>11.6</v>
      </c>
      <c r="AC12" s="1">
        <v>15</v>
      </c>
      <c r="AD12" s="1">
        <v>14</v>
      </c>
      <c r="AE12" s="1">
        <v>14.8</v>
      </c>
      <c r="AF12" s="1">
        <v>20</v>
      </c>
      <c r="AG12" s="1">
        <v>20.2</v>
      </c>
      <c r="AH12" s="1">
        <v>24.8</v>
      </c>
      <c r="AI12" s="1"/>
      <c r="AJ12" s="1">
        <f>ROUND(G12*T12,0)</f>
        <v>3</v>
      </c>
      <c r="AK12" t="s">
        <v>57</v>
      </c>
    </row>
    <row r="13" spans="1:39" x14ac:dyDescent="0.25">
      <c r="A13" s="1" t="s">
        <v>58</v>
      </c>
      <c r="B13" s="1" t="s">
        <v>49</v>
      </c>
      <c r="C13" s="1">
        <v>47</v>
      </c>
      <c r="D13" s="1">
        <v>80</v>
      </c>
      <c r="E13" s="1">
        <v>108</v>
      </c>
      <c r="F13" s="1">
        <v>6</v>
      </c>
      <c r="G13" s="7">
        <v>0.3</v>
      </c>
      <c r="H13" s="1">
        <v>40</v>
      </c>
      <c r="I13" s="13" t="s">
        <v>59</v>
      </c>
      <c r="J13" s="1"/>
      <c r="K13" s="1">
        <v>164</v>
      </c>
      <c r="L13" s="1">
        <f t="shared" si="3"/>
        <v>-56</v>
      </c>
      <c r="M13" s="1"/>
      <c r="N13" s="1"/>
      <c r="O13" s="1">
        <v>153.79599999999999</v>
      </c>
      <c r="P13" s="1">
        <v>-156</v>
      </c>
      <c r="Q13" s="1"/>
      <c r="R13" s="1">
        <f t="shared" si="4"/>
        <v>21.6</v>
      </c>
      <c r="S13" s="5">
        <v>60</v>
      </c>
      <c r="T13" s="5">
        <f>S13*0.5</f>
        <v>30</v>
      </c>
      <c r="U13" s="5">
        <v>-30</v>
      </c>
      <c r="V13" s="5"/>
      <c r="W13" s="1">
        <f>(F13+O13+P13+Q13+T13)/R13</f>
        <v>1.5646296296296291</v>
      </c>
      <c r="X13" s="1">
        <f>(F13+O13+P13+Q13)/R13</f>
        <v>0.17574074074074036</v>
      </c>
      <c r="Y13" s="1">
        <v>18.399999999999999</v>
      </c>
      <c r="Z13" s="1">
        <v>34.4</v>
      </c>
      <c r="AA13" s="1">
        <v>29.2</v>
      </c>
      <c r="AB13" s="1">
        <v>16.399999999999999</v>
      </c>
      <c r="AC13" s="1">
        <v>19.8</v>
      </c>
      <c r="AD13" s="1">
        <v>23.6</v>
      </c>
      <c r="AE13" s="1">
        <v>21</v>
      </c>
      <c r="AF13" s="1">
        <v>13.6</v>
      </c>
      <c r="AG13" s="1">
        <v>30.4</v>
      </c>
      <c r="AH13" s="1">
        <v>28.8</v>
      </c>
      <c r="AI13" s="1"/>
      <c r="AJ13" s="1">
        <f>ROUND(G13*T13,0)</f>
        <v>9</v>
      </c>
      <c r="AK13" t="s">
        <v>60</v>
      </c>
    </row>
    <row r="14" spans="1:39" x14ac:dyDescent="0.25">
      <c r="A14" s="1" t="s">
        <v>61</v>
      </c>
      <c r="B14" s="1" t="s">
        <v>49</v>
      </c>
      <c r="C14" s="1">
        <v>20</v>
      </c>
      <c r="D14" s="1">
        <v>340</v>
      </c>
      <c r="E14" s="1">
        <v>120</v>
      </c>
      <c r="F14" s="1">
        <v>215</v>
      </c>
      <c r="G14" s="7">
        <v>0.17</v>
      </c>
      <c r="H14" s="1">
        <v>180</v>
      </c>
      <c r="I14" s="1" t="s">
        <v>41</v>
      </c>
      <c r="J14" s="1"/>
      <c r="K14" s="1">
        <v>254</v>
      </c>
      <c r="L14" s="1">
        <f t="shared" si="3"/>
        <v>-134</v>
      </c>
      <c r="M14" s="1"/>
      <c r="N14" s="1"/>
      <c r="O14" s="1">
        <v>293.10399999999998</v>
      </c>
      <c r="P14" s="1"/>
      <c r="Q14" s="1"/>
      <c r="R14" s="1">
        <f t="shared" si="4"/>
        <v>24</v>
      </c>
      <c r="S14" s="5"/>
      <c r="T14" s="5">
        <f>S14</f>
        <v>0</v>
      </c>
      <c r="U14" s="5"/>
      <c r="V14" s="5"/>
      <c r="W14" s="1">
        <f>(F14+O14+P14+Q14+T14)/R14</f>
        <v>21.170999999999999</v>
      </c>
      <c r="X14" s="1">
        <f>(F14+O14+P14+Q14)/R14</f>
        <v>21.170999999999999</v>
      </c>
      <c r="Y14" s="1">
        <v>26.8</v>
      </c>
      <c r="Z14" s="1">
        <v>45.6</v>
      </c>
      <c r="AA14" s="1">
        <v>32</v>
      </c>
      <c r="AB14" s="1">
        <v>21.4</v>
      </c>
      <c r="AC14" s="1">
        <v>18.2</v>
      </c>
      <c r="AD14" s="1">
        <v>21.2</v>
      </c>
      <c r="AE14" s="1">
        <v>27.6</v>
      </c>
      <c r="AF14" s="1">
        <v>28.6</v>
      </c>
      <c r="AG14" s="1">
        <v>30.2</v>
      </c>
      <c r="AH14" s="1">
        <v>40.200000000000003</v>
      </c>
      <c r="AI14" s="1"/>
      <c r="AJ14" s="1">
        <f>ROUND(G14*T14,0)</f>
        <v>0</v>
      </c>
      <c r="AK14" t="s">
        <v>62</v>
      </c>
    </row>
    <row r="15" spans="1:39" x14ac:dyDescent="0.25">
      <c r="A15" s="18" t="s">
        <v>63</v>
      </c>
      <c r="B15" s="1" t="s">
        <v>40</v>
      </c>
      <c r="C15" s="1">
        <v>684.798</v>
      </c>
      <c r="D15" s="1">
        <v>223.33799999999999</v>
      </c>
      <c r="E15" s="1">
        <v>396.67500000000001</v>
      </c>
      <c r="F15" s="1">
        <v>482.12799999999999</v>
      </c>
      <c r="G15" s="7">
        <v>1</v>
      </c>
      <c r="H15" s="1">
        <v>70</v>
      </c>
      <c r="I15" s="1" t="s">
        <v>41</v>
      </c>
      <c r="J15" s="1"/>
      <c r="K15" s="1">
        <v>374.47899999999998</v>
      </c>
      <c r="L15" s="1">
        <f t="shared" si="3"/>
        <v>22.196000000000026</v>
      </c>
      <c r="M15" s="1"/>
      <c r="N15" s="1"/>
      <c r="O15" s="1">
        <v>158.871252</v>
      </c>
      <c r="P15" s="1"/>
      <c r="Q15" s="1">
        <v>200</v>
      </c>
      <c r="R15" s="1">
        <f t="shared" si="4"/>
        <v>79.335000000000008</v>
      </c>
      <c r="S15" s="5">
        <f t="shared" ref="S15:S22" si="5">12*R15-Q15-P15-O15-F15</f>
        <v>111.02074800000008</v>
      </c>
      <c r="T15" s="5">
        <f>S15+$T$1*R15</f>
        <v>13.438698000000073</v>
      </c>
      <c r="U15" s="5"/>
      <c r="V15" s="5"/>
      <c r="W15" s="1">
        <f>(F15+O15+P15+Q15+T15+V15)/R15</f>
        <v>10.77</v>
      </c>
      <c r="X15" s="1">
        <f>(F15+O15+P15+Q15)/R15</f>
        <v>10.600608205709962</v>
      </c>
      <c r="Y15" s="1">
        <v>73.63</v>
      </c>
      <c r="Z15" s="1">
        <v>79.357799999999997</v>
      </c>
      <c r="AA15" s="1">
        <v>76.665199999999999</v>
      </c>
      <c r="AB15" s="1">
        <v>60.802999999999997</v>
      </c>
      <c r="AC15" s="1">
        <v>75.010400000000004</v>
      </c>
      <c r="AD15" s="1">
        <v>103.798</v>
      </c>
      <c r="AE15" s="1">
        <v>100.63639999999999</v>
      </c>
      <c r="AF15" s="1">
        <v>101.03440000000001</v>
      </c>
      <c r="AG15" s="1">
        <v>101.12820000000001</v>
      </c>
      <c r="AH15" s="1">
        <v>101.80880000000001</v>
      </c>
      <c r="AI15" s="1"/>
      <c r="AJ15" s="1">
        <f>ROUND(G15*T15,0)</f>
        <v>13</v>
      </c>
      <c r="AK15" t="s">
        <v>64</v>
      </c>
      <c r="AL15" t="str">
        <f>VLOOKUP(A15,[1]Sheet!$A:$AQ,43,0)</f>
        <v>SU002035</v>
      </c>
      <c r="AM15">
        <f>ROUND(V15*G15,0)</f>
        <v>0</v>
      </c>
    </row>
    <row r="16" spans="1:39" x14ac:dyDescent="0.25">
      <c r="A16" s="18" t="s">
        <v>65</v>
      </c>
      <c r="B16" s="1" t="s">
        <v>40</v>
      </c>
      <c r="C16" s="1">
        <v>4416.5460000000003</v>
      </c>
      <c r="D16" s="1">
        <v>117.127</v>
      </c>
      <c r="E16" s="1">
        <v>2218.6590000000001</v>
      </c>
      <c r="F16" s="1">
        <v>2120.4940000000001</v>
      </c>
      <c r="G16" s="7">
        <v>1</v>
      </c>
      <c r="H16" s="1">
        <v>50</v>
      </c>
      <c r="I16" s="1" t="s">
        <v>41</v>
      </c>
      <c r="J16" s="1"/>
      <c r="K16" s="1">
        <v>2266.6640000000002</v>
      </c>
      <c r="L16" s="1">
        <f t="shared" si="3"/>
        <v>-48.005000000000109</v>
      </c>
      <c r="M16" s="1"/>
      <c r="N16" s="1"/>
      <c r="O16" s="1">
        <v>0</v>
      </c>
      <c r="P16" s="1"/>
      <c r="Q16" s="1">
        <v>900</v>
      </c>
      <c r="R16" s="1">
        <f t="shared" si="4"/>
        <v>443.73180000000002</v>
      </c>
      <c r="S16" s="5">
        <f t="shared" si="5"/>
        <v>2304.2876000000001</v>
      </c>
      <c r="T16" s="5">
        <f>S16+$T$1*R16</f>
        <v>1758.4974860000002</v>
      </c>
      <c r="U16" s="5"/>
      <c r="V16" s="5">
        <v>450</v>
      </c>
      <c r="W16" s="1">
        <f>(F16+O16+P16+Q16+T16+V16)/R16</f>
        <v>11.784126100495842</v>
      </c>
      <c r="X16" s="1">
        <f>(F16+O16+P16+Q16)/R16</f>
        <v>6.8070262262024039</v>
      </c>
      <c r="Y16" s="1">
        <v>379.55279999999999</v>
      </c>
      <c r="Z16" s="1">
        <v>332.78500000000003</v>
      </c>
      <c r="AA16" s="1">
        <v>290.48419999999999</v>
      </c>
      <c r="AB16" s="1">
        <v>294.3408</v>
      </c>
      <c r="AC16" s="1">
        <v>370.44220000000001</v>
      </c>
      <c r="AD16" s="1">
        <v>447.33139999999997</v>
      </c>
      <c r="AE16" s="1">
        <v>426.28320000000002</v>
      </c>
      <c r="AF16" s="1">
        <v>485.00200000000012</v>
      </c>
      <c r="AG16" s="1">
        <v>444.64399999999989</v>
      </c>
      <c r="AH16" s="1">
        <v>417.89479999999998</v>
      </c>
      <c r="AI16" s="1"/>
      <c r="AJ16" s="1">
        <f>ROUND(G16*T16,0)</f>
        <v>1758</v>
      </c>
      <c r="AK16" t="s">
        <v>66</v>
      </c>
      <c r="AL16" t="str">
        <f>VLOOKUP(A16,[1]Sheet!$A:$AQ,43,0)</f>
        <v>SU000126</v>
      </c>
      <c r="AM16">
        <f>ROUND(V16*G16,0)</f>
        <v>450</v>
      </c>
    </row>
    <row r="17" spans="1:37" x14ac:dyDescent="0.25">
      <c r="A17" s="1" t="s">
        <v>67</v>
      </c>
      <c r="B17" s="1" t="s">
        <v>40</v>
      </c>
      <c r="C17" s="1">
        <v>88.659000000000006</v>
      </c>
      <c r="D17" s="1">
        <v>6.9969999999999999</v>
      </c>
      <c r="E17" s="1">
        <v>70.046999999999997</v>
      </c>
      <c r="F17" s="1">
        <v>15.119</v>
      </c>
      <c r="G17" s="7">
        <v>1</v>
      </c>
      <c r="H17" s="1">
        <v>60</v>
      </c>
      <c r="I17" s="1" t="s">
        <v>41</v>
      </c>
      <c r="J17" s="1"/>
      <c r="K17" s="1">
        <v>80.8</v>
      </c>
      <c r="L17" s="1">
        <f t="shared" si="3"/>
        <v>-10.753</v>
      </c>
      <c r="M17" s="1"/>
      <c r="N17" s="1"/>
      <c r="O17" s="1">
        <v>85.641000000000005</v>
      </c>
      <c r="P17" s="1"/>
      <c r="Q17" s="1"/>
      <c r="R17" s="1">
        <f t="shared" si="4"/>
        <v>14.009399999999999</v>
      </c>
      <c r="S17" s="5">
        <f t="shared" si="5"/>
        <v>67.352799999999988</v>
      </c>
      <c r="T17" s="5">
        <f>S17+$T$1*R17</f>
        <v>50.121237999999991</v>
      </c>
      <c r="U17" s="5"/>
      <c r="V17" s="5"/>
      <c r="W17" s="1">
        <f>(F17+O17+P17+Q17+T17)/R17</f>
        <v>10.77</v>
      </c>
      <c r="X17" s="1">
        <f>(F17+O17+P17+Q17)/R17</f>
        <v>7.1923137322083752</v>
      </c>
      <c r="Y17" s="1">
        <v>15.593999999999999</v>
      </c>
      <c r="Z17" s="1">
        <v>14.525</v>
      </c>
      <c r="AA17" s="1">
        <v>9.8002000000000002</v>
      </c>
      <c r="AB17" s="1">
        <v>6.9792000000000014</v>
      </c>
      <c r="AC17" s="1">
        <v>11.373200000000001</v>
      </c>
      <c r="AD17" s="1">
        <v>21.314399999999999</v>
      </c>
      <c r="AE17" s="1">
        <v>17.635999999999999</v>
      </c>
      <c r="AF17" s="1">
        <v>7.6536</v>
      </c>
      <c r="AG17" s="1">
        <v>10.663399999999999</v>
      </c>
      <c r="AH17" s="1">
        <v>17.847000000000001</v>
      </c>
      <c r="AI17" s="1"/>
      <c r="AJ17" s="1">
        <f>ROUND(G17*T17,0)</f>
        <v>50</v>
      </c>
      <c r="AK17" t="s">
        <v>68</v>
      </c>
    </row>
    <row r="18" spans="1:37" x14ac:dyDescent="0.25">
      <c r="A18" s="1" t="s">
        <v>69</v>
      </c>
      <c r="B18" s="1" t="s">
        <v>40</v>
      </c>
      <c r="C18" s="1">
        <v>23.561</v>
      </c>
      <c r="D18" s="1">
        <v>58.179000000000002</v>
      </c>
      <c r="E18" s="1">
        <v>36.154000000000003</v>
      </c>
      <c r="F18" s="1">
        <v>47.442</v>
      </c>
      <c r="G18" s="7">
        <v>1</v>
      </c>
      <c r="H18" s="1">
        <v>60</v>
      </c>
      <c r="I18" s="1" t="s">
        <v>41</v>
      </c>
      <c r="J18" s="1"/>
      <c r="K18" s="1">
        <v>47.5</v>
      </c>
      <c r="L18" s="1">
        <f t="shared" si="3"/>
        <v>-11.345999999999997</v>
      </c>
      <c r="M18" s="1"/>
      <c r="N18" s="1"/>
      <c r="O18" s="1">
        <v>0</v>
      </c>
      <c r="P18" s="1"/>
      <c r="Q18" s="1"/>
      <c r="R18" s="1">
        <f t="shared" si="4"/>
        <v>7.2308000000000003</v>
      </c>
      <c r="S18" s="5">
        <f t="shared" si="5"/>
        <v>39.327599999999997</v>
      </c>
      <c r="T18" s="5">
        <f>S18</f>
        <v>39.327599999999997</v>
      </c>
      <c r="U18" s="5"/>
      <c r="V18" s="5"/>
      <c r="W18" s="1">
        <f>(F18+O18+P18+Q18+T18)/R18</f>
        <v>11.999999999999998</v>
      </c>
      <c r="X18" s="1">
        <f>(F18+O18+P18+Q18)/R18</f>
        <v>6.5610997400011062</v>
      </c>
      <c r="Y18" s="1">
        <v>4.5262000000000002</v>
      </c>
      <c r="Z18" s="1">
        <v>6.3393999999999986</v>
      </c>
      <c r="AA18" s="1">
        <v>6.4408000000000003</v>
      </c>
      <c r="AB18" s="1">
        <v>6.5603999999999996</v>
      </c>
      <c r="AC18" s="1">
        <v>4.7707999999999986</v>
      </c>
      <c r="AD18" s="1">
        <v>6.2031999999999998</v>
      </c>
      <c r="AE18" s="1">
        <v>6.2096</v>
      </c>
      <c r="AF18" s="1">
        <v>4.9654000000000007</v>
      </c>
      <c r="AG18" s="1">
        <v>3.7240000000000002</v>
      </c>
      <c r="AH18" s="1">
        <v>4.6079999999999997</v>
      </c>
      <c r="AI18" s="1"/>
      <c r="AJ18" s="1">
        <f>ROUND(G18*T18,0)</f>
        <v>39</v>
      </c>
      <c r="AK18" t="s">
        <v>70</v>
      </c>
    </row>
    <row r="19" spans="1:37" x14ac:dyDescent="0.25">
      <c r="A19" s="1" t="s">
        <v>71</v>
      </c>
      <c r="B19" s="1" t="s">
        <v>40</v>
      </c>
      <c r="C19" s="1">
        <v>12.614000000000001</v>
      </c>
      <c r="D19" s="1">
        <v>40.593000000000004</v>
      </c>
      <c r="E19" s="1">
        <v>25.119</v>
      </c>
      <c r="F19" s="1">
        <v>27.356000000000002</v>
      </c>
      <c r="G19" s="7">
        <v>1</v>
      </c>
      <c r="H19" s="1">
        <v>180</v>
      </c>
      <c r="I19" s="1" t="s">
        <v>41</v>
      </c>
      <c r="J19" s="1"/>
      <c r="K19" s="1">
        <v>25.82</v>
      </c>
      <c r="L19" s="1">
        <f t="shared" si="3"/>
        <v>-0.70100000000000051</v>
      </c>
      <c r="M19" s="1"/>
      <c r="N19" s="1"/>
      <c r="O19" s="1">
        <v>21.337600000000009</v>
      </c>
      <c r="P19" s="1"/>
      <c r="Q19" s="1"/>
      <c r="R19" s="1">
        <f t="shared" si="4"/>
        <v>5.0237999999999996</v>
      </c>
      <c r="S19" s="5">
        <f t="shared" si="5"/>
        <v>11.591999999999985</v>
      </c>
      <c r="T19" s="5">
        <f>S19</f>
        <v>11.591999999999985</v>
      </c>
      <c r="U19" s="5"/>
      <c r="V19" s="5"/>
      <c r="W19" s="1">
        <f>(F19+O19+P19+Q19+T19)/R19</f>
        <v>12</v>
      </c>
      <c r="X19" s="1">
        <f>(F19+O19+P19+Q19)/R19</f>
        <v>9.6925833034754589</v>
      </c>
      <c r="Y19" s="1">
        <v>4.1154000000000002</v>
      </c>
      <c r="Z19" s="1">
        <v>5.633</v>
      </c>
      <c r="AA19" s="1">
        <v>5.0154000000000014</v>
      </c>
      <c r="AB19" s="1">
        <v>2.7675999999999998</v>
      </c>
      <c r="AC19" s="1">
        <v>2.0844</v>
      </c>
      <c r="AD19" s="1">
        <v>1.048</v>
      </c>
      <c r="AE19" s="1">
        <v>2.5106000000000002</v>
      </c>
      <c r="AF19" s="1">
        <v>4.2141999999999999</v>
      </c>
      <c r="AG19" s="1">
        <v>3.7368000000000001</v>
      </c>
      <c r="AH19" s="1">
        <v>4.8635999999999999</v>
      </c>
      <c r="AI19" s="1"/>
      <c r="AJ19" s="1">
        <f>ROUND(G19*T19,0)</f>
        <v>12</v>
      </c>
      <c r="AK19" t="s">
        <v>72</v>
      </c>
    </row>
    <row r="20" spans="1:37" x14ac:dyDescent="0.25">
      <c r="A20" s="1" t="s">
        <v>73</v>
      </c>
      <c r="B20" s="1" t="s">
        <v>40</v>
      </c>
      <c r="C20" s="1">
        <v>395.41300000000001</v>
      </c>
      <c r="D20" s="1">
        <v>75.944000000000003</v>
      </c>
      <c r="E20" s="1">
        <v>378.36</v>
      </c>
      <c r="F20" s="1">
        <v>89.471999999999994</v>
      </c>
      <c r="G20" s="7">
        <v>1</v>
      </c>
      <c r="H20" s="1">
        <v>60</v>
      </c>
      <c r="I20" s="1" t="s">
        <v>41</v>
      </c>
      <c r="J20" s="1"/>
      <c r="K20" s="1">
        <v>326.88</v>
      </c>
      <c r="L20" s="1">
        <f t="shared" si="3"/>
        <v>51.480000000000018</v>
      </c>
      <c r="M20" s="1"/>
      <c r="N20" s="1"/>
      <c r="O20" s="1">
        <v>382.25206800000018</v>
      </c>
      <c r="P20" s="1"/>
      <c r="Q20" s="1"/>
      <c r="R20" s="1">
        <f t="shared" si="4"/>
        <v>75.671999999999997</v>
      </c>
      <c r="S20" s="5">
        <f t="shared" si="5"/>
        <v>436.33993199999986</v>
      </c>
      <c r="T20" s="5">
        <f>S20+$T$1*R20</f>
        <v>343.26337199999989</v>
      </c>
      <c r="U20" s="5"/>
      <c r="V20" s="5"/>
      <c r="W20" s="1">
        <f>(F20+O20+P20+Q20+T20)/R20</f>
        <v>10.770000000000001</v>
      </c>
      <c r="X20" s="1">
        <f>(F20+O20+P20+Q20)/R20</f>
        <v>6.2337993973993049</v>
      </c>
      <c r="Y20" s="1">
        <v>73.896600000000007</v>
      </c>
      <c r="Z20" s="1">
        <v>72.609400000000008</v>
      </c>
      <c r="AA20" s="1">
        <v>53.276200000000003</v>
      </c>
      <c r="AB20" s="1">
        <v>50.758800000000001</v>
      </c>
      <c r="AC20" s="1">
        <v>59.435799999999993</v>
      </c>
      <c r="AD20" s="1">
        <v>77.672799999999995</v>
      </c>
      <c r="AE20" s="1">
        <v>76.057199999999995</v>
      </c>
      <c r="AF20" s="1">
        <v>82.202399999999997</v>
      </c>
      <c r="AG20" s="1">
        <v>88.697599999999994</v>
      </c>
      <c r="AH20" s="1">
        <v>89.646000000000001</v>
      </c>
      <c r="AI20" s="1"/>
      <c r="AJ20" s="1">
        <f>ROUND(G20*T20,0)</f>
        <v>343</v>
      </c>
      <c r="AK20" t="s">
        <v>74</v>
      </c>
    </row>
    <row r="21" spans="1:37" x14ac:dyDescent="0.25">
      <c r="A21" s="1" t="s">
        <v>75</v>
      </c>
      <c r="B21" s="1" t="s">
        <v>40</v>
      </c>
      <c r="C21" s="1">
        <v>101.229</v>
      </c>
      <c r="D21" s="1">
        <v>91.501000000000005</v>
      </c>
      <c r="E21" s="1">
        <v>67.596000000000004</v>
      </c>
      <c r="F21" s="1">
        <v>118.13</v>
      </c>
      <c r="G21" s="7">
        <v>1</v>
      </c>
      <c r="H21" s="1">
        <v>70</v>
      </c>
      <c r="I21" s="1" t="s">
        <v>41</v>
      </c>
      <c r="J21" s="1"/>
      <c r="K21" s="1">
        <v>123.3</v>
      </c>
      <c r="L21" s="1">
        <f t="shared" si="3"/>
        <v>-55.703999999999994</v>
      </c>
      <c r="M21" s="1"/>
      <c r="N21" s="1"/>
      <c r="O21" s="1">
        <v>23.079350000000051</v>
      </c>
      <c r="P21" s="1"/>
      <c r="Q21" s="1"/>
      <c r="R21" s="1">
        <f t="shared" si="4"/>
        <v>13.519200000000001</v>
      </c>
      <c r="S21" s="5">
        <f t="shared" si="5"/>
        <v>21.021049999999974</v>
      </c>
      <c r="T21" s="5">
        <f>S21</f>
        <v>21.021049999999974</v>
      </c>
      <c r="U21" s="5"/>
      <c r="V21" s="5"/>
      <c r="W21" s="1">
        <f>(F21+O21+P21+Q21+T21)/R21</f>
        <v>12.000000000000002</v>
      </c>
      <c r="X21" s="1">
        <f>(F21+O21+P21+Q21)/R21</f>
        <v>10.445096603349313</v>
      </c>
      <c r="Y21" s="1">
        <v>6.452</v>
      </c>
      <c r="Z21" s="1">
        <v>17.515000000000001</v>
      </c>
      <c r="AA21" s="1">
        <v>20.354600000000001</v>
      </c>
      <c r="AB21" s="1">
        <v>12.7774</v>
      </c>
      <c r="AC21" s="1">
        <v>14.9056</v>
      </c>
      <c r="AD21" s="1">
        <v>21.267399999999999</v>
      </c>
      <c r="AE21" s="1">
        <v>15.830399999999999</v>
      </c>
      <c r="AF21" s="1">
        <v>19.5242</v>
      </c>
      <c r="AG21" s="1">
        <v>23.744399999999999</v>
      </c>
      <c r="AH21" s="1">
        <v>22.281199999999998</v>
      </c>
      <c r="AI21" s="1"/>
      <c r="AJ21" s="1">
        <f>ROUND(G21*T21,0)</f>
        <v>21</v>
      </c>
      <c r="AK21" t="s">
        <v>76</v>
      </c>
    </row>
    <row r="22" spans="1:37" x14ac:dyDescent="0.25">
      <c r="A22" s="1" t="s">
        <v>77</v>
      </c>
      <c r="B22" s="1" t="s">
        <v>40</v>
      </c>
      <c r="C22" s="1">
        <v>158.40199999999999</v>
      </c>
      <c r="D22" s="1">
        <v>87.801000000000002</v>
      </c>
      <c r="E22" s="1">
        <v>209.887</v>
      </c>
      <c r="F22" s="1">
        <v>28.498000000000001</v>
      </c>
      <c r="G22" s="7">
        <v>1</v>
      </c>
      <c r="H22" s="1">
        <v>70</v>
      </c>
      <c r="I22" s="1" t="s">
        <v>41</v>
      </c>
      <c r="J22" s="1"/>
      <c r="K22" s="1">
        <v>202.2</v>
      </c>
      <c r="L22" s="1">
        <f t="shared" si="3"/>
        <v>7.6870000000000118</v>
      </c>
      <c r="M22" s="1"/>
      <c r="N22" s="1"/>
      <c r="O22" s="1">
        <v>188.75653600000001</v>
      </c>
      <c r="P22" s="1"/>
      <c r="Q22" s="1"/>
      <c r="R22" s="1">
        <f t="shared" si="4"/>
        <v>41.977400000000003</v>
      </c>
      <c r="S22" s="5">
        <f t="shared" si="5"/>
        <v>286.47426400000001</v>
      </c>
      <c r="T22" s="5">
        <f>S22+$T$1*R22</f>
        <v>234.842062</v>
      </c>
      <c r="U22" s="5">
        <v>-237.6</v>
      </c>
      <c r="V22" s="5"/>
      <c r="W22" s="1">
        <f>(F22+O22+P22+Q22+T22)/R22</f>
        <v>10.769999999999998</v>
      </c>
      <c r="X22" s="1">
        <f>(F22+O22+P22+Q22)/R22</f>
        <v>5.1755119659626363</v>
      </c>
      <c r="Y22" s="1">
        <v>38.621600000000001</v>
      </c>
      <c r="Z22" s="1">
        <v>36.080399999999997</v>
      </c>
      <c r="AA22" s="1">
        <v>27.281199999999998</v>
      </c>
      <c r="AB22" s="1">
        <v>19.441600000000001</v>
      </c>
      <c r="AC22" s="1">
        <v>26.1462</v>
      </c>
      <c r="AD22" s="1">
        <v>35.3934</v>
      </c>
      <c r="AE22" s="1">
        <v>33.106000000000002</v>
      </c>
      <c r="AF22" s="1">
        <v>38.613</v>
      </c>
      <c r="AG22" s="1">
        <v>42.749600000000001</v>
      </c>
      <c r="AH22" s="1">
        <v>46.347000000000001</v>
      </c>
      <c r="AI22" s="1"/>
      <c r="AJ22" s="1">
        <f>ROUND(G22*T22,0)</f>
        <v>235</v>
      </c>
      <c r="AK22" t="s">
        <v>78</v>
      </c>
    </row>
    <row r="23" spans="1:37" x14ac:dyDescent="0.25">
      <c r="A23" s="1" t="s">
        <v>79</v>
      </c>
      <c r="B23" s="1" t="s">
        <v>40</v>
      </c>
      <c r="C23" s="1">
        <v>0.23400000000000001</v>
      </c>
      <c r="D23" s="1">
        <v>57.444000000000003</v>
      </c>
      <c r="E23" s="1">
        <v>1.387</v>
      </c>
      <c r="F23" s="1">
        <v>56.305</v>
      </c>
      <c r="G23" s="7">
        <v>1</v>
      </c>
      <c r="H23" s="1">
        <v>180</v>
      </c>
      <c r="I23" s="1" t="s">
        <v>41</v>
      </c>
      <c r="J23" s="1"/>
      <c r="K23" s="1">
        <v>5.49</v>
      </c>
      <c r="L23" s="1">
        <f t="shared" si="3"/>
        <v>-4.1029999999999998</v>
      </c>
      <c r="M23" s="1"/>
      <c r="N23" s="1"/>
      <c r="O23" s="1">
        <v>59.302200000000013</v>
      </c>
      <c r="P23" s="1"/>
      <c r="Q23" s="1"/>
      <c r="R23" s="1">
        <f t="shared" si="4"/>
        <v>0.27739999999999998</v>
      </c>
      <c r="S23" s="5"/>
      <c r="T23" s="5">
        <f>S23</f>
        <v>0</v>
      </c>
      <c r="U23" s="5"/>
      <c r="V23" s="5"/>
      <c r="W23" s="1">
        <f>(F23+O23+P23+Q23+T23)/R23</f>
        <v>416.7527036770008</v>
      </c>
      <c r="X23" s="1">
        <f>(F23+O23+P23+Q23)/R23</f>
        <v>416.7527036770008</v>
      </c>
      <c r="Y23" s="1">
        <v>1.9434</v>
      </c>
      <c r="Z23" s="1">
        <v>9.5144000000000002</v>
      </c>
      <c r="AA23" s="1">
        <v>7.9891999999999994</v>
      </c>
      <c r="AB23" s="1">
        <v>1.3806</v>
      </c>
      <c r="AC23" s="1">
        <v>1.7283999999999999</v>
      </c>
      <c r="AD23" s="1">
        <v>4.5865999999999998</v>
      </c>
      <c r="AE23" s="1">
        <v>6.9908000000000001</v>
      </c>
      <c r="AF23" s="1">
        <v>5.9451999999999998</v>
      </c>
      <c r="AG23" s="1">
        <v>3.044</v>
      </c>
      <c r="AH23" s="1">
        <v>3.5346000000000002</v>
      </c>
      <c r="AI23" s="1"/>
      <c r="AJ23" s="1">
        <f>ROUND(G23*T23,0)</f>
        <v>0</v>
      </c>
      <c r="AK23" t="s">
        <v>80</v>
      </c>
    </row>
    <row r="24" spans="1:37" x14ac:dyDescent="0.25">
      <c r="A24" s="1" t="s">
        <v>81</v>
      </c>
      <c r="B24" s="1" t="s">
        <v>40</v>
      </c>
      <c r="C24" s="1">
        <v>291.596</v>
      </c>
      <c r="D24" s="1">
        <v>83.825999999999993</v>
      </c>
      <c r="E24" s="1">
        <v>222.02500000000001</v>
      </c>
      <c r="F24" s="1">
        <v>145.51499999999999</v>
      </c>
      <c r="G24" s="7">
        <v>1</v>
      </c>
      <c r="H24" s="1">
        <v>70</v>
      </c>
      <c r="I24" s="1" t="s">
        <v>41</v>
      </c>
      <c r="J24" s="1"/>
      <c r="K24" s="1">
        <v>229.8</v>
      </c>
      <c r="L24" s="1">
        <f t="shared" si="3"/>
        <v>-7.7750000000000057</v>
      </c>
      <c r="M24" s="1"/>
      <c r="N24" s="1"/>
      <c r="O24" s="1">
        <v>144.34988799999999</v>
      </c>
      <c r="P24" s="1"/>
      <c r="Q24" s="1"/>
      <c r="R24" s="1">
        <f t="shared" si="4"/>
        <v>44.405000000000001</v>
      </c>
      <c r="S24" s="5">
        <f>12*R24-Q24-P24-O24-F24</f>
        <v>242.99511200000006</v>
      </c>
      <c r="T24" s="5">
        <f>S24+$T$1*R24</f>
        <v>188.37696200000005</v>
      </c>
      <c r="U24" s="5">
        <v>-190.08</v>
      </c>
      <c r="V24" s="5"/>
      <c r="W24" s="1">
        <f>(F24+O24+P24+Q24+T24)/R24</f>
        <v>10.77</v>
      </c>
      <c r="X24" s="1">
        <f>(F24+O24+P24+Q24)/R24</f>
        <v>6.5277533611079823</v>
      </c>
      <c r="Y24" s="1">
        <v>38.7042</v>
      </c>
      <c r="Z24" s="1">
        <v>38.443199999999997</v>
      </c>
      <c r="AA24" s="1">
        <v>28.137799999999999</v>
      </c>
      <c r="AB24" s="1">
        <v>28.372</v>
      </c>
      <c r="AC24" s="1">
        <v>35.245800000000003</v>
      </c>
      <c r="AD24" s="1">
        <v>48.939599999999999</v>
      </c>
      <c r="AE24" s="1">
        <v>43.491199999999999</v>
      </c>
      <c r="AF24" s="1">
        <v>38.692599999999999</v>
      </c>
      <c r="AG24" s="1">
        <v>45.932200000000002</v>
      </c>
      <c r="AH24" s="1">
        <v>42.074399999999997</v>
      </c>
      <c r="AI24" s="1"/>
      <c r="AJ24" s="1">
        <f>ROUND(G24*T24,0)</f>
        <v>188</v>
      </c>
      <c r="AK24" t="s">
        <v>82</v>
      </c>
    </row>
    <row r="25" spans="1:37" x14ac:dyDescent="0.25">
      <c r="A25" s="9" t="s">
        <v>83</v>
      </c>
      <c r="B25" s="9" t="s">
        <v>40</v>
      </c>
      <c r="C25" s="9"/>
      <c r="D25" s="9"/>
      <c r="E25" s="9"/>
      <c r="F25" s="9"/>
      <c r="G25" s="10">
        <v>0</v>
      </c>
      <c r="H25" s="9"/>
      <c r="I25" s="9" t="s">
        <v>41</v>
      </c>
      <c r="J25" s="9"/>
      <c r="K25" s="9"/>
      <c r="L25" s="9">
        <f t="shared" si="3"/>
        <v>0</v>
      </c>
      <c r="M25" s="9"/>
      <c r="N25" s="9"/>
      <c r="O25" s="9">
        <v>0</v>
      </c>
      <c r="P25" s="9"/>
      <c r="Q25" s="9"/>
      <c r="R25" s="9">
        <f t="shared" si="4"/>
        <v>0</v>
      </c>
      <c r="S25" s="11"/>
      <c r="T25" s="5">
        <f>S25</f>
        <v>0</v>
      </c>
      <c r="U25" s="5"/>
      <c r="V25" s="5"/>
      <c r="W25" s="1" t="e">
        <f>(F25+O25+P25+Q25+T25)/R25</f>
        <v>#DIV/0!</v>
      </c>
      <c r="X25" s="9" t="e">
        <f>(F25+O25+P25+Q25)/R25</f>
        <v>#DIV/0!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 t="s">
        <v>50</v>
      </c>
      <c r="AJ25" s="1">
        <f>ROUND(G25*T25,0)</f>
        <v>0</v>
      </c>
      <c r="AK25" t="s">
        <v>84</v>
      </c>
    </row>
    <row r="26" spans="1:37" x14ac:dyDescent="0.25">
      <c r="A26" s="1" t="s">
        <v>85</v>
      </c>
      <c r="B26" s="1" t="s">
        <v>40</v>
      </c>
      <c r="C26" s="1">
        <v>5.5609999999999999</v>
      </c>
      <c r="D26" s="1">
        <v>329.553</v>
      </c>
      <c r="E26" s="1">
        <v>70.097999999999999</v>
      </c>
      <c r="F26" s="1">
        <v>220.167</v>
      </c>
      <c r="G26" s="7">
        <v>1</v>
      </c>
      <c r="H26" s="1"/>
      <c r="I26" s="1" t="s">
        <v>41</v>
      </c>
      <c r="J26" s="1"/>
      <c r="K26" s="1">
        <v>133</v>
      </c>
      <c r="L26" s="1">
        <f t="shared" si="3"/>
        <v>-62.902000000000001</v>
      </c>
      <c r="M26" s="1"/>
      <c r="N26" s="1"/>
      <c r="O26" s="1">
        <v>0</v>
      </c>
      <c r="P26" s="1"/>
      <c r="Q26" s="1"/>
      <c r="R26" s="1">
        <f t="shared" si="4"/>
        <v>14.019600000000001</v>
      </c>
      <c r="S26" s="5"/>
      <c r="T26" s="5">
        <f>S26</f>
        <v>0</v>
      </c>
      <c r="U26" s="5"/>
      <c r="V26" s="5"/>
      <c r="W26" s="1">
        <f>(F26+O26+P26+Q26+T26)/R26</f>
        <v>15.704228366001882</v>
      </c>
      <c r="X26" s="1">
        <f>(F26+O26+P26+Q26)/R26</f>
        <v>15.704228366001882</v>
      </c>
      <c r="Y26" s="1">
        <v>0.69540000000000002</v>
      </c>
      <c r="Z26" s="1">
        <v>3.7128000000000001</v>
      </c>
      <c r="AA26" s="1">
        <v>7.3063999999999991</v>
      </c>
      <c r="AB26" s="1">
        <v>22.351600000000001</v>
      </c>
      <c r="AC26" s="1">
        <v>23.732600000000001</v>
      </c>
      <c r="AD26" s="1">
        <v>5.7994000000000003</v>
      </c>
      <c r="AE26" s="1">
        <v>0</v>
      </c>
      <c r="AF26" s="1">
        <v>0</v>
      </c>
      <c r="AG26" s="1">
        <v>0</v>
      </c>
      <c r="AH26" s="1">
        <v>0</v>
      </c>
      <c r="AI26" s="1" t="s">
        <v>86</v>
      </c>
      <c r="AJ26" s="1">
        <f>ROUND(G26*T26,0)</f>
        <v>0</v>
      </c>
      <c r="AK26" t="s">
        <v>87</v>
      </c>
    </row>
    <row r="27" spans="1:37" x14ac:dyDescent="0.25">
      <c r="A27" s="1" t="s">
        <v>88</v>
      </c>
      <c r="B27" s="1" t="s">
        <v>40</v>
      </c>
      <c r="C27" s="1">
        <v>-2.5000000000000001E-2</v>
      </c>
      <c r="D27" s="1"/>
      <c r="E27" s="1">
        <v>-5.8150000000000004</v>
      </c>
      <c r="F27" s="1">
        <v>-2.5000000000000001E-2</v>
      </c>
      <c r="G27" s="7">
        <v>1</v>
      </c>
      <c r="H27" s="1">
        <v>40</v>
      </c>
      <c r="I27" s="13" t="s">
        <v>59</v>
      </c>
      <c r="J27" s="1"/>
      <c r="K27" s="1">
        <v>17.3</v>
      </c>
      <c r="L27" s="1">
        <f t="shared" si="3"/>
        <v>-23.115000000000002</v>
      </c>
      <c r="M27" s="1"/>
      <c r="N27" s="1"/>
      <c r="O27" s="1">
        <v>100</v>
      </c>
      <c r="P27" s="1">
        <v>-108</v>
      </c>
      <c r="Q27" s="1"/>
      <c r="R27" s="1">
        <f t="shared" si="4"/>
        <v>-1.163</v>
      </c>
      <c r="S27" s="5">
        <v>70</v>
      </c>
      <c r="T27" s="5">
        <f>S27*0.45</f>
        <v>31.5</v>
      </c>
      <c r="U27" s="5">
        <v>-36</v>
      </c>
      <c r="V27" s="5"/>
      <c r="W27" s="1">
        <f>(F27+O27+P27+Q27+T27)/R27</f>
        <v>-20.184866723989675</v>
      </c>
      <c r="X27" s="1">
        <f>(F27+O27+P27+Q27)/R27</f>
        <v>6.9002579535683628</v>
      </c>
      <c r="Y27" s="1">
        <v>-0.50919999999999999</v>
      </c>
      <c r="Z27" s="1">
        <v>-0.21679999999999999</v>
      </c>
      <c r="AA27" s="1">
        <v>-0.21679999999999999</v>
      </c>
      <c r="AB27" s="1">
        <v>9.5777999999999999</v>
      </c>
      <c r="AC27" s="1">
        <v>37.691400000000002</v>
      </c>
      <c r="AD27" s="1">
        <v>56.543799999999997</v>
      </c>
      <c r="AE27" s="1">
        <v>34.541200000000003</v>
      </c>
      <c r="AF27" s="1">
        <v>38.505600000000001</v>
      </c>
      <c r="AG27" s="1">
        <v>32.977800000000002</v>
      </c>
      <c r="AH27" s="1">
        <v>14.902200000000001</v>
      </c>
      <c r="AI27" s="1"/>
      <c r="AJ27" s="1">
        <f>ROUND(G27*T27,0)</f>
        <v>32</v>
      </c>
      <c r="AK27" t="s">
        <v>89</v>
      </c>
    </row>
    <row r="28" spans="1:37" x14ac:dyDescent="0.25">
      <c r="A28" s="1" t="s">
        <v>90</v>
      </c>
      <c r="B28" s="1" t="s">
        <v>40</v>
      </c>
      <c r="C28" s="1">
        <v>142.84</v>
      </c>
      <c r="D28" s="1">
        <v>166.49100000000001</v>
      </c>
      <c r="E28" s="1">
        <v>212.571</v>
      </c>
      <c r="F28" s="1">
        <v>9.2710000000000008</v>
      </c>
      <c r="G28" s="7">
        <v>1</v>
      </c>
      <c r="H28" s="1">
        <v>30</v>
      </c>
      <c r="I28" s="13" t="s">
        <v>59</v>
      </c>
      <c r="J28" s="1"/>
      <c r="K28" s="1">
        <v>323.60000000000002</v>
      </c>
      <c r="L28" s="1">
        <f t="shared" si="3"/>
        <v>-111.02900000000002</v>
      </c>
      <c r="M28" s="1"/>
      <c r="N28" s="1"/>
      <c r="O28" s="1">
        <v>180</v>
      </c>
      <c r="P28" s="1"/>
      <c r="Q28" s="1"/>
      <c r="R28" s="1">
        <f t="shared" si="4"/>
        <v>42.514200000000002</v>
      </c>
      <c r="S28" s="5">
        <v>200</v>
      </c>
      <c r="T28" s="5">
        <f>S28*0.45</f>
        <v>90</v>
      </c>
      <c r="U28" s="5"/>
      <c r="V28" s="5"/>
      <c r="W28" s="1">
        <f>(F28+O28+P28+Q28+T28)/R28</f>
        <v>6.5688875716819322</v>
      </c>
      <c r="X28" s="1">
        <f>(F28+O28+P28+Q28)/R28</f>
        <v>4.4519478197872715</v>
      </c>
      <c r="Y28" s="1">
        <v>44.266199999999998</v>
      </c>
      <c r="Z28" s="1">
        <v>41.836200000000012</v>
      </c>
      <c r="AA28" s="1">
        <v>28.0486</v>
      </c>
      <c r="AB28" s="1">
        <v>11.816000000000001</v>
      </c>
      <c r="AC28" s="1">
        <v>3.6137999999999999</v>
      </c>
      <c r="AD28" s="1">
        <v>28.007400000000001</v>
      </c>
      <c r="AE28" s="1">
        <v>35.287799999999997</v>
      </c>
      <c r="AF28" s="1">
        <v>16.3886</v>
      </c>
      <c r="AG28" s="1">
        <v>14.622999999999999</v>
      </c>
      <c r="AH28" s="1">
        <v>57.747199999999999</v>
      </c>
      <c r="AI28" s="1"/>
      <c r="AJ28" s="1">
        <f>ROUND(G28*T28,0)</f>
        <v>90</v>
      </c>
      <c r="AK28" t="s">
        <v>91</v>
      </c>
    </row>
    <row r="29" spans="1:37" x14ac:dyDescent="0.25">
      <c r="A29" s="1" t="s">
        <v>92</v>
      </c>
      <c r="B29" s="1" t="s">
        <v>40</v>
      </c>
      <c r="C29" s="1">
        <v>1.518</v>
      </c>
      <c r="D29" s="1">
        <v>1.4</v>
      </c>
      <c r="E29" s="1">
        <v>-12.749000000000001</v>
      </c>
      <c r="F29" s="1">
        <v>1.518</v>
      </c>
      <c r="G29" s="7">
        <v>1</v>
      </c>
      <c r="H29" s="1">
        <v>40</v>
      </c>
      <c r="I29" s="13" t="s">
        <v>59</v>
      </c>
      <c r="J29" s="1"/>
      <c r="K29" s="1">
        <v>144.4</v>
      </c>
      <c r="L29" s="1">
        <f t="shared" si="3"/>
        <v>-157.149</v>
      </c>
      <c r="M29" s="1"/>
      <c r="N29" s="1"/>
      <c r="O29" s="1">
        <v>500</v>
      </c>
      <c r="P29" s="1">
        <v>-504</v>
      </c>
      <c r="Q29" s="1"/>
      <c r="R29" s="1">
        <f t="shared" si="4"/>
        <v>-2.5498000000000003</v>
      </c>
      <c r="S29" s="5">
        <v>300</v>
      </c>
      <c r="T29" s="5">
        <f>S29*0.45</f>
        <v>135</v>
      </c>
      <c r="U29" s="5"/>
      <c r="V29" s="5"/>
      <c r="W29" s="1">
        <f>(F29+O29+P29+Q29+T29)/R29</f>
        <v>-51.971919366224782</v>
      </c>
      <c r="X29" s="1">
        <f>(F29+O29+P29+Q29)/R29</f>
        <v>0.97340967919053556</v>
      </c>
      <c r="Y29" s="1">
        <v>-1.9388000000000001</v>
      </c>
      <c r="Z29" s="1">
        <v>2.0426000000000002</v>
      </c>
      <c r="AA29" s="1">
        <v>72.69919999999999</v>
      </c>
      <c r="AB29" s="1">
        <v>116.389</v>
      </c>
      <c r="AC29" s="1">
        <v>99.9422</v>
      </c>
      <c r="AD29" s="1">
        <v>194.2286</v>
      </c>
      <c r="AE29" s="1">
        <v>221.15479999999999</v>
      </c>
      <c r="AF29" s="1">
        <v>290.73820000000001</v>
      </c>
      <c r="AG29" s="1">
        <v>221.20740000000001</v>
      </c>
      <c r="AH29" s="1">
        <v>21.023</v>
      </c>
      <c r="AI29" s="1"/>
      <c r="AJ29" s="1">
        <f>ROUND(G29*T29,0)</f>
        <v>135</v>
      </c>
      <c r="AK29" t="s">
        <v>93</v>
      </c>
    </row>
    <row r="30" spans="1:37" x14ac:dyDescent="0.25">
      <c r="A30" s="1" t="s">
        <v>94</v>
      </c>
      <c r="B30" s="1" t="s">
        <v>40</v>
      </c>
      <c r="C30" s="1">
        <v>2.95</v>
      </c>
      <c r="D30" s="1"/>
      <c r="E30" s="1">
        <v>2.4049999999999998</v>
      </c>
      <c r="F30" s="1">
        <v>-0.03</v>
      </c>
      <c r="G30" s="7">
        <v>1</v>
      </c>
      <c r="H30" s="1">
        <v>40</v>
      </c>
      <c r="I30" s="13" t="s">
        <v>59</v>
      </c>
      <c r="J30" s="1"/>
      <c r="K30" s="1">
        <v>2.8</v>
      </c>
      <c r="L30" s="1">
        <f t="shared" si="3"/>
        <v>-0.39500000000000002</v>
      </c>
      <c r="M30" s="1"/>
      <c r="N30" s="1"/>
      <c r="O30" s="1">
        <v>31.142400000000009</v>
      </c>
      <c r="P30" s="1">
        <v>-36</v>
      </c>
      <c r="Q30" s="1"/>
      <c r="R30" s="1">
        <f t="shared" si="4"/>
        <v>0.48099999999999998</v>
      </c>
      <c r="S30" s="5">
        <v>20</v>
      </c>
      <c r="T30" s="5">
        <f>S30*0.5</f>
        <v>10</v>
      </c>
      <c r="U30" s="5"/>
      <c r="V30" s="5"/>
      <c r="W30" s="1">
        <f>(F30+O30+P30+Q30+T30)/R30</f>
        <v>10.628690228690246</v>
      </c>
      <c r="X30" s="1">
        <f>(F30+O30+P30+Q30)/R30</f>
        <v>-10.161330561330544</v>
      </c>
      <c r="Y30" s="1">
        <v>1.6794</v>
      </c>
      <c r="Z30" s="1">
        <v>6.8876000000000008</v>
      </c>
      <c r="AA30" s="1">
        <v>7.1876000000000007</v>
      </c>
      <c r="AB30" s="1">
        <v>1.4984</v>
      </c>
      <c r="AC30" s="1">
        <v>0</v>
      </c>
      <c r="AD30" s="1">
        <v>0</v>
      </c>
      <c r="AE30" s="1">
        <v>0.90600000000000003</v>
      </c>
      <c r="AF30" s="1">
        <v>5.2767999999999997</v>
      </c>
      <c r="AG30" s="1">
        <v>4.3708</v>
      </c>
      <c r="AH30" s="1">
        <v>-0.6048</v>
      </c>
      <c r="AI30" s="1"/>
      <c r="AJ30" s="1">
        <f>ROUND(G30*T30,0)</f>
        <v>10</v>
      </c>
      <c r="AK30" t="s">
        <v>95</v>
      </c>
    </row>
    <row r="31" spans="1:37" x14ac:dyDescent="0.25">
      <c r="A31" s="1" t="s">
        <v>96</v>
      </c>
      <c r="B31" s="1" t="s">
        <v>40</v>
      </c>
      <c r="C31" s="1">
        <v>46.752000000000002</v>
      </c>
      <c r="D31" s="1">
        <v>185.83</v>
      </c>
      <c r="E31" s="1">
        <v>47.689</v>
      </c>
      <c r="F31" s="1">
        <v>115.91</v>
      </c>
      <c r="G31" s="7">
        <v>1</v>
      </c>
      <c r="H31" s="1">
        <v>30</v>
      </c>
      <c r="I31" s="1" t="s">
        <v>41</v>
      </c>
      <c r="J31" s="1"/>
      <c r="K31" s="1">
        <v>86.4</v>
      </c>
      <c r="L31" s="1">
        <f t="shared" si="3"/>
        <v>-38.711000000000006</v>
      </c>
      <c r="M31" s="1"/>
      <c r="N31" s="1"/>
      <c r="O31" s="1">
        <v>0</v>
      </c>
      <c r="P31" s="1"/>
      <c r="Q31" s="1"/>
      <c r="R31" s="1">
        <f t="shared" si="4"/>
        <v>9.5378000000000007</v>
      </c>
      <c r="S31" s="5"/>
      <c r="T31" s="5">
        <f>S31</f>
        <v>0</v>
      </c>
      <c r="U31" s="5"/>
      <c r="V31" s="5"/>
      <c r="W31" s="1">
        <f>(F31+O31+P31+Q31+T31)/R31</f>
        <v>12.152697687097652</v>
      </c>
      <c r="X31" s="1">
        <f>(F31+O31+P31+Q31)/R31</f>
        <v>12.152697687097652</v>
      </c>
      <c r="Y31" s="1">
        <v>4.1444000000000001</v>
      </c>
      <c r="Z31" s="1">
        <v>12.799799999999999</v>
      </c>
      <c r="AA31" s="1">
        <v>20.229199999999999</v>
      </c>
      <c r="AB31" s="1">
        <v>9.969199999999999</v>
      </c>
      <c r="AC31" s="1">
        <v>5.0338000000000003</v>
      </c>
      <c r="AD31" s="1">
        <v>7.6532</v>
      </c>
      <c r="AE31" s="1">
        <v>15.609400000000001</v>
      </c>
      <c r="AF31" s="1">
        <v>19.0808</v>
      </c>
      <c r="AG31" s="1">
        <v>10.242800000000001</v>
      </c>
      <c r="AH31" s="1">
        <v>10.489800000000001</v>
      </c>
      <c r="AI31" s="1"/>
      <c r="AJ31" s="1">
        <f>ROUND(G31*T31,0)</f>
        <v>0</v>
      </c>
      <c r="AK31" t="s">
        <v>97</v>
      </c>
    </row>
    <row r="32" spans="1:37" x14ac:dyDescent="0.25">
      <c r="A32" s="1" t="s">
        <v>98</v>
      </c>
      <c r="B32" s="1" t="s">
        <v>40</v>
      </c>
      <c r="C32" s="1">
        <v>147.94</v>
      </c>
      <c r="D32" s="1">
        <v>81.150999999999996</v>
      </c>
      <c r="E32" s="1">
        <v>108.22199999999999</v>
      </c>
      <c r="F32" s="1">
        <v>18.972000000000001</v>
      </c>
      <c r="G32" s="7">
        <v>1</v>
      </c>
      <c r="H32" s="1">
        <v>50</v>
      </c>
      <c r="I32" s="1" t="s">
        <v>41</v>
      </c>
      <c r="J32" s="1"/>
      <c r="K32" s="1">
        <v>137.36500000000001</v>
      </c>
      <c r="L32" s="1">
        <f t="shared" si="3"/>
        <v>-29.143000000000015</v>
      </c>
      <c r="M32" s="1"/>
      <c r="N32" s="1"/>
      <c r="O32" s="1">
        <v>0</v>
      </c>
      <c r="P32" s="1"/>
      <c r="Q32" s="1"/>
      <c r="R32" s="1">
        <f t="shared" si="4"/>
        <v>21.644399999999997</v>
      </c>
      <c r="S32" s="5">
        <f>8*R32-Q32-P32-O32-F32</f>
        <v>154.18319999999997</v>
      </c>
      <c r="T32" s="5">
        <f>S32+$T$1*R32</f>
        <v>127.56058799999997</v>
      </c>
      <c r="U32" s="5"/>
      <c r="V32" s="5"/>
      <c r="W32" s="1">
        <f>(F32+O32+P32+Q32+T32)/R32</f>
        <v>6.77</v>
      </c>
      <c r="X32" s="1">
        <f>(F32+O32+P32+Q32)/R32</f>
        <v>0.87653157398680503</v>
      </c>
      <c r="Y32" s="1">
        <v>16.348800000000001</v>
      </c>
      <c r="Z32" s="1">
        <v>13.0716</v>
      </c>
      <c r="AA32" s="1">
        <v>12.183</v>
      </c>
      <c r="AB32" s="1">
        <v>16.6722</v>
      </c>
      <c r="AC32" s="1">
        <v>19.813600000000001</v>
      </c>
      <c r="AD32" s="1">
        <v>12.786799999999999</v>
      </c>
      <c r="AE32" s="1">
        <v>7.3365999999999998</v>
      </c>
      <c r="AF32" s="1">
        <v>20.953199999999999</v>
      </c>
      <c r="AG32" s="1">
        <v>32.764400000000002</v>
      </c>
      <c r="AH32" s="1">
        <v>27.847000000000001</v>
      </c>
      <c r="AI32" s="1"/>
      <c r="AJ32" s="1">
        <f>ROUND(G32*T32,0)</f>
        <v>128</v>
      </c>
      <c r="AK32" t="s">
        <v>99</v>
      </c>
    </row>
    <row r="33" spans="1:37" x14ac:dyDescent="0.25">
      <c r="A33" s="1" t="s">
        <v>100</v>
      </c>
      <c r="B33" s="1" t="s">
        <v>40</v>
      </c>
      <c r="C33" s="1">
        <v>51.743000000000002</v>
      </c>
      <c r="D33" s="1">
        <v>110.541</v>
      </c>
      <c r="E33" s="1">
        <v>61.192999999999998</v>
      </c>
      <c r="F33" s="1">
        <v>61.167000000000002</v>
      </c>
      <c r="G33" s="7">
        <v>1</v>
      </c>
      <c r="H33" s="1">
        <v>50</v>
      </c>
      <c r="I33" s="1" t="s">
        <v>41</v>
      </c>
      <c r="J33" s="1"/>
      <c r="K33" s="1">
        <v>95.7</v>
      </c>
      <c r="L33" s="1">
        <f t="shared" si="3"/>
        <v>-34.507000000000005</v>
      </c>
      <c r="M33" s="1"/>
      <c r="N33" s="1"/>
      <c r="O33" s="1">
        <v>0</v>
      </c>
      <c r="P33" s="1"/>
      <c r="Q33" s="1"/>
      <c r="R33" s="1">
        <f t="shared" si="4"/>
        <v>12.2386</v>
      </c>
      <c r="S33" s="5">
        <f>12*R33-Q33-P33-O33-F33</f>
        <v>85.696200000000005</v>
      </c>
      <c r="T33" s="5">
        <f>S33+$T$1*R33</f>
        <v>70.642722000000006</v>
      </c>
      <c r="U33" s="5"/>
      <c r="V33" s="5"/>
      <c r="W33" s="1">
        <f>(F33+O33+P33+Q33+T33)/R33</f>
        <v>10.770000000000001</v>
      </c>
      <c r="X33" s="1">
        <f>(F33+O33+P33+Q33)/R33</f>
        <v>4.9978755740035625</v>
      </c>
      <c r="Y33" s="1">
        <v>7.5937999999999999</v>
      </c>
      <c r="Z33" s="1">
        <v>11.585599999999999</v>
      </c>
      <c r="AA33" s="1">
        <v>11.974</v>
      </c>
      <c r="AB33" s="1">
        <v>13.573399999999999</v>
      </c>
      <c r="AC33" s="1">
        <v>14.6586</v>
      </c>
      <c r="AD33" s="1">
        <v>12.297599999999999</v>
      </c>
      <c r="AE33" s="1">
        <v>10.6524</v>
      </c>
      <c r="AF33" s="1">
        <v>7.8666</v>
      </c>
      <c r="AG33" s="1">
        <v>12.2232</v>
      </c>
      <c r="AH33" s="1">
        <v>20.489599999999999</v>
      </c>
      <c r="AI33" s="1"/>
      <c r="AJ33" s="1">
        <f>ROUND(G33*T33,0)</f>
        <v>71</v>
      </c>
      <c r="AK33" t="s">
        <v>101</v>
      </c>
    </row>
    <row r="34" spans="1:37" x14ac:dyDescent="0.25">
      <c r="A34" s="1" t="s">
        <v>102</v>
      </c>
      <c r="B34" s="1" t="s">
        <v>49</v>
      </c>
      <c r="C34" s="1">
        <v>656.505</v>
      </c>
      <c r="D34" s="1">
        <v>565</v>
      </c>
      <c r="E34" s="1">
        <v>1224</v>
      </c>
      <c r="F34" s="1">
        <v>37.505000000000003</v>
      </c>
      <c r="G34" s="7">
        <v>0.4</v>
      </c>
      <c r="H34" s="1">
        <v>45</v>
      </c>
      <c r="I34" s="13" t="s">
        <v>59</v>
      </c>
      <c r="J34" s="1"/>
      <c r="K34" s="1">
        <v>2105</v>
      </c>
      <c r="L34" s="1">
        <f t="shared" si="3"/>
        <v>-881</v>
      </c>
      <c r="M34" s="1"/>
      <c r="N34" s="1"/>
      <c r="O34" s="1">
        <v>1586.1</v>
      </c>
      <c r="P34" s="1"/>
      <c r="Q34" s="1"/>
      <c r="R34" s="1">
        <f t="shared" si="4"/>
        <v>244.8</v>
      </c>
      <c r="S34" s="5">
        <f>12*R34-Q34-P34-O34-F34</f>
        <v>1313.9950000000003</v>
      </c>
      <c r="T34" s="5">
        <f>S34*0.45</f>
        <v>591.29775000000018</v>
      </c>
      <c r="U34" s="5"/>
      <c r="V34" s="5"/>
      <c r="W34" s="1">
        <f>(F34+O34+P34+Q34+T34)/R34</f>
        <v>9.0478053513071899</v>
      </c>
      <c r="X34" s="1">
        <f>(F34+O34+P34+Q34)/R34</f>
        <v>6.6323733660130717</v>
      </c>
      <c r="Y34" s="1">
        <v>275.8</v>
      </c>
      <c r="Z34" s="1">
        <v>345</v>
      </c>
      <c r="AA34" s="1">
        <v>296.8</v>
      </c>
      <c r="AB34" s="1">
        <v>241.8</v>
      </c>
      <c r="AC34" s="1">
        <v>278.8</v>
      </c>
      <c r="AD34" s="1">
        <v>324.39999999999998</v>
      </c>
      <c r="AE34" s="1">
        <v>336.4</v>
      </c>
      <c r="AF34" s="1">
        <v>363</v>
      </c>
      <c r="AG34" s="1">
        <v>355.6</v>
      </c>
      <c r="AH34" s="1">
        <v>357.8</v>
      </c>
      <c r="AI34" s="1"/>
      <c r="AJ34" s="1">
        <f>ROUND(G34*T34,0)</f>
        <v>237</v>
      </c>
      <c r="AK34" t="s">
        <v>103</v>
      </c>
    </row>
    <row r="35" spans="1:37" x14ac:dyDescent="0.25">
      <c r="A35" s="1" t="s">
        <v>104</v>
      </c>
      <c r="B35" s="1" t="s">
        <v>49</v>
      </c>
      <c r="C35" s="1">
        <v>699</v>
      </c>
      <c r="D35" s="1">
        <v>4</v>
      </c>
      <c r="E35" s="1">
        <v>320</v>
      </c>
      <c r="F35" s="1">
        <v>179</v>
      </c>
      <c r="G35" s="7">
        <v>0.45</v>
      </c>
      <c r="H35" s="1">
        <v>50</v>
      </c>
      <c r="I35" s="1" t="s">
        <v>41</v>
      </c>
      <c r="J35" s="1"/>
      <c r="K35" s="1">
        <v>322</v>
      </c>
      <c r="L35" s="1">
        <f t="shared" si="3"/>
        <v>-2</v>
      </c>
      <c r="M35" s="1"/>
      <c r="N35" s="1"/>
      <c r="O35" s="1">
        <v>0</v>
      </c>
      <c r="P35" s="1"/>
      <c r="Q35" s="1"/>
      <c r="R35" s="1">
        <f t="shared" si="4"/>
        <v>64</v>
      </c>
      <c r="S35" s="5">
        <f>10*R35-Q35-P35-O35-F35</f>
        <v>461</v>
      </c>
      <c r="T35" s="5">
        <f>S35+$T$1*R35</f>
        <v>382.28</v>
      </c>
      <c r="U35" s="5"/>
      <c r="V35" s="5"/>
      <c r="W35" s="1">
        <f>(F35+O35+P35+Q35+T35)/R35</f>
        <v>8.77</v>
      </c>
      <c r="X35" s="1">
        <f>(F35+O35+P35+Q35)/R35</f>
        <v>2.796875</v>
      </c>
      <c r="Y35" s="1">
        <v>59.8</v>
      </c>
      <c r="Z35" s="1">
        <v>55.6</v>
      </c>
      <c r="AA35" s="1">
        <v>41.6</v>
      </c>
      <c r="AB35" s="1">
        <v>39.4</v>
      </c>
      <c r="AC35" s="1">
        <v>68.8</v>
      </c>
      <c r="AD35" s="1">
        <v>92.6</v>
      </c>
      <c r="AE35" s="1">
        <v>61</v>
      </c>
      <c r="AF35" s="1">
        <v>66.8</v>
      </c>
      <c r="AG35" s="1">
        <v>81</v>
      </c>
      <c r="AH35" s="1">
        <v>67.8</v>
      </c>
      <c r="AI35" s="1"/>
      <c r="AJ35" s="1">
        <f>ROUND(G35*T35,0)</f>
        <v>172</v>
      </c>
      <c r="AK35" t="s">
        <v>105</v>
      </c>
    </row>
    <row r="36" spans="1:37" x14ac:dyDescent="0.25">
      <c r="A36" s="1" t="s">
        <v>106</v>
      </c>
      <c r="B36" s="1" t="s">
        <v>49</v>
      </c>
      <c r="C36" s="1">
        <v>13</v>
      </c>
      <c r="D36" s="1">
        <v>302</v>
      </c>
      <c r="E36" s="1">
        <v>331</v>
      </c>
      <c r="F36" s="1">
        <v>-14</v>
      </c>
      <c r="G36" s="7">
        <v>0.4</v>
      </c>
      <c r="H36" s="1">
        <v>45</v>
      </c>
      <c r="I36" s="13" t="s">
        <v>59</v>
      </c>
      <c r="J36" s="1"/>
      <c r="K36" s="1">
        <v>653</v>
      </c>
      <c r="L36" s="1">
        <f t="shared" si="3"/>
        <v>-322</v>
      </c>
      <c r="M36" s="1"/>
      <c r="N36" s="1"/>
      <c r="O36" s="1">
        <v>332.15</v>
      </c>
      <c r="P36" s="1">
        <v>-336</v>
      </c>
      <c r="Q36" s="1"/>
      <c r="R36" s="1">
        <f t="shared" si="4"/>
        <v>66.2</v>
      </c>
      <c r="S36" s="5">
        <v>300</v>
      </c>
      <c r="T36" s="5">
        <f>S36*0.45</f>
        <v>135</v>
      </c>
      <c r="U36" s="5">
        <v>-138</v>
      </c>
      <c r="V36" s="5"/>
      <c r="W36" s="1">
        <f>(F36+O36+P36+Q36+T36)/R36</f>
        <v>1.7696374622356492</v>
      </c>
      <c r="X36" s="1">
        <f>(F36+O36+P36+Q36)/R36</f>
        <v>-0.26963746223564988</v>
      </c>
      <c r="Y36" s="1">
        <v>45.2</v>
      </c>
      <c r="Z36" s="1">
        <v>106.8</v>
      </c>
      <c r="AA36" s="1">
        <v>113.8</v>
      </c>
      <c r="AB36" s="1">
        <v>107</v>
      </c>
      <c r="AC36" s="1">
        <v>101.8</v>
      </c>
      <c r="AD36" s="1">
        <v>124.8</v>
      </c>
      <c r="AE36" s="1">
        <v>136.80000000000001</v>
      </c>
      <c r="AF36" s="1">
        <v>134</v>
      </c>
      <c r="AG36" s="1">
        <v>123.8</v>
      </c>
      <c r="AH36" s="1">
        <v>108.4</v>
      </c>
      <c r="AI36" s="1"/>
      <c r="AJ36" s="1">
        <f>ROUND(G36*T36,0)</f>
        <v>54</v>
      </c>
      <c r="AK36" t="s">
        <v>107</v>
      </c>
    </row>
    <row r="37" spans="1:37" x14ac:dyDescent="0.25">
      <c r="A37" s="1" t="s">
        <v>108</v>
      </c>
      <c r="B37" s="1" t="s">
        <v>49</v>
      </c>
      <c r="C37" s="1">
        <v>130</v>
      </c>
      <c r="D37" s="1">
        <v>1</v>
      </c>
      <c r="E37" s="1">
        <v>88</v>
      </c>
      <c r="F37" s="1">
        <v>-6</v>
      </c>
      <c r="G37" s="7">
        <v>0.4</v>
      </c>
      <c r="H37" s="1">
        <v>40</v>
      </c>
      <c r="I37" s="13" t="s">
        <v>59</v>
      </c>
      <c r="J37" s="1"/>
      <c r="K37" s="1">
        <v>200</v>
      </c>
      <c r="L37" s="1">
        <f t="shared" si="3"/>
        <v>-112</v>
      </c>
      <c r="M37" s="1"/>
      <c r="N37" s="1"/>
      <c r="O37" s="1">
        <v>64.399999999999977</v>
      </c>
      <c r="P37" s="1">
        <v>-65.999999999999986</v>
      </c>
      <c r="Q37" s="1"/>
      <c r="R37" s="1">
        <f t="shared" si="4"/>
        <v>17.600000000000001</v>
      </c>
      <c r="S37" s="5">
        <v>50</v>
      </c>
      <c r="T37" s="5">
        <f>S37*0.5</f>
        <v>25</v>
      </c>
      <c r="U37" s="5">
        <v>-30</v>
      </c>
      <c r="V37" s="5"/>
      <c r="W37" s="1">
        <f>(F37+O37+P37+Q37+T37)/R37</f>
        <v>0.98863636363636309</v>
      </c>
      <c r="X37" s="1">
        <f>(F37+O37+P37+Q37)/R37</f>
        <v>-0.43181818181818227</v>
      </c>
      <c r="Y37" s="1">
        <v>16.8</v>
      </c>
      <c r="Z37" s="1">
        <v>16.2</v>
      </c>
      <c r="AA37" s="1">
        <v>11.8</v>
      </c>
      <c r="AB37" s="1">
        <v>10.6</v>
      </c>
      <c r="AC37" s="1">
        <v>20.6</v>
      </c>
      <c r="AD37" s="1">
        <v>26</v>
      </c>
      <c r="AE37" s="1">
        <v>27.2</v>
      </c>
      <c r="AF37" s="1">
        <v>26</v>
      </c>
      <c r="AG37" s="1">
        <v>11</v>
      </c>
      <c r="AH37" s="1">
        <v>9</v>
      </c>
      <c r="AI37" s="1"/>
      <c r="AJ37" s="1">
        <f>ROUND(G37*T37,0)</f>
        <v>10</v>
      </c>
      <c r="AK37" t="s">
        <v>109</v>
      </c>
    </row>
    <row r="38" spans="1:37" x14ac:dyDescent="0.25">
      <c r="A38" s="1" t="s">
        <v>110</v>
      </c>
      <c r="B38" s="1" t="s">
        <v>40</v>
      </c>
      <c r="C38" s="1">
        <v>-2.1999999999999999E-2</v>
      </c>
      <c r="D38" s="1">
        <v>81.257000000000005</v>
      </c>
      <c r="E38" s="1">
        <v>30.61</v>
      </c>
      <c r="F38" s="1">
        <v>39.874000000000002</v>
      </c>
      <c r="G38" s="7">
        <v>1</v>
      </c>
      <c r="H38" s="1">
        <v>45</v>
      </c>
      <c r="I38" s="1" t="s">
        <v>41</v>
      </c>
      <c r="J38" s="1"/>
      <c r="K38" s="1">
        <v>45.5</v>
      </c>
      <c r="L38" s="1">
        <f t="shared" ref="L38:L69" si="6">E38-K38</f>
        <v>-14.89</v>
      </c>
      <c r="M38" s="1"/>
      <c r="N38" s="1"/>
      <c r="O38" s="1">
        <v>0</v>
      </c>
      <c r="P38" s="1"/>
      <c r="Q38" s="1"/>
      <c r="R38" s="1">
        <f t="shared" ref="R38:R69" si="7">E38/5</f>
        <v>6.1219999999999999</v>
      </c>
      <c r="S38" s="5">
        <f>12*R38-Q38-P38-O38-F38</f>
        <v>33.589999999999996</v>
      </c>
      <c r="T38" s="5">
        <f>S38</f>
        <v>33.589999999999996</v>
      </c>
      <c r="U38" s="5"/>
      <c r="V38" s="5"/>
      <c r="W38" s="1">
        <f>(F38+O38+P38+Q38+T38)/R38</f>
        <v>12</v>
      </c>
      <c r="X38" s="1">
        <f>(F38+O38+P38+Q38)/R38</f>
        <v>6.5132309702711542</v>
      </c>
      <c r="Y38" s="1">
        <v>-6.3E-2</v>
      </c>
      <c r="Z38" s="1">
        <v>5.2148000000000003</v>
      </c>
      <c r="AA38" s="1">
        <v>6.1369999999999996</v>
      </c>
      <c r="AB38" s="1">
        <v>4.6671999999999993</v>
      </c>
      <c r="AC38" s="1">
        <v>6.0350000000000001</v>
      </c>
      <c r="AD38" s="1">
        <v>5.3391999999999999</v>
      </c>
      <c r="AE38" s="1">
        <v>4.4689999999999994</v>
      </c>
      <c r="AF38" s="1">
        <v>1.9303999999999999</v>
      </c>
      <c r="AG38" s="1">
        <v>2.2482000000000002</v>
      </c>
      <c r="AH38" s="1">
        <v>5.7770000000000001</v>
      </c>
      <c r="AI38" s="1"/>
      <c r="AJ38" s="1">
        <f>ROUND(G38*T38,0)</f>
        <v>34</v>
      </c>
      <c r="AK38" t="s">
        <v>111</v>
      </c>
    </row>
    <row r="39" spans="1:37" x14ac:dyDescent="0.25">
      <c r="A39" s="1" t="s">
        <v>112</v>
      </c>
      <c r="B39" s="1" t="s">
        <v>49</v>
      </c>
      <c r="C39" s="1">
        <v>129</v>
      </c>
      <c r="D39" s="1">
        <v>165</v>
      </c>
      <c r="E39" s="1">
        <v>61</v>
      </c>
      <c r="F39" s="1">
        <v>205</v>
      </c>
      <c r="G39" s="7">
        <v>0.1</v>
      </c>
      <c r="H39" s="1">
        <v>731</v>
      </c>
      <c r="I39" s="1" t="s">
        <v>41</v>
      </c>
      <c r="J39" s="1"/>
      <c r="K39" s="1">
        <v>76</v>
      </c>
      <c r="L39" s="1">
        <f t="shared" si="6"/>
        <v>-15</v>
      </c>
      <c r="M39" s="1"/>
      <c r="N39" s="1"/>
      <c r="O39" s="1">
        <v>0</v>
      </c>
      <c r="P39" s="1"/>
      <c r="Q39" s="1"/>
      <c r="R39" s="1">
        <f t="shared" si="7"/>
        <v>12.2</v>
      </c>
      <c r="S39" s="5"/>
      <c r="T39" s="5">
        <f>S39</f>
        <v>0</v>
      </c>
      <c r="U39" s="5"/>
      <c r="V39" s="5"/>
      <c r="W39" s="1">
        <f>(F39+O39+P39+Q39+T39)/R39</f>
        <v>16.803278688524593</v>
      </c>
      <c r="X39" s="1">
        <f>(F39+O39+P39+Q39)/R39</f>
        <v>16.803278688524593</v>
      </c>
      <c r="Y39" s="1">
        <v>7.6</v>
      </c>
      <c r="Z39" s="1">
        <v>11.8</v>
      </c>
      <c r="AA39" s="1">
        <v>17.600000000000001</v>
      </c>
      <c r="AB39" s="1">
        <v>22.8</v>
      </c>
      <c r="AC39" s="1">
        <v>20.2</v>
      </c>
      <c r="AD39" s="1">
        <v>22</v>
      </c>
      <c r="AE39" s="1">
        <v>19.399999999999999</v>
      </c>
      <c r="AF39" s="1">
        <v>23.4</v>
      </c>
      <c r="AG39" s="1">
        <v>27.4</v>
      </c>
      <c r="AH39" s="1">
        <v>21.2</v>
      </c>
      <c r="AI39" s="1"/>
      <c r="AJ39" s="1">
        <f>ROUND(G39*T39,0)</f>
        <v>0</v>
      </c>
      <c r="AK39" t="s">
        <v>113</v>
      </c>
    </row>
    <row r="40" spans="1:37" x14ac:dyDescent="0.25">
      <c r="A40" s="1" t="s">
        <v>114</v>
      </c>
      <c r="B40" s="1" t="s">
        <v>49</v>
      </c>
      <c r="C40" s="1"/>
      <c r="D40" s="1"/>
      <c r="E40" s="1">
        <v>-8</v>
      </c>
      <c r="F40" s="1"/>
      <c r="G40" s="7">
        <v>0.35</v>
      </c>
      <c r="H40" s="1">
        <v>40</v>
      </c>
      <c r="I40" s="13" t="s">
        <v>59</v>
      </c>
      <c r="J40" s="1"/>
      <c r="K40" s="1">
        <v>9</v>
      </c>
      <c r="L40" s="1">
        <f t="shared" si="6"/>
        <v>-17</v>
      </c>
      <c r="M40" s="1"/>
      <c r="N40" s="1"/>
      <c r="O40" s="1">
        <v>60</v>
      </c>
      <c r="P40" s="1">
        <v>-60.000000000000007</v>
      </c>
      <c r="Q40" s="1"/>
      <c r="R40" s="1">
        <f t="shared" si="7"/>
        <v>-1.6</v>
      </c>
      <c r="S40" s="5">
        <v>50</v>
      </c>
      <c r="T40" s="5">
        <f>S40*0.5</f>
        <v>25</v>
      </c>
      <c r="U40" s="5">
        <v>-30.000000000000004</v>
      </c>
      <c r="V40" s="5"/>
      <c r="W40" s="1">
        <f>(F40+O40+P40+Q40+T40)/R40</f>
        <v>-15.624999999999995</v>
      </c>
      <c r="X40" s="1">
        <f>(F40+O40+P40+Q40)/R40</f>
        <v>4.4408920985006262E-15</v>
      </c>
      <c r="Y40" s="1">
        <v>-1</v>
      </c>
      <c r="Z40" s="1">
        <v>-1.4</v>
      </c>
      <c r="AA40" s="1">
        <v>-0.8</v>
      </c>
      <c r="AB40" s="1">
        <v>10.8</v>
      </c>
      <c r="AC40" s="1">
        <v>15.8</v>
      </c>
      <c r="AD40" s="1">
        <v>20.2</v>
      </c>
      <c r="AE40" s="1">
        <v>28.4</v>
      </c>
      <c r="AF40" s="1">
        <v>33</v>
      </c>
      <c r="AG40" s="1">
        <v>19.600000000000001</v>
      </c>
      <c r="AH40" s="1">
        <v>-0.4</v>
      </c>
      <c r="AI40" s="1"/>
      <c r="AJ40" s="1">
        <f>ROUND(G40*T40,0)</f>
        <v>9</v>
      </c>
      <c r="AK40" t="s">
        <v>115</v>
      </c>
    </row>
    <row r="41" spans="1:37" x14ac:dyDescent="0.25">
      <c r="A41" s="1" t="s">
        <v>116</v>
      </c>
      <c r="B41" s="1" t="s">
        <v>40</v>
      </c>
      <c r="C41" s="1">
        <v>50.331000000000003</v>
      </c>
      <c r="D41" s="1">
        <v>66.239999999999995</v>
      </c>
      <c r="E41" s="1">
        <v>82.370999999999995</v>
      </c>
      <c r="F41" s="1">
        <v>17.526</v>
      </c>
      <c r="G41" s="7">
        <v>1</v>
      </c>
      <c r="H41" s="1">
        <v>40</v>
      </c>
      <c r="I41" s="13" t="s">
        <v>59</v>
      </c>
      <c r="J41" s="1"/>
      <c r="K41" s="1">
        <v>96.6</v>
      </c>
      <c r="L41" s="1">
        <f t="shared" si="6"/>
        <v>-14.228999999999999</v>
      </c>
      <c r="M41" s="1"/>
      <c r="N41" s="1"/>
      <c r="O41" s="1">
        <v>33.443199999999997</v>
      </c>
      <c r="P41" s="1">
        <v>-33.6</v>
      </c>
      <c r="Q41" s="1"/>
      <c r="R41" s="1">
        <f t="shared" si="7"/>
        <v>16.4742</v>
      </c>
      <c r="S41" s="5">
        <v>40</v>
      </c>
      <c r="T41" s="5">
        <f>S41*0.5</f>
        <v>20</v>
      </c>
      <c r="U41" s="5">
        <v>-21</v>
      </c>
      <c r="V41" s="5"/>
      <c r="W41" s="1">
        <f>(F41+O41+P41+Q41+T41)/R41</f>
        <v>2.2683468696507267</v>
      </c>
      <c r="X41" s="1">
        <f>(F41+O41+P41+Q41)/R41</f>
        <v>1.0543273724976023</v>
      </c>
      <c r="Y41" s="1">
        <v>12.819800000000001</v>
      </c>
      <c r="Z41" s="1">
        <v>11.537800000000001</v>
      </c>
      <c r="AA41" s="1">
        <v>8.0475999999999992</v>
      </c>
      <c r="AB41" s="1">
        <v>10.005599999999999</v>
      </c>
      <c r="AC41" s="1">
        <v>12.919600000000001</v>
      </c>
      <c r="AD41" s="1">
        <v>11.806800000000001</v>
      </c>
      <c r="AE41" s="1">
        <v>7.1319999999999997</v>
      </c>
      <c r="AF41" s="1">
        <v>-0.14000000000000001</v>
      </c>
      <c r="AG41" s="1">
        <v>1.7484</v>
      </c>
      <c r="AH41" s="1">
        <v>8.5668000000000006</v>
      </c>
      <c r="AI41" s="1"/>
      <c r="AJ41" s="1">
        <f>ROUND(G41*T41,0)</f>
        <v>20</v>
      </c>
      <c r="AK41" t="s">
        <v>117</v>
      </c>
    </row>
    <row r="42" spans="1:37" x14ac:dyDescent="0.25">
      <c r="A42" s="9" t="s">
        <v>118</v>
      </c>
      <c r="B42" s="9" t="s">
        <v>49</v>
      </c>
      <c r="C42" s="9">
        <v>13</v>
      </c>
      <c r="D42" s="9"/>
      <c r="E42" s="9">
        <v>13</v>
      </c>
      <c r="F42" s="9">
        <v>-1</v>
      </c>
      <c r="G42" s="10">
        <v>0</v>
      </c>
      <c r="H42" s="9">
        <v>50</v>
      </c>
      <c r="I42" s="9" t="s">
        <v>119</v>
      </c>
      <c r="J42" s="9"/>
      <c r="K42" s="9">
        <v>21</v>
      </c>
      <c r="L42" s="9">
        <f t="shared" si="6"/>
        <v>-8</v>
      </c>
      <c r="M42" s="9"/>
      <c r="N42" s="9"/>
      <c r="O42" s="9">
        <v>0</v>
      </c>
      <c r="P42" s="9"/>
      <c r="Q42" s="9"/>
      <c r="R42" s="9">
        <f t="shared" si="7"/>
        <v>2.6</v>
      </c>
      <c r="S42" s="11"/>
      <c r="T42" s="5">
        <f>S42</f>
        <v>0</v>
      </c>
      <c r="U42" s="5"/>
      <c r="V42" s="5"/>
      <c r="W42" s="1">
        <f>(F42+O42+P42+Q42+T42)/R42</f>
        <v>-0.38461538461538458</v>
      </c>
      <c r="X42" s="9">
        <f>(F42+O42+P42+Q42)/R42</f>
        <v>-0.38461538461538458</v>
      </c>
      <c r="Y42" s="9">
        <v>2.2000000000000002</v>
      </c>
      <c r="Z42" s="9">
        <v>4.4000000000000004</v>
      </c>
      <c r="AA42" s="9">
        <v>4</v>
      </c>
      <c r="AB42" s="9">
        <v>2.2000000000000002</v>
      </c>
      <c r="AC42" s="9">
        <v>3.2</v>
      </c>
      <c r="AD42" s="9">
        <v>7</v>
      </c>
      <c r="AE42" s="9">
        <v>7</v>
      </c>
      <c r="AF42" s="9">
        <v>4.5999999999999996</v>
      </c>
      <c r="AG42" s="9">
        <v>4.5999999999999996</v>
      </c>
      <c r="AH42" s="9">
        <v>6.6</v>
      </c>
      <c r="AI42" s="9"/>
      <c r="AJ42" s="1">
        <f>ROUND(G42*T42,0)</f>
        <v>0</v>
      </c>
      <c r="AK42" t="s">
        <v>120</v>
      </c>
    </row>
    <row r="43" spans="1:37" x14ac:dyDescent="0.25">
      <c r="A43" s="1" t="s">
        <v>121</v>
      </c>
      <c r="B43" s="1" t="s">
        <v>49</v>
      </c>
      <c r="C43" s="1">
        <v>48</v>
      </c>
      <c r="D43" s="1">
        <v>102</v>
      </c>
      <c r="E43" s="1">
        <v>77</v>
      </c>
      <c r="F43" s="1">
        <v>48</v>
      </c>
      <c r="G43" s="7">
        <v>0.4</v>
      </c>
      <c r="H43" s="1">
        <v>40</v>
      </c>
      <c r="I43" s="13" t="s">
        <v>59</v>
      </c>
      <c r="J43" s="1"/>
      <c r="K43" s="1">
        <v>243</v>
      </c>
      <c r="L43" s="1">
        <f t="shared" si="6"/>
        <v>-166</v>
      </c>
      <c r="M43" s="1"/>
      <c r="N43" s="1"/>
      <c r="O43" s="1">
        <v>40</v>
      </c>
      <c r="P43" s="1"/>
      <c r="Q43" s="1"/>
      <c r="R43" s="1">
        <f t="shared" si="7"/>
        <v>15.4</v>
      </c>
      <c r="S43" s="5">
        <v>60</v>
      </c>
      <c r="T43" s="5">
        <f>S43*0.5</f>
        <v>30</v>
      </c>
      <c r="U43" s="5"/>
      <c r="V43" s="5"/>
      <c r="W43" s="1">
        <f>(F43+O43+P43+Q43+T43)/R43</f>
        <v>7.662337662337662</v>
      </c>
      <c r="X43" s="1">
        <f>(F43+O43+P43+Q43)/R43</f>
        <v>5.7142857142857144</v>
      </c>
      <c r="Y43" s="1">
        <v>-2.2000000000000002</v>
      </c>
      <c r="Z43" s="1">
        <v>-2.4</v>
      </c>
      <c r="AA43" s="1">
        <v>-3.6</v>
      </c>
      <c r="AB43" s="1">
        <v>-4.2</v>
      </c>
      <c r="AC43" s="1">
        <v>-3</v>
      </c>
      <c r="AD43" s="1">
        <v>8.4</v>
      </c>
      <c r="AE43" s="1">
        <v>11.2</v>
      </c>
      <c r="AF43" s="1">
        <v>18.8</v>
      </c>
      <c r="AG43" s="1">
        <v>25.6</v>
      </c>
      <c r="AH43" s="1">
        <v>53</v>
      </c>
      <c r="AI43" s="1"/>
      <c r="AJ43" s="1">
        <f>ROUND(G43*T43,0)</f>
        <v>12</v>
      </c>
      <c r="AK43" t="s">
        <v>122</v>
      </c>
    </row>
    <row r="44" spans="1:37" x14ac:dyDescent="0.25">
      <c r="A44" s="1" t="s">
        <v>123</v>
      </c>
      <c r="B44" s="1" t="s">
        <v>49</v>
      </c>
      <c r="C44" s="1">
        <v>53</v>
      </c>
      <c r="D44" s="1">
        <v>240</v>
      </c>
      <c r="E44" s="1">
        <v>91</v>
      </c>
      <c r="F44" s="1">
        <v>178</v>
      </c>
      <c r="G44" s="7">
        <v>0.4</v>
      </c>
      <c r="H44" s="1">
        <v>45</v>
      </c>
      <c r="I44" s="13" t="s">
        <v>59</v>
      </c>
      <c r="J44" s="1"/>
      <c r="K44" s="1">
        <v>194</v>
      </c>
      <c r="L44" s="1">
        <f t="shared" si="6"/>
        <v>-103</v>
      </c>
      <c r="M44" s="1"/>
      <c r="N44" s="1"/>
      <c r="O44" s="1">
        <v>150</v>
      </c>
      <c r="P44" s="1"/>
      <c r="Q44" s="1"/>
      <c r="R44" s="1">
        <f t="shared" si="7"/>
        <v>18.2</v>
      </c>
      <c r="S44" s="5">
        <v>100</v>
      </c>
      <c r="T44" s="5">
        <f>S44*0.45</f>
        <v>45</v>
      </c>
      <c r="U44" s="5"/>
      <c r="V44" s="5"/>
      <c r="W44" s="1">
        <f>(F44+O44+P44+Q44+T44)/R44</f>
        <v>20.494505494505496</v>
      </c>
      <c r="X44" s="1">
        <f>(F44+O44+P44+Q44)/R44</f>
        <v>18.021978021978022</v>
      </c>
      <c r="Y44" s="1">
        <v>29.8</v>
      </c>
      <c r="Z44" s="1">
        <v>45.4</v>
      </c>
      <c r="AA44" s="1">
        <v>46.2</v>
      </c>
      <c r="AB44" s="1">
        <v>24.8</v>
      </c>
      <c r="AC44" s="1">
        <v>1</v>
      </c>
      <c r="AD44" s="1">
        <v>13.4</v>
      </c>
      <c r="AE44" s="1">
        <v>25.4</v>
      </c>
      <c r="AF44" s="1">
        <v>53.4</v>
      </c>
      <c r="AG44" s="1">
        <v>48.2</v>
      </c>
      <c r="AH44" s="1">
        <v>27.4</v>
      </c>
      <c r="AI44" s="1"/>
      <c r="AJ44" s="1">
        <f>ROUND(G44*T44,0)</f>
        <v>18</v>
      </c>
      <c r="AK44" t="s">
        <v>124</v>
      </c>
    </row>
    <row r="45" spans="1:37" x14ac:dyDescent="0.25">
      <c r="A45" s="1" t="s">
        <v>125</v>
      </c>
      <c r="B45" s="1" t="s">
        <v>40</v>
      </c>
      <c r="C45" s="1">
        <v>81.075000000000003</v>
      </c>
      <c r="D45" s="1">
        <v>4.367</v>
      </c>
      <c r="E45" s="1">
        <v>83.962999999999994</v>
      </c>
      <c r="F45" s="1">
        <v>-5.0670000000000002</v>
      </c>
      <c r="G45" s="7">
        <v>1</v>
      </c>
      <c r="H45" s="1">
        <v>40</v>
      </c>
      <c r="I45" s="13" t="s">
        <v>59</v>
      </c>
      <c r="J45" s="1"/>
      <c r="K45" s="1">
        <v>133.9</v>
      </c>
      <c r="L45" s="1">
        <f t="shared" si="6"/>
        <v>-49.937000000000012</v>
      </c>
      <c r="M45" s="1"/>
      <c r="N45" s="1"/>
      <c r="O45" s="1">
        <v>138.45522399999999</v>
      </c>
      <c r="P45" s="1">
        <v>-138.6</v>
      </c>
      <c r="Q45" s="1"/>
      <c r="R45" s="1">
        <f t="shared" si="7"/>
        <v>16.7926</v>
      </c>
      <c r="S45" s="5">
        <v>50</v>
      </c>
      <c r="T45" s="5">
        <f>S45*0.5</f>
        <v>25</v>
      </c>
      <c r="U45" s="5">
        <v>-25.2</v>
      </c>
      <c r="V45" s="5"/>
      <c r="W45" s="1">
        <f>(F45+O45+P45+Q45+T45)/R45</f>
        <v>1.1783895287209833</v>
      </c>
      <c r="X45" s="1">
        <f>(F45+O45+P45+Q45)/R45</f>
        <v>-0.3103614687421849</v>
      </c>
      <c r="Y45" s="1">
        <v>16.431999999999999</v>
      </c>
      <c r="Z45" s="1">
        <v>25.953600000000002</v>
      </c>
      <c r="AA45" s="1">
        <v>18.532599999999999</v>
      </c>
      <c r="AB45" s="1">
        <v>11.743399999999999</v>
      </c>
      <c r="AC45" s="1">
        <v>20.163799999999998</v>
      </c>
      <c r="AD45" s="1">
        <v>20.949200000000001</v>
      </c>
      <c r="AE45" s="1">
        <v>12.702400000000001</v>
      </c>
      <c r="AF45" s="1">
        <v>19.9008</v>
      </c>
      <c r="AG45" s="1">
        <v>25.02</v>
      </c>
      <c r="AH45" s="1">
        <v>23.82</v>
      </c>
      <c r="AI45" s="1"/>
      <c r="AJ45" s="1">
        <f>ROUND(G45*T45,0)</f>
        <v>25</v>
      </c>
      <c r="AK45" t="s">
        <v>126</v>
      </c>
    </row>
    <row r="46" spans="1:37" x14ac:dyDescent="0.25">
      <c r="A46" s="1" t="s">
        <v>127</v>
      </c>
      <c r="B46" s="1" t="s">
        <v>49</v>
      </c>
      <c r="C46" s="1">
        <v>447</v>
      </c>
      <c r="D46" s="1">
        <v>8</v>
      </c>
      <c r="E46" s="1">
        <v>385</v>
      </c>
      <c r="F46" s="1">
        <v>14</v>
      </c>
      <c r="G46" s="7">
        <v>0.35</v>
      </c>
      <c r="H46" s="1">
        <v>40</v>
      </c>
      <c r="I46" s="13" t="s">
        <v>59</v>
      </c>
      <c r="J46" s="1"/>
      <c r="K46" s="1">
        <v>464</v>
      </c>
      <c r="L46" s="1">
        <f t="shared" si="6"/>
        <v>-79</v>
      </c>
      <c r="M46" s="1"/>
      <c r="N46" s="1"/>
      <c r="O46" s="1">
        <v>156.2880000000001</v>
      </c>
      <c r="P46" s="1">
        <v>-162</v>
      </c>
      <c r="Q46" s="1"/>
      <c r="R46" s="1">
        <f t="shared" si="7"/>
        <v>77</v>
      </c>
      <c r="S46" s="5">
        <v>120</v>
      </c>
      <c r="T46" s="5">
        <f>S46*0.45</f>
        <v>54</v>
      </c>
      <c r="U46" s="5">
        <v>-60.000000000000007</v>
      </c>
      <c r="V46" s="5"/>
      <c r="W46" s="1">
        <f>(F46+O46+P46+Q46+T46)/R46</f>
        <v>0.80893506493506617</v>
      </c>
      <c r="X46" s="1">
        <f>(F46+O46+P46+Q46)/R46</f>
        <v>0.10763636363636489</v>
      </c>
      <c r="Y46" s="1">
        <v>65.400000000000006</v>
      </c>
      <c r="Z46" s="1">
        <v>53.2</v>
      </c>
      <c r="AA46" s="1">
        <v>48.8</v>
      </c>
      <c r="AB46" s="1">
        <v>40.6</v>
      </c>
      <c r="AC46" s="1">
        <v>37.200000000000003</v>
      </c>
      <c r="AD46" s="1">
        <v>44</v>
      </c>
      <c r="AE46" s="1">
        <v>52.6</v>
      </c>
      <c r="AF46" s="1">
        <v>65.599999999999994</v>
      </c>
      <c r="AG46" s="1">
        <v>46.2</v>
      </c>
      <c r="AH46" s="1">
        <v>30.6</v>
      </c>
      <c r="AI46" s="1"/>
      <c r="AJ46" s="1">
        <f>ROUND(G46*T46,0)</f>
        <v>19</v>
      </c>
      <c r="AK46" t="s">
        <v>128</v>
      </c>
    </row>
    <row r="47" spans="1:37" x14ac:dyDescent="0.25">
      <c r="A47" s="1" t="s">
        <v>129</v>
      </c>
      <c r="B47" s="1" t="s">
        <v>49</v>
      </c>
      <c r="C47" s="1">
        <v>80</v>
      </c>
      <c r="D47" s="1">
        <v>318</v>
      </c>
      <c r="E47" s="1">
        <v>256</v>
      </c>
      <c r="F47" s="1">
        <v>103</v>
      </c>
      <c r="G47" s="7">
        <v>0.4</v>
      </c>
      <c r="H47" s="1">
        <v>40</v>
      </c>
      <c r="I47" s="1" t="s">
        <v>41</v>
      </c>
      <c r="J47" s="1"/>
      <c r="K47" s="1">
        <v>378</v>
      </c>
      <c r="L47" s="1">
        <f t="shared" si="6"/>
        <v>-122</v>
      </c>
      <c r="M47" s="1"/>
      <c r="N47" s="1"/>
      <c r="O47" s="1">
        <v>150</v>
      </c>
      <c r="P47" s="1"/>
      <c r="Q47" s="1"/>
      <c r="R47" s="1">
        <f t="shared" si="7"/>
        <v>51.2</v>
      </c>
      <c r="S47" s="5">
        <f>12*R47-Q47-P47-O47-F47</f>
        <v>361.40000000000009</v>
      </c>
      <c r="T47" s="5">
        <f>S47+$T$1*R47</f>
        <v>298.42400000000009</v>
      </c>
      <c r="U47" s="5"/>
      <c r="V47" s="5"/>
      <c r="W47" s="1">
        <f>(F47+O47+P47+Q47+T47)/R47</f>
        <v>10.770000000000001</v>
      </c>
      <c r="X47" s="1">
        <f>(F47+O47+P47+Q47)/R47</f>
        <v>4.94140625</v>
      </c>
      <c r="Y47" s="1">
        <v>37.4</v>
      </c>
      <c r="Z47" s="1">
        <v>52.2</v>
      </c>
      <c r="AA47" s="1">
        <v>49.4</v>
      </c>
      <c r="AB47" s="1">
        <v>36</v>
      </c>
      <c r="AC47" s="1">
        <v>40.799999999999997</v>
      </c>
      <c r="AD47" s="1">
        <v>54</v>
      </c>
      <c r="AE47" s="1">
        <v>35.799999999999997</v>
      </c>
      <c r="AF47" s="1">
        <v>5.6</v>
      </c>
      <c r="AG47" s="1">
        <v>1</v>
      </c>
      <c r="AH47" s="1">
        <v>56</v>
      </c>
      <c r="AI47" s="1"/>
      <c r="AJ47" s="1">
        <f>ROUND(G47*T47,0)</f>
        <v>119</v>
      </c>
      <c r="AK47" t="s">
        <v>130</v>
      </c>
    </row>
    <row r="48" spans="1:37" x14ac:dyDescent="0.25">
      <c r="A48" s="1" t="s">
        <v>131</v>
      </c>
      <c r="B48" s="1" t="s">
        <v>40</v>
      </c>
      <c r="C48" s="1">
        <v>86.105000000000004</v>
      </c>
      <c r="D48" s="1">
        <v>46.082000000000001</v>
      </c>
      <c r="E48" s="1">
        <v>81.069000000000003</v>
      </c>
      <c r="F48" s="1">
        <v>46.142000000000003</v>
      </c>
      <c r="G48" s="7">
        <v>1</v>
      </c>
      <c r="H48" s="1">
        <v>50</v>
      </c>
      <c r="I48" s="1" t="s">
        <v>41</v>
      </c>
      <c r="J48" s="1"/>
      <c r="K48" s="1">
        <v>88.7</v>
      </c>
      <c r="L48" s="1">
        <f t="shared" si="6"/>
        <v>-7.6310000000000002</v>
      </c>
      <c r="M48" s="1"/>
      <c r="N48" s="1"/>
      <c r="O48" s="1">
        <v>102.643072</v>
      </c>
      <c r="P48" s="1"/>
      <c r="Q48" s="1"/>
      <c r="R48" s="1">
        <f t="shared" si="7"/>
        <v>16.213799999999999</v>
      </c>
      <c r="S48" s="5">
        <f>12*R48-Q48-P48-O48-F48</f>
        <v>45.780527999999983</v>
      </c>
      <c r="T48" s="5">
        <f>S48</f>
        <v>45.780527999999983</v>
      </c>
      <c r="U48" s="5"/>
      <c r="V48" s="5"/>
      <c r="W48" s="1">
        <f>(F48+O48+P48+Q48+T48)/R48</f>
        <v>12</v>
      </c>
      <c r="X48" s="1">
        <f>(F48+O48+P48+Q48)/R48</f>
        <v>9.176446730562855</v>
      </c>
      <c r="Y48" s="1">
        <v>20.591200000000001</v>
      </c>
      <c r="Z48" s="1">
        <v>19.520800000000001</v>
      </c>
      <c r="AA48" s="1">
        <v>15.0738</v>
      </c>
      <c r="AB48" s="1">
        <v>11.8742</v>
      </c>
      <c r="AC48" s="1">
        <v>13.991400000000001</v>
      </c>
      <c r="AD48" s="1">
        <v>17.976199999999999</v>
      </c>
      <c r="AE48" s="1">
        <v>14.181800000000001</v>
      </c>
      <c r="AF48" s="1">
        <v>13.4892</v>
      </c>
      <c r="AG48" s="1">
        <v>18.758400000000002</v>
      </c>
      <c r="AH48" s="1">
        <v>21.601400000000002</v>
      </c>
      <c r="AI48" s="1"/>
      <c r="AJ48" s="1">
        <f>ROUND(G48*T48,0)</f>
        <v>46</v>
      </c>
      <c r="AK48" t="s">
        <v>132</v>
      </c>
    </row>
    <row r="49" spans="1:39" x14ac:dyDescent="0.25">
      <c r="A49" s="1" t="s">
        <v>133</v>
      </c>
      <c r="B49" s="1" t="s">
        <v>40</v>
      </c>
      <c r="C49" s="1">
        <v>29.724</v>
      </c>
      <c r="D49" s="1"/>
      <c r="E49" s="1">
        <v>-5.2560000000000002</v>
      </c>
      <c r="F49" s="1">
        <v>28.358000000000001</v>
      </c>
      <c r="G49" s="7">
        <v>1</v>
      </c>
      <c r="H49" s="1">
        <v>50</v>
      </c>
      <c r="I49" s="1" t="s">
        <v>41</v>
      </c>
      <c r="J49" s="1"/>
      <c r="K49" s="1">
        <v>163</v>
      </c>
      <c r="L49" s="1">
        <f t="shared" si="6"/>
        <v>-168.256</v>
      </c>
      <c r="M49" s="1"/>
      <c r="N49" s="1"/>
      <c r="O49" s="1">
        <v>80</v>
      </c>
      <c r="P49" s="1"/>
      <c r="Q49" s="1"/>
      <c r="R49" s="1">
        <f t="shared" si="7"/>
        <v>-1.0512000000000001</v>
      </c>
      <c r="S49" s="5"/>
      <c r="T49" s="5">
        <f>S49</f>
        <v>0</v>
      </c>
      <c r="U49" s="5"/>
      <c r="V49" s="5"/>
      <c r="W49" s="1">
        <f>(F49+O49+P49+Q49+T49)/R49</f>
        <v>-103.08028919330289</v>
      </c>
      <c r="X49" s="1">
        <f>(F49+O49+P49+Q49)/R49</f>
        <v>-103.08028919330289</v>
      </c>
      <c r="Y49" s="1">
        <v>-0.624</v>
      </c>
      <c r="Z49" s="1">
        <v>14.5092</v>
      </c>
      <c r="AA49" s="1">
        <v>18.899000000000001</v>
      </c>
      <c r="AB49" s="1">
        <v>16.585999999999999</v>
      </c>
      <c r="AC49" s="1">
        <v>22.036000000000001</v>
      </c>
      <c r="AD49" s="1">
        <v>27.9922</v>
      </c>
      <c r="AE49" s="1">
        <v>30.0686</v>
      </c>
      <c r="AF49" s="1">
        <v>29.352599999999999</v>
      </c>
      <c r="AG49" s="1">
        <v>27.397400000000001</v>
      </c>
      <c r="AH49" s="1">
        <v>30.834</v>
      </c>
      <c r="AI49" s="15" t="s">
        <v>134</v>
      </c>
      <c r="AJ49" s="1">
        <f>ROUND(G49*T49,0)</f>
        <v>0</v>
      </c>
      <c r="AK49" t="s">
        <v>135</v>
      </c>
    </row>
    <row r="50" spans="1:39" x14ac:dyDescent="0.25">
      <c r="A50" s="1" t="s">
        <v>136</v>
      </c>
      <c r="B50" s="1" t="s">
        <v>40</v>
      </c>
      <c r="C50" s="1">
        <v>0.434</v>
      </c>
      <c r="D50" s="1"/>
      <c r="E50" s="1">
        <v>-4.5259999999999998</v>
      </c>
      <c r="F50" s="1">
        <v>0.434</v>
      </c>
      <c r="G50" s="7">
        <v>1</v>
      </c>
      <c r="H50" s="1">
        <v>45</v>
      </c>
      <c r="I50" s="13" t="s">
        <v>59</v>
      </c>
      <c r="J50" s="1"/>
      <c r="K50" s="1">
        <v>34.9</v>
      </c>
      <c r="L50" s="1">
        <f t="shared" si="6"/>
        <v>-39.426000000000002</v>
      </c>
      <c r="M50" s="1"/>
      <c r="N50" s="1"/>
      <c r="O50" s="1">
        <v>194.66149400000009</v>
      </c>
      <c r="P50" s="1">
        <v>-198</v>
      </c>
      <c r="Q50" s="1"/>
      <c r="R50" s="1">
        <f t="shared" si="7"/>
        <v>-0.9052</v>
      </c>
      <c r="S50" s="5">
        <v>100</v>
      </c>
      <c r="T50" s="5">
        <f>S50*0.45</f>
        <v>45</v>
      </c>
      <c r="U50" s="5">
        <v>-45</v>
      </c>
      <c r="V50" s="5"/>
      <c r="W50" s="1">
        <f>(F50+O50+P50+Q50+T50)/R50</f>
        <v>-46.504080866107032</v>
      </c>
      <c r="X50" s="1">
        <f>(F50+O50+P50+Q50)/R50</f>
        <v>3.2086897923109947</v>
      </c>
      <c r="Y50" s="1">
        <v>-0.41320000000000001</v>
      </c>
      <c r="Z50" s="1">
        <v>43.441600000000001</v>
      </c>
      <c r="AA50" s="1">
        <v>47.674599999999998</v>
      </c>
      <c r="AB50" s="1">
        <v>5.6109999999999998</v>
      </c>
      <c r="AC50" s="1">
        <v>1.4787999999999999</v>
      </c>
      <c r="AD50" s="1">
        <v>26.138999999999999</v>
      </c>
      <c r="AE50" s="1">
        <v>35.246200000000002</v>
      </c>
      <c r="AF50" s="1">
        <v>41.248800000000003</v>
      </c>
      <c r="AG50" s="1">
        <v>33.955399999999997</v>
      </c>
      <c r="AH50" s="1">
        <v>1.6262000000000001</v>
      </c>
      <c r="AI50" s="1"/>
      <c r="AJ50" s="1">
        <f>ROUND(G50*T50,0)</f>
        <v>45</v>
      </c>
      <c r="AK50" t="s">
        <v>137</v>
      </c>
    </row>
    <row r="51" spans="1:39" x14ac:dyDescent="0.25">
      <c r="A51" s="18" t="s">
        <v>138</v>
      </c>
      <c r="B51" s="1" t="s">
        <v>49</v>
      </c>
      <c r="C51" s="1">
        <v>263</v>
      </c>
      <c r="D51" s="1">
        <v>41</v>
      </c>
      <c r="E51" s="1">
        <v>170</v>
      </c>
      <c r="F51" s="1">
        <v>110</v>
      </c>
      <c r="G51" s="7">
        <v>0.45</v>
      </c>
      <c r="H51" s="1">
        <v>50</v>
      </c>
      <c r="I51" s="1" t="s">
        <v>41</v>
      </c>
      <c r="J51" s="1"/>
      <c r="K51" s="1">
        <v>191</v>
      </c>
      <c r="L51" s="1">
        <f t="shared" si="6"/>
        <v>-21</v>
      </c>
      <c r="M51" s="1"/>
      <c r="N51" s="1"/>
      <c r="O51" s="1">
        <v>39.399999999999977</v>
      </c>
      <c r="P51" s="1"/>
      <c r="Q51" s="1"/>
      <c r="R51" s="1">
        <f t="shared" si="7"/>
        <v>34</v>
      </c>
      <c r="S51" s="5">
        <f>11*R51-Q51-P51-O51-F51</f>
        <v>224.60000000000002</v>
      </c>
      <c r="T51" s="5">
        <f>S51+$T$1*R51</f>
        <v>182.78000000000003</v>
      </c>
      <c r="U51" s="5"/>
      <c r="V51" s="5"/>
      <c r="W51" s="1">
        <f>(F51+O51+P51+Q51+T51+V51)/R51</f>
        <v>9.77</v>
      </c>
      <c r="X51" s="1">
        <f>(F51+O51+P51+Q51)/R51</f>
        <v>4.394117647058823</v>
      </c>
      <c r="Y51" s="1">
        <v>40.4</v>
      </c>
      <c r="Z51" s="1">
        <v>25.2</v>
      </c>
      <c r="AA51" s="1">
        <v>18.399999999999999</v>
      </c>
      <c r="AB51" s="1">
        <v>19.8</v>
      </c>
      <c r="AC51" s="1">
        <v>29.6</v>
      </c>
      <c r="AD51" s="1">
        <v>39.4</v>
      </c>
      <c r="AE51" s="1">
        <v>27.6</v>
      </c>
      <c r="AF51" s="1">
        <v>20.8</v>
      </c>
      <c r="AG51" s="1">
        <v>35.4</v>
      </c>
      <c r="AH51" s="1">
        <v>42.4</v>
      </c>
      <c r="AI51" s="1"/>
      <c r="AJ51" s="1">
        <f>ROUND(G51*T51,0)</f>
        <v>82</v>
      </c>
      <c r="AK51" t="s">
        <v>139</v>
      </c>
      <c r="AL51" t="str">
        <f>VLOOKUP(A51,[1]Sheet!$A:$AQ,43,0)</f>
        <v>SU002815</v>
      </c>
      <c r="AM51">
        <f>ROUND(V51*G51,0)</f>
        <v>0</v>
      </c>
    </row>
    <row r="52" spans="1:39" x14ac:dyDescent="0.25">
      <c r="A52" s="1" t="s">
        <v>140</v>
      </c>
      <c r="B52" s="1" t="s">
        <v>49</v>
      </c>
      <c r="C52" s="1">
        <v>492</v>
      </c>
      <c r="D52" s="1">
        <v>3</v>
      </c>
      <c r="E52" s="1">
        <v>304</v>
      </c>
      <c r="F52" s="1">
        <v>1</v>
      </c>
      <c r="G52" s="7">
        <v>0.45</v>
      </c>
      <c r="H52" s="1">
        <v>50</v>
      </c>
      <c r="I52" s="1" t="s">
        <v>41</v>
      </c>
      <c r="J52" s="1"/>
      <c r="K52" s="1">
        <v>318</v>
      </c>
      <c r="L52" s="1">
        <f t="shared" si="6"/>
        <v>-14</v>
      </c>
      <c r="M52" s="1"/>
      <c r="N52" s="1"/>
      <c r="O52" s="1">
        <v>52.799999999999947</v>
      </c>
      <c r="P52" s="1"/>
      <c r="Q52" s="1"/>
      <c r="R52" s="1">
        <f t="shared" si="7"/>
        <v>60.8</v>
      </c>
      <c r="S52" s="5">
        <f>8*R52-Q52-P52-O52-F52</f>
        <v>432.6</v>
      </c>
      <c r="T52" s="5">
        <f>S52+$T$1*R52</f>
        <v>357.81600000000003</v>
      </c>
      <c r="U52" s="5"/>
      <c r="V52" s="5"/>
      <c r="W52" s="1">
        <f>(F52+O52+P52+Q52+T52)/R52</f>
        <v>6.7700000000000005</v>
      </c>
      <c r="X52" s="1">
        <f>(F52+O52+P52+Q52)/R52</f>
        <v>0.88486842105263075</v>
      </c>
      <c r="Y52" s="1">
        <v>57.4</v>
      </c>
      <c r="Z52" s="1">
        <v>45.4</v>
      </c>
      <c r="AA52" s="1">
        <v>38.200000000000003</v>
      </c>
      <c r="AB52" s="1">
        <v>34.200000000000003</v>
      </c>
      <c r="AC52" s="1">
        <v>42.6</v>
      </c>
      <c r="AD52" s="1">
        <v>64.400000000000006</v>
      </c>
      <c r="AE52" s="1">
        <v>46.6</v>
      </c>
      <c r="AF52" s="1">
        <v>38.4</v>
      </c>
      <c r="AG52" s="1">
        <v>47.2</v>
      </c>
      <c r="AH52" s="1">
        <v>63.6</v>
      </c>
      <c r="AI52" s="1"/>
      <c r="AJ52" s="1">
        <f>ROUND(G52*T52,0)</f>
        <v>161</v>
      </c>
      <c r="AK52" t="s">
        <v>141</v>
      </c>
    </row>
    <row r="53" spans="1:39" x14ac:dyDescent="0.25">
      <c r="A53" s="1" t="s">
        <v>142</v>
      </c>
      <c r="B53" s="1" t="s">
        <v>49</v>
      </c>
      <c r="C53" s="1">
        <v>3</v>
      </c>
      <c r="D53" s="1">
        <v>126</v>
      </c>
      <c r="E53" s="1">
        <v>27</v>
      </c>
      <c r="F53" s="1">
        <v>74</v>
      </c>
      <c r="G53" s="7">
        <v>0.4</v>
      </c>
      <c r="H53" s="1">
        <v>40</v>
      </c>
      <c r="I53" s="1" t="s">
        <v>41</v>
      </c>
      <c r="J53" s="1"/>
      <c r="K53" s="1">
        <v>41</v>
      </c>
      <c r="L53" s="1">
        <f t="shared" si="6"/>
        <v>-14</v>
      </c>
      <c r="M53" s="1"/>
      <c r="N53" s="1"/>
      <c r="O53" s="1">
        <v>17.199999999999982</v>
      </c>
      <c r="P53" s="1">
        <v>-18</v>
      </c>
      <c r="Q53" s="1"/>
      <c r="R53" s="1">
        <f t="shared" si="7"/>
        <v>5.4</v>
      </c>
      <c r="S53" s="5"/>
      <c r="T53" s="5">
        <f>S53</f>
        <v>0</v>
      </c>
      <c r="U53" s="5"/>
      <c r="V53" s="5"/>
      <c r="W53" s="1">
        <f>(F53+O53+P53+Q53+T53)/R53</f>
        <v>13.555555555555552</v>
      </c>
      <c r="X53" s="1">
        <f>(F53+O53+P53+Q53)/R53</f>
        <v>13.555555555555552</v>
      </c>
      <c r="Y53" s="1">
        <v>1.4</v>
      </c>
      <c r="Z53" s="1">
        <v>11.6</v>
      </c>
      <c r="AA53" s="1">
        <v>12.6</v>
      </c>
      <c r="AB53" s="1">
        <v>5.4</v>
      </c>
      <c r="AC53" s="1">
        <v>5</v>
      </c>
      <c r="AD53" s="1">
        <v>4.8</v>
      </c>
      <c r="AE53" s="1">
        <v>5.2</v>
      </c>
      <c r="AF53" s="1">
        <v>8.4</v>
      </c>
      <c r="AG53" s="1">
        <v>6.2</v>
      </c>
      <c r="AH53" s="1">
        <v>0.6</v>
      </c>
      <c r="AI53" s="1"/>
      <c r="AJ53" s="1">
        <f>ROUND(G53*T53,0)</f>
        <v>0</v>
      </c>
      <c r="AK53" t="s">
        <v>143</v>
      </c>
    </row>
    <row r="54" spans="1:39" x14ac:dyDescent="0.25">
      <c r="A54" s="1" t="s">
        <v>144</v>
      </c>
      <c r="B54" s="1" t="s">
        <v>49</v>
      </c>
      <c r="C54" s="1">
        <v>11</v>
      </c>
      <c r="D54" s="1">
        <v>66</v>
      </c>
      <c r="E54" s="1">
        <v>32</v>
      </c>
      <c r="F54" s="1">
        <v>27</v>
      </c>
      <c r="G54" s="7">
        <v>0.4</v>
      </c>
      <c r="H54" s="1">
        <v>40</v>
      </c>
      <c r="I54" s="13" t="s">
        <v>59</v>
      </c>
      <c r="J54" s="1"/>
      <c r="K54" s="1">
        <v>47</v>
      </c>
      <c r="L54" s="1">
        <f t="shared" si="6"/>
        <v>-15</v>
      </c>
      <c r="M54" s="1"/>
      <c r="N54" s="1"/>
      <c r="O54" s="1">
        <v>20</v>
      </c>
      <c r="P54" s="1"/>
      <c r="Q54" s="1"/>
      <c r="R54" s="1">
        <f t="shared" si="7"/>
        <v>6.4</v>
      </c>
      <c r="S54" s="5">
        <f>12*R54-Q54-P54-O54-F54</f>
        <v>29.800000000000011</v>
      </c>
      <c r="T54" s="5">
        <f>S54*0.5</f>
        <v>14.900000000000006</v>
      </c>
      <c r="U54" s="5"/>
      <c r="V54" s="5"/>
      <c r="W54" s="1">
        <f>(F54+O54+P54+Q54+T54)/R54</f>
        <v>9.671875</v>
      </c>
      <c r="X54" s="1">
        <f>(F54+O54+P54+Q54)/R54</f>
        <v>7.34375</v>
      </c>
      <c r="Y54" s="1">
        <v>1.6</v>
      </c>
      <c r="Z54" s="1">
        <v>2.6</v>
      </c>
      <c r="AA54" s="1">
        <v>2.4</v>
      </c>
      <c r="AB54" s="1">
        <v>5.6</v>
      </c>
      <c r="AC54" s="1">
        <v>7.2</v>
      </c>
      <c r="AD54" s="1">
        <v>17.2</v>
      </c>
      <c r="AE54" s="1">
        <v>18.600000000000001</v>
      </c>
      <c r="AF54" s="1">
        <v>9.4</v>
      </c>
      <c r="AG54" s="1">
        <v>6.2</v>
      </c>
      <c r="AH54" s="1">
        <v>10.199999999999999</v>
      </c>
      <c r="AI54" s="1"/>
      <c r="AJ54" s="1">
        <f>ROUND(G54*T54,0)</f>
        <v>6</v>
      </c>
      <c r="AK54" t="s">
        <v>145</v>
      </c>
    </row>
    <row r="55" spans="1:39" x14ac:dyDescent="0.25">
      <c r="A55" s="18" t="s">
        <v>146</v>
      </c>
      <c r="B55" s="1" t="s">
        <v>40</v>
      </c>
      <c r="C55" s="1">
        <v>82.049000000000007</v>
      </c>
      <c r="D55" s="1">
        <v>36.887</v>
      </c>
      <c r="E55" s="1">
        <v>76.433999999999997</v>
      </c>
      <c r="F55" s="1">
        <v>3.5760000000000001</v>
      </c>
      <c r="G55" s="7">
        <v>1</v>
      </c>
      <c r="H55" s="1">
        <v>50</v>
      </c>
      <c r="I55" s="1" t="s">
        <v>41</v>
      </c>
      <c r="J55" s="1"/>
      <c r="K55" s="1">
        <v>99.4</v>
      </c>
      <c r="L55" s="1">
        <f t="shared" si="6"/>
        <v>-22.966000000000008</v>
      </c>
      <c r="M55" s="1"/>
      <c r="N55" s="1"/>
      <c r="O55" s="1">
        <v>28.279399999999981</v>
      </c>
      <c r="P55" s="1"/>
      <c r="Q55" s="1"/>
      <c r="R55" s="1">
        <f t="shared" si="7"/>
        <v>15.286799999999999</v>
      </c>
      <c r="S55" s="5">
        <f>9*R55-Q55-P55-O55-F55</f>
        <v>105.72580000000002</v>
      </c>
      <c r="T55" s="5">
        <f>S55+$T$1*R55</f>
        <v>86.923036000000025</v>
      </c>
      <c r="U55" s="5"/>
      <c r="V55" s="5"/>
      <c r="W55" s="1">
        <f>(F55+O55+P55+Q55+T55+V55)/R55</f>
        <v>7.7700000000000005</v>
      </c>
      <c r="X55" s="1">
        <f>(F55+O55+P55+Q55)/R55</f>
        <v>2.0838501190569629</v>
      </c>
      <c r="Y55" s="1">
        <v>16.098400000000002</v>
      </c>
      <c r="Z55" s="1">
        <v>11.240600000000001</v>
      </c>
      <c r="AA55" s="1">
        <v>10.952</v>
      </c>
      <c r="AB55" s="1">
        <v>10.156599999999999</v>
      </c>
      <c r="AC55" s="1">
        <v>6.9614000000000003</v>
      </c>
      <c r="AD55" s="1">
        <v>12.7996</v>
      </c>
      <c r="AE55" s="1">
        <v>15.9956</v>
      </c>
      <c r="AF55" s="1">
        <v>14.400600000000001</v>
      </c>
      <c r="AG55" s="1">
        <v>10.9184</v>
      </c>
      <c r="AH55" s="1">
        <v>9.3290000000000006</v>
      </c>
      <c r="AI55" s="1"/>
      <c r="AJ55" s="1">
        <f>ROUND(G55*T55,0)</f>
        <v>87</v>
      </c>
      <c r="AK55" t="s">
        <v>147</v>
      </c>
      <c r="AL55" t="str">
        <f>VLOOKUP(A55,[1]Sheet!$A:$AQ,43,0)</f>
        <v>SU002829</v>
      </c>
      <c r="AM55">
        <f>ROUND(V55*G55,0)</f>
        <v>0</v>
      </c>
    </row>
    <row r="56" spans="1:39" x14ac:dyDescent="0.25">
      <c r="A56" s="1" t="s">
        <v>148</v>
      </c>
      <c r="B56" s="1" t="s">
        <v>49</v>
      </c>
      <c r="C56" s="1">
        <v>74</v>
      </c>
      <c r="D56" s="1">
        <v>227</v>
      </c>
      <c r="E56" s="1">
        <v>44</v>
      </c>
      <c r="F56" s="1">
        <v>243</v>
      </c>
      <c r="G56" s="7">
        <v>0.1</v>
      </c>
      <c r="H56" s="1">
        <v>731</v>
      </c>
      <c r="I56" s="1" t="s">
        <v>41</v>
      </c>
      <c r="J56" s="1"/>
      <c r="K56" s="1">
        <v>61</v>
      </c>
      <c r="L56" s="1">
        <f t="shared" si="6"/>
        <v>-17</v>
      </c>
      <c r="M56" s="1"/>
      <c r="N56" s="1"/>
      <c r="O56" s="1">
        <v>0</v>
      </c>
      <c r="P56" s="1"/>
      <c r="Q56" s="1"/>
      <c r="R56" s="1">
        <f t="shared" si="7"/>
        <v>8.8000000000000007</v>
      </c>
      <c r="S56" s="5"/>
      <c r="T56" s="5">
        <f>S56</f>
        <v>0</v>
      </c>
      <c r="U56" s="5"/>
      <c r="V56" s="5"/>
      <c r="W56" s="1">
        <f>(F56+O56+P56+Q56+T56)/R56</f>
        <v>27.61363636363636</v>
      </c>
      <c r="X56" s="1">
        <f>(F56+O56+P56+Q56)/R56</f>
        <v>27.61363636363636</v>
      </c>
      <c r="Y56" s="1">
        <v>7.2</v>
      </c>
      <c r="Z56" s="1">
        <v>5.6</v>
      </c>
      <c r="AA56" s="1">
        <v>9</v>
      </c>
      <c r="AB56" s="1">
        <v>20</v>
      </c>
      <c r="AC56" s="1">
        <v>18.8</v>
      </c>
      <c r="AD56" s="1">
        <v>13.8</v>
      </c>
      <c r="AE56" s="1">
        <v>10.4</v>
      </c>
      <c r="AF56" s="1">
        <v>7.8</v>
      </c>
      <c r="AG56" s="1">
        <v>11</v>
      </c>
      <c r="AH56" s="1">
        <v>13.6</v>
      </c>
      <c r="AI56" s="16" t="s">
        <v>149</v>
      </c>
      <c r="AJ56" s="1">
        <f>ROUND(G56*T56,0)</f>
        <v>0</v>
      </c>
      <c r="AK56" t="s">
        <v>150</v>
      </c>
    </row>
    <row r="57" spans="1:39" x14ac:dyDescent="0.25">
      <c r="A57" s="1" t="s">
        <v>151</v>
      </c>
      <c r="B57" s="1" t="s">
        <v>40</v>
      </c>
      <c r="C57" s="1">
        <v>87.093999999999994</v>
      </c>
      <c r="D57" s="1">
        <v>58.191000000000003</v>
      </c>
      <c r="E57" s="1">
        <v>106.738</v>
      </c>
      <c r="F57" s="1">
        <v>38.125999999999998</v>
      </c>
      <c r="G57" s="7">
        <v>1</v>
      </c>
      <c r="H57" s="1">
        <v>50</v>
      </c>
      <c r="I57" s="1" t="s">
        <v>41</v>
      </c>
      <c r="J57" s="1"/>
      <c r="K57" s="1">
        <v>161</v>
      </c>
      <c r="L57" s="1">
        <f t="shared" si="6"/>
        <v>-54.262</v>
      </c>
      <c r="M57" s="1"/>
      <c r="N57" s="1"/>
      <c r="O57" s="1">
        <v>197.342016</v>
      </c>
      <c r="P57" s="1"/>
      <c r="Q57" s="1"/>
      <c r="R57" s="1">
        <f t="shared" si="7"/>
        <v>21.3476</v>
      </c>
      <c r="S57" s="5">
        <f>12*R57-Q57-P57-O57-F57</f>
        <v>20.703184</v>
      </c>
      <c r="T57" s="5">
        <f>S57</f>
        <v>20.703184</v>
      </c>
      <c r="U57" s="5"/>
      <c r="V57" s="5"/>
      <c r="W57" s="1">
        <f>(F57+O57+P57+Q57+T57)/R57</f>
        <v>12</v>
      </c>
      <c r="X57" s="1">
        <f>(F57+O57+P57+Q57)/R57</f>
        <v>11.030186812569095</v>
      </c>
      <c r="Y57" s="1">
        <v>36.7468</v>
      </c>
      <c r="Z57" s="1">
        <v>31.912400000000002</v>
      </c>
      <c r="AA57" s="1">
        <v>21.061199999999999</v>
      </c>
      <c r="AB57" s="1">
        <v>16.559200000000001</v>
      </c>
      <c r="AC57" s="1">
        <v>14.959199999999999</v>
      </c>
      <c r="AD57" s="1">
        <v>24.415600000000001</v>
      </c>
      <c r="AE57" s="1">
        <v>28.695599999999999</v>
      </c>
      <c r="AF57" s="1">
        <v>35.496600000000001</v>
      </c>
      <c r="AG57" s="1">
        <v>35.494799999999998</v>
      </c>
      <c r="AH57" s="1">
        <v>30.4786</v>
      </c>
      <c r="AI57" s="1"/>
      <c r="AJ57" s="1">
        <f>ROUND(G57*T57,0)</f>
        <v>21</v>
      </c>
      <c r="AK57" t="s">
        <v>152</v>
      </c>
    </row>
    <row r="58" spans="1:39" x14ac:dyDescent="0.25">
      <c r="A58" s="1" t="s">
        <v>153</v>
      </c>
      <c r="B58" s="1" t="s">
        <v>40</v>
      </c>
      <c r="C58" s="1">
        <v>23.192</v>
      </c>
      <c r="D58" s="1">
        <v>54.414999999999999</v>
      </c>
      <c r="E58" s="1">
        <v>33.948999999999998</v>
      </c>
      <c r="F58" s="1">
        <v>43.71</v>
      </c>
      <c r="G58" s="7">
        <v>1</v>
      </c>
      <c r="H58" s="1">
        <v>55</v>
      </c>
      <c r="I58" s="1" t="s">
        <v>41</v>
      </c>
      <c r="J58" s="1"/>
      <c r="K58" s="1">
        <v>51.6</v>
      </c>
      <c r="L58" s="1">
        <f t="shared" si="6"/>
        <v>-17.651000000000003</v>
      </c>
      <c r="M58" s="1"/>
      <c r="N58" s="1"/>
      <c r="O58" s="1">
        <v>7.4152000000000058</v>
      </c>
      <c r="P58" s="1"/>
      <c r="Q58" s="1"/>
      <c r="R58" s="1">
        <f t="shared" si="7"/>
        <v>6.7897999999999996</v>
      </c>
      <c r="S58" s="5">
        <f>12*R58-Q58-P58-O58-F58</f>
        <v>30.352399999999996</v>
      </c>
      <c r="T58" s="5">
        <f>S58</f>
        <v>30.352399999999996</v>
      </c>
      <c r="U58" s="5"/>
      <c r="V58" s="5"/>
      <c r="W58" s="1">
        <f>(F58+O58+P58+Q58+T58)/R58</f>
        <v>12</v>
      </c>
      <c r="X58" s="1">
        <f>(F58+O58+P58+Q58)/R58</f>
        <v>7.5297063241921718</v>
      </c>
      <c r="Y58" s="1">
        <v>5.1970000000000001</v>
      </c>
      <c r="Z58" s="1">
        <v>6.2530000000000001</v>
      </c>
      <c r="AA58" s="1">
        <v>6.7727999999999993</v>
      </c>
      <c r="AB58" s="1">
        <v>5.6981999999999999</v>
      </c>
      <c r="AC58" s="1">
        <v>4.8959999999999999</v>
      </c>
      <c r="AD58" s="1">
        <v>5.1875999999999998</v>
      </c>
      <c r="AE58" s="1">
        <v>7.9328000000000003</v>
      </c>
      <c r="AF58" s="1">
        <v>9.3141999999999996</v>
      </c>
      <c r="AG58" s="1">
        <v>6.2875999999999994</v>
      </c>
      <c r="AH58" s="1">
        <v>7.8018000000000001</v>
      </c>
      <c r="AI58" s="1"/>
      <c r="AJ58" s="1">
        <f>ROUND(G58*T58,0)</f>
        <v>30</v>
      </c>
      <c r="AK58" t="s">
        <v>154</v>
      </c>
    </row>
    <row r="59" spans="1:39" x14ac:dyDescent="0.25">
      <c r="A59" s="1" t="s">
        <v>155</v>
      </c>
      <c r="B59" s="1" t="s">
        <v>49</v>
      </c>
      <c r="C59" s="1">
        <v>135</v>
      </c>
      <c r="D59" s="1">
        <v>80</v>
      </c>
      <c r="E59" s="1">
        <v>50</v>
      </c>
      <c r="F59" s="1">
        <v>146</v>
      </c>
      <c r="G59" s="7">
        <v>0.1</v>
      </c>
      <c r="H59" s="1">
        <v>731</v>
      </c>
      <c r="I59" s="1" t="s">
        <v>41</v>
      </c>
      <c r="J59" s="1"/>
      <c r="K59" s="1">
        <v>70</v>
      </c>
      <c r="L59" s="1">
        <f t="shared" si="6"/>
        <v>-20</v>
      </c>
      <c r="M59" s="1"/>
      <c r="N59" s="1"/>
      <c r="O59" s="1">
        <v>0</v>
      </c>
      <c r="P59" s="1"/>
      <c r="Q59" s="1"/>
      <c r="R59" s="1">
        <f t="shared" si="7"/>
        <v>10</v>
      </c>
      <c r="S59" s="5"/>
      <c r="T59" s="5">
        <f>S59</f>
        <v>0</v>
      </c>
      <c r="U59" s="5"/>
      <c r="V59" s="5"/>
      <c r="W59" s="1">
        <f>(F59+O59+P59+Q59+T59)/R59</f>
        <v>14.6</v>
      </c>
      <c r="X59" s="1">
        <f>(F59+O59+P59+Q59)/R59</f>
        <v>14.6</v>
      </c>
      <c r="Y59" s="1">
        <v>5</v>
      </c>
      <c r="Z59" s="1">
        <v>10.199999999999999</v>
      </c>
      <c r="AA59" s="1">
        <v>8.1999999999999993</v>
      </c>
      <c r="AB59" s="1">
        <v>17.2</v>
      </c>
      <c r="AC59" s="1">
        <v>17.8</v>
      </c>
      <c r="AD59" s="1">
        <v>18.600000000000001</v>
      </c>
      <c r="AE59" s="1">
        <v>16.8</v>
      </c>
      <c r="AF59" s="1">
        <v>10.8</v>
      </c>
      <c r="AG59" s="1">
        <v>12.8</v>
      </c>
      <c r="AH59" s="1">
        <v>10.199999999999999</v>
      </c>
      <c r="AI59" s="15" t="s">
        <v>46</v>
      </c>
      <c r="AJ59" s="1">
        <f>ROUND(G59*T59,0)</f>
        <v>0</v>
      </c>
      <c r="AK59" t="s">
        <v>156</v>
      </c>
    </row>
    <row r="60" spans="1:39" x14ac:dyDescent="0.25">
      <c r="A60" s="1" t="s">
        <v>157</v>
      </c>
      <c r="B60" s="1" t="s">
        <v>49</v>
      </c>
      <c r="C60" s="1">
        <v>23</v>
      </c>
      <c r="D60" s="1"/>
      <c r="E60" s="1">
        <v>9</v>
      </c>
      <c r="F60" s="1">
        <v>13</v>
      </c>
      <c r="G60" s="7">
        <v>0.4</v>
      </c>
      <c r="H60" s="1">
        <v>50</v>
      </c>
      <c r="I60" s="1" t="s">
        <v>41</v>
      </c>
      <c r="J60" s="1"/>
      <c r="K60" s="1">
        <v>14</v>
      </c>
      <c r="L60" s="1">
        <f t="shared" si="6"/>
        <v>-5</v>
      </c>
      <c r="M60" s="1"/>
      <c r="N60" s="1"/>
      <c r="O60" s="1">
        <v>0</v>
      </c>
      <c r="P60" s="1"/>
      <c r="Q60" s="1"/>
      <c r="R60" s="1">
        <f t="shared" si="7"/>
        <v>1.8</v>
      </c>
      <c r="S60" s="5">
        <f>12*R60-Q60-P60-O60-F60</f>
        <v>8.6000000000000014</v>
      </c>
      <c r="T60" s="5">
        <f>S60</f>
        <v>8.6000000000000014</v>
      </c>
      <c r="U60" s="5"/>
      <c r="V60" s="5"/>
      <c r="W60" s="1">
        <f>(F60+O60+P60+Q60+T60)/R60</f>
        <v>12</v>
      </c>
      <c r="X60" s="1">
        <f>(F60+O60+P60+Q60)/R60</f>
        <v>7.2222222222222223</v>
      </c>
      <c r="Y60" s="1">
        <v>1.8</v>
      </c>
      <c r="Z60" s="1">
        <v>2</v>
      </c>
      <c r="AA60" s="1">
        <v>1.2</v>
      </c>
      <c r="AB60" s="1">
        <v>1</v>
      </c>
      <c r="AC60" s="1">
        <v>1.4</v>
      </c>
      <c r="AD60" s="1">
        <v>2.4</v>
      </c>
      <c r="AE60" s="1">
        <v>2</v>
      </c>
      <c r="AF60" s="1">
        <v>0.8</v>
      </c>
      <c r="AG60" s="1">
        <v>0.8</v>
      </c>
      <c r="AH60" s="1">
        <v>1.6</v>
      </c>
      <c r="AI60" s="1"/>
      <c r="AJ60" s="1">
        <f>ROUND(G60*T60,0)</f>
        <v>3</v>
      </c>
      <c r="AK60" t="s">
        <v>158</v>
      </c>
    </row>
    <row r="61" spans="1:39" x14ac:dyDescent="0.25">
      <c r="A61" s="1" t="s">
        <v>159</v>
      </c>
      <c r="B61" s="1" t="s">
        <v>40</v>
      </c>
      <c r="C61" s="1">
        <v>-30.9</v>
      </c>
      <c r="D61" s="1">
        <v>222.00800000000001</v>
      </c>
      <c r="E61" s="1">
        <v>137.46899999999999</v>
      </c>
      <c r="F61" s="1">
        <v>27.710999999999999</v>
      </c>
      <c r="G61" s="7">
        <v>1</v>
      </c>
      <c r="H61" s="1">
        <v>40</v>
      </c>
      <c r="I61" s="13" t="s">
        <v>59</v>
      </c>
      <c r="J61" s="1"/>
      <c r="K61" s="1">
        <v>215.4</v>
      </c>
      <c r="L61" s="1">
        <f t="shared" si="6"/>
        <v>-77.931000000000012</v>
      </c>
      <c r="M61" s="1"/>
      <c r="N61" s="1"/>
      <c r="O61" s="1">
        <v>0</v>
      </c>
      <c r="P61" s="1"/>
      <c r="Q61" s="1"/>
      <c r="R61" s="1">
        <f t="shared" si="7"/>
        <v>27.4938</v>
      </c>
      <c r="S61" s="5">
        <v>130</v>
      </c>
      <c r="T61" s="5">
        <f>S61*0.45</f>
        <v>58.5</v>
      </c>
      <c r="U61" s="5"/>
      <c r="V61" s="5"/>
      <c r="W61" s="1">
        <f>(F61+O61+P61+Q61+T61)/R61</f>
        <v>3.1356524016323681</v>
      </c>
      <c r="X61" s="1">
        <f>(F61+O61+P61+Q61)/R61</f>
        <v>1.0078999629007266</v>
      </c>
      <c r="Y61" s="1">
        <v>-0.44119999999999998</v>
      </c>
      <c r="Z61" s="1">
        <v>24.540400000000002</v>
      </c>
      <c r="AA61" s="1">
        <v>38.078800000000001</v>
      </c>
      <c r="AB61" s="1">
        <v>18.853999999999999</v>
      </c>
      <c r="AC61" s="1">
        <v>16.659800000000001</v>
      </c>
      <c r="AD61" s="1">
        <v>14.296200000000001</v>
      </c>
      <c r="AE61" s="1">
        <v>17.922999999999998</v>
      </c>
      <c r="AF61" s="1">
        <v>17.2974</v>
      </c>
      <c r="AG61" s="1">
        <v>4.2414000000000014</v>
      </c>
      <c r="AH61" s="1">
        <v>8.469199999999999</v>
      </c>
      <c r="AI61" s="1"/>
      <c r="AJ61" s="1">
        <f>ROUND(G61*T61,0)</f>
        <v>59</v>
      </c>
      <c r="AK61" t="s">
        <v>160</v>
      </c>
    </row>
    <row r="62" spans="1:39" x14ac:dyDescent="0.25">
      <c r="A62" s="1" t="s">
        <v>161</v>
      </c>
      <c r="B62" s="1" t="s">
        <v>40</v>
      </c>
      <c r="C62" s="1">
        <v>-3.6920000000000002</v>
      </c>
      <c r="D62" s="1">
        <v>137.042</v>
      </c>
      <c r="E62" s="1">
        <v>51.895000000000003</v>
      </c>
      <c r="F62" s="1">
        <v>59.121000000000002</v>
      </c>
      <c r="G62" s="7">
        <v>1</v>
      </c>
      <c r="H62" s="1">
        <v>40</v>
      </c>
      <c r="I62" s="1" t="s">
        <v>41</v>
      </c>
      <c r="J62" s="1"/>
      <c r="K62" s="1">
        <v>100.2</v>
      </c>
      <c r="L62" s="1">
        <f t="shared" si="6"/>
        <v>-48.305</v>
      </c>
      <c r="M62" s="1"/>
      <c r="N62" s="1"/>
      <c r="O62" s="1">
        <v>43.73365000000004</v>
      </c>
      <c r="P62" s="1"/>
      <c r="Q62" s="1"/>
      <c r="R62" s="1">
        <f t="shared" si="7"/>
        <v>10.379000000000001</v>
      </c>
      <c r="S62" s="5">
        <f>12*R62-Q62-P62-O62-F62</f>
        <v>21.693349999999974</v>
      </c>
      <c r="T62" s="5">
        <f>S62</f>
        <v>21.693349999999974</v>
      </c>
      <c r="U62" s="5"/>
      <c r="V62" s="5"/>
      <c r="W62" s="1">
        <f>(F62+O62+P62+Q62+T62)/R62</f>
        <v>12.000000000000002</v>
      </c>
      <c r="X62" s="1">
        <f>(F62+O62+P62+Q62)/R62</f>
        <v>9.9098805279892126</v>
      </c>
      <c r="Y62" s="1">
        <v>0.11600000000000001</v>
      </c>
      <c r="Z62" s="1">
        <v>14.08</v>
      </c>
      <c r="AA62" s="1">
        <v>17.272600000000001</v>
      </c>
      <c r="AB62" s="1">
        <v>5.9125999999999994</v>
      </c>
      <c r="AC62" s="1">
        <v>4.6542000000000003</v>
      </c>
      <c r="AD62" s="1">
        <v>3.8302</v>
      </c>
      <c r="AE62" s="1">
        <v>5.4445999999999994</v>
      </c>
      <c r="AF62" s="1">
        <v>7.3133999999999997</v>
      </c>
      <c r="AG62" s="1">
        <v>8.4963999999999995</v>
      </c>
      <c r="AH62" s="1">
        <v>5.2677999999999994</v>
      </c>
      <c r="AI62" s="1" t="s">
        <v>162</v>
      </c>
      <c r="AJ62" s="1">
        <f>ROUND(G62*T62,0)</f>
        <v>22</v>
      </c>
      <c r="AK62" t="s">
        <v>163</v>
      </c>
    </row>
    <row r="63" spans="1:39" x14ac:dyDescent="0.25">
      <c r="A63" s="1" t="s">
        <v>164</v>
      </c>
      <c r="B63" s="1" t="s">
        <v>49</v>
      </c>
      <c r="C63" s="1">
        <v>494</v>
      </c>
      <c r="D63" s="1">
        <v>314</v>
      </c>
      <c r="E63" s="1">
        <v>457</v>
      </c>
      <c r="F63" s="1">
        <v>29</v>
      </c>
      <c r="G63" s="7">
        <v>0.4</v>
      </c>
      <c r="H63" s="1">
        <v>40</v>
      </c>
      <c r="I63" s="1" t="s">
        <v>41</v>
      </c>
      <c r="J63" s="1"/>
      <c r="K63" s="1">
        <v>724</v>
      </c>
      <c r="L63" s="1">
        <f t="shared" si="6"/>
        <v>-267</v>
      </c>
      <c r="M63" s="1"/>
      <c r="N63" s="1"/>
      <c r="O63" s="1">
        <v>539.8760000000002</v>
      </c>
      <c r="P63" s="1"/>
      <c r="Q63" s="1"/>
      <c r="R63" s="1">
        <f t="shared" si="7"/>
        <v>91.4</v>
      </c>
      <c r="S63" s="5">
        <f>12*R63-Q63-P63-O63-F63</f>
        <v>527.92399999999998</v>
      </c>
      <c r="T63" s="5">
        <f>S63+$T$1*R63</f>
        <v>415.50199999999995</v>
      </c>
      <c r="U63" s="5"/>
      <c r="V63" s="5"/>
      <c r="W63" s="1">
        <f>(F63+O63+P63+Q63+T63)/R63</f>
        <v>10.770000000000001</v>
      </c>
      <c r="X63" s="1">
        <f>(F63+O63+P63+Q63)/R63</f>
        <v>6.2240262582056909</v>
      </c>
      <c r="Y63" s="1">
        <v>92.8</v>
      </c>
      <c r="Z63" s="1">
        <v>116.4</v>
      </c>
      <c r="AA63" s="1">
        <v>96.4</v>
      </c>
      <c r="AB63" s="1">
        <v>76.2</v>
      </c>
      <c r="AC63" s="1">
        <v>89.8</v>
      </c>
      <c r="AD63" s="1">
        <v>109.4</v>
      </c>
      <c r="AE63" s="1">
        <v>105.6</v>
      </c>
      <c r="AF63" s="1">
        <v>92.6</v>
      </c>
      <c r="AG63" s="1">
        <v>65.8</v>
      </c>
      <c r="AH63" s="1">
        <v>9.1999999999999993</v>
      </c>
      <c r="AI63" s="1"/>
      <c r="AJ63" s="1">
        <f>ROUND(G63*T63,0)</f>
        <v>166</v>
      </c>
      <c r="AK63" t="s">
        <v>165</v>
      </c>
    </row>
    <row r="64" spans="1:39" x14ac:dyDescent="0.25">
      <c r="A64" s="1" t="s">
        <v>166</v>
      </c>
      <c r="B64" s="1" t="s">
        <v>49</v>
      </c>
      <c r="C64" s="1">
        <v>30</v>
      </c>
      <c r="D64" s="1">
        <v>222</v>
      </c>
      <c r="E64" s="1">
        <v>206</v>
      </c>
      <c r="F64" s="1">
        <v>6</v>
      </c>
      <c r="G64" s="7">
        <v>0.4</v>
      </c>
      <c r="H64" s="1">
        <v>40</v>
      </c>
      <c r="I64" s="13" t="s">
        <v>59</v>
      </c>
      <c r="J64" s="1"/>
      <c r="K64" s="1">
        <v>336</v>
      </c>
      <c r="L64" s="1">
        <f t="shared" si="6"/>
        <v>-130</v>
      </c>
      <c r="M64" s="1"/>
      <c r="N64" s="1"/>
      <c r="O64" s="1">
        <v>300</v>
      </c>
      <c r="P64" s="1"/>
      <c r="Q64" s="1"/>
      <c r="R64" s="1">
        <f t="shared" si="7"/>
        <v>41.2</v>
      </c>
      <c r="S64" s="5">
        <f>12*R64-Q64-P64-O64-F64</f>
        <v>188.40000000000003</v>
      </c>
      <c r="T64" s="5">
        <f>S64*0.45</f>
        <v>84.780000000000015</v>
      </c>
      <c r="U64" s="5"/>
      <c r="V64" s="5"/>
      <c r="W64" s="1">
        <f>(F64+O64+P64+Q64+T64)/R64</f>
        <v>9.4849514563106805</v>
      </c>
      <c r="X64" s="1">
        <f>(F64+O64+P64+Q64)/R64</f>
        <v>7.4271844660194173</v>
      </c>
      <c r="Y64" s="1">
        <v>26.2</v>
      </c>
      <c r="Z64" s="1">
        <v>68.599999999999994</v>
      </c>
      <c r="AA64" s="1">
        <v>67</v>
      </c>
      <c r="AB64" s="1">
        <v>23</v>
      </c>
      <c r="AC64" s="1">
        <v>6</v>
      </c>
      <c r="AD64" s="1">
        <v>53.4</v>
      </c>
      <c r="AE64" s="1">
        <v>72</v>
      </c>
      <c r="AF64" s="1">
        <v>66.2</v>
      </c>
      <c r="AG64" s="1">
        <v>60.8</v>
      </c>
      <c r="AH64" s="1">
        <v>62.2</v>
      </c>
      <c r="AI64" s="1"/>
      <c r="AJ64" s="1">
        <f>ROUND(G64*T64,0)</f>
        <v>34</v>
      </c>
      <c r="AK64" t="s">
        <v>167</v>
      </c>
    </row>
    <row r="65" spans="1:37" x14ac:dyDescent="0.25">
      <c r="A65" s="1" t="s">
        <v>168</v>
      </c>
      <c r="B65" s="1" t="s">
        <v>40</v>
      </c>
      <c r="C65" s="1">
        <v>163.16200000000001</v>
      </c>
      <c r="D65" s="1">
        <v>21.88</v>
      </c>
      <c r="E65" s="1">
        <v>165.25200000000001</v>
      </c>
      <c r="F65" s="1">
        <v>-7.5179999999999998</v>
      </c>
      <c r="G65" s="7">
        <v>1</v>
      </c>
      <c r="H65" s="1">
        <v>40</v>
      </c>
      <c r="I65" s="1" t="s">
        <v>41</v>
      </c>
      <c r="J65" s="1"/>
      <c r="K65" s="1">
        <v>205.88</v>
      </c>
      <c r="L65" s="1">
        <f t="shared" si="6"/>
        <v>-40.627999999999986</v>
      </c>
      <c r="M65" s="1"/>
      <c r="N65" s="1"/>
      <c r="O65" s="1">
        <v>124.79461999999999</v>
      </c>
      <c r="P65" s="1"/>
      <c r="Q65" s="1"/>
      <c r="R65" s="1">
        <f t="shared" si="7"/>
        <v>33.050400000000003</v>
      </c>
      <c r="S65" s="5">
        <f>11*R65-Q65-P65-O65-F65</f>
        <v>246.27778000000004</v>
      </c>
      <c r="T65" s="5">
        <f>S65+$T$1*R65</f>
        <v>205.62578800000003</v>
      </c>
      <c r="U65" s="5">
        <v>-210.6</v>
      </c>
      <c r="V65" s="5"/>
      <c r="W65" s="1">
        <f>(F65+O65+P65+Q65+T65)/R65</f>
        <v>9.77</v>
      </c>
      <c r="X65" s="1">
        <f>(F65+O65+P65+Q65)/R65</f>
        <v>3.5484175683198989</v>
      </c>
      <c r="Y65" s="1">
        <v>30.191199999999998</v>
      </c>
      <c r="Z65" s="1">
        <v>25.393000000000001</v>
      </c>
      <c r="AA65" s="1">
        <v>20.536000000000001</v>
      </c>
      <c r="AB65" s="1">
        <v>16.688199999999998</v>
      </c>
      <c r="AC65" s="1">
        <v>22.345800000000001</v>
      </c>
      <c r="AD65" s="1">
        <v>30.636800000000001</v>
      </c>
      <c r="AE65" s="1">
        <v>29.345600000000001</v>
      </c>
      <c r="AF65" s="1">
        <v>27.9176</v>
      </c>
      <c r="AG65" s="1">
        <v>32.401799999999987</v>
      </c>
      <c r="AH65" s="1">
        <v>36.8142</v>
      </c>
      <c r="AI65" s="1"/>
      <c r="AJ65" s="1">
        <f>ROUND(G65*T65,0)</f>
        <v>206</v>
      </c>
      <c r="AK65" t="s">
        <v>169</v>
      </c>
    </row>
    <row r="66" spans="1:37" x14ac:dyDescent="0.25">
      <c r="A66" s="1" t="s">
        <v>170</v>
      </c>
      <c r="B66" s="1" t="s">
        <v>40</v>
      </c>
      <c r="C66" s="1">
        <v>152.59700000000001</v>
      </c>
      <c r="D66" s="1">
        <v>35.206000000000003</v>
      </c>
      <c r="E66" s="1">
        <v>121.503</v>
      </c>
      <c r="F66" s="1">
        <v>11.657</v>
      </c>
      <c r="G66" s="7">
        <v>1</v>
      </c>
      <c r="H66" s="1">
        <v>40</v>
      </c>
      <c r="I66" s="1" t="s">
        <v>41</v>
      </c>
      <c r="J66" s="1"/>
      <c r="K66" s="1">
        <v>198.791</v>
      </c>
      <c r="L66" s="1">
        <f t="shared" si="6"/>
        <v>-77.287999999999997</v>
      </c>
      <c r="M66" s="1"/>
      <c r="N66" s="1"/>
      <c r="O66" s="1">
        <v>150.12626</v>
      </c>
      <c r="P66" s="1"/>
      <c r="Q66" s="1"/>
      <c r="R66" s="1">
        <f t="shared" si="7"/>
        <v>24.300599999999999</v>
      </c>
      <c r="S66" s="5">
        <f>12*R66-Q66-P66-O66-F66</f>
        <v>129.82393999999996</v>
      </c>
      <c r="T66" s="5">
        <f>S66+$T$1*R66</f>
        <v>99.934201999999971</v>
      </c>
      <c r="U66" s="5">
        <v>-102.6</v>
      </c>
      <c r="V66" s="5"/>
      <c r="W66" s="1">
        <f>(F66+O66+P66+Q66+T66)/R66</f>
        <v>10.769999999999998</v>
      </c>
      <c r="X66" s="1">
        <f>(F66+O66+P66+Q66)/R66</f>
        <v>6.657582940338922</v>
      </c>
      <c r="Y66" s="1">
        <v>29.9604</v>
      </c>
      <c r="Z66" s="1">
        <v>28.129000000000001</v>
      </c>
      <c r="AA66" s="1">
        <v>21.1816</v>
      </c>
      <c r="AB66" s="1">
        <v>16.5672</v>
      </c>
      <c r="AC66" s="1">
        <v>20.6828</v>
      </c>
      <c r="AD66" s="1">
        <v>25.505199999999999</v>
      </c>
      <c r="AE66" s="1">
        <v>30.630400000000002</v>
      </c>
      <c r="AF66" s="1">
        <v>35.2286</v>
      </c>
      <c r="AG66" s="1">
        <v>27.577400000000001</v>
      </c>
      <c r="AH66" s="1">
        <v>23.778400000000001</v>
      </c>
      <c r="AI66" s="1"/>
      <c r="AJ66" s="1">
        <f>ROUND(G66*T66,0)</f>
        <v>100</v>
      </c>
      <c r="AK66" t="s">
        <v>171</v>
      </c>
    </row>
    <row r="67" spans="1:37" x14ac:dyDescent="0.25">
      <c r="A67" s="1" t="s">
        <v>172</v>
      </c>
      <c r="B67" s="1" t="s">
        <v>40</v>
      </c>
      <c r="C67" s="1">
        <v>11.715999999999999</v>
      </c>
      <c r="D67" s="1">
        <v>462.89400000000001</v>
      </c>
      <c r="E67" s="1">
        <v>150.91</v>
      </c>
      <c r="F67" s="1">
        <v>236.404</v>
      </c>
      <c r="G67" s="7">
        <v>1</v>
      </c>
      <c r="H67" s="1">
        <v>40</v>
      </c>
      <c r="I67" s="13" t="s">
        <v>59</v>
      </c>
      <c r="J67" s="1"/>
      <c r="K67" s="1">
        <v>319.709</v>
      </c>
      <c r="L67" s="1">
        <f t="shared" si="6"/>
        <v>-168.79900000000001</v>
      </c>
      <c r="M67" s="1"/>
      <c r="N67" s="1"/>
      <c r="O67" s="1">
        <v>418.05531999999971</v>
      </c>
      <c r="P67" s="1"/>
      <c r="Q67" s="1"/>
      <c r="R67" s="1">
        <f t="shared" si="7"/>
        <v>30.181999999999999</v>
      </c>
      <c r="S67" s="5"/>
      <c r="T67" s="5">
        <f>S67*0.5</f>
        <v>0</v>
      </c>
      <c r="U67" s="5"/>
      <c r="V67" s="5"/>
      <c r="W67" s="1">
        <f>(F67+O67+P67+Q67+T67)/R67</f>
        <v>21.683762507454766</v>
      </c>
      <c r="X67" s="1">
        <f>(F67+O67+P67+Q67)/R67</f>
        <v>21.683762507454766</v>
      </c>
      <c r="Y67" s="1">
        <v>6.6635999999999997</v>
      </c>
      <c r="Z67" s="1">
        <v>112.02800000000001</v>
      </c>
      <c r="AA67" s="1">
        <v>120.03919999999999</v>
      </c>
      <c r="AB67" s="1">
        <v>49.153199999999998</v>
      </c>
      <c r="AC67" s="1">
        <v>53.758000000000003</v>
      </c>
      <c r="AD67" s="1">
        <v>60.426599999999993</v>
      </c>
      <c r="AE67" s="1">
        <v>71.873000000000005</v>
      </c>
      <c r="AF67" s="1">
        <v>68.0488</v>
      </c>
      <c r="AG67" s="1">
        <v>44.416800000000002</v>
      </c>
      <c r="AH67" s="1">
        <v>80.647599999999997</v>
      </c>
      <c r="AI67" s="1"/>
      <c r="AJ67" s="1">
        <f>ROUND(G67*T67,0)</f>
        <v>0</v>
      </c>
      <c r="AK67" t="s">
        <v>173</v>
      </c>
    </row>
    <row r="68" spans="1:37" x14ac:dyDescent="0.25">
      <c r="A68" s="1" t="s">
        <v>174</v>
      </c>
      <c r="B68" s="1" t="s">
        <v>40</v>
      </c>
      <c r="C68" s="1">
        <v>119.944</v>
      </c>
      <c r="D68" s="1">
        <v>106.099</v>
      </c>
      <c r="E68" s="1">
        <v>196.98699999999999</v>
      </c>
      <c r="F68" s="1">
        <v>9.3160000000000007</v>
      </c>
      <c r="G68" s="7">
        <v>1</v>
      </c>
      <c r="H68" s="1">
        <v>40</v>
      </c>
      <c r="I68" s="1" t="s">
        <v>41</v>
      </c>
      <c r="J68" s="1"/>
      <c r="K68" s="1">
        <v>240.10900000000001</v>
      </c>
      <c r="L68" s="1">
        <f t="shared" si="6"/>
        <v>-43.122000000000014</v>
      </c>
      <c r="M68" s="1"/>
      <c r="N68" s="1"/>
      <c r="O68" s="1">
        <v>194.6657920000001</v>
      </c>
      <c r="P68" s="1"/>
      <c r="Q68" s="1"/>
      <c r="R68" s="1">
        <f t="shared" si="7"/>
        <v>39.397399999999998</v>
      </c>
      <c r="S68" s="5">
        <f>12*R68-Q68-P68-O68-F68</f>
        <v>268.78700799999984</v>
      </c>
      <c r="T68" s="5">
        <f>S68+$T$1*R68</f>
        <v>220.32820599999985</v>
      </c>
      <c r="U68" s="5">
        <v>-221.4</v>
      </c>
      <c r="V68" s="5"/>
      <c r="W68" s="1">
        <f>(F68+O68+P68+Q68+T68)/R68</f>
        <v>10.77</v>
      </c>
      <c r="X68" s="1">
        <f>(F68+O68+P68+Q68)/R68</f>
        <v>5.1775445080132219</v>
      </c>
      <c r="Y68" s="1">
        <v>36.114600000000003</v>
      </c>
      <c r="Z68" s="1">
        <v>34.558800000000012</v>
      </c>
      <c r="AA68" s="1">
        <v>25.469000000000001</v>
      </c>
      <c r="AB68" s="1">
        <v>24.119199999999999</v>
      </c>
      <c r="AC68" s="1">
        <v>27.015599999999999</v>
      </c>
      <c r="AD68" s="1">
        <v>23.341799999999999</v>
      </c>
      <c r="AE68" s="1">
        <v>16.409400000000002</v>
      </c>
      <c r="AF68" s="1">
        <v>37.777799999999999</v>
      </c>
      <c r="AG68" s="1">
        <v>58.898200000000003</v>
      </c>
      <c r="AH68" s="1">
        <v>45.1404</v>
      </c>
      <c r="AI68" s="1"/>
      <c r="AJ68" s="1">
        <f>ROUND(G68*T68,0)</f>
        <v>220</v>
      </c>
      <c r="AK68" t="s">
        <v>175</v>
      </c>
    </row>
    <row r="69" spans="1:37" x14ac:dyDescent="0.25">
      <c r="A69" s="9" t="s">
        <v>176</v>
      </c>
      <c r="B69" s="9" t="s">
        <v>49</v>
      </c>
      <c r="C69" s="9"/>
      <c r="D69" s="9"/>
      <c r="E69" s="9"/>
      <c r="F69" s="9"/>
      <c r="G69" s="10">
        <v>0</v>
      </c>
      <c r="H69" s="9"/>
      <c r="I69" s="9" t="s">
        <v>41</v>
      </c>
      <c r="J69" s="9"/>
      <c r="K69" s="9"/>
      <c r="L69" s="9">
        <f t="shared" si="6"/>
        <v>0</v>
      </c>
      <c r="M69" s="9"/>
      <c r="N69" s="9"/>
      <c r="O69" s="9">
        <v>0</v>
      </c>
      <c r="P69" s="9"/>
      <c r="Q69" s="9"/>
      <c r="R69" s="9">
        <f t="shared" si="7"/>
        <v>0</v>
      </c>
      <c r="S69" s="11"/>
      <c r="T69" s="5">
        <f>S69</f>
        <v>0</v>
      </c>
      <c r="U69" s="5"/>
      <c r="V69" s="5"/>
      <c r="W69" s="1" t="e">
        <f>(F69+O69+P69+Q69+T69)/R69</f>
        <v>#DIV/0!</v>
      </c>
      <c r="X69" s="9" t="e">
        <f>(F69+O69+P69+Q69)/R69</f>
        <v>#DIV/0!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 t="s">
        <v>50</v>
      </c>
      <c r="AJ69" s="1">
        <f>ROUND(G69*T69,0)</f>
        <v>0</v>
      </c>
      <c r="AK69" t="s">
        <v>177</v>
      </c>
    </row>
    <row r="70" spans="1:37" x14ac:dyDescent="0.25">
      <c r="A70" s="1" t="s">
        <v>178</v>
      </c>
      <c r="B70" s="1" t="s">
        <v>40</v>
      </c>
      <c r="C70" s="1">
        <v>37.328000000000003</v>
      </c>
      <c r="D70" s="1">
        <v>311.64800000000002</v>
      </c>
      <c r="E70" s="1">
        <v>55.277999999999999</v>
      </c>
      <c r="F70" s="1">
        <v>226.66</v>
      </c>
      <c r="G70" s="7">
        <v>1</v>
      </c>
      <c r="H70" s="1">
        <v>30</v>
      </c>
      <c r="I70" s="1" t="s">
        <v>41</v>
      </c>
      <c r="J70" s="1"/>
      <c r="K70" s="1">
        <v>172.7</v>
      </c>
      <c r="L70" s="1">
        <f t="shared" ref="L70:L101" si="8">E70-K70</f>
        <v>-117.422</v>
      </c>
      <c r="M70" s="1"/>
      <c r="N70" s="1"/>
      <c r="O70" s="1">
        <v>6.4275499999999974</v>
      </c>
      <c r="P70" s="1"/>
      <c r="Q70" s="1"/>
      <c r="R70" s="1">
        <f t="shared" ref="R70:R101" si="9">E70/5</f>
        <v>11.0556</v>
      </c>
      <c r="S70" s="5"/>
      <c r="T70" s="5">
        <f>S70</f>
        <v>0</v>
      </c>
      <c r="U70" s="5"/>
      <c r="V70" s="5"/>
      <c r="W70" s="1">
        <f>(F70+O70+P70+Q70+T70)/R70</f>
        <v>21.083211223271462</v>
      </c>
      <c r="X70" s="1">
        <f>(F70+O70+P70+Q70)/R70</f>
        <v>21.083211223271462</v>
      </c>
      <c r="Y70" s="1">
        <v>4.7800000000000002E-2</v>
      </c>
      <c r="Z70" s="1">
        <v>28.5642</v>
      </c>
      <c r="AA70" s="1">
        <v>35.5794</v>
      </c>
      <c r="AB70" s="1">
        <v>22.786799999999999</v>
      </c>
      <c r="AC70" s="1">
        <v>21.472200000000001</v>
      </c>
      <c r="AD70" s="1">
        <v>26.0868</v>
      </c>
      <c r="AE70" s="1">
        <v>29.864999999999998</v>
      </c>
      <c r="AF70" s="1">
        <v>35.738799999999998</v>
      </c>
      <c r="AG70" s="1">
        <v>40.323999999999977</v>
      </c>
      <c r="AH70" s="1">
        <v>35.8322</v>
      </c>
      <c r="AI70" s="16" t="s">
        <v>149</v>
      </c>
      <c r="AJ70" s="1">
        <f>ROUND(G70*T70,0)</f>
        <v>0</v>
      </c>
      <c r="AK70" t="s">
        <v>179</v>
      </c>
    </row>
    <row r="71" spans="1:37" x14ac:dyDescent="0.25">
      <c r="A71" s="1" t="s">
        <v>180</v>
      </c>
      <c r="B71" s="1" t="s">
        <v>49</v>
      </c>
      <c r="C71" s="1">
        <v>74</v>
      </c>
      <c r="D71" s="1">
        <v>49</v>
      </c>
      <c r="E71" s="1">
        <v>108</v>
      </c>
      <c r="F71" s="1">
        <v>9</v>
      </c>
      <c r="G71" s="7">
        <v>0.6</v>
      </c>
      <c r="H71" s="1">
        <v>60</v>
      </c>
      <c r="I71" s="1" t="s">
        <v>41</v>
      </c>
      <c r="J71" s="1"/>
      <c r="K71" s="1">
        <v>100</v>
      </c>
      <c r="L71" s="1">
        <f t="shared" si="8"/>
        <v>8</v>
      </c>
      <c r="M71" s="1"/>
      <c r="N71" s="1"/>
      <c r="O71" s="1">
        <v>141.952</v>
      </c>
      <c r="P71" s="1"/>
      <c r="Q71" s="1"/>
      <c r="R71" s="1">
        <f t="shared" si="9"/>
        <v>21.6</v>
      </c>
      <c r="S71" s="5">
        <f>12*R71-Q71-P71-O71-F71</f>
        <v>108.24800000000005</v>
      </c>
      <c r="T71" s="5">
        <f>S71+$T$1*R71</f>
        <v>81.680000000000049</v>
      </c>
      <c r="U71" s="5"/>
      <c r="V71" s="5"/>
      <c r="W71" s="1">
        <f>(F71+O71+P71+Q71+T71)/R71</f>
        <v>10.770000000000001</v>
      </c>
      <c r="X71" s="1">
        <f>(F71+O71+P71+Q71)/R71</f>
        <v>6.9885185185185179</v>
      </c>
      <c r="Y71" s="1">
        <v>26</v>
      </c>
      <c r="Z71" s="1">
        <v>22.8</v>
      </c>
      <c r="AA71" s="1">
        <v>9.8000000000000007</v>
      </c>
      <c r="AB71" s="1">
        <v>15.2</v>
      </c>
      <c r="AC71" s="1">
        <v>27</v>
      </c>
      <c r="AD71" s="1">
        <v>26.6</v>
      </c>
      <c r="AE71" s="1">
        <v>13.2</v>
      </c>
      <c r="AF71" s="1">
        <v>11.8</v>
      </c>
      <c r="AG71" s="1">
        <v>20.399999999999999</v>
      </c>
      <c r="AH71" s="1">
        <v>20.2</v>
      </c>
      <c r="AI71" s="1"/>
      <c r="AJ71" s="1">
        <f>ROUND(G71*T71,0)</f>
        <v>49</v>
      </c>
      <c r="AK71" t="s">
        <v>181</v>
      </c>
    </row>
    <row r="72" spans="1:37" x14ac:dyDescent="0.25">
      <c r="A72" s="1" t="s">
        <v>182</v>
      </c>
      <c r="B72" s="1" t="s">
        <v>49</v>
      </c>
      <c r="C72" s="1">
        <v>234</v>
      </c>
      <c r="D72" s="1">
        <v>2</v>
      </c>
      <c r="E72" s="1">
        <v>142</v>
      </c>
      <c r="F72" s="1">
        <v>75</v>
      </c>
      <c r="G72" s="7">
        <v>0.6</v>
      </c>
      <c r="H72" s="1">
        <v>60</v>
      </c>
      <c r="I72" s="1" t="s">
        <v>41</v>
      </c>
      <c r="J72" s="1"/>
      <c r="K72" s="1">
        <v>147</v>
      </c>
      <c r="L72" s="1">
        <f t="shared" si="8"/>
        <v>-5</v>
      </c>
      <c r="M72" s="1"/>
      <c r="N72" s="1"/>
      <c r="O72" s="1">
        <v>205.99199999999999</v>
      </c>
      <c r="P72" s="1"/>
      <c r="Q72" s="1"/>
      <c r="R72" s="1">
        <f t="shared" si="9"/>
        <v>28.4</v>
      </c>
      <c r="S72" s="5">
        <f>12*R72-Q72-P72-O72-F72</f>
        <v>59.807999999999964</v>
      </c>
      <c r="T72" s="5">
        <f>S72+$T$1*R72</f>
        <v>24.875999999999969</v>
      </c>
      <c r="U72" s="5"/>
      <c r="V72" s="5"/>
      <c r="W72" s="1">
        <f>(F72+O72+P72+Q72+T72)/R72</f>
        <v>10.769999999999998</v>
      </c>
      <c r="X72" s="1">
        <f>(F72+O72+P72+Q72)/R72</f>
        <v>9.894084507042253</v>
      </c>
      <c r="Y72" s="1">
        <v>31.4</v>
      </c>
      <c r="Z72" s="1">
        <v>38.799999999999997</v>
      </c>
      <c r="AA72" s="1">
        <v>27.8</v>
      </c>
      <c r="AB72" s="1">
        <v>15.2</v>
      </c>
      <c r="AC72" s="1">
        <v>26.6</v>
      </c>
      <c r="AD72" s="1">
        <v>40.799999999999997</v>
      </c>
      <c r="AE72" s="1">
        <v>41.2</v>
      </c>
      <c r="AF72" s="1">
        <v>32.6</v>
      </c>
      <c r="AG72" s="1">
        <v>37.200000000000003</v>
      </c>
      <c r="AH72" s="1">
        <v>36.200000000000003</v>
      </c>
      <c r="AI72" s="1"/>
      <c r="AJ72" s="1">
        <f>ROUND(G72*T72,0)</f>
        <v>15</v>
      </c>
      <c r="AK72" t="s">
        <v>183</v>
      </c>
    </row>
    <row r="73" spans="1:37" x14ac:dyDescent="0.25">
      <c r="A73" s="1" t="s">
        <v>184</v>
      </c>
      <c r="B73" s="1" t="s">
        <v>49</v>
      </c>
      <c r="C73" s="1">
        <v>51</v>
      </c>
      <c r="D73" s="1">
        <v>130</v>
      </c>
      <c r="E73" s="1">
        <v>118</v>
      </c>
      <c r="F73" s="1">
        <v>68</v>
      </c>
      <c r="G73" s="7">
        <v>0.4</v>
      </c>
      <c r="H73" s="1">
        <v>90</v>
      </c>
      <c r="I73" s="1" t="s">
        <v>41</v>
      </c>
      <c r="J73" s="1"/>
      <c r="K73" s="1">
        <v>131</v>
      </c>
      <c r="L73" s="1">
        <f t="shared" si="8"/>
        <v>-13</v>
      </c>
      <c r="M73" s="1"/>
      <c r="N73" s="1"/>
      <c r="O73" s="1">
        <v>55.200000000000017</v>
      </c>
      <c r="P73" s="1"/>
      <c r="Q73" s="1"/>
      <c r="R73" s="1">
        <f t="shared" si="9"/>
        <v>23.6</v>
      </c>
      <c r="S73" s="5">
        <f>12*R73-Q73-P73-O73-F73</f>
        <v>160.00000000000003</v>
      </c>
      <c r="T73" s="5">
        <f>S73+$T$1*R73</f>
        <v>130.97200000000004</v>
      </c>
      <c r="U73" s="5"/>
      <c r="V73" s="5"/>
      <c r="W73" s="1">
        <f>(F73+O73+P73+Q73+T73)/R73</f>
        <v>10.770000000000001</v>
      </c>
      <c r="X73" s="1">
        <f>(F73+O73+P73+Q73)/R73</f>
        <v>5.2203389830508478</v>
      </c>
      <c r="Y73" s="1">
        <v>19</v>
      </c>
      <c r="Z73" s="1">
        <v>18.8</v>
      </c>
      <c r="AA73" s="1">
        <v>19.8</v>
      </c>
      <c r="AB73" s="1">
        <v>17.600000000000001</v>
      </c>
      <c r="AC73" s="1">
        <v>13.6</v>
      </c>
      <c r="AD73" s="1">
        <v>19</v>
      </c>
      <c r="AE73" s="1">
        <v>22.6</v>
      </c>
      <c r="AF73" s="1">
        <v>21.8</v>
      </c>
      <c r="AG73" s="1">
        <v>17.8</v>
      </c>
      <c r="AH73" s="1">
        <v>17.2</v>
      </c>
      <c r="AI73" s="1"/>
      <c r="AJ73" s="1">
        <f>ROUND(G73*T73,0)</f>
        <v>52</v>
      </c>
      <c r="AK73" t="s">
        <v>185</v>
      </c>
    </row>
    <row r="74" spans="1:37" x14ac:dyDescent="0.25">
      <c r="A74" s="1" t="s">
        <v>186</v>
      </c>
      <c r="B74" s="1" t="s">
        <v>49</v>
      </c>
      <c r="C74" s="1">
        <v>49</v>
      </c>
      <c r="D74" s="1">
        <v>288</v>
      </c>
      <c r="E74" s="1">
        <v>189</v>
      </c>
      <c r="F74" s="1">
        <v>141</v>
      </c>
      <c r="G74" s="7">
        <v>0.33</v>
      </c>
      <c r="H74" s="1">
        <v>60</v>
      </c>
      <c r="I74" s="1" t="s">
        <v>41</v>
      </c>
      <c r="J74" s="1"/>
      <c r="K74" s="1">
        <v>218</v>
      </c>
      <c r="L74" s="1">
        <f t="shared" si="8"/>
        <v>-29</v>
      </c>
      <c r="M74" s="1"/>
      <c r="N74" s="1"/>
      <c r="O74" s="1">
        <v>92.379999999999953</v>
      </c>
      <c r="P74" s="1"/>
      <c r="Q74" s="1"/>
      <c r="R74" s="1">
        <f t="shared" si="9"/>
        <v>37.799999999999997</v>
      </c>
      <c r="S74" s="5">
        <f>12*R74-Q74-P74-O74-F74</f>
        <v>220.22000000000003</v>
      </c>
      <c r="T74" s="5">
        <f>S74+$T$1*R74</f>
        <v>173.72600000000003</v>
      </c>
      <c r="U74" s="5"/>
      <c r="V74" s="5"/>
      <c r="W74" s="1">
        <f>(F74+O74+P74+Q74+T74)/R74</f>
        <v>10.770000000000001</v>
      </c>
      <c r="X74" s="1">
        <f>(F74+O74+P74+Q74)/R74</f>
        <v>6.1740740740740732</v>
      </c>
      <c r="Y74" s="1">
        <v>30.4</v>
      </c>
      <c r="Z74" s="1">
        <v>37</v>
      </c>
      <c r="AA74" s="1">
        <v>38.200000000000003</v>
      </c>
      <c r="AB74" s="1">
        <v>31.8</v>
      </c>
      <c r="AC74" s="1">
        <v>24.8</v>
      </c>
      <c r="AD74" s="1">
        <v>29.4</v>
      </c>
      <c r="AE74" s="1">
        <v>26.2</v>
      </c>
      <c r="AF74" s="1">
        <v>28.6</v>
      </c>
      <c r="AG74" s="1">
        <v>30.2</v>
      </c>
      <c r="AH74" s="1">
        <v>28.8</v>
      </c>
      <c r="AI74" s="1"/>
      <c r="AJ74" s="1">
        <f>ROUND(G74*T74,0)</f>
        <v>57</v>
      </c>
      <c r="AK74" t="s">
        <v>187</v>
      </c>
    </row>
    <row r="75" spans="1:37" x14ac:dyDescent="0.25">
      <c r="A75" s="1" t="s">
        <v>188</v>
      </c>
      <c r="B75" s="1" t="s">
        <v>49</v>
      </c>
      <c r="C75" s="1">
        <v>26</v>
      </c>
      <c r="D75" s="1">
        <v>298</v>
      </c>
      <c r="E75" s="1">
        <v>128</v>
      </c>
      <c r="F75" s="1">
        <v>212</v>
      </c>
      <c r="G75" s="7">
        <v>0.35</v>
      </c>
      <c r="H75" s="1">
        <v>90</v>
      </c>
      <c r="I75" s="1" t="s">
        <v>41</v>
      </c>
      <c r="J75" s="1"/>
      <c r="K75" s="1">
        <v>130</v>
      </c>
      <c r="L75" s="1">
        <f t="shared" si="8"/>
        <v>-2</v>
      </c>
      <c r="M75" s="1"/>
      <c r="N75" s="1"/>
      <c r="O75" s="1">
        <v>3.8000000000002392</v>
      </c>
      <c r="P75" s="1"/>
      <c r="Q75" s="1"/>
      <c r="R75" s="1">
        <f t="shared" si="9"/>
        <v>25.6</v>
      </c>
      <c r="S75" s="5">
        <f>12*R75-Q75-P75-O75-F75</f>
        <v>91.399999999999807</v>
      </c>
      <c r="T75" s="5">
        <f>S75+$T$1*R75</f>
        <v>59.911999999999807</v>
      </c>
      <c r="U75" s="5"/>
      <c r="V75" s="5"/>
      <c r="W75" s="1">
        <f>(F75+O75+P75+Q75+T75)/R75</f>
        <v>10.770000000000001</v>
      </c>
      <c r="X75" s="1">
        <f>(F75+O75+P75+Q75)/R75</f>
        <v>8.4296875000000089</v>
      </c>
      <c r="Y75" s="1">
        <v>21.8</v>
      </c>
      <c r="Z75" s="1">
        <v>26.8</v>
      </c>
      <c r="AA75" s="1">
        <v>32.6</v>
      </c>
      <c r="AB75" s="1">
        <v>30.2</v>
      </c>
      <c r="AC75" s="1">
        <v>21.8</v>
      </c>
      <c r="AD75" s="1">
        <v>25.6</v>
      </c>
      <c r="AE75" s="1">
        <v>22</v>
      </c>
      <c r="AF75" s="1">
        <v>30.2</v>
      </c>
      <c r="AG75" s="1">
        <v>31</v>
      </c>
      <c r="AH75" s="1">
        <v>18.600000000000001</v>
      </c>
      <c r="AI75" s="1"/>
      <c r="AJ75" s="1">
        <f>ROUND(G75*T75,0)</f>
        <v>21</v>
      </c>
      <c r="AK75" t="s">
        <v>189</v>
      </c>
    </row>
    <row r="76" spans="1:37" x14ac:dyDescent="0.25">
      <c r="A76" s="9" t="s">
        <v>190</v>
      </c>
      <c r="B76" s="9" t="s">
        <v>49</v>
      </c>
      <c r="C76" s="9"/>
      <c r="D76" s="9"/>
      <c r="E76" s="9"/>
      <c r="F76" s="9"/>
      <c r="G76" s="10">
        <v>0</v>
      </c>
      <c r="H76" s="9"/>
      <c r="I76" s="9" t="s">
        <v>41</v>
      </c>
      <c r="J76" s="9"/>
      <c r="K76" s="9"/>
      <c r="L76" s="9">
        <f t="shared" si="8"/>
        <v>0</v>
      </c>
      <c r="M76" s="9"/>
      <c r="N76" s="9"/>
      <c r="O76" s="9">
        <v>0</v>
      </c>
      <c r="P76" s="9"/>
      <c r="Q76" s="9"/>
      <c r="R76" s="9">
        <f t="shared" si="9"/>
        <v>0</v>
      </c>
      <c r="S76" s="11"/>
      <c r="T76" s="5">
        <f>S76</f>
        <v>0</v>
      </c>
      <c r="U76" s="5"/>
      <c r="V76" s="5"/>
      <c r="W76" s="1" t="e">
        <f>(F76+O76+P76+Q76+T76)/R76</f>
        <v>#DIV/0!</v>
      </c>
      <c r="X76" s="9" t="e">
        <f>(F76+O76+P76+Q76)/R76</f>
        <v>#DIV/0!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 t="s">
        <v>50</v>
      </c>
      <c r="AJ76" s="1">
        <f>ROUND(G76*T76,0)</f>
        <v>0</v>
      </c>
      <c r="AK76" t="s">
        <v>191</v>
      </c>
    </row>
    <row r="77" spans="1:37" x14ac:dyDescent="0.25">
      <c r="A77" s="1" t="s">
        <v>192</v>
      </c>
      <c r="B77" s="1" t="s">
        <v>49</v>
      </c>
      <c r="C77" s="1">
        <v>132</v>
      </c>
      <c r="D77" s="1">
        <v>40</v>
      </c>
      <c r="E77" s="1">
        <v>53</v>
      </c>
      <c r="F77" s="1">
        <v>92</v>
      </c>
      <c r="G77" s="7">
        <v>0.6</v>
      </c>
      <c r="H77" s="1">
        <v>70</v>
      </c>
      <c r="I77" s="1" t="s">
        <v>41</v>
      </c>
      <c r="J77" s="1"/>
      <c r="K77" s="1">
        <v>63</v>
      </c>
      <c r="L77" s="1">
        <f t="shared" si="8"/>
        <v>-10</v>
      </c>
      <c r="M77" s="1"/>
      <c r="N77" s="1"/>
      <c r="O77" s="1">
        <v>11.19999999999999</v>
      </c>
      <c r="P77" s="1"/>
      <c r="Q77" s="1"/>
      <c r="R77" s="1">
        <f t="shared" si="9"/>
        <v>10.6</v>
      </c>
      <c r="S77" s="5">
        <f>12*R77-Q77-P77-O77-F77</f>
        <v>24</v>
      </c>
      <c r="T77" s="5">
        <f>S77</f>
        <v>24</v>
      </c>
      <c r="U77" s="5"/>
      <c r="V77" s="5"/>
      <c r="W77" s="1">
        <f>(F77+O77+P77+Q77+T77)/R77</f>
        <v>12</v>
      </c>
      <c r="X77" s="1">
        <f>(F77+O77+P77+Q77)/R77</f>
        <v>9.7358490566037723</v>
      </c>
      <c r="Y77" s="1">
        <v>8.6</v>
      </c>
      <c r="Z77" s="1">
        <v>14.6</v>
      </c>
      <c r="AA77" s="1">
        <v>17</v>
      </c>
      <c r="AB77" s="1">
        <v>8.1999999999999993</v>
      </c>
      <c r="AC77" s="1">
        <v>3</v>
      </c>
      <c r="AD77" s="1">
        <v>16</v>
      </c>
      <c r="AE77" s="1">
        <v>20.2</v>
      </c>
      <c r="AF77" s="1">
        <v>17.399999999999999</v>
      </c>
      <c r="AG77" s="1">
        <v>11.6</v>
      </c>
      <c r="AH77" s="1">
        <v>2</v>
      </c>
      <c r="AI77" s="1"/>
      <c r="AJ77" s="1">
        <f>ROUND(G77*T77,0)</f>
        <v>14</v>
      </c>
      <c r="AK77" t="s">
        <v>193</v>
      </c>
    </row>
    <row r="78" spans="1:37" x14ac:dyDescent="0.25">
      <c r="A78" s="1" t="s">
        <v>194</v>
      </c>
      <c r="B78" s="1" t="s">
        <v>49</v>
      </c>
      <c r="C78" s="1">
        <v>20</v>
      </c>
      <c r="D78" s="1">
        <v>129</v>
      </c>
      <c r="E78" s="1">
        <v>24</v>
      </c>
      <c r="F78" s="1">
        <v>107</v>
      </c>
      <c r="G78" s="7">
        <v>0.33</v>
      </c>
      <c r="H78" s="1">
        <v>40</v>
      </c>
      <c r="I78" s="1" t="s">
        <v>41</v>
      </c>
      <c r="J78" s="1"/>
      <c r="K78" s="1">
        <v>77</v>
      </c>
      <c r="L78" s="1">
        <f t="shared" si="8"/>
        <v>-53</v>
      </c>
      <c r="M78" s="1"/>
      <c r="N78" s="1"/>
      <c r="O78" s="1">
        <v>0</v>
      </c>
      <c r="P78" s="1"/>
      <c r="Q78" s="1"/>
      <c r="R78" s="1">
        <f t="shared" si="9"/>
        <v>4.8</v>
      </c>
      <c r="S78" s="5"/>
      <c r="T78" s="5">
        <f>S78</f>
        <v>0</v>
      </c>
      <c r="U78" s="5"/>
      <c r="V78" s="5"/>
      <c r="W78" s="1">
        <f>(F78+O78+P78+Q78+T78)/R78</f>
        <v>22.291666666666668</v>
      </c>
      <c r="X78" s="1">
        <f>(F78+O78+P78+Q78)/R78</f>
        <v>22.291666666666668</v>
      </c>
      <c r="Y78" s="1">
        <v>3.2</v>
      </c>
      <c r="Z78" s="1">
        <v>4.8</v>
      </c>
      <c r="AA78" s="1">
        <v>6.8</v>
      </c>
      <c r="AB78" s="1">
        <v>9.8000000000000007</v>
      </c>
      <c r="AC78" s="1">
        <v>10.8</v>
      </c>
      <c r="AD78" s="1">
        <v>16.2</v>
      </c>
      <c r="AE78" s="1">
        <v>8.8000000000000007</v>
      </c>
      <c r="AF78" s="1">
        <v>5.4</v>
      </c>
      <c r="AG78" s="1">
        <v>11.6</v>
      </c>
      <c r="AH78" s="1">
        <v>9</v>
      </c>
      <c r="AI78" s="16" t="s">
        <v>149</v>
      </c>
      <c r="AJ78" s="1">
        <f>ROUND(G78*T78,0)</f>
        <v>0</v>
      </c>
      <c r="AK78" t="s">
        <v>195</v>
      </c>
    </row>
    <row r="79" spans="1:37" x14ac:dyDescent="0.25">
      <c r="A79" s="1" t="s">
        <v>196</v>
      </c>
      <c r="B79" s="1" t="s">
        <v>49</v>
      </c>
      <c r="C79" s="1">
        <v>19</v>
      </c>
      <c r="D79" s="1">
        <v>108</v>
      </c>
      <c r="E79" s="1">
        <v>34</v>
      </c>
      <c r="F79" s="1">
        <v>87</v>
      </c>
      <c r="G79" s="7">
        <v>0.4</v>
      </c>
      <c r="H79" s="1">
        <v>55</v>
      </c>
      <c r="I79" s="1" t="s">
        <v>41</v>
      </c>
      <c r="J79" s="1"/>
      <c r="K79" s="1">
        <v>43</v>
      </c>
      <c r="L79" s="1">
        <f t="shared" si="8"/>
        <v>-9</v>
      </c>
      <c r="M79" s="1"/>
      <c r="N79" s="1"/>
      <c r="O79" s="1">
        <v>0</v>
      </c>
      <c r="P79" s="1"/>
      <c r="Q79" s="1"/>
      <c r="R79" s="1">
        <f t="shared" si="9"/>
        <v>6.8</v>
      </c>
      <c r="S79" s="5"/>
      <c r="T79" s="5">
        <f>S79</f>
        <v>0</v>
      </c>
      <c r="U79" s="5"/>
      <c r="V79" s="5"/>
      <c r="W79" s="1">
        <f>(F79+O79+P79+Q79+T79)/R79</f>
        <v>12.794117647058824</v>
      </c>
      <c r="X79" s="1">
        <f>(F79+O79+P79+Q79)/R79</f>
        <v>12.794117647058824</v>
      </c>
      <c r="Y79" s="1">
        <v>4.2</v>
      </c>
      <c r="Z79" s="1">
        <v>9</v>
      </c>
      <c r="AA79" s="1">
        <v>11.2</v>
      </c>
      <c r="AB79" s="1">
        <v>7.2</v>
      </c>
      <c r="AC79" s="1">
        <v>6</v>
      </c>
      <c r="AD79" s="1">
        <v>7.2</v>
      </c>
      <c r="AE79" s="1">
        <v>5.8</v>
      </c>
      <c r="AF79" s="1">
        <v>10.4</v>
      </c>
      <c r="AG79" s="1">
        <v>12.2</v>
      </c>
      <c r="AH79" s="1">
        <v>7.2</v>
      </c>
      <c r="AI79" s="1"/>
      <c r="AJ79" s="1">
        <f>ROUND(G79*T79,0)</f>
        <v>0</v>
      </c>
      <c r="AK79" t="s">
        <v>197</v>
      </c>
    </row>
    <row r="80" spans="1:37" x14ac:dyDescent="0.25">
      <c r="A80" s="1" t="s">
        <v>198</v>
      </c>
      <c r="B80" s="1" t="s">
        <v>49</v>
      </c>
      <c r="C80" s="1">
        <v>-3</v>
      </c>
      <c r="D80" s="1"/>
      <c r="E80" s="1">
        <v>-3</v>
      </c>
      <c r="F80" s="1">
        <v>-3</v>
      </c>
      <c r="G80" s="7">
        <v>0.35</v>
      </c>
      <c r="H80" s="1">
        <v>40</v>
      </c>
      <c r="I80" s="1" t="s">
        <v>41</v>
      </c>
      <c r="J80" s="1"/>
      <c r="K80" s="1"/>
      <c r="L80" s="1">
        <f t="shared" si="8"/>
        <v>-3</v>
      </c>
      <c r="M80" s="1"/>
      <c r="N80" s="1"/>
      <c r="O80" s="1">
        <v>19.8</v>
      </c>
      <c r="P80" s="1"/>
      <c r="Q80" s="1"/>
      <c r="R80" s="1">
        <f t="shared" si="9"/>
        <v>-0.6</v>
      </c>
      <c r="S80" s="5"/>
      <c r="T80" s="5">
        <f>S80</f>
        <v>0</v>
      </c>
      <c r="U80" s="5"/>
      <c r="V80" s="5"/>
      <c r="W80" s="1">
        <f>(F80+O80+P80+Q80+T80)/R80</f>
        <v>-28.000000000000004</v>
      </c>
      <c r="X80" s="1">
        <f>(F80+O80+P80+Q80)/R80</f>
        <v>-28.000000000000004</v>
      </c>
      <c r="Y80" s="1">
        <v>0.4</v>
      </c>
      <c r="Z80" s="1">
        <v>1.4</v>
      </c>
      <c r="AA80" s="1">
        <v>0.6</v>
      </c>
      <c r="AB80" s="1">
        <v>1.4</v>
      </c>
      <c r="AC80" s="1">
        <v>4</v>
      </c>
      <c r="AD80" s="1">
        <v>6.8</v>
      </c>
      <c r="AE80" s="1">
        <v>6.8</v>
      </c>
      <c r="AF80" s="1">
        <v>4.4000000000000004</v>
      </c>
      <c r="AG80" s="1">
        <v>3.8</v>
      </c>
      <c r="AH80" s="1">
        <v>4.8</v>
      </c>
      <c r="AI80" s="1" t="s">
        <v>199</v>
      </c>
      <c r="AJ80" s="1">
        <f>ROUND(G80*T80,0)</f>
        <v>0</v>
      </c>
      <c r="AK80" t="s">
        <v>200</v>
      </c>
    </row>
    <row r="81" spans="1:39" x14ac:dyDescent="0.25">
      <c r="A81" s="1" t="s">
        <v>201</v>
      </c>
      <c r="B81" s="1" t="s">
        <v>49</v>
      </c>
      <c r="C81" s="1">
        <v>142</v>
      </c>
      <c r="D81" s="1"/>
      <c r="E81" s="1">
        <v>90</v>
      </c>
      <c r="F81" s="1">
        <v>61</v>
      </c>
      <c r="G81" s="7">
        <v>0.35</v>
      </c>
      <c r="H81" s="1">
        <v>45</v>
      </c>
      <c r="I81" s="1" t="s">
        <v>41</v>
      </c>
      <c r="J81" s="1"/>
      <c r="K81" s="1">
        <v>84</v>
      </c>
      <c r="L81" s="1">
        <f t="shared" si="8"/>
        <v>6</v>
      </c>
      <c r="M81" s="1"/>
      <c r="N81" s="1"/>
      <c r="O81" s="1">
        <v>57.200000000000017</v>
      </c>
      <c r="P81" s="1"/>
      <c r="Q81" s="1"/>
      <c r="R81" s="1">
        <f t="shared" si="9"/>
        <v>18</v>
      </c>
      <c r="S81" s="5">
        <f>12*R81-Q81-P81-O81-F81</f>
        <v>97.799999999999983</v>
      </c>
      <c r="T81" s="5">
        <f>S81+$T$1*R81</f>
        <v>75.659999999999982</v>
      </c>
      <c r="U81" s="5"/>
      <c r="V81" s="5"/>
      <c r="W81" s="1">
        <f>(F81+O81+P81+Q81+T81)/R81</f>
        <v>10.770000000000001</v>
      </c>
      <c r="X81" s="1">
        <f>(F81+O81+P81+Q81)/R81</f>
        <v>6.5666666666666673</v>
      </c>
      <c r="Y81" s="1">
        <v>20.6</v>
      </c>
      <c r="Z81" s="1">
        <v>16.600000000000001</v>
      </c>
      <c r="AA81" s="1">
        <v>12.4</v>
      </c>
      <c r="AB81" s="1">
        <v>5.6</v>
      </c>
      <c r="AC81" s="1">
        <v>14.8</v>
      </c>
      <c r="AD81" s="1">
        <v>33</v>
      </c>
      <c r="AE81" s="1">
        <v>26</v>
      </c>
      <c r="AF81" s="1">
        <v>36.6</v>
      </c>
      <c r="AG81" s="1">
        <v>33.4</v>
      </c>
      <c r="AH81" s="1">
        <v>18.8</v>
      </c>
      <c r="AI81" s="1"/>
      <c r="AJ81" s="1">
        <f>ROUND(G81*T81,0)</f>
        <v>26</v>
      </c>
      <c r="AK81" t="s">
        <v>202</v>
      </c>
    </row>
    <row r="82" spans="1:39" x14ac:dyDescent="0.25">
      <c r="A82" s="9" t="s">
        <v>203</v>
      </c>
      <c r="B82" s="9" t="s">
        <v>49</v>
      </c>
      <c r="C82" s="9"/>
      <c r="D82" s="9"/>
      <c r="E82" s="9"/>
      <c r="F82" s="9"/>
      <c r="G82" s="10">
        <v>0</v>
      </c>
      <c r="H82" s="9"/>
      <c r="I82" s="9" t="s">
        <v>41</v>
      </c>
      <c r="J82" s="9"/>
      <c r="K82" s="9"/>
      <c r="L82" s="9">
        <f t="shared" si="8"/>
        <v>0</v>
      </c>
      <c r="M82" s="9"/>
      <c r="N82" s="9"/>
      <c r="O82" s="9">
        <v>0</v>
      </c>
      <c r="P82" s="9"/>
      <c r="Q82" s="9"/>
      <c r="R82" s="9">
        <f t="shared" si="9"/>
        <v>0</v>
      </c>
      <c r="S82" s="11"/>
      <c r="T82" s="5">
        <f>S82</f>
        <v>0</v>
      </c>
      <c r="U82" s="5"/>
      <c r="V82" s="5"/>
      <c r="W82" s="1" t="e">
        <f>(F82+O82+P82+Q82+T82)/R82</f>
        <v>#DIV/0!</v>
      </c>
      <c r="X82" s="9" t="e">
        <f>(F82+O82+P82+Q82)/R82</f>
        <v>#DIV/0!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 t="s">
        <v>50</v>
      </c>
      <c r="AJ82" s="1">
        <f>ROUND(G82*T82,0)</f>
        <v>0</v>
      </c>
      <c r="AK82" t="s">
        <v>204</v>
      </c>
    </row>
    <row r="83" spans="1:39" x14ac:dyDescent="0.25">
      <c r="A83" s="9" t="s">
        <v>205</v>
      </c>
      <c r="B83" s="9" t="s">
        <v>40</v>
      </c>
      <c r="C83" s="9"/>
      <c r="D83" s="9"/>
      <c r="E83" s="9"/>
      <c r="F83" s="9"/>
      <c r="G83" s="10">
        <v>0</v>
      </c>
      <c r="H83" s="9"/>
      <c r="I83" s="9" t="s">
        <v>41</v>
      </c>
      <c r="J83" s="9"/>
      <c r="K83" s="9"/>
      <c r="L83" s="9">
        <f t="shared" si="8"/>
        <v>0</v>
      </c>
      <c r="M83" s="9"/>
      <c r="N83" s="9"/>
      <c r="O83" s="9">
        <v>0</v>
      </c>
      <c r="P83" s="9"/>
      <c r="Q83" s="9"/>
      <c r="R83" s="9">
        <f t="shared" si="9"/>
        <v>0</v>
      </c>
      <c r="S83" s="11"/>
      <c r="T83" s="5">
        <f>S83</f>
        <v>0</v>
      </c>
      <c r="U83" s="5"/>
      <c r="V83" s="5"/>
      <c r="W83" s="1" t="e">
        <f>(F83+O83+P83+Q83+T83)/R83</f>
        <v>#DIV/0!</v>
      </c>
      <c r="X83" s="9" t="e">
        <f>(F83+O83+P83+Q83)/R83</f>
        <v>#DIV/0!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 t="s">
        <v>50</v>
      </c>
      <c r="AJ83" s="1">
        <f>ROUND(G83*T83,0)</f>
        <v>0</v>
      </c>
      <c r="AK83" t="s">
        <v>206</v>
      </c>
    </row>
    <row r="84" spans="1:39" x14ac:dyDescent="0.25">
      <c r="A84" s="9" t="s">
        <v>207</v>
      </c>
      <c r="B84" s="9" t="s">
        <v>40</v>
      </c>
      <c r="C84" s="9"/>
      <c r="D84" s="9"/>
      <c r="E84" s="9"/>
      <c r="F84" s="9"/>
      <c r="G84" s="10">
        <v>0</v>
      </c>
      <c r="H84" s="9"/>
      <c r="I84" s="9" t="s">
        <v>41</v>
      </c>
      <c r="J84" s="9"/>
      <c r="K84" s="9"/>
      <c r="L84" s="9">
        <f t="shared" si="8"/>
        <v>0</v>
      </c>
      <c r="M84" s="9"/>
      <c r="N84" s="9"/>
      <c r="O84" s="9">
        <v>0</v>
      </c>
      <c r="P84" s="9"/>
      <c r="Q84" s="9"/>
      <c r="R84" s="9">
        <f t="shared" si="9"/>
        <v>0</v>
      </c>
      <c r="S84" s="11"/>
      <c r="T84" s="5">
        <f>S84</f>
        <v>0</v>
      </c>
      <c r="U84" s="5"/>
      <c r="V84" s="5"/>
      <c r="W84" s="1" t="e">
        <f>(F84+O84+P84+Q84+T84)/R84</f>
        <v>#DIV/0!</v>
      </c>
      <c r="X84" s="9" t="e">
        <f>(F84+O84+P84+Q84)/R84</f>
        <v>#DIV/0!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 t="s">
        <v>50</v>
      </c>
      <c r="AJ84" s="1">
        <f>ROUND(G84*T84,0)</f>
        <v>0</v>
      </c>
      <c r="AK84" t="s">
        <v>208</v>
      </c>
    </row>
    <row r="85" spans="1:39" x14ac:dyDescent="0.25">
      <c r="A85" s="18" t="s">
        <v>209</v>
      </c>
      <c r="B85" s="1" t="s">
        <v>40</v>
      </c>
      <c r="C85" s="1">
        <v>225.84899999999999</v>
      </c>
      <c r="D85" s="1">
        <v>95.108999999999995</v>
      </c>
      <c r="E85" s="1">
        <v>164.679</v>
      </c>
      <c r="F85" s="1">
        <v>137.69900000000001</v>
      </c>
      <c r="G85" s="7">
        <v>1</v>
      </c>
      <c r="H85" s="1">
        <v>60</v>
      </c>
      <c r="I85" s="1" t="s">
        <v>41</v>
      </c>
      <c r="J85" s="1"/>
      <c r="K85" s="1">
        <v>168.2</v>
      </c>
      <c r="L85" s="1">
        <f t="shared" si="8"/>
        <v>-3.5209999999999866</v>
      </c>
      <c r="M85" s="1"/>
      <c r="N85" s="1"/>
      <c r="O85" s="1">
        <v>137.00832</v>
      </c>
      <c r="P85" s="1"/>
      <c r="Q85" s="1"/>
      <c r="R85" s="1">
        <f t="shared" si="9"/>
        <v>32.9358</v>
      </c>
      <c r="S85" s="5">
        <f>12*R85-Q85-P85-O85-F85</f>
        <v>120.52227999999997</v>
      </c>
      <c r="T85" s="5">
        <f>S85+$T$1*R85</f>
        <v>80.011245999999971</v>
      </c>
      <c r="U85" s="5"/>
      <c r="V85" s="5"/>
      <c r="W85" s="1">
        <f>(F85+O85+P85+Q85+T85+V85)/R85</f>
        <v>10.769999999999998</v>
      </c>
      <c r="X85" s="1">
        <f>(F85+O85+P85+Q85)/R85</f>
        <v>8.3406906770140683</v>
      </c>
      <c r="Y85" s="1">
        <v>27.771799999999999</v>
      </c>
      <c r="Z85" s="1">
        <v>31.998000000000001</v>
      </c>
      <c r="AA85" s="1">
        <v>23.875599999999999</v>
      </c>
      <c r="AB85" s="1">
        <v>20.068999999999999</v>
      </c>
      <c r="AC85" s="1">
        <v>23.865600000000001</v>
      </c>
      <c r="AD85" s="1">
        <v>32.620199999999997</v>
      </c>
      <c r="AE85" s="1">
        <v>28.968800000000002</v>
      </c>
      <c r="AF85" s="1">
        <v>43.807400000000001</v>
      </c>
      <c r="AG85" s="1">
        <v>49.8904</v>
      </c>
      <c r="AH85" s="1">
        <v>45.323</v>
      </c>
      <c r="AI85" s="1"/>
      <c r="AJ85" s="1">
        <f>ROUND(G85*T85,0)</f>
        <v>80</v>
      </c>
      <c r="AK85" t="s">
        <v>210</v>
      </c>
      <c r="AL85" t="str">
        <f>VLOOKUP(A85,[1]Sheet!$A:$AQ,43,0)</f>
        <v>SU002634</v>
      </c>
      <c r="AM85">
        <f>ROUND(V85*G85,0)</f>
        <v>0</v>
      </c>
    </row>
    <row r="86" spans="1:39" x14ac:dyDescent="0.25">
      <c r="A86" s="9" t="s">
        <v>211</v>
      </c>
      <c r="B86" s="9" t="s">
        <v>49</v>
      </c>
      <c r="C86" s="9"/>
      <c r="D86" s="9"/>
      <c r="E86" s="9"/>
      <c r="F86" s="9"/>
      <c r="G86" s="10">
        <v>0</v>
      </c>
      <c r="H86" s="9"/>
      <c r="I86" s="9" t="s">
        <v>41</v>
      </c>
      <c r="J86" s="9"/>
      <c r="K86" s="9"/>
      <c r="L86" s="9">
        <f t="shared" si="8"/>
        <v>0</v>
      </c>
      <c r="M86" s="9"/>
      <c r="N86" s="9"/>
      <c r="O86" s="9">
        <v>0</v>
      </c>
      <c r="P86" s="9"/>
      <c r="Q86" s="9"/>
      <c r="R86" s="9">
        <f t="shared" si="9"/>
        <v>0</v>
      </c>
      <c r="S86" s="11"/>
      <c r="T86" s="5">
        <f>S86</f>
        <v>0</v>
      </c>
      <c r="U86" s="5"/>
      <c r="V86" s="5"/>
      <c r="W86" s="1" t="e">
        <f>(F86+O86+P86+Q86+T86)/R86</f>
        <v>#DIV/0!</v>
      </c>
      <c r="X86" s="9" t="e">
        <f>(F86+O86+P86+Q86)/R86</f>
        <v>#DIV/0!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 t="s">
        <v>50</v>
      </c>
      <c r="AJ86" s="1">
        <f>ROUND(G86*T86,0)</f>
        <v>0</v>
      </c>
      <c r="AK86" t="s">
        <v>212</v>
      </c>
    </row>
    <row r="87" spans="1:39" x14ac:dyDescent="0.25">
      <c r="A87" s="18" t="s">
        <v>213</v>
      </c>
      <c r="B87" s="1" t="s">
        <v>40</v>
      </c>
      <c r="C87" s="1">
        <v>1427.962</v>
      </c>
      <c r="D87" s="1">
        <v>2015.52</v>
      </c>
      <c r="E87" s="1">
        <v>1574.749</v>
      </c>
      <c r="F87" s="1">
        <v>1653.079</v>
      </c>
      <c r="G87" s="7">
        <v>1</v>
      </c>
      <c r="H87" s="1">
        <v>60</v>
      </c>
      <c r="I87" s="1" t="s">
        <v>41</v>
      </c>
      <c r="J87" s="1"/>
      <c r="K87" s="1">
        <v>1618.634</v>
      </c>
      <c r="L87" s="1">
        <f t="shared" si="8"/>
        <v>-43.884999999999991</v>
      </c>
      <c r="M87" s="1"/>
      <c r="N87" s="1"/>
      <c r="O87" s="1">
        <v>11.793995999999961</v>
      </c>
      <c r="P87" s="1"/>
      <c r="Q87" s="1">
        <v>500</v>
      </c>
      <c r="R87" s="1">
        <f t="shared" si="9"/>
        <v>314.94979999999998</v>
      </c>
      <c r="S87" s="5">
        <f>12*R87-Q87-P87-O87-F87</f>
        <v>1614.524604</v>
      </c>
      <c r="T87" s="5">
        <f>S87+$T$1*R87</f>
        <v>1227.13635</v>
      </c>
      <c r="U87" s="5"/>
      <c r="V87" s="5">
        <v>300</v>
      </c>
      <c r="W87" s="1">
        <f>(F87+O87+P87+Q87+T87+V87)/R87</f>
        <v>11.722532752838706</v>
      </c>
      <c r="X87" s="1">
        <f>(F87+O87+P87+Q87)/R87</f>
        <v>6.8737081147535264</v>
      </c>
      <c r="Y87" s="1">
        <v>244.9546</v>
      </c>
      <c r="Z87" s="1">
        <v>250.4194</v>
      </c>
      <c r="AA87" s="1">
        <v>227.70859999999999</v>
      </c>
      <c r="AB87" s="1">
        <v>184.99260000000001</v>
      </c>
      <c r="AC87" s="1">
        <v>192.30119999999999</v>
      </c>
      <c r="AD87" s="1">
        <v>242.393</v>
      </c>
      <c r="AE87" s="1">
        <v>281.09039999999999</v>
      </c>
      <c r="AF87" s="1">
        <v>332.67239999999998</v>
      </c>
      <c r="AG87" s="1">
        <v>305.48419999999999</v>
      </c>
      <c r="AH87" s="1">
        <v>286.5274</v>
      </c>
      <c r="AI87" s="1"/>
      <c r="AJ87" s="1">
        <f>ROUND(G87*T87,0)</f>
        <v>1227</v>
      </c>
      <c r="AK87" t="s">
        <v>214</v>
      </c>
      <c r="AL87" t="str">
        <f>VLOOKUP(A87,[1]Sheet!$A:$AQ,43,0)</f>
        <v>SU003423</v>
      </c>
      <c r="AM87">
        <f>ROUND(V87*G87,0)</f>
        <v>300</v>
      </c>
    </row>
    <row r="88" spans="1:39" x14ac:dyDescent="0.25">
      <c r="A88" s="18" t="s">
        <v>215</v>
      </c>
      <c r="B88" s="1" t="s">
        <v>40</v>
      </c>
      <c r="C88" s="1">
        <v>1560.107</v>
      </c>
      <c r="D88" s="1">
        <v>1014.49</v>
      </c>
      <c r="E88" s="1">
        <v>941.21199999999999</v>
      </c>
      <c r="F88" s="1">
        <v>1624.521</v>
      </c>
      <c r="G88" s="7">
        <v>1</v>
      </c>
      <c r="H88" s="1">
        <v>60</v>
      </c>
      <c r="I88" s="1" t="s">
        <v>41</v>
      </c>
      <c r="J88" s="1"/>
      <c r="K88" s="1">
        <v>914</v>
      </c>
      <c r="L88" s="1">
        <f t="shared" si="8"/>
        <v>27.211999999999989</v>
      </c>
      <c r="M88" s="1"/>
      <c r="N88" s="1"/>
      <c r="O88" s="1">
        <v>173.61546000000041</v>
      </c>
      <c r="P88" s="1"/>
      <c r="Q88" s="1"/>
      <c r="R88" s="1">
        <f t="shared" si="9"/>
        <v>188.2424</v>
      </c>
      <c r="S88" s="5">
        <f>12*R88-Q88-P88-O88-F88</f>
        <v>460.77233999999976</v>
      </c>
      <c r="T88" s="5">
        <f>S88+$T$1*R88</f>
        <v>229.23418799999976</v>
      </c>
      <c r="U88" s="5"/>
      <c r="V88" s="5">
        <v>200</v>
      </c>
      <c r="W88" s="1">
        <f>(F88+O88+P88+Q88+T88+V88)/R88</f>
        <v>11.832459892139072</v>
      </c>
      <c r="X88" s="1">
        <f>(F88+O88+P88+Q88)/R88</f>
        <v>9.5522393467146642</v>
      </c>
      <c r="Y88" s="1">
        <v>175.36760000000001</v>
      </c>
      <c r="Z88" s="1">
        <v>241.06899999999999</v>
      </c>
      <c r="AA88" s="1">
        <v>210.56899999999999</v>
      </c>
      <c r="AB88" s="1">
        <v>112.8832</v>
      </c>
      <c r="AC88" s="1">
        <v>123.03279999999999</v>
      </c>
      <c r="AD88" s="1">
        <v>190.5642</v>
      </c>
      <c r="AE88" s="1">
        <v>220.67740000000001</v>
      </c>
      <c r="AF88" s="1">
        <v>250.80779999999999</v>
      </c>
      <c r="AG88" s="1">
        <v>213.42420000000001</v>
      </c>
      <c r="AH88" s="1">
        <v>191.51259999999999</v>
      </c>
      <c r="AI88" s="1"/>
      <c r="AJ88" s="1">
        <f>ROUND(G88*T88,0)</f>
        <v>229</v>
      </c>
      <c r="AK88" t="s">
        <v>216</v>
      </c>
      <c r="AL88" t="str">
        <f>VLOOKUP(A88,[1]Sheet!$A:$AQ,43,0)</f>
        <v>SU003420</v>
      </c>
      <c r="AM88">
        <f>ROUND(V88*G88,0)</f>
        <v>200</v>
      </c>
    </row>
    <row r="89" spans="1:39" x14ac:dyDescent="0.25">
      <c r="A89" s="18" t="s">
        <v>217</v>
      </c>
      <c r="B89" s="1" t="s">
        <v>40</v>
      </c>
      <c r="C89" s="1">
        <v>4617.4799999999996</v>
      </c>
      <c r="D89" s="1">
        <v>716.024</v>
      </c>
      <c r="E89" s="1">
        <v>2117.902</v>
      </c>
      <c r="F89" s="1">
        <v>3033.0410000000002</v>
      </c>
      <c r="G89" s="7">
        <v>1</v>
      </c>
      <c r="H89" s="1">
        <v>60</v>
      </c>
      <c r="I89" s="1" t="s">
        <v>41</v>
      </c>
      <c r="J89" s="1"/>
      <c r="K89" s="1">
        <v>2131.11</v>
      </c>
      <c r="L89" s="1">
        <f t="shared" si="8"/>
        <v>-13.208000000000084</v>
      </c>
      <c r="M89" s="1"/>
      <c r="N89" s="1"/>
      <c r="O89" s="1">
        <v>0</v>
      </c>
      <c r="P89" s="1"/>
      <c r="Q89" s="1"/>
      <c r="R89" s="1">
        <f t="shared" si="9"/>
        <v>423.5804</v>
      </c>
      <c r="S89" s="5">
        <f>12*R89-Q89-P89-O89-F89</f>
        <v>2049.9237999999996</v>
      </c>
      <c r="T89" s="5">
        <f>S89+$T$1*R89</f>
        <v>1528.9199079999996</v>
      </c>
      <c r="U89" s="5"/>
      <c r="V89" s="5">
        <v>400</v>
      </c>
      <c r="W89" s="1">
        <f>(F89+O89+P89+Q89+T89+V89)/R89</f>
        <v>11.714330757513803</v>
      </c>
      <c r="X89" s="1">
        <f>(F89+O89+P89+Q89)/R89</f>
        <v>7.1604847627510626</v>
      </c>
      <c r="Y89" s="1">
        <v>376.52600000000001</v>
      </c>
      <c r="Z89" s="1">
        <v>336.5274</v>
      </c>
      <c r="AA89" s="1">
        <v>281.4778</v>
      </c>
      <c r="AB89" s="1">
        <v>275.24520000000001</v>
      </c>
      <c r="AC89" s="1">
        <v>319.42960000000011</v>
      </c>
      <c r="AD89" s="1">
        <v>353.96559999999999</v>
      </c>
      <c r="AE89" s="1">
        <v>357.76280000000003</v>
      </c>
      <c r="AF89" s="1">
        <v>414.20119999999997</v>
      </c>
      <c r="AG89" s="1">
        <v>411.19539999999989</v>
      </c>
      <c r="AH89" s="1">
        <v>457.66879999999998</v>
      </c>
      <c r="AI89" s="1"/>
      <c r="AJ89" s="1">
        <f>ROUND(G89*T89,0)</f>
        <v>1529</v>
      </c>
      <c r="AK89" t="s">
        <v>218</v>
      </c>
      <c r="AL89" t="str">
        <f>VLOOKUP(A89,[1]Sheet!$A:$AQ,43,0)</f>
        <v>SU003422</v>
      </c>
      <c r="AM89">
        <f>ROUND(V89*G89,0)</f>
        <v>400</v>
      </c>
    </row>
    <row r="90" spans="1:39" x14ac:dyDescent="0.25">
      <c r="A90" s="9" t="s">
        <v>219</v>
      </c>
      <c r="B90" s="9" t="s">
        <v>40</v>
      </c>
      <c r="C90" s="9"/>
      <c r="D90" s="9"/>
      <c r="E90" s="9"/>
      <c r="F90" s="9"/>
      <c r="G90" s="10">
        <v>0</v>
      </c>
      <c r="H90" s="9"/>
      <c r="I90" s="9" t="s">
        <v>41</v>
      </c>
      <c r="J90" s="9"/>
      <c r="K90" s="9"/>
      <c r="L90" s="9">
        <f t="shared" si="8"/>
        <v>0</v>
      </c>
      <c r="M90" s="9"/>
      <c r="N90" s="9"/>
      <c r="O90" s="9">
        <v>0</v>
      </c>
      <c r="P90" s="9"/>
      <c r="Q90" s="9"/>
      <c r="R90" s="9">
        <f t="shared" si="9"/>
        <v>0</v>
      </c>
      <c r="S90" s="11"/>
      <c r="T90" s="5">
        <f>S90</f>
        <v>0</v>
      </c>
      <c r="U90" s="5"/>
      <c r="V90" s="5"/>
      <c r="W90" s="1" t="e">
        <f>(F90+O90+P90+Q90+T90)/R90</f>
        <v>#DIV/0!</v>
      </c>
      <c r="X90" s="9" t="e">
        <f>(F90+O90+P90+Q90)/R90</f>
        <v>#DIV/0!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 t="s">
        <v>50</v>
      </c>
      <c r="AJ90" s="1">
        <f>ROUND(G90*T90,0)</f>
        <v>0</v>
      </c>
      <c r="AK90" t="s">
        <v>220</v>
      </c>
    </row>
    <row r="91" spans="1:39" x14ac:dyDescent="0.25">
      <c r="A91" s="1" t="s">
        <v>221</v>
      </c>
      <c r="B91" s="1" t="s">
        <v>49</v>
      </c>
      <c r="C91" s="1">
        <v>59</v>
      </c>
      <c r="D91" s="1">
        <v>6</v>
      </c>
      <c r="E91" s="1">
        <v>54</v>
      </c>
      <c r="F91" s="1">
        <v>-4</v>
      </c>
      <c r="G91" s="7">
        <v>0.3</v>
      </c>
      <c r="H91" s="1">
        <v>40</v>
      </c>
      <c r="I91" s="13" t="s">
        <v>59</v>
      </c>
      <c r="J91" s="1"/>
      <c r="K91" s="1">
        <v>155</v>
      </c>
      <c r="L91" s="1">
        <f t="shared" si="8"/>
        <v>-101</v>
      </c>
      <c r="M91" s="1"/>
      <c r="N91" s="1"/>
      <c r="O91" s="1">
        <v>129.66800000000001</v>
      </c>
      <c r="P91" s="1">
        <v>-132</v>
      </c>
      <c r="Q91" s="1"/>
      <c r="R91" s="1">
        <f t="shared" si="9"/>
        <v>10.8</v>
      </c>
      <c r="S91" s="5">
        <v>50</v>
      </c>
      <c r="T91" s="5">
        <f>S91*0.5</f>
        <v>25</v>
      </c>
      <c r="U91" s="5">
        <v>-30</v>
      </c>
      <c r="V91" s="5"/>
      <c r="W91" s="1">
        <f>(F91+O91+P91+Q91+T91)/R91</f>
        <v>1.728518518518519</v>
      </c>
      <c r="X91" s="1">
        <f>(F91+O91+P91+Q91)/R91</f>
        <v>-0.58629629629629565</v>
      </c>
      <c r="Y91" s="1">
        <v>19.399999999999999</v>
      </c>
      <c r="Z91" s="1">
        <v>20.2</v>
      </c>
      <c r="AA91" s="1">
        <v>9.8000000000000007</v>
      </c>
      <c r="AB91" s="1">
        <v>5.4</v>
      </c>
      <c r="AC91" s="1">
        <v>12.2</v>
      </c>
      <c r="AD91" s="1">
        <v>28.4</v>
      </c>
      <c r="AE91" s="1">
        <v>31.2</v>
      </c>
      <c r="AF91" s="1">
        <v>25.6</v>
      </c>
      <c r="AG91" s="1">
        <v>17</v>
      </c>
      <c r="AH91" s="1">
        <v>10.199999999999999</v>
      </c>
      <c r="AI91" s="1"/>
      <c r="AJ91" s="1">
        <f>ROUND(G91*T91,0)</f>
        <v>8</v>
      </c>
      <c r="AK91" t="s">
        <v>222</v>
      </c>
    </row>
    <row r="92" spans="1:39" x14ac:dyDescent="0.25">
      <c r="A92" s="9" t="s">
        <v>223</v>
      </c>
      <c r="B92" s="9" t="s">
        <v>49</v>
      </c>
      <c r="C92" s="9"/>
      <c r="D92" s="9"/>
      <c r="E92" s="9"/>
      <c r="F92" s="9"/>
      <c r="G92" s="10">
        <v>0</v>
      </c>
      <c r="H92" s="9"/>
      <c r="I92" s="9" t="s">
        <v>41</v>
      </c>
      <c r="J92" s="9"/>
      <c r="K92" s="9"/>
      <c r="L92" s="9">
        <f t="shared" si="8"/>
        <v>0</v>
      </c>
      <c r="M92" s="9"/>
      <c r="N92" s="9"/>
      <c r="O92" s="9">
        <v>0</v>
      </c>
      <c r="P92" s="9"/>
      <c r="Q92" s="9"/>
      <c r="R92" s="9">
        <f t="shared" si="9"/>
        <v>0</v>
      </c>
      <c r="S92" s="11"/>
      <c r="T92" s="5">
        <f>S92</f>
        <v>0</v>
      </c>
      <c r="U92" s="5"/>
      <c r="V92" s="5"/>
      <c r="W92" s="1" t="e">
        <f>(F92+O92+P92+Q92+T92)/R92</f>
        <v>#DIV/0!</v>
      </c>
      <c r="X92" s="9" t="e">
        <f>(F92+O92+P92+Q92)/R92</f>
        <v>#DIV/0!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 t="s">
        <v>50</v>
      </c>
      <c r="AJ92" s="1">
        <f>ROUND(G92*T92,0)</f>
        <v>0</v>
      </c>
      <c r="AK92" t="s">
        <v>224</v>
      </c>
    </row>
    <row r="93" spans="1:39" x14ac:dyDescent="0.25">
      <c r="A93" s="1" t="s">
        <v>225</v>
      </c>
      <c r="B93" s="1" t="s">
        <v>49</v>
      </c>
      <c r="C93" s="1">
        <v>165</v>
      </c>
      <c r="D93" s="1">
        <v>90</v>
      </c>
      <c r="E93" s="1">
        <v>128</v>
      </c>
      <c r="F93" s="1">
        <v>116</v>
      </c>
      <c r="G93" s="7">
        <v>7.0000000000000007E-2</v>
      </c>
      <c r="H93" s="1">
        <v>90</v>
      </c>
      <c r="I93" s="1" t="s">
        <v>41</v>
      </c>
      <c r="J93" s="1"/>
      <c r="K93" s="1">
        <v>126</v>
      </c>
      <c r="L93" s="1">
        <f t="shared" si="8"/>
        <v>2</v>
      </c>
      <c r="M93" s="1"/>
      <c r="N93" s="1"/>
      <c r="O93" s="1">
        <v>15</v>
      </c>
      <c r="P93" s="1">
        <v>-18</v>
      </c>
      <c r="Q93" s="1"/>
      <c r="R93" s="1">
        <f t="shared" si="9"/>
        <v>25.6</v>
      </c>
      <c r="S93" s="5">
        <f>11*R93-Q93-P93-O93-F93</f>
        <v>168.60000000000002</v>
      </c>
      <c r="T93" s="5">
        <f>S93+$T$1*R93</f>
        <v>137.11200000000002</v>
      </c>
      <c r="U93" s="5">
        <v>-144</v>
      </c>
      <c r="V93" s="5"/>
      <c r="W93" s="1">
        <f>(F93+O93+P93+Q93+T93)/R93</f>
        <v>9.77</v>
      </c>
      <c r="X93" s="1">
        <f>(F93+O93+P93+Q93)/R93</f>
        <v>4.4140625</v>
      </c>
      <c r="Y93" s="1">
        <v>25.4</v>
      </c>
      <c r="Z93" s="1">
        <v>15.4</v>
      </c>
      <c r="AA93" s="1">
        <v>12.2</v>
      </c>
      <c r="AB93" s="1">
        <v>8.4</v>
      </c>
      <c r="AC93" s="1">
        <v>10.8</v>
      </c>
      <c r="AD93" s="1">
        <v>19.600000000000001</v>
      </c>
      <c r="AE93" s="1">
        <v>20.399999999999999</v>
      </c>
      <c r="AF93" s="1">
        <v>13</v>
      </c>
      <c r="AG93" s="1">
        <v>11</v>
      </c>
      <c r="AH93" s="1">
        <v>13.2</v>
      </c>
      <c r="AI93" s="1" t="s">
        <v>226</v>
      </c>
      <c r="AJ93" s="1">
        <f>ROUND(G93*T93,0)</f>
        <v>10</v>
      </c>
      <c r="AK93" t="s">
        <v>227</v>
      </c>
    </row>
    <row r="94" spans="1:39" x14ac:dyDescent="0.25">
      <c r="A94" s="1" t="s">
        <v>228</v>
      </c>
      <c r="B94" s="1" t="s">
        <v>49</v>
      </c>
      <c r="C94" s="1">
        <v>14</v>
      </c>
      <c r="D94" s="1">
        <v>79</v>
      </c>
      <c r="E94" s="1">
        <v>8</v>
      </c>
      <c r="F94" s="1">
        <v>65</v>
      </c>
      <c r="G94" s="7">
        <v>7.0000000000000007E-2</v>
      </c>
      <c r="H94" s="1">
        <v>90</v>
      </c>
      <c r="I94" s="13" t="s">
        <v>59</v>
      </c>
      <c r="J94" s="1"/>
      <c r="K94" s="1">
        <v>124</v>
      </c>
      <c r="L94" s="1">
        <f t="shared" si="8"/>
        <v>-116</v>
      </c>
      <c r="M94" s="1"/>
      <c r="N94" s="1"/>
      <c r="O94" s="1">
        <v>50</v>
      </c>
      <c r="P94" s="1">
        <v>-50</v>
      </c>
      <c r="Q94" s="1"/>
      <c r="R94" s="1">
        <f t="shared" si="9"/>
        <v>1.6</v>
      </c>
      <c r="S94" s="5">
        <v>30</v>
      </c>
      <c r="T94" s="5">
        <f>S94*0.5</f>
        <v>15</v>
      </c>
      <c r="U94" s="5"/>
      <c r="V94" s="5"/>
      <c r="W94" s="1">
        <f>(F94+O94+P94+Q94+T94)/R94</f>
        <v>50</v>
      </c>
      <c r="X94" s="1">
        <f>(F94+O94+P94+Q94)/R94</f>
        <v>40.625</v>
      </c>
      <c r="Y94" s="1">
        <v>0.4</v>
      </c>
      <c r="Z94" s="1">
        <v>9.8000000000000007</v>
      </c>
      <c r="AA94" s="1">
        <v>13.8</v>
      </c>
      <c r="AB94" s="1">
        <v>17.8</v>
      </c>
      <c r="AC94" s="1">
        <v>18.8</v>
      </c>
      <c r="AD94" s="1">
        <v>16.399999999999999</v>
      </c>
      <c r="AE94" s="1">
        <v>14</v>
      </c>
      <c r="AF94" s="1">
        <v>15</v>
      </c>
      <c r="AG94" s="1">
        <v>20.8</v>
      </c>
      <c r="AH94" s="1">
        <v>16.8</v>
      </c>
      <c r="AI94" s="1" t="s">
        <v>226</v>
      </c>
      <c r="AJ94" s="1">
        <f>ROUND(G94*T94,0)</f>
        <v>1</v>
      </c>
      <c r="AK94" t="s">
        <v>229</v>
      </c>
    </row>
    <row r="95" spans="1:39" x14ac:dyDescent="0.25">
      <c r="A95" s="1" t="s">
        <v>230</v>
      </c>
      <c r="B95" s="1" t="s">
        <v>49</v>
      </c>
      <c r="C95" s="1">
        <v>178</v>
      </c>
      <c r="D95" s="1">
        <v>92</v>
      </c>
      <c r="E95" s="1">
        <v>123</v>
      </c>
      <c r="F95" s="1">
        <v>144</v>
      </c>
      <c r="G95" s="7">
        <v>7.0000000000000007E-2</v>
      </c>
      <c r="H95" s="1">
        <v>90</v>
      </c>
      <c r="I95" s="1" t="s">
        <v>41</v>
      </c>
      <c r="J95" s="1"/>
      <c r="K95" s="1">
        <v>121</v>
      </c>
      <c r="L95" s="1">
        <f t="shared" si="8"/>
        <v>2</v>
      </c>
      <c r="M95" s="1"/>
      <c r="N95" s="1"/>
      <c r="O95" s="1">
        <v>0</v>
      </c>
      <c r="P95" s="1"/>
      <c r="Q95" s="1"/>
      <c r="R95" s="1">
        <f t="shared" si="9"/>
        <v>24.6</v>
      </c>
      <c r="S95" s="5">
        <f>12*R95-Q95-P95-O95-F95</f>
        <v>151.20000000000005</v>
      </c>
      <c r="T95" s="5">
        <f>S95+$T$1*R95</f>
        <v>120.94200000000004</v>
      </c>
      <c r="U95" s="5"/>
      <c r="V95" s="5"/>
      <c r="W95" s="1">
        <f>(F95+O95+P95+Q95+T95)/R95</f>
        <v>10.77</v>
      </c>
      <c r="X95" s="1">
        <f>(F95+O95+P95+Q95)/R95</f>
        <v>5.8536585365853657</v>
      </c>
      <c r="Y95" s="1">
        <v>23.6</v>
      </c>
      <c r="Z95" s="1">
        <v>12.4</v>
      </c>
      <c r="AA95" s="1">
        <v>7.2</v>
      </c>
      <c r="AB95" s="1">
        <v>6.8</v>
      </c>
      <c r="AC95" s="1">
        <v>10</v>
      </c>
      <c r="AD95" s="1">
        <v>18.399999999999999</v>
      </c>
      <c r="AE95" s="1">
        <v>16.399999999999999</v>
      </c>
      <c r="AF95" s="1">
        <v>10.199999999999999</v>
      </c>
      <c r="AG95" s="1">
        <v>12</v>
      </c>
      <c r="AH95" s="1">
        <v>10.6</v>
      </c>
      <c r="AI95" s="1" t="s">
        <v>226</v>
      </c>
      <c r="AJ95" s="1">
        <f>ROUND(G95*T95,0)</f>
        <v>8</v>
      </c>
      <c r="AK95" t="s">
        <v>231</v>
      </c>
    </row>
    <row r="96" spans="1:39" x14ac:dyDescent="0.25">
      <c r="A96" s="9" t="s">
        <v>232</v>
      </c>
      <c r="B96" s="9" t="s">
        <v>49</v>
      </c>
      <c r="C96" s="9">
        <v>57</v>
      </c>
      <c r="D96" s="9">
        <v>3</v>
      </c>
      <c r="E96" s="9">
        <v>50</v>
      </c>
      <c r="F96" s="9">
        <v>2</v>
      </c>
      <c r="G96" s="10">
        <v>0</v>
      </c>
      <c r="H96" s="9">
        <v>90</v>
      </c>
      <c r="I96" s="9" t="s">
        <v>119</v>
      </c>
      <c r="J96" s="9"/>
      <c r="K96" s="9">
        <v>70</v>
      </c>
      <c r="L96" s="9">
        <f t="shared" si="8"/>
        <v>-20</v>
      </c>
      <c r="M96" s="9"/>
      <c r="N96" s="9"/>
      <c r="O96" s="9">
        <v>0</v>
      </c>
      <c r="P96" s="9"/>
      <c r="Q96" s="9"/>
      <c r="R96" s="9">
        <f t="shared" si="9"/>
        <v>10</v>
      </c>
      <c r="S96" s="11"/>
      <c r="T96" s="5">
        <f>S96</f>
        <v>0</v>
      </c>
      <c r="U96" s="5"/>
      <c r="V96" s="5"/>
      <c r="W96" s="1">
        <f>(F96+O96+P96+Q96+T96)/R96</f>
        <v>0.2</v>
      </c>
      <c r="X96" s="9">
        <f>(F96+O96+P96+Q96)/R96</f>
        <v>0.2</v>
      </c>
      <c r="Y96" s="9">
        <v>11.2</v>
      </c>
      <c r="Z96" s="9">
        <v>9.8000000000000007</v>
      </c>
      <c r="AA96" s="9">
        <v>9</v>
      </c>
      <c r="AB96" s="9">
        <v>7.4</v>
      </c>
      <c r="AC96" s="9">
        <v>7.4</v>
      </c>
      <c r="AD96" s="9">
        <v>8.6</v>
      </c>
      <c r="AE96" s="9">
        <v>12</v>
      </c>
      <c r="AF96" s="9">
        <v>14.4</v>
      </c>
      <c r="AG96" s="9">
        <v>13.8</v>
      </c>
      <c r="AH96" s="9">
        <v>14.8</v>
      </c>
      <c r="AI96" s="9"/>
      <c r="AJ96" s="1">
        <f>ROUND(G96*T96,0)</f>
        <v>0</v>
      </c>
      <c r="AK96" t="s">
        <v>233</v>
      </c>
    </row>
    <row r="97" spans="1:37" x14ac:dyDescent="0.25">
      <c r="A97" s="9" t="s">
        <v>234</v>
      </c>
      <c r="B97" s="9" t="s">
        <v>49</v>
      </c>
      <c r="C97" s="9"/>
      <c r="D97" s="9"/>
      <c r="E97" s="9"/>
      <c r="F97" s="9"/>
      <c r="G97" s="10">
        <v>0</v>
      </c>
      <c r="H97" s="9"/>
      <c r="I97" s="9" t="s">
        <v>41</v>
      </c>
      <c r="J97" s="9"/>
      <c r="K97" s="9"/>
      <c r="L97" s="9">
        <f t="shared" si="8"/>
        <v>0</v>
      </c>
      <c r="M97" s="9"/>
      <c r="N97" s="9"/>
      <c r="O97" s="9">
        <v>0</v>
      </c>
      <c r="P97" s="9"/>
      <c r="Q97" s="9"/>
      <c r="R97" s="9">
        <f t="shared" si="9"/>
        <v>0</v>
      </c>
      <c r="S97" s="11"/>
      <c r="T97" s="5">
        <f>S97</f>
        <v>0</v>
      </c>
      <c r="U97" s="5"/>
      <c r="V97" s="5"/>
      <c r="W97" s="1" t="e">
        <f>(F97+O97+P97+Q97+T97)/R97</f>
        <v>#DIV/0!</v>
      </c>
      <c r="X97" s="9" t="e">
        <f>(F97+O97+P97+Q97)/R97</f>
        <v>#DIV/0!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 t="s">
        <v>50</v>
      </c>
      <c r="AJ97" s="1">
        <f>ROUND(G97*T97,0)</f>
        <v>0</v>
      </c>
      <c r="AK97" t="s">
        <v>235</v>
      </c>
    </row>
    <row r="98" spans="1:37" x14ac:dyDescent="0.25">
      <c r="A98" s="1" t="s">
        <v>236</v>
      </c>
      <c r="B98" s="1" t="s">
        <v>40</v>
      </c>
      <c r="C98" s="1">
        <v>4.0960000000000001</v>
      </c>
      <c r="D98" s="1"/>
      <c r="E98" s="1">
        <v>-3.2170000000000001</v>
      </c>
      <c r="F98" s="1">
        <v>4.0960000000000001</v>
      </c>
      <c r="G98" s="7">
        <v>1</v>
      </c>
      <c r="H98" s="1">
        <v>55</v>
      </c>
      <c r="I98" s="1" t="s">
        <v>41</v>
      </c>
      <c r="J98" s="1"/>
      <c r="K98" s="1">
        <v>8.6</v>
      </c>
      <c r="L98" s="1">
        <f t="shared" si="8"/>
        <v>-11.817</v>
      </c>
      <c r="M98" s="1"/>
      <c r="N98" s="1"/>
      <c r="O98" s="1">
        <v>8</v>
      </c>
      <c r="P98" s="1"/>
      <c r="Q98" s="1"/>
      <c r="R98" s="1">
        <f t="shared" si="9"/>
        <v>-0.64339999999999997</v>
      </c>
      <c r="S98" s="5"/>
      <c r="T98" s="5">
        <f>S98</f>
        <v>0</v>
      </c>
      <c r="U98" s="5"/>
      <c r="V98" s="5"/>
      <c r="W98" s="1">
        <f>(F98+O98+P98+Q98+T98)/R98</f>
        <v>-18.80012433944669</v>
      </c>
      <c r="X98" s="1">
        <f>(F98+O98+P98+Q98)/R98</f>
        <v>-18.80012433944669</v>
      </c>
      <c r="Y98" s="1">
        <v>-0.32300000000000001</v>
      </c>
      <c r="Z98" s="1">
        <v>0</v>
      </c>
      <c r="AA98" s="1">
        <v>2.1076000000000001</v>
      </c>
      <c r="AB98" s="1">
        <v>1.9372</v>
      </c>
      <c r="AC98" s="1">
        <v>2.2138</v>
      </c>
      <c r="AD98" s="1">
        <v>4.1204000000000001</v>
      </c>
      <c r="AE98" s="1">
        <v>3.4714</v>
      </c>
      <c r="AF98" s="1">
        <v>2.1972</v>
      </c>
      <c r="AG98" s="1">
        <v>3.1594000000000002</v>
      </c>
      <c r="AH98" s="1">
        <v>4.0695999999999994</v>
      </c>
      <c r="AI98" s="1" t="s">
        <v>237</v>
      </c>
      <c r="AJ98" s="1">
        <f>ROUND(G98*T98,0)</f>
        <v>0</v>
      </c>
      <c r="AK98" t="s">
        <v>238</v>
      </c>
    </row>
    <row r="99" spans="1:37" x14ac:dyDescent="0.25">
      <c r="A99" s="1" t="s">
        <v>239</v>
      </c>
      <c r="B99" s="1" t="s">
        <v>49</v>
      </c>
      <c r="C99" s="1"/>
      <c r="D99" s="1">
        <v>110</v>
      </c>
      <c r="E99" s="1">
        <v>57</v>
      </c>
      <c r="F99" s="1">
        <v>53</v>
      </c>
      <c r="G99" s="7">
        <v>0.11</v>
      </c>
      <c r="H99" s="1">
        <v>30</v>
      </c>
      <c r="I99" s="1" t="s">
        <v>41</v>
      </c>
      <c r="J99" s="1"/>
      <c r="K99" s="1">
        <v>59</v>
      </c>
      <c r="L99" s="1">
        <f t="shared" si="8"/>
        <v>-2</v>
      </c>
      <c r="M99" s="1"/>
      <c r="N99" s="1"/>
      <c r="O99" s="1">
        <v>0</v>
      </c>
      <c r="P99" s="1"/>
      <c r="Q99" s="1"/>
      <c r="R99" s="1">
        <f t="shared" si="9"/>
        <v>11.4</v>
      </c>
      <c r="S99" s="5">
        <f>12*R99-Q99-P99-O99-F99</f>
        <v>83.800000000000011</v>
      </c>
      <c r="T99" s="5">
        <f>S99+$T$1*R99</f>
        <v>69.778000000000006</v>
      </c>
      <c r="U99" s="5"/>
      <c r="V99" s="5"/>
      <c r="W99" s="1">
        <f>(F99+O99+P99+Q99+T99)/R99</f>
        <v>10.77</v>
      </c>
      <c r="X99" s="1">
        <f>(F99+O99+P99+Q99)/R99</f>
        <v>4.6491228070175437</v>
      </c>
      <c r="Y99" s="1">
        <v>0</v>
      </c>
      <c r="Z99" s="1">
        <v>0</v>
      </c>
      <c r="AA99" s="1">
        <v>0</v>
      </c>
      <c r="AB99" s="1">
        <v>0</v>
      </c>
      <c r="AC99" s="1">
        <v>3.2</v>
      </c>
      <c r="AD99" s="1">
        <v>3.2</v>
      </c>
      <c r="AE99" s="1">
        <v>0</v>
      </c>
      <c r="AF99" s="1">
        <v>0</v>
      </c>
      <c r="AG99" s="1">
        <v>0</v>
      </c>
      <c r="AH99" s="1">
        <v>0</v>
      </c>
      <c r="AI99" s="1" t="s">
        <v>240</v>
      </c>
      <c r="AJ99" s="1">
        <f>ROUND(G99*T99,0)</f>
        <v>8</v>
      </c>
      <c r="AK99" t="s">
        <v>241</v>
      </c>
    </row>
    <row r="100" spans="1:37" x14ac:dyDescent="0.25">
      <c r="A100" s="9" t="s">
        <v>242</v>
      </c>
      <c r="B100" s="9" t="s">
        <v>49</v>
      </c>
      <c r="C100" s="9"/>
      <c r="D100" s="9"/>
      <c r="E100" s="9"/>
      <c r="F100" s="9"/>
      <c r="G100" s="10">
        <v>0</v>
      </c>
      <c r="H100" s="9"/>
      <c r="I100" s="9" t="s">
        <v>41</v>
      </c>
      <c r="J100" s="9"/>
      <c r="K100" s="9"/>
      <c r="L100" s="9">
        <f t="shared" si="8"/>
        <v>0</v>
      </c>
      <c r="M100" s="9"/>
      <c r="N100" s="9"/>
      <c r="O100" s="9">
        <v>0</v>
      </c>
      <c r="P100" s="9"/>
      <c r="Q100" s="9"/>
      <c r="R100" s="9">
        <f t="shared" si="9"/>
        <v>0</v>
      </c>
      <c r="S100" s="11"/>
      <c r="T100" s="5">
        <f>S100</f>
        <v>0</v>
      </c>
      <c r="U100" s="5"/>
      <c r="V100" s="5"/>
      <c r="W100" s="1" t="e">
        <f>(F100+O100+P100+Q100+T100)/R100</f>
        <v>#DIV/0!</v>
      </c>
      <c r="X100" s="9" t="e">
        <f>(F100+O100+P100+Q100)/R100</f>
        <v>#DIV/0!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 t="s">
        <v>50</v>
      </c>
      <c r="AJ100" s="1">
        <f>ROUND(G100*T100,0)</f>
        <v>0</v>
      </c>
      <c r="AK100" t="s">
        <v>243</v>
      </c>
    </row>
    <row r="101" spans="1:37" x14ac:dyDescent="0.25">
      <c r="A101" s="1" t="s">
        <v>244</v>
      </c>
      <c r="B101" s="1" t="s">
        <v>49</v>
      </c>
      <c r="C101" s="1">
        <v>155</v>
      </c>
      <c r="D101" s="1">
        <v>82</v>
      </c>
      <c r="E101" s="1">
        <v>131</v>
      </c>
      <c r="F101" s="1">
        <v>106</v>
      </c>
      <c r="G101" s="7">
        <v>0.08</v>
      </c>
      <c r="H101" s="1">
        <v>45</v>
      </c>
      <c r="I101" s="1" t="s">
        <v>41</v>
      </c>
      <c r="J101" s="1"/>
      <c r="K101" s="1">
        <v>123</v>
      </c>
      <c r="L101" s="1">
        <f t="shared" si="8"/>
        <v>8</v>
      </c>
      <c r="M101" s="1"/>
      <c r="N101" s="1"/>
      <c r="O101" s="1">
        <v>45</v>
      </c>
      <c r="P101" s="1"/>
      <c r="Q101" s="1"/>
      <c r="R101" s="1">
        <f t="shared" si="9"/>
        <v>26.2</v>
      </c>
      <c r="S101" s="5">
        <f>12*R101-Q101-P101-O101-F101</f>
        <v>163.39999999999998</v>
      </c>
      <c r="T101" s="5">
        <f>S101+$T$1*R101</f>
        <v>131.17399999999998</v>
      </c>
      <c r="U101" s="5"/>
      <c r="V101" s="5"/>
      <c r="W101" s="1">
        <f>(F101+O101+P101+Q101+T101)/R101</f>
        <v>10.77</v>
      </c>
      <c r="X101" s="1">
        <f>(F101+O101+P101+Q101)/R101</f>
        <v>5.7633587786259541</v>
      </c>
      <c r="Y101" s="1">
        <v>19.600000000000001</v>
      </c>
      <c r="Z101" s="1">
        <v>16.399999999999999</v>
      </c>
      <c r="AA101" s="1">
        <v>14.8</v>
      </c>
      <c r="AB101" s="1">
        <v>14</v>
      </c>
      <c r="AC101" s="1">
        <v>17.399999999999999</v>
      </c>
      <c r="AD101" s="1">
        <v>23</v>
      </c>
      <c r="AE101" s="1">
        <v>22.2</v>
      </c>
      <c r="AF101" s="1">
        <v>15.4</v>
      </c>
      <c r="AG101" s="1">
        <v>9.8000000000000007</v>
      </c>
      <c r="AH101" s="1">
        <v>10.6</v>
      </c>
      <c r="AI101" s="1" t="s">
        <v>240</v>
      </c>
      <c r="AJ101" s="1">
        <f>ROUND(G101*T101,0)</f>
        <v>10</v>
      </c>
      <c r="AK101" t="s">
        <v>245</v>
      </c>
    </row>
    <row r="102" spans="1:37" x14ac:dyDescent="0.25">
      <c r="A102" s="1" t="s">
        <v>246</v>
      </c>
      <c r="B102" s="1" t="s">
        <v>49</v>
      </c>
      <c r="C102" s="1">
        <v>63</v>
      </c>
      <c r="D102" s="1">
        <v>196</v>
      </c>
      <c r="E102" s="1">
        <v>83</v>
      </c>
      <c r="F102" s="1">
        <v>162</v>
      </c>
      <c r="G102" s="7">
        <v>0.08</v>
      </c>
      <c r="H102" s="1">
        <v>45</v>
      </c>
      <c r="I102" s="1" t="s">
        <v>41</v>
      </c>
      <c r="J102" s="1"/>
      <c r="K102" s="1">
        <v>91</v>
      </c>
      <c r="L102" s="1">
        <f t="shared" ref="L102:L129" si="10">E102-K102</f>
        <v>-8</v>
      </c>
      <c r="M102" s="1"/>
      <c r="N102" s="1"/>
      <c r="O102" s="1">
        <v>0</v>
      </c>
      <c r="P102" s="1"/>
      <c r="Q102" s="1"/>
      <c r="R102" s="1">
        <f t="shared" ref="R102:R129" si="11">E102/5</f>
        <v>16.600000000000001</v>
      </c>
      <c r="S102" s="5">
        <f>12*R102-Q102-P102-O102-F102</f>
        <v>37.200000000000017</v>
      </c>
      <c r="T102" s="5">
        <f>S102</f>
        <v>37.200000000000017</v>
      </c>
      <c r="U102" s="5"/>
      <c r="V102" s="5"/>
      <c r="W102" s="1">
        <f t="shared" ref="W102:W129" si="12">(F102+O102+P102+Q102+T102)/R102</f>
        <v>12</v>
      </c>
      <c r="X102" s="1">
        <f t="shared" ref="X102:X129" si="13">(F102+O102+P102+Q102)/R102</f>
        <v>9.759036144578312</v>
      </c>
      <c r="Y102" s="1">
        <v>15.2</v>
      </c>
      <c r="Z102" s="1">
        <v>10.199999999999999</v>
      </c>
      <c r="AA102" s="1">
        <v>18.2</v>
      </c>
      <c r="AB102" s="1">
        <v>15.6</v>
      </c>
      <c r="AC102" s="1">
        <v>12</v>
      </c>
      <c r="AD102" s="1">
        <v>14</v>
      </c>
      <c r="AE102" s="1">
        <v>14</v>
      </c>
      <c r="AF102" s="1">
        <v>12.4</v>
      </c>
      <c r="AG102" s="1">
        <v>17.399999999999999</v>
      </c>
      <c r="AH102" s="1">
        <v>17</v>
      </c>
      <c r="AI102" s="1" t="s">
        <v>240</v>
      </c>
      <c r="AJ102" s="1">
        <f t="shared" ref="AJ102:AJ129" si="14">ROUND(G102*T102,0)</f>
        <v>3</v>
      </c>
      <c r="AK102" t="s">
        <v>247</v>
      </c>
    </row>
    <row r="103" spans="1:37" x14ac:dyDescent="0.25">
      <c r="A103" s="1" t="s">
        <v>248</v>
      </c>
      <c r="B103" s="1" t="s">
        <v>49</v>
      </c>
      <c r="C103" s="1"/>
      <c r="D103" s="1">
        <v>80</v>
      </c>
      <c r="E103" s="1">
        <v>17</v>
      </c>
      <c r="F103" s="1">
        <v>63</v>
      </c>
      <c r="G103" s="7">
        <v>0.17</v>
      </c>
      <c r="H103" s="1">
        <v>30</v>
      </c>
      <c r="I103" s="1" t="s">
        <v>41</v>
      </c>
      <c r="J103" s="1"/>
      <c r="K103" s="1">
        <v>17</v>
      </c>
      <c r="L103" s="1">
        <f t="shared" si="10"/>
        <v>0</v>
      </c>
      <c r="M103" s="1"/>
      <c r="N103" s="1"/>
      <c r="O103" s="1">
        <v>8</v>
      </c>
      <c r="P103" s="1"/>
      <c r="Q103" s="1"/>
      <c r="R103" s="1">
        <f t="shared" si="11"/>
        <v>3.4</v>
      </c>
      <c r="S103" s="5"/>
      <c r="T103" s="5">
        <f>S103</f>
        <v>0</v>
      </c>
      <c r="U103" s="5"/>
      <c r="V103" s="5"/>
      <c r="W103" s="1">
        <f t="shared" si="12"/>
        <v>20.882352941176471</v>
      </c>
      <c r="X103" s="1">
        <f t="shared" si="13"/>
        <v>20.882352941176471</v>
      </c>
      <c r="Y103" s="1">
        <v>0</v>
      </c>
      <c r="Z103" s="1">
        <v>0</v>
      </c>
      <c r="AA103" s="1">
        <v>0</v>
      </c>
      <c r="AB103" s="1">
        <v>0.4</v>
      </c>
      <c r="AC103" s="1">
        <v>0.8</v>
      </c>
      <c r="AD103" s="1">
        <v>0.4</v>
      </c>
      <c r="AE103" s="1">
        <v>0.2</v>
      </c>
      <c r="AF103" s="1">
        <v>0.4</v>
      </c>
      <c r="AG103" s="1">
        <v>0.2</v>
      </c>
      <c r="AH103" s="1">
        <v>0</v>
      </c>
      <c r="AI103" s="1" t="s">
        <v>249</v>
      </c>
      <c r="AJ103" s="1">
        <f t="shared" si="14"/>
        <v>0</v>
      </c>
      <c r="AK103" t="s">
        <v>250</v>
      </c>
    </row>
    <row r="104" spans="1:37" x14ac:dyDescent="0.25">
      <c r="A104" s="1" t="s">
        <v>251</v>
      </c>
      <c r="B104" s="1" t="s">
        <v>40</v>
      </c>
      <c r="C104" s="1">
        <v>52.978999999999999</v>
      </c>
      <c r="D104" s="1">
        <v>29.713000000000001</v>
      </c>
      <c r="E104" s="1">
        <v>94.433000000000007</v>
      </c>
      <c r="F104" s="1">
        <v>-21.622</v>
      </c>
      <c r="G104" s="7">
        <v>1</v>
      </c>
      <c r="H104" s="1">
        <v>40</v>
      </c>
      <c r="I104" s="13" t="s">
        <v>59</v>
      </c>
      <c r="J104" s="1"/>
      <c r="K104" s="1">
        <v>125.2</v>
      </c>
      <c r="L104" s="1">
        <f t="shared" si="10"/>
        <v>-30.766999999999996</v>
      </c>
      <c r="M104" s="1"/>
      <c r="N104" s="1"/>
      <c r="O104" s="1">
        <v>153.165516</v>
      </c>
      <c r="P104" s="1">
        <v>-154</v>
      </c>
      <c r="Q104" s="1"/>
      <c r="R104" s="1">
        <f t="shared" si="11"/>
        <v>18.886600000000001</v>
      </c>
      <c r="S104" s="5">
        <v>50</v>
      </c>
      <c r="T104" s="5">
        <f>S104*0.5</f>
        <v>25</v>
      </c>
      <c r="U104" s="5">
        <v>-28</v>
      </c>
      <c r="V104" s="5"/>
      <c r="W104" s="1">
        <f t="shared" si="12"/>
        <v>0.13467304861647997</v>
      </c>
      <c r="X104" s="1">
        <f t="shared" si="13"/>
        <v>-1.1890167632077764</v>
      </c>
      <c r="Y104" s="1">
        <v>18.115600000000001</v>
      </c>
      <c r="Z104" s="1">
        <v>24.947399999999998</v>
      </c>
      <c r="AA104" s="1">
        <v>22.3066</v>
      </c>
      <c r="AB104" s="1">
        <v>15.290800000000001</v>
      </c>
      <c r="AC104" s="1">
        <v>20.459199999999999</v>
      </c>
      <c r="AD104" s="1">
        <v>22.341999999999999</v>
      </c>
      <c r="AE104" s="1">
        <v>26.3384</v>
      </c>
      <c r="AF104" s="1">
        <v>31.392800000000001</v>
      </c>
      <c r="AG104" s="1">
        <v>26.237200000000001</v>
      </c>
      <c r="AH104" s="1">
        <v>30.513999999999999</v>
      </c>
      <c r="AI104" s="1"/>
      <c r="AJ104" s="1">
        <f t="shared" si="14"/>
        <v>25</v>
      </c>
      <c r="AK104" t="s">
        <v>252</v>
      </c>
    </row>
    <row r="105" spans="1:37" x14ac:dyDescent="0.25">
      <c r="A105" s="1" t="s">
        <v>253</v>
      </c>
      <c r="B105" s="1" t="s">
        <v>40</v>
      </c>
      <c r="C105" s="1">
        <v>128.94200000000001</v>
      </c>
      <c r="D105" s="1">
        <v>5.9050000000000002</v>
      </c>
      <c r="E105" s="1">
        <v>81.629000000000005</v>
      </c>
      <c r="F105" s="1">
        <v>18.283999999999999</v>
      </c>
      <c r="G105" s="7">
        <v>1</v>
      </c>
      <c r="H105" s="1">
        <v>40</v>
      </c>
      <c r="I105" s="13" t="s">
        <v>59</v>
      </c>
      <c r="J105" s="1"/>
      <c r="K105" s="1">
        <v>111.6</v>
      </c>
      <c r="L105" s="1">
        <f t="shared" si="10"/>
        <v>-29.970999999999989</v>
      </c>
      <c r="M105" s="1"/>
      <c r="N105" s="1"/>
      <c r="O105" s="1">
        <v>84.715600000000023</v>
      </c>
      <c r="P105" s="1">
        <v>-87.5</v>
      </c>
      <c r="Q105" s="1"/>
      <c r="R105" s="1">
        <f t="shared" si="11"/>
        <v>16.325800000000001</v>
      </c>
      <c r="S105" s="5">
        <v>50</v>
      </c>
      <c r="T105" s="5">
        <f>S105*0.5</f>
        <v>25</v>
      </c>
      <c r="U105" s="5"/>
      <c r="V105" s="5"/>
      <c r="W105" s="1">
        <f t="shared" si="12"/>
        <v>2.4807115118401555</v>
      </c>
      <c r="X105" s="1">
        <f t="shared" si="13"/>
        <v>0.94939298533609462</v>
      </c>
      <c r="Y105" s="1">
        <v>12.1866</v>
      </c>
      <c r="Z105" s="1">
        <v>20.2988</v>
      </c>
      <c r="AA105" s="1">
        <v>19.150400000000001</v>
      </c>
      <c r="AB105" s="1">
        <v>10.0184</v>
      </c>
      <c r="AC105" s="1">
        <v>10.5992</v>
      </c>
      <c r="AD105" s="1">
        <v>15.360799999999999</v>
      </c>
      <c r="AE105" s="1">
        <v>21.815000000000001</v>
      </c>
      <c r="AF105" s="1">
        <v>26.238600000000002</v>
      </c>
      <c r="AG105" s="1">
        <v>26.207999999999998</v>
      </c>
      <c r="AH105" s="1">
        <v>30.0702</v>
      </c>
      <c r="AI105" s="1"/>
      <c r="AJ105" s="1">
        <f t="shared" si="14"/>
        <v>25</v>
      </c>
      <c r="AK105" t="s">
        <v>254</v>
      </c>
    </row>
    <row r="106" spans="1:37" x14ac:dyDescent="0.25">
      <c r="A106" s="1" t="s">
        <v>255</v>
      </c>
      <c r="B106" s="1" t="s">
        <v>40</v>
      </c>
      <c r="C106" s="1">
        <v>105.149</v>
      </c>
      <c r="D106" s="1">
        <v>0.72</v>
      </c>
      <c r="E106" s="1">
        <v>91.513000000000005</v>
      </c>
      <c r="F106" s="1">
        <v>0.51</v>
      </c>
      <c r="G106" s="7">
        <v>1</v>
      </c>
      <c r="H106" s="1">
        <v>40</v>
      </c>
      <c r="I106" s="13" t="s">
        <v>59</v>
      </c>
      <c r="J106" s="1"/>
      <c r="K106" s="1">
        <v>152.9</v>
      </c>
      <c r="L106" s="1">
        <f t="shared" si="10"/>
        <v>-61.387</v>
      </c>
      <c r="M106" s="1"/>
      <c r="N106" s="1"/>
      <c r="O106" s="1">
        <v>118.435712</v>
      </c>
      <c r="P106" s="1">
        <v>-75.555999999999997</v>
      </c>
      <c r="Q106" s="1"/>
      <c r="R106" s="1">
        <f t="shared" si="11"/>
        <v>18.302600000000002</v>
      </c>
      <c r="S106" s="5">
        <v>50</v>
      </c>
      <c r="T106" s="5">
        <f>S106*0.5</f>
        <v>25</v>
      </c>
      <c r="U106" s="5">
        <v>-28</v>
      </c>
      <c r="V106" s="5"/>
      <c r="W106" s="1">
        <f t="shared" si="12"/>
        <v>3.7366118474970769</v>
      </c>
      <c r="X106" s="1">
        <f t="shared" si="13"/>
        <v>2.3706856949285893</v>
      </c>
      <c r="Y106" s="1">
        <v>15.167199999999999</v>
      </c>
      <c r="Z106" s="1">
        <v>24.976800000000001</v>
      </c>
      <c r="AA106" s="1">
        <v>27.531199999999998</v>
      </c>
      <c r="AB106" s="1">
        <v>20.959199999999999</v>
      </c>
      <c r="AC106" s="1">
        <v>21.774000000000001</v>
      </c>
      <c r="AD106" s="1">
        <v>25.6434</v>
      </c>
      <c r="AE106" s="1">
        <v>20.285</v>
      </c>
      <c r="AF106" s="1">
        <v>3.4573999999999998</v>
      </c>
      <c r="AG106" s="1">
        <v>9.8133999999999997</v>
      </c>
      <c r="AH106" s="1">
        <v>30.8186</v>
      </c>
      <c r="AI106" s="1"/>
      <c r="AJ106" s="1">
        <f t="shared" si="14"/>
        <v>25</v>
      </c>
      <c r="AK106" t="s">
        <v>256</v>
      </c>
    </row>
    <row r="107" spans="1:37" x14ac:dyDescent="0.25">
      <c r="A107" s="9" t="s">
        <v>257</v>
      </c>
      <c r="B107" s="9" t="s">
        <v>49</v>
      </c>
      <c r="C107" s="9"/>
      <c r="D107" s="9"/>
      <c r="E107" s="9"/>
      <c r="F107" s="9"/>
      <c r="G107" s="10">
        <v>0</v>
      </c>
      <c r="H107" s="9"/>
      <c r="I107" s="9" t="s">
        <v>41</v>
      </c>
      <c r="J107" s="9"/>
      <c r="K107" s="9"/>
      <c r="L107" s="9">
        <f t="shared" si="10"/>
        <v>0</v>
      </c>
      <c r="M107" s="9"/>
      <c r="N107" s="9"/>
      <c r="O107" s="9">
        <v>0</v>
      </c>
      <c r="P107" s="9"/>
      <c r="Q107" s="9"/>
      <c r="R107" s="9">
        <f t="shared" si="11"/>
        <v>0</v>
      </c>
      <c r="S107" s="11"/>
      <c r="T107" s="5">
        <f>S107</f>
        <v>0</v>
      </c>
      <c r="U107" s="5"/>
      <c r="V107" s="5"/>
      <c r="W107" s="1" t="e">
        <f t="shared" si="12"/>
        <v>#DIV/0!</v>
      </c>
      <c r="X107" s="9" t="e">
        <f t="shared" si="13"/>
        <v>#DIV/0!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 t="s">
        <v>50</v>
      </c>
      <c r="AJ107" s="1">
        <f t="shared" si="14"/>
        <v>0</v>
      </c>
      <c r="AK107" t="s">
        <v>258</v>
      </c>
    </row>
    <row r="108" spans="1:37" x14ac:dyDescent="0.25">
      <c r="A108" s="9" t="s">
        <v>259</v>
      </c>
      <c r="B108" s="9" t="s">
        <v>40</v>
      </c>
      <c r="C108" s="9"/>
      <c r="D108" s="9"/>
      <c r="E108" s="9"/>
      <c r="F108" s="9"/>
      <c r="G108" s="10">
        <v>0</v>
      </c>
      <c r="H108" s="9"/>
      <c r="I108" s="9" t="s">
        <v>41</v>
      </c>
      <c r="J108" s="9"/>
      <c r="K108" s="9"/>
      <c r="L108" s="9">
        <f t="shared" si="10"/>
        <v>0</v>
      </c>
      <c r="M108" s="9"/>
      <c r="N108" s="9"/>
      <c r="O108" s="9">
        <v>0</v>
      </c>
      <c r="P108" s="9"/>
      <c r="Q108" s="9"/>
      <c r="R108" s="9">
        <f t="shared" si="11"/>
        <v>0</v>
      </c>
      <c r="S108" s="11"/>
      <c r="T108" s="5">
        <f>S108</f>
        <v>0</v>
      </c>
      <c r="U108" s="5"/>
      <c r="V108" s="5"/>
      <c r="W108" s="1" t="e">
        <f t="shared" si="12"/>
        <v>#DIV/0!</v>
      </c>
      <c r="X108" s="9" t="e">
        <f t="shared" si="13"/>
        <v>#DIV/0!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 t="s">
        <v>50</v>
      </c>
      <c r="AJ108" s="1">
        <f t="shared" si="14"/>
        <v>0</v>
      </c>
      <c r="AK108" t="s">
        <v>260</v>
      </c>
    </row>
    <row r="109" spans="1:37" x14ac:dyDescent="0.25">
      <c r="A109" s="1" t="s">
        <v>261</v>
      </c>
      <c r="B109" s="1" t="s">
        <v>49</v>
      </c>
      <c r="C109" s="1">
        <v>133</v>
      </c>
      <c r="D109" s="1">
        <v>10</v>
      </c>
      <c r="E109" s="1">
        <v>92</v>
      </c>
      <c r="F109" s="1"/>
      <c r="G109" s="7">
        <v>0.28000000000000003</v>
      </c>
      <c r="H109" s="1">
        <v>40</v>
      </c>
      <c r="I109" s="13" t="s">
        <v>59</v>
      </c>
      <c r="J109" s="1"/>
      <c r="K109" s="1">
        <v>239</v>
      </c>
      <c r="L109" s="1">
        <f t="shared" si="10"/>
        <v>-147</v>
      </c>
      <c r="M109" s="1"/>
      <c r="N109" s="1"/>
      <c r="O109" s="1">
        <v>226.488</v>
      </c>
      <c r="P109" s="1">
        <v>-228</v>
      </c>
      <c r="Q109" s="1"/>
      <c r="R109" s="1">
        <f t="shared" si="11"/>
        <v>18.399999999999999</v>
      </c>
      <c r="S109" s="5">
        <v>100</v>
      </c>
      <c r="T109" s="5">
        <f>S109*0.45</f>
        <v>45</v>
      </c>
      <c r="U109" s="5">
        <v>-47.999999999999993</v>
      </c>
      <c r="V109" s="5"/>
      <c r="W109" s="1">
        <f t="shared" si="12"/>
        <v>2.3634782608695653</v>
      </c>
      <c r="X109" s="1">
        <f t="shared" si="13"/>
        <v>-8.2173913043478292E-2</v>
      </c>
      <c r="Y109" s="1">
        <v>41</v>
      </c>
      <c r="Z109" s="1">
        <v>43.2</v>
      </c>
      <c r="AA109" s="1">
        <v>41</v>
      </c>
      <c r="AB109" s="1">
        <v>34</v>
      </c>
      <c r="AC109" s="1">
        <v>24.2</v>
      </c>
      <c r="AD109" s="1">
        <v>32.6</v>
      </c>
      <c r="AE109" s="1">
        <v>45.6</v>
      </c>
      <c r="AF109" s="1">
        <v>52.8</v>
      </c>
      <c r="AG109" s="1">
        <v>57.2</v>
      </c>
      <c r="AH109" s="1">
        <v>51.4</v>
      </c>
      <c r="AI109" s="1"/>
      <c r="AJ109" s="1">
        <f t="shared" si="14"/>
        <v>13</v>
      </c>
      <c r="AK109" t="s">
        <v>262</v>
      </c>
    </row>
    <row r="110" spans="1:37" x14ac:dyDescent="0.25">
      <c r="A110" s="1" t="s">
        <v>263</v>
      </c>
      <c r="B110" s="1" t="s">
        <v>49</v>
      </c>
      <c r="C110" s="1">
        <v>131</v>
      </c>
      <c r="D110" s="1">
        <v>2</v>
      </c>
      <c r="E110" s="1">
        <v>138</v>
      </c>
      <c r="F110" s="1">
        <v>1</v>
      </c>
      <c r="G110" s="7">
        <v>0.28000000000000003</v>
      </c>
      <c r="H110" s="1">
        <v>40</v>
      </c>
      <c r="I110" s="13" t="s">
        <v>59</v>
      </c>
      <c r="J110" s="1"/>
      <c r="K110" s="1">
        <v>239</v>
      </c>
      <c r="L110" s="1">
        <f t="shared" si="10"/>
        <v>-101</v>
      </c>
      <c r="M110" s="1"/>
      <c r="N110" s="1"/>
      <c r="O110" s="1">
        <v>283.90800000000007</v>
      </c>
      <c r="P110" s="1">
        <v>-288</v>
      </c>
      <c r="Q110" s="1"/>
      <c r="R110" s="1">
        <f t="shared" si="11"/>
        <v>27.6</v>
      </c>
      <c r="S110" s="5">
        <v>100</v>
      </c>
      <c r="T110" s="5">
        <f>S110*0.45</f>
        <v>45</v>
      </c>
      <c r="U110" s="5">
        <v>-47.999999999999993</v>
      </c>
      <c r="V110" s="5"/>
      <c r="W110" s="1">
        <f t="shared" si="12"/>
        <v>1.5184057971014517</v>
      </c>
      <c r="X110" s="1">
        <f t="shared" si="13"/>
        <v>-0.11202898550724374</v>
      </c>
      <c r="Y110" s="1">
        <v>49.6</v>
      </c>
      <c r="Z110" s="1">
        <v>46.2</v>
      </c>
      <c r="AA110" s="1">
        <v>36</v>
      </c>
      <c r="AB110" s="1">
        <v>21</v>
      </c>
      <c r="AC110" s="1">
        <v>19.399999999999999</v>
      </c>
      <c r="AD110" s="1">
        <v>32.799999999999997</v>
      </c>
      <c r="AE110" s="1">
        <v>43.4</v>
      </c>
      <c r="AF110" s="1">
        <v>46.6</v>
      </c>
      <c r="AG110" s="1">
        <v>24</v>
      </c>
      <c r="AH110" s="1">
        <v>-0.2</v>
      </c>
      <c r="AI110" s="1"/>
      <c r="AJ110" s="1">
        <f t="shared" si="14"/>
        <v>13</v>
      </c>
      <c r="AK110" t="s">
        <v>264</v>
      </c>
    </row>
    <row r="111" spans="1:37" x14ac:dyDescent="0.25">
      <c r="A111" s="1" t="s">
        <v>265</v>
      </c>
      <c r="B111" s="1" t="s">
        <v>49</v>
      </c>
      <c r="C111" s="1">
        <v>44</v>
      </c>
      <c r="D111" s="1">
        <v>2</v>
      </c>
      <c r="E111" s="1">
        <v>37</v>
      </c>
      <c r="F111" s="1"/>
      <c r="G111" s="7">
        <v>0.28000000000000003</v>
      </c>
      <c r="H111" s="1">
        <v>40</v>
      </c>
      <c r="I111" s="13" t="s">
        <v>59</v>
      </c>
      <c r="J111" s="1"/>
      <c r="K111" s="1">
        <v>243</v>
      </c>
      <c r="L111" s="1">
        <f t="shared" si="10"/>
        <v>-206</v>
      </c>
      <c r="M111" s="1"/>
      <c r="N111" s="1"/>
      <c r="O111" s="1">
        <v>251.68</v>
      </c>
      <c r="P111" s="1">
        <v>-252</v>
      </c>
      <c r="Q111" s="1"/>
      <c r="R111" s="1">
        <f t="shared" si="11"/>
        <v>7.4</v>
      </c>
      <c r="S111" s="5">
        <v>100</v>
      </c>
      <c r="T111" s="5">
        <f>S111*0.45</f>
        <v>45</v>
      </c>
      <c r="U111" s="5">
        <v>-47.999999999999993</v>
      </c>
      <c r="V111" s="5"/>
      <c r="W111" s="1">
        <f t="shared" si="12"/>
        <v>6.0378378378378388</v>
      </c>
      <c r="X111" s="1">
        <f t="shared" si="13"/>
        <v>-4.3243243243242323E-2</v>
      </c>
      <c r="Y111" s="1">
        <v>32.6</v>
      </c>
      <c r="Z111" s="1">
        <v>47</v>
      </c>
      <c r="AA111" s="1">
        <v>37.200000000000003</v>
      </c>
      <c r="AB111" s="1">
        <v>34.799999999999997</v>
      </c>
      <c r="AC111" s="1">
        <v>33.200000000000003</v>
      </c>
      <c r="AD111" s="1">
        <v>37.799999999999997</v>
      </c>
      <c r="AE111" s="1">
        <v>41.6</v>
      </c>
      <c r="AF111" s="1">
        <v>45</v>
      </c>
      <c r="AG111" s="1">
        <v>46</v>
      </c>
      <c r="AH111" s="1">
        <v>43.4</v>
      </c>
      <c r="AI111" s="1"/>
      <c r="AJ111" s="1">
        <f t="shared" si="14"/>
        <v>13</v>
      </c>
      <c r="AK111" t="s">
        <v>266</v>
      </c>
    </row>
    <row r="112" spans="1:37" x14ac:dyDescent="0.25">
      <c r="A112" s="1" t="s">
        <v>267</v>
      </c>
      <c r="B112" s="1" t="s">
        <v>49</v>
      </c>
      <c r="C112" s="1">
        <v>66</v>
      </c>
      <c r="D112" s="1">
        <v>72</v>
      </c>
      <c r="E112" s="1">
        <v>42</v>
      </c>
      <c r="F112" s="1">
        <v>100</v>
      </c>
      <c r="G112" s="7">
        <v>0.09</v>
      </c>
      <c r="H112" s="1">
        <v>45</v>
      </c>
      <c r="I112" s="1" t="s">
        <v>41</v>
      </c>
      <c r="J112" s="1"/>
      <c r="K112" s="1">
        <v>48</v>
      </c>
      <c r="L112" s="1">
        <f t="shared" si="10"/>
        <v>-6</v>
      </c>
      <c r="M112" s="1"/>
      <c r="N112" s="1"/>
      <c r="O112" s="1">
        <v>40</v>
      </c>
      <c r="P112" s="1"/>
      <c r="Q112" s="1"/>
      <c r="R112" s="1">
        <f t="shared" si="11"/>
        <v>8.4</v>
      </c>
      <c r="S112" s="5"/>
      <c r="T112" s="5">
        <f>S112</f>
        <v>0</v>
      </c>
      <c r="U112" s="5"/>
      <c r="V112" s="5"/>
      <c r="W112" s="1">
        <f t="shared" si="12"/>
        <v>16.666666666666664</v>
      </c>
      <c r="X112" s="1">
        <f t="shared" si="13"/>
        <v>16.666666666666664</v>
      </c>
      <c r="Y112" s="1">
        <v>9.4</v>
      </c>
      <c r="Z112" s="1">
        <v>10</v>
      </c>
      <c r="AA112" s="1">
        <v>5.6</v>
      </c>
      <c r="AB112" s="1">
        <v>2.4</v>
      </c>
      <c r="AC112" s="1">
        <v>3.6</v>
      </c>
      <c r="AD112" s="1">
        <v>8.1999999999999993</v>
      </c>
      <c r="AE112" s="1">
        <v>9.6</v>
      </c>
      <c r="AF112" s="1">
        <v>6.6</v>
      </c>
      <c r="AG112" s="1">
        <v>2.8</v>
      </c>
      <c r="AH112" s="1">
        <v>4.2</v>
      </c>
      <c r="AI112" s="15" t="s">
        <v>268</v>
      </c>
      <c r="AJ112" s="1">
        <f t="shared" si="14"/>
        <v>0</v>
      </c>
      <c r="AK112" t="s">
        <v>269</v>
      </c>
    </row>
    <row r="113" spans="1:39" x14ac:dyDescent="0.25">
      <c r="A113" s="1" t="s">
        <v>270</v>
      </c>
      <c r="B113" s="1" t="s">
        <v>40</v>
      </c>
      <c r="C113" s="1">
        <v>155.19200000000001</v>
      </c>
      <c r="D113" s="1"/>
      <c r="E113" s="1">
        <v>59.387999999999998</v>
      </c>
      <c r="F113" s="1">
        <v>94.930999999999997</v>
      </c>
      <c r="G113" s="7">
        <v>1</v>
      </c>
      <c r="H113" s="1">
        <v>60</v>
      </c>
      <c r="I113" s="1" t="s">
        <v>41</v>
      </c>
      <c r="J113" s="1"/>
      <c r="K113" s="1">
        <v>62.5</v>
      </c>
      <c r="L113" s="1">
        <f t="shared" si="10"/>
        <v>-3.1120000000000019</v>
      </c>
      <c r="M113" s="1"/>
      <c r="N113" s="1"/>
      <c r="O113" s="1">
        <v>0</v>
      </c>
      <c r="P113" s="1"/>
      <c r="Q113" s="1"/>
      <c r="R113" s="1">
        <f t="shared" si="11"/>
        <v>11.877599999999999</v>
      </c>
      <c r="S113" s="5">
        <f>12*R113-Q113-P113-O113-F113</f>
        <v>47.600199999999987</v>
      </c>
      <c r="T113" s="5">
        <f>S113</f>
        <v>47.600199999999987</v>
      </c>
      <c r="U113" s="5"/>
      <c r="V113" s="5"/>
      <c r="W113" s="1">
        <f t="shared" si="12"/>
        <v>12</v>
      </c>
      <c r="X113" s="1">
        <f t="shared" si="13"/>
        <v>7.9924395500774574</v>
      </c>
      <c r="Y113" s="1">
        <v>12.359</v>
      </c>
      <c r="Z113" s="1">
        <v>9.2641999999999989</v>
      </c>
      <c r="AA113" s="1">
        <v>7.4257999999999997</v>
      </c>
      <c r="AB113" s="1">
        <v>8.0817999999999994</v>
      </c>
      <c r="AC113" s="1">
        <v>7.9066000000000001</v>
      </c>
      <c r="AD113" s="1">
        <v>7.5061999999999998</v>
      </c>
      <c r="AE113" s="1">
        <v>11.083399999999999</v>
      </c>
      <c r="AF113" s="1">
        <v>18.972999999999999</v>
      </c>
      <c r="AG113" s="1">
        <v>21.614599999999999</v>
      </c>
      <c r="AH113" s="1">
        <v>13.019600000000001</v>
      </c>
      <c r="AI113" s="1"/>
      <c r="AJ113" s="1">
        <f t="shared" si="14"/>
        <v>48</v>
      </c>
      <c r="AK113" t="s">
        <v>271</v>
      </c>
    </row>
    <row r="114" spans="1:39" x14ac:dyDescent="0.25">
      <c r="A114" s="1" t="s">
        <v>272</v>
      </c>
      <c r="B114" s="1" t="s">
        <v>40</v>
      </c>
      <c r="C114" s="1">
        <v>99.858999999999995</v>
      </c>
      <c r="D114" s="1">
        <v>52.292000000000002</v>
      </c>
      <c r="E114" s="1">
        <v>94.8</v>
      </c>
      <c r="F114" s="1">
        <v>47.354999999999997</v>
      </c>
      <c r="G114" s="7">
        <v>1</v>
      </c>
      <c r="H114" s="1">
        <v>50</v>
      </c>
      <c r="I114" s="1" t="s">
        <v>41</v>
      </c>
      <c r="J114" s="1"/>
      <c r="K114" s="1">
        <v>105.5</v>
      </c>
      <c r="L114" s="1">
        <f t="shared" si="10"/>
        <v>-10.700000000000003</v>
      </c>
      <c r="M114" s="1"/>
      <c r="N114" s="1"/>
      <c r="O114" s="1">
        <v>20.598000000000042</v>
      </c>
      <c r="P114" s="1"/>
      <c r="Q114" s="1"/>
      <c r="R114" s="1">
        <f t="shared" si="11"/>
        <v>18.96</v>
      </c>
      <c r="S114" s="5">
        <f>11*R114-Q114-P114-O114-F114</f>
        <v>140.60699999999997</v>
      </c>
      <c r="T114" s="5">
        <f>S114+$T$1*R114</f>
        <v>117.28619999999997</v>
      </c>
      <c r="U114" s="5"/>
      <c r="V114" s="5"/>
      <c r="W114" s="1">
        <f t="shared" si="12"/>
        <v>9.7699999999999978</v>
      </c>
      <c r="X114" s="1">
        <f t="shared" si="13"/>
        <v>3.5840189873417736</v>
      </c>
      <c r="Y114" s="1">
        <v>21.4636</v>
      </c>
      <c r="Z114" s="1">
        <v>13.702</v>
      </c>
      <c r="AA114" s="1">
        <v>12.7056</v>
      </c>
      <c r="AB114" s="1">
        <v>13.9284</v>
      </c>
      <c r="AC114" s="1">
        <v>8.4375999999999998</v>
      </c>
      <c r="AD114" s="1">
        <v>7.9498000000000006</v>
      </c>
      <c r="AE114" s="1">
        <v>13.4292</v>
      </c>
      <c r="AF114" s="1">
        <v>21.123000000000001</v>
      </c>
      <c r="AG114" s="1">
        <v>25.892800000000001</v>
      </c>
      <c r="AH114" s="1">
        <v>21.508199999999999</v>
      </c>
      <c r="AI114" s="1"/>
      <c r="AJ114" s="1">
        <f t="shared" si="14"/>
        <v>117</v>
      </c>
      <c r="AK114" t="s">
        <v>273</v>
      </c>
    </row>
    <row r="115" spans="1:39" x14ac:dyDescent="0.25">
      <c r="A115" s="1" t="s">
        <v>274</v>
      </c>
      <c r="B115" s="1" t="s">
        <v>49</v>
      </c>
      <c r="C115" s="1">
        <v>57</v>
      </c>
      <c r="D115" s="1">
        <v>72</v>
      </c>
      <c r="E115" s="1">
        <v>54</v>
      </c>
      <c r="F115" s="1">
        <v>85</v>
      </c>
      <c r="G115" s="7">
        <v>0.09</v>
      </c>
      <c r="H115" s="1">
        <v>45</v>
      </c>
      <c r="I115" s="1" t="s">
        <v>41</v>
      </c>
      <c r="J115" s="1"/>
      <c r="K115" s="1">
        <v>44</v>
      </c>
      <c r="L115" s="1">
        <f t="shared" si="10"/>
        <v>10</v>
      </c>
      <c r="M115" s="1"/>
      <c r="N115" s="1"/>
      <c r="O115" s="1">
        <v>13.600000000000019</v>
      </c>
      <c r="P115" s="1"/>
      <c r="Q115" s="1"/>
      <c r="R115" s="1">
        <f t="shared" si="11"/>
        <v>10.8</v>
      </c>
      <c r="S115" s="5">
        <f>12*R115-Q115-P115-O115-F115</f>
        <v>31</v>
      </c>
      <c r="T115" s="5">
        <f>S115</f>
        <v>31</v>
      </c>
      <c r="U115" s="5"/>
      <c r="V115" s="5"/>
      <c r="W115" s="1">
        <f t="shared" si="12"/>
        <v>12.000000000000002</v>
      </c>
      <c r="X115" s="1">
        <f t="shared" si="13"/>
        <v>9.1296296296296315</v>
      </c>
      <c r="Y115" s="1">
        <v>11</v>
      </c>
      <c r="Z115" s="1">
        <v>11.8</v>
      </c>
      <c r="AA115" s="1">
        <v>6</v>
      </c>
      <c r="AB115" s="1">
        <v>3.4</v>
      </c>
      <c r="AC115" s="1">
        <v>6.2</v>
      </c>
      <c r="AD115" s="1">
        <v>9.4</v>
      </c>
      <c r="AE115" s="1">
        <v>6</v>
      </c>
      <c r="AF115" s="1">
        <v>3.8</v>
      </c>
      <c r="AG115" s="1">
        <v>5.2</v>
      </c>
      <c r="AH115" s="1">
        <v>5.6</v>
      </c>
      <c r="AI115" s="1" t="s">
        <v>240</v>
      </c>
      <c r="AJ115" s="1">
        <f t="shared" si="14"/>
        <v>3</v>
      </c>
      <c r="AK115" t="s">
        <v>275</v>
      </c>
    </row>
    <row r="116" spans="1:39" x14ac:dyDescent="0.25">
      <c r="A116" s="1" t="s">
        <v>276</v>
      </c>
      <c r="B116" s="1" t="s">
        <v>49</v>
      </c>
      <c r="C116" s="1">
        <v>4</v>
      </c>
      <c r="D116" s="1">
        <v>71</v>
      </c>
      <c r="E116" s="1">
        <v>29</v>
      </c>
      <c r="F116" s="1">
        <v>51</v>
      </c>
      <c r="G116" s="7">
        <v>0.09</v>
      </c>
      <c r="H116" s="1">
        <v>45</v>
      </c>
      <c r="I116" s="1" t="s">
        <v>41</v>
      </c>
      <c r="J116" s="1"/>
      <c r="K116" s="1">
        <v>50</v>
      </c>
      <c r="L116" s="1">
        <f t="shared" si="10"/>
        <v>-21</v>
      </c>
      <c r="M116" s="1"/>
      <c r="N116" s="1"/>
      <c r="O116" s="1">
        <v>85.800000000000011</v>
      </c>
      <c r="P116" s="1"/>
      <c r="Q116" s="1"/>
      <c r="R116" s="1">
        <f t="shared" si="11"/>
        <v>5.8</v>
      </c>
      <c r="S116" s="5"/>
      <c r="T116" s="5">
        <f>S116</f>
        <v>0</v>
      </c>
      <c r="U116" s="5"/>
      <c r="V116" s="5"/>
      <c r="W116" s="1">
        <f t="shared" si="12"/>
        <v>23.586206896551726</v>
      </c>
      <c r="X116" s="1">
        <f t="shared" si="13"/>
        <v>23.586206896551726</v>
      </c>
      <c r="Y116" s="1">
        <v>10</v>
      </c>
      <c r="Z116" s="1">
        <v>13.4</v>
      </c>
      <c r="AA116" s="1">
        <v>7.2</v>
      </c>
      <c r="AB116" s="1">
        <v>5.6</v>
      </c>
      <c r="AC116" s="1">
        <v>5.6</v>
      </c>
      <c r="AD116" s="1">
        <v>7.8</v>
      </c>
      <c r="AE116" s="1">
        <v>6</v>
      </c>
      <c r="AF116" s="1">
        <v>3.2</v>
      </c>
      <c r="AG116" s="1">
        <v>3.8</v>
      </c>
      <c r="AH116" s="1">
        <v>6.2</v>
      </c>
      <c r="AI116" s="1" t="s">
        <v>240</v>
      </c>
      <c r="AJ116" s="1">
        <f t="shared" si="14"/>
        <v>0</v>
      </c>
      <c r="AK116" t="s">
        <v>277</v>
      </c>
    </row>
    <row r="117" spans="1:39" x14ac:dyDescent="0.25">
      <c r="A117" s="1" t="s">
        <v>278</v>
      </c>
      <c r="B117" s="1" t="s">
        <v>40</v>
      </c>
      <c r="C117" s="1">
        <v>96.287999999999997</v>
      </c>
      <c r="D117" s="1">
        <v>42.622</v>
      </c>
      <c r="E117" s="1">
        <v>102.858</v>
      </c>
      <c r="F117" s="1">
        <v>33.277000000000001</v>
      </c>
      <c r="G117" s="7">
        <v>1</v>
      </c>
      <c r="H117" s="1">
        <v>60</v>
      </c>
      <c r="I117" s="1" t="s">
        <v>41</v>
      </c>
      <c r="J117" s="1"/>
      <c r="K117" s="1">
        <v>98.9</v>
      </c>
      <c r="L117" s="1">
        <f t="shared" si="10"/>
        <v>3.9579999999999984</v>
      </c>
      <c r="M117" s="1"/>
      <c r="N117" s="1"/>
      <c r="O117" s="1">
        <v>53.730400000000053</v>
      </c>
      <c r="P117" s="1"/>
      <c r="Q117" s="1"/>
      <c r="R117" s="1">
        <f t="shared" si="11"/>
        <v>20.5716</v>
      </c>
      <c r="S117" s="5">
        <f>11*R117-Q117-P117-O117-F117</f>
        <v>139.28019999999992</v>
      </c>
      <c r="T117" s="5">
        <f>S117+$T$1*R117</f>
        <v>113.97713199999993</v>
      </c>
      <c r="U117" s="5"/>
      <c r="V117" s="5"/>
      <c r="W117" s="1">
        <f t="shared" si="12"/>
        <v>9.7699999999999978</v>
      </c>
      <c r="X117" s="1">
        <f t="shared" si="13"/>
        <v>4.2294911431293647</v>
      </c>
      <c r="Y117" s="1">
        <v>16.994599999999998</v>
      </c>
      <c r="Z117" s="1">
        <v>15.692399999999999</v>
      </c>
      <c r="AA117" s="1">
        <v>14.6084</v>
      </c>
      <c r="AB117" s="1">
        <v>7.5492000000000008</v>
      </c>
      <c r="AC117" s="1">
        <v>5.8979999999999997</v>
      </c>
      <c r="AD117" s="1">
        <v>11.662599999999999</v>
      </c>
      <c r="AE117" s="1">
        <v>14.193199999999999</v>
      </c>
      <c r="AF117" s="1">
        <v>18.148800000000001</v>
      </c>
      <c r="AG117" s="1">
        <v>14.731400000000001</v>
      </c>
      <c r="AH117" s="1">
        <v>11.702199999999999</v>
      </c>
      <c r="AI117" s="1"/>
      <c r="AJ117" s="1">
        <f t="shared" si="14"/>
        <v>114</v>
      </c>
      <c r="AK117" t="s">
        <v>279</v>
      </c>
    </row>
    <row r="118" spans="1:39" x14ac:dyDescent="0.25">
      <c r="A118" s="1" t="s">
        <v>280</v>
      </c>
      <c r="B118" s="1" t="s">
        <v>40</v>
      </c>
      <c r="C118" s="1">
        <v>99.981999999999999</v>
      </c>
      <c r="D118" s="1">
        <v>125.696</v>
      </c>
      <c r="E118" s="1">
        <v>99.923000000000002</v>
      </c>
      <c r="F118" s="1">
        <v>104.789</v>
      </c>
      <c r="G118" s="7">
        <v>1</v>
      </c>
      <c r="H118" s="1">
        <v>60</v>
      </c>
      <c r="I118" s="1" t="s">
        <v>41</v>
      </c>
      <c r="J118" s="1"/>
      <c r="K118" s="1">
        <v>110</v>
      </c>
      <c r="L118" s="1">
        <f t="shared" si="10"/>
        <v>-10.076999999999998</v>
      </c>
      <c r="M118" s="1"/>
      <c r="N118" s="1"/>
      <c r="O118" s="1">
        <v>135.60924800000001</v>
      </c>
      <c r="P118" s="1"/>
      <c r="Q118" s="1"/>
      <c r="R118" s="1">
        <f t="shared" si="11"/>
        <v>19.9846</v>
      </c>
      <c r="S118" s="5"/>
      <c r="T118" s="5">
        <f>S118</f>
        <v>0</v>
      </c>
      <c r="U118" s="5"/>
      <c r="V118" s="5"/>
      <c r="W118" s="1">
        <f t="shared" si="12"/>
        <v>12.029174864645778</v>
      </c>
      <c r="X118" s="1">
        <f t="shared" si="13"/>
        <v>12.029174864645778</v>
      </c>
      <c r="Y118" s="1">
        <v>26.598199999999999</v>
      </c>
      <c r="Z118" s="1">
        <v>30.647200000000002</v>
      </c>
      <c r="AA118" s="1">
        <v>27.384</v>
      </c>
      <c r="AB118" s="1">
        <v>11.255599999999999</v>
      </c>
      <c r="AC118" s="1">
        <v>13.8432</v>
      </c>
      <c r="AD118" s="1">
        <v>24.488800000000001</v>
      </c>
      <c r="AE118" s="1">
        <v>27.658799999999999</v>
      </c>
      <c r="AF118" s="1">
        <v>32.487400000000001</v>
      </c>
      <c r="AG118" s="1">
        <v>32.491</v>
      </c>
      <c r="AH118" s="1">
        <v>33.539200000000001</v>
      </c>
      <c r="AI118" s="1"/>
      <c r="AJ118" s="1">
        <f t="shared" si="14"/>
        <v>0</v>
      </c>
      <c r="AK118" t="s">
        <v>281</v>
      </c>
    </row>
    <row r="119" spans="1:39" x14ac:dyDescent="0.25">
      <c r="A119" s="1" t="s">
        <v>282</v>
      </c>
      <c r="B119" s="1" t="s">
        <v>40</v>
      </c>
      <c r="C119" s="1">
        <v>48.972999999999999</v>
      </c>
      <c r="D119" s="1">
        <v>37.750999999999998</v>
      </c>
      <c r="E119" s="1">
        <v>27.091999999999999</v>
      </c>
      <c r="F119" s="1">
        <v>55.319000000000003</v>
      </c>
      <c r="G119" s="7">
        <v>1</v>
      </c>
      <c r="H119" s="1">
        <v>60</v>
      </c>
      <c r="I119" s="1" t="s">
        <v>41</v>
      </c>
      <c r="J119" s="1"/>
      <c r="K119" s="1">
        <v>32.9</v>
      </c>
      <c r="L119" s="1">
        <f t="shared" si="10"/>
        <v>-5.8079999999999998</v>
      </c>
      <c r="M119" s="1"/>
      <c r="N119" s="1"/>
      <c r="O119" s="1">
        <v>0</v>
      </c>
      <c r="P119" s="1"/>
      <c r="Q119" s="1"/>
      <c r="R119" s="1">
        <f t="shared" si="11"/>
        <v>5.4184000000000001</v>
      </c>
      <c r="S119" s="5">
        <f>12*R119-Q119-P119-O119-F119</f>
        <v>9.7018000000000058</v>
      </c>
      <c r="T119" s="5">
        <f>S119</f>
        <v>9.7018000000000058</v>
      </c>
      <c r="U119" s="5"/>
      <c r="V119" s="5"/>
      <c r="W119" s="1">
        <f t="shared" si="12"/>
        <v>12.000000000000002</v>
      </c>
      <c r="X119" s="1">
        <f t="shared" si="13"/>
        <v>10.209471430680644</v>
      </c>
      <c r="Y119" s="1">
        <v>5.4029999999999996</v>
      </c>
      <c r="Z119" s="1">
        <v>3.9361999999999999</v>
      </c>
      <c r="AA119" s="1">
        <v>5.5831999999999997</v>
      </c>
      <c r="AB119" s="1">
        <v>5.3019999999999996</v>
      </c>
      <c r="AC119" s="1">
        <v>3.3967999999999998</v>
      </c>
      <c r="AD119" s="1">
        <v>6.5150000000000006</v>
      </c>
      <c r="AE119" s="1">
        <v>7.4676</v>
      </c>
      <c r="AF119" s="1">
        <v>6.0911999999999997</v>
      </c>
      <c r="AG119" s="1">
        <v>8.3735999999999997</v>
      </c>
      <c r="AH119" s="1">
        <v>6.7864000000000004</v>
      </c>
      <c r="AI119" s="1"/>
      <c r="AJ119" s="1">
        <f t="shared" si="14"/>
        <v>10</v>
      </c>
      <c r="AK119" t="s">
        <v>283</v>
      </c>
    </row>
    <row r="120" spans="1:39" x14ac:dyDescent="0.25">
      <c r="A120" s="18" t="s">
        <v>284</v>
      </c>
      <c r="B120" s="1" t="s">
        <v>40</v>
      </c>
      <c r="C120" s="1">
        <v>1756.7329999999999</v>
      </c>
      <c r="D120" s="1">
        <v>280.30599999999998</v>
      </c>
      <c r="E120" s="1">
        <v>971.73099999999999</v>
      </c>
      <c r="F120" s="1">
        <v>972.70299999999997</v>
      </c>
      <c r="G120" s="7">
        <v>1</v>
      </c>
      <c r="H120" s="1">
        <v>60</v>
      </c>
      <c r="I120" s="1" t="s">
        <v>41</v>
      </c>
      <c r="J120" s="1"/>
      <c r="K120" s="1">
        <v>1019</v>
      </c>
      <c r="L120" s="1">
        <f t="shared" si="10"/>
        <v>-47.269000000000005</v>
      </c>
      <c r="M120" s="1"/>
      <c r="N120" s="1"/>
      <c r="O120" s="1">
        <v>0</v>
      </c>
      <c r="P120" s="1"/>
      <c r="Q120" s="1"/>
      <c r="R120" s="1">
        <f t="shared" si="11"/>
        <v>194.34620000000001</v>
      </c>
      <c r="S120" s="5">
        <f>12*R120-Q120-P120-O120-F120</f>
        <v>1359.4514000000004</v>
      </c>
      <c r="T120" s="5">
        <f>S120+$T$1*R120</f>
        <v>1120.4055740000003</v>
      </c>
      <c r="U120" s="5"/>
      <c r="V120" s="5">
        <v>200</v>
      </c>
      <c r="W120" s="1">
        <f>(F120+O120+P120+Q120+T120+V120)/R120</f>
        <v>11.799091384344022</v>
      </c>
      <c r="X120" s="1">
        <f t="shared" si="13"/>
        <v>5.0050013841279117</v>
      </c>
      <c r="Y120" s="1">
        <v>173.6292</v>
      </c>
      <c r="Z120" s="1">
        <v>165.13419999999999</v>
      </c>
      <c r="AA120" s="1">
        <v>149.19040000000001</v>
      </c>
      <c r="AB120" s="1">
        <v>130.2586</v>
      </c>
      <c r="AC120" s="1">
        <v>161.93</v>
      </c>
      <c r="AD120" s="1">
        <v>151.02940000000001</v>
      </c>
      <c r="AE120" s="1">
        <v>117.4376</v>
      </c>
      <c r="AF120" s="1">
        <v>168.51339999999999</v>
      </c>
      <c r="AG120" s="1">
        <v>198.84460000000001</v>
      </c>
      <c r="AH120" s="1">
        <v>196.62360000000001</v>
      </c>
      <c r="AI120" s="1"/>
      <c r="AJ120" s="1">
        <f t="shared" si="14"/>
        <v>1120</v>
      </c>
      <c r="AK120" t="s">
        <v>285</v>
      </c>
      <c r="AL120" t="str">
        <f>VLOOKUP(A120,[1]Sheet!$A:$AQ,43,0)</f>
        <v>SU004238</v>
      </c>
      <c r="AM120">
        <f>ROUND(V120*G120,0)</f>
        <v>200</v>
      </c>
    </row>
    <row r="121" spans="1:39" x14ac:dyDescent="0.25">
      <c r="A121" s="1" t="s">
        <v>286</v>
      </c>
      <c r="B121" s="1" t="s">
        <v>49</v>
      </c>
      <c r="C121" s="1">
        <v>2</v>
      </c>
      <c r="D121" s="1">
        <v>144</v>
      </c>
      <c r="E121" s="1"/>
      <c r="F121" s="1">
        <v>106</v>
      </c>
      <c r="G121" s="7">
        <v>0.25</v>
      </c>
      <c r="H121" s="1"/>
      <c r="I121" s="13" t="s">
        <v>59</v>
      </c>
      <c r="J121" s="1"/>
      <c r="K121" s="1">
        <v>5</v>
      </c>
      <c r="L121" s="1">
        <f t="shared" si="10"/>
        <v>-5</v>
      </c>
      <c r="M121" s="1"/>
      <c r="N121" s="1"/>
      <c r="O121" s="1">
        <v>80</v>
      </c>
      <c r="P121" s="1">
        <v>-84</v>
      </c>
      <c r="Q121" s="1"/>
      <c r="R121" s="1">
        <f t="shared" si="11"/>
        <v>0</v>
      </c>
      <c r="S121" s="5">
        <v>50</v>
      </c>
      <c r="T121" s="5">
        <f>S121*0.5</f>
        <v>25</v>
      </c>
      <c r="U121" s="5"/>
      <c r="V121" s="5"/>
      <c r="W121" s="1" t="e">
        <f t="shared" si="12"/>
        <v>#DIV/0!</v>
      </c>
      <c r="X121" s="1" t="e">
        <f t="shared" si="13"/>
        <v>#DIV/0!</v>
      </c>
      <c r="Y121" s="1">
        <v>0</v>
      </c>
      <c r="Z121" s="1">
        <v>1.8</v>
      </c>
      <c r="AA121" s="1">
        <v>8.1999999999999993</v>
      </c>
      <c r="AB121" s="1">
        <v>40.200000000000003</v>
      </c>
      <c r="AC121" s="1">
        <v>33.799999999999997</v>
      </c>
      <c r="AD121" s="1">
        <v>0</v>
      </c>
      <c r="AE121" s="1">
        <v>0</v>
      </c>
      <c r="AF121" s="1">
        <v>0</v>
      </c>
      <c r="AG121" s="1">
        <v>0.05</v>
      </c>
      <c r="AH121" s="1">
        <v>0</v>
      </c>
      <c r="AI121" s="1" t="s">
        <v>287</v>
      </c>
      <c r="AJ121" s="1">
        <f t="shared" si="14"/>
        <v>6</v>
      </c>
      <c r="AK121" t="s">
        <v>288</v>
      </c>
    </row>
    <row r="122" spans="1:39" x14ac:dyDescent="0.25">
      <c r="A122" s="1" t="s">
        <v>289</v>
      </c>
      <c r="B122" s="1" t="s">
        <v>49</v>
      </c>
      <c r="C122" s="1">
        <v>68</v>
      </c>
      <c r="D122" s="1"/>
      <c r="E122" s="12">
        <f>0+E129</f>
        <v>21</v>
      </c>
      <c r="F122" s="12">
        <f>61+F129</f>
        <v>26</v>
      </c>
      <c r="G122" s="7">
        <v>0.32500000000000001</v>
      </c>
      <c r="H122" s="1"/>
      <c r="I122" s="13" t="s">
        <v>59</v>
      </c>
      <c r="J122" s="1"/>
      <c r="K122" s="1"/>
      <c r="L122" s="1">
        <f t="shared" si="10"/>
        <v>21</v>
      </c>
      <c r="M122" s="1"/>
      <c r="N122" s="1"/>
      <c r="O122" s="1">
        <v>100</v>
      </c>
      <c r="P122" s="1"/>
      <c r="Q122" s="1"/>
      <c r="R122" s="1">
        <f t="shared" si="11"/>
        <v>4.2</v>
      </c>
      <c r="S122" s="5"/>
      <c r="T122" s="5">
        <f>S122*0.5</f>
        <v>0</v>
      </c>
      <c r="U122" s="5"/>
      <c r="V122" s="5"/>
      <c r="W122" s="1">
        <f t="shared" si="12"/>
        <v>30</v>
      </c>
      <c r="X122" s="1">
        <f t="shared" si="13"/>
        <v>30</v>
      </c>
      <c r="Y122" s="1">
        <v>4.2</v>
      </c>
      <c r="Z122" s="1">
        <v>5.8</v>
      </c>
      <c r="AA122" s="1">
        <v>7.2</v>
      </c>
      <c r="AB122" s="1">
        <v>21.2</v>
      </c>
      <c r="AC122" s="1">
        <v>15.8</v>
      </c>
      <c r="AD122" s="1">
        <v>0</v>
      </c>
      <c r="AE122" s="1">
        <v>0</v>
      </c>
      <c r="AF122" s="1">
        <v>0</v>
      </c>
      <c r="AG122" s="1">
        <v>6.5000000000000002E-2</v>
      </c>
      <c r="AH122" s="1">
        <v>0</v>
      </c>
      <c r="AI122" s="1" t="s">
        <v>287</v>
      </c>
      <c r="AJ122" s="1">
        <f t="shared" si="14"/>
        <v>0</v>
      </c>
      <c r="AK122" t="s">
        <v>290</v>
      </c>
    </row>
    <row r="123" spans="1:39" x14ac:dyDescent="0.25">
      <c r="A123" s="1" t="s">
        <v>291</v>
      </c>
      <c r="B123" s="1" t="s">
        <v>49</v>
      </c>
      <c r="C123" s="1"/>
      <c r="D123" s="1">
        <v>612</v>
      </c>
      <c r="E123" s="1">
        <v>148</v>
      </c>
      <c r="F123" s="1">
        <v>412</v>
      </c>
      <c r="G123" s="7">
        <v>0.25</v>
      </c>
      <c r="H123" s="1"/>
      <c r="I123" s="1" t="s">
        <v>41</v>
      </c>
      <c r="J123" s="1"/>
      <c r="K123" s="1">
        <v>196</v>
      </c>
      <c r="L123" s="1">
        <f t="shared" si="10"/>
        <v>-48</v>
      </c>
      <c r="M123" s="1"/>
      <c r="N123" s="1"/>
      <c r="O123" s="1">
        <v>0</v>
      </c>
      <c r="P123" s="1"/>
      <c r="Q123" s="1"/>
      <c r="R123" s="1">
        <f t="shared" si="11"/>
        <v>29.6</v>
      </c>
      <c r="S123" s="5"/>
      <c r="T123" s="5">
        <f>S123</f>
        <v>0</v>
      </c>
      <c r="U123" s="5"/>
      <c r="V123" s="5"/>
      <c r="W123" s="1">
        <f t="shared" si="12"/>
        <v>13.918918918918918</v>
      </c>
      <c r="X123" s="1">
        <f t="shared" si="13"/>
        <v>13.918918918918918</v>
      </c>
      <c r="Y123" s="1">
        <v>1.2</v>
      </c>
      <c r="Z123" s="1">
        <v>1.8</v>
      </c>
      <c r="AA123" s="1">
        <v>8</v>
      </c>
      <c r="AB123" s="1">
        <v>40.4</v>
      </c>
      <c r="AC123" s="1">
        <v>34.4</v>
      </c>
      <c r="AD123" s="1">
        <v>0</v>
      </c>
      <c r="AE123" s="1">
        <v>0</v>
      </c>
      <c r="AF123" s="1">
        <v>0</v>
      </c>
      <c r="AG123" s="1">
        <v>0.05</v>
      </c>
      <c r="AH123" s="1">
        <v>0</v>
      </c>
      <c r="AI123" s="1" t="s">
        <v>287</v>
      </c>
      <c r="AJ123" s="1">
        <f t="shared" si="14"/>
        <v>0</v>
      </c>
      <c r="AK123" t="s">
        <v>292</v>
      </c>
    </row>
    <row r="124" spans="1:39" x14ac:dyDescent="0.25">
      <c r="A124" s="1" t="s">
        <v>293</v>
      </c>
      <c r="B124" s="1" t="s">
        <v>49</v>
      </c>
      <c r="C124" s="1">
        <v>379</v>
      </c>
      <c r="D124" s="1">
        <v>16.434999999999999</v>
      </c>
      <c r="E124" s="1">
        <v>276</v>
      </c>
      <c r="F124" s="1">
        <v>53</v>
      </c>
      <c r="G124" s="7">
        <v>0.3</v>
      </c>
      <c r="H124" s="1">
        <v>40</v>
      </c>
      <c r="I124" s="13" t="s">
        <v>59</v>
      </c>
      <c r="J124" s="1"/>
      <c r="K124" s="1">
        <v>327</v>
      </c>
      <c r="L124" s="1">
        <f t="shared" si="10"/>
        <v>-51</v>
      </c>
      <c r="M124" s="1"/>
      <c r="N124" s="1"/>
      <c r="O124" s="1">
        <v>60</v>
      </c>
      <c r="P124" s="1">
        <v>-60</v>
      </c>
      <c r="Q124" s="1"/>
      <c r="R124" s="1">
        <f t="shared" si="11"/>
        <v>55.2</v>
      </c>
      <c r="S124" s="5">
        <v>80</v>
      </c>
      <c r="T124" s="5">
        <f>S124*0.45</f>
        <v>36</v>
      </c>
      <c r="U124" s="5">
        <v>-42</v>
      </c>
      <c r="V124" s="5"/>
      <c r="W124" s="1">
        <f t="shared" si="12"/>
        <v>1.61231884057971</v>
      </c>
      <c r="X124" s="1">
        <f t="shared" si="13"/>
        <v>0.96014492753623182</v>
      </c>
      <c r="Y124" s="1">
        <v>43.487000000000002</v>
      </c>
      <c r="Z124" s="1">
        <v>36.4</v>
      </c>
      <c r="AA124" s="1">
        <v>33.200000000000003</v>
      </c>
      <c r="AB124" s="1">
        <v>32.200000000000003</v>
      </c>
      <c r="AC124" s="1">
        <v>32</v>
      </c>
      <c r="AD124" s="1">
        <v>44.4</v>
      </c>
      <c r="AE124" s="1">
        <v>38.4</v>
      </c>
      <c r="AF124" s="1">
        <v>19.399999999999999</v>
      </c>
      <c r="AG124" s="1">
        <v>29</v>
      </c>
      <c r="AH124" s="1">
        <v>46.8</v>
      </c>
      <c r="AI124" s="1"/>
      <c r="AJ124" s="1">
        <f t="shared" si="14"/>
        <v>11</v>
      </c>
      <c r="AK124" t="s">
        <v>294</v>
      </c>
    </row>
    <row r="125" spans="1:39" x14ac:dyDescent="0.25">
      <c r="A125" s="1" t="s">
        <v>295</v>
      </c>
      <c r="B125" s="1" t="s">
        <v>49</v>
      </c>
      <c r="C125" s="1">
        <v>57</v>
      </c>
      <c r="D125" s="1">
        <v>2</v>
      </c>
      <c r="E125" s="1">
        <v>47</v>
      </c>
      <c r="F125" s="1">
        <v>3</v>
      </c>
      <c r="G125" s="7">
        <v>0.3</v>
      </c>
      <c r="H125" s="1">
        <v>40</v>
      </c>
      <c r="I125" s="13" t="s">
        <v>59</v>
      </c>
      <c r="J125" s="1"/>
      <c r="K125" s="1">
        <v>163</v>
      </c>
      <c r="L125" s="1">
        <f t="shared" si="10"/>
        <v>-116</v>
      </c>
      <c r="M125" s="1"/>
      <c r="N125" s="1"/>
      <c r="O125" s="1">
        <v>80</v>
      </c>
      <c r="P125" s="1">
        <v>-84</v>
      </c>
      <c r="Q125" s="1"/>
      <c r="R125" s="1">
        <f t="shared" si="11"/>
        <v>9.4</v>
      </c>
      <c r="S125" s="5">
        <v>60</v>
      </c>
      <c r="T125" s="5">
        <f>S125*0.5</f>
        <v>30</v>
      </c>
      <c r="U125" s="5">
        <v>-30</v>
      </c>
      <c r="V125" s="5"/>
      <c r="W125" s="1">
        <f t="shared" si="12"/>
        <v>3.0851063829787231</v>
      </c>
      <c r="X125" s="1">
        <f t="shared" si="13"/>
        <v>-0.10638297872340426</v>
      </c>
      <c r="Y125" s="1">
        <v>19</v>
      </c>
      <c r="Z125" s="1">
        <v>30.6</v>
      </c>
      <c r="AA125" s="1">
        <v>31</v>
      </c>
      <c r="AB125" s="1">
        <v>25.2</v>
      </c>
      <c r="AC125" s="1">
        <v>24.6</v>
      </c>
      <c r="AD125" s="1">
        <v>23.6</v>
      </c>
      <c r="AE125" s="1">
        <v>18.399999999999999</v>
      </c>
      <c r="AF125" s="1">
        <v>7.4</v>
      </c>
      <c r="AG125" s="1">
        <v>13.2</v>
      </c>
      <c r="AH125" s="1">
        <v>39.200000000000003</v>
      </c>
      <c r="AI125" s="1"/>
      <c r="AJ125" s="1">
        <f t="shared" si="14"/>
        <v>9</v>
      </c>
      <c r="AK125" t="s">
        <v>296</v>
      </c>
    </row>
    <row r="126" spans="1:39" x14ac:dyDescent="0.25">
      <c r="A126" s="1" t="s">
        <v>297</v>
      </c>
      <c r="B126" s="1" t="s">
        <v>40</v>
      </c>
      <c r="C126" s="1">
        <v>31.56</v>
      </c>
      <c r="D126" s="1"/>
      <c r="E126" s="1">
        <v>23.277999999999999</v>
      </c>
      <c r="F126" s="1">
        <v>8.31</v>
      </c>
      <c r="G126" s="7">
        <v>1</v>
      </c>
      <c r="H126" s="1">
        <v>50</v>
      </c>
      <c r="I126" s="1" t="s">
        <v>41</v>
      </c>
      <c r="J126" s="1"/>
      <c r="K126" s="1">
        <v>27.9</v>
      </c>
      <c r="L126" s="1">
        <f t="shared" si="10"/>
        <v>-4.6219999999999999</v>
      </c>
      <c r="M126" s="1"/>
      <c r="N126" s="1"/>
      <c r="O126" s="1">
        <v>0</v>
      </c>
      <c r="P126" s="1"/>
      <c r="Q126" s="1"/>
      <c r="R126" s="1">
        <f t="shared" si="11"/>
        <v>4.6555999999999997</v>
      </c>
      <c r="S126" s="5">
        <f>9*R126-Q126-P126-O126-F126</f>
        <v>33.590399999999995</v>
      </c>
      <c r="T126" s="5">
        <f>S126</f>
        <v>33.590399999999995</v>
      </c>
      <c r="U126" s="5"/>
      <c r="V126" s="5"/>
      <c r="W126" s="1">
        <f t="shared" si="12"/>
        <v>9</v>
      </c>
      <c r="X126" s="1">
        <f t="shared" si="13"/>
        <v>1.7849471604089699</v>
      </c>
      <c r="Y126" s="1">
        <v>3.5312000000000001</v>
      </c>
      <c r="Z126" s="1">
        <v>1.0506</v>
      </c>
      <c r="AA126" s="1">
        <v>1.6064000000000001</v>
      </c>
      <c r="AB126" s="1">
        <v>2.1257999999999999</v>
      </c>
      <c r="AC126" s="1">
        <v>2.6814</v>
      </c>
      <c r="AD126" s="1">
        <v>3.0156000000000001</v>
      </c>
      <c r="AE126" s="1">
        <v>2.7410000000000001</v>
      </c>
      <c r="AF126" s="1">
        <v>3.8424</v>
      </c>
      <c r="AG126" s="1">
        <v>3.2942</v>
      </c>
      <c r="AH126" s="1">
        <v>3.3081999999999998</v>
      </c>
      <c r="AI126" s="1"/>
      <c r="AJ126" s="1">
        <f t="shared" si="14"/>
        <v>34</v>
      </c>
      <c r="AK126" t="s">
        <v>298</v>
      </c>
    </row>
    <row r="127" spans="1:39" x14ac:dyDescent="0.25">
      <c r="A127" s="1" t="s">
        <v>299</v>
      </c>
      <c r="B127" s="1" t="s">
        <v>49</v>
      </c>
      <c r="C127" s="1">
        <v>7</v>
      </c>
      <c r="D127" s="1">
        <v>174</v>
      </c>
      <c r="E127" s="1">
        <v>89</v>
      </c>
      <c r="F127" s="1">
        <v>61</v>
      </c>
      <c r="G127" s="7">
        <v>0.3</v>
      </c>
      <c r="H127" s="1">
        <v>40</v>
      </c>
      <c r="I127" s="13" t="s">
        <v>59</v>
      </c>
      <c r="J127" s="1"/>
      <c r="K127" s="1">
        <v>160</v>
      </c>
      <c r="L127" s="1">
        <f t="shared" si="10"/>
        <v>-71</v>
      </c>
      <c r="M127" s="1"/>
      <c r="N127" s="1"/>
      <c r="O127" s="1">
        <v>40</v>
      </c>
      <c r="P127" s="1">
        <v>-42</v>
      </c>
      <c r="Q127" s="1"/>
      <c r="R127" s="1">
        <f t="shared" si="11"/>
        <v>17.8</v>
      </c>
      <c r="S127" s="5">
        <v>50</v>
      </c>
      <c r="T127" s="5">
        <f>S127*0.5</f>
        <v>25</v>
      </c>
      <c r="U127" s="5">
        <v>-30</v>
      </c>
      <c r="V127" s="5"/>
      <c r="W127" s="1">
        <f t="shared" si="12"/>
        <v>4.7191011235955056</v>
      </c>
      <c r="X127" s="1">
        <f t="shared" si="13"/>
        <v>3.3146067415730336</v>
      </c>
      <c r="Y127" s="1">
        <v>5.4</v>
      </c>
      <c r="Z127" s="1">
        <v>17.8</v>
      </c>
      <c r="AA127" s="1">
        <v>18.600000000000001</v>
      </c>
      <c r="AB127" s="1">
        <v>19.600000000000001</v>
      </c>
      <c r="AC127" s="1">
        <v>19.8</v>
      </c>
      <c r="AD127" s="1">
        <v>17.600000000000001</v>
      </c>
      <c r="AE127" s="1">
        <v>21.6</v>
      </c>
      <c r="AF127" s="1">
        <v>22.8</v>
      </c>
      <c r="AG127" s="1">
        <v>13.4</v>
      </c>
      <c r="AH127" s="1">
        <v>-0.8</v>
      </c>
      <c r="AI127" s="1"/>
      <c r="AJ127" s="1">
        <f t="shared" si="14"/>
        <v>8</v>
      </c>
      <c r="AK127" t="s">
        <v>300</v>
      </c>
    </row>
    <row r="128" spans="1:39" x14ac:dyDescent="0.25">
      <c r="A128" s="1" t="s">
        <v>301</v>
      </c>
      <c r="B128" s="1" t="s">
        <v>49</v>
      </c>
      <c r="C128" s="1">
        <v>50</v>
      </c>
      <c r="D128" s="1">
        <v>31</v>
      </c>
      <c r="E128" s="1">
        <v>33</v>
      </c>
      <c r="F128" s="1">
        <v>34</v>
      </c>
      <c r="G128" s="7">
        <v>0.12</v>
      </c>
      <c r="H128" s="1">
        <v>45</v>
      </c>
      <c r="I128" s="1" t="s">
        <v>41</v>
      </c>
      <c r="J128" s="1"/>
      <c r="K128" s="1">
        <v>53</v>
      </c>
      <c r="L128" s="1">
        <f t="shared" si="10"/>
        <v>-20</v>
      </c>
      <c r="M128" s="1"/>
      <c r="N128" s="1"/>
      <c r="O128" s="1">
        <v>32.399999999999991</v>
      </c>
      <c r="P128" s="1"/>
      <c r="Q128" s="1"/>
      <c r="R128" s="1">
        <f t="shared" si="11"/>
        <v>6.6</v>
      </c>
      <c r="S128" s="5">
        <f>12*R128-Q128-P128-O128-F128</f>
        <v>12.799999999999997</v>
      </c>
      <c r="T128" s="5">
        <f>S128</f>
        <v>12.799999999999997</v>
      </c>
      <c r="U128" s="5">
        <v>-30.000000000000004</v>
      </c>
      <c r="V128" s="5"/>
      <c r="W128" s="1">
        <f t="shared" si="12"/>
        <v>11.999999999999998</v>
      </c>
      <c r="X128" s="1">
        <f t="shared" si="13"/>
        <v>10.060606060606061</v>
      </c>
      <c r="Y128" s="1">
        <v>7</v>
      </c>
      <c r="Z128" s="1">
        <v>9.1999999999999993</v>
      </c>
      <c r="AA128" s="1">
        <v>9</v>
      </c>
      <c r="AB128" s="1">
        <v>5.6</v>
      </c>
      <c r="AC128" s="1">
        <v>5.4</v>
      </c>
      <c r="AD128" s="1">
        <v>8</v>
      </c>
      <c r="AE128" s="1">
        <v>11.2</v>
      </c>
      <c r="AF128" s="1">
        <v>9.1999999999999993</v>
      </c>
      <c r="AG128" s="1">
        <v>4.5999999999999996</v>
      </c>
      <c r="AH128" s="1">
        <v>8.1999999999999993</v>
      </c>
      <c r="AI128" s="1"/>
      <c r="AJ128" s="1">
        <f t="shared" si="14"/>
        <v>2</v>
      </c>
      <c r="AK128" t="s">
        <v>302</v>
      </c>
    </row>
    <row r="129" spans="1:36" x14ac:dyDescent="0.25">
      <c r="A129" s="9" t="s">
        <v>303</v>
      </c>
      <c r="B129" s="9" t="s">
        <v>49</v>
      </c>
      <c r="C129" s="9"/>
      <c r="D129" s="9"/>
      <c r="E129" s="12">
        <v>21</v>
      </c>
      <c r="F129" s="12">
        <v>-35</v>
      </c>
      <c r="G129" s="10">
        <v>0</v>
      </c>
      <c r="H129" s="9"/>
      <c r="I129" s="9" t="s">
        <v>304</v>
      </c>
      <c r="J129" s="9" t="s">
        <v>289</v>
      </c>
      <c r="K129" s="9">
        <v>21</v>
      </c>
      <c r="L129" s="9">
        <f t="shared" si="10"/>
        <v>0</v>
      </c>
      <c r="M129" s="9"/>
      <c r="N129" s="9"/>
      <c r="O129" s="9">
        <v>0</v>
      </c>
      <c r="P129" s="9"/>
      <c r="Q129" s="9"/>
      <c r="R129" s="9">
        <f t="shared" si="11"/>
        <v>4.2</v>
      </c>
      <c r="S129" s="11"/>
      <c r="T129" s="5">
        <f>S129</f>
        <v>0</v>
      </c>
      <c r="U129" s="5"/>
      <c r="V129" s="5"/>
      <c r="W129" s="1">
        <f t="shared" si="12"/>
        <v>-8.3333333333333321</v>
      </c>
      <c r="X129" s="9">
        <f t="shared" si="13"/>
        <v>-8.3333333333333321</v>
      </c>
      <c r="Y129" s="9">
        <v>0.2</v>
      </c>
      <c r="Z129" s="9">
        <v>0</v>
      </c>
      <c r="AA129" s="9">
        <v>0.8</v>
      </c>
      <c r="AB129" s="9">
        <v>1.8</v>
      </c>
      <c r="AC129" s="9">
        <v>1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/>
      <c r="AJ129" s="1">
        <f t="shared" si="14"/>
        <v>0</v>
      </c>
    </row>
    <row r="130" spans="1:3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</sheetData>
  <autoFilter ref="A3:AL129" xr:uid="{A901448C-D297-4B2F-86B1-7A4E7BF3BE7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1364-C61D-4DCD-AB3D-B9E9576B4937}">
  <dimension ref="A1:D84"/>
  <sheetViews>
    <sheetView workbookViewId="0">
      <selection activeCell="F6" sqref="F6"/>
    </sheetView>
  </sheetViews>
  <sheetFormatPr defaultRowHeight="15" x14ac:dyDescent="0.25"/>
  <cols>
    <col min="2" max="2" width="120.5703125" bestFit="1" customWidth="1"/>
  </cols>
  <sheetData>
    <row r="1" spans="1:4" x14ac:dyDescent="0.25">
      <c r="A1" s="20" t="s">
        <v>66</v>
      </c>
      <c r="B1" s="21" t="s">
        <v>307</v>
      </c>
      <c r="C1" s="22"/>
      <c r="D1" s="22">
        <v>1770</v>
      </c>
    </row>
    <row r="2" spans="1:4" x14ac:dyDescent="0.25">
      <c r="A2" s="23" t="s">
        <v>91</v>
      </c>
      <c r="B2" s="24" t="s">
        <v>308</v>
      </c>
      <c r="C2" s="25"/>
      <c r="D2" s="25">
        <v>93.6</v>
      </c>
    </row>
    <row r="3" spans="1:4" x14ac:dyDescent="0.25">
      <c r="A3" s="23" t="s">
        <v>95</v>
      </c>
      <c r="B3" s="24" t="s">
        <v>309</v>
      </c>
      <c r="C3" s="25"/>
      <c r="D3" s="25">
        <v>18</v>
      </c>
    </row>
    <row r="4" spans="1:4" x14ac:dyDescent="0.25">
      <c r="A4" s="23" t="s">
        <v>42</v>
      </c>
      <c r="B4" s="24" t="s">
        <v>310</v>
      </c>
      <c r="C4" s="25"/>
      <c r="D4" s="25">
        <v>183.6</v>
      </c>
    </row>
    <row r="5" spans="1:4" x14ac:dyDescent="0.25">
      <c r="A5" s="23" t="s">
        <v>44</v>
      </c>
      <c r="B5" s="24" t="s">
        <v>311</v>
      </c>
      <c r="C5" s="25"/>
      <c r="D5" s="25">
        <v>40.5</v>
      </c>
    </row>
    <row r="6" spans="1:4" x14ac:dyDescent="0.25">
      <c r="A6" s="23" t="s">
        <v>55</v>
      </c>
      <c r="B6" s="24" t="s">
        <v>312</v>
      </c>
      <c r="C6" s="25"/>
      <c r="D6" s="25">
        <v>407.7</v>
      </c>
    </row>
    <row r="7" spans="1:4" x14ac:dyDescent="0.25">
      <c r="A7" s="23" t="s">
        <v>72</v>
      </c>
      <c r="B7" s="24" t="s">
        <v>313</v>
      </c>
      <c r="C7" s="25"/>
      <c r="D7" s="25">
        <v>12.16</v>
      </c>
    </row>
    <row r="8" spans="1:4" x14ac:dyDescent="0.25">
      <c r="A8" s="23" t="s">
        <v>74</v>
      </c>
      <c r="B8" s="24" t="s">
        <v>314</v>
      </c>
      <c r="C8" s="25"/>
      <c r="D8" s="25">
        <v>343.2</v>
      </c>
    </row>
    <row r="9" spans="1:4" x14ac:dyDescent="0.25">
      <c r="A9" s="23" t="s">
        <v>68</v>
      </c>
      <c r="B9" s="24" t="s">
        <v>315</v>
      </c>
      <c r="C9" s="25"/>
      <c r="D9" s="25">
        <v>52.8</v>
      </c>
    </row>
    <row r="10" spans="1:4" x14ac:dyDescent="0.25">
      <c r="A10" s="23" t="s">
        <v>64</v>
      </c>
      <c r="B10" s="24" t="s">
        <v>316</v>
      </c>
      <c r="C10" s="25"/>
      <c r="D10" s="25">
        <v>15.84</v>
      </c>
    </row>
    <row r="11" spans="1:4" x14ac:dyDescent="0.25">
      <c r="A11" s="23" t="s">
        <v>93</v>
      </c>
      <c r="B11" s="24" t="s">
        <v>317</v>
      </c>
      <c r="C11" s="25"/>
      <c r="D11" s="25">
        <v>135</v>
      </c>
    </row>
    <row r="12" spans="1:4" x14ac:dyDescent="0.25">
      <c r="A12" s="23" t="s">
        <v>57</v>
      </c>
      <c r="B12" s="24" t="s">
        <v>318</v>
      </c>
      <c r="C12" s="25"/>
      <c r="D12" s="25">
        <v>5.0999999999999996</v>
      </c>
    </row>
    <row r="13" spans="1:4" x14ac:dyDescent="0.25">
      <c r="A13" s="23" t="s">
        <v>76</v>
      </c>
      <c r="B13" s="24" t="s">
        <v>319</v>
      </c>
      <c r="C13" s="25"/>
      <c r="D13" s="25">
        <v>21.12</v>
      </c>
    </row>
    <row r="14" spans="1:4" x14ac:dyDescent="0.25">
      <c r="A14" s="23" t="s">
        <v>82</v>
      </c>
      <c r="B14" s="24" t="s">
        <v>320</v>
      </c>
      <c r="C14" s="25">
        <v>-190.08</v>
      </c>
      <c r="D14" s="25">
        <v>190.08</v>
      </c>
    </row>
    <row r="15" spans="1:4" x14ac:dyDescent="0.25">
      <c r="A15" s="23" t="s">
        <v>78</v>
      </c>
      <c r="B15" s="24" t="s">
        <v>321</v>
      </c>
      <c r="C15" s="25">
        <v>-237.6</v>
      </c>
      <c r="D15" s="25">
        <v>237.6</v>
      </c>
    </row>
    <row r="16" spans="1:4" x14ac:dyDescent="0.25">
      <c r="A16" s="23" t="s">
        <v>70</v>
      </c>
      <c r="B16" s="24" t="s">
        <v>322</v>
      </c>
      <c r="C16" s="25"/>
      <c r="D16" s="25">
        <v>42.24</v>
      </c>
    </row>
    <row r="17" spans="1:4" x14ac:dyDescent="0.25">
      <c r="A17" s="23" t="s">
        <v>109</v>
      </c>
      <c r="B17" s="24" t="s">
        <v>323</v>
      </c>
      <c r="C17" s="25">
        <v>-12</v>
      </c>
      <c r="D17" s="25">
        <v>12</v>
      </c>
    </row>
    <row r="18" spans="1:4" x14ac:dyDescent="0.25">
      <c r="A18" s="23" t="s">
        <v>60</v>
      </c>
      <c r="B18" s="24" t="s">
        <v>324</v>
      </c>
      <c r="C18" s="25">
        <v>-9</v>
      </c>
      <c r="D18" s="25">
        <v>9</v>
      </c>
    </row>
    <row r="19" spans="1:4" x14ac:dyDescent="0.25">
      <c r="A19" s="23" t="s">
        <v>89</v>
      </c>
      <c r="B19" s="24" t="s">
        <v>325</v>
      </c>
      <c r="C19" s="25">
        <v>-36</v>
      </c>
      <c r="D19" s="25">
        <v>36</v>
      </c>
    </row>
    <row r="20" spans="1:4" x14ac:dyDescent="0.25">
      <c r="A20" s="23" t="s">
        <v>99</v>
      </c>
      <c r="B20" s="24" t="s">
        <v>326</v>
      </c>
      <c r="C20" s="25"/>
      <c r="D20" s="25">
        <v>129.6</v>
      </c>
    </row>
    <row r="21" spans="1:4" x14ac:dyDescent="0.25">
      <c r="A21" s="23" t="s">
        <v>101</v>
      </c>
      <c r="B21" s="24" t="s">
        <v>327</v>
      </c>
      <c r="C21" s="25"/>
      <c r="D21" s="25">
        <v>75.599999999999994</v>
      </c>
    </row>
    <row r="22" spans="1:4" x14ac:dyDescent="0.25">
      <c r="A22" s="23" t="s">
        <v>103</v>
      </c>
      <c r="B22" s="24" t="s">
        <v>328</v>
      </c>
      <c r="C22" s="25"/>
      <c r="D22" s="25">
        <v>237.6</v>
      </c>
    </row>
    <row r="23" spans="1:4" x14ac:dyDescent="0.25">
      <c r="A23" s="23" t="s">
        <v>107</v>
      </c>
      <c r="B23" s="24" t="s">
        <v>329</v>
      </c>
      <c r="C23" s="25">
        <v>-55.2</v>
      </c>
      <c r="D23" s="25">
        <v>55.2</v>
      </c>
    </row>
    <row r="24" spans="1:4" x14ac:dyDescent="0.25">
      <c r="A24" s="23" t="s">
        <v>183</v>
      </c>
      <c r="B24" s="24" t="s">
        <v>330</v>
      </c>
      <c r="C24" s="25"/>
      <c r="D24" s="25">
        <v>19.2</v>
      </c>
    </row>
    <row r="25" spans="1:4" x14ac:dyDescent="0.25">
      <c r="A25" s="23" t="s">
        <v>181</v>
      </c>
      <c r="B25" s="24" t="s">
        <v>331</v>
      </c>
      <c r="C25" s="25"/>
      <c r="D25" s="25">
        <v>52.8</v>
      </c>
    </row>
    <row r="26" spans="1:4" x14ac:dyDescent="0.25">
      <c r="A26" s="23" t="s">
        <v>210</v>
      </c>
      <c r="B26" s="24" t="s">
        <v>332</v>
      </c>
      <c r="C26" s="25"/>
      <c r="D26" s="25">
        <v>84.48</v>
      </c>
    </row>
    <row r="27" spans="1:4" x14ac:dyDescent="0.25">
      <c r="A27" s="23" t="s">
        <v>193</v>
      </c>
      <c r="B27" s="24" t="s">
        <v>333</v>
      </c>
      <c r="C27" s="25"/>
      <c r="D27" s="25">
        <v>14.4</v>
      </c>
    </row>
    <row r="28" spans="1:4" x14ac:dyDescent="0.25">
      <c r="A28" s="23" t="s">
        <v>137</v>
      </c>
      <c r="B28" s="24" t="s">
        <v>334</v>
      </c>
      <c r="C28" s="25">
        <v>-45</v>
      </c>
      <c r="D28" s="25">
        <v>45</v>
      </c>
    </row>
    <row r="29" spans="1:4" x14ac:dyDescent="0.25">
      <c r="A29" s="23" t="s">
        <v>115</v>
      </c>
      <c r="B29" s="24" t="s">
        <v>335</v>
      </c>
      <c r="C29" s="25">
        <v>-10.5</v>
      </c>
      <c r="D29" s="25">
        <v>10.5</v>
      </c>
    </row>
    <row r="30" spans="1:4" x14ac:dyDescent="0.25">
      <c r="A30" s="23" t="s">
        <v>130</v>
      </c>
      <c r="B30" s="24" t="s">
        <v>336</v>
      </c>
      <c r="C30" s="25"/>
      <c r="D30" s="25">
        <v>120</v>
      </c>
    </row>
    <row r="31" spans="1:4" x14ac:dyDescent="0.25">
      <c r="A31" s="23" t="s">
        <v>111</v>
      </c>
      <c r="B31" s="24" t="s">
        <v>337</v>
      </c>
      <c r="C31" s="25"/>
      <c r="D31" s="25">
        <v>34.799999999999997</v>
      </c>
    </row>
    <row r="32" spans="1:4" x14ac:dyDescent="0.25">
      <c r="A32" s="23" t="s">
        <v>105</v>
      </c>
      <c r="B32" s="24" t="s">
        <v>338</v>
      </c>
      <c r="C32" s="25"/>
      <c r="D32" s="25">
        <v>175.5</v>
      </c>
    </row>
    <row r="33" spans="1:4" x14ac:dyDescent="0.25">
      <c r="A33" s="23" t="s">
        <v>117</v>
      </c>
      <c r="B33" s="24" t="s">
        <v>339</v>
      </c>
      <c r="C33" s="25">
        <v>-21</v>
      </c>
      <c r="D33" s="25">
        <v>21</v>
      </c>
    </row>
    <row r="34" spans="1:4" x14ac:dyDescent="0.25">
      <c r="A34" s="23" t="s">
        <v>145</v>
      </c>
      <c r="B34" s="24" t="s">
        <v>340</v>
      </c>
      <c r="C34" s="25"/>
      <c r="D34" s="25">
        <v>7.2</v>
      </c>
    </row>
    <row r="35" spans="1:4" x14ac:dyDescent="0.25">
      <c r="A35" s="23" t="s">
        <v>124</v>
      </c>
      <c r="B35" s="24" t="s">
        <v>341</v>
      </c>
      <c r="C35" s="25"/>
      <c r="D35" s="25">
        <v>19.2</v>
      </c>
    </row>
    <row r="36" spans="1:4" x14ac:dyDescent="0.25">
      <c r="A36" s="23" t="s">
        <v>122</v>
      </c>
      <c r="B36" s="24" t="s">
        <v>342</v>
      </c>
      <c r="C36" s="25"/>
      <c r="D36" s="25">
        <v>12</v>
      </c>
    </row>
    <row r="37" spans="1:4" x14ac:dyDescent="0.25">
      <c r="A37" s="23" t="s">
        <v>139</v>
      </c>
      <c r="B37" s="24" t="s">
        <v>343</v>
      </c>
      <c r="C37" s="25"/>
      <c r="D37" s="25">
        <v>85.5</v>
      </c>
    </row>
    <row r="38" spans="1:4" x14ac:dyDescent="0.25">
      <c r="A38" s="23" t="s">
        <v>141</v>
      </c>
      <c r="B38" s="24" t="s">
        <v>344</v>
      </c>
      <c r="C38" s="25"/>
      <c r="D38" s="25">
        <v>162</v>
      </c>
    </row>
    <row r="39" spans="1:4" x14ac:dyDescent="0.25">
      <c r="A39" s="23" t="s">
        <v>132</v>
      </c>
      <c r="B39" s="24" t="s">
        <v>345</v>
      </c>
      <c r="C39" s="25"/>
      <c r="D39" s="25">
        <v>54</v>
      </c>
    </row>
    <row r="40" spans="1:4" x14ac:dyDescent="0.25">
      <c r="A40" s="23" t="s">
        <v>147</v>
      </c>
      <c r="B40" s="24" t="s">
        <v>346</v>
      </c>
      <c r="C40" s="25"/>
      <c r="D40" s="25">
        <v>97.2</v>
      </c>
    </row>
    <row r="41" spans="1:4" x14ac:dyDescent="0.25">
      <c r="A41" s="23" t="s">
        <v>158</v>
      </c>
      <c r="B41" s="24" t="s">
        <v>347</v>
      </c>
      <c r="C41" s="25"/>
      <c r="D41" s="25">
        <v>4</v>
      </c>
    </row>
    <row r="42" spans="1:4" x14ac:dyDescent="0.25">
      <c r="A42" s="23" t="s">
        <v>154</v>
      </c>
      <c r="B42" s="24" t="s">
        <v>348</v>
      </c>
      <c r="C42" s="25"/>
      <c r="D42" s="25">
        <v>32.4</v>
      </c>
    </row>
    <row r="43" spans="1:4" x14ac:dyDescent="0.25">
      <c r="A43" s="23" t="s">
        <v>165</v>
      </c>
      <c r="B43" s="24" t="s">
        <v>349</v>
      </c>
      <c r="C43" s="25"/>
      <c r="D43" s="25">
        <v>168</v>
      </c>
    </row>
    <row r="44" spans="1:4" x14ac:dyDescent="0.25">
      <c r="A44" s="23" t="s">
        <v>160</v>
      </c>
      <c r="B44" s="24" t="s">
        <v>350</v>
      </c>
      <c r="C44" s="25"/>
      <c r="D44" s="25">
        <v>64.8</v>
      </c>
    </row>
    <row r="45" spans="1:4" x14ac:dyDescent="0.25">
      <c r="A45" s="23" t="s">
        <v>167</v>
      </c>
      <c r="B45" s="24" t="s">
        <v>351</v>
      </c>
      <c r="C45" s="25"/>
      <c r="D45" s="25">
        <v>36</v>
      </c>
    </row>
    <row r="46" spans="1:4" x14ac:dyDescent="0.25">
      <c r="A46" s="23" t="s">
        <v>163</v>
      </c>
      <c r="B46" s="24" t="s">
        <v>352</v>
      </c>
      <c r="C46" s="25"/>
      <c r="D46" s="25">
        <v>24.3</v>
      </c>
    </row>
    <row r="47" spans="1:4" x14ac:dyDescent="0.25">
      <c r="A47" s="23" t="s">
        <v>126</v>
      </c>
      <c r="B47" s="24" t="s">
        <v>353</v>
      </c>
      <c r="C47" s="25">
        <v>-25.2</v>
      </c>
      <c r="D47" s="25">
        <v>25.2</v>
      </c>
    </row>
    <row r="48" spans="1:4" x14ac:dyDescent="0.25">
      <c r="A48" s="23" t="s">
        <v>128</v>
      </c>
      <c r="B48" s="24" t="s">
        <v>354</v>
      </c>
      <c r="C48" s="25">
        <v>-21</v>
      </c>
      <c r="D48" s="25">
        <v>21</v>
      </c>
    </row>
    <row r="49" spans="1:4" x14ac:dyDescent="0.25">
      <c r="A49" s="23" t="s">
        <v>152</v>
      </c>
      <c r="B49" s="24" t="s">
        <v>355</v>
      </c>
      <c r="C49" s="25"/>
      <c r="D49" s="25">
        <v>21.6</v>
      </c>
    </row>
    <row r="50" spans="1:4" x14ac:dyDescent="0.25">
      <c r="A50" s="23" t="s">
        <v>169</v>
      </c>
      <c r="B50" s="24" t="s">
        <v>356</v>
      </c>
      <c r="C50" s="25">
        <v>-210.6</v>
      </c>
      <c r="D50" s="25">
        <v>210.6</v>
      </c>
    </row>
    <row r="51" spans="1:4" x14ac:dyDescent="0.25">
      <c r="A51" s="23" t="s">
        <v>296</v>
      </c>
      <c r="B51" s="24" t="s">
        <v>357</v>
      </c>
      <c r="C51" s="25">
        <v>-9</v>
      </c>
      <c r="D51" s="25">
        <v>9</v>
      </c>
    </row>
    <row r="52" spans="1:4" x14ac:dyDescent="0.25">
      <c r="A52" s="23" t="s">
        <v>171</v>
      </c>
      <c r="B52" s="24" t="s">
        <v>358</v>
      </c>
      <c r="C52" s="25">
        <v>-102.6</v>
      </c>
      <c r="D52" s="25">
        <v>102.6</v>
      </c>
    </row>
    <row r="53" spans="1:4" x14ac:dyDescent="0.25">
      <c r="A53" s="23" t="s">
        <v>294</v>
      </c>
      <c r="B53" s="24" t="s">
        <v>359</v>
      </c>
      <c r="C53" s="25">
        <v>-12.6</v>
      </c>
      <c r="D53" s="25">
        <v>12.6</v>
      </c>
    </row>
    <row r="54" spans="1:4" x14ac:dyDescent="0.25">
      <c r="A54" s="23" t="s">
        <v>175</v>
      </c>
      <c r="B54" s="24" t="s">
        <v>360</v>
      </c>
      <c r="C54" s="25">
        <v>-221.4</v>
      </c>
      <c r="D54" s="25">
        <v>221.4</v>
      </c>
    </row>
    <row r="55" spans="1:4" x14ac:dyDescent="0.25">
      <c r="A55" s="23" t="s">
        <v>222</v>
      </c>
      <c r="B55" s="24" t="s">
        <v>361</v>
      </c>
      <c r="C55" s="25">
        <v>-9</v>
      </c>
      <c r="D55" s="25">
        <v>9</v>
      </c>
    </row>
    <row r="56" spans="1:4" x14ac:dyDescent="0.25">
      <c r="A56" s="23" t="s">
        <v>185</v>
      </c>
      <c r="B56" s="24" t="s">
        <v>362</v>
      </c>
      <c r="C56" s="25"/>
      <c r="D56" s="25">
        <v>54.4</v>
      </c>
    </row>
    <row r="57" spans="1:4" x14ac:dyDescent="0.25">
      <c r="A57" s="23" t="s">
        <v>187</v>
      </c>
      <c r="B57" s="24" t="s">
        <v>363</v>
      </c>
      <c r="C57" s="25"/>
      <c r="D57" s="25">
        <v>58.08</v>
      </c>
    </row>
    <row r="58" spans="1:4" x14ac:dyDescent="0.25">
      <c r="A58" s="23" t="s">
        <v>189</v>
      </c>
      <c r="B58" s="24" t="s">
        <v>364</v>
      </c>
      <c r="C58" s="25"/>
      <c r="D58" s="25">
        <v>22.4</v>
      </c>
    </row>
    <row r="59" spans="1:4" x14ac:dyDescent="0.25">
      <c r="A59" s="23" t="s">
        <v>202</v>
      </c>
      <c r="B59" s="24" t="s">
        <v>365</v>
      </c>
      <c r="C59" s="25"/>
      <c r="D59" s="25">
        <v>27.3</v>
      </c>
    </row>
    <row r="60" spans="1:4" x14ac:dyDescent="0.25">
      <c r="A60" s="23" t="s">
        <v>247</v>
      </c>
      <c r="B60" s="24" t="s">
        <v>366</v>
      </c>
      <c r="C60" s="25"/>
      <c r="D60" s="25">
        <v>3.2</v>
      </c>
    </row>
    <row r="61" spans="1:4" x14ac:dyDescent="0.25">
      <c r="A61" s="23" t="s">
        <v>216</v>
      </c>
      <c r="B61" s="24" t="s">
        <v>367</v>
      </c>
      <c r="C61" s="25"/>
      <c r="D61" s="25">
        <v>240</v>
      </c>
    </row>
    <row r="62" spans="1:4" x14ac:dyDescent="0.25">
      <c r="A62" s="23" t="s">
        <v>218</v>
      </c>
      <c r="B62" s="24" t="s">
        <v>368</v>
      </c>
      <c r="C62" s="25"/>
      <c r="D62" s="25">
        <v>1530</v>
      </c>
    </row>
    <row r="63" spans="1:4" x14ac:dyDescent="0.25">
      <c r="A63" s="23" t="s">
        <v>214</v>
      </c>
      <c r="B63" s="24" t="s">
        <v>369</v>
      </c>
      <c r="C63" s="25"/>
      <c r="D63" s="25">
        <v>1230</v>
      </c>
    </row>
    <row r="64" spans="1:4" x14ac:dyDescent="0.25">
      <c r="A64" s="23" t="s">
        <v>298</v>
      </c>
      <c r="B64" s="24" t="s">
        <v>370</v>
      </c>
      <c r="C64" s="25"/>
      <c r="D64" s="25">
        <v>44.8</v>
      </c>
    </row>
    <row r="65" spans="1:4" x14ac:dyDescent="0.25">
      <c r="A65" s="23" t="s">
        <v>273</v>
      </c>
      <c r="B65" s="24" t="s">
        <v>371</v>
      </c>
      <c r="C65" s="25"/>
      <c r="D65" s="25">
        <v>120</v>
      </c>
    </row>
    <row r="66" spans="1:4" x14ac:dyDescent="0.25">
      <c r="A66" s="23" t="s">
        <v>241</v>
      </c>
      <c r="B66" s="24" t="s">
        <v>372</v>
      </c>
      <c r="C66" s="25"/>
      <c r="D66" s="25">
        <v>8.8000000000000007</v>
      </c>
    </row>
    <row r="67" spans="1:4" x14ac:dyDescent="0.25">
      <c r="A67" s="23" t="s">
        <v>275</v>
      </c>
      <c r="B67" s="24" t="s">
        <v>373</v>
      </c>
      <c r="C67" s="25"/>
      <c r="D67" s="25">
        <v>3.6</v>
      </c>
    </row>
    <row r="68" spans="1:4" x14ac:dyDescent="0.25">
      <c r="A68" s="23" t="s">
        <v>300</v>
      </c>
      <c r="B68" s="24" t="s">
        <v>374</v>
      </c>
      <c r="C68" s="25">
        <v>-9</v>
      </c>
      <c r="D68" s="25">
        <v>9</v>
      </c>
    </row>
    <row r="69" spans="1:4" x14ac:dyDescent="0.25">
      <c r="A69" s="23" t="s">
        <v>227</v>
      </c>
      <c r="B69" s="24" t="s">
        <v>375</v>
      </c>
      <c r="C69" s="25">
        <v>-10.08</v>
      </c>
      <c r="D69" s="25">
        <v>10.08</v>
      </c>
    </row>
    <row r="70" spans="1:4" x14ac:dyDescent="0.25">
      <c r="A70" s="23" t="s">
        <v>229</v>
      </c>
      <c r="B70" s="24" t="s">
        <v>376</v>
      </c>
      <c r="C70" s="25"/>
      <c r="D70" s="25">
        <v>1.26</v>
      </c>
    </row>
    <row r="71" spans="1:4" x14ac:dyDescent="0.25">
      <c r="A71" s="23" t="s">
        <v>231</v>
      </c>
      <c r="B71" s="24" t="s">
        <v>377</v>
      </c>
      <c r="C71" s="25"/>
      <c r="D71" s="25">
        <v>8.82</v>
      </c>
    </row>
    <row r="72" spans="1:4" x14ac:dyDescent="0.25">
      <c r="A72" s="23" t="s">
        <v>302</v>
      </c>
      <c r="B72" s="24" t="s">
        <v>378</v>
      </c>
      <c r="C72" s="25">
        <v>-3.6</v>
      </c>
      <c r="D72" s="25">
        <v>3.6</v>
      </c>
    </row>
    <row r="73" spans="1:4" x14ac:dyDescent="0.25">
      <c r="A73" s="23" t="s">
        <v>245</v>
      </c>
      <c r="B73" s="24" t="s">
        <v>379</v>
      </c>
      <c r="C73" s="25"/>
      <c r="D73" s="25">
        <v>10.4</v>
      </c>
    </row>
    <row r="74" spans="1:4" x14ac:dyDescent="0.25">
      <c r="A74" s="23" t="s">
        <v>262</v>
      </c>
      <c r="B74" s="24" t="s">
        <v>380</v>
      </c>
      <c r="C74" s="25">
        <v>-13.44</v>
      </c>
      <c r="D74" s="25">
        <v>13.44</v>
      </c>
    </row>
    <row r="75" spans="1:4" x14ac:dyDescent="0.25">
      <c r="A75" s="23" t="s">
        <v>256</v>
      </c>
      <c r="B75" s="24" t="s">
        <v>381</v>
      </c>
      <c r="C75" s="25">
        <v>-28</v>
      </c>
      <c r="D75" s="25">
        <v>28</v>
      </c>
    </row>
    <row r="76" spans="1:4" x14ac:dyDescent="0.25">
      <c r="A76" s="23" t="s">
        <v>266</v>
      </c>
      <c r="B76" s="24" t="s">
        <v>382</v>
      </c>
      <c r="C76" s="25">
        <v>-13.44</v>
      </c>
      <c r="D76" s="25">
        <v>13.44</v>
      </c>
    </row>
    <row r="77" spans="1:4" x14ac:dyDescent="0.25">
      <c r="A77" s="23" t="s">
        <v>252</v>
      </c>
      <c r="B77" s="24" t="s">
        <v>383</v>
      </c>
      <c r="C77" s="25">
        <v>-28</v>
      </c>
      <c r="D77" s="25">
        <v>28</v>
      </c>
    </row>
    <row r="78" spans="1:4" x14ac:dyDescent="0.25">
      <c r="A78" s="23" t="s">
        <v>264</v>
      </c>
      <c r="B78" s="24" t="s">
        <v>384</v>
      </c>
      <c r="C78" s="25">
        <v>-13.44</v>
      </c>
      <c r="D78" s="25">
        <v>13.44</v>
      </c>
    </row>
    <row r="79" spans="1:4" x14ac:dyDescent="0.25">
      <c r="A79" s="23" t="s">
        <v>254</v>
      </c>
      <c r="B79" s="24" t="s">
        <v>385</v>
      </c>
      <c r="C79" s="25"/>
      <c r="D79" s="25">
        <v>28</v>
      </c>
    </row>
    <row r="80" spans="1:4" x14ac:dyDescent="0.25">
      <c r="A80" s="23" t="s">
        <v>279</v>
      </c>
      <c r="B80" s="24" t="s">
        <v>386</v>
      </c>
      <c r="C80" s="25"/>
      <c r="D80" s="25">
        <v>117</v>
      </c>
    </row>
    <row r="81" spans="1:4" x14ac:dyDescent="0.25">
      <c r="A81" s="23" t="s">
        <v>283</v>
      </c>
      <c r="B81" s="24" t="s">
        <v>387</v>
      </c>
      <c r="C81" s="25"/>
      <c r="D81" s="25">
        <v>15.6</v>
      </c>
    </row>
    <row r="82" spans="1:4" x14ac:dyDescent="0.25">
      <c r="A82" s="23" t="s">
        <v>271</v>
      </c>
      <c r="B82" s="24" t="s">
        <v>388</v>
      </c>
      <c r="C82" s="25"/>
      <c r="D82" s="25">
        <v>60</v>
      </c>
    </row>
    <row r="83" spans="1:4" x14ac:dyDescent="0.25">
      <c r="A83" s="23" t="s">
        <v>288</v>
      </c>
      <c r="B83" s="24" t="s">
        <v>389</v>
      </c>
      <c r="C83" s="25"/>
      <c r="D83" s="25">
        <v>6</v>
      </c>
    </row>
    <row r="84" spans="1:4" x14ac:dyDescent="0.25">
      <c r="A84" s="23" t="s">
        <v>285</v>
      </c>
      <c r="B84" s="24" t="s">
        <v>390</v>
      </c>
      <c r="C84" s="25"/>
      <c r="D84" s="25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24,08,26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2026-08-20T11:44:25Z</dcterms:created>
  <dcterms:modified xsi:type="dcterms:W3CDTF">2026-08-25T06:34:56Z</dcterms:modified>
</cp:coreProperties>
</file>