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5,08 Коныгин КИ ЛП ближ\"/>
    </mc:Choice>
  </mc:AlternateContent>
  <xr:revisionPtr revIDLastSave="0" documentId="13_ncr:1_{9ABABE6E-F44B-4AE4-8260-F2BD56B1822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Z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P473" i="2"/>
  <c r="BO473" i="2"/>
  <c r="BN473" i="2"/>
  <c r="BM473" i="2"/>
  <c r="Z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P455" i="2"/>
  <c r="BO455" i="2"/>
  <c r="BN455" i="2"/>
  <c r="BM455" i="2"/>
  <c r="Z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Z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P419" i="2"/>
  <c r="BO419" i="2"/>
  <c r="BM419" i="2"/>
  <c r="Y419" i="2"/>
  <c r="BN419" i="2" s="1"/>
  <c r="P419" i="2"/>
  <c r="BO418" i="2"/>
  <c r="BM418" i="2"/>
  <c r="Y418" i="2"/>
  <c r="BN418" i="2" s="1"/>
  <c r="P418" i="2"/>
  <c r="BO417" i="2"/>
  <c r="BM417" i="2"/>
  <c r="Z417" i="2"/>
  <c r="Y417" i="2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P399" i="2"/>
  <c r="BO399" i="2"/>
  <c r="BN399" i="2"/>
  <c r="BM399" i="2"/>
  <c r="Z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P392" i="2"/>
  <c r="BO392" i="2"/>
  <c r="BN392" i="2"/>
  <c r="BM392" i="2"/>
  <c r="Z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BP378" i="2"/>
  <c r="BO378" i="2"/>
  <c r="BN378" i="2"/>
  <c r="BM378" i="2"/>
  <c r="Z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Y356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P339" i="2"/>
  <c r="BO339" i="2"/>
  <c r="BM339" i="2"/>
  <c r="Y339" i="2"/>
  <c r="P339" i="2"/>
  <c r="BO338" i="2"/>
  <c r="BM338" i="2"/>
  <c r="Y338" i="2"/>
  <c r="BP338" i="2" s="1"/>
  <c r="P338" i="2"/>
  <c r="X335" i="2"/>
  <c r="X334" i="2"/>
  <c r="BO333" i="2"/>
  <c r="BM333" i="2"/>
  <c r="Y333" i="2"/>
  <c r="P333" i="2"/>
  <c r="BP332" i="2"/>
  <c r="BO332" i="2"/>
  <c r="BN332" i="2"/>
  <c r="BM332" i="2"/>
  <c r="Z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P298" i="2"/>
  <c r="BO298" i="2"/>
  <c r="BN298" i="2"/>
  <c r="BM298" i="2"/>
  <c r="Z298" i="2"/>
  <c r="Y298" i="2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P287" i="2"/>
  <c r="BO287" i="2"/>
  <c r="BN287" i="2"/>
  <c r="BM287" i="2"/>
  <c r="Z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P277" i="2"/>
  <c r="BO277" i="2"/>
  <c r="BN277" i="2"/>
  <c r="BM277" i="2"/>
  <c r="Z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P266" i="2"/>
  <c r="BP265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Z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Y217" i="2"/>
  <c r="X217" i="2"/>
  <c r="Y216" i="2"/>
  <c r="X216" i="2"/>
  <c r="BP215" i="2"/>
  <c r="BO215" i="2"/>
  <c r="BN215" i="2"/>
  <c r="BM215" i="2"/>
  <c r="Z215" i="2"/>
  <c r="Z216" i="2" s="1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P190" i="2"/>
  <c r="BO190" i="2"/>
  <c r="BN190" i="2"/>
  <c r="BM190" i="2"/>
  <c r="Z190" i="2"/>
  <c r="Y190" i="2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P179" i="2"/>
  <c r="BO179" i="2"/>
  <c r="BN179" i="2"/>
  <c r="BM179" i="2"/>
  <c r="Z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BP174" i="2"/>
  <c r="BO174" i="2"/>
  <c r="BN174" i="2"/>
  <c r="BM174" i="2"/>
  <c r="Z174" i="2"/>
  <c r="Y174" i="2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P154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P148" i="2"/>
  <c r="BO148" i="2"/>
  <c r="BN148" i="2"/>
  <c r="BM148" i="2"/>
  <c r="Z148" i="2"/>
  <c r="Y148" i="2"/>
  <c r="P148" i="2"/>
  <c r="X145" i="2"/>
  <c r="X144" i="2"/>
  <c r="BO143" i="2"/>
  <c r="BM143" i="2"/>
  <c r="Y143" i="2"/>
  <c r="BN143" i="2" s="1"/>
  <c r="P143" i="2"/>
  <c r="BO142" i="2"/>
  <c r="BM142" i="2"/>
  <c r="Z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Y139" i="2" s="1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Z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P111" i="2"/>
  <c r="BO111" i="2"/>
  <c r="BN111" i="2"/>
  <c r="BM111" i="2"/>
  <c r="Z111" i="2"/>
  <c r="Y111" i="2"/>
  <c r="P111" i="2"/>
  <c r="BO110" i="2"/>
  <c r="BM110" i="2"/>
  <c r="Y110" i="2"/>
  <c r="BN110" i="2" s="1"/>
  <c r="P110" i="2"/>
  <c r="BO109" i="2"/>
  <c r="BM109" i="2"/>
  <c r="Z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P101" i="2"/>
  <c r="BO101" i="2"/>
  <c r="BN101" i="2"/>
  <c r="BM101" i="2"/>
  <c r="Z101" i="2"/>
  <c r="Y101" i="2"/>
  <c r="P101" i="2"/>
  <c r="BO100" i="2"/>
  <c r="BM100" i="2"/>
  <c r="Y100" i="2"/>
  <c r="BN100" i="2" s="1"/>
  <c r="P100" i="2"/>
  <c r="BO99" i="2"/>
  <c r="BM99" i="2"/>
  <c r="Z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P90" i="2"/>
  <c r="BO90" i="2"/>
  <c r="BN90" i="2"/>
  <c r="BM90" i="2"/>
  <c r="Z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Y87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P67" i="2"/>
  <c r="BO66" i="2"/>
  <c r="BM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Z56" i="2" s="1"/>
  <c r="P56" i="2"/>
  <c r="X53" i="2"/>
  <c r="X52" i="2"/>
  <c r="BO51" i="2"/>
  <c r="BM51" i="2"/>
  <c r="Y51" i="2"/>
  <c r="Z51" i="2" s="1"/>
  <c r="P51" i="2"/>
  <c r="BP50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D563" i="2" l="1"/>
  <c r="Z58" i="2"/>
  <c r="BN58" i="2"/>
  <c r="Z92" i="2"/>
  <c r="BN92" i="2"/>
  <c r="Z100" i="2"/>
  <c r="Z103" i="2"/>
  <c r="BN103" i="2"/>
  <c r="Z110" i="2"/>
  <c r="Z117" i="2"/>
  <c r="BN117" i="2"/>
  <c r="Z135" i="2"/>
  <c r="BN135" i="2"/>
  <c r="Z143" i="2"/>
  <c r="Z151" i="2"/>
  <c r="BN151" i="2"/>
  <c r="Z169" i="2"/>
  <c r="BN169" i="2"/>
  <c r="Z188" i="2"/>
  <c r="BN188" i="2"/>
  <c r="Y192" i="2"/>
  <c r="Y200" i="2"/>
  <c r="Z221" i="2"/>
  <c r="Z223" i="2"/>
  <c r="BN223" i="2"/>
  <c r="Z244" i="2"/>
  <c r="BN244" i="2"/>
  <c r="Z267" i="2"/>
  <c r="BN267" i="2"/>
  <c r="Z285" i="2"/>
  <c r="BP292" i="2"/>
  <c r="Z311" i="2"/>
  <c r="Z312" i="2" s="1"/>
  <c r="BN311" i="2"/>
  <c r="BP311" i="2"/>
  <c r="Y312" i="2"/>
  <c r="Z338" i="2"/>
  <c r="BN338" i="2"/>
  <c r="Z342" i="2"/>
  <c r="BN342" i="2"/>
  <c r="Z368" i="2"/>
  <c r="BN368" i="2"/>
  <c r="Y376" i="2"/>
  <c r="Z386" i="2"/>
  <c r="BN386" i="2"/>
  <c r="Z411" i="2"/>
  <c r="BN411" i="2"/>
  <c r="Y413" i="2"/>
  <c r="Y421" i="2"/>
  <c r="Z418" i="2"/>
  <c r="Z426" i="2"/>
  <c r="BN426" i="2"/>
  <c r="Z430" i="2"/>
  <c r="Z436" i="2"/>
  <c r="BN436" i="2"/>
  <c r="BP475" i="2"/>
  <c r="Z506" i="2"/>
  <c r="BN506" i="2"/>
  <c r="BP532" i="2"/>
  <c r="Z540" i="2"/>
  <c r="Z541" i="2" s="1"/>
  <c r="BN37" i="2"/>
  <c r="BP37" i="2"/>
  <c r="BN39" i="2"/>
  <c r="BP56" i="2"/>
  <c r="BP23" i="2"/>
  <c r="Y24" i="2"/>
  <c r="Y25" i="2"/>
  <c r="BN27" i="2"/>
  <c r="BN40" i="2"/>
  <c r="Z48" i="2"/>
  <c r="BN48" i="2"/>
  <c r="BP48" i="2"/>
  <c r="BN49" i="2"/>
  <c r="BP49" i="2"/>
  <c r="Z57" i="2"/>
  <c r="BN57" i="2"/>
  <c r="Z59" i="2"/>
  <c r="BN59" i="2"/>
  <c r="BN60" i="2"/>
  <c r="BP60" i="2"/>
  <c r="Y69" i="2"/>
  <c r="BP65" i="2"/>
  <c r="Y70" i="2"/>
  <c r="Z66" i="2"/>
  <c r="BP73" i="2"/>
  <c r="BN73" i="2"/>
  <c r="Z73" i="2"/>
  <c r="BN77" i="2"/>
  <c r="Y80" i="2"/>
  <c r="F563" i="2"/>
  <c r="BN83" i="2"/>
  <c r="BP83" i="2"/>
  <c r="BN85" i="2"/>
  <c r="Y95" i="2"/>
  <c r="BN93" i="2"/>
  <c r="BP102" i="2"/>
  <c r="BN102" i="2"/>
  <c r="Z102" i="2"/>
  <c r="BP136" i="2"/>
  <c r="BN136" i="2"/>
  <c r="Z136" i="2"/>
  <c r="Y138" i="2"/>
  <c r="Z144" i="2"/>
  <c r="BN154" i="2"/>
  <c r="Z154" i="2"/>
  <c r="Y172" i="2"/>
  <c r="Y186" i="2"/>
  <c r="BN176" i="2"/>
  <c r="Z176" i="2"/>
  <c r="BP178" i="2"/>
  <c r="BN178" i="2"/>
  <c r="Z178" i="2"/>
  <c r="Y191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T563" i="2"/>
  <c r="BP360" i="2"/>
  <c r="BN360" i="2"/>
  <c r="Z360" i="2"/>
  <c r="BN474" i="2"/>
  <c r="Y477" i="2"/>
  <c r="BP480" i="2"/>
  <c r="BN480" i="2"/>
  <c r="Z480" i="2"/>
  <c r="Z482" i="2" s="1"/>
  <c r="Y483" i="2"/>
  <c r="Y482" i="2"/>
  <c r="BN28" i="2"/>
  <c r="Y33" i="2"/>
  <c r="Y44" i="2"/>
  <c r="BN51" i="2"/>
  <c r="Y53" i="2"/>
  <c r="BP67" i="2"/>
  <c r="BN67" i="2"/>
  <c r="Z6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Y159" i="2"/>
  <c r="BP158" i="2"/>
  <c r="BN158" i="2"/>
  <c r="Z158" i="2"/>
  <c r="Z159" i="2" s="1"/>
  <c r="Y160" i="2"/>
  <c r="BP170" i="2"/>
  <c r="BN170" i="2"/>
  <c r="Z170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N340" i="2"/>
  <c r="Z340" i="2"/>
  <c r="BP346" i="2"/>
  <c r="BN346" i="2"/>
  <c r="Z346" i="2"/>
  <c r="Z348" i="2" s="1"/>
  <c r="BP370" i="2"/>
  <c r="BN370" i="2"/>
  <c r="Z370" i="2"/>
  <c r="BN372" i="2"/>
  <c r="BP372" i="2"/>
  <c r="BP387" i="2"/>
  <c r="BN387" i="2"/>
  <c r="Z387" i="2"/>
  <c r="BN394" i="2"/>
  <c r="Z394" i="2"/>
  <c r="BP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28" i="2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Y534" i="2"/>
  <c r="Z532" i="2"/>
  <c r="Z533" i="2" s="1"/>
  <c r="AC563" i="2"/>
  <c r="Y552" i="2"/>
  <c r="BN361" i="2"/>
  <c r="BN371" i="2"/>
  <c r="BN381" i="2"/>
  <c r="Z395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Z191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Z62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13" i="2" s="1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04" i="2" s="1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20" i="2" s="1"/>
  <c r="Z431" i="2"/>
  <c r="Z433" i="2" s="1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Z546" i="2" s="1"/>
  <c r="Y551" i="2"/>
  <c r="E563" i="2"/>
  <c r="Z256" i="2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Z166" i="2" s="1"/>
  <c r="BN417" i="2"/>
  <c r="Y420" i="2"/>
  <c r="BP476" i="2"/>
  <c r="Y488" i="2"/>
  <c r="BN545" i="2"/>
  <c r="AB563" i="2"/>
  <c r="Z257" i="2" l="1"/>
  <c r="Z343" i="2"/>
  <c r="Z32" i="2"/>
  <c r="Z382" i="2"/>
  <c r="Z247" i="2"/>
  <c r="Z138" i="2"/>
  <c r="Z120" i="2"/>
  <c r="Z74" i="2"/>
  <c r="Z407" i="2"/>
  <c r="Z523" i="2"/>
  <c r="Z477" i="2"/>
  <c r="Z327" i="2"/>
  <c r="Z24" i="2"/>
  <c r="Y553" i="2"/>
  <c r="Y557" i="2"/>
  <c r="Z105" i="2"/>
  <c r="Z69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334" i="2"/>
  <c r="Z365" i="2"/>
  <c r="Z79" i="2"/>
  <c r="Z273" i="2"/>
  <c r="Z155" i="2"/>
  <c r="Z466" i="2"/>
  <c r="Z87" i="2"/>
  <c r="Z318" i="2"/>
  <c r="Z43" i="2"/>
  <c r="Y555" i="2"/>
  <c r="Y556" i="2" s="1"/>
  <c r="Z558" i="2" l="1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<sst xmlns="http://schemas.openxmlformats.org/spreadsheetml/2006/main" count="4216" uniqueCount="893">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</sst>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378" sqref="AA37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/>
      <c r="I5" s="645"/>
      <c r="J5" s="645"/>
      <c r="K5" s="645"/>
      <c r="L5" s="645"/>
      <c r="M5" s="645"/>
      <c r="N5" s="72"/>
      <c r="P5" s="27" t="s">
        <v>4</v>
      </c>
      <c r="Q5" s="647">
        <v>46261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876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Четверг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0.41666666666666669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2500</v>
      </c>
      <c r="Y378" s="55">
        <f>IFERROR(IF(X378="",0,CEILING((X378/$H378),1)*$H378),"")</f>
        <v>2503.7999999999997</v>
      </c>
      <c r="Z378" s="41">
        <f>IFERROR(IF(Y378=0,"",ROUNDUP(Y378/H378,0)*0.01898),"")</f>
        <v>6.0925799999999999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2656.4102564102564</v>
      </c>
      <c r="BN378" s="78">
        <f>IFERROR(Y378*I378/H378,"0")</f>
        <v>2660.4479999999999</v>
      </c>
      <c r="BO378" s="78">
        <f>IFERROR(1/J378*(X378/H378),"0")</f>
        <v>5.0080128205128203</v>
      </c>
      <c r="BP378" s="78">
        <f>IFERROR(1/J378*(Y378/H378),"0")</f>
        <v>5.015625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320.5128205128205</v>
      </c>
      <c r="Y382" s="43">
        <f>IFERROR(Y378/H378,"0")+IFERROR(Y379/H379,"0")+IFERROR(Y380/H380,"0")+IFERROR(Y381/H381,"0")</f>
        <v>321</v>
      </c>
      <c r="Z382" s="43">
        <f>IFERROR(IF(Z378="",0,Z378),"0")+IFERROR(IF(Z379="",0,Z379),"0")+IFERROR(IF(Z380="",0,Z380),"0")+IFERROR(IF(Z381="",0,Z381),"0")</f>
        <v>6.0925799999999999</v>
      </c>
      <c r="AA382" s="67"/>
      <c r="AB382" s="67"/>
      <c r="AC382" s="67"/>
    </row>
    <row r="383" spans="1:68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2500</v>
      </c>
      <c r="Y383" s="43">
        <f>IFERROR(SUM(Y378:Y381),"0")</f>
        <v>2503.7999999999997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2500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2503.7999999999997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2656.4102564102564</v>
      </c>
      <c r="Y554" s="43">
        <f>IFERROR(SUM(BN22:BN550),"0")</f>
        <v>2660.4479999999999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6</v>
      </c>
      <c r="Y555" s="44">
        <f>ROUNDUP(SUM(BP22:BP550),0)</f>
        <v>6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2806.4102564102564</v>
      </c>
      <c r="Y556" s="43">
        <f>GrossWeightTotalR+PalletQtyTotalR*25</f>
        <v>2810.4479999999999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320.5128205128205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321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6.0925799999999999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2503.7999999999997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500,00"/>
        <filter val="2 656,41"/>
        <filter val="2 806,41"/>
        <filter val="320,51"/>
        <filter val="6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