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5,08,26 ПОКОМ КИ\"/>
    </mc:Choice>
  </mc:AlternateContent>
  <xr:revisionPtr revIDLastSave="0" documentId="13_ncr:1_{2286D0ED-E772-4405-9C53-B5C824BF22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Sheet!$A$3:$AL$138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6" i="1"/>
  <c r="AN5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6" i="1"/>
  <c r="Z5" i="1"/>
  <c r="AM5" i="1" l="1"/>
  <c r="AM1" i="1" s="1"/>
  <c r="Y34" i="1"/>
  <c r="Y10" i="1" l="1"/>
  <c r="Y14" i="1"/>
  <c r="Y15" i="1"/>
  <c r="Y16" i="1"/>
  <c r="Y18" i="1"/>
  <c r="Y19" i="1"/>
  <c r="Y20" i="1"/>
  <c r="Y21" i="1"/>
  <c r="Y22" i="1"/>
  <c r="Y23" i="1"/>
  <c r="Y25" i="1"/>
  <c r="Y26" i="1"/>
  <c r="Y28" i="1"/>
  <c r="Y29" i="1"/>
  <c r="Y30" i="1"/>
  <c r="Y31" i="1"/>
  <c r="Y32" i="1"/>
  <c r="Y33" i="1"/>
  <c r="Y35" i="1"/>
  <c r="Y36" i="1"/>
  <c r="AL36" i="1" s="1"/>
  <c r="Y37" i="1"/>
  <c r="Y38" i="1"/>
  <c r="AL38" i="1" s="1"/>
  <c r="Y39" i="1"/>
  <c r="Y40" i="1"/>
  <c r="AL40" i="1" s="1"/>
  <c r="Y41" i="1"/>
  <c r="Y42" i="1"/>
  <c r="AL42" i="1" s="1"/>
  <c r="Y45" i="1"/>
  <c r="Y46" i="1"/>
  <c r="AL46" i="1" s="1"/>
  <c r="Y48" i="1"/>
  <c r="Y49" i="1"/>
  <c r="AL49" i="1" s="1"/>
  <c r="Y50" i="1"/>
  <c r="Y51" i="1"/>
  <c r="AL51" i="1" s="1"/>
  <c r="Y52" i="1"/>
  <c r="Y54" i="1"/>
  <c r="AL54" i="1" s="1"/>
  <c r="Y55" i="1"/>
  <c r="Y56" i="1"/>
  <c r="AL56" i="1" s="1"/>
  <c r="Y57" i="1"/>
  <c r="Y63" i="1"/>
  <c r="AL63" i="1" s="1"/>
  <c r="Y64" i="1"/>
  <c r="Y65" i="1"/>
  <c r="AL65" i="1" s="1"/>
  <c r="Y66" i="1"/>
  <c r="Y68" i="1"/>
  <c r="AL68" i="1" s="1"/>
  <c r="Y73" i="1"/>
  <c r="Y75" i="1"/>
  <c r="AL75" i="1" s="1"/>
  <c r="Y76" i="1"/>
  <c r="Y77" i="1"/>
  <c r="AL77" i="1" s="1"/>
  <c r="Y78" i="1"/>
  <c r="Y79" i="1"/>
  <c r="AL79" i="1" s="1"/>
  <c r="Y81" i="1"/>
  <c r="Y82" i="1"/>
  <c r="AL82" i="1" s="1"/>
  <c r="Y84" i="1"/>
  <c r="Y85" i="1"/>
  <c r="AL85" i="1" s="1"/>
  <c r="Y87" i="1"/>
  <c r="Y88" i="1"/>
  <c r="AL88" i="1" s="1"/>
  <c r="Y89" i="1"/>
  <c r="Y90" i="1"/>
  <c r="AL90" i="1" s="1"/>
  <c r="Y91" i="1"/>
  <c r="Y92" i="1"/>
  <c r="AL92" i="1" s="1"/>
  <c r="Y93" i="1"/>
  <c r="Y96" i="1"/>
  <c r="AL96" i="1" s="1"/>
  <c r="Y97" i="1"/>
  <c r="Y98" i="1"/>
  <c r="AL98" i="1" s="1"/>
  <c r="Y99" i="1"/>
  <c r="Y100" i="1"/>
  <c r="AL100" i="1" s="1"/>
  <c r="Y101" i="1"/>
  <c r="Y102" i="1"/>
  <c r="AL102" i="1" s="1"/>
  <c r="Y103" i="1"/>
  <c r="Y104" i="1"/>
  <c r="AL104" i="1" s="1"/>
  <c r="Y105" i="1"/>
  <c r="Y106" i="1"/>
  <c r="AL106" i="1" s="1"/>
  <c r="Y107" i="1"/>
  <c r="Y108" i="1"/>
  <c r="AL108" i="1" s="1"/>
  <c r="Y109" i="1"/>
  <c r="Y110" i="1"/>
  <c r="AL110" i="1" s="1"/>
  <c r="Y111" i="1"/>
  <c r="Y112" i="1"/>
  <c r="AL112" i="1" s="1"/>
  <c r="Y113" i="1"/>
  <c r="Y114" i="1"/>
  <c r="AL114" i="1" s="1"/>
  <c r="Y116" i="1"/>
  <c r="Y117" i="1"/>
  <c r="AL117" i="1" s="1"/>
  <c r="Y118" i="1"/>
  <c r="Y119" i="1"/>
  <c r="AL119" i="1" s="1"/>
  <c r="Y120" i="1"/>
  <c r="Y121" i="1"/>
  <c r="AL121" i="1" s="1"/>
  <c r="Y124" i="1"/>
  <c r="Y125" i="1"/>
  <c r="Y126" i="1"/>
  <c r="Y127" i="1"/>
  <c r="Y129" i="1"/>
  <c r="Y130" i="1"/>
  <c r="Y131" i="1"/>
  <c r="Y133" i="1"/>
  <c r="Y134" i="1"/>
  <c r="Y135" i="1"/>
  <c r="Y136" i="1"/>
  <c r="Y137" i="1"/>
  <c r="Y138" i="1"/>
  <c r="AL10" i="1"/>
  <c r="AL17" i="1"/>
  <c r="AL18" i="1"/>
  <c r="AL20" i="1"/>
  <c r="AL22" i="1"/>
  <c r="AL25" i="1"/>
  <c r="AL28" i="1"/>
  <c r="AL30" i="1"/>
  <c r="AL32" i="1"/>
  <c r="AL34" i="1"/>
  <c r="AL35" i="1"/>
  <c r="AL37" i="1"/>
  <c r="AL39" i="1"/>
  <c r="AL41" i="1"/>
  <c r="AL45" i="1"/>
  <c r="AL48" i="1"/>
  <c r="AL50" i="1"/>
  <c r="AL52" i="1"/>
  <c r="AL55" i="1"/>
  <c r="AL57" i="1"/>
  <c r="AL64" i="1"/>
  <c r="AL66" i="1"/>
  <c r="AL73" i="1"/>
  <c r="AL76" i="1"/>
  <c r="AL78" i="1"/>
  <c r="AL81" i="1"/>
  <c r="AL84" i="1"/>
  <c r="AL87" i="1"/>
  <c r="AL89" i="1"/>
  <c r="AL91" i="1"/>
  <c r="AL93" i="1"/>
  <c r="AL97" i="1"/>
  <c r="AL99" i="1"/>
  <c r="AL101" i="1"/>
  <c r="AL103" i="1"/>
  <c r="AL105" i="1"/>
  <c r="AL107" i="1"/>
  <c r="AL109" i="1"/>
  <c r="AL111" i="1"/>
  <c r="AL113" i="1"/>
  <c r="AL116" i="1"/>
  <c r="AL118" i="1"/>
  <c r="AL120" i="1"/>
  <c r="AL124" i="1"/>
  <c r="AL126" i="1"/>
  <c r="AL129" i="1"/>
  <c r="AL131" i="1"/>
  <c r="AL134" i="1"/>
  <c r="AL136" i="1"/>
  <c r="AL138" i="1"/>
  <c r="AL137" i="1" l="1"/>
  <c r="AL135" i="1"/>
  <c r="AL133" i="1"/>
  <c r="AL130" i="1"/>
  <c r="AL127" i="1"/>
  <c r="AL125" i="1"/>
  <c r="AL33" i="1"/>
  <c r="AL31" i="1"/>
  <c r="AL29" i="1"/>
  <c r="AL26" i="1"/>
  <c r="AL23" i="1"/>
  <c r="AL21" i="1"/>
  <c r="AL19" i="1"/>
  <c r="AL14" i="1"/>
  <c r="AL16" i="1"/>
  <c r="AL15" i="1"/>
  <c r="U5" i="1"/>
  <c r="D2" i="2"/>
  <c r="D3" i="2"/>
  <c r="D4" i="2"/>
  <c r="D1" i="2"/>
  <c r="M138" i="1" l="1"/>
  <c r="W138" i="1" s="1"/>
  <c r="AA138" i="1" s="1"/>
  <c r="L138" i="1"/>
  <c r="M137" i="1"/>
  <c r="W137" i="1" s="1"/>
  <c r="AA137" i="1" s="1"/>
  <c r="L137" i="1"/>
  <c r="M136" i="1"/>
  <c r="W136" i="1" s="1"/>
  <c r="AA136" i="1" s="1"/>
  <c r="L136" i="1"/>
  <c r="M135" i="1"/>
  <c r="W135" i="1" s="1"/>
  <c r="AA135" i="1" s="1"/>
  <c r="L135" i="1"/>
  <c r="M134" i="1"/>
  <c r="W134" i="1" s="1"/>
  <c r="AA134" i="1" s="1"/>
  <c r="L134" i="1"/>
  <c r="M133" i="1"/>
  <c r="W133" i="1" s="1"/>
  <c r="AA133" i="1" s="1"/>
  <c r="L133" i="1"/>
  <c r="M132" i="1"/>
  <c r="W132" i="1" s="1"/>
  <c r="AB132" i="1" s="1"/>
  <c r="L132" i="1"/>
  <c r="F131" i="1"/>
  <c r="AA131" i="1" s="1"/>
  <c r="E131" i="1"/>
  <c r="M131" i="1" s="1"/>
  <c r="W131" i="1" s="1"/>
  <c r="M130" i="1"/>
  <c r="W130" i="1" s="1"/>
  <c r="AA130" i="1" s="1"/>
  <c r="L130" i="1"/>
  <c r="F129" i="1"/>
  <c r="AA129" i="1" s="1"/>
  <c r="E129" i="1"/>
  <c r="M129" i="1" s="1"/>
  <c r="W129" i="1" s="1"/>
  <c r="M128" i="1"/>
  <c r="W128" i="1" s="1"/>
  <c r="AB128" i="1" s="1"/>
  <c r="L128" i="1"/>
  <c r="M127" i="1"/>
  <c r="W127" i="1" s="1"/>
  <c r="AA127" i="1" s="1"/>
  <c r="L127" i="1"/>
  <c r="M126" i="1"/>
  <c r="W126" i="1" s="1"/>
  <c r="AA126" i="1" s="1"/>
  <c r="L126" i="1"/>
  <c r="M125" i="1"/>
  <c r="W125" i="1" s="1"/>
  <c r="AA125" i="1" s="1"/>
  <c r="L125" i="1"/>
  <c r="M124" i="1"/>
  <c r="W124" i="1" s="1"/>
  <c r="AA124" i="1" s="1"/>
  <c r="L124" i="1"/>
  <c r="M123" i="1"/>
  <c r="W123" i="1" s="1"/>
  <c r="AB123" i="1" s="1"/>
  <c r="L123" i="1"/>
  <c r="M122" i="1"/>
  <c r="W122" i="1" s="1"/>
  <c r="L122" i="1"/>
  <c r="M121" i="1"/>
  <c r="W121" i="1" s="1"/>
  <c r="AA121" i="1" s="1"/>
  <c r="L121" i="1"/>
  <c r="M120" i="1"/>
  <c r="W120" i="1" s="1"/>
  <c r="AA120" i="1" s="1"/>
  <c r="L120" i="1"/>
  <c r="M119" i="1"/>
  <c r="W119" i="1" s="1"/>
  <c r="AA119" i="1" s="1"/>
  <c r="L119" i="1"/>
  <c r="M118" i="1"/>
  <c r="W118" i="1" s="1"/>
  <c r="AA118" i="1" s="1"/>
  <c r="L118" i="1"/>
  <c r="M117" i="1"/>
  <c r="W117" i="1" s="1"/>
  <c r="AA117" i="1" s="1"/>
  <c r="L117" i="1"/>
  <c r="M116" i="1"/>
  <c r="W116" i="1" s="1"/>
  <c r="AA116" i="1" s="1"/>
  <c r="L116" i="1"/>
  <c r="M115" i="1"/>
  <c r="W115" i="1" s="1"/>
  <c r="AB115" i="1" s="1"/>
  <c r="L115" i="1"/>
  <c r="M114" i="1"/>
  <c r="W114" i="1" s="1"/>
  <c r="AA114" i="1" s="1"/>
  <c r="L114" i="1"/>
  <c r="M113" i="1"/>
  <c r="W113" i="1" s="1"/>
  <c r="AA113" i="1" s="1"/>
  <c r="L113" i="1"/>
  <c r="M112" i="1"/>
  <c r="W112" i="1" s="1"/>
  <c r="AA112" i="1" s="1"/>
  <c r="L112" i="1"/>
  <c r="M111" i="1"/>
  <c r="W111" i="1" s="1"/>
  <c r="AA111" i="1" s="1"/>
  <c r="L111" i="1"/>
  <c r="M110" i="1"/>
  <c r="W110" i="1" s="1"/>
  <c r="AA110" i="1" s="1"/>
  <c r="L110" i="1"/>
  <c r="M109" i="1"/>
  <c r="W109" i="1" s="1"/>
  <c r="AA109" i="1" s="1"/>
  <c r="L109" i="1"/>
  <c r="M108" i="1"/>
  <c r="W108" i="1" s="1"/>
  <c r="AA108" i="1" s="1"/>
  <c r="L108" i="1"/>
  <c r="M107" i="1"/>
  <c r="W107" i="1" s="1"/>
  <c r="AA107" i="1" s="1"/>
  <c r="L107" i="1"/>
  <c r="M106" i="1"/>
  <c r="W106" i="1" s="1"/>
  <c r="AA106" i="1" s="1"/>
  <c r="L106" i="1"/>
  <c r="M105" i="1"/>
  <c r="W105" i="1" s="1"/>
  <c r="AA105" i="1" s="1"/>
  <c r="L105" i="1"/>
  <c r="M104" i="1"/>
  <c r="W104" i="1" s="1"/>
  <c r="AA104" i="1" s="1"/>
  <c r="L104" i="1"/>
  <c r="M103" i="1"/>
  <c r="W103" i="1" s="1"/>
  <c r="AA103" i="1" s="1"/>
  <c r="L103" i="1"/>
  <c r="M102" i="1"/>
  <c r="W102" i="1" s="1"/>
  <c r="AA102" i="1" s="1"/>
  <c r="L102" i="1"/>
  <c r="M101" i="1"/>
  <c r="W101" i="1" s="1"/>
  <c r="AA101" i="1" s="1"/>
  <c r="L101" i="1"/>
  <c r="M100" i="1"/>
  <c r="W100" i="1" s="1"/>
  <c r="AA100" i="1" s="1"/>
  <c r="L100" i="1"/>
  <c r="M99" i="1"/>
  <c r="W99" i="1" s="1"/>
  <c r="AA99" i="1" s="1"/>
  <c r="L99" i="1"/>
  <c r="M98" i="1"/>
  <c r="W98" i="1" s="1"/>
  <c r="AA98" i="1" s="1"/>
  <c r="L98" i="1"/>
  <c r="M97" i="1"/>
  <c r="W97" i="1" s="1"/>
  <c r="AA97" i="1" s="1"/>
  <c r="L97" i="1"/>
  <c r="M96" i="1"/>
  <c r="W96" i="1" s="1"/>
  <c r="AA96" i="1" s="1"/>
  <c r="L96" i="1"/>
  <c r="M95" i="1"/>
  <c r="W95" i="1" s="1"/>
  <c r="L95" i="1"/>
  <c r="F95" i="1"/>
  <c r="M94" i="1"/>
  <c r="W94" i="1" s="1"/>
  <c r="AB94" i="1" s="1"/>
  <c r="L94" i="1"/>
  <c r="M93" i="1"/>
  <c r="W93" i="1" s="1"/>
  <c r="AA93" i="1" s="1"/>
  <c r="L93" i="1"/>
  <c r="M92" i="1"/>
  <c r="W92" i="1" s="1"/>
  <c r="AA92" i="1" s="1"/>
  <c r="L92" i="1"/>
  <c r="M91" i="1"/>
  <c r="W91" i="1" s="1"/>
  <c r="AA91" i="1" s="1"/>
  <c r="L91" i="1"/>
  <c r="M90" i="1"/>
  <c r="W90" i="1" s="1"/>
  <c r="AA90" i="1" s="1"/>
  <c r="L90" i="1"/>
  <c r="M89" i="1"/>
  <c r="W89" i="1" s="1"/>
  <c r="AA89" i="1" s="1"/>
  <c r="L89" i="1"/>
  <c r="M88" i="1"/>
  <c r="W88" i="1" s="1"/>
  <c r="AA88" i="1" s="1"/>
  <c r="L88" i="1"/>
  <c r="M87" i="1"/>
  <c r="W87" i="1" s="1"/>
  <c r="AA87" i="1" s="1"/>
  <c r="L87" i="1"/>
  <c r="M86" i="1"/>
  <c r="W86" i="1" s="1"/>
  <c r="L86" i="1"/>
  <c r="M85" i="1"/>
  <c r="W85" i="1" s="1"/>
  <c r="AA85" i="1" s="1"/>
  <c r="L85" i="1"/>
  <c r="M84" i="1"/>
  <c r="W84" i="1" s="1"/>
  <c r="AA84" i="1" s="1"/>
  <c r="L84" i="1"/>
  <c r="M83" i="1"/>
  <c r="W83" i="1" s="1"/>
  <c r="AB83" i="1" s="1"/>
  <c r="L83" i="1"/>
  <c r="M82" i="1"/>
  <c r="W82" i="1" s="1"/>
  <c r="AA82" i="1" s="1"/>
  <c r="L82" i="1"/>
  <c r="M81" i="1"/>
  <c r="W81" i="1" s="1"/>
  <c r="AA81" i="1" s="1"/>
  <c r="L81" i="1"/>
  <c r="M80" i="1"/>
  <c r="W80" i="1" s="1"/>
  <c r="AB80" i="1" s="1"/>
  <c r="L80" i="1"/>
  <c r="M79" i="1"/>
  <c r="W79" i="1" s="1"/>
  <c r="AA79" i="1" s="1"/>
  <c r="L79" i="1"/>
  <c r="M78" i="1"/>
  <c r="W78" i="1" s="1"/>
  <c r="AA78" i="1" s="1"/>
  <c r="L78" i="1"/>
  <c r="M77" i="1"/>
  <c r="W77" i="1" s="1"/>
  <c r="AA77" i="1" s="1"/>
  <c r="L77" i="1"/>
  <c r="M76" i="1"/>
  <c r="W76" i="1" s="1"/>
  <c r="AA76" i="1" s="1"/>
  <c r="L76" i="1"/>
  <c r="M75" i="1"/>
  <c r="W75" i="1" s="1"/>
  <c r="AA75" i="1" s="1"/>
  <c r="L75" i="1"/>
  <c r="M74" i="1"/>
  <c r="W74" i="1" s="1"/>
  <c r="AB74" i="1" s="1"/>
  <c r="L74" i="1"/>
  <c r="M73" i="1"/>
  <c r="W73" i="1" s="1"/>
  <c r="AA73" i="1" s="1"/>
  <c r="L73" i="1"/>
  <c r="M72" i="1"/>
  <c r="W72" i="1" s="1"/>
  <c r="AB72" i="1" s="1"/>
  <c r="L72" i="1"/>
  <c r="M71" i="1"/>
  <c r="W71" i="1" s="1"/>
  <c r="L71" i="1"/>
  <c r="M70" i="1"/>
  <c r="W70" i="1" s="1"/>
  <c r="AB70" i="1" s="1"/>
  <c r="L70" i="1"/>
  <c r="M69" i="1"/>
  <c r="W69" i="1" s="1"/>
  <c r="AB69" i="1" s="1"/>
  <c r="L69" i="1"/>
  <c r="M68" i="1"/>
  <c r="W68" i="1" s="1"/>
  <c r="AA68" i="1" s="1"/>
  <c r="L68" i="1"/>
  <c r="M67" i="1"/>
  <c r="W67" i="1" s="1"/>
  <c r="AB67" i="1" s="1"/>
  <c r="L67" i="1"/>
  <c r="M66" i="1"/>
  <c r="W66" i="1" s="1"/>
  <c r="AA66" i="1" s="1"/>
  <c r="L66" i="1"/>
  <c r="M65" i="1"/>
  <c r="W65" i="1" s="1"/>
  <c r="AA65" i="1" s="1"/>
  <c r="L65" i="1"/>
  <c r="M64" i="1"/>
  <c r="W64" i="1" s="1"/>
  <c r="AA64" i="1" s="1"/>
  <c r="L64" i="1"/>
  <c r="M63" i="1"/>
  <c r="W63" i="1" s="1"/>
  <c r="AA63" i="1" s="1"/>
  <c r="L63" i="1"/>
  <c r="M62" i="1"/>
  <c r="W62" i="1" s="1"/>
  <c r="L62" i="1"/>
  <c r="M61" i="1"/>
  <c r="W61" i="1" s="1"/>
  <c r="AB61" i="1" s="1"/>
  <c r="L61" i="1"/>
  <c r="M60" i="1"/>
  <c r="W60" i="1" s="1"/>
  <c r="AB60" i="1" s="1"/>
  <c r="L60" i="1"/>
  <c r="M59" i="1"/>
  <c r="W59" i="1" s="1"/>
  <c r="AB59" i="1" s="1"/>
  <c r="L59" i="1"/>
  <c r="M58" i="1"/>
  <c r="W58" i="1" s="1"/>
  <c r="L58" i="1"/>
  <c r="M57" i="1"/>
  <c r="W57" i="1" s="1"/>
  <c r="AA57" i="1" s="1"/>
  <c r="L57" i="1"/>
  <c r="M56" i="1"/>
  <c r="W56" i="1" s="1"/>
  <c r="AA56" i="1" s="1"/>
  <c r="L56" i="1"/>
  <c r="M55" i="1"/>
  <c r="W55" i="1" s="1"/>
  <c r="AA55" i="1" s="1"/>
  <c r="L55" i="1"/>
  <c r="M54" i="1"/>
  <c r="W54" i="1" s="1"/>
  <c r="AA54" i="1" s="1"/>
  <c r="L54" i="1"/>
  <c r="M53" i="1"/>
  <c r="W53" i="1" s="1"/>
  <c r="AB53" i="1" s="1"/>
  <c r="L53" i="1"/>
  <c r="M52" i="1"/>
  <c r="W52" i="1" s="1"/>
  <c r="AA52" i="1" s="1"/>
  <c r="L52" i="1"/>
  <c r="M51" i="1"/>
  <c r="W51" i="1" s="1"/>
  <c r="AA51" i="1" s="1"/>
  <c r="L51" i="1"/>
  <c r="M50" i="1"/>
  <c r="W50" i="1" s="1"/>
  <c r="AA50" i="1" s="1"/>
  <c r="L50" i="1"/>
  <c r="M49" i="1"/>
  <c r="W49" i="1" s="1"/>
  <c r="AA49" i="1" s="1"/>
  <c r="L49" i="1"/>
  <c r="M48" i="1"/>
  <c r="W48" i="1" s="1"/>
  <c r="AA48" i="1" s="1"/>
  <c r="L48" i="1"/>
  <c r="M47" i="1"/>
  <c r="W47" i="1" s="1"/>
  <c r="AB47" i="1" s="1"/>
  <c r="L47" i="1"/>
  <c r="M46" i="1"/>
  <c r="W46" i="1" s="1"/>
  <c r="AA46" i="1" s="1"/>
  <c r="L46" i="1"/>
  <c r="M45" i="1"/>
  <c r="W45" i="1" s="1"/>
  <c r="AA45" i="1" s="1"/>
  <c r="L45" i="1"/>
  <c r="M44" i="1"/>
  <c r="W44" i="1" s="1"/>
  <c r="AB44" i="1" s="1"/>
  <c r="L44" i="1"/>
  <c r="M43" i="1"/>
  <c r="W43" i="1" s="1"/>
  <c r="AB43" i="1" s="1"/>
  <c r="L43" i="1"/>
  <c r="M42" i="1"/>
  <c r="W42" i="1" s="1"/>
  <c r="AA42" i="1" s="1"/>
  <c r="L42" i="1"/>
  <c r="M41" i="1"/>
  <c r="W41" i="1" s="1"/>
  <c r="AA41" i="1" s="1"/>
  <c r="L41" i="1"/>
  <c r="M40" i="1"/>
  <c r="W40" i="1" s="1"/>
  <c r="AA40" i="1" s="1"/>
  <c r="L40" i="1"/>
  <c r="M39" i="1"/>
  <c r="W39" i="1" s="1"/>
  <c r="AA39" i="1" s="1"/>
  <c r="L39" i="1"/>
  <c r="M38" i="1"/>
  <c r="W38" i="1" s="1"/>
  <c r="AA38" i="1" s="1"/>
  <c r="L38" i="1"/>
  <c r="M37" i="1"/>
  <c r="W37" i="1" s="1"/>
  <c r="AA37" i="1" s="1"/>
  <c r="L37" i="1"/>
  <c r="M36" i="1"/>
  <c r="W36" i="1" s="1"/>
  <c r="AA36" i="1" s="1"/>
  <c r="L36" i="1"/>
  <c r="M35" i="1"/>
  <c r="W35" i="1" s="1"/>
  <c r="AA35" i="1" s="1"/>
  <c r="L35" i="1"/>
  <c r="M34" i="1"/>
  <c r="W34" i="1" s="1"/>
  <c r="AA34" i="1" s="1"/>
  <c r="L34" i="1"/>
  <c r="M33" i="1"/>
  <c r="W33" i="1" s="1"/>
  <c r="AA33" i="1" s="1"/>
  <c r="L33" i="1"/>
  <c r="M32" i="1"/>
  <c r="W32" i="1" s="1"/>
  <c r="AA32" i="1" s="1"/>
  <c r="L32" i="1"/>
  <c r="M31" i="1"/>
  <c r="W31" i="1" s="1"/>
  <c r="AA31" i="1" s="1"/>
  <c r="L31" i="1"/>
  <c r="M30" i="1"/>
  <c r="W30" i="1" s="1"/>
  <c r="AA30" i="1" s="1"/>
  <c r="L30" i="1"/>
  <c r="M29" i="1"/>
  <c r="W29" i="1" s="1"/>
  <c r="AA29" i="1" s="1"/>
  <c r="L29" i="1"/>
  <c r="M28" i="1"/>
  <c r="W28" i="1" s="1"/>
  <c r="AA28" i="1" s="1"/>
  <c r="L28" i="1"/>
  <c r="M27" i="1"/>
  <c r="W27" i="1" s="1"/>
  <c r="L27" i="1"/>
  <c r="M26" i="1"/>
  <c r="W26" i="1" s="1"/>
  <c r="AA26" i="1" s="1"/>
  <c r="L26" i="1"/>
  <c r="M25" i="1"/>
  <c r="W25" i="1" s="1"/>
  <c r="AA25" i="1" s="1"/>
  <c r="L25" i="1"/>
  <c r="M24" i="1"/>
  <c r="W24" i="1" s="1"/>
  <c r="AB24" i="1" s="1"/>
  <c r="L24" i="1"/>
  <c r="M23" i="1"/>
  <c r="W23" i="1" s="1"/>
  <c r="AA23" i="1" s="1"/>
  <c r="L23" i="1"/>
  <c r="M22" i="1"/>
  <c r="W22" i="1" s="1"/>
  <c r="AA22" i="1" s="1"/>
  <c r="L22" i="1"/>
  <c r="M21" i="1"/>
  <c r="W21" i="1" s="1"/>
  <c r="AA21" i="1" s="1"/>
  <c r="L21" i="1"/>
  <c r="M20" i="1"/>
  <c r="W20" i="1" s="1"/>
  <c r="AA20" i="1" s="1"/>
  <c r="L20" i="1"/>
  <c r="M19" i="1"/>
  <c r="W19" i="1" s="1"/>
  <c r="AA19" i="1" s="1"/>
  <c r="L19" i="1"/>
  <c r="M18" i="1"/>
  <c r="W18" i="1" s="1"/>
  <c r="AA18" i="1" s="1"/>
  <c r="L18" i="1"/>
  <c r="M17" i="1"/>
  <c r="W17" i="1" s="1"/>
  <c r="AA17" i="1" s="1"/>
  <c r="L17" i="1"/>
  <c r="M16" i="1"/>
  <c r="W16" i="1" s="1"/>
  <c r="AA16" i="1" s="1"/>
  <c r="L16" i="1"/>
  <c r="M15" i="1"/>
  <c r="W15" i="1" s="1"/>
  <c r="AA15" i="1" s="1"/>
  <c r="L15" i="1"/>
  <c r="M14" i="1"/>
  <c r="W14" i="1" s="1"/>
  <c r="AA14" i="1" s="1"/>
  <c r="L14" i="1"/>
  <c r="M13" i="1"/>
  <c r="W13" i="1" s="1"/>
  <c r="L13" i="1"/>
  <c r="M12" i="1"/>
  <c r="W12" i="1" s="1"/>
  <c r="AB12" i="1" s="1"/>
  <c r="L12" i="1"/>
  <c r="M11" i="1"/>
  <c r="W11" i="1" s="1"/>
  <c r="AB11" i="1" s="1"/>
  <c r="L11" i="1"/>
  <c r="M10" i="1"/>
  <c r="W10" i="1" s="1"/>
  <c r="AA10" i="1" s="1"/>
  <c r="L10" i="1"/>
  <c r="M9" i="1"/>
  <c r="W9" i="1" s="1"/>
  <c r="AB9" i="1" s="1"/>
  <c r="L9" i="1"/>
  <c r="M8" i="1"/>
  <c r="W8" i="1" s="1"/>
  <c r="L8" i="1"/>
  <c r="F8" i="1"/>
  <c r="M7" i="1"/>
  <c r="W7" i="1" s="1"/>
  <c r="AB7" i="1" s="1"/>
  <c r="L7" i="1"/>
  <c r="M6" i="1"/>
  <c r="W6" i="1" s="1"/>
  <c r="AB6" i="1" s="1"/>
  <c r="L6" i="1"/>
  <c r="AJ5" i="1"/>
  <c r="AI5" i="1"/>
  <c r="AH5" i="1"/>
  <c r="AG5" i="1"/>
  <c r="AF5" i="1"/>
  <c r="AE5" i="1"/>
  <c r="AD5" i="1"/>
  <c r="AC5" i="1"/>
  <c r="V5" i="1"/>
  <c r="T5" i="1"/>
  <c r="S5" i="1"/>
  <c r="R5" i="1"/>
  <c r="Q5" i="1"/>
  <c r="P5" i="1"/>
  <c r="O5" i="1"/>
  <c r="N5" i="1"/>
  <c r="K5" i="1"/>
  <c r="AB17" i="1" l="1"/>
  <c r="AB31" i="1"/>
  <c r="AB66" i="1"/>
  <c r="AB130" i="1"/>
  <c r="AB63" i="1"/>
  <c r="AB8" i="1"/>
  <c r="AB10" i="1"/>
  <c r="AB15" i="1"/>
  <c r="AB16" i="1"/>
  <c r="AB19" i="1"/>
  <c r="AB20" i="1"/>
  <c r="AB21" i="1"/>
  <c r="AB23" i="1"/>
  <c r="AB25" i="1"/>
  <c r="AB29" i="1"/>
  <c r="AB30" i="1"/>
  <c r="AB33" i="1"/>
  <c r="AB34" i="1"/>
  <c r="AB40" i="1"/>
  <c r="AB42" i="1"/>
  <c r="AB46" i="1"/>
  <c r="AB49" i="1"/>
  <c r="AB51" i="1"/>
  <c r="AB54" i="1"/>
  <c r="AB55" i="1"/>
  <c r="AB57" i="1"/>
  <c r="X58" i="1"/>
  <c r="Y58" i="1" s="1"/>
  <c r="AA58" i="1" s="1"/>
  <c r="AB58" i="1"/>
  <c r="X62" i="1"/>
  <c r="Y62" i="1" s="1"/>
  <c r="AA62" i="1" s="1"/>
  <c r="AB62" i="1"/>
  <c r="AB64" i="1"/>
  <c r="AB77" i="1"/>
  <c r="AB79" i="1"/>
  <c r="AB81" i="1"/>
  <c r="AB84" i="1"/>
  <c r="X86" i="1"/>
  <c r="Y86" i="1" s="1"/>
  <c r="AA86" i="1" s="1"/>
  <c r="AB86" i="1"/>
  <c r="AB87" i="1"/>
  <c r="AB88" i="1"/>
  <c r="AB90" i="1"/>
  <c r="AB91" i="1"/>
  <c r="AB93" i="1"/>
  <c r="AB95" i="1"/>
  <c r="AB96" i="1"/>
  <c r="AB100" i="1"/>
  <c r="AB102" i="1"/>
  <c r="AB104" i="1"/>
  <c r="AB105" i="1"/>
  <c r="AB107" i="1"/>
  <c r="AB110" i="1"/>
  <c r="AB112" i="1"/>
  <c r="AB114" i="1"/>
  <c r="AB117" i="1"/>
  <c r="AB119" i="1"/>
  <c r="AB121" i="1"/>
  <c r="X122" i="1"/>
  <c r="Y122" i="1" s="1"/>
  <c r="AA122" i="1" s="1"/>
  <c r="AB122" i="1"/>
  <c r="AB124" i="1"/>
  <c r="AB126" i="1"/>
  <c r="AB131" i="1"/>
  <c r="AB134" i="1"/>
  <c r="AB136" i="1"/>
  <c r="AB138" i="1"/>
  <c r="X13" i="1"/>
  <c r="Y13" i="1" s="1"/>
  <c r="AA13" i="1" s="1"/>
  <c r="AB13" i="1"/>
  <c r="AB14" i="1"/>
  <c r="AB18" i="1"/>
  <c r="AB22" i="1"/>
  <c r="AB26" i="1"/>
  <c r="X27" i="1"/>
  <c r="Y27" i="1" s="1"/>
  <c r="AA27" i="1" s="1"/>
  <c r="AB27" i="1"/>
  <c r="AB28" i="1"/>
  <c r="AB32" i="1"/>
  <c r="AB35" i="1"/>
  <c r="AB36" i="1"/>
  <c r="AB37" i="1"/>
  <c r="AB38" i="1"/>
  <c r="AB39" i="1"/>
  <c r="AB41" i="1"/>
  <c r="AB45" i="1"/>
  <c r="AB48" i="1"/>
  <c r="AB50" i="1"/>
  <c r="AB52" i="1"/>
  <c r="AB56" i="1"/>
  <c r="AB65" i="1"/>
  <c r="AB68" i="1"/>
  <c r="X71" i="1"/>
  <c r="Y71" i="1" s="1"/>
  <c r="AA71" i="1" s="1"/>
  <c r="AB71" i="1"/>
  <c r="AB73" i="1"/>
  <c r="AB75" i="1"/>
  <c r="AB76" i="1"/>
  <c r="AB78" i="1"/>
  <c r="AB82" i="1"/>
  <c r="AB85" i="1"/>
  <c r="AB89" i="1"/>
  <c r="AB92" i="1"/>
  <c r="AB97" i="1"/>
  <c r="AB98" i="1"/>
  <c r="AB99" i="1"/>
  <c r="AB101" i="1"/>
  <c r="AB103" i="1"/>
  <c r="AB106" i="1"/>
  <c r="AB108" i="1"/>
  <c r="AB109" i="1"/>
  <c r="AB111" i="1"/>
  <c r="AB113" i="1"/>
  <c r="AB116" i="1"/>
  <c r="AB118" i="1"/>
  <c r="AB120" i="1"/>
  <c r="AB125" i="1"/>
  <c r="AB127" i="1"/>
  <c r="X128" i="1"/>
  <c r="Y128" i="1" s="1"/>
  <c r="AA128" i="1" s="1"/>
  <c r="AB129" i="1"/>
  <c r="AB133" i="1"/>
  <c r="AB135" i="1"/>
  <c r="AB137" i="1"/>
  <c r="X24" i="1"/>
  <c r="Y24" i="1" s="1"/>
  <c r="AA24" i="1" s="1"/>
  <c r="X80" i="1"/>
  <c r="Y80" i="1" s="1"/>
  <c r="AA80" i="1" s="1"/>
  <c r="X7" i="1"/>
  <c r="Y7" i="1" s="1"/>
  <c r="AA7" i="1" s="1"/>
  <c r="X60" i="1"/>
  <c r="Y60" i="1" s="1"/>
  <c r="AA60" i="1" s="1"/>
  <c r="X95" i="1"/>
  <c r="Y95" i="1" s="1"/>
  <c r="AL95" i="1" s="1"/>
  <c r="E5" i="1"/>
  <c r="X8" i="1"/>
  <c r="Y8" i="1" s="1"/>
  <c r="AA8" i="1" s="1"/>
  <c r="X11" i="1"/>
  <c r="Y11" i="1" s="1"/>
  <c r="AA11" i="1" s="1"/>
  <c r="X17" i="1"/>
  <c r="X69" i="1"/>
  <c r="Y69" i="1" s="1"/>
  <c r="AA69" i="1" s="1"/>
  <c r="X115" i="1"/>
  <c r="Y115" i="1" s="1"/>
  <c r="AA115" i="1" s="1"/>
  <c r="F5" i="1"/>
  <c r="X12" i="1"/>
  <c r="Y12" i="1" s="1"/>
  <c r="AA12" i="1" s="1"/>
  <c r="X44" i="1"/>
  <c r="Y44" i="1" s="1"/>
  <c r="AA44" i="1" s="1"/>
  <c r="X53" i="1"/>
  <c r="Y53" i="1" s="1"/>
  <c r="AA53" i="1" s="1"/>
  <c r="M5" i="1"/>
  <c r="X6" i="1"/>
  <c r="Y6" i="1" s="1"/>
  <c r="AA6" i="1" s="1"/>
  <c r="W5" i="1"/>
  <c r="X9" i="1"/>
  <c r="Y9" i="1" s="1"/>
  <c r="AA9" i="1" s="1"/>
  <c r="X61" i="1"/>
  <c r="Y61" i="1" s="1"/>
  <c r="AA61" i="1" s="1"/>
  <c r="X70" i="1"/>
  <c r="Y70" i="1" s="1"/>
  <c r="AA70" i="1" s="1"/>
  <c r="X83" i="1"/>
  <c r="Y83" i="1" s="1"/>
  <c r="AA83" i="1" s="1"/>
  <c r="X94" i="1"/>
  <c r="Y94" i="1" s="1"/>
  <c r="AA94" i="1" s="1"/>
  <c r="L129" i="1"/>
  <c r="X43" i="1"/>
  <c r="Y43" i="1" s="1"/>
  <c r="AA43" i="1" s="1"/>
  <c r="X47" i="1"/>
  <c r="Y47" i="1" s="1"/>
  <c r="AA47" i="1" s="1"/>
  <c r="X59" i="1"/>
  <c r="Y59" i="1" s="1"/>
  <c r="AA59" i="1" s="1"/>
  <c r="X67" i="1"/>
  <c r="Y67" i="1" s="1"/>
  <c r="AA67" i="1" s="1"/>
  <c r="X72" i="1"/>
  <c r="Y72" i="1" s="1"/>
  <c r="AA72" i="1" s="1"/>
  <c r="X74" i="1"/>
  <c r="Y74" i="1" s="1"/>
  <c r="AA74" i="1" s="1"/>
  <c r="X123" i="1"/>
  <c r="Y123" i="1" s="1"/>
  <c r="AA123" i="1" s="1"/>
  <c r="L131" i="1"/>
  <c r="X132" i="1"/>
  <c r="Y132" i="1" s="1"/>
  <c r="AA132" i="1" s="1"/>
  <c r="AA95" i="1" l="1"/>
  <c r="AL132" i="1"/>
  <c r="AL123" i="1"/>
  <c r="AL72" i="1"/>
  <c r="AL59" i="1"/>
  <c r="AL43" i="1"/>
  <c r="AL94" i="1"/>
  <c r="AL70" i="1"/>
  <c r="AL9" i="1"/>
  <c r="AL6" i="1"/>
  <c r="Y5" i="1"/>
  <c r="AL53" i="1"/>
  <c r="AL12" i="1"/>
  <c r="AL115" i="1"/>
  <c r="AL8" i="1"/>
  <c r="AL7" i="1"/>
  <c r="AL24" i="1"/>
  <c r="AL71" i="1"/>
  <c r="AL62" i="1"/>
  <c r="AL58" i="1"/>
  <c r="AL74" i="1"/>
  <c r="AL67" i="1"/>
  <c r="AL47" i="1"/>
  <c r="AL83" i="1"/>
  <c r="AL61" i="1"/>
  <c r="AL44" i="1"/>
  <c r="AL69" i="1"/>
  <c r="AL11" i="1"/>
  <c r="AL60" i="1"/>
  <c r="AL80" i="1"/>
  <c r="AL128" i="1"/>
  <c r="AL27" i="1"/>
  <c r="AL13" i="1"/>
  <c r="AL122" i="1"/>
  <c r="AL86" i="1"/>
  <c r="L5" i="1"/>
  <c r="X5" i="1"/>
  <c r="AL5" i="1" l="1"/>
</calcChain>
</file>

<file path=xl/sharedStrings.xml><?xml version="1.0" encoding="utf-8"?>
<sst xmlns="http://schemas.openxmlformats.org/spreadsheetml/2006/main" count="520" uniqueCount="210">
  <si>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</si>
  <si>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</si>
  <si>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</si>
  <si>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</si>
  <si>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</si>
  <si>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</si>
  <si>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</si>
  <si>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</si>
  <si>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</si>
  <si>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</si>
  <si>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</si>
  <si>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</si>
  <si>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</si>
  <si>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</si>
  <si>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</si>
  <si>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</si>
  <si>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</si>
  <si>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</si>
  <si>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</si>
  <si>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</si>
  <si>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</si>
  <si>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</si>
  <si>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</si>
  <si>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23,08,недогр</t>
  </si>
  <si>
    <t>23,08,доз</t>
  </si>
  <si>
    <t>24,08,</t>
  </si>
  <si>
    <t>24,08,недогр</t>
  </si>
  <si>
    <t>25,08,</t>
  </si>
  <si>
    <t>25,08,доз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</si>
  <si>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</si>
  <si>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</si>
  <si>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</si>
  <si>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</si>
  <si>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</si>
  <si>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</si>
  <si>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</si>
  <si>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</si>
  <si>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</si>
  <si>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</si>
  <si>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</si>
  <si>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</si>
  <si>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</si>
  <si>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</si>
  <si>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</si>
  <si>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</si>
  <si>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</si>
  <si>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</si>
  <si>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</si>
  <si>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</si>
  <si>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</si>
  <si>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</si>
  <si>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</si>
  <si>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</si>
  <si>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</si>
  <si>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</si>
  <si>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</si>
  <si>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</si>
  <si>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</si>
  <si>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</si>
  <si>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</si>
  <si>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</si>
  <si>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</si>
  <si>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</si>
  <si>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</si>
  <si>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</si>
  <si>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</si>
  <si>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</si>
  <si>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</si>
  <si>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</si>
  <si>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</si>
  <si>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</si>
  <si>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</si>
  <si>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</si>
  <si>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</si>
  <si>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</si>
  <si>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</si>
  <si>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</si>
  <si>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</si>
  <si>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</si>
  <si>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</si>
  <si>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</si>
  <si>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</si>
  <si>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</si>
  <si>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</si>
  <si>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</si>
  <si>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</si>
  <si>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</si>
  <si>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</si>
  <si>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</si>
  <si>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</si>
  <si>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</si>
  <si>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</si>
  <si>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</si>
  <si>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</si>
  <si>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</si>
  <si>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</si>
  <si>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</si>
  <si>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</si>
  <si>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</si>
  <si>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</si>
  <si>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</si>
  <si>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</si>
  <si>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</si>
  <si>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</si>
  <si>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</si>
  <si>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</si>
  <si>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</si>
  <si>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</si>
  <si>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</si>
  <si>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</si>
  <si>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</si>
  <si>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</si>
  <si>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</si>
  <si>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</si>
  <si>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</si>
  <si>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</si>
  <si>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</si>
  <si>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</si>
  <si>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</si>
  <si>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</si>
  <si>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</si>
  <si>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</si>
  <si>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</si>
  <si>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</si>
  <si>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</si>
  <si>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</si>
  <si>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</si>
  <si>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</si>
  <si>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</si>
  <si>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</si>
  <si>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</si>
  <si>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</si>
  <si>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</si>
  <si>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</si>
  <si>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</si>
  <si>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</si>
  <si>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</si>
  <si>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</si>
  <si>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</si>
  <si>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</si>
  <si>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</si>
  <si>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</si>
  <si>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</si>
  <si>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</si>
  <si>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</si>
  <si>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</si>
  <si>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</si>
  <si>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</si>
  <si>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</si>
  <si>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</si>
  <si>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</si>
  <si>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</si>
  <si>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</si>
  <si>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</si>
  <si>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</si>
  <si>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</si>
  <si>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</si>
  <si>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</si>
  <si>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</si>
  <si>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</si>
  <si>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</si>
  <si>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</si>
  <si>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</si>
  <si>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</si>
  <si>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</si>
  <si>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</si>
  <si>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</si>
  <si>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</si>
  <si>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</si>
  <si>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</si>
  <si>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</si>
  <si>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</si>
  <si>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</si>
  <si>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</si>
  <si>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</si>
  <si>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</si>
  <si>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</si>
  <si>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</si>
  <si>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</si>
  <si>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</si>
  <si>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</si>
  <si>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</si>
  <si>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</si>
  <si>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</si>
  <si>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 / плюсом 400шт сеть Молоко (21,08,26) / плюсом 300шт сеть Молоко (05,08,26)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</si>
  <si>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</si>
  <si>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</si>
  <si>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</si>
  <si>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</si>
  <si>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</si>
  <si>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</si>
  <si>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</si>
  <si>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</si>
  <si>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</si>
  <si>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</si>
  <si>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</si>
  <si>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</si>
  <si>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</si>
  <si>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</si>
  <si>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</si>
  <si>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</si>
  <si>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</si>
  <si>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Сосиски «Сочинки с сочным окороком» Фикс.вес 0,4 П/а мгс ТМ «Стародворье»</t>
  </si>
  <si>
    <t>Копченые колбасы «Сервелат Ореховый» Весовой фиброуз ТМ «Вязанка»</t>
  </si>
  <si>
    <t>Сосиски «Филейские» Фикс.вес 0,3 ц/о мгс ТМ «Вязанка»</t>
  </si>
  <si>
    <t>Колбаса Мясорубская ТМ Стародворье с рубленой грудинкой в оболочке фиброуз в вакуумной упаковке</t>
  </si>
  <si>
    <t>25,08,недогр</t>
  </si>
  <si>
    <t>заказ</t>
  </si>
  <si>
    <t>29,08,</t>
  </si>
  <si>
    <t>30,08,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</si>
</sst>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6" fillId="0" borderId="1" xfId="1" applyNumberFormat="1" applyFont="1"/>
    <xf numFmtId="0" fontId="0" fillId="0" borderId="1" xfId="0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5" sqref="AN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3" width="7" customWidth="1"/>
    <col min="14" max="14" width="5.85546875" customWidth="1"/>
    <col min="15" max="15" width="7" customWidth="1"/>
    <col min="16" max="16" width="6.140625" customWidth="1"/>
    <col min="17" max="17" width="5.42578125" customWidth="1"/>
    <col min="18" max="18" width="7" customWidth="1"/>
    <col min="19" max="19" width="6.28515625" customWidth="1"/>
    <col min="20" max="20" width="7" customWidth="1"/>
    <col min="21" max="21" width="5.42578125" style="25" customWidth="1"/>
    <col min="22" max="22" width="5.42578125" style="18" customWidth="1"/>
    <col min="23" max="26" width="7" customWidth="1"/>
    <col min="27" max="28" width="5" customWidth="1"/>
    <col min="29" max="36" width="7" customWidth="1"/>
    <col min="37" max="37" width="3.42578125" customWidth="1"/>
    <col min="38" max="39" width="7" customWidth="1"/>
    <col min="40" max="40" width="7.85546875" customWidth="1"/>
  </cols>
  <sheetData>
    <row r="1" spans="1:4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0</v>
      </c>
    </row>
    <row r="2" spans="1:4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3200</v>
      </c>
    </row>
    <row r="3" spans="1:4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207</v>
      </c>
      <c r="Z3" s="3" t="s">
        <v>207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</row>
    <row r="4" spans="1:4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206</v>
      </c>
      <c r="V4" s="1" t="s">
        <v>28</v>
      </c>
      <c r="W4" s="1" t="s">
        <v>27</v>
      </c>
      <c r="X4" s="1"/>
      <c r="Y4" s="1" t="s">
        <v>208</v>
      </c>
      <c r="Z4" s="1" t="s">
        <v>209</v>
      </c>
      <c r="AA4" s="1"/>
      <c r="AB4" s="1"/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 t="s">
        <v>208</v>
      </c>
      <c r="AM4" s="1" t="s">
        <v>209</v>
      </c>
    </row>
    <row r="5" spans="1:40" x14ac:dyDescent="0.25">
      <c r="A5" s="1"/>
      <c r="B5" s="1"/>
      <c r="C5" s="1"/>
      <c r="D5" s="1"/>
      <c r="E5" s="4">
        <f>SUM(E6:E500)</f>
        <v>62522.062000000005</v>
      </c>
      <c r="F5" s="4">
        <f>SUM(F6:F500)</f>
        <v>64911.981</v>
      </c>
      <c r="G5" s="7"/>
      <c r="H5" s="1"/>
      <c r="I5" s="1"/>
      <c r="J5" s="1"/>
      <c r="K5" s="4">
        <f t="shared" ref="K5:Y5" si="0">SUM(K6:K500)</f>
        <v>72169.59699999998</v>
      </c>
      <c r="L5" s="4">
        <f t="shared" si="0"/>
        <v>-9647.5350000000035</v>
      </c>
      <c r="M5" s="4">
        <f t="shared" si="0"/>
        <v>55774.136999999995</v>
      </c>
      <c r="N5" s="4">
        <f t="shared" si="0"/>
        <v>6747.9250000000011</v>
      </c>
      <c r="O5" s="4">
        <f t="shared" si="0"/>
        <v>20743.400047946052</v>
      </c>
      <c r="P5" s="4">
        <f t="shared" si="0"/>
        <v>-1449</v>
      </c>
      <c r="Q5" s="4">
        <f t="shared" si="0"/>
        <v>1200</v>
      </c>
      <c r="R5" s="4">
        <f t="shared" si="0"/>
        <v>13146.432301714285</v>
      </c>
      <c r="S5" s="4">
        <f t="shared" si="0"/>
        <v>-1971.8</v>
      </c>
      <c r="T5" s="4">
        <f t="shared" si="0"/>
        <v>29236.898753377685</v>
      </c>
      <c r="U5" s="4">
        <f t="shared" ref="U5" si="1">SUM(U6:U500)</f>
        <v>-875.83333333333337</v>
      </c>
      <c r="V5" s="4">
        <f t="shared" si="0"/>
        <v>400</v>
      </c>
      <c r="W5" s="4">
        <f t="shared" si="0"/>
        <v>11154.827400000004</v>
      </c>
      <c r="X5" s="4">
        <f t="shared" si="0"/>
        <v>21172.794117521567</v>
      </c>
      <c r="Y5" s="4">
        <f t="shared" si="0"/>
        <v>21128.268745379391</v>
      </c>
      <c r="Z5" s="4">
        <f t="shared" ref="Z5" si="2">SUM(Z6:Z500)</f>
        <v>4300</v>
      </c>
      <c r="AA5" s="1"/>
      <c r="AB5" s="1"/>
      <c r="AC5" s="4">
        <f t="shared" ref="AC5:AJ5" si="3">SUM(AC6:AC500)</f>
        <v>11727.539200000003</v>
      </c>
      <c r="AD5" s="4">
        <f t="shared" si="3"/>
        <v>13329.492600000001</v>
      </c>
      <c r="AE5" s="4">
        <f t="shared" si="3"/>
        <v>12669.461800000005</v>
      </c>
      <c r="AF5" s="4">
        <f t="shared" si="3"/>
        <v>10646.113600000001</v>
      </c>
      <c r="AG5" s="4">
        <f t="shared" si="3"/>
        <v>10433.826400000007</v>
      </c>
      <c r="AH5" s="4">
        <f t="shared" si="3"/>
        <v>11173.737200000001</v>
      </c>
      <c r="AI5" s="4">
        <f t="shared" si="3"/>
        <v>12763.749600000005</v>
      </c>
      <c r="AJ5" s="4">
        <f t="shared" si="3"/>
        <v>14118.473</v>
      </c>
      <c r="AK5" s="1"/>
      <c r="AL5" s="4">
        <f>SUM(AL6:AL500)</f>
        <v>17905</v>
      </c>
      <c r="AM5" s="4">
        <f>SUM(AM6:AM500)</f>
        <v>3200</v>
      </c>
      <c r="AN5" s="4">
        <f>SUM(AN6:AN500)</f>
        <v>8995.9327999999987</v>
      </c>
    </row>
    <row r="6" spans="1:40" x14ac:dyDescent="0.25">
      <c r="A6" s="1" t="s">
        <v>37</v>
      </c>
      <c r="B6" s="1" t="s">
        <v>38</v>
      </c>
      <c r="C6" s="1">
        <v>1890.528</v>
      </c>
      <c r="D6" s="1">
        <v>3756.279</v>
      </c>
      <c r="E6" s="1">
        <v>1869.8869999999999</v>
      </c>
      <c r="F6" s="1">
        <v>3117.1320000000001</v>
      </c>
      <c r="G6" s="7">
        <v>1</v>
      </c>
      <c r="H6" s="1">
        <v>50</v>
      </c>
      <c r="I6" s="1" t="s">
        <v>39</v>
      </c>
      <c r="J6" s="1"/>
      <c r="K6" s="1">
        <v>1922.24</v>
      </c>
      <c r="L6" s="1">
        <f t="shared" ref="L6:L37" si="4">E6-K6</f>
        <v>-52.353000000000065</v>
      </c>
      <c r="M6" s="1">
        <f t="shared" ref="M6:M37" si="5">E6-N6</f>
        <v>1869.8869999999999</v>
      </c>
      <c r="N6" s="1"/>
      <c r="O6" s="1">
        <v>267.65433023999998</v>
      </c>
      <c r="P6" s="1"/>
      <c r="Q6" s="1"/>
      <c r="R6" s="1"/>
      <c r="S6" s="1"/>
      <c r="T6" s="1">
        <v>0</v>
      </c>
      <c r="U6" s="1"/>
      <c r="V6" s="1"/>
      <c r="W6" s="1">
        <f t="shared" ref="W6:W37" si="6">M6/5</f>
        <v>373.97739999999999</v>
      </c>
      <c r="X6" s="5">
        <f>11*W6-T6-S6-R6-Q6-P6-O6-F6</f>
        <v>728.96506976000001</v>
      </c>
      <c r="Y6" s="5">
        <f>X6</f>
        <v>728.96506976000001</v>
      </c>
      <c r="Z6" s="5">
        <v>250</v>
      </c>
      <c r="AA6" s="1">
        <f>(F6+O6+P6+Q6+R6+S6+T6+Y6+V6+U6+Z6)/W6</f>
        <v>11.668489593221409</v>
      </c>
      <c r="AB6" s="1">
        <f>(F6+O6+P6+Q6+R6+S6+T6+U6+V6)/W6</f>
        <v>9.0507777481740881</v>
      </c>
      <c r="AC6" s="1">
        <v>325.6216</v>
      </c>
      <c r="AD6" s="1">
        <v>402.60879999999997</v>
      </c>
      <c r="AE6" s="1">
        <v>419.20679999999999</v>
      </c>
      <c r="AF6" s="1">
        <v>402.01659999999998</v>
      </c>
      <c r="AG6" s="1">
        <v>337.73419999999999</v>
      </c>
      <c r="AH6" s="1">
        <v>348.79259999999999</v>
      </c>
      <c r="AI6" s="1">
        <v>383.91660000000002</v>
      </c>
      <c r="AJ6" s="1">
        <v>414.53539999999992</v>
      </c>
      <c r="AK6" s="1"/>
      <c r="AL6" s="1">
        <f>ROUND(G6*Y6,0)</f>
        <v>729</v>
      </c>
      <c r="AM6" s="1">
        <f>ROUND(G6*Z6,0)</f>
        <v>250</v>
      </c>
      <c r="AN6">
        <f>W6*G6</f>
        <v>373.97739999999999</v>
      </c>
    </row>
    <row r="7" spans="1:40" x14ac:dyDescent="0.25">
      <c r="A7" s="1" t="s">
        <v>40</v>
      </c>
      <c r="B7" s="1" t="s">
        <v>38</v>
      </c>
      <c r="C7" s="1">
        <v>-12.368</v>
      </c>
      <c r="D7" s="1">
        <v>3548.893</v>
      </c>
      <c r="E7" s="1">
        <v>1715.971</v>
      </c>
      <c r="F7" s="1">
        <v>966.69100000000003</v>
      </c>
      <c r="G7" s="7">
        <v>1</v>
      </c>
      <c r="H7" s="1">
        <v>45</v>
      </c>
      <c r="I7" s="1" t="s">
        <v>39</v>
      </c>
      <c r="J7" s="1"/>
      <c r="K7" s="1">
        <v>1733.7139999999999</v>
      </c>
      <c r="L7" s="1">
        <f t="shared" si="4"/>
        <v>-17.742999999999938</v>
      </c>
      <c r="M7" s="1">
        <f t="shared" si="5"/>
        <v>975.55700000000002</v>
      </c>
      <c r="N7" s="1">
        <v>740.41399999999999</v>
      </c>
      <c r="O7" s="1">
        <v>249.3</v>
      </c>
      <c r="P7" s="1"/>
      <c r="Q7" s="1"/>
      <c r="R7" s="1"/>
      <c r="S7" s="1"/>
      <c r="T7" s="1">
        <v>399.90537200000028</v>
      </c>
      <c r="U7" s="1"/>
      <c r="V7" s="1"/>
      <c r="W7" s="1">
        <f t="shared" si="6"/>
        <v>195.1114</v>
      </c>
      <c r="X7" s="5">
        <f>11*W7-T7-S7-R7-Q7-P7-O7-F7</f>
        <v>530.32902800000011</v>
      </c>
      <c r="Y7" s="5">
        <f t="shared" ref="Y7:Y70" si="7">X7</f>
        <v>530.32902800000011</v>
      </c>
      <c r="Z7" s="5"/>
      <c r="AA7" s="1">
        <f t="shared" ref="AA7:AA70" si="8">(F7+O7+P7+Q7+R7+S7+T7+Y7+V7+U7+Z7)/W7</f>
        <v>11.000000000000002</v>
      </c>
      <c r="AB7" s="1">
        <f t="shared" ref="AB7:AB70" si="9">(F7+O7+P7+Q7+R7+S7+T7+U7+V7)/W7</f>
        <v>8.2819167511483194</v>
      </c>
      <c r="AC7" s="1">
        <v>216.3058</v>
      </c>
      <c r="AD7" s="1">
        <v>223.072</v>
      </c>
      <c r="AE7" s="1">
        <v>285.97500000000002</v>
      </c>
      <c r="AF7" s="1">
        <v>246.8064</v>
      </c>
      <c r="AG7" s="1">
        <v>136.39259999999999</v>
      </c>
      <c r="AH7" s="1">
        <v>175.6748</v>
      </c>
      <c r="AI7" s="1">
        <v>232.39340000000001</v>
      </c>
      <c r="AJ7" s="1">
        <v>194.2758</v>
      </c>
      <c r="AK7" s="1"/>
      <c r="AL7" s="1">
        <f t="shared" ref="AL7:AL70" si="10">ROUND(G7*Y7,0)</f>
        <v>530</v>
      </c>
      <c r="AM7" s="1">
        <f t="shared" ref="AM7:AM70" si="11">ROUND(G7*Z7,0)</f>
        <v>0</v>
      </c>
      <c r="AN7">
        <f t="shared" ref="AN7:AN70" si="12">W7*G7</f>
        <v>195.1114</v>
      </c>
    </row>
    <row r="8" spans="1:40" x14ac:dyDescent="0.25">
      <c r="A8" s="1" t="s">
        <v>41</v>
      </c>
      <c r="B8" s="1" t="s">
        <v>38</v>
      </c>
      <c r="C8" s="1">
        <v>840.02300000000002</v>
      </c>
      <c r="D8" s="1">
        <v>6424.0029999999997</v>
      </c>
      <c r="E8" s="1">
        <v>4388.4390000000003</v>
      </c>
      <c r="F8" s="12">
        <f>1744.69+F87</f>
        <v>1739.249</v>
      </c>
      <c r="G8" s="7">
        <v>1</v>
      </c>
      <c r="H8" s="1">
        <v>45</v>
      </c>
      <c r="I8" s="1" t="s">
        <v>39</v>
      </c>
      <c r="J8" s="1"/>
      <c r="K8" s="1">
        <v>4375.0360000000001</v>
      </c>
      <c r="L8" s="1">
        <f t="shared" si="4"/>
        <v>13.403000000000247</v>
      </c>
      <c r="M8" s="1">
        <f t="shared" si="5"/>
        <v>3076.3670000000002</v>
      </c>
      <c r="N8" s="1">
        <v>1312.0719999999999</v>
      </c>
      <c r="O8" s="1">
        <v>1272.728544078519</v>
      </c>
      <c r="P8" s="1"/>
      <c r="Q8" s="1"/>
      <c r="R8" s="1">
        <v>700</v>
      </c>
      <c r="S8" s="1"/>
      <c r="T8" s="1">
        <v>857.64545965759953</v>
      </c>
      <c r="U8" s="1"/>
      <c r="V8" s="1"/>
      <c r="W8" s="1">
        <f t="shared" si="6"/>
        <v>615.27340000000004</v>
      </c>
      <c r="X8" s="5">
        <f>11*W8-T8-S8-R8-Q8-P8-O8-F8</f>
        <v>2198.3843962638821</v>
      </c>
      <c r="Y8" s="5">
        <f t="shared" si="7"/>
        <v>2198.3843962638821</v>
      </c>
      <c r="Z8" s="5"/>
      <c r="AA8" s="1">
        <f t="shared" si="8"/>
        <v>11</v>
      </c>
      <c r="AB8" s="1">
        <f t="shared" si="9"/>
        <v>7.4269796219633708</v>
      </c>
      <c r="AC8" s="1">
        <v>546.42439999999988</v>
      </c>
      <c r="AD8" s="1">
        <v>608.08999999999992</v>
      </c>
      <c r="AE8" s="1">
        <v>673.42660000000001</v>
      </c>
      <c r="AF8" s="1">
        <v>716.37299999999993</v>
      </c>
      <c r="AG8" s="1">
        <v>543.649</v>
      </c>
      <c r="AH8" s="1">
        <v>613.56360000000006</v>
      </c>
      <c r="AI8" s="1">
        <v>603.60799999999995</v>
      </c>
      <c r="AJ8" s="1">
        <v>601.60220000000004</v>
      </c>
      <c r="AK8" s="1"/>
      <c r="AL8" s="1">
        <f t="shared" si="10"/>
        <v>2198</v>
      </c>
      <c r="AM8" s="1">
        <f t="shared" si="11"/>
        <v>0</v>
      </c>
      <c r="AN8">
        <f t="shared" si="12"/>
        <v>615.27340000000004</v>
      </c>
    </row>
    <row r="9" spans="1:40" x14ac:dyDescent="0.25">
      <c r="A9" s="1" t="s">
        <v>42</v>
      </c>
      <c r="B9" s="1" t="s">
        <v>43</v>
      </c>
      <c r="C9" s="1">
        <v>17</v>
      </c>
      <c r="D9" s="1">
        <v>10</v>
      </c>
      <c r="E9" s="1">
        <v>14</v>
      </c>
      <c r="F9" s="1">
        <v>13</v>
      </c>
      <c r="G9" s="7">
        <v>0.4</v>
      </c>
      <c r="H9" s="1">
        <v>50</v>
      </c>
      <c r="I9" s="1" t="s">
        <v>39</v>
      </c>
      <c r="J9" s="1"/>
      <c r="K9" s="1">
        <v>14</v>
      </c>
      <c r="L9" s="1">
        <f t="shared" si="4"/>
        <v>0</v>
      </c>
      <c r="M9" s="1">
        <f t="shared" si="5"/>
        <v>14</v>
      </c>
      <c r="N9" s="1"/>
      <c r="O9" s="1"/>
      <c r="P9" s="1"/>
      <c r="Q9" s="1"/>
      <c r="R9" s="1"/>
      <c r="S9" s="1"/>
      <c r="T9" s="1">
        <v>0</v>
      </c>
      <c r="U9" s="1"/>
      <c r="V9" s="1"/>
      <c r="W9" s="1">
        <f t="shared" si="6"/>
        <v>2.8</v>
      </c>
      <c r="X9" s="5">
        <f>11*W9-T9-S9-R9-Q9-P9-O9-F9</f>
        <v>17.799999999999997</v>
      </c>
      <c r="Y9" s="5">
        <f t="shared" si="7"/>
        <v>17.799999999999997</v>
      </c>
      <c r="Z9" s="5"/>
      <c r="AA9" s="1">
        <f t="shared" si="8"/>
        <v>11</v>
      </c>
      <c r="AB9" s="1">
        <f t="shared" si="9"/>
        <v>4.6428571428571432</v>
      </c>
      <c r="AC9" s="1">
        <v>1.4</v>
      </c>
      <c r="AD9" s="1">
        <v>1.4</v>
      </c>
      <c r="AE9" s="1">
        <v>1.8</v>
      </c>
      <c r="AF9" s="1">
        <v>2.4</v>
      </c>
      <c r="AG9" s="1">
        <v>1</v>
      </c>
      <c r="AH9" s="1">
        <v>1.2</v>
      </c>
      <c r="AI9" s="1">
        <v>2.6</v>
      </c>
      <c r="AJ9" s="1">
        <v>2.2000000000000002</v>
      </c>
      <c r="AK9" s="1" t="s">
        <v>44</v>
      </c>
      <c r="AL9" s="1">
        <f t="shared" si="10"/>
        <v>7</v>
      </c>
      <c r="AM9" s="1">
        <f t="shared" si="11"/>
        <v>0</v>
      </c>
      <c r="AN9">
        <f t="shared" si="12"/>
        <v>1.1199999999999999</v>
      </c>
    </row>
    <row r="10" spans="1:40" x14ac:dyDescent="0.25">
      <c r="A10" s="1" t="s">
        <v>45</v>
      </c>
      <c r="B10" s="1" t="s">
        <v>43</v>
      </c>
      <c r="C10" s="1">
        <v>322.37599999999998</v>
      </c>
      <c r="D10" s="1">
        <v>5115</v>
      </c>
      <c r="E10" s="1">
        <v>2245</v>
      </c>
      <c r="F10" s="1">
        <v>2487.3760000000002</v>
      </c>
      <c r="G10" s="7">
        <v>0.45</v>
      </c>
      <c r="H10" s="1">
        <v>45</v>
      </c>
      <c r="I10" s="16" t="s">
        <v>46</v>
      </c>
      <c r="J10" s="1"/>
      <c r="K10" s="1">
        <v>2692</v>
      </c>
      <c r="L10" s="1">
        <f t="shared" si="4"/>
        <v>-447</v>
      </c>
      <c r="M10" s="1">
        <f t="shared" si="5"/>
        <v>2245</v>
      </c>
      <c r="N10" s="1"/>
      <c r="O10" s="1">
        <v>664.80000000000007</v>
      </c>
      <c r="P10" s="1"/>
      <c r="Q10" s="1"/>
      <c r="R10" s="1">
        <v>1300</v>
      </c>
      <c r="S10" s="1"/>
      <c r="T10" s="1">
        <v>700</v>
      </c>
      <c r="U10" s="1"/>
      <c r="V10" s="1"/>
      <c r="W10" s="1">
        <f t="shared" si="6"/>
        <v>449</v>
      </c>
      <c r="X10" s="5"/>
      <c r="Y10" s="5">
        <f t="shared" si="7"/>
        <v>0</v>
      </c>
      <c r="Z10" s="5">
        <v>500</v>
      </c>
      <c r="AA10" s="1">
        <f t="shared" si="8"/>
        <v>12.588365256124723</v>
      </c>
      <c r="AB10" s="1">
        <f t="shared" si="9"/>
        <v>11.474779510022273</v>
      </c>
      <c r="AC10" s="1">
        <v>492.83479999999997</v>
      </c>
      <c r="AD10" s="1">
        <v>540.4348</v>
      </c>
      <c r="AE10" s="1">
        <v>426.41899999999998</v>
      </c>
      <c r="AF10" s="1">
        <v>373.01900000000001</v>
      </c>
      <c r="AG10" s="1">
        <v>298</v>
      </c>
      <c r="AH10" s="1">
        <v>339</v>
      </c>
      <c r="AI10" s="1">
        <v>705.87099999999998</v>
      </c>
      <c r="AJ10" s="1">
        <v>624.67100000000005</v>
      </c>
      <c r="AK10" s="1" t="s">
        <v>47</v>
      </c>
      <c r="AL10" s="1">
        <f t="shared" si="10"/>
        <v>0</v>
      </c>
      <c r="AM10" s="1">
        <f t="shared" si="11"/>
        <v>225</v>
      </c>
      <c r="AN10">
        <f t="shared" si="12"/>
        <v>202.05</v>
      </c>
    </row>
    <row r="11" spans="1:40" x14ac:dyDescent="0.25">
      <c r="A11" s="1" t="s">
        <v>48</v>
      </c>
      <c r="B11" s="1" t="s">
        <v>43</v>
      </c>
      <c r="C11" s="1">
        <v>4073.6550000000002</v>
      </c>
      <c r="D11" s="1">
        <v>2185</v>
      </c>
      <c r="E11" s="1">
        <v>3910</v>
      </c>
      <c r="F11" s="1">
        <v>999.65499999999997</v>
      </c>
      <c r="G11" s="7">
        <v>0.45</v>
      </c>
      <c r="H11" s="1">
        <v>45</v>
      </c>
      <c r="I11" s="16" t="s">
        <v>46</v>
      </c>
      <c r="J11" s="1"/>
      <c r="K11" s="1">
        <v>4533</v>
      </c>
      <c r="L11" s="1">
        <f t="shared" si="4"/>
        <v>-623</v>
      </c>
      <c r="M11" s="1">
        <f t="shared" si="5"/>
        <v>3250</v>
      </c>
      <c r="N11" s="1">
        <v>660</v>
      </c>
      <c r="O11" s="1">
        <v>443.2</v>
      </c>
      <c r="P11" s="1"/>
      <c r="Q11" s="1"/>
      <c r="R11" s="1">
        <v>3000</v>
      </c>
      <c r="S11" s="1"/>
      <c r="T11" s="1">
        <v>1826.9502</v>
      </c>
      <c r="U11" s="1"/>
      <c r="V11" s="1"/>
      <c r="W11" s="1">
        <f t="shared" si="6"/>
        <v>650</v>
      </c>
      <c r="X11" s="5">
        <f>11*W11-T11-S11-R11-Q11-P11-O11-F11</f>
        <v>880.19479999999976</v>
      </c>
      <c r="Y11" s="5">
        <f t="shared" si="7"/>
        <v>880.19479999999976</v>
      </c>
      <c r="Z11" s="5">
        <v>500</v>
      </c>
      <c r="AA11" s="1">
        <f t="shared" si="8"/>
        <v>11.76923076923077</v>
      </c>
      <c r="AB11" s="1">
        <f t="shared" si="9"/>
        <v>9.6458541538461535</v>
      </c>
      <c r="AC11" s="1">
        <v>684.8732</v>
      </c>
      <c r="AD11" s="1">
        <v>689.67319999999995</v>
      </c>
      <c r="AE11" s="1">
        <v>718.03</v>
      </c>
      <c r="AF11" s="1">
        <v>763.07439999999997</v>
      </c>
      <c r="AG11" s="1">
        <v>683.4</v>
      </c>
      <c r="AH11" s="1">
        <v>536.79999999999995</v>
      </c>
      <c r="AI11" s="1">
        <v>707.36580000000004</v>
      </c>
      <c r="AJ11" s="1">
        <v>771.7657999999999</v>
      </c>
      <c r="AK11" s="1" t="s">
        <v>49</v>
      </c>
      <c r="AL11" s="1">
        <f t="shared" si="10"/>
        <v>396</v>
      </c>
      <c r="AM11" s="1">
        <f t="shared" si="11"/>
        <v>225</v>
      </c>
      <c r="AN11">
        <f t="shared" si="12"/>
        <v>292.5</v>
      </c>
    </row>
    <row r="12" spans="1:40" x14ac:dyDescent="0.25">
      <c r="A12" s="1" t="s">
        <v>50</v>
      </c>
      <c r="B12" s="1" t="s">
        <v>43</v>
      </c>
      <c r="C12" s="1">
        <v>189</v>
      </c>
      <c r="D12" s="1">
        <v>6</v>
      </c>
      <c r="E12" s="1">
        <v>95</v>
      </c>
      <c r="F12" s="1">
        <v>94</v>
      </c>
      <c r="G12" s="7">
        <v>0.17</v>
      </c>
      <c r="H12" s="1">
        <v>180</v>
      </c>
      <c r="I12" s="1" t="s">
        <v>39</v>
      </c>
      <c r="J12" s="1"/>
      <c r="K12" s="1">
        <v>101</v>
      </c>
      <c r="L12" s="1">
        <f t="shared" si="4"/>
        <v>-6</v>
      </c>
      <c r="M12" s="1">
        <f t="shared" si="5"/>
        <v>95</v>
      </c>
      <c r="N12" s="1"/>
      <c r="O12" s="1"/>
      <c r="P12" s="1"/>
      <c r="Q12" s="1"/>
      <c r="R12" s="1"/>
      <c r="S12" s="1"/>
      <c r="T12" s="1">
        <v>87.600000000000023</v>
      </c>
      <c r="U12" s="1"/>
      <c r="V12" s="1"/>
      <c r="W12" s="1">
        <f t="shared" si="6"/>
        <v>19</v>
      </c>
      <c r="X12" s="5">
        <f>11*W12-T12-S12-R12-Q12-P12-O12-F12</f>
        <v>27.399999999999977</v>
      </c>
      <c r="Y12" s="5">
        <f t="shared" si="7"/>
        <v>27.399999999999977</v>
      </c>
      <c r="Z12" s="5"/>
      <c r="AA12" s="1">
        <f t="shared" si="8"/>
        <v>11</v>
      </c>
      <c r="AB12" s="1">
        <f t="shared" si="9"/>
        <v>9.5578947368421066</v>
      </c>
      <c r="AC12" s="1">
        <v>17.8</v>
      </c>
      <c r="AD12" s="1">
        <v>17.8</v>
      </c>
      <c r="AE12" s="1">
        <v>13.2</v>
      </c>
      <c r="AF12" s="1">
        <v>20</v>
      </c>
      <c r="AG12" s="1">
        <v>19.234000000000002</v>
      </c>
      <c r="AH12" s="1">
        <v>23.6</v>
      </c>
      <c r="AI12" s="1">
        <v>35</v>
      </c>
      <c r="AJ12" s="1">
        <v>24.6</v>
      </c>
      <c r="AK12" s="1"/>
      <c r="AL12" s="1">
        <f t="shared" si="10"/>
        <v>5</v>
      </c>
      <c r="AM12" s="1">
        <f t="shared" si="11"/>
        <v>0</v>
      </c>
      <c r="AN12">
        <f t="shared" si="12"/>
        <v>3.2300000000000004</v>
      </c>
    </row>
    <row r="13" spans="1:40" x14ac:dyDescent="0.25">
      <c r="A13" s="1" t="s">
        <v>51</v>
      </c>
      <c r="B13" s="1" t="s">
        <v>43</v>
      </c>
      <c r="C13" s="1">
        <v>58</v>
      </c>
      <c r="D13" s="1">
        <v>10</v>
      </c>
      <c r="E13" s="1">
        <v>58</v>
      </c>
      <c r="F13" s="1">
        <v>3</v>
      </c>
      <c r="G13" s="7">
        <v>0.3</v>
      </c>
      <c r="H13" s="1">
        <v>40</v>
      </c>
      <c r="I13" s="13" t="s">
        <v>52</v>
      </c>
      <c r="J13" s="1"/>
      <c r="K13" s="1">
        <v>76</v>
      </c>
      <c r="L13" s="1">
        <f t="shared" si="4"/>
        <v>-18</v>
      </c>
      <c r="M13" s="1">
        <f t="shared" si="5"/>
        <v>58</v>
      </c>
      <c r="N13" s="1"/>
      <c r="O13" s="1"/>
      <c r="P13" s="1"/>
      <c r="Q13" s="1"/>
      <c r="R13" s="1"/>
      <c r="S13" s="1"/>
      <c r="T13" s="1">
        <v>50</v>
      </c>
      <c r="U13" s="1"/>
      <c r="V13" s="1"/>
      <c r="W13" s="1">
        <f t="shared" si="6"/>
        <v>11.6</v>
      </c>
      <c r="X13" s="5">
        <f>11*W13-T13-S13-R13-Q13-P13-O13-F13</f>
        <v>74.599999999999994</v>
      </c>
      <c r="Y13" s="5">
        <f t="shared" si="7"/>
        <v>74.599999999999994</v>
      </c>
      <c r="Z13" s="5"/>
      <c r="AA13" s="1">
        <f t="shared" si="8"/>
        <v>11</v>
      </c>
      <c r="AB13" s="1">
        <f t="shared" si="9"/>
        <v>4.5689655172413799</v>
      </c>
      <c r="AC13" s="1">
        <v>12</v>
      </c>
      <c r="AD13" s="1">
        <v>12.6</v>
      </c>
      <c r="AE13" s="1">
        <v>7.2</v>
      </c>
      <c r="AF13" s="1">
        <v>4.2</v>
      </c>
      <c r="AG13" s="1">
        <v>8.1999999999999993</v>
      </c>
      <c r="AH13" s="1">
        <v>11.8</v>
      </c>
      <c r="AI13" s="1">
        <v>8.4</v>
      </c>
      <c r="AJ13" s="1">
        <v>3.2</v>
      </c>
      <c r="AK13" s="1"/>
      <c r="AL13" s="1">
        <f t="shared" si="10"/>
        <v>22</v>
      </c>
      <c r="AM13" s="1">
        <f t="shared" si="11"/>
        <v>0</v>
      </c>
      <c r="AN13">
        <f t="shared" si="12"/>
        <v>3.48</v>
      </c>
    </row>
    <row r="14" spans="1:40" x14ac:dyDescent="0.25">
      <c r="A14" s="1" t="s">
        <v>53</v>
      </c>
      <c r="B14" s="1" t="s">
        <v>43</v>
      </c>
      <c r="C14" s="1">
        <v>218</v>
      </c>
      <c r="D14" s="1">
        <v>354</v>
      </c>
      <c r="E14" s="1">
        <v>248</v>
      </c>
      <c r="F14" s="1">
        <v>162</v>
      </c>
      <c r="G14" s="7">
        <v>0.17</v>
      </c>
      <c r="H14" s="1">
        <v>180</v>
      </c>
      <c r="I14" s="1" t="s">
        <v>39</v>
      </c>
      <c r="J14" s="1"/>
      <c r="K14" s="1">
        <v>285</v>
      </c>
      <c r="L14" s="1">
        <f t="shared" si="4"/>
        <v>-37</v>
      </c>
      <c r="M14" s="1">
        <f t="shared" si="5"/>
        <v>98</v>
      </c>
      <c r="N14" s="1">
        <v>150</v>
      </c>
      <c r="O14" s="1"/>
      <c r="P14" s="1"/>
      <c r="Q14" s="1"/>
      <c r="R14" s="1"/>
      <c r="S14" s="1"/>
      <c r="T14" s="1">
        <v>50.800000000000097</v>
      </c>
      <c r="U14" s="1"/>
      <c r="V14" s="1"/>
      <c r="W14" s="1">
        <f t="shared" si="6"/>
        <v>19.600000000000001</v>
      </c>
      <c r="X14" s="5">
        <v>8</v>
      </c>
      <c r="Y14" s="5">
        <f t="shared" si="7"/>
        <v>8</v>
      </c>
      <c r="Z14" s="5"/>
      <c r="AA14" s="1">
        <f t="shared" si="8"/>
        <v>11.265306122448983</v>
      </c>
      <c r="AB14" s="1">
        <f t="shared" si="9"/>
        <v>10.857142857142861</v>
      </c>
      <c r="AC14" s="1">
        <v>17.399999999999999</v>
      </c>
      <c r="AD14" s="1">
        <v>35.4</v>
      </c>
      <c r="AE14" s="1">
        <v>34.200000000000003</v>
      </c>
      <c r="AF14" s="1">
        <v>26</v>
      </c>
      <c r="AG14" s="1">
        <v>27.634</v>
      </c>
      <c r="AH14" s="1">
        <v>36.799999999999997</v>
      </c>
      <c r="AI14" s="1">
        <v>60.2</v>
      </c>
      <c r="AJ14" s="1">
        <v>65.2</v>
      </c>
      <c r="AK14" s="1"/>
      <c r="AL14" s="1">
        <f t="shared" si="10"/>
        <v>1</v>
      </c>
      <c r="AM14" s="1">
        <f t="shared" si="11"/>
        <v>0</v>
      </c>
      <c r="AN14">
        <f t="shared" si="12"/>
        <v>3.3320000000000003</v>
      </c>
    </row>
    <row r="15" spans="1:40" x14ac:dyDescent="0.25">
      <c r="A15" s="9" t="s">
        <v>54</v>
      </c>
      <c r="B15" s="9" t="s">
        <v>43</v>
      </c>
      <c r="C15" s="9">
        <v>335</v>
      </c>
      <c r="D15" s="9">
        <v>6</v>
      </c>
      <c r="E15" s="9">
        <v>80</v>
      </c>
      <c r="F15" s="9">
        <v>254</v>
      </c>
      <c r="G15" s="10">
        <v>0</v>
      </c>
      <c r="H15" s="9"/>
      <c r="I15" s="9" t="s">
        <v>55</v>
      </c>
      <c r="J15" s="9"/>
      <c r="K15" s="9">
        <v>92</v>
      </c>
      <c r="L15" s="9">
        <f t="shared" si="4"/>
        <v>-12</v>
      </c>
      <c r="M15" s="9">
        <f t="shared" si="5"/>
        <v>80</v>
      </c>
      <c r="N15" s="9"/>
      <c r="O15" s="9"/>
      <c r="P15" s="9"/>
      <c r="Q15" s="9"/>
      <c r="R15" s="9"/>
      <c r="S15" s="9"/>
      <c r="T15" s="9">
        <v>0</v>
      </c>
      <c r="U15" s="9"/>
      <c r="V15" s="9"/>
      <c r="W15" s="9">
        <f t="shared" si="6"/>
        <v>16</v>
      </c>
      <c r="X15" s="11"/>
      <c r="Y15" s="5">
        <f t="shared" si="7"/>
        <v>0</v>
      </c>
      <c r="Z15" s="5"/>
      <c r="AA15" s="1">
        <f t="shared" si="8"/>
        <v>15.875</v>
      </c>
      <c r="AB15" s="1">
        <f t="shared" si="9"/>
        <v>15.875</v>
      </c>
      <c r="AC15" s="9">
        <v>1</v>
      </c>
      <c r="AD15" s="9">
        <v>1</v>
      </c>
      <c r="AE15" s="9">
        <v>5.2</v>
      </c>
      <c r="AF15" s="9">
        <v>4.4000000000000004</v>
      </c>
      <c r="AG15" s="9">
        <v>0.2</v>
      </c>
      <c r="AH15" s="9">
        <v>4.4000000000000004</v>
      </c>
      <c r="AI15" s="9">
        <v>4.2</v>
      </c>
      <c r="AJ15" s="9">
        <v>0</v>
      </c>
      <c r="AK15" s="9" t="s">
        <v>56</v>
      </c>
      <c r="AL15" s="1">
        <f t="shared" si="10"/>
        <v>0</v>
      </c>
      <c r="AM15" s="1">
        <f t="shared" si="11"/>
        <v>0</v>
      </c>
      <c r="AN15">
        <f t="shared" si="12"/>
        <v>0</v>
      </c>
    </row>
    <row r="16" spans="1:40" x14ac:dyDescent="0.25">
      <c r="A16" s="1" t="s">
        <v>57</v>
      </c>
      <c r="B16" s="1" t="s">
        <v>38</v>
      </c>
      <c r="C16" s="1">
        <v>2385.701</v>
      </c>
      <c r="D16" s="1">
        <v>6027.94</v>
      </c>
      <c r="E16" s="1">
        <v>3437.4639999999999</v>
      </c>
      <c r="F16" s="1">
        <v>4067.3</v>
      </c>
      <c r="G16" s="7">
        <v>1</v>
      </c>
      <c r="H16" s="1">
        <v>70</v>
      </c>
      <c r="I16" s="1" t="s">
        <v>39</v>
      </c>
      <c r="J16" s="1"/>
      <c r="K16" s="1">
        <v>3455.12</v>
      </c>
      <c r="L16" s="1">
        <f t="shared" si="4"/>
        <v>-17.655999999999949</v>
      </c>
      <c r="M16" s="1">
        <f t="shared" si="5"/>
        <v>2791.7939999999999</v>
      </c>
      <c r="N16" s="1">
        <v>645.66999999999996</v>
      </c>
      <c r="O16" s="1">
        <v>332.4</v>
      </c>
      <c r="P16" s="1"/>
      <c r="Q16" s="1"/>
      <c r="R16" s="1">
        <v>865</v>
      </c>
      <c r="S16" s="1"/>
      <c r="T16" s="1">
        <v>1402.7204884812811</v>
      </c>
      <c r="U16" s="1"/>
      <c r="V16" s="1"/>
      <c r="W16" s="1">
        <f t="shared" si="6"/>
        <v>558.35879999999997</v>
      </c>
      <c r="X16" s="5"/>
      <c r="Y16" s="5">
        <f t="shared" si="7"/>
        <v>0</v>
      </c>
      <c r="Z16" s="5">
        <v>400</v>
      </c>
      <c r="AA16" s="1">
        <f t="shared" si="8"/>
        <v>12.657489213891285</v>
      </c>
      <c r="AB16" s="1">
        <f t="shared" si="9"/>
        <v>11.941103979164081</v>
      </c>
      <c r="AC16" s="1">
        <v>576.6604000000001</v>
      </c>
      <c r="AD16" s="1">
        <v>628.17099999999994</v>
      </c>
      <c r="AE16" s="1">
        <v>726.94060000000002</v>
      </c>
      <c r="AF16" s="1">
        <v>643.96600000000001</v>
      </c>
      <c r="AG16" s="1">
        <v>609.90919999999994</v>
      </c>
      <c r="AH16" s="1">
        <v>693.11580000000004</v>
      </c>
      <c r="AI16" s="1">
        <v>746.79539999999997</v>
      </c>
      <c r="AJ16" s="1">
        <v>794.77139999999997</v>
      </c>
      <c r="AK16" s="1"/>
      <c r="AL16" s="1">
        <f t="shared" si="10"/>
        <v>0</v>
      </c>
      <c r="AM16" s="1">
        <f t="shared" si="11"/>
        <v>400</v>
      </c>
      <c r="AN16">
        <f t="shared" si="12"/>
        <v>558.35879999999997</v>
      </c>
    </row>
    <row r="17" spans="1:40" x14ac:dyDescent="0.25">
      <c r="A17" s="1" t="s">
        <v>58</v>
      </c>
      <c r="B17" s="1" t="s">
        <v>38</v>
      </c>
      <c r="C17" s="1">
        <v>2358.6469999999999</v>
      </c>
      <c r="D17" s="1">
        <v>3302.0320000000002</v>
      </c>
      <c r="E17" s="1">
        <v>3245.212</v>
      </c>
      <c r="F17" s="1">
        <v>1148.1759999999999</v>
      </c>
      <c r="G17" s="7">
        <v>1</v>
      </c>
      <c r="H17" s="1">
        <v>50</v>
      </c>
      <c r="I17" s="1" t="s">
        <v>39</v>
      </c>
      <c r="J17" s="1"/>
      <c r="K17" s="1">
        <v>3326.6729999999998</v>
      </c>
      <c r="L17" s="1">
        <f t="shared" si="4"/>
        <v>-81.460999999999785</v>
      </c>
      <c r="M17" s="1">
        <f t="shared" si="5"/>
        <v>2180.1390000000001</v>
      </c>
      <c r="N17" s="1">
        <v>1065.0730000000001</v>
      </c>
      <c r="O17" s="1">
        <v>1103.604427857824</v>
      </c>
      <c r="P17" s="1"/>
      <c r="Q17" s="1">
        <v>300</v>
      </c>
      <c r="R17" s="1"/>
      <c r="S17" s="1"/>
      <c r="T17" s="1">
        <v>0</v>
      </c>
      <c r="U17" s="1"/>
      <c r="V17" s="1"/>
      <c r="W17" s="1">
        <f t="shared" si="6"/>
        <v>436.02780000000001</v>
      </c>
      <c r="X17" s="5">
        <f>11*W17-T17-S17-R17-Q17-P17-O17-F17</f>
        <v>2244.5253721421764</v>
      </c>
      <c r="Y17" s="5">
        <v>2200</v>
      </c>
      <c r="Z17" s="5"/>
      <c r="AA17" s="1">
        <f t="shared" si="8"/>
        <v>10.897884097889685</v>
      </c>
      <c r="AB17" s="1">
        <f t="shared" si="9"/>
        <v>5.8523342499212756</v>
      </c>
      <c r="AC17" s="1">
        <v>283.60739999999998</v>
      </c>
      <c r="AD17" s="1">
        <v>445.85719999999998</v>
      </c>
      <c r="AE17" s="1">
        <v>436.47500000000002</v>
      </c>
      <c r="AF17" s="1">
        <v>435.79059999999993</v>
      </c>
      <c r="AG17" s="1">
        <v>509.04079999999999</v>
      </c>
      <c r="AH17" s="1">
        <v>530.1232</v>
      </c>
      <c r="AI17" s="1">
        <v>537.54300000000001</v>
      </c>
      <c r="AJ17" s="1">
        <v>623.73239999999998</v>
      </c>
      <c r="AK17" s="1"/>
      <c r="AL17" s="1">
        <f t="shared" si="10"/>
        <v>2200</v>
      </c>
      <c r="AM17" s="1">
        <f t="shared" si="11"/>
        <v>0</v>
      </c>
      <c r="AN17">
        <f t="shared" si="12"/>
        <v>436.02780000000001</v>
      </c>
    </row>
    <row r="18" spans="1:40" x14ac:dyDescent="0.25">
      <c r="A18" s="1" t="s">
        <v>59</v>
      </c>
      <c r="B18" s="1" t="s">
        <v>38</v>
      </c>
      <c r="C18" s="1">
        <v>-7.2329999999999997</v>
      </c>
      <c r="D18" s="1">
        <v>217.08600000000001</v>
      </c>
      <c r="E18" s="1">
        <v>3.5310000000000001</v>
      </c>
      <c r="F18" s="1">
        <v>206.322</v>
      </c>
      <c r="G18" s="7">
        <v>1</v>
      </c>
      <c r="H18" s="1">
        <v>60</v>
      </c>
      <c r="I18" s="1" t="s">
        <v>39</v>
      </c>
      <c r="J18" s="1"/>
      <c r="K18" s="1">
        <v>71.2</v>
      </c>
      <c r="L18" s="1">
        <f t="shared" si="4"/>
        <v>-67.668999999999997</v>
      </c>
      <c r="M18" s="1">
        <f t="shared" si="5"/>
        <v>3.5310000000000001</v>
      </c>
      <c r="N18" s="1"/>
      <c r="O18" s="1"/>
      <c r="P18" s="1"/>
      <c r="Q18" s="1"/>
      <c r="R18" s="1"/>
      <c r="S18" s="1"/>
      <c r="T18" s="1">
        <v>149.69200000000001</v>
      </c>
      <c r="U18" s="1"/>
      <c r="V18" s="1"/>
      <c r="W18" s="1">
        <f t="shared" si="6"/>
        <v>0.70620000000000005</v>
      </c>
      <c r="X18" s="5"/>
      <c r="Y18" s="5">
        <f t="shared" si="7"/>
        <v>0</v>
      </c>
      <c r="Z18" s="5"/>
      <c r="AA18" s="1">
        <f t="shared" si="8"/>
        <v>504.12630982724437</v>
      </c>
      <c r="AB18" s="1">
        <f t="shared" si="9"/>
        <v>504.12630982724437</v>
      </c>
      <c r="AC18" s="1">
        <v>29.232199999999992</v>
      </c>
      <c r="AD18" s="1">
        <v>29.232199999999992</v>
      </c>
      <c r="AE18" s="1">
        <v>22.357199999999999</v>
      </c>
      <c r="AF18" s="1">
        <v>-0.251</v>
      </c>
      <c r="AG18" s="1">
        <v>23.059200000000001</v>
      </c>
      <c r="AH18" s="1">
        <v>27.917000000000002</v>
      </c>
      <c r="AI18" s="1">
        <v>18.902000000000001</v>
      </c>
      <c r="AJ18" s="1">
        <v>36.507800000000003</v>
      </c>
      <c r="AK18" s="1"/>
      <c r="AL18" s="1">
        <f t="shared" si="10"/>
        <v>0</v>
      </c>
      <c r="AM18" s="1">
        <f t="shared" si="11"/>
        <v>0</v>
      </c>
      <c r="AN18">
        <f t="shared" si="12"/>
        <v>0.70620000000000005</v>
      </c>
    </row>
    <row r="19" spans="1:40" x14ac:dyDescent="0.25">
      <c r="A19" s="9" t="s">
        <v>60</v>
      </c>
      <c r="B19" s="9" t="s">
        <v>38</v>
      </c>
      <c r="C19" s="9">
        <v>-7.4790000000000001</v>
      </c>
      <c r="D19" s="9"/>
      <c r="E19" s="12">
        <v>20.013999999999999</v>
      </c>
      <c r="F19" s="12">
        <v>-27.492999999999999</v>
      </c>
      <c r="G19" s="10">
        <v>0</v>
      </c>
      <c r="H19" s="9"/>
      <c r="I19" s="9" t="s">
        <v>55</v>
      </c>
      <c r="J19" s="9" t="s">
        <v>61</v>
      </c>
      <c r="K19" s="9">
        <v>20</v>
      </c>
      <c r="L19" s="9">
        <f t="shared" si="4"/>
        <v>1.3999999999999346E-2</v>
      </c>
      <c r="M19" s="9">
        <f t="shared" si="5"/>
        <v>20.013999999999999</v>
      </c>
      <c r="N19" s="9"/>
      <c r="O19" s="9"/>
      <c r="P19" s="9"/>
      <c r="Q19" s="9"/>
      <c r="R19" s="9"/>
      <c r="S19" s="9"/>
      <c r="T19" s="9">
        <v>0</v>
      </c>
      <c r="U19" s="9"/>
      <c r="V19" s="9"/>
      <c r="W19" s="9">
        <f t="shared" si="6"/>
        <v>4.0027999999999997</v>
      </c>
      <c r="X19" s="11"/>
      <c r="Y19" s="5">
        <f t="shared" si="7"/>
        <v>0</v>
      </c>
      <c r="Z19" s="5"/>
      <c r="AA19" s="1">
        <f t="shared" si="8"/>
        <v>-6.8684420905366244</v>
      </c>
      <c r="AB19" s="1">
        <f t="shared" si="9"/>
        <v>-6.8684420905366244</v>
      </c>
      <c r="AC19" s="9">
        <v>0.35099999999999998</v>
      </c>
      <c r="AD19" s="9">
        <v>0.35099999999999998</v>
      </c>
      <c r="AE19" s="9">
        <v>-0.36499999999999999</v>
      </c>
      <c r="AF19" s="9">
        <v>-0.51300000000000001</v>
      </c>
      <c r="AG19" s="9">
        <v>-0.14799999999999999</v>
      </c>
      <c r="AH19" s="9">
        <v>0</v>
      </c>
      <c r="AI19" s="9">
        <v>0.49480000000000002</v>
      </c>
      <c r="AJ19" s="9">
        <v>0.49480000000000002</v>
      </c>
      <c r="AK19" s="9"/>
      <c r="AL19" s="1">
        <f t="shared" si="10"/>
        <v>0</v>
      </c>
      <c r="AM19" s="1">
        <f t="shared" si="11"/>
        <v>0</v>
      </c>
      <c r="AN19">
        <f t="shared" si="12"/>
        <v>0</v>
      </c>
    </row>
    <row r="20" spans="1:40" x14ac:dyDescent="0.25">
      <c r="A20" s="9" t="s">
        <v>62</v>
      </c>
      <c r="B20" s="9" t="s">
        <v>38</v>
      </c>
      <c r="C20" s="9"/>
      <c r="D20" s="9"/>
      <c r="E20" s="9"/>
      <c r="F20" s="9"/>
      <c r="G20" s="10">
        <v>0</v>
      </c>
      <c r="H20" s="9"/>
      <c r="I20" s="9" t="s">
        <v>39</v>
      </c>
      <c r="J20" s="9"/>
      <c r="K20" s="9"/>
      <c r="L20" s="9">
        <f t="shared" si="4"/>
        <v>0</v>
      </c>
      <c r="M20" s="9">
        <f t="shared" si="5"/>
        <v>0</v>
      </c>
      <c r="N20" s="9"/>
      <c r="O20" s="9"/>
      <c r="P20" s="9"/>
      <c r="Q20" s="9"/>
      <c r="R20" s="9"/>
      <c r="S20" s="9"/>
      <c r="T20" s="9">
        <v>0</v>
      </c>
      <c r="U20" s="9"/>
      <c r="V20" s="9"/>
      <c r="W20" s="9">
        <f t="shared" si="6"/>
        <v>0</v>
      </c>
      <c r="X20" s="11"/>
      <c r="Y20" s="5">
        <f t="shared" si="7"/>
        <v>0</v>
      </c>
      <c r="Z20" s="5"/>
      <c r="AA20" s="1" t="e">
        <f t="shared" si="8"/>
        <v>#DIV/0!</v>
      </c>
      <c r="AB20" s="1" t="e">
        <f t="shared" si="9"/>
        <v>#DIV/0!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63</v>
      </c>
      <c r="AL20" s="1">
        <f t="shared" si="10"/>
        <v>0</v>
      </c>
      <c r="AM20" s="1">
        <f t="shared" si="11"/>
        <v>0</v>
      </c>
      <c r="AN20">
        <f t="shared" si="12"/>
        <v>0</v>
      </c>
    </row>
    <row r="21" spans="1:40" x14ac:dyDescent="0.25">
      <c r="A21" s="1" t="s">
        <v>64</v>
      </c>
      <c r="B21" s="1" t="s">
        <v>38</v>
      </c>
      <c r="C21" s="1">
        <v>5.7779999999999996</v>
      </c>
      <c r="D21" s="1">
        <v>16.713999999999999</v>
      </c>
      <c r="E21" s="1">
        <v>2.3740000000000001</v>
      </c>
      <c r="F21" s="1">
        <v>20.117999999999999</v>
      </c>
      <c r="G21" s="7">
        <v>1</v>
      </c>
      <c r="H21" s="1">
        <v>180</v>
      </c>
      <c r="I21" s="1" t="s">
        <v>39</v>
      </c>
      <c r="J21" s="1"/>
      <c r="K21" s="1">
        <v>2.34</v>
      </c>
      <c r="L21" s="1">
        <f t="shared" si="4"/>
        <v>3.4000000000000252E-2</v>
      </c>
      <c r="M21" s="1">
        <f t="shared" si="5"/>
        <v>2.3740000000000001</v>
      </c>
      <c r="N21" s="1"/>
      <c r="O21" s="1"/>
      <c r="P21" s="1"/>
      <c r="Q21" s="1"/>
      <c r="R21" s="1"/>
      <c r="S21" s="1"/>
      <c r="T21" s="1">
        <v>0</v>
      </c>
      <c r="U21" s="1"/>
      <c r="V21" s="1"/>
      <c r="W21" s="1">
        <f t="shared" si="6"/>
        <v>0.4748</v>
      </c>
      <c r="X21" s="5"/>
      <c r="Y21" s="5">
        <f t="shared" si="7"/>
        <v>0</v>
      </c>
      <c r="Z21" s="5"/>
      <c r="AA21" s="1">
        <f t="shared" si="8"/>
        <v>42.3715248525695</v>
      </c>
      <c r="AB21" s="1">
        <f t="shared" si="9"/>
        <v>42.3715248525695</v>
      </c>
      <c r="AC21" s="1">
        <v>0.88339999999999996</v>
      </c>
      <c r="AD21" s="1">
        <v>0.88339999999999996</v>
      </c>
      <c r="AE21" s="1">
        <v>1.4618</v>
      </c>
      <c r="AF21" s="1">
        <v>1.1292</v>
      </c>
      <c r="AG21" s="1">
        <v>0.64200000000000002</v>
      </c>
      <c r="AH21" s="1">
        <v>0.42899999999999999</v>
      </c>
      <c r="AI21" s="1">
        <v>1.0448</v>
      </c>
      <c r="AJ21" s="1">
        <v>1.1863999999999999</v>
      </c>
      <c r="AK21" s="15" t="s">
        <v>65</v>
      </c>
      <c r="AL21" s="1">
        <f t="shared" si="10"/>
        <v>0</v>
      </c>
      <c r="AM21" s="1">
        <f t="shared" si="11"/>
        <v>0</v>
      </c>
      <c r="AN21">
        <f t="shared" si="12"/>
        <v>0.4748</v>
      </c>
    </row>
    <row r="22" spans="1:40" x14ac:dyDescent="0.25">
      <c r="A22" s="1" t="s">
        <v>66</v>
      </c>
      <c r="B22" s="1" t="s">
        <v>38</v>
      </c>
      <c r="C22" s="1">
        <v>565.35599999999999</v>
      </c>
      <c r="D22" s="1">
        <v>13069.258</v>
      </c>
      <c r="E22" s="1">
        <v>3785.0970000000002</v>
      </c>
      <c r="F22" s="1">
        <v>9324.7369999999992</v>
      </c>
      <c r="G22" s="7">
        <v>1</v>
      </c>
      <c r="H22" s="1">
        <v>60</v>
      </c>
      <c r="I22" s="1" t="s">
        <v>39</v>
      </c>
      <c r="J22" s="1"/>
      <c r="K22" s="1">
        <v>3810.28</v>
      </c>
      <c r="L22" s="1">
        <f t="shared" si="4"/>
        <v>-25.182999999999993</v>
      </c>
      <c r="M22" s="1">
        <f t="shared" si="5"/>
        <v>3785.0970000000002</v>
      </c>
      <c r="N22" s="1"/>
      <c r="O22" s="1">
        <v>2268.3225432959989</v>
      </c>
      <c r="P22" s="1"/>
      <c r="Q22" s="1"/>
      <c r="R22" s="1"/>
      <c r="S22" s="1"/>
      <c r="T22" s="1">
        <v>0</v>
      </c>
      <c r="U22" s="1"/>
      <c r="V22" s="1"/>
      <c r="W22" s="1">
        <f t="shared" si="6"/>
        <v>757.01940000000002</v>
      </c>
      <c r="X22" s="5"/>
      <c r="Y22" s="5">
        <f t="shared" si="7"/>
        <v>0</v>
      </c>
      <c r="Z22" s="5"/>
      <c r="AA22" s="1">
        <f t="shared" si="8"/>
        <v>15.314085138763945</v>
      </c>
      <c r="AB22" s="1">
        <f t="shared" si="9"/>
        <v>15.314085138763945</v>
      </c>
      <c r="AC22" s="1">
        <v>1194.5776000000001</v>
      </c>
      <c r="AD22" s="1">
        <v>1235.5082</v>
      </c>
      <c r="AE22" s="1">
        <v>1204.5540000000001</v>
      </c>
      <c r="AF22" s="1">
        <v>901.40879999999993</v>
      </c>
      <c r="AG22" s="1">
        <v>763.35619999999994</v>
      </c>
      <c r="AH22" s="1">
        <v>859.37340000000006</v>
      </c>
      <c r="AI22" s="1">
        <v>796.55060000000003</v>
      </c>
      <c r="AJ22" s="1">
        <v>870.48359999999991</v>
      </c>
      <c r="AK22" s="1"/>
      <c r="AL22" s="1">
        <f t="shared" si="10"/>
        <v>0</v>
      </c>
      <c r="AM22" s="1">
        <f t="shared" si="11"/>
        <v>0</v>
      </c>
      <c r="AN22">
        <f t="shared" si="12"/>
        <v>757.01940000000002</v>
      </c>
    </row>
    <row r="23" spans="1:40" x14ac:dyDescent="0.25">
      <c r="A23" s="9" t="s">
        <v>67</v>
      </c>
      <c r="B23" s="9" t="s">
        <v>38</v>
      </c>
      <c r="C23" s="9">
        <v>-12.462999999999999</v>
      </c>
      <c r="D23" s="9"/>
      <c r="E23" s="9"/>
      <c r="F23" s="12">
        <v>-12.462999999999999</v>
      </c>
      <c r="G23" s="10">
        <v>0</v>
      </c>
      <c r="H23" s="9"/>
      <c r="I23" s="9" t="s">
        <v>55</v>
      </c>
      <c r="J23" s="9" t="s">
        <v>68</v>
      </c>
      <c r="K23" s="9"/>
      <c r="L23" s="9">
        <f t="shared" si="4"/>
        <v>0</v>
      </c>
      <c r="M23" s="9">
        <f t="shared" si="5"/>
        <v>0</v>
      </c>
      <c r="N23" s="9"/>
      <c r="O23" s="9"/>
      <c r="P23" s="9"/>
      <c r="Q23" s="9"/>
      <c r="R23" s="9"/>
      <c r="S23" s="9"/>
      <c r="T23" s="9">
        <v>0</v>
      </c>
      <c r="U23" s="9"/>
      <c r="V23" s="9"/>
      <c r="W23" s="9">
        <f t="shared" si="6"/>
        <v>0</v>
      </c>
      <c r="X23" s="11"/>
      <c r="Y23" s="5">
        <f t="shared" si="7"/>
        <v>0</v>
      </c>
      <c r="Z23" s="5"/>
      <c r="AA23" s="1" t="e">
        <f t="shared" si="8"/>
        <v>#DIV/0!</v>
      </c>
      <c r="AB23" s="1" t="e">
        <f t="shared" si="9"/>
        <v>#DIV/0!</v>
      </c>
      <c r="AC23" s="9">
        <v>0.99399999999999999</v>
      </c>
      <c r="AD23" s="9">
        <v>0.99399999999999999</v>
      </c>
      <c r="AE23" s="9">
        <v>0</v>
      </c>
      <c r="AF23" s="9">
        <v>0</v>
      </c>
      <c r="AG23" s="9">
        <v>0</v>
      </c>
      <c r="AH23" s="9">
        <v>0</v>
      </c>
      <c r="AI23" s="9">
        <v>1.4985999999999999</v>
      </c>
      <c r="AJ23" s="9">
        <v>1.4985999999999999</v>
      </c>
      <c r="AK23" s="9"/>
      <c r="AL23" s="1">
        <f t="shared" si="10"/>
        <v>0</v>
      </c>
      <c r="AM23" s="1">
        <f t="shared" si="11"/>
        <v>0</v>
      </c>
      <c r="AN23">
        <f t="shared" si="12"/>
        <v>0</v>
      </c>
    </row>
    <row r="24" spans="1:40" x14ac:dyDescent="0.25">
      <c r="A24" s="1" t="s">
        <v>69</v>
      </c>
      <c r="B24" s="1" t="s">
        <v>38</v>
      </c>
      <c r="C24" s="1">
        <v>361.57900000000001</v>
      </c>
      <c r="D24" s="1">
        <v>1151.0229999999999</v>
      </c>
      <c r="E24" s="1">
        <v>673.68200000000002</v>
      </c>
      <c r="F24" s="1">
        <v>551.59799999999996</v>
      </c>
      <c r="G24" s="7">
        <v>1</v>
      </c>
      <c r="H24" s="1">
        <v>70</v>
      </c>
      <c r="I24" s="1" t="s">
        <v>39</v>
      </c>
      <c r="J24" s="1"/>
      <c r="K24" s="1">
        <v>690.88</v>
      </c>
      <c r="L24" s="1">
        <f t="shared" si="4"/>
        <v>-17.197999999999979</v>
      </c>
      <c r="M24" s="1">
        <f t="shared" si="5"/>
        <v>673.68200000000002</v>
      </c>
      <c r="N24" s="1"/>
      <c r="O24" s="1"/>
      <c r="P24" s="1"/>
      <c r="Q24" s="1"/>
      <c r="R24" s="1"/>
      <c r="S24" s="1"/>
      <c r="T24" s="1">
        <v>0</v>
      </c>
      <c r="U24" s="1"/>
      <c r="V24" s="1"/>
      <c r="W24" s="1">
        <f t="shared" si="6"/>
        <v>134.7364</v>
      </c>
      <c r="X24" s="5">
        <f>10*W24-T24-S24-R24-Q24-P24-O24-F24</f>
        <v>795.76600000000008</v>
      </c>
      <c r="Y24" s="5">
        <f t="shared" si="7"/>
        <v>795.76600000000008</v>
      </c>
      <c r="Z24" s="5"/>
      <c r="AA24" s="1">
        <f t="shared" si="8"/>
        <v>10</v>
      </c>
      <c r="AB24" s="1">
        <f t="shared" si="9"/>
        <v>4.093904839375254</v>
      </c>
      <c r="AC24" s="1">
        <v>21.680199999999999</v>
      </c>
      <c r="AD24" s="1">
        <v>72.813199999999995</v>
      </c>
      <c r="AE24" s="1">
        <v>77.070599999999999</v>
      </c>
      <c r="AF24" s="1">
        <v>121.82040000000001</v>
      </c>
      <c r="AG24" s="1">
        <v>64.7166</v>
      </c>
      <c r="AH24" s="1">
        <v>29.255199999999999</v>
      </c>
      <c r="AI24" s="1">
        <v>86.518400000000014</v>
      </c>
      <c r="AJ24" s="1">
        <v>112.26900000000001</v>
      </c>
      <c r="AK24" s="1"/>
      <c r="AL24" s="1">
        <f t="shared" si="10"/>
        <v>796</v>
      </c>
      <c r="AM24" s="1">
        <f t="shared" si="11"/>
        <v>0</v>
      </c>
      <c r="AN24">
        <f t="shared" si="12"/>
        <v>134.7364</v>
      </c>
    </row>
    <row r="25" spans="1:40" x14ac:dyDescent="0.25">
      <c r="A25" s="1" t="s">
        <v>70</v>
      </c>
      <c r="B25" s="1" t="s">
        <v>38</v>
      </c>
      <c r="C25" s="1">
        <v>808.19399999999996</v>
      </c>
      <c r="D25" s="1">
        <v>1999.626</v>
      </c>
      <c r="E25" s="1">
        <v>1213.827</v>
      </c>
      <c r="F25" s="1">
        <v>1331.9929999999999</v>
      </c>
      <c r="G25" s="7">
        <v>1</v>
      </c>
      <c r="H25" s="1">
        <v>70</v>
      </c>
      <c r="I25" s="1" t="s">
        <v>39</v>
      </c>
      <c r="J25" s="1"/>
      <c r="K25" s="1">
        <v>1213.3610000000001</v>
      </c>
      <c r="L25" s="1">
        <f t="shared" si="4"/>
        <v>0.4659999999998945</v>
      </c>
      <c r="M25" s="1">
        <f t="shared" si="5"/>
        <v>1029.316</v>
      </c>
      <c r="N25" s="1">
        <v>184.511</v>
      </c>
      <c r="O25" s="1">
        <v>401.10939212343197</v>
      </c>
      <c r="P25" s="1"/>
      <c r="Q25" s="1"/>
      <c r="R25" s="1"/>
      <c r="S25" s="1"/>
      <c r="T25" s="1">
        <v>589.0867887161595</v>
      </c>
      <c r="U25" s="1"/>
      <c r="V25" s="1"/>
      <c r="W25" s="1">
        <f t="shared" si="6"/>
        <v>205.86320000000001</v>
      </c>
      <c r="X25" s="5"/>
      <c r="Y25" s="5">
        <f t="shared" si="7"/>
        <v>0</v>
      </c>
      <c r="Z25" s="5"/>
      <c r="AA25" s="1">
        <f t="shared" si="8"/>
        <v>11.280253978562421</v>
      </c>
      <c r="AB25" s="1">
        <f t="shared" si="9"/>
        <v>11.280253978562421</v>
      </c>
      <c r="AC25" s="1">
        <v>212.68279999999999</v>
      </c>
      <c r="AD25" s="1">
        <v>230.36799999999999</v>
      </c>
      <c r="AE25" s="1">
        <v>244.7884</v>
      </c>
      <c r="AF25" s="1">
        <v>233.47839999999999</v>
      </c>
      <c r="AG25" s="1">
        <v>197.40940000000001</v>
      </c>
      <c r="AH25" s="1">
        <v>248.37119999999999</v>
      </c>
      <c r="AI25" s="1">
        <v>254.24639999999999</v>
      </c>
      <c r="AJ25" s="1">
        <v>255.9778</v>
      </c>
      <c r="AK25" s="1"/>
      <c r="AL25" s="1">
        <f t="shared" si="10"/>
        <v>0</v>
      </c>
      <c r="AM25" s="1">
        <f t="shared" si="11"/>
        <v>0</v>
      </c>
      <c r="AN25">
        <f t="shared" si="12"/>
        <v>205.86320000000001</v>
      </c>
    </row>
    <row r="26" spans="1:40" x14ac:dyDescent="0.25">
      <c r="A26" s="9" t="s">
        <v>71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4"/>
        <v>0</v>
      </c>
      <c r="M26" s="9">
        <f t="shared" si="5"/>
        <v>0</v>
      </c>
      <c r="N26" s="9"/>
      <c r="O26" s="9"/>
      <c r="P26" s="9"/>
      <c r="Q26" s="9"/>
      <c r="R26" s="9"/>
      <c r="S26" s="9"/>
      <c r="T26" s="9">
        <v>0</v>
      </c>
      <c r="U26" s="9"/>
      <c r="V26" s="9"/>
      <c r="W26" s="9">
        <f t="shared" si="6"/>
        <v>0</v>
      </c>
      <c r="X26" s="11"/>
      <c r="Y26" s="5">
        <f t="shared" si="7"/>
        <v>0</v>
      </c>
      <c r="Z26" s="5"/>
      <c r="AA26" s="1" t="e">
        <f t="shared" si="8"/>
        <v>#DIV/0!</v>
      </c>
      <c r="AB26" s="1" t="e">
        <f t="shared" si="9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63</v>
      </c>
      <c r="AL26" s="1">
        <f t="shared" si="10"/>
        <v>0</v>
      </c>
      <c r="AM26" s="1">
        <f t="shared" si="11"/>
        <v>0</v>
      </c>
      <c r="AN26">
        <f t="shared" si="12"/>
        <v>0</v>
      </c>
    </row>
    <row r="27" spans="1:40" x14ac:dyDescent="0.25">
      <c r="A27" s="1" t="s">
        <v>72</v>
      </c>
      <c r="B27" s="1" t="s">
        <v>38</v>
      </c>
      <c r="C27" s="1">
        <v>803.21100000000001</v>
      </c>
      <c r="D27" s="1">
        <v>3096.3710000000001</v>
      </c>
      <c r="E27" s="1">
        <v>2146.4769999999999</v>
      </c>
      <c r="F27" s="1">
        <v>1254.1579999999999</v>
      </c>
      <c r="G27" s="7">
        <v>1</v>
      </c>
      <c r="H27" s="1">
        <v>70</v>
      </c>
      <c r="I27" s="1" t="s">
        <v>39</v>
      </c>
      <c r="J27" s="1"/>
      <c r="K27" s="1">
        <v>2135.0839999999998</v>
      </c>
      <c r="L27" s="1">
        <f t="shared" si="4"/>
        <v>11.393000000000029</v>
      </c>
      <c r="M27" s="1">
        <f t="shared" si="5"/>
        <v>1787.8119999999999</v>
      </c>
      <c r="N27" s="1">
        <v>358.66500000000002</v>
      </c>
      <c r="O27" s="1">
        <v>1346.7885369600001</v>
      </c>
      <c r="P27" s="1"/>
      <c r="Q27" s="1"/>
      <c r="R27" s="1"/>
      <c r="S27" s="1"/>
      <c r="T27" s="1">
        <v>1146.2202239999999</v>
      </c>
      <c r="U27" s="1"/>
      <c r="V27" s="1"/>
      <c r="W27" s="1">
        <f t="shared" si="6"/>
        <v>357.56239999999997</v>
      </c>
      <c r="X27" s="5">
        <f>11*W27-T27-S27-R27-Q27-P27-O27-F27</f>
        <v>186.0196390399999</v>
      </c>
      <c r="Y27" s="5">
        <f t="shared" si="7"/>
        <v>186.0196390399999</v>
      </c>
      <c r="Z27" s="5"/>
      <c r="AA27" s="1">
        <f t="shared" si="8"/>
        <v>11</v>
      </c>
      <c r="AB27" s="1">
        <f t="shared" si="9"/>
        <v>10.479756151541661</v>
      </c>
      <c r="AC27" s="1">
        <v>356.4468</v>
      </c>
      <c r="AD27" s="1">
        <v>377.3442</v>
      </c>
      <c r="AE27" s="1">
        <v>436.64600000000002</v>
      </c>
      <c r="AF27" s="1">
        <v>375.16520000000003</v>
      </c>
      <c r="AG27" s="1">
        <v>497.58879999999999</v>
      </c>
      <c r="AH27" s="1">
        <v>453.67960000000011</v>
      </c>
      <c r="AI27" s="1">
        <v>417.40320000000003</v>
      </c>
      <c r="AJ27" s="1">
        <v>457.06279999999998</v>
      </c>
      <c r="AK27" s="1"/>
      <c r="AL27" s="1">
        <f t="shared" si="10"/>
        <v>186</v>
      </c>
      <c r="AM27" s="1">
        <f t="shared" si="11"/>
        <v>0</v>
      </c>
      <c r="AN27">
        <f t="shared" si="12"/>
        <v>357.56239999999997</v>
      </c>
    </row>
    <row r="28" spans="1:40" x14ac:dyDescent="0.25">
      <c r="A28" s="1" t="s">
        <v>73</v>
      </c>
      <c r="B28" s="1" t="s">
        <v>38</v>
      </c>
      <c r="C28" s="1">
        <v>79.325999999999993</v>
      </c>
      <c r="D28" s="1">
        <v>6.4850000000000003</v>
      </c>
      <c r="E28" s="1">
        <v>10.922000000000001</v>
      </c>
      <c r="F28" s="1">
        <v>68.403999999999996</v>
      </c>
      <c r="G28" s="7">
        <v>1</v>
      </c>
      <c r="H28" s="1">
        <v>40</v>
      </c>
      <c r="I28" s="1" t="s">
        <v>39</v>
      </c>
      <c r="J28" s="1"/>
      <c r="K28" s="1">
        <v>13.4</v>
      </c>
      <c r="L28" s="1">
        <f t="shared" si="4"/>
        <v>-2.4779999999999998</v>
      </c>
      <c r="M28" s="1">
        <f t="shared" si="5"/>
        <v>10.922000000000001</v>
      </c>
      <c r="N28" s="1"/>
      <c r="O28" s="1"/>
      <c r="P28" s="1"/>
      <c r="Q28" s="1"/>
      <c r="R28" s="1"/>
      <c r="S28" s="1"/>
      <c r="T28" s="1">
        <v>0</v>
      </c>
      <c r="U28" s="1"/>
      <c r="V28" s="1"/>
      <c r="W28" s="1">
        <f t="shared" si="6"/>
        <v>2.1844000000000001</v>
      </c>
      <c r="X28" s="5"/>
      <c r="Y28" s="5">
        <f t="shared" si="7"/>
        <v>0</v>
      </c>
      <c r="Z28" s="5"/>
      <c r="AA28" s="1">
        <f t="shared" si="8"/>
        <v>31.314777513275953</v>
      </c>
      <c r="AB28" s="1">
        <f t="shared" si="9"/>
        <v>31.314777513275953</v>
      </c>
      <c r="AC28" s="1">
        <v>1.3022</v>
      </c>
      <c r="AD28" s="1">
        <v>1.3022</v>
      </c>
      <c r="AE28" s="1">
        <v>1.9805999999999999</v>
      </c>
      <c r="AF28" s="1">
        <v>1.2582</v>
      </c>
      <c r="AG28" s="1">
        <v>0.73199999999999998</v>
      </c>
      <c r="AH28" s="1">
        <v>1.3146</v>
      </c>
      <c r="AI28" s="1">
        <v>7.8512000000000004</v>
      </c>
      <c r="AJ28" s="1">
        <v>8.7356000000000016</v>
      </c>
      <c r="AK28" s="14" t="s">
        <v>74</v>
      </c>
      <c r="AL28" s="1">
        <f t="shared" si="10"/>
        <v>0</v>
      </c>
      <c r="AM28" s="1">
        <f t="shared" si="11"/>
        <v>0</v>
      </c>
      <c r="AN28">
        <f t="shared" si="12"/>
        <v>2.1844000000000001</v>
      </c>
    </row>
    <row r="29" spans="1:40" x14ac:dyDescent="0.25">
      <c r="A29" s="9" t="s">
        <v>75</v>
      </c>
      <c r="B29" s="9" t="s">
        <v>38</v>
      </c>
      <c r="C29" s="9"/>
      <c r="D29" s="9"/>
      <c r="E29" s="9">
        <v>1.6950000000000001</v>
      </c>
      <c r="F29" s="9">
        <v>-1.6950000000000001</v>
      </c>
      <c r="G29" s="10">
        <v>0</v>
      </c>
      <c r="H29" s="9"/>
      <c r="I29" s="9" t="s">
        <v>55</v>
      </c>
      <c r="J29" s="9"/>
      <c r="K29" s="9">
        <v>1.6950000000000001</v>
      </c>
      <c r="L29" s="9">
        <f t="shared" si="4"/>
        <v>0</v>
      </c>
      <c r="M29" s="9">
        <f t="shared" si="5"/>
        <v>1.6950000000000001</v>
      </c>
      <c r="N29" s="9"/>
      <c r="O29" s="9"/>
      <c r="P29" s="9"/>
      <c r="Q29" s="9"/>
      <c r="R29" s="9"/>
      <c r="S29" s="9"/>
      <c r="T29" s="9"/>
      <c r="U29" s="9"/>
      <c r="V29" s="9"/>
      <c r="W29" s="9">
        <f t="shared" si="6"/>
        <v>0.33900000000000002</v>
      </c>
      <c r="X29" s="11"/>
      <c r="Y29" s="5">
        <f t="shared" si="7"/>
        <v>0</v>
      </c>
      <c r="Z29" s="5"/>
      <c r="AA29" s="1">
        <f t="shared" si="8"/>
        <v>-5</v>
      </c>
      <c r="AB29" s="1">
        <f t="shared" si="9"/>
        <v>-5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/>
      <c r="AL29" s="1">
        <f t="shared" si="10"/>
        <v>0</v>
      </c>
      <c r="AM29" s="1">
        <f t="shared" si="11"/>
        <v>0</v>
      </c>
      <c r="AN29">
        <f t="shared" si="12"/>
        <v>0</v>
      </c>
    </row>
    <row r="30" spans="1:40" x14ac:dyDescent="0.25">
      <c r="A30" s="9" t="s">
        <v>76</v>
      </c>
      <c r="B30" s="9" t="s">
        <v>38</v>
      </c>
      <c r="C30" s="9"/>
      <c r="D30" s="9"/>
      <c r="E30" s="9"/>
      <c r="F30" s="9"/>
      <c r="G30" s="10">
        <v>0</v>
      </c>
      <c r="H30" s="9"/>
      <c r="I30" s="9" t="s">
        <v>39</v>
      </c>
      <c r="J30" s="9"/>
      <c r="K30" s="9"/>
      <c r="L30" s="9">
        <f t="shared" si="4"/>
        <v>0</v>
      </c>
      <c r="M30" s="9">
        <f t="shared" si="5"/>
        <v>0</v>
      </c>
      <c r="N30" s="9"/>
      <c r="O30" s="9"/>
      <c r="P30" s="9"/>
      <c r="Q30" s="9"/>
      <c r="R30" s="9"/>
      <c r="S30" s="9"/>
      <c r="T30" s="9">
        <v>0</v>
      </c>
      <c r="U30" s="9"/>
      <c r="V30" s="9"/>
      <c r="W30" s="9">
        <f t="shared" si="6"/>
        <v>0</v>
      </c>
      <c r="X30" s="11"/>
      <c r="Y30" s="5">
        <f t="shared" si="7"/>
        <v>0</v>
      </c>
      <c r="Z30" s="5"/>
      <c r="AA30" s="1" t="e">
        <f t="shared" si="8"/>
        <v>#DIV/0!</v>
      </c>
      <c r="AB30" s="1" t="e">
        <f t="shared" si="9"/>
        <v>#DIV/0!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63</v>
      </c>
      <c r="AL30" s="1">
        <f t="shared" si="10"/>
        <v>0</v>
      </c>
      <c r="AM30" s="1">
        <f t="shared" si="11"/>
        <v>0</v>
      </c>
      <c r="AN30">
        <f t="shared" si="12"/>
        <v>0</v>
      </c>
    </row>
    <row r="31" spans="1:40" x14ac:dyDescent="0.25">
      <c r="A31" s="9" t="s">
        <v>77</v>
      </c>
      <c r="B31" s="9" t="s">
        <v>38</v>
      </c>
      <c r="C31" s="9"/>
      <c r="D31" s="9"/>
      <c r="E31" s="9"/>
      <c r="F31" s="9"/>
      <c r="G31" s="10">
        <v>0</v>
      </c>
      <c r="H31" s="9"/>
      <c r="I31" s="9" t="s">
        <v>39</v>
      </c>
      <c r="J31" s="9"/>
      <c r="K31" s="9"/>
      <c r="L31" s="9">
        <f t="shared" si="4"/>
        <v>0</v>
      </c>
      <c r="M31" s="9">
        <f t="shared" si="5"/>
        <v>0</v>
      </c>
      <c r="N31" s="9"/>
      <c r="O31" s="9"/>
      <c r="P31" s="9"/>
      <c r="Q31" s="9"/>
      <c r="R31" s="9"/>
      <c r="S31" s="9"/>
      <c r="T31" s="9">
        <v>0</v>
      </c>
      <c r="U31" s="9"/>
      <c r="V31" s="9"/>
      <c r="W31" s="9">
        <f t="shared" si="6"/>
        <v>0</v>
      </c>
      <c r="X31" s="11"/>
      <c r="Y31" s="5">
        <f t="shared" si="7"/>
        <v>0</v>
      </c>
      <c r="Z31" s="5"/>
      <c r="AA31" s="1" t="e">
        <f t="shared" si="8"/>
        <v>#DIV/0!</v>
      </c>
      <c r="AB31" s="1" t="e">
        <f t="shared" si="9"/>
        <v>#DIV/0!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 t="s">
        <v>63</v>
      </c>
      <c r="AL31" s="1">
        <f t="shared" si="10"/>
        <v>0</v>
      </c>
      <c r="AM31" s="1">
        <f t="shared" si="11"/>
        <v>0</v>
      </c>
      <c r="AN31">
        <f t="shared" si="12"/>
        <v>0</v>
      </c>
    </row>
    <row r="32" spans="1:40" x14ac:dyDescent="0.25">
      <c r="A32" s="1" t="s">
        <v>78</v>
      </c>
      <c r="B32" s="1" t="s">
        <v>38</v>
      </c>
      <c r="C32" s="1">
        <v>349.28199999999998</v>
      </c>
      <c r="D32" s="1">
        <v>1720.069</v>
      </c>
      <c r="E32" s="1">
        <v>1375.0260000000001</v>
      </c>
      <c r="F32" s="1">
        <v>447.24400000000003</v>
      </c>
      <c r="G32" s="7">
        <v>1</v>
      </c>
      <c r="H32" s="1">
        <v>30</v>
      </c>
      <c r="I32" s="13" t="s">
        <v>52</v>
      </c>
      <c r="J32" s="1"/>
      <c r="K32" s="1">
        <v>1443.087</v>
      </c>
      <c r="L32" s="1">
        <f t="shared" si="4"/>
        <v>-68.060999999999922</v>
      </c>
      <c r="M32" s="1">
        <f t="shared" si="5"/>
        <v>1243.4280000000001</v>
      </c>
      <c r="N32" s="1">
        <v>131.59800000000001</v>
      </c>
      <c r="O32" s="1">
        <v>831.00000000000011</v>
      </c>
      <c r="P32" s="1"/>
      <c r="Q32" s="1"/>
      <c r="R32" s="1">
        <v>1371.6107999999999</v>
      </c>
      <c r="S32" s="1">
        <v>-500.8</v>
      </c>
      <c r="T32" s="1">
        <v>2610</v>
      </c>
      <c r="U32" s="1"/>
      <c r="V32" s="1"/>
      <c r="W32" s="1">
        <f t="shared" si="6"/>
        <v>248.68560000000002</v>
      </c>
      <c r="X32" s="5"/>
      <c r="Y32" s="5">
        <f t="shared" si="7"/>
        <v>0</v>
      </c>
      <c r="Z32" s="5"/>
      <c r="AA32" s="1">
        <f t="shared" si="8"/>
        <v>19.136833013250463</v>
      </c>
      <c r="AB32" s="1">
        <f t="shared" si="9"/>
        <v>19.136833013250463</v>
      </c>
      <c r="AC32" s="1">
        <v>440.64760000000001</v>
      </c>
      <c r="AD32" s="1">
        <v>365.18979999999999</v>
      </c>
      <c r="AE32" s="1">
        <v>310.87279999999998</v>
      </c>
      <c r="AF32" s="1">
        <v>178.89779999999999</v>
      </c>
      <c r="AG32" s="1">
        <v>437.43319999999989</v>
      </c>
      <c r="AH32" s="1">
        <v>568.72439999999995</v>
      </c>
      <c r="AI32" s="1">
        <v>251.48259999999999</v>
      </c>
      <c r="AJ32" s="1">
        <v>368.85539999999997</v>
      </c>
      <c r="AK32" s="1"/>
      <c r="AL32" s="1">
        <f t="shared" si="10"/>
        <v>0</v>
      </c>
      <c r="AM32" s="1">
        <f t="shared" si="11"/>
        <v>0</v>
      </c>
      <c r="AN32">
        <f t="shared" si="12"/>
        <v>248.68560000000002</v>
      </c>
    </row>
    <row r="33" spans="1:40" x14ac:dyDescent="0.25">
      <c r="A33" s="9" t="s">
        <v>79</v>
      </c>
      <c r="B33" s="9" t="s">
        <v>38</v>
      </c>
      <c r="C33" s="9">
        <v>-0.23</v>
      </c>
      <c r="D33" s="9"/>
      <c r="E33" s="9"/>
      <c r="F33" s="9">
        <v>-0.23</v>
      </c>
      <c r="G33" s="10">
        <v>0</v>
      </c>
      <c r="H33" s="9">
        <v>40</v>
      </c>
      <c r="I33" s="9" t="s">
        <v>55</v>
      </c>
      <c r="J33" s="9"/>
      <c r="K33" s="9">
        <v>24</v>
      </c>
      <c r="L33" s="9">
        <f t="shared" si="4"/>
        <v>-24</v>
      </c>
      <c r="M33" s="9">
        <f t="shared" si="5"/>
        <v>0</v>
      </c>
      <c r="N33" s="9"/>
      <c r="O33" s="9"/>
      <c r="P33" s="9"/>
      <c r="Q33" s="9"/>
      <c r="R33" s="9"/>
      <c r="S33" s="9"/>
      <c r="T33" s="9">
        <v>0</v>
      </c>
      <c r="U33" s="9"/>
      <c r="V33" s="9"/>
      <c r="W33" s="9">
        <f t="shared" si="6"/>
        <v>0</v>
      </c>
      <c r="X33" s="11"/>
      <c r="Y33" s="5">
        <f t="shared" si="7"/>
        <v>0</v>
      </c>
      <c r="Z33" s="5"/>
      <c r="AA33" s="1" t="e">
        <f t="shared" si="8"/>
        <v>#DIV/0!</v>
      </c>
      <c r="AB33" s="1" t="e">
        <f t="shared" si="9"/>
        <v>#DIV/0!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-9.8000000000000004E-2</v>
      </c>
      <c r="AI33" s="9">
        <v>12.5518</v>
      </c>
      <c r="AJ33" s="9">
        <v>13.9894</v>
      </c>
      <c r="AK33" s="9"/>
      <c r="AL33" s="1">
        <f t="shared" si="10"/>
        <v>0</v>
      </c>
      <c r="AM33" s="1">
        <f t="shared" si="11"/>
        <v>0</v>
      </c>
      <c r="AN33">
        <f t="shared" si="12"/>
        <v>0</v>
      </c>
    </row>
    <row r="34" spans="1:40" x14ac:dyDescent="0.25">
      <c r="A34" s="1" t="s">
        <v>80</v>
      </c>
      <c r="B34" s="1" t="s">
        <v>38</v>
      </c>
      <c r="C34" s="1">
        <v>-111.351</v>
      </c>
      <c r="D34" s="1">
        <v>902.70600000000002</v>
      </c>
      <c r="E34" s="1">
        <v>457.75200000000001</v>
      </c>
      <c r="F34" s="1">
        <v>311.34699999999998</v>
      </c>
      <c r="G34" s="7">
        <v>1</v>
      </c>
      <c r="H34" s="1">
        <v>40</v>
      </c>
      <c r="I34" s="13" t="s">
        <v>52</v>
      </c>
      <c r="J34" s="1"/>
      <c r="K34" s="1">
        <v>752.5</v>
      </c>
      <c r="L34" s="1">
        <f t="shared" si="4"/>
        <v>-294.74799999999999</v>
      </c>
      <c r="M34" s="1">
        <f t="shared" si="5"/>
        <v>457.75200000000001</v>
      </c>
      <c r="N34" s="1"/>
      <c r="O34" s="1">
        <v>1208</v>
      </c>
      <c r="P34" s="1">
        <v>-1208</v>
      </c>
      <c r="Q34" s="1"/>
      <c r="R34" s="1">
        <v>1100</v>
      </c>
      <c r="S34" s="1"/>
      <c r="T34" s="1">
        <v>2200</v>
      </c>
      <c r="U34" s="1"/>
      <c r="V34" s="1"/>
      <c r="W34" s="1">
        <f t="shared" si="6"/>
        <v>91.550399999999996</v>
      </c>
      <c r="X34" s="5">
        <v>1500</v>
      </c>
      <c r="Y34" s="5">
        <f>X34</f>
        <v>1500</v>
      </c>
      <c r="Z34" s="5">
        <v>500</v>
      </c>
      <c r="AA34" s="1">
        <f t="shared" si="8"/>
        <v>61.292435642007028</v>
      </c>
      <c r="AB34" s="1">
        <f t="shared" si="9"/>
        <v>39.446545290899877</v>
      </c>
      <c r="AC34" s="1">
        <v>656.28039999999999</v>
      </c>
      <c r="AD34" s="1">
        <v>656.84399999999994</v>
      </c>
      <c r="AE34" s="1">
        <v>328.15300000000002</v>
      </c>
      <c r="AF34" s="1">
        <v>-0.84619999999999995</v>
      </c>
      <c r="AG34" s="1">
        <v>8.5924000000000014</v>
      </c>
      <c r="AH34" s="1">
        <v>9.855599999999999</v>
      </c>
      <c r="AI34" s="1">
        <v>688.04320000000007</v>
      </c>
      <c r="AJ34" s="1">
        <v>1184.2532000000001</v>
      </c>
      <c r="AK34" s="1"/>
      <c r="AL34" s="1">
        <f t="shared" si="10"/>
        <v>1500</v>
      </c>
      <c r="AM34" s="1">
        <f t="shared" si="11"/>
        <v>500</v>
      </c>
      <c r="AN34">
        <f t="shared" si="12"/>
        <v>91.550399999999996</v>
      </c>
    </row>
    <row r="35" spans="1:40" x14ac:dyDescent="0.25">
      <c r="A35" s="9" t="s">
        <v>81</v>
      </c>
      <c r="B35" s="9" t="s">
        <v>38</v>
      </c>
      <c r="C35" s="9"/>
      <c r="D35" s="9"/>
      <c r="E35" s="9"/>
      <c r="F35" s="9"/>
      <c r="G35" s="10">
        <v>0</v>
      </c>
      <c r="H35" s="9"/>
      <c r="I35" s="9" t="s">
        <v>39</v>
      </c>
      <c r="J35" s="9"/>
      <c r="K35" s="9"/>
      <c r="L35" s="9">
        <f t="shared" si="4"/>
        <v>0</v>
      </c>
      <c r="M35" s="9">
        <f t="shared" si="5"/>
        <v>0</v>
      </c>
      <c r="N35" s="9"/>
      <c r="O35" s="9"/>
      <c r="P35" s="9"/>
      <c r="Q35" s="9"/>
      <c r="R35" s="9"/>
      <c r="S35" s="9"/>
      <c r="T35" s="9">
        <v>0</v>
      </c>
      <c r="U35" s="9"/>
      <c r="V35" s="9"/>
      <c r="W35" s="9">
        <f t="shared" si="6"/>
        <v>0</v>
      </c>
      <c r="X35" s="11"/>
      <c r="Y35" s="5">
        <f t="shared" si="7"/>
        <v>0</v>
      </c>
      <c r="Z35" s="5"/>
      <c r="AA35" s="1" t="e">
        <f t="shared" si="8"/>
        <v>#DIV/0!</v>
      </c>
      <c r="AB35" s="1" t="e">
        <f t="shared" si="9"/>
        <v>#DIV/0!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 t="s">
        <v>63</v>
      </c>
      <c r="AL35" s="1">
        <f t="shared" si="10"/>
        <v>0</v>
      </c>
      <c r="AM35" s="1">
        <f t="shared" si="11"/>
        <v>0</v>
      </c>
      <c r="AN35">
        <f t="shared" si="12"/>
        <v>0</v>
      </c>
    </row>
    <row r="36" spans="1:40" x14ac:dyDescent="0.25">
      <c r="A36" s="9" t="s">
        <v>82</v>
      </c>
      <c r="B36" s="9" t="s">
        <v>38</v>
      </c>
      <c r="C36" s="9"/>
      <c r="D36" s="9"/>
      <c r="E36" s="9"/>
      <c r="F36" s="9"/>
      <c r="G36" s="10">
        <v>0</v>
      </c>
      <c r="H36" s="9"/>
      <c r="I36" s="9" t="s">
        <v>39</v>
      </c>
      <c r="J36" s="9"/>
      <c r="K36" s="9"/>
      <c r="L36" s="9">
        <f t="shared" si="4"/>
        <v>0</v>
      </c>
      <c r="M36" s="9">
        <f t="shared" si="5"/>
        <v>0</v>
      </c>
      <c r="N36" s="9"/>
      <c r="O36" s="9"/>
      <c r="P36" s="9"/>
      <c r="Q36" s="9"/>
      <c r="R36" s="9"/>
      <c r="S36" s="9"/>
      <c r="T36" s="9">
        <v>0</v>
      </c>
      <c r="U36" s="9"/>
      <c r="V36" s="9"/>
      <c r="W36" s="9">
        <f t="shared" si="6"/>
        <v>0</v>
      </c>
      <c r="X36" s="11"/>
      <c r="Y36" s="5">
        <f t="shared" si="7"/>
        <v>0</v>
      </c>
      <c r="Z36" s="5"/>
      <c r="AA36" s="1" t="e">
        <f t="shared" si="8"/>
        <v>#DIV/0!</v>
      </c>
      <c r="AB36" s="1" t="e">
        <f t="shared" si="9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63</v>
      </c>
      <c r="AL36" s="1">
        <f t="shared" si="10"/>
        <v>0</v>
      </c>
      <c r="AM36" s="1">
        <f t="shared" si="11"/>
        <v>0</v>
      </c>
      <c r="AN36">
        <f t="shared" si="12"/>
        <v>0</v>
      </c>
    </row>
    <row r="37" spans="1:40" x14ac:dyDescent="0.25">
      <c r="A37" s="9" t="s">
        <v>83</v>
      </c>
      <c r="B37" s="9" t="s">
        <v>38</v>
      </c>
      <c r="C37" s="9"/>
      <c r="D37" s="9"/>
      <c r="E37" s="9"/>
      <c r="F37" s="9"/>
      <c r="G37" s="10">
        <v>0</v>
      </c>
      <c r="H37" s="9"/>
      <c r="I37" s="9" t="s">
        <v>39</v>
      </c>
      <c r="J37" s="9"/>
      <c r="K37" s="9"/>
      <c r="L37" s="9">
        <f t="shared" si="4"/>
        <v>0</v>
      </c>
      <c r="M37" s="9">
        <f t="shared" si="5"/>
        <v>0</v>
      </c>
      <c r="N37" s="9"/>
      <c r="O37" s="9"/>
      <c r="P37" s="9"/>
      <c r="Q37" s="9"/>
      <c r="R37" s="9"/>
      <c r="S37" s="9"/>
      <c r="T37" s="9">
        <v>0</v>
      </c>
      <c r="U37" s="9"/>
      <c r="V37" s="9"/>
      <c r="W37" s="9">
        <f t="shared" si="6"/>
        <v>0</v>
      </c>
      <c r="X37" s="11"/>
      <c r="Y37" s="5">
        <f t="shared" si="7"/>
        <v>0</v>
      </c>
      <c r="Z37" s="5"/>
      <c r="AA37" s="1" t="e">
        <f t="shared" si="8"/>
        <v>#DIV/0!</v>
      </c>
      <c r="AB37" s="1" t="e">
        <f t="shared" si="9"/>
        <v>#DIV/0!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63</v>
      </c>
      <c r="AL37" s="1">
        <f t="shared" si="10"/>
        <v>0</v>
      </c>
      <c r="AM37" s="1">
        <f t="shared" si="11"/>
        <v>0</v>
      </c>
      <c r="AN37">
        <f t="shared" si="12"/>
        <v>0</v>
      </c>
    </row>
    <row r="38" spans="1:40" x14ac:dyDescent="0.25">
      <c r="A38" s="9" t="s">
        <v>84</v>
      </c>
      <c r="B38" s="9" t="s">
        <v>38</v>
      </c>
      <c r="C38" s="9"/>
      <c r="D38" s="9"/>
      <c r="E38" s="9"/>
      <c r="F38" s="9"/>
      <c r="G38" s="10">
        <v>0</v>
      </c>
      <c r="H38" s="9"/>
      <c r="I38" s="9" t="s">
        <v>39</v>
      </c>
      <c r="J38" s="9"/>
      <c r="K38" s="9"/>
      <c r="L38" s="9">
        <f t="shared" ref="L38:L69" si="13">E38-K38</f>
        <v>0</v>
      </c>
      <c r="M38" s="9">
        <f t="shared" ref="M38:M69" si="14">E38-N38</f>
        <v>0</v>
      </c>
      <c r="N38" s="9"/>
      <c r="O38" s="9"/>
      <c r="P38" s="9"/>
      <c r="Q38" s="9"/>
      <c r="R38" s="9"/>
      <c r="S38" s="9"/>
      <c r="T38" s="9">
        <v>0</v>
      </c>
      <c r="U38" s="9"/>
      <c r="V38" s="9"/>
      <c r="W38" s="9">
        <f t="shared" ref="W38:W69" si="15">M38/5</f>
        <v>0</v>
      </c>
      <c r="X38" s="11"/>
      <c r="Y38" s="5">
        <f t="shared" si="7"/>
        <v>0</v>
      </c>
      <c r="Z38" s="5"/>
      <c r="AA38" s="1" t="e">
        <f t="shared" si="8"/>
        <v>#DIV/0!</v>
      </c>
      <c r="AB38" s="1" t="e">
        <f t="shared" si="9"/>
        <v>#DIV/0!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 t="s">
        <v>63</v>
      </c>
      <c r="AL38" s="1">
        <f t="shared" si="10"/>
        <v>0</v>
      </c>
      <c r="AM38" s="1">
        <f t="shared" si="11"/>
        <v>0</v>
      </c>
      <c r="AN38">
        <f t="shared" si="12"/>
        <v>0</v>
      </c>
    </row>
    <row r="39" spans="1:40" x14ac:dyDescent="0.25">
      <c r="A39" s="1" t="s">
        <v>85</v>
      </c>
      <c r="B39" s="1" t="s">
        <v>43</v>
      </c>
      <c r="C39" s="1">
        <v>-266</v>
      </c>
      <c r="D39" s="1">
        <v>5292</v>
      </c>
      <c r="E39" s="1">
        <v>2715</v>
      </c>
      <c r="F39" s="1">
        <v>1180</v>
      </c>
      <c r="G39" s="7">
        <v>0.4</v>
      </c>
      <c r="H39" s="1">
        <v>45</v>
      </c>
      <c r="I39" s="13" t="s">
        <v>52</v>
      </c>
      <c r="J39" s="1"/>
      <c r="K39" s="1">
        <v>3386</v>
      </c>
      <c r="L39" s="1">
        <f t="shared" si="13"/>
        <v>-671</v>
      </c>
      <c r="M39" s="1">
        <f t="shared" si="14"/>
        <v>2013</v>
      </c>
      <c r="N39" s="1">
        <v>702</v>
      </c>
      <c r="O39" s="1">
        <v>2196.056</v>
      </c>
      <c r="P39" s="1"/>
      <c r="Q39" s="1"/>
      <c r="R39" s="1">
        <v>2220</v>
      </c>
      <c r="S39" s="1"/>
      <c r="T39" s="1">
        <v>3000</v>
      </c>
      <c r="U39" s="1"/>
      <c r="V39" s="1"/>
      <c r="W39" s="1">
        <f t="shared" si="15"/>
        <v>402.6</v>
      </c>
      <c r="X39" s="5">
        <v>1000</v>
      </c>
      <c r="Y39" s="5">
        <f t="shared" si="7"/>
        <v>1000</v>
      </c>
      <c r="Z39" s="5">
        <v>500</v>
      </c>
      <c r="AA39" s="1">
        <f t="shared" si="8"/>
        <v>25.077138599105812</v>
      </c>
      <c r="AB39" s="1">
        <f t="shared" si="9"/>
        <v>21.351356184798806</v>
      </c>
      <c r="AC39" s="1">
        <v>815</v>
      </c>
      <c r="AD39" s="1">
        <v>779</v>
      </c>
      <c r="AE39" s="1">
        <v>633.6</v>
      </c>
      <c r="AF39" s="1">
        <v>113.2</v>
      </c>
      <c r="AG39" s="1">
        <v>461.2</v>
      </c>
      <c r="AH39" s="1">
        <v>811.2</v>
      </c>
      <c r="AI39" s="1">
        <v>861.6</v>
      </c>
      <c r="AJ39" s="1">
        <v>877.4</v>
      </c>
      <c r="AK39" s="1"/>
      <c r="AL39" s="1">
        <f t="shared" si="10"/>
        <v>400</v>
      </c>
      <c r="AM39" s="1">
        <f t="shared" si="11"/>
        <v>200</v>
      </c>
      <c r="AN39">
        <f t="shared" si="12"/>
        <v>161.04000000000002</v>
      </c>
    </row>
    <row r="40" spans="1:40" x14ac:dyDescent="0.25">
      <c r="A40" s="1" t="s">
        <v>86</v>
      </c>
      <c r="B40" s="1" t="s">
        <v>43</v>
      </c>
      <c r="C40" s="1">
        <v>449.75</v>
      </c>
      <c r="D40" s="1">
        <v>461</v>
      </c>
      <c r="E40" s="1">
        <v>513</v>
      </c>
      <c r="F40" s="1">
        <v>335.75</v>
      </c>
      <c r="G40" s="7">
        <v>0.45</v>
      </c>
      <c r="H40" s="1">
        <v>50</v>
      </c>
      <c r="I40" s="16" t="s">
        <v>46</v>
      </c>
      <c r="J40" s="1"/>
      <c r="K40" s="1">
        <v>771</v>
      </c>
      <c r="L40" s="1">
        <f t="shared" si="13"/>
        <v>-258</v>
      </c>
      <c r="M40" s="1">
        <f t="shared" si="14"/>
        <v>513</v>
      </c>
      <c r="N40" s="1"/>
      <c r="O40" s="1"/>
      <c r="P40" s="1"/>
      <c r="Q40" s="1"/>
      <c r="R40" s="1">
        <v>800</v>
      </c>
      <c r="S40" s="1"/>
      <c r="T40" s="1">
        <v>716.25</v>
      </c>
      <c r="U40" s="1"/>
      <c r="V40" s="1"/>
      <c r="W40" s="1">
        <f t="shared" si="15"/>
        <v>102.6</v>
      </c>
      <c r="X40" s="5"/>
      <c r="Y40" s="5">
        <f t="shared" si="7"/>
        <v>0</v>
      </c>
      <c r="Z40" s="5"/>
      <c r="AA40" s="1">
        <f t="shared" si="8"/>
        <v>18.050682261208578</v>
      </c>
      <c r="AB40" s="1">
        <f t="shared" si="9"/>
        <v>18.050682261208578</v>
      </c>
      <c r="AC40" s="1">
        <v>147</v>
      </c>
      <c r="AD40" s="1">
        <v>147.6</v>
      </c>
      <c r="AE40" s="1">
        <v>112.6</v>
      </c>
      <c r="AF40" s="1">
        <v>71</v>
      </c>
      <c r="AG40" s="1">
        <v>70.400000000000006</v>
      </c>
      <c r="AH40" s="1">
        <v>98.4</v>
      </c>
      <c r="AI40" s="1">
        <v>126.8</v>
      </c>
      <c r="AJ40" s="1">
        <v>127.8</v>
      </c>
      <c r="AK40" s="1" t="s">
        <v>87</v>
      </c>
      <c r="AL40" s="1">
        <f t="shared" si="10"/>
        <v>0</v>
      </c>
      <c r="AM40" s="1">
        <f t="shared" si="11"/>
        <v>0</v>
      </c>
      <c r="AN40">
        <f t="shared" si="12"/>
        <v>46.17</v>
      </c>
    </row>
    <row r="41" spans="1:40" x14ac:dyDescent="0.25">
      <c r="A41" s="1" t="s">
        <v>88</v>
      </c>
      <c r="B41" s="1" t="s">
        <v>43</v>
      </c>
      <c r="C41" s="1">
        <v>53</v>
      </c>
      <c r="D41" s="1">
        <v>254</v>
      </c>
      <c r="E41" s="1">
        <v>227</v>
      </c>
      <c r="F41" s="1">
        <v>21</v>
      </c>
      <c r="G41" s="7">
        <v>0.4</v>
      </c>
      <c r="H41" s="1">
        <v>45</v>
      </c>
      <c r="I41" s="13" t="s">
        <v>52</v>
      </c>
      <c r="J41" s="1"/>
      <c r="K41" s="1">
        <v>1679</v>
      </c>
      <c r="L41" s="1">
        <f t="shared" si="13"/>
        <v>-1452</v>
      </c>
      <c r="M41" s="1">
        <f t="shared" si="14"/>
        <v>227</v>
      </c>
      <c r="N41" s="1"/>
      <c r="O41" s="1"/>
      <c r="P41" s="1"/>
      <c r="Q41" s="1"/>
      <c r="R41" s="1">
        <v>250</v>
      </c>
      <c r="S41" s="1">
        <v>-252</v>
      </c>
      <c r="T41" s="1">
        <v>500</v>
      </c>
      <c r="U41" s="1">
        <v>-502.5</v>
      </c>
      <c r="V41" s="1"/>
      <c r="W41" s="1">
        <f t="shared" si="15"/>
        <v>45.4</v>
      </c>
      <c r="X41" s="5">
        <v>300</v>
      </c>
      <c r="Y41" s="5">
        <f t="shared" si="7"/>
        <v>300</v>
      </c>
      <c r="Z41" s="5">
        <v>100</v>
      </c>
      <c r="AA41" s="1">
        <f t="shared" si="8"/>
        <v>9.1740088105726869</v>
      </c>
      <c r="AB41" s="1">
        <f t="shared" si="9"/>
        <v>0.36343612334801761</v>
      </c>
      <c r="AC41" s="1">
        <v>148.4</v>
      </c>
      <c r="AD41" s="1">
        <v>148.4</v>
      </c>
      <c r="AE41" s="1">
        <v>122.2</v>
      </c>
      <c r="AF41" s="1">
        <v>91.8</v>
      </c>
      <c r="AG41" s="1">
        <v>163.6</v>
      </c>
      <c r="AH41" s="1">
        <v>166.8</v>
      </c>
      <c r="AI41" s="1">
        <v>188.8</v>
      </c>
      <c r="AJ41" s="1">
        <v>301.60000000000002</v>
      </c>
      <c r="AK41" s="1"/>
      <c r="AL41" s="1">
        <f t="shared" si="10"/>
        <v>120</v>
      </c>
      <c r="AM41" s="1">
        <f t="shared" si="11"/>
        <v>40</v>
      </c>
      <c r="AN41">
        <f t="shared" si="12"/>
        <v>18.16</v>
      </c>
    </row>
    <row r="42" spans="1:40" x14ac:dyDescent="0.25">
      <c r="A42" s="1" t="s">
        <v>90</v>
      </c>
      <c r="B42" s="1" t="s">
        <v>43</v>
      </c>
      <c r="C42" s="1">
        <v>-13</v>
      </c>
      <c r="D42" s="1"/>
      <c r="E42" s="1">
        <v>-2</v>
      </c>
      <c r="F42" s="1">
        <v>-13</v>
      </c>
      <c r="G42" s="7">
        <v>0.4</v>
      </c>
      <c r="H42" s="1">
        <v>40</v>
      </c>
      <c r="I42" s="13" t="s">
        <v>52</v>
      </c>
      <c r="J42" s="1"/>
      <c r="K42" s="1">
        <v>624</v>
      </c>
      <c r="L42" s="1">
        <f t="shared" si="13"/>
        <v>-626</v>
      </c>
      <c r="M42" s="1">
        <f t="shared" si="14"/>
        <v>-2</v>
      </c>
      <c r="N42" s="1"/>
      <c r="O42" s="1"/>
      <c r="P42" s="1"/>
      <c r="Q42" s="1"/>
      <c r="R42" s="1">
        <v>100</v>
      </c>
      <c r="S42" s="1">
        <v>-102</v>
      </c>
      <c r="T42" s="1">
        <v>200</v>
      </c>
      <c r="U42" s="1"/>
      <c r="V42" s="1"/>
      <c r="W42" s="1">
        <f t="shared" si="15"/>
        <v>-0.4</v>
      </c>
      <c r="X42" s="5">
        <v>200</v>
      </c>
      <c r="Y42" s="5">
        <f t="shared" si="7"/>
        <v>200</v>
      </c>
      <c r="Z42" s="5">
        <v>100</v>
      </c>
      <c r="AA42" s="1">
        <f t="shared" si="8"/>
        <v>-1212.5</v>
      </c>
      <c r="AB42" s="1">
        <f t="shared" si="9"/>
        <v>-462.5</v>
      </c>
      <c r="AC42" s="1">
        <v>2.6</v>
      </c>
      <c r="AD42" s="1">
        <v>2.6</v>
      </c>
      <c r="AE42" s="1">
        <v>46</v>
      </c>
      <c r="AF42" s="1">
        <v>64.400000000000006</v>
      </c>
      <c r="AG42" s="1">
        <v>125</v>
      </c>
      <c r="AH42" s="1">
        <v>116.2</v>
      </c>
      <c r="AI42" s="1">
        <v>86.8</v>
      </c>
      <c r="AJ42" s="1">
        <v>126.8</v>
      </c>
      <c r="AK42" s="1"/>
      <c r="AL42" s="1">
        <f t="shared" si="10"/>
        <v>80</v>
      </c>
      <c r="AM42" s="1">
        <f t="shared" si="11"/>
        <v>40</v>
      </c>
      <c r="AN42">
        <f t="shared" si="12"/>
        <v>-0.16000000000000003</v>
      </c>
    </row>
    <row r="43" spans="1:40" x14ac:dyDescent="0.25">
      <c r="A43" s="1" t="s">
        <v>91</v>
      </c>
      <c r="B43" s="1" t="s">
        <v>38</v>
      </c>
      <c r="C43" s="1"/>
      <c r="D43" s="1">
        <v>79.070999999999998</v>
      </c>
      <c r="E43" s="1">
        <v>46.771999999999998</v>
      </c>
      <c r="F43" s="1">
        <v>32.298999999999999</v>
      </c>
      <c r="G43" s="7">
        <v>1</v>
      </c>
      <c r="H43" s="1"/>
      <c r="I43" s="13" t="s">
        <v>52</v>
      </c>
      <c r="J43" s="1"/>
      <c r="K43" s="1">
        <v>139.1</v>
      </c>
      <c r="L43" s="1">
        <f t="shared" si="13"/>
        <v>-92.328000000000003</v>
      </c>
      <c r="M43" s="1">
        <f t="shared" si="14"/>
        <v>46.771999999999998</v>
      </c>
      <c r="N43" s="1"/>
      <c r="O43" s="1"/>
      <c r="P43" s="1"/>
      <c r="Q43" s="1"/>
      <c r="R43" s="1">
        <v>0</v>
      </c>
      <c r="S43" s="1"/>
      <c r="T43" s="1">
        <v>0</v>
      </c>
      <c r="U43" s="1"/>
      <c r="V43" s="1"/>
      <c r="W43" s="1">
        <f t="shared" si="15"/>
        <v>9.3544</v>
      </c>
      <c r="X43" s="5">
        <f>11*W43-T43-S43-R43-Q43-P43-O43-F43</f>
        <v>70.599400000000003</v>
      </c>
      <c r="Y43" s="5">
        <f t="shared" si="7"/>
        <v>70.599400000000003</v>
      </c>
      <c r="Z43" s="5">
        <v>50</v>
      </c>
      <c r="AA43" s="1">
        <f t="shared" si="8"/>
        <v>16.345078251945608</v>
      </c>
      <c r="AB43" s="1">
        <f t="shared" si="9"/>
        <v>3.4528136491918242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 t="s">
        <v>92</v>
      </c>
      <c r="AL43" s="1">
        <f t="shared" si="10"/>
        <v>71</v>
      </c>
      <c r="AM43" s="1">
        <f t="shared" si="11"/>
        <v>50</v>
      </c>
      <c r="AN43">
        <f t="shared" si="12"/>
        <v>9.3544</v>
      </c>
    </row>
    <row r="44" spans="1:40" x14ac:dyDescent="0.25">
      <c r="A44" s="1" t="s">
        <v>93</v>
      </c>
      <c r="B44" s="1" t="s">
        <v>43</v>
      </c>
      <c r="C44" s="1">
        <v>210</v>
      </c>
      <c r="D44" s="1">
        <v>303</v>
      </c>
      <c r="E44" s="1">
        <v>212</v>
      </c>
      <c r="F44" s="1">
        <v>274</v>
      </c>
      <c r="G44" s="7">
        <v>0.1</v>
      </c>
      <c r="H44" s="1">
        <v>731</v>
      </c>
      <c r="I44" s="1" t="s">
        <v>39</v>
      </c>
      <c r="J44" s="1"/>
      <c r="K44" s="1">
        <v>235</v>
      </c>
      <c r="L44" s="1">
        <f t="shared" si="13"/>
        <v>-23</v>
      </c>
      <c r="M44" s="1">
        <f t="shared" si="14"/>
        <v>212</v>
      </c>
      <c r="N44" s="1"/>
      <c r="O44" s="1"/>
      <c r="P44" s="1"/>
      <c r="Q44" s="1"/>
      <c r="R44" s="1"/>
      <c r="S44" s="1"/>
      <c r="T44" s="1">
        <v>130.1999999999999</v>
      </c>
      <c r="U44" s="1"/>
      <c r="V44" s="1"/>
      <c r="W44" s="1">
        <f t="shared" si="15"/>
        <v>42.4</v>
      </c>
      <c r="X44" s="5">
        <f>11*W44-T44-S44-R44-Q44-P44-O44-F44</f>
        <v>62.200000000000045</v>
      </c>
      <c r="Y44" s="5">
        <f t="shared" si="7"/>
        <v>62.200000000000045</v>
      </c>
      <c r="Z44" s="5"/>
      <c r="AA44" s="1">
        <f t="shared" si="8"/>
        <v>11</v>
      </c>
      <c r="AB44" s="1">
        <f t="shared" si="9"/>
        <v>9.5330188679245271</v>
      </c>
      <c r="AC44" s="1">
        <v>42.4</v>
      </c>
      <c r="AD44" s="1">
        <v>42.4</v>
      </c>
      <c r="AE44" s="1">
        <v>41.4</v>
      </c>
      <c r="AF44" s="1">
        <v>35</v>
      </c>
      <c r="AG44" s="1">
        <v>35.4</v>
      </c>
      <c r="AH44" s="1">
        <v>37.4</v>
      </c>
      <c r="AI44" s="1">
        <v>57.4</v>
      </c>
      <c r="AJ44" s="1">
        <v>55.2</v>
      </c>
      <c r="AK44" s="1"/>
      <c r="AL44" s="1">
        <f t="shared" si="10"/>
        <v>6</v>
      </c>
      <c r="AM44" s="1">
        <f t="shared" si="11"/>
        <v>0</v>
      </c>
      <c r="AN44">
        <f t="shared" si="12"/>
        <v>4.24</v>
      </c>
    </row>
    <row r="45" spans="1:40" x14ac:dyDescent="0.25">
      <c r="A45" s="1" t="s">
        <v>94</v>
      </c>
      <c r="B45" s="1" t="s">
        <v>43</v>
      </c>
      <c r="C45" s="1">
        <v>-2</v>
      </c>
      <c r="D45" s="1"/>
      <c r="E45" s="1">
        <v>-6</v>
      </c>
      <c r="F45" s="1">
        <v>-2</v>
      </c>
      <c r="G45" s="7">
        <v>0.35</v>
      </c>
      <c r="H45" s="1">
        <v>40</v>
      </c>
      <c r="I45" s="13" t="s">
        <v>52</v>
      </c>
      <c r="J45" s="1"/>
      <c r="K45" s="1"/>
      <c r="L45" s="1">
        <f t="shared" si="13"/>
        <v>-6</v>
      </c>
      <c r="M45" s="1">
        <f t="shared" si="14"/>
        <v>-6</v>
      </c>
      <c r="N45" s="1"/>
      <c r="O45" s="1"/>
      <c r="P45" s="1"/>
      <c r="Q45" s="1"/>
      <c r="R45" s="1">
        <v>25</v>
      </c>
      <c r="S45" s="1">
        <v>-30</v>
      </c>
      <c r="T45" s="1">
        <v>50</v>
      </c>
      <c r="U45" s="1"/>
      <c r="V45" s="1"/>
      <c r="W45" s="1">
        <f t="shared" si="15"/>
        <v>-1.2</v>
      </c>
      <c r="X45" s="5">
        <v>40</v>
      </c>
      <c r="Y45" s="5">
        <f t="shared" si="7"/>
        <v>40</v>
      </c>
      <c r="Z45" s="5"/>
      <c r="AA45" s="1">
        <f t="shared" si="8"/>
        <v>-69.166666666666671</v>
      </c>
      <c r="AB45" s="1">
        <f t="shared" si="9"/>
        <v>-35.833333333333336</v>
      </c>
      <c r="AC45" s="1">
        <v>4.2</v>
      </c>
      <c r="AD45" s="1">
        <v>4.2</v>
      </c>
      <c r="AE45" s="1">
        <v>15.8</v>
      </c>
      <c r="AF45" s="1">
        <v>18.2</v>
      </c>
      <c r="AG45" s="1">
        <v>15.8</v>
      </c>
      <c r="AH45" s="1">
        <v>18.8</v>
      </c>
      <c r="AI45" s="1">
        <v>28.4</v>
      </c>
      <c r="AJ45" s="1">
        <v>24.4</v>
      </c>
      <c r="AK45" s="1"/>
      <c r="AL45" s="1">
        <f t="shared" si="10"/>
        <v>14</v>
      </c>
      <c r="AM45" s="1">
        <f t="shared" si="11"/>
        <v>0</v>
      </c>
      <c r="AN45">
        <f t="shared" si="12"/>
        <v>-0.42</v>
      </c>
    </row>
    <row r="46" spans="1:40" x14ac:dyDescent="0.25">
      <c r="A46" s="1" t="s">
        <v>95</v>
      </c>
      <c r="B46" s="1" t="s">
        <v>38</v>
      </c>
      <c r="C46" s="1">
        <v>31.422000000000001</v>
      </c>
      <c r="D46" s="1">
        <v>6.7389999999999999</v>
      </c>
      <c r="E46" s="1">
        <v>12.349</v>
      </c>
      <c r="F46" s="1">
        <v>23.635999999999999</v>
      </c>
      <c r="G46" s="7">
        <v>1</v>
      </c>
      <c r="H46" s="1">
        <v>40</v>
      </c>
      <c r="I46" s="1" t="s">
        <v>39</v>
      </c>
      <c r="J46" s="1"/>
      <c r="K46" s="1">
        <v>14.2</v>
      </c>
      <c r="L46" s="1">
        <f t="shared" si="13"/>
        <v>-1.8509999999999991</v>
      </c>
      <c r="M46" s="1">
        <f t="shared" si="14"/>
        <v>12.349</v>
      </c>
      <c r="N46" s="1"/>
      <c r="O46" s="1"/>
      <c r="P46" s="1"/>
      <c r="Q46" s="1"/>
      <c r="R46" s="1"/>
      <c r="S46" s="1"/>
      <c r="T46" s="1">
        <v>7.5523999999999987</v>
      </c>
      <c r="U46" s="1">
        <v>-8</v>
      </c>
      <c r="V46" s="1"/>
      <c r="W46" s="1">
        <f t="shared" si="15"/>
        <v>2.4698000000000002</v>
      </c>
      <c r="X46" s="5">
        <v>8</v>
      </c>
      <c r="Y46" s="5">
        <f t="shared" si="7"/>
        <v>8</v>
      </c>
      <c r="Z46" s="5"/>
      <c r="AA46" s="1">
        <f t="shared" si="8"/>
        <v>12.62790509352984</v>
      </c>
      <c r="AB46" s="1">
        <f t="shared" si="9"/>
        <v>9.3887764191432481</v>
      </c>
      <c r="AC46" s="1">
        <v>2.9312</v>
      </c>
      <c r="AD46" s="1">
        <v>3.1116000000000001</v>
      </c>
      <c r="AE46" s="1">
        <v>2.6240000000000001</v>
      </c>
      <c r="AF46" s="1">
        <v>3.7808000000000002</v>
      </c>
      <c r="AG46" s="1">
        <v>4.3208000000000002</v>
      </c>
      <c r="AH46" s="1">
        <v>3.3064</v>
      </c>
      <c r="AI46" s="1">
        <v>1.6506000000000001</v>
      </c>
      <c r="AJ46" s="1">
        <v>2.6989999999999998</v>
      </c>
      <c r="AK46" s="1"/>
      <c r="AL46" s="1">
        <f t="shared" si="10"/>
        <v>8</v>
      </c>
      <c r="AM46" s="1">
        <f t="shared" si="11"/>
        <v>0</v>
      </c>
      <c r="AN46">
        <f t="shared" si="12"/>
        <v>2.4698000000000002</v>
      </c>
    </row>
    <row r="47" spans="1:40" x14ac:dyDescent="0.25">
      <c r="A47" s="1" t="s">
        <v>97</v>
      </c>
      <c r="B47" s="1" t="s">
        <v>43</v>
      </c>
      <c r="C47" s="1">
        <v>-19</v>
      </c>
      <c r="D47" s="1">
        <v>237</v>
      </c>
      <c r="E47" s="1">
        <v>124</v>
      </c>
      <c r="F47" s="1">
        <v>64</v>
      </c>
      <c r="G47" s="7">
        <v>0.4</v>
      </c>
      <c r="H47" s="1">
        <v>40</v>
      </c>
      <c r="I47" s="13" t="s">
        <v>52</v>
      </c>
      <c r="J47" s="1"/>
      <c r="K47" s="1">
        <v>200</v>
      </c>
      <c r="L47" s="1">
        <f t="shared" si="13"/>
        <v>-76</v>
      </c>
      <c r="M47" s="1">
        <f t="shared" si="14"/>
        <v>124</v>
      </c>
      <c r="N47" s="1"/>
      <c r="O47" s="1"/>
      <c r="P47" s="1"/>
      <c r="Q47" s="1"/>
      <c r="R47" s="1">
        <v>50</v>
      </c>
      <c r="S47" s="1"/>
      <c r="T47" s="1">
        <v>100</v>
      </c>
      <c r="U47" s="1"/>
      <c r="V47" s="1"/>
      <c r="W47" s="1">
        <f t="shared" si="15"/>
        <v>24.8</v>
      </c>
      <c r="X47" s="5">
        <f>11*W47-T47-S47-R47-Q47-P47-O47-F47</f>
        <v>58.800000000000011</v>
      </c>
      <c r="Y47" s="5">
        <f t="shared" si="7"/>
        <v>58.800000000000011</v>
      </c>
      <c r="Z47" s="5"/>
      <c r="AA47" s="1">
        <f t="shared" si="8"/>
        <v>11</v>
      </c>
      <c r="AB47" s="1">
        <f t="shared" si="9"/>
        <v>8.629032258064516</v>
      </c>
      <c r="AC47" s="1">
        <v>30.8</v>
      </c>
      <c r="AD47" s="1">
        <v>31.8</v>
      </c>
      <c r="AE47" s="1">
        <v>4.8</v>
      </c>
      <c r="AF47" s="1">
        <v>0.4</v>
      </c>
      <c r="AG47" s="1">
        <v>-0.2</v>
      </c>
      <c r="AH47" s="1">
        <v>-0.8</v>
      </c>
      <c r="AI47" s="1">
        <v>0.6</v>
      </c>
      <c r="AJ47" s="1">
        <v>1.4</v>
      </c>
      <c r="AK47" s="1"/>
      <c r="AL47" s="1">
        <f t="shared" si="10"/>
        <v>24</v>
      </c>
      <c r="AM47" s="1">
        <f t="shared" si="11"/>
        <v>0</v>
      </c>
      <c r="AN47">
        <f t="shared" si="12"/>
        <v>9.9200000000000017</v>
      </c>
    </row>
    <row r="48" spans="1:40" x14ac:dyDescent="0.25">
      <c r="A48" s="1" t="s">
        <v>98</v>
      </c>
      <c r="B48" s="1" t="s">
        <v>43</v>
      </c>
      <c r="C48" s="1">
        <v>9</v>
      </c>
      <c r="D48" s="1">
        <v>267</v>
      </c>
      <c r="E48" s="1">
        <v>228</v>
      </c>
      <c r="F48" s="1">
        <v>36</v>
      </c>
      <c r="G48" s="7">
        <v>0.4</v>
      </c>
      <c r="H48" s="1">
        <v>45</v>
      </c>
      <c r="I48" s="13" t="s">
        <v>52</v>
      </c>
      <c r="J48" s="1"/>
      <c r="K48" s="1">
        <v>355</v>
      </c>
      <c r="L48" s="1">
        <f t="shared" si="13"/>
        <v>-127</v>
      </c>
      <c r="M48" s="1">
        <f t="shared" si="14"/>
        <v>228</v>
      </c>
      <c r="N48" s="1"/>
      <c r="O48" s="1"/>
      <c r="P48" s="1"/>
      <c r="Q48" s="1"/>
      <c r="R48" s="1">
        <v>50</v>
      </c>
      <c r="S48" s="1"/>
      <c r="T48" s="1">
        <v>100</v>
      </c>
      <c r="U48" s="1"/>
      <c r="V48" s="1"/>
      <c r="W48" s="1">
        <f t="shared" si="15"/>
        <v>45.6</v>
      </c>
      <c r="X48" s="5">
        <v>150</v>
      </c>
      <c r="Y48" s="5">
        <f t="shared" si="7"/>
        <v>150</v>
      </c>
      <c r="Z48" s="5"/>
      <c r="AA48" s="1">
        <f t="shared" si="8"/>
        <v>7.3684210526315788</v>
      </c>
      <c r="AB48" s="1">
        <f t="shared" si="9"/>
        <v>4.0789473684210522</v>
      </c>
      <c r="AC48" s="1">
        <v>29.2</v>
      </c>
      <c r="AD48" s="1">
        <v>29.2</v>
      </c>
      <c r="AE48" s="1">
        <v>8.8000000000000007</v>
      </c>
      <c r="AF48" s="1">
        <v>0</v>
      </c>
      <c r="AG48" s="1">
        <v>0.4</v>
      </c>
      <c r="AH48" s="1">
        <v>26</v>
      </c>
      <c r="AI48" s="1">
        <v>58.6</v>
      </c>
      <c r="AJ48" s="1">
        <v>50</v>
      </c>
      <c r="AK48" s="1"/>
      <c r="AL48" s="1">
        <f t="shared" si="10"/>
        <v>60</v>
      </c>
      <c r="AM48" s="1">
        <f t="shared" si="11"/>
        <v>0</v>
      </c>
      <c r="AN48">
        <f t="shared" si="12"/>
        <v>18.240000000000002</v>
      </c>
    </row>
    <row r="49" spans="1:40" x14ac:dyDescent="0.25">
      <c r="A49" s="1" t="s">
        <v>99</v>
      </c>
      <c r="B49" s="1" t="s">
        <v>38</v>
      </c>
      <c r="C49" s="1">
        <v>24.257000000000001</v>
      </c>
      <c r="D49" s="1">
        <v>39.506</v>
      </c>
      <c r="E49" s="1"/>
      <c r="F49" s="1">
        <v>63.762999999999998</v>
      </c>
      <c r="G49" s="7">
        <v>1</v>
      </c>
      <c r="H49" s="1">
        <v>40</v>
      </c>
      <c r="I49" s="13" t="s">
        <v>52</v>
      </c>
      <c r="J49" s="1"/>
      <c r="K49" s="1">
        <v>34.9</v>
      </c>
      <c r="L49" s="1">
        <f t="shared" si="13"/>
        <v>-34.9</v>
      </c>
      <c r="M49" s="1">
        <f t="shared" si="14"/>
        <v>0</v>
      </c>
      <c r="N49" s="1"/>
      <c r="O49" s="1"/>
      <c r="P49" s="1"/>
      <c r="Q49" s="1"/>
      <c r="R49" s="1"/>
      <c r="S49" s="1"/>
      <c r="T49" s="1">
        <v>10.75139999999999</v>
      </c>
      <c r="U49" s="1"/>
      <c r="V49" s="1"/>
      <c r="W49" s="1">
        <f t="shared" si="15"/>
        <v>0</v>
      </c>
      <c r="X49" s="5"/>
      <c r="Y49" s="5">
        <f t="shared" si="7"/>
        <v>0</v>
      </c>
      <c r="Z49" s="5"/>
      <c r="AA49" s="1" t="e">
        <f t="shared" si="8"/>
        <v>#DIV/0!</v>
      </c>
      <c r="AB49" s="1" t="e">
        <f t="shared" si="9"/>
        <v>#DIV/0!</v>
      </c>
      <c r="AC49" s="1">
        <v>5.8158000000000003</v>
      </c>
      <c r="AD49" s="1">
        <v>5.8158000000000003</v>
      </c>
      <c r="AE49" s="1">
        <v>7.0093999999999994</v>
      </c>
      <c r="AF49" s="1">
        <v>6.5449999999999999</v>
      </c>
      <c r="AG49" s="1">
        <v>3.3479999999999999</v>
      </c>
      <c r="AH49" s="1">
        <v>1.8211999999999999</v>
      </c>
      <c r="AI49" s="1">
        <v>7.1238000000000001</v>
      </c>
      <c r="AJ49" s="1">
        <v>8.9621999999999993</v>
      </c>
      <c r="AK49" s="14" t="s">
        <v>74</v>
      </c>
      <c r="AL49" s="1">
        <f t="shared" si="10"/>
        <v>0</v>
      </c>
      <c r="AM49" s="1">
        <f t="shared" si="11"/>
        <v>0</v>
      </c>
      <c r="AN49">
        <f t="shared" si="12"/>
        <v>0</v>
      </c>
    </row>
    <row r="50" spans="1:40" x14ac:dyDescent="0.25">
      <c r="A50" s="1" t="s">
        <v>100</v>
      </c>
      <c r="B50" s="1" t="s">
        <v>43</v>
      </c>
      <c r="C50" s="1">
        <v>30</v>
      </c>
      <c r="D50" s="1">
        <v>387</v>
      </c>
      <c r="E50" s="1">
        <v>338</v>
      </c>
      <c r="F50" s="1">
        <v>-24</v>
      </c>
      <c r="G50" s="7">
        <v>0.35</v>
      </c>
      <c r="H50" s="1">
        <v>40</v>
      </c>
      <c r="I50" s="13" t="s">
        <v>52</v>
      </c>
      <c r="J50" s="1"/>
      <c r="K50" s="1">
        <v>379</v>
      </c>
      <c r="L50" s="1">
        <f t="shared" si="13"/>
        <v>-41</v>
      </c>
      <c r="M50" s="1">
        <f t="shared" si="14"/>
        <v>248</v>
      </c>
      <c r="N50" s="1">
        <v>90</v>
      </c>
      <c r="O50" s="1"/>
      <c r="P50" s="1"/>
      <c r="Q50" s="1"/>
      <c r="R50" s="1">
        <v>450</v>
      </c>
      <c r="S50" s="1">
        <v>-456</v>
      </c>
      <c r="T50" s="1">
        <v>900</v>
      </c>
      <c r="U50" s="1"/>
      <c r="V50" s="1"/>
      <c r="W50" s="1">
        <f t="shared" si="15"/>
        <v>49.6</v>
      </c>
      <c r="X50" s="5">
        <v>250</v>
      </c>
      <c r="Y50" s="5">
        <f t="shared" si="7"/>
        <v>250</v>
      </c>
      <c r="Z50" s="5"/>
      <c r="AA50" s="1">
        <f t="shared" si="8"/>
        <v>22.58064516129032</v>
      </c>
      <c r="AB50" s="1">
        <f t="shared" si="9"/>
        <v>17.54032258064516</v>
      </c>
      <c r="AC50" s="1">
        <v>98.8</v>
      </c>
      <c r="AD50" s="1">
        <v>122.8</v>
      </c>
      <c r="AE50" s="1">
        <v>88.6</v>
      </c>
      <c r="AF50" s="1">
        <v>86.8</v>
      </c>
      <c r="AG50" s="1">
        <v>80.2</v>
      </c>
      <c r="AH50" s="1">
        <v>92.8</v>
      </c>
      <c r="AI50" s="1">
        <v>120.2</v>
      </c>
      <c r="AJ50" s="1">
        <v>117.4</v>
      </c>
      <c r="AK50" s="1"/>
      <c r="AL50" s="1">
        <f t="shared" si="10"/>
        <v>88</v>
      </c>
      <c r="AM50" s="1">
        <f t="shared" si="11"/>
        <v>0</v>
      </c>
      <c r="AN50">
        <f t="shared" si="12"/>
        <v>17.36</v>
      </c>
    </row>
    <row r="51" spans="1:40" x14ac:dyDescent="0.25">
      <c r="A51" s="1" t="s">
        <v>101</v>
      </c>
      <c r="B51" s="1" t="s">
        <v>43</v>
      </c>
      <c r="C51" s="1">
        <v>61</v>
      </c>
      <c r="D51" s="1">
        <v>616</v>
      </c>
      <c r="E51" s="1">
        <v>421</v>
      </c>
      <c r="F51" s="1">
        <v>243</v>
      </c>
      <c r="G51" s="7">
        <v>0.4</v>
      </c>
      <c r="H51" s="1">
        <v>40</v>
      </c>
      <c r="I51" s="13" t="s">
        <v>52</v>
      </c>
      <c r="J51" s="1"/>
      <c r="K51" s="1">
        <v>524</v>
      </c>
      <c r="L51" s="1">
        <f t="shared" si="13"/>
        <v>-103</v>
      </c>
      <c r="M51" s="1">
        <f t="shared" si="14"/>
        <v>421</v>
      </c>
      <c r="N51" s="1"/>
      <c r="O51" s="1"/>
      <c r="P51" s="1"/>
      <c r="Q51" s="1"/>
      <c r="R51" s="1">
        <v>25</v>
      </c>
      <c r="S51" s="1"/>
      <c r="T51" s="1">
        <v>50</v>
      </c>
      <c r="U51" s="1"/>
      <c r="V51" s="1"/>
      <c r="W51" s="1">
        <f t="shared" si="15"/>
        <v>84.2</v>
      </c>
      <c r="X51" s="5">
        <v>250</v>
      </c>
      <c r="Y51" s="5">
        <f t="shared" si="7"/>
        <v>250</v>
      </c>
      <c r="Z51" s="5"/>
      <c r="AA51" s="1">
        <f t="shared" si="8"/>
        <v>6.7458432304037999</v>
      </c>
      <c r="AB51" s="1">
        <f t="shared" si="9"/>
        <v>3.7767220902612824</v>
      </c>
      <c r="AC51" s="1">
        <v>30.8</v>
      </c>
      <c r="AD51" s="1">
        <v>31.2</v>
      </c>
      <c r="AE51" s="1">
        <v>27.8</v>
      </c>
      <c r="AF51" s="1">
        <v>53.4</v>
      </c>
      <c r="AG51" s="1">
        <v>47</v>
      </c>
      <c r="AH51" s="1">
        <v>48.6</v>
      </c>
      <c r="AI51" s="1">
        <v>78.8</v>
      </c>
      <c r="AJ51" s="1">
        <v>51</v>
      </c>
      <c r="AK51" s="1"/>
      <c r="AL51" s="1">
        <f t="shared" si="10"/>
        <v>100</v>
      </c>
      <c r="AM51" s="1">
        <f t="shared" si="11"/>
        <v>0</v>
      </c>
      <c r="AN51">
        <f t="shared" si="12"/>
        <v>33.68</v>
      </c>
    </row>
    <row r="52" spans="1:40" x14ac:dyDescent="0.25">
      <c r="A52" s="1" t="s">
        <v>102</v>
      </c>
      <c r="B52" s="1" t="s">
        <v>38</v>
      </c>
      <c r="C52" s="1">
        <v>-1.419</v>
      </c>
      <c r="D52" s="1">
        <v>368.86200000000002</v>
      </c>
      <c r="E52" s="1">
        <v>165.69499999999999</v>
      </c>
      <c r="F52" s="1">
        <v>93.028999999999996</v>
      </c>
      <c r="G52" s="7">
        <v>1</v>
      </c>
      <c r="H52" s="1">
        <v>50</v>
      </c>
      <c r="I52" s="1" t="s">
        <v>39</v>
      </c>
      <c r="J52" s="1"/>
      <c r="K52" s="1">
        <v>175.15899999999999</v>
      </c>
      <c r="L52" s="1">
        <f t="shared" si="13"/>
        <v>-9.4639999999999986</v>
      </c>
      <c r="M52" s="1">
        <f t="shared" si="14"/>
        <v>67.835999999999999</v>
      </c>
      <c r="N52" s="1">
        <v>97.858999999999995</v>
      </c>
      <c r="O52" s="1"/>
      <c r="P52" s="1"/>
      <c r="Q52" s="1"/>
      <c r="R52" s="1"/>
      <c r="S52" s="1"/>
      <c r="T52" s="1">
        <v>60</v>
      </c>
      <c r="U52" s="1"/>
      <c r="V52" s="1"/>
      <c r="W52" s="1">
        <f t="shared" si="15"/>
        <v>13.5672</v>
      </c>
      <c r="X52" s="5"/>
      <c r="Y52" s="5">
        <f t="shared" si="7"/>
        <v>0</v>
      </c>
      <c r="Z52" s="5"/>
      <c r="AA52" s="1">
        <f t="shared" si="8"/>
        <v>11.279335456100005</v>
      </c>
      <c r="AB52" s="1">
        <f t="shared" si="9"/>
        <v>11.279335456100005</v>
      </c>
      <c r="AC52" s="1">
        <v>-10.742599999999999</v>
      </c>
      <c r="AD52" s="1">
        <v>17.911200000000001</v>
      </c>
      <c r="AE52" s="1">
        <v>18.7516</v>
      </c>
      <c r="AF52" s="1">
        <v>17.372199999999999</v>
      </c>
      <c r="AG52" s="1">
        <v>14.885999999999999</v>
      </c>
      <c r="AH52" s="1">
        <v>16.802199999999999</v>
      </c>
      <c r="AI52" s="1">
        <v>14.042400000000001</v>
      </c>
      <c r="AJ52" s="1">
        <v>19.11</v>
      </c>
      <c r="AK52" s="1"/>
      <c r="AL52" s="1">
        <f t="shared" si="10"/>
        <v>0</v>
      </c>
      <c r="AM52" s="1">
        <f t="shared" si="11"/>
        <v>0</v>
      </c>
      <c r="AN52">
        <f t="shared" si="12"/>
        <v>13.5672</v>
      </c>
    </row>
    <row r="53" spans="1:40" x14ac:dyDescent="0.25">
      <c r="A53" s="1" t="s">
        <v>103</v>
      </c>
      <c r="B53" s="1" t="s">
        <v>38</v>
      </c>
      <c r="C53" s="1">
        <v>1027.576</v>
      </c>
      <c r="D53" s="1">
        <v>1042.558</v>
      </c>
      <c r="E53" s="1">
        <v>816.12300000000005</v>
      </c>
      <c r="F53" s="1">
        <v>648.57399999999996</v>
      </c>
      <c r="G53" s="7">
        <v>1</v>
      </c>
      <c r="H53" s="1">
        <v>50</v>
      </c>
      <c r="I53" s="1" t="s">
        <v>39</v>
      </c>
      <c r="J53" s="1"/>
      <c r="K53" s="1">
        <v>821.82100000000003</v>
      </c>
      <c r="L53" s="1">
        <f t="shared" si="13"/>
        <v>-5.6979999999999791</v>
      </c>
      <c r="M53" s="1">
        <f t="shared" si="14"/>
        <v>816.12300000000005</v>
      </c>
      <c r="N53" s="1"/>
      <c r="O53" s="1">
        <v>515.33926512000005</v>
      </c>
      <c r="P53" s="1"/>
      <c r="Q53" s="1"/>
      <c r="R53" s="1"/>
      <c r="S53" s="1"/>
      <c r="T53" s="1">
        <v>0</v>
      </c>
      <c r="U53" s="1"/>
      <c r="V53" s="1"/>
      <c r="W53" s="1">
        <f t="shared" si="15"/>
        <v>163.22460000000001</v>
      </c>
      <c r="X53" s="5">
        <f>11*W53-T53-S53-R53-Q53-P53-O53-F53</f>
        <v>631.55733487999998</v>
      </c>
      <c r="Y53" s="5">
        <f t="shared" si="7"/>
        <v>631.55733487999998</v>
      </c>
      <c r="Z53" s="5"/>
      <c r="AA53" s="1">
        <f t="shared" si="8"/>
        <v>11</v>
      </c>
      <c r="AB53" s="1">
        <f t="shared" si="9"/>
        <v>7.1307466222615954</v>
      </c>
      <c r="AC53" s="1">
        <v>103.4038</v>
      </c>
      <c r="AD53" s="1">
        <v>157.8124</v>
      </c>
      <c r="AE53" s="1">
        <v>128.76320000000001</v>
      </c>
      <c r="AF53" s="1">
        <v>111.2424</v>
      </c>
      <c r="AG53" s="1">
        <v>138.00559999999999</v>
      </c>
      <c r="AH53" s="1">
        <v>108.6206</v>
      </c>
      <c r="AI53" s="1">
        <v>78.2346</v>
      </c>
      <c r="AJ53" s="1">
        <v>79.395399999999995</v>
      </c>
      <c r="AK53" s="1"/>
      <c r="AL53" s="1">
        <f t="shared" si="10"/>
        <v>632</v>
      </c>
      <c r="AM53" s="1">
        <f t="shared" si="11"/>
        <v>0</v>
      </c>
      <c r="AN53">
        <f t="shared" si="12"/>
        <v>163.22460000000001</v>
      </c>
    </row>
    <row r="54" spans="1:40" x14ac:dyDescent="0.25">
      <c r="A54" s="9" t="s">
        <v>104</v>
      </c>
      <c r="B54" s="9" t="s">
        <v>38</v>
      </c>
      <c r="C54" s="9"/>
      <c r="D54" s="9"/>
      <c r="E54" s="9"/>
      <c r="F54" s="9"/>
      <c r="G54" s="10">
        <v>0</v>
      </c>
      <c r="H54" s="9"/>
      <c r="I54" s="9" t="s">
        <v>39</v>
      </c>
      <c r="J54" s="9"/>
      <c r="K54" s="9"/>
      <c r="L54" s="9">
        <f t="shared" si="13"/>
        <v>0</v>
      </c>
      <c r="M54" s="9">
        <f t="shared" si="14"/>
        <v>0</v>
      </c>
      <c r="N54" s="9"/>
      <c r="O54" s="9"/>
      <c r="P54" s="9"/>
      <c r="Q54" s="9"/>
      <c r="R54" s="9"/>
      <c r="S54" s="9"/>
      <c r="T54" s="9">
        <v>0</v>
      </c>
      <c r="U54" s="9"/>
      <c r="V54" s="9"/>
      <c r="W54" s="9">
        <f t="shared" si="15"/>
        <v>0</v>
      </c>
      <c r="X54" s="11"/>
      <c r="Y54" s="5">
        <f t="shared" si="7"/>
        <v>0</v>
      </c>
      <c r="Z54" s="5"/>
      <c r="AA54" s="1" t="e">
        <f t="shared" si="8"/>
        <v>#DIV/0!</v>
      </c>
      <c r="AB54" s="1" t="e">
        <f t="shared" si="9"/>
        <v>#DIV/0!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 t="s">
        <v>63</v>
      </c>
      <c r="AL54" s="1">
        <f t="shared" si="10"/>
        <v>0</v>
      </c>
      <c r="AM54" s="1">
        <f t="shared" si="11"/>
        <v>0</v>
      </c>
      <c r="AN54">
        <f t="shared" si="12"/>
        <v>0</v>
      </c>
    </row>
    <row r="55" spans="1:40" x14ac:dyDescent="0.25">
      <c r="A55" s="1" t="s">
        <v>105</v>
      </c>
      <c r="B55" s="1" t="s">
        <v>43</v>
      </c>
      <c r="C55" s="1">
        <v>385</v>
      </c>
      <c r="D55" s="1">
        <v>1160</v>
      </c>
      <c r="E55" s="1">
        <v>278</v>
      </c>
      <c r="F55" s="1">
        <v>1168</v>
      </c>
      <c r="G55" s="7">
        <v>0.45</v>
      </c>
      <c r="H55" s="1">
        <v>50</v>
      </c>
      <c r="I55" s="1" t="s">
        <v>39</v>
      </c>
      <c r="J55" s="1"/>
      <c r="K55" s="1">
        <v>329</v>
      </c>
      <c r="L55" s="1">
        <f t="shared" si="13"/>
        <v>-51</v>
      </c>
      <c r="M55" s="1">
        <f t="shared" si="14"/>
        <v>218</v>
      </c>
      <c r="N55" s="1">
        <v>60</v>
      </c>
      <c r="O55" s="1">
        <v>223.9529488</v>
      </c>
      <c r="P55" s="1"/>
      <c r="Q55" s="1"/>
      <c r="R55" s="1"/>
      <c r="S55" s="1"/>
      <c r="T55" s="1">
        <v>0</v>
      </c>
      <c r="U55" s="1"/>
      <c r="V55" s="1"/>
      <c r="W55" s="1">
        <f t="shared" si="15"/>
        <v>43.6</v>
      </c>
      <c r="X55" s="5"/>
      <c r="Y55" s="5">
        <f t="shared" si="7"/>
        <v>0</v>
      </c>
      <c r="Z55" s="5"/>
      <c r="AA55" s="1">
        <f t="shared" si="8"/>
        <v>31.925526348623855</v>
      </c>
      <c r="AB55" s="1">
        <f t="shared" si="9"/>
        <v>31.925526348623855</v>
      </c>
      <c r="AC55" s="1">
        <v>69.2</v>
      </c>
      <c r="AD55" s="1">
        <v>93.6</v>
      </c>
      <c r="AE55" s="1">
        <v>82</v>
      </c>
      <c r="AF55" s="1">
        <v>69.599999999999994</v>
      </c>
      <c r="AG55" s="1">
        <v>75.2</v>
      </c>
      <c r="AH55" s="1">
        <v>79.400000000000006</v>
      </c>
      <c r="AI55" s="1">
        <v>86.2</v>
      </c>
      <c r="AJ55" s="1">
        <v>84</v>
      </c>
      <c r="AK55" s="1"/>
      <c r="AL55" s="1">
        <f t="shared" si="10"/>
        <v>0</v>
      </c>
      <c r="AM55" s="1">
        <f t="shared" si="11"/>
        <v>0</v>
      </c>
      <c r="AN55">
        <f t="shared" si="12"/>
        <v>19.62</v>
      </c>
    </row>
    <row r="56" spans="1:40" x14ac:dyDescent="0.25">
      <c r="A56" s="1" t="s">
        <v>106</v>
      </c>
      <c r="B56" s="1" t="s">
        <v>43</v>
      </c>
      <c r="C56" s="1">
        <v>674</v>
      </c>
      <c r="D56" s="1">
        <v>743</v>
      </c>
      <c r="E56" s="1">
        <v>487</v>
      </c>
      <c r="F56" s="1">
        <v>899</v>
      </c>
      <c r="G56" s="7">
        <v>0.45</v>
      </c>
      <c r="H56" s="1">
        <v>50</v>
      </c>
      <c r="I56" s="1" t="s">
        <v>39</v>
      </c>
      <c r="J56" s="1"/>
      <c r="K56" s="1">
        <v>530</v>
      </c>
      <c r="L56" s="1">
        <f t="shared" si="13"/>
        <v>-43</v>
      </c>
      <c r="M56" s="1">
        <f t="shared" si="14"/>
        <v>487</v>
      </c>
      <c r="N56" s="1"/>
      <c r="O56" s="1">
        <v>367.07562452000008</v>
      </c>
      <c r="P56" s="1"/>
      <c r="Q56" s="1"/>
      <c r="R56" s="1"/>
      <c r="S56" s="1"/>
      <c r="T56" s="1">
        <v>281.71133760000021</v>
      </c>
      <c r="U56" s="1"/>
      <c r="V56" s="1"/>
      <c r="W56" s="1">
        <f t="shared" si="15"/>
        <v>97.4</v>
      </c>
      <c r="X56" s="5"/>
      <c r="Y56" s="5">
        <f t="shared" si="7"/>
        <v>0</v>
      </c>
      <c r="Z56" s="5"/>
      <c r="AA56" s="1">
        <f t="shared" si="8"/>
        <v>15.891036572073924</v>
      </c>
      <c r="AB56" s="1">
        <f t="shared" si="9"/>
        <v>15.891036572073924</v>
      </c>
      <c r="AC56" s="1">
        <v>138.80000000000001</v>
      </c>
      <c r="AD56" s="1">
        <v>140.19999999999999</v>
      </c>
      <c r="AE56" s="1">
        <v>121.6</v>
      </c>
      <c r="AF56" s="1">
        <v>115</v>
      </c>
      <c r="AG56" s="1">
        <v>109</v>
      </c>
      <c r="AH56" s="1">
        <v>86</v>
      </c>
      <c r="AI56" s="1">
        <v>112.8</v>
      </c>
      <c r="AJ56" s="1">
        <v>148.19999999999999</v>
      </c>
      <c r="AK56" s="1"/>
      <c r="AL56" s="1">
        <f t="shared" si="10"/>
        <v>0</v>
      </c>
      <c r="AM56" s="1">
        <f t="shared" si="11"/>
        <v>0</v>
      </c>
      <c r="AN56">
        <f t="shared" si="12"/>
        <v>43.830000000000005</v>
      </c>
    </row>
    <row r="57" spans="1:40" x14ac:dyDescent="0.25">
      <c r="A57" s="9" t="s">
        <v>107</v>
      </c>
      <c r="B57" s="9" t="s">
        <v>43</v>
      </c>
      <c r="C57" s="9"/>
      <c r="D57" s="9"/>
      <c r="E57" s="9"/>
      <c r="F57" s="9"/>
      <c r="G57" s="10">
        <v>0</v>
      </c>
      <c r="H57" s="9"/>
      <c r="I57" s="9" t="s">
        <v>39</v>
      </c>
      <c r="J57" s="9"/>
      <c r="K57" s="9"/>
      <c r="L57" s="9">
        <f t="shared" si="13"/>
        <v>0</v>
      </c>
      <c r="M57" s="9">
        <f t="shared" si="14"/>
        <v>0</v>
      </c>
      <c r="N57" s="9"/>
      <c r="O57" s="9"/>
      <c r="P57" s="9"/>
      <c r="Q57" s="9"/>
      <c r="R57" s="9"/>
      <c r="S57" s="9"/>
      <c r="T57" s="9">
        <v>0</v>
      </c>
      <c r="U57" s="9"/>
      <c r="V57" s="9"/>
      <c r="W57" s="9">
        <f t="shared" si="15"/>
        <v>0</v>
      </c>
      <c r="X57" s="11"/>
      <c r="Y57" s="5">
        <f t="shared" si="7"/>
        <v>0</v>
      </c>
      <c r="Z57" s="5"/>
      <c r="AA57" s="1" t="e">
        <f t="shared" si="8"/>
        <v>#DIV/0!</v>
      </c>
      <c r="AB57" s="1" t="e">
        <f t="shared" si="9"/>
        <v>#DIV/0!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 t="s">
        <v>63</v>
      </c>
      <c r="AL57" s="1">
        <f t="shared" si="10"/>
        <v>0</v>
      </c>
      <c r="AM57" s="1">
        <f t="shared" si="11"/>
        <v>0</v>
      </c>
      <c r="AN57">
        <f t="shared" si="12"/>
        <v>0</v>
      </c>
    </row>
    <row r="58" spans="1:40" x14ac:dyDescent="0.25">
      <c r="A58" s="1" t="s">
        <v>108</v>
      </c>
      <c r="B58" s="1" t="s">
        <v>43</v>
      </c>
      <c r="C58" s="1">
        <v>11</v>
      </c>
      <c r="D58" s="1">
        <v>36</v>
      </c>
      <c r="E58" s="1">
        <v>33</v>
      </c>
      <c r="F58" s="1">
        <v>14</v>
      </c>
      <c r="G58" s="7">
        <v>0.4</v>
      </c>
      <c r="H58" s="1">
        <v>40</v>
      </c>
      <c r="I58" s="13" t="s">
        <v>52</v>
      </c>
      <c r="J58" s="1"/>
      <c r="K58" s="1">
        <v>49</v>
      </c>
      <c r="L58" s="1">
        <f t="shared" si="13"/>
        <v>-16</v>
      </c>
      <c r="M58" s="1">
        <f t="shared" si="14"/>
        <v>33</v>
      </c>
      <c r="N58" s="1"/>
      <c r="O58" s="1"/>
      <c r="P58" s="1"/>
      <c r="Q58" s="1"/>
      <c r="R58" s="1"/>
      <c r="S58" s="1"/>
      <c r="T58" s="1">
        <v>10</v>
      </c>
      <c r="U58" s="1"/>
      <c r="V58" s="1"/>
      <c r="W58" s="1">
        <f t="shared" si="15"/>
        <v>6.6</v>
      </c>
      <c r="X58" s="5">
        <f>11*W58-T58-S58-R58-Q58-P58-O58-F58</f>
        <v>48.599999999999994</v>
      </c>
      <c r="Y58" s="5">
        <f t="shared" si="7"/>
        <v>48.599999999999994</v>
      </c>
      <c r="Z58" s="5"/>
      <c r="AA58" s="1">
        <f t="shared" si="8"/>
        <v>11</v>
      </c>
      <c r="AB58" s="1">
        <f t="shared" si="9"/>
        <v>3.6363636363636367</v>
      </c>
      <c r="AC58" s="1">
        <v>2.4</v>
      </c>
      <c r="AD58" s="1">
        <v>2.4</v>
      </c>
      <c r="AE58" s="1">
        <v>-0.4</v>
      </c>
      <c r="AF58" s="1">
        <v>0.2</v>
      </c>
      <c r="AG58" s="1">
        <v>2.4</v>
      </c>
      <c r="AH58" s="1">
        <v>2.8</v>
      </c>
      <c r="AI58" s="1">
        <v>4.8</v>
      </c>
      <c r="AJ58" s="1">
        <v>5.6</v>
      </c>
      <c r="AK58" s="1"/>
      <c r="AL58" s="1">
        <f t="shared" si="10"/>
        <v>19</v>
      </c>
      <c r="AM58" s="1">
        <f t="shared" si="11"/>
        <v>0</v>
      </c>
      <c r="AN58">
        <f t="shared" si="12"/>
        <v>2.64</v>
      </c>
    </row>
    <row r="59" spans="1:40" x14ac:dyDescent="0.25">
      <c r="A59" s="1" t="s">
        <v>109</v>
      </c>
      <c r="B59" s="1" t="s">
        <v>38</v>
      </c>
      <c r="C59" s="1">
        <v>344.04199999999997</v>
      </c>
      <c r="D59" s="1">
        <v>862.69299999999998</v>
      </c>
      <c r="E59" s="1">
        <v>619.93799999999999</v>
      </c>
      <c r="F59" s="1">
        <v>341.17500000000001</v>
      </c>
      <c r="G59" s="7">
        <v>1</v>
      </c>
      <c r="H59" s="1">
        <v>50</v>
      </c>
      <c r="I59" s="1" t="s">
        <v>39</v>
      </c>
      <c r="J59" s="1"/>
      <c r="K59" s="1">
        <v>636.505</v>
      </c>
      <c r="L59" s="1">
        <f t="shared" si="13"/>
        <v>-16.567000000000007</v>
      </c>
      <c r="M59" s="1">
        <f t="shared" si="14"/>
        <v>404.23299999999995</v>
      </c>
      <c r="N59" s="1">
        <v>215.70500000000001</v>
      </c>
      <c r="O59" s="1"/>
      <c r="P59" s="1"/>
      <c r="Q59" s="1"/>
      <c r="R59" s="1"/>
      <c r="S59" s="1"/>
      <c r="T59" s="1">
        <v>150.75186514207999</v>
      </c>
      <c r="U59" s="1"/>
      <c r="V59" s="1"/>
      <c r="W59" s="1">
        <f t="shared" si="15"/>
        <v>80.846599999999995</v>
      </c>
      <c r="X59" s="5">
        <f>11*W59-T59-S59-R59-Q59-P59-O59-F59</f>
        <v>397.38573485792</v>
      </c>
      <c r="Y59" s="5">
        <f t="shared" si="7"/>
        <v>397.38573485792</v>
      </c>
      <c r="Z59" s="5"/>
      <c r="AA59" s="1">
        <f t="shared" si="8"/>
        <v>11</v>
      </c>
      <c r="AB59" s="1">
        <f t="shared" si="9"/>
        <v>6.0846945343660721</v>
      </c>
      <c r="AC59" s="1">
        <v>58.027799999999999</v>
      </c>
      <c r="AD59" s="1">
        <v>74.771800000000013</v>
      </c>
      <c r="AE59" s="1">
        <v>94.477599999999981</v>
      </c>
      <c r="AF59" s="1">
        <v>78.927799999999991</v>
      </c>
      <c r="AG59" s="1">
        <v>65.617199999999997</v>
      </c>
      <c r="AH59" s="1">
        <v>68.840999999999994</v>
      </c>
      <c r="AI59" s="1">
        <v>74.638599999999997</v>
      </c>
      <c r="AJ59" s="1">
        <v>99.823999999999998</v>
      </c>
      <c r="AK59" s="1"/>
      <c r="AL59" s="1">
        <f t="shared" si="10"/>
        <v>397</v>
      </c>
      <c r="AM59" s="1">
        <f t="shared" si="11"/>
        <v>0</v>
      </c>
      <c r="AN59">
        <f t="shared" si="12"/>
        <v>80.846599999999995</v>
      </c>
    </row>
    <row r="60" spans="1:40" x14ac:dyDescent="0.25">
      <c r="A60" s="1" t="s">
        <v>110</v>
      </c>
      <c r="B60" s="1" t="s">
        <v>43</v>
      </c>
      <c r="C60" s="1">
        <v>151</v>
      </c>
      <c r="D60" s="1">
        <v>170</v>
      </c>
      <c r="E60" s="1">
        <v>133</v>
      </c>
      <c r="F60" s="1">
        <v>174</v>
      </c>
      <c r="G60" s="7">
        <v>0.1</v>
      </c>
      <c r="H60" s="1">
        <v>731</v>
      </c>
      <c r="I60" s="1" t="s">
        <v>39</v>
      </c>
      <c r="J60" s="1"/>
      <c r="K60" s="1">
        <v>143</v>
      </c>
      <c r="L60" s="1">
        <f t="shared" si="13"/>
        <v>-10</v>
      </c>
      <c r="M60" s="1">
        <f t="shared" si="14"/>
        <v>133</v>
      </c>
      <c r="N60" s="1"/>
      <c r="O60" s="1"/>
      <c r="P60" s="1"/>
      <c r="Q60" s="1"/>
      <c r="R60" s="1"/>
      <c r="S60" s="1"/>
      <c r="T60" s="1">
        <v>88.799999999999955</v>
      </c>
      <c r="U60" s="1"/>
      <c r="V60" s="1"/>
      <c r="W60" s="1">
        <f t="shared" si="15"/>
        <v>26.6</v>
      </c>
      <c r="X60" s="5">
        <f>11*W60-T60-S60-R60-Q60-P60-O60-F60</f>
        <v>29.800000000000068</v>
      </c>
      <c r="Y60" s="5">
        <f t="shared" si="7"/>
        <v>29.800000000000068</v>
      </c>
      <c r="Z60" s="5"/>
      <c r="AA60" s="1">
        <f t="shared" si="8"/>
        <v>11</v>
      </c>
      <c r="AB60" s="1">
        <f t="shared" si="9"/>
        <v>9.8796992481202981</v>
      </c>
      <c r="AC60" s="1">
        <v>27.2</v>
      </c>
      <c r="AD60" s="1">
        <v>27.2</v>
      </c>
      <c r="AE60" s="1">
        <v>26.2</v>
      </c>
      <c r="AF60" s="1">
        <v>26.8</v>
      </c>
      <c r="AG60" s="1">
        <v>27.6</v>
      </c>
      <c r="AH60" s="1">
        <v>24.4</v>
      </c>
      <c r="AI60" s="1">
        <v>26.4</v>
      </c>
      <c r="AJ60" s="1">
        <v>26.6</v>
      </c>
      <c r="AK60" s="1"/>
      <c r="AL60" s="1">
        <f t="shared" si="10"/>
        <v>3</v>
      </c>
      <c r="AM60" s="1">
        <f t="shared" si="11"/>
        <v>0</v>
      </c>
      <c r="AN60">
        <f t="shared" si="12"/>
        <v>2.66</v>
      </c>
    </row>
    <row r="61" spans="1:40" x14ac:dyDescent="0.25">
      <c r="A61" s="1" t="s">
        <v>111</v>
      </c>
      <c r="B61" s="1" t="s">
        <v>38</v>
      </c>
      <c r="C61" s="1">
        <v>600.73400000000004</v>
      </c>
      <c r="D61" s="1">
        <v>804.10199999999998</v>
      </c>
      <c r="E61" s="1">
        <v>744.27800000000002</v>
      </c>
      <c r="F61" s="1">
        <v>177.626</v>
      </c>
      <c r="G61" s="7">
        <v>1</v>
      </c>
      <c r="H61" s="1">
        <v>50</v>
      </c>
      <c r="I61" s="1" t="s">
        <v>39</v>
      </c>
      <c r="J61" s="1"/>
      <c r="K61" s="1">
        <v>761.68299999999999</v>
      </c>
      <c r="L61" s="1">
        <f t="shared" si="13"/>
        <v>-17.404999999999973</v>
      </c>
      <c r="M61" s="1">
        <f t="shared" si="14"/>
        <v>744.27800000000002</v>
      </c>
      <c r="N61" s="1"/>
      <c r="O61" s="1"/>
      <c r="P61" s="1"/>
      <c r="Q61" s="1"/>
      <c r="R61" s="1"/>
      <c r="S61" s="1"/>
      <c r="T61" s="1">
        <v>315.71891595200032</v>
      </c>
      <c r="U61" s="1"/>
      <c r="V61" s="1"/>
      <c r="W61" s="1">
        <f t="shared" si="15"/>
        <v>148.85560000000001</v>
      </c>
      <c r="X61" s="5">
        <f>9*W61-T61-S61-R61-Q61-P61-O61-F61</f>
        <v>846.35548404799988</v>
      </c>
      <c r="Y61" s="5">
        <f t="shared" si="7"/>
        <v>846.35548404799988</v>
      </c>
      <c r="Z61" s="5">
        <v>100</v>
      </c>
      <c r="AA61" s="1">
        <f t="shared" si="8"/>
        <v>9.6717919917020261</v>
      </c>
      <c r="AB61" s="1">
        <f t="shared" si="9"/>
        <v>3.3142516368346255</v>
      </c>
      <c r="AC61" s="1">
        <v>72.963200000000001</v>
      </c>
      <c r="AD61" s="1">
        <v>88.772199999999998</v>
      </c>
      <c r="AE61" s="1">
        <v>93.292600000000007</v>
      </c>
      <c r="AF61" s="1">
        <v>105.92659999999999</v>
      </c>
      <c r="AG61" s="1">
        <v>80.308399999999992</v>
      </c>
      <c r="AH61" s="1">
        <v>57.7956</v>
      </c>
      <c r="AI61" s="1">
        <v>86.590799999999987</v>
      </c>
      <c r="AJ61" s="1">
        <v>102.032</v>
      </c>
      <c r="AK61" s="1"/>
      <c r="AL61" s="1">
        <f t="shared" si="10"/>
        <v>846</v>
      </c>
      <c r="AM61" s="1">
        <f t="shared" si="11"/>
        <v>100</v>
      </c>
      <c r="AN61">
        <f t="shared" si="12"/>
        <v>148.85560000000001</v>
      </c>
    </row>
    <row r="62" spans="1:40" x14ac:dyDescent="0.25">
      <c r="A62" s="1" t="s">
        <v>112</v>
      </c>
      <c r="B62" s="1" t="s">
        <v>38</v>
      </c>
      <c r="C62" s="1">
        <v>35.695999999999998</v>
      </c>
      <c r="D62" s="1">
        <v>55.351999999999997</v>
      </c>
      <c r="E62" s="1">
        <v>34.159999999999997</v>
      </c>
      <c r="F62" s="1">
        <v>55.509</v>
      </c>
      <c r="G62" s="7">
        <v>1</v>
      </c>
      <c r="H62" s="1">
        <v>55</v>
      </c>
      <c r="I62" s="1" t="s">
        <v>39</v>
      </c>
      <c r="J62" s="1"/>
      <c r="K62" s="1">
        <v>37.1</v>
      </c>
      <c r="L62" s="1">
        <f t="shared" si="13"/>
        <v>-2.9400000000000048</v>
      </c>
      <c r="M62" s="1">
        <f t="shared" si="14"/>
        <v>34.159999999999997</v>
      </c>
      <c r="N62" s="1"/>
      <c r="O62" s="1"/>
      <c r="P62" s="1"/>
      <c r="Q62" s="1"/>
      <c r="R62" s="1"/>
      <c r="S62" s="1"/>
      <c r="T62" s="1">
        <v>0</v>
      </c>
      <c r="U62" s="1"/>
      <c r="V62" s="1"/>
      <c r="W62" s="1">
        <f t="shared" si="15"/>
        <v>6.831999999999999</v>
      </c>
      <c r="X62" s="5">
        <f>11*W62-T62-S62-R62-Q62-P62-O62-F62</f>
        <v>19.642999999999986</v>
      </c>
      <c r="Y62" s="5">
        <f t="shared" si="7"/>
        <v>19.642999999999986</v>
      </c>
      <c r="Z62" s="5"/>
      <c r="AA62" s="1">
        <f t="shared" si="8"/>
        <v>11</v>
      </c>
      <c r="AB62" s="1">
        <f t="shared" si="9"/>
        <v>8.1248536299765828</v>
      </c>
      <c r="AC62" s="1">
        <v>4.8714000000000004</v>
      </c>
      <c r="AD62" s="1">
        <v>4.8714000000000004</v>
      </c>
      <c r="AE62" s="1">
        <v>8.2176000000000009</v>
      </c>
      <c r="AF62" s="1">
        <v>6.5724</v>
      </c>
      <c r="AG62" s="1">
        <v>2.7147999999999999</v>
      </c>
      <c r="AH62" s="1">
        <v>3.7801999999999998</v>
      </c>
      <c r="AI62" s="1">
        <v>7.5739999999999998</v>
      </c>
      <c r="AJ62" s="1">
        <v>8.3827999999999996</v>
      </c>
      <c r="AK62" s="1"/>
      <c r="AL62" s="1">
        <f t="shared" si="10"/>
        <v>20</v>
      </c>
      <c r="AM62" s="1">
        <f t="shared" si="11"/>
        <v>0</v>
      </c>
      <c r="AN62">
        <f t="shared" si="12"/>
        <v>6.831999999999999</v>
      </c>
    </row>
    <row r="63" spans="1:40" x14ac:dyDescent="0.25">
      <c r="A63" s="1" t="s">
        <v>113</v>
      </c>
      <c r="B63" s="1" t="s">
        <v>43</v>
      </c>
      <c r="C63" s="1">
        <v>106</v>
      </c>
      <c r="D63" s="1">
        <v>164</v>
      </c>
      <c r="E63" s="1">
        <v>93</v>
      </c>
      <c r="F63" s="1">
        <v>172</v>
      </c>
      <c r="G63" s="7">
        <v>0.1</v>
      </c>
      <c r="H63" s="1">
        <v>731</v>
      </c>
      <c r="I63" s="1" t="s">
        <v>39</v>
      </c>
      <c r="J63" s="1"/>
      <c r="K63" s="1">
        <v>97</v>
      </c>
      <c r="L63" s="1">
        <f t="shared" si="13"/>
        <v>-4</v>
      </c>
      <c r="M63" s="1">
        <f t="shared" si="14"/>
        <v>93</v>
      </c>
      <c r="N63" s="1"/>
      <c r="O63" s="1"/>
      <c r="P63" s="1"/>
      <c r="Q63" s="1"/>
      <c r="R63" s="1"/>
      <c r="S63" s="1"/>
      <c r="T63" s="1">
        <v>64.000000000000057</v>
      </c>
      <c r="U63" s="1"/>
      <c r="V63" s="1"/>
      <c r="W63" s="1">
        <f t="shared" si="15"/>
        <v>18.600000000000001</v>
      </c>
      <c r="X63" s="5"/>
      <c r="Y63" s="5">
        <f t="shared" si="7"/>
        <v>0</v>
      </c>
      <c r="Z63" s="5"/>
      <c r="AA63" s="1">
        <f t="shared" si="8"/>
        <v>12.688172043010756</v>
      </c>
      <c r="AB63" s="1">
        <f t="shared" si="9"/>
        <v>12.688172043010756</v>
      </c>
      <c r="AC63" s="1">
        <v>23.6</v>
      </c>
      <c r="AD63" s="1">
        <v>23.6</v>
      </c>
      <c r="AE63" s="1">
        <v>20.2</v>
      </c>
      <c r="AF63" s="1">
        <v>24</v>
      </c>
      <c r="AG63" s="1">
        <v>23</v>
      </c>
      <c r="AH63" s="1">
        <v>23.6</v>
      </c>
      <c r="AI63" s="1">
        <v>23</v>
      </c>
      <c r="AJ63" s="1">
        <v>24.2</v>
      </c>
      <c r="AK63" s="1"/>
      <c r="AL63" s="1">
        <f t="shared" si="10"/>
        <v>0</v>
      </c>
      <c r="AM63" s="1">
        <f t="shared" si="11"/>
        <v>0</v>
      </c>
      <c r="AN63">
        <f t="shared" si="12"/>
        <v>1.8600000000000003</v>
      </c>
    </row>
    <row r="64" spans="1:40" x14ac:dyDescent="0.25">
      <c r="A64" s="1" t="s">
        <v>114</v>
      </c>
      <c r="B64" s="1" t="s">
        <v>43</v>
      </c>
      <c r="C64" s="1">
        <v>27</v>
      </c>
      <c r="D64" s="1"/>
      <c r="E64" s="1"/>
      <c r="F64" s="1">
        <v>27</v>
      </c>
      <c r="G64" s="7">
        <v>0.4</v>
      </c>
      <c r="H64" s="1">
        <v>50</v>
      </c>
      <c r="I64" s="1" t="s">
        <v>39</v>
      </c>
      <c r="J64" s="1"/>
      <c r="K64" s="1">
        <v>11</v>
      </c>
      <c r="L64" s="1">
        <f t="shared" si="13"/>
        <v>-11</v>
      </c>
      <c r="M64" s="1">
        <f t="shared" si="14"/>
        <v>0</v>
      </c>
      <c r="N64" s="1"/>
      <c r="O64" s="1"/>
      <c r="P64" s="1"/>
      <c r="Q64" s="1"/>
      <c r="R64" s="1"/>
      <c r="S64" s="1"/>
      <c r="T64" s="1">
        <v>0</v>
      </c>
      <c r="U64" s="1"/>
      <c r="V64" s="1"/>
      <c r="W64" s="1">
        <f t="shared" si="15"/>
        <v>0</v>
      </c>
      <c r="X64" s="5"/>
      <c r="Y64" s="5">
        <f t="shared" si="7"/>
        <v>0</v>
      </c>
      <c r="Z64" s="5"/>
      <c r="AA64" s="1" t="e">
        <f t="shared" si="8"/>
        <v>#DIV/0!</v>
      </c>
      <c r="AB64" s="1" t="e">
        <f t="shared" si="9"/>
        <v>#DIV/0!</v>
      </c>
      <c r="AC64" s="1">
        <v>0.2</v>
      </c>
      <c r="AD64" s="1">
        <v>0.2</v>
      </c>
      <c r="AE64" s="1">
        <v>0.8</v>
      </c>
      <c r="AF64" s="1">
        <v>1.4</v>
      </c>
      <c r="AG64" s="1">
        <v>2.2000000000000002</v>
      </c>
      <c r="AH64" s="1">
        <v>2.2000000000000002</v>
      </c>
      <c r="AI64" s="1">
        <v>1</v>
      </c>
      <c r="AJ64" s="1">
        <v>1.6</v>
      </c>
      <c r="AK64" s="14" t="s">
        <v>74</v>
      </c>
      <c r="AL64" s="1">
        <f t="shared" si="10"/>
        <v>0</v>
      </c>
      <c r="AM64" s="1">
        <f t="shared" si="11"/>
        <v>0</v>
      </c>
      <c r="AN64">
        <f t="shared" si="12"/>
        <v>0</v>
      </c>
    </row>
    <row r="65" spans="1:40" x14ac:dyDescent="0.25">
      <c r="A65" s="1" t="s">
        <v>115</v>
      </c>
      <c r="B65" s="1" t="s">
        <v>38</v>
      </c>
      <c r="C65" s="1">
        <v>-26.584</v>
      </c>
      <c r="D65" s="1">
        <v>304.47800000000001</v>
      </c>
      <c r="E65" s="1">
        <v>278.02699999999999</v>
      </c>
      <c r="F65" s="1">
        <v>-8.8949999999999996</v>
      </c>
      <c r="G65" s="7">
        <v>1</v>
      </c>
      <c r="H65" s="1">
        <v>40</v>
      </c>
      <c r="I65" s="13" t="s">
        <v>52</v>
      </c>
      <c r="J65" s="1"/>
      <c r="K65" s="1">
        <v>335.9</v>
      </c>
      <c r="L65" s="1">
        <f t="shared" si="13"/>
        <v>-57.87299999999999</v>
      </c>
      <c r="M65" s="1">
        <f t="shared" si="14"/>
        <v>278.02699999999999</v>
      </c>
      <c r="N65" s="1"/>
      <c r="O65" s="1"/>
      <c r="P65" s="1"/>
      <c r="Q65" s="1"/>
      <c r="R65" s="1">
        <v>25</v>
      </c>
      <c r="S65" s="1"/>
      <c r="T65" s="1">
        <v>50</v>
      </c>
      <c r="U65" s="1"/>
      <c r="V65" s="1"/>
      <c r="W65" s="1">
        <f t="shared" si="15"/>
        <v>55.605399999999996</v>
      </c>
      <c r="X65" s="5">
        <v>120</v>
      </c>
      <c r="Y65" s="5">
        <f t="shared" si="7"/>
        <v>120</v>
      </c>
      <c r="Z65" s="5"/>
      <c r="AA65" s="1">
        <f t="shared" si="8"/>
        <v>3.3468871728285388</v>
      </c>
      <c r="AB65" s="1">
        <f t="shared" si="9"/>
        <v>1.1888233876565946</v>
      </c>
      <c r="AC65" s="1">
        <v>1.9778</v>
      </c>
      <c r="AD65" s="1">
        <v>1.9778</v>
      </c>
      <c r="AE65" s="1">
        <v>35.930399999999999</v>
      </c>
      <c r="AF65" s="1">
        <v>33.767200000000003</v>
      </c>
      <c r="AG65" s="1">
        <v>5.1779999999999999</v>
      </c>
      <c r="AH65" s="1">
        <v>12.8698</v>
      </c>
      <c r="AI65" s="1">
        <v>11.319000000000001</v>
      </c>
      <c r="AJ65" s="1">
        <v>7.4388000000000014</v>
      </c>
      <c r="AK65" s="1" t="s">
        <v>116</v>
      </c>
      <c r="AL65" s="1">
        <f t="shared" si="10"/>
        <v>120</v>
      </c>
      <c r="AM65" s="1">
        <f t="shared" si="11"/>
        <v>0</v>
      </c>
      <c r="AN65">
        <f t="shared" si="12"/>
        <v>55.605399999999996</v>
      </c>
    </row>
    <row r="66" spans="1:40" x14ac:dyDescent="0.25">
      <c r="A66" s="1" t="s">
        <v>117</v>
      </c>
      <c r="B66" s="1" t="s">
        <v>38</v>
      </c>
      <c r="C66" s="1">
        <v>-40.819000000000003</v>
      </c>
      <c r="D66" s="1">
        <v>306.41399999999999</v>
      </c>
      <c r="E66" s="1">
        <v>164.01599999999999</v>
      </c>
      <c r="F66" s="1">
        <v>-107.26600000000001</v>
      </c>
      <c r="G66" s="7">
        <v>1</v>
      </c>
      <c r="H66" s="1">
        <v>40</v>
      </c>
      <c r="I66" s="13" t="s">
        <v>52</v>
      </c>
      <c r="J66" s="1"/>
      <c r="K66" s="1">
        <v>276.10199999999998</v>
      </c>
      <c r="L66" s="1">
        <f t="shared" si="13"/>
        <v>-112.08599999999998</v>
      </c>
      <c r="M66" s="1">
        <f t="shared" si="14"/>
        <v>164.01599999999999</v>
      </c>
      <c r="N66" s="1"/>
      <c r="O66" s="1"/>
      <c r="P66" s="1"/>
      <c r="Q66" s="1"/>
      <c r="R66" s="1">
        <v>30</v>
      </c>
      <c r="S66" s="1"/>
      <c r="T66" s="1">
        <v>60</v>
      </c>
      <c r="U66" s="1"/>
      <c r="V66" s="1"/>
      <c r="W66" s="1">
        <f t="shared" si="15"/>
        <v>32.803199999999997</v>
      </c>
      <c r="X66" s="5">
        <v>100</v>
      </c>
      <c r="Y66" s="5">
        <f t="shared" si="7"/>
        <v>100</v>
      </c>
      <c r="Z66" s="5"/>
      <c r="AA66" s="1">
        <f t="shared" si="8"/>
        <v>2.5221319871232075</v>
      </c>
      <c r="AB66" s="1">
        <f t="shared" si="9"/>
        <v>-0.52635108769876127</v>
      </c>
      <c r="AC66" s="1">
        <v>19.798400000000001</v>
      </c>
      <c r="AD66" s="1">
        <v>10.039999999999999</v>
      </c>
      <c r="AE66" s="1">
        <v>35.883800000000001</v>
      </c>
      <c r="AF66" s="1">
        <v>36.3566</v>
      </c>
      <c r="AG66" s="1">
        <v>15.0884</v>
      </c>
      <c r="AH66" s="1">
        <v>0.26879999999999998</v>
      </c>
      <c r="AI66" s="1">
        <v>0.55599999999999994</v>
      </c>
      <c r="AJ66" s="1">
        <v>8.0599999999999987</v>
      </c>
      <c r="AK66" s="1" t="s">
        <v>116</v>
      </c>
      <c r="AL66" s="1">
        <f t="shared" si="10"/>
        <v>100</v>
      </c>
      <c r="AM66" s="1">
        <f t="shared" si="11"/>
        <v>0</v>
      </c>
      <c r="AN66">
        <f t="shared" si="12"/>
        <v>32.803199999999997</v>
      </c>
    </row>
    <row r="67" spans="1:40" x14ac:dyDescent="0.25">
      <c r="A67" s="1" t="s">
        <v>118</v>
      </c>
      <c r="B67" s="1" t="s">
        <v>43</v>
      </c>
      <c r="C67" s="1">
        <v>984</v>
      </c>
      <c r="D67" s="1">
        <v>733</v>
      </c>
      <c r="E67" s="1">
        <v>1002</v>
      </c>
      <c r="F67" s="1">
        <v>518</v>
      </c>
      <c r="G67" s="7">
        <v>0.4</v>
      </c>
      <c r="H67" s="1">
        <v>40</v>
      </c>
      <c r="I67" s="1" t="s">
        <v>39</v>
      </c>
      <c r="J67" s="1"/>
      <c r="K67" s="1">
        <v>1283</v>
      </c>
      <c r="L67" s="1">
        <f t="shared" si="13"/>
        <v>-281</v>
      </c>
      <c r="M67" s="1">
        <f t="shared" si="14"/>
        <v>1002</v>
      </c>
      <c r="N67" s="1"/>
      <c r="O67" s="1">
        <v>684.50024000000008</v>
      </c>
      <c r="P67" s="1"/>
      <c r="Q67" s="1"/>
      <c r="R67" s="1"/>
      <c r="S67" s="1"/>
      <c r="T67" s="1">
        <v>769.16000000000008</v>
      </c>
      <c r="U67" s="1"/>
      <c r="V67" s="1"/>
      <c r="W67" s="1">
        <f t="shared" si="15"/>
        <v>200.4</v>
      </c>
      <c r="X67" s="5">
        <f>11*W67-T67-S67-R67-Q67-P67-O67-F67</f>
        <v>232.73975999999993</v>
      </c>
      <c r="Y67" s="5">
        <f t="shared" si="7"/>
        <v>232.73975999999993</v>
      </c>
      <c r="Z67" s="5"/>
      <c r="AA67" s="1">
        <f t="shared" si="8"/>
        <v>11</v>
      </c>
      <c r="AB67" s="1">
        <f t="shared" si="9"/>
        <v>9.8386239520958085</v>
      </c>
      <c r="AC67" s="1">
        <v>164</v>
      </c>
      <c r="AD67" s="1">
        <v>188.8</v>
      </c>
      <c r="AE67" s="1">
        <v>96.2</v>
      </c>
      <c r="AF67" s="1">
        <v>124.2</v>
      </c>
      <c r="AG67" s="1">
        <v>168</v>
      </c>
      <c r="AH67" s="1">
        <v>89.6</v>
      </c>
      <c r="AI67" s="1">
        <v>26.4</v>
      </c>
      <c r="AJ67" s="1">
        <v>94.8</v>
      </c>
      <c r="AK67" s="1"/>
      <c r="AL67" s="1">
        <f t="shared" si="10"/>
        <v>93</v>
      </c>
      <c r="AM67" s="1">
        <f t="shared" si="11"/>
        <v>0</v>
      </c>
      <c r="AN67">
        <f t="shared" si="12"/>
        <v>80.160000000000011</v>
      </c>
    </row>
    <row r="68" spans="1:40" x14ac:dyDescent="0.25">
      <c r="A68" s="1" t="s">
        <v>119</v>
      </c>
      <c r="B68" s="1" t="s">
        <v>43</v>
      </c>
      <c r="C68" s="1">
        <v>39</v>
      </c>
      <c r="D68" s="1">
        <v>293</v>
      </c>
      <c r="E68" s="1">
        <v>249</v>
      </c>
      <c r="F68" s="1">
        <v>-2</v>
      </c>
      <c r="G68" s="7">
        <v>0.4</v>
      </c>
      <c r="H68" s="1">
        <v>40</v>
      </c>
      <c r="I68" s="13" t="s">
        <v>52</v>
      </c>
      <c r="J68" s="1"/>
      <c r="K68" s="1">
        <v>597</v>
      </c>
      <c r="L68" s="1">
        <f t="shared" si="13"/>
        <v>-348</v>
      </c>
      <c r="M68" s="1">
        <f t="shared" si="14"/>
        <v>189</v>
      </c>
      <c r="N68" s="1">
        <v>60</v>
      </c>
      <c r="O68" s="1"/>
      <c r="P68" s="1"/>
      <c r="Q68" s="1"/>
      <c r="R68" s="1">
        <v>100</v>
      </c>
      <c r="S68" s="1"/>
      <c r="T68" s="1">
        <v>200</v>
      </c>
      <c r="U68" s="1"/>
      <c r="V68" s="1"/>
      <c r="W68" s="1">
        <f t="shared" si="15"/>
        <v>37.799999999999997</v>
      </c>
      <c r="X68" s="5">
        <v>150</v>
      </c>
      <c r="Y68" s="5">
        <f t="shared" si="7"/>
        <v>150</v>
      </c>
      <c r="Z68" s="5"/>
      <c r="AA68" s="1">
        <f t="shared" si="8"/>
        <v>11.851851851851853</v>
      </c>
      <c r="AB68" s="1">
        <f t="shared" si="9"/>
        <v>7.8835978835978846</v>
      </c>
      <c r="AC68" s="1">
        <v>26.6</v>
      </c>
      <c r="AD68" s="1">
        <v>38.4</v>
      </c>
      <c r="AE68" s="1">
        <v>0.6</v>
      </c>
      <c r="AF68" s="1">
        <v>0</v>
      </c>
      <c r="AG68" s="1">
        <v>0.4</v>
      </c>
      <c r="AH68" s="1">
        <v>0.8</v>
      </c>
      <c r="AI68" s="1">
        <v>45.6</v>
      </c>
      <c r="AJ68" s="1">
        <v>95.8</v>
      </c>
      <c r="AK68" s="1"/>
      <c r="AL68" s="1">
        <f t="shared" si="10"/>
        <v>60</v>
      </c>
      <c r="AM68" s="1">
        <f t="shared" si="11"/>
        <v>0</v>
      </c>
      <c r="AN68">
        <f t="shared" si="12"/>
        <v>15.12</v>
      </c>
    </row>
    <row r="69" spans="1:40" x14ac:dyDescent="0.25">
      <c r="A69" s="1" t="s">
        <v>120</v>
      </c>
      <c r="B69" s="1" t="s">
        <v>38</v>
      </c>
      <c r="C69" s="1">
        <v>67.796999999999997</v>
      </c>
      <c r="D69" s="1">
        <v>118.155</v>
      </c>
      <c r="E69" s="1">
        <v>87.748999999999995</v>
      </c>
      <c r="F69" s="1">
        <v>61.000999999999998</v>
      </c>
      <c r="G69" s="7">
        <v>1</v>
      </c>
      <c r="H69" s="1">
        <v>40</v>
      </c>
      <c r="I69" s="1" t="s">
        <v>39</v>
      </c>
      <c r="J69" s="1"/>
      <c r="K69" s="1">
        <v>88.058000000000007</v>
      </c>
      <c r="L69" s="1">
        <f t="shared" si="13"/>
        <v>-0.30900000000001171</v>
      </c>
      <c r="M69" s="1">
        <f t="shared" si="14"/>
        <v>55.090999999999994</v>
      </c>
      <c r="N69" s="1">
        <v>32.658000000000001</v>
      </c>
      <c r="O69" s="1"/>
      <c r="P69" s="1"/>
      <c r="Q69" s="1"/>
      <c r="R69" s="1"/>
      <c r="S69" s="1"/>
      <c r="T69" s="1">
        <v>42.963199999999958</v>
      </c>
      <c r="U69" s="1"/>
      <c r="V69" s="1"/>
      <c r="W69" s="1">
        <f t="shared" si="15"/>
        <v>11.018199999999998</v>
      </c>
      <c r="X69" s="5">
        <f>11*W69-T69-S69-R69-Q69-P69-O69-F69</f>
        <v>17.236000000000026</v>
      </c>
      <c r="Y69" s="5">
        <f t="shared" si="7"/>
        <v>17.236000000000026</v>
      </c>
      <c r="Z69" s="5"/>
      <c r="AA69" s="1">
        <f t="shared" si="8"/>
        <v>10.999999999999998</v>
      </c>
      <c r="AB69" s="1">
        <f t="shared" si="9"/>
        <v>9.4356791490443044</v>
      </c>
      <c r="AC69" s="1">
        <v>11.1456</v>
      </c>
      <c r="AD69" s="1">
        <v>9.0595999999999979</v>
      </c>
      <c r="AE69" s="1">
        <v>17.7364</v>
      </c>
      <c r="AF69" s="1">
        <v>6.0776000000000003</v>
      </c>
      <c r="AG69" s="1">
        <v>4.7904</v>
      </c>
      <c r="AH69" s="1">
        <v>12.265599999999999</v>
      </c>
      <c r="AI69" s="1">
        <v>17.055599999999998</v>
      </c>
      <c r="AJ69" s="1">
        <v>11.9252</v>
      </c>
      <c r="AK69" s="1"/>
      <c r="AL69" s="1">
        <f t="shared" si="10"/>
        <v>17</v>
      </c>
      <c r="AM69" s="1">
        <f t="shared" si="11"/>
        <v>0</v>
      </c>
      <c r="AN69">
        <f t="shared" si="12"/>
        <v>11.018199999999998</v>
      </c>
    </row>
    <row r="70" spans="1:40" x14ac:dyDescent="0.25">
      <c r="A70" s="1" t="s">
        <v>121</v>
      </c>
      <c r="B70" s="1" t="s">
        <v>38</v>
      </c>
      <c r="C70" s="1">
        <v>38.289000000000001</v>
      </c>
      <c r="D70" s="1">
        <v>416.31099999999998</v>
      </c>
      <c r="E70" s="1">
        <v>162.10400000000001</v>
      </c>
      <c r="F70" s="1">
        <v>198.94</v>
      </c>
      <c r="G70" s="7">
        <v>1</v>
      </c>
      <c r="H70" s="1">
        <v>40</v>
      </c>
      <c r="I70" s="1" t="s">
        <v>39</v>
      </c>
      <c r="J70" s="1"/>
      <c r="K70" s="1">
        <v>164.452</v>
      </c>
      <c r="L70" s="1">
        <f t="shared" ref="L70:L101" si="16">E70-K70</f>
        <v>-2.3479999999999848</v>
      </c>
      <c r="M70" s="1">
        <f t="shared" ref="M70:M101" si="17">E70-N70</f>
        <v>162.10400000000001</v>
      </c>
      <c r="N70" s="1"/>
      <c r="O70" s="1"/>
      <c r="P70" s="1"/>
      <c r="Q70" s="1"/>
      <c r="R70" s="1"/>
      <c r="S70" s="1"/>
      <c r="T70" s="1">
        <v>0</v>
      </c>
      <c r="U70" s="1"/>
      <c r="V70" s="1"/>
      <c r="W70" s="1">
        <f t="shared" ref="W70:W101" si="18">M70/5</f>
        <v>32.4208</v>
      </c>
      <c r="X70" s="5">
        <f>11*W70-T70-S70-R70-Q70-P70-O70-F70</f>
        <v>157.68880000000001</v>
      </c>
      <c r="Y70" s="5">
        <f t="shared" si="7"/>
        <v>157.68880000000001</v>
      </c>
      <c r="Z70" s="5"/>
      <c r="AA70" s="1">
        <f t="shared" si="8"/>
        <v>11</v>
      </c>
      <c r="AB70" s="1">
        <f t="shared" si="9"/>
        <v>6.1361841780585307</v>
      </c>
      <c r="AC70" s="1">
        <v>3.311199999999999</v>
      </c>
      <c r="AD70" s="1">
        <v>20.581600000000002</v>
      </c>
      <c r="AE70" s="1">
        <v>30.961200000000002</v>
      </c>
      <c r="AF70" s="1">
        <v>27.160799999999998</v>
      </c>
      <c r="AG70" s="1">
        <v>17.945</v>
      </c>
      <c r="AH70" s="1">
        <v>16.682200000000002</v>
      </c>
      <c r="AI70" s="1">
        <v>20.416399999999999</v>
      </c>
      <c r="AJ70" s="1">
        <v>21.869800000000001</v>
      </c>
      <c r="AK70" s="1"/>
      <c r="AL70" s="1">
        <f t="shared" si="10"/>
        <v>158</v>
      </c>
      <c r="AM70" s="1">
        <f t="shared" si="11"/>
        <v>0</v>
      </c>
      <c r="AN70">
        <f t="shared" si="12"/>
        <v>32.4208</v>
      </c>
    </row>
    <row r="71" spans="1:40" x14ac:dyDescent="0.25">
      <c r="A71" s="1" t="s">
        <v>122</v>
      </c>
      <c r="B71" s="1" t="s">
        <v>38</v>
      </c>
      <c r="C71" s="1">
        <v>668.14700000000005</v>
      </c>
      <c r="D71" s="1">
        <v>137.59</v>
      </c>
      <c r="E71" s="1">
        <v>595.44000000000005</v>
      </c>
      <c r="F71" s="1">
        <v>94.950999999999993</v>
      </c>
      <c r="G71" s="7">
        <v>1</v>
      </c>
      <c r="H71" s="1">
        <v>40</v>
      </c>
      <c r="I71" s="13" t="s">
        <v>52</v>
      </c>
      <c r="J71" s="1"/>
      <c r="K71" s="1">
        <v>587.79999999999995</v>
      </c>
      <c r="L71" s="1">
        <f t="shared" si="16"/>
        <v>7.6400000000001</v>
      </c>
      <c r="M71" s="1">
        <f t="shared" si="17"/>
        <v>503.74000000000007</v>
      </c>
      <c r="N71" s="1">
        <v>91.7</v>
      </c>
      <c r="O71" s="1"/>
      <c r="P71" s="1"/>
      <c r="Q71" s="1"/>
      <c r="R71" s="1"/>
      <c r="S71" s="1"/>
      <c r="T71" s="1">
        <v>268.18980000000028</v>
      </c>
      <c r="U71" s="1"/>
      <c r="V71" s="1"/>
      <c r="W71" s="1">
        <f t="shared" si="18"/>
        <v>100.74800000000002</v>
      </c>
      <c r="X71" s="5">
        <f>10*W71-T71-S71-R71-Q71-P71-O71-F71</f>
        <v>644.33919999999989</v>
      </c>
      <c r="Y71" s="5">
        <f t="shared" ref="Y71:Y134" si="19">X71</f>
        <v>644.33919999999989</v>
      </c>
      <c r="Z71" s="5">
        <v>200</v>
      </c>
      <c r="AA71" s="1">
        <f t="shared" ref="AA71:AA134" si="20">(F71+O71+P71+Q71+R71+S71+T71+Y71+V71+U71+Z71)/W71</f>
        <v>11.985151069996425</v>
      </c>
      <c r="AB71" s="1">
        <f t="shared" ref="AB71:AB134" si="21">(F71+O71+P71+Q71+R71+S71+T71+U71+V71)/W71</f>
        <v>3.6044467383967937</v>
      </c>
      <c r="AC71" s="1">
        <v>83.455400000000012</v>
      </c>
      <c r="AD71" s="1">
        <v>94.111999999999995</v>
      </c>
      <c r="AE71" s="1">
        <v>81.416399999999996</v>
      </c>
      <c r="AF71" s="1">
        <v>61.898000000000003</v>
      </c>
      <c r="AG71" s="1">
        <v>89.253599999999992</v>
      </c>
      <c r="AH71" s="1">
        <v>110.14279999999999</v>
      </c>
      <c r="AI71" s="1">
        <v>106.628</v>
      </c>
      <c r="AJ71" s="1">
        <v>119.44499999999999</v>
      </c>
      <c r="AK71" s="1"/>
      <c r="AL71" s="1">
        <f t="shared" ref="AL71:AL134" si="22">ROUND(G71*Y71,0)</f>
        <v>644</v>
      </c>
      <c r="AM71" s="1">
        <f t="shared" ref="AM71:AM134" si="23">ROUND(G71*Z71,0)</f>
        <v>200</v>
      </c>
      <c r="AN71">
        <f t="shared" ref="AN71:AN134" si="24">W71*G71</f>
        <v>100.74800000000002</v>
      </c>
    </row>
    <row r="72" spans="1:40" x14ac:dyDescent="0.25">
      <c r="A72" s="1" t="s">
        <v>123</v>
      </c>
      <c r="B72" s="1" t="s">
        <v>38</v>
      </c>
      <c r="C72" s="1">
        <v>61.877000000000002</v>
      </c>
      <c r="D72" s="1">
        <v>105.358</v>
      </c>
      <c r="E72" s="1">
        <v>101.961</v>
      </c>
      <c r="F72" s="1">
        <v>-4.9550000000000001</v>
      </c>
      <c r="G72" s="7">
        <v>1</v>
      </c>
      <c r="H72" s="1">
        <v>40</v>
      </c>
      <c r="I72" s="1" t="s">
        <v>39</v>
      </c>
      <c r="J72" s="1"/>
      <c r="K72" s="1">
        <v>114.715</v>
      </c>
      <c r="L72" s="1">
        <f t="shared" si="16"/>
        <v>-12.754000000000005</v>
      </c>
      <c r="M72" s="1">
        <f t="shared" si="17"/>
        <v>101.961</v>
      </c>
      <c r="N72" s="1"/>
      <c r="O72" s="1"/>
      <c r="P72" s="1"/>
      <c r="Q72" s="1"/>
      <c r="R72" s="1"/>
      <c r="S72" s="1"/>
      <c r="T72" s="1">
        <v>47.286400000000008</v>
      </c>
      <c r="U72" s="1"/>
      <c r="V72" s="1"/>
      <c r="W72" s="1">
        <f t="shared" si="18"/>
        <v>20.392199999999999</v>
      </c>
      <c r="X72" s="5">
        <f>8*W72-T72-S72-R72-Q72-P72-O72-F72</f>
        <v>120.80619999999998</v>
      </c>
      <c r="Y72" s="5">
        <f t="shared" si="19"/>
        <v>120.80619999999998</v>
      </c>
      <c r="Z72" s="5"/>
      <c r="AA72" s="1">
        <f t="shared" si="20"/>
        <v>8</v>
      </c>
      <c r="AB72" s="1">
        <f t="shared" si="21"/>
        <v>2.0758623395219749</v>
      </c>
      <c r="AC72" s="1">
        <v>17.112400000000001</v>
      </c>
      <c r="AD72" s="1">
        <v>30.803799999999999</v>
      </c>
      <c r="AE72" s="1">
        <v>13.1944</v>
      </c>
      <c r="AF72" s="1">
        <v>3.5874000000000001</v>
      </c>
      <c r="AG72" s="1">
        <v>14.342000000000001</v>
      </c>
      <c r="AH72" s="1">
        <v>18.890999999999998</v>
      </c>
      <c r="AI72" s="1">
        <v>10.531000000000001</v>
      </c>
      <c r="AJ72" s="1">
        <v>10.1662</v>
      </c>
      <c r="AK72" s="1"/>
      <c r="AL72" s="1">
        <f t="shared" si="22"/>
        <v>121</v>
      </c>
      <c r="AM72" s="1">
        <f t="shared" si="23"/>
        <v>0</v>
      </c>
      <c r="AN72">
        <f t="shared" si="24"/>
        <v>20.392199999999999</v>
      </c>
    </row>
    <row r="73" spans="1:40" x14ac:dyDescent="0.25">
      <c r="A73" s="9" t="s">
        <v>124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16"/>
        <v>0</v>
      </c>
      <c r="M73" s="9">
        <f t="shared" si="17"/>
        <v>0</v>
      </c>
      <c r="N73" s="9"/>
      <c r="O73" s="9"/>
      <c r="P73" s="9"/>
      <c r="Q73" s="9"/>
      <c r="R73" s="9"/>
      <c r="S73" s="9"/>
      <c r="T73" s="9">
        <v>0</v>
      </c>
      <c r="U73" s="9"/>
      <c r="V73" s="9"/>
      <c r="W73" s="9">
        <f t="shared" si="18"/>
        <v>0</v>
      </c>
      <c r="X73" s="11"/>
      <c r="Y73" s="5">
        <f t="shared" si="19"/>
        <v>0</v>
      </c>
      <c r="Z73" s="5"/>
      <c r="AA73" s="1" t="e">
        <f t="shared" si="20"/>
        <v>#DIV/0!</v>
      </c>
      <c r="AB73" s="1" t="e">
        <f t="shared" si="21"/>
        <v>#DIV/0!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 t="s">
        <v>63</v>
      </c>
      <c r="AL73" s="1">
        <f t="shared" si="22"/>
        <v>0</v>
      </c>
      <c r="AM73" s="1">
        <f t="shared" si="23"/>
        <v>0</v>
      </c>
      <c r="AN73">
        <f t="shared" si="24"/>
        <v>0</v>
      </c>
    </row>
    <row r="74" spans="1:40" x14ac:dyDescent="0.25">
      <c r="A74" s="1" t="s">
        <v>125</v>
      </c>
      <c r="B74" s="1" t="s">
        <v>38</v>
      </c>
      <c r="C74" s="1">
        <v>554.88499999999999</v>
      </c>
      <c r="D74" s="1">
        <v>230.07499999999999</v>
      </c>
      <c r="E74" s="1">
        <v>484.947</v>
      </c>
      <c r="F74" s="1">
        <v>223.55799999999999</v>
      </c>
      <c r="G74" s="7">
        <v>1</v>
      </c>
      <c r="H74" s="1">
        <v>30</v>
      </c>
      <c r="I74" s="1" t="s">
        <v>39</v>
      </c>
      <c r="J74" s="1"/>
      <c r="K74" s="1">
        <v>549.70000000000005</v>
      </c>
      <c r="L74" s="1">
        <f t="shared" si="16"/>
        <v>-64.753000000000043</v>
      </c>
      <c r="M74" s="1">
        <f t="shared" si="17"/>
        <v>484.947</v>
      </c>
      <c r="N74" s="1"/>
      <c r="O74" s="1"/>
      <c r="P74" s="1"/>
      <c r="Q74" s="1"/>
      <c r="R74" s="1"/>
      <c r="S74" s="1"/>
      <c r="T74" s="1">
        <v>69.09639999999996</v>
      </c>
      <c r="U74" s="1"/>
      <c r="V74" s="1"/>
      <c r="W74" s="1">
        <f t="shared" si="18"/>
        <v>96.989400000000003</v>
      </c>
      <c r="X74" s="5">
        <f>9*W74-T74-S74-R74-Q74-P74-O74-F74</f>
        <v>580.25020000000018</v>
      </c>
      <c r="Y74" s="5">
        <f t="shared" si="19"/>
        <v>580.25020000000018</v>
      </c>
      <c r="Z74" s="5"/>
      <c r="AA74" s="1">
        <f t="shared" si="20"/>
        <v>9</v>
      </c>
      <c r="AB74" s="1">
        <f t="shared" si="21"/>
        <v>3.0173854050030204</v>
      </c>
      <c r="AC74" s="1">
        <v>46.159199999999998</v>
      </c>
      <c r="AD74" s="1">
        <v>46.7592</v>
      </c>
      <c r="AE74" s="1">
        <v>74.270200000000003</v>
      </c>
      <c r="AF74" s="1">
        <v>73.813599999999994</v>
      </c>
      <c r="AG74" s="1">
        <v>59.351199999999992</v>
      </c>
      <c r="AH74" s="1">
        <v>99.834000000000003</v>
      </c>
      <c r="AI74" s="1">
        <v>113.3442</v>
      </c>
      <c r="AJ74" s="1">
        <v>77.829800000000006</v>
      </c>
      <c r="AK74" s="1"/>
      <c r="AL74" s="1">
        <f t="shared" si="22"/>
        <v>580</v>
      </c>
      <c r="AM74" s="1">
        <f t="shared" si="23"/>
        <v>0</v>
      </c>
      <c r="AN74">
        <f t="shared" si="24"/>
        <v>96.989400000000003</v>
      </c>
    </row>
    <row r="75" spans="1:40" x14ac:dyDescent="0.25">
      <c r="A75" s="9" t="s">
        <v>126</v>
      </c>
      <c r="B75" s="9" t="s">
        <v>43</v>
      </c>
      <c r="C75" s="9">
        <v>-1</v>
      </c>
      <c r="D75" s="9"/>
      <c r="E75" s="9"/>
      <c r="F75" s="9">
        <v>-1</v>
      </c>
      <c r="G75" s="10">
        <v>0</v>
      </c>
      <c r="H75" s="9"/>
      <c r="I75" s="9" t="s">
        <v>55</v>
      </c>
      <c r="J75" s="9"/>
      <c r="K75" s="9"/>
      <c r="L75" s="9">
        <f t="shared" si="16"/>
        <v>0</v>
      </c>
      <c r="M75" s="9">
        <f t="shared" si="17"/>
        <v>0</v>
      </c>
      <c r="N75" s="9"/>
      <c r="O75" s="9"/>
      <c r="P75" s="9"/>
      <c r="Q75" s="9"/>
      <c r="R75" s="9"/>
      <c r="S75" s="9"/>
      <c r="T75" s="9">
        <v>0</v>
      </c>
      <c r="U75" s="9"/>
      <c r="V75" s="9"/>
      <c r="W75" s="9">
        <f t="shared" si="18"/>
        <v>0</v>
      </c>
      <c r="X75" s="11"/>
      <c r="Y75" s="5">
        <f t="shared" si="19"/>
        <v>0</v>
      </c>
      <c r="Z75" s="5"/>
      <c r="AA75" s="1" t="e">
        <f t="shared" si="20"/>
        <v>#DIV/0!</v>
      </c>
      <c r="AB75" s="1" t="e">
        <f t="shared" si="21"/>
        <v>#DIV/0!</v>
      </c>
      <c r="AC75" s="9">
        <v>0.2</v>
      </c>
      <c r="AD75" s="9">
        <v>0.2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/>
      <c r="AL75" s="1">
        <f t="shared" si="22"/>
        <v>0</v>
      </c>
      <c r="AM75" s="1">
        <f t="shared" si="23"/>
        <v>0</v>
      </c>
      <c r="AN75">
        <f t="shared" si="24"/>
        <v>0</v>
      </c>
    </row>
    <row r="76" spans="1:40" x14ac:dyDescent="0.25">
      <c r="A76" s="1" t="s">
        <v>127</v>
      </c>
      <c r="B76" s="1" t="s">
        <v>43</v>
      </c>
      <c r="C76" s="1">
        <v>794</v>
      </c>
      <c r="D76" s="1">
        <v>524</v>
      </c>
      <c r="E76" s="1">
        <v>410</v>
      </c>
      <c r="F76" s="1">
        <v>772</v>
      </c>
      <c r="G76" s="7">
        <v>0.6</v>
      </c>
      <c r="H76" s="1">
        <v>60</v>
      </c>
      <c r="I76" s="1" t="s">
        <v>39</v>
      </c>
      <c r="J76" s="1"/>
      <c r="K76" s="1">
        <v>567</v>
      </c>
      <c r="L76" s="1">
        <f t="shared" si="16"/>
        <v>-157</v>
      </c>
      <c r="M76" s="1">
        <f t="shared" si="17"/>
        <v>410</v>
      </c>
      <c r="N76" s="1"/>
      <c r="O76" s="1">
        <v>393.87184000000008</v>
      </c>
      <c r="P76" s="1"/>
      <c r="Q76" s="1"/>
      <c r="R76" s="1"/>
      <c r="S76" s="1"/>
      <c r="T76" s="1">
        <v>465.8839999999999</v>
      </c>
      <c r="U76" s="1"/>
      <c r="V76" s="1"/>
      <c r="W76" s="1">
        <f t="shared" si="18"/>
        <v>82</v>
      </c>
      <c r="X76" s="5"/>
      <c r="Y76" s="5">
        <f t="shared" si="19"/>
        <v>0</v>
      </c>
      <c r="Z76" s="5"/>
      <c r="AA76" s="1">
        <f t="shared" si="20"/>
        <v>19.899461463414632</v>
      </c>
      <c r="AB76" s="1">
        <f t="shared" si="21"/>
        <v>19.899461463414632</v>
      </c>
      <c r="AC76" s="1">
        <v>127.8</v>
      </c>
      <c r="AD76" s="1">
        <v>127.8</v>
      </c>
      <c r="AE76" s="1">
        <v>101.6</v>
      </c>
      <c r="AF76" s="1">
        <v>91.8</v>
      </c>
      <c r="AG76" s="1">
        <v>71.400000000000006</v>
      </c>
      <c r="AH76" s="1">
        <v>79.400000000000006</v>
      </c>
      <c r="AI76" s="1">
        <v>144.80000000000001</v>
      </c>
      <c r="AJ76" s="1">
        <v>132.19999999999999</v>
      </c>
      <c r="AK76" s="1"/>
      <c r="AL76" s="1">
        <f t="shared" si="22"/>
        <v>0</v>
      </c>
      <c r="AM76" s="1">
        <f t="shared" si="23"/>
        <v>0</v>
      </c>
      <c r="AN76">
        <f t="shared" si="24"/>
        <v>49.199999999999996</v>
      </c>
    </row>
    <row r="77" spans="1:40" x14ac:dyDescent="0.25">
      <c r="A77" s="1" t="s">
        <v>128</v>
      </c>
      <c r="B77" s="1" t="s">
        <v>43</v>
      </c>
      <c r="C77" s="1">
        <v>540</v>
      </c>
      <c r="D77" s="1">
        <v>1125</v>
      </c>
      <c r="E77" s="1">
        <v>461</v>
      </c>
      <c r="F77" s="1">
        <v>1124</v>
      </c>
      <c r="G77" s="7">
        <v>0.6</v>
      </c>
      <c r="H77" s="1">
        <v>60</v>
      </c>
      <c r="I77" s="1" t="s">
        <v>39</v>
      </c>
      <c r="J77" s="1"/>
      <c r="K77" s="1">
        <v>571</v>
      </c>
      <c r="L77" s="1">
        <f t="shared" si="16"/>
        <v>-110</v>
      </c>
      <c r="M77" s="1">
        <f t="shared" si="17"/>
        <v>461</v>
      </c>
      <c r="N77" s="1"/>
      <c r="O77" s="1"/>
      <c r="P77" s="1"/>
      <c r="Q77" s="1"/>
      <c r="R77" s="1"/>
      <c r="S77" s="1"/>
      <c r="T77" s="1">
        <v>471.89600000000007</v>
      </c>
      <c r="U77" s="1"/>
      <c r="V77" s="1"/>
      <c r="W77" s="1">
        <f t="shared" si="18"/>
        <v>92.2</v>
      </c>
      <c r="X77" s="5"/>
      <c r="Y77" s="5">
        <f t="shared" si="19"/>
        <v>0</v>
      </c>
      <c r="Z77" s="5"/>
      <c r="AA77" s="1">
        <f t="shared" si="20"/>
        <v>17.309067245119309</v>
      </c>
      <c r="AB77" s="1">
        <f t="shared" si="21"/>
        <v>17.309067245119309</v>
      </c>
      <c r="AC77" s="1">
        <v>129.19999999999999</v>
      </c>
      <c r="AD77" s="1">
        <v>129.19999999999999</v>
      </c>
      <c r="AE77" s="1">
        <v>126</v>
      </c>
      <c r="AF77" s="1">
        <v>88.6</v>
      </c>
      <c r="AG77" s="1">
        <v>74.400000000000006</v>
      </c>
      <c r="AH77" s="1">
        <v>96.8</v>
      </c>
      <c r="AI77" s="1">
        <v>125.2</v>
      </c>
      <c r="AJ77" s="1">
        <v>118.6</v>
      </c>
      <c r="AK77" s="1"/>
      <c r="AL77" s="1">
        <f t="shared" si="22"/>
        <v>0</v>
      </c>
      <c r="AM77" s="1">
        <f t="shared" si="23"/>
        <v>0</v>
      </c>
      <c r="AN77">
        <f t="shared" si="24"/>
        <v>55.32</v>
      </c>
    </row>
    <row r="78" spans="1:40" x14ac:dyDescent="0.25">
      <c r="A78" s="1" t="s">
        <v>129</v>
      </c>
      <c r="B78" s="1" t="s">
        <v>43</v>
      </c>
      <c r="C78" s="1"/>
      <c r="D78" s="1">
        <v>56</v>
      </c>
      <c r="E78" s="1">
        <v>5</v>
      </c>
      <c r="F78" s="1">
        <v>51</v>
      </c>
      <c r="G78" s="7">
        <v>0.4</v>
      </c>
      <c r="H78" s="1"/>
      <c r="I78" s="1" t="s">
        <v>39</v>
      </c>
      <c r="J78" s="1"/>
      <c r="K78" s="1">
        <v>7</v>
      </c>
      <c r="L78" s="1">
        <f t="shared" si="16"/>
        <v>-2</v>
      </c>
      <c r="M78" s="1">
        <f t="shared" si="17"/>
        <v>5</v>
      </c>
      <c r="N78" s="1"/>
      <c r="O78" s="1"/>
      <c r="P78" s="1"/>
      <c r="Q78" s="1"/>
      <c r="R78" s="1"/>
      <c r="S78" s="1"/>
      <c r="T78" s="1">
        <v>0</v>
      </c>
      <c r="U78" s="1"/>
      <c r="V78" s="1"/>
      <c r="W78" s="1">
        <f t="shared" si="18"/>
        <v>1</v>
      </c>
      <c r="X78" s="5"/>
      <c r="Y78" s="5">
        <f t="shared" si="19"/>
        <v>0</v>
      </c>
      <c r="Z78" s="5"/>
      <c r="AA78" s="1">
        <f t="shared" si="20"/>
        <v>51</v>
      </c>
      <c r="AB78" s="1">
        <f t="shared" si="21"/>
        <v>51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 t="s">
        <v>130</v>
      </c>
      <c r="AL78" s="1">
        <f t="shared" si="22"/>
        <v>0</v>
      </c>
      <c r="AM78" s="1">
        <f t="shared" si="23"/>
        <v>0</v>
      </c>
      <c r="AN78">
        <f t="shared" si="24"/>
        <v>0.4</v>
      </c>
    </row>
    <row r="79" spans="1:40" x14ac:dyDescent="0.25">
      <c r="A79" s="9" t="s">
        <v>131</v>
      </c>
      <c r="B79" s="9" t="s">
        <v>43</v>
      </c>
      <c r="C79" s="9">
        <v>1</v>
      </c>
      <c r="D79" s="9"/>
      <c r="E79" s="9"/>
      <c r="F79" s="9">
        <v>1</v>
      </c>
      <c r="G79" s="10">
        <v>0</v>
      </c>
      <c r="H79" s="9"/>
      <c r="I79" s="9" t="s">
        <v>39</v>
      </c>
      <c r="J79" s="9"/>
      <c r="K79" s="9">
        <v>1</v>
      </c>
      <c r="L79" s="9">
        <f t="shared" si="16"/>
        <v>-1</v>
      </c>
      <c r="M79" s="9">
        <f t="shared" si="17"/>
        <v>0</v>
      </c>
      <c r="N79" s="9"/>
      <c r="O79" s="9"/>
      <c r="P79" s="9"/>
      <c r="Q79" s="9"/>
      <c r="R79" s="9"/>
      <c r="S79" s="9"/>
      <c r="T79" s="9">
        <v>0</v>
      </c>
      <c r="U79" s="9"/>
      <c r="V79" s="9"/>
      <c r="W79" s="9">
        <f t="shared" si="18"/>
        <v>0</v>
      </c>
      <c r="X79" s="11"/>
      <c r="Y79" s="5">
        <f t="shared" si="19"/>
        <v>0</v>
      </c>
      <c r="Z79" s="5"/>
      <c r="AA79" s="1" t="e">
        <f t="shared" si="20"/>
        <v>#DIV/0!</v>
      </c>
      <c r="AB79" s="1" t="e">
        <f t="shared" si="21"/>
        <v>#DIV/0!</v>
      </c>
      <c r="AC79" s="9">
        <v>0</v>
      </c>
      <c r="AD79" s="9">
        <v>0</v>
      </c>
      <c r="AE79" s="9">
        <v>0.2</v>
      </c>
      <c r="AF79" s="9">
        <v>0.2</v>
      </c>
      <c r="AG79" s="9">
        <v>0</v>
      </c>
      <c r="AH79" s="9">
        <v>0</v>
      </c>
      <c r="AI79" s="9">
        <v>0</v>
      </c>
      <c r="AJ79" s="9">
        <v>0</v>
      </c>
      <c r="AK79" s="9" t="s">
        <v>63</v>
      </c>
      <c r="AL79" s="1">
        <f t="shared" si="22"/>
        <v>0</v>
      </c>
      <c r="AM79" s="1">
        <f t="shared" si="23"/>
        <v>0</v>
      </c>
      <c r="AN79">
        <f t="shared" si="24"/>
        <v>0</v>
      </c>
    </row>
    <row r="80" spans="1:40" x14ac:dyDescent="0.25">
      <c r="A80" s="1" t="s">
        <v>132</v>
      </c>
      <c r="B80" s="1" t="s">
        <v>43</v>
      </c>
      <c r="C80" s="1">
        <v>29</v>
      </c>
      <c r="D80" s="1">
        <v>48</v>
      </c>
      <c r="E80" s="1">
        <v>26</v>
      </c>
      <c r="F80" s="1">
        <v>51</v>
      </c>
      <c r="G80" s="7">
        <v>0.35</v>
      </c>
      <c r="H80" s="1">
        <v>90</v>
      </c>
      <c r="I80" s="1" t="s">
        <v>39</v>
      </c>
      <c r="J80" s="1"/>
      <c r="K80" s="1">
        <v>48</v>
      </c>
      <c r="L80" s="1">
        <f t="shared" si="16"/>
        <v>-22</v>
      </c>
      <c r="M80" s="1">
        <f t="shared" si="17"/>
        <v>26</v>
      </c>
      <c r="N80" s="1"/>
      <c r="O80" s="1"/>
      <c r="P80" s="1"/>
      <c r="Q80" s="1"/>
      <c r="R80" s="1"/>
      <c r="S80" s="1"/>
      <c r="T80" s="1">
        <v>0</v>
      </c>
      <c r="U80" s="1"/>
      <c r="V80" s="1"/>
      <c r="W80" s="1">
        <f t="shared" si="18"/>
        <v>5.2</v>
      </c>
      <c r="X80" s="5">
        <f>11*W80-T80-S80-R80-Q80-P80-O80-F80</f>
        <v>6.2000000000000028</v>
      </c>
      <c r="Y80" s="5">
        <f t="shared" si="19"/>
        <v>6.2000000000000028</v>
      </c>
      <c r="Z80" s="5"/>
      <c r="AA80" s="1">
        <f t="shared" si="20"/>
        <v>11</v>
      </c>
      <c r="AB80" s="1">
        <f t="shared" si="21"/>
        <v>9.8076923076923066</v>
      </c>
      <c r="AC80" s="1">
        <v>4</v>
      </c>
      <c r="AD80" s="1">
        <v>4</v>
      </c>
      <c r="AE80" s="1">
        <v>8.8000000000000007</v>
      </c>
      <c r="AF80" s="1">
        <v>7.2</v>
      </c>
      <c r="AG80" s="1">
        <v>9.4</v>
      </c>
      <c r="AH80" s="1">
        <v>10.4</v>
      </c>
      <c r="AI80" s="1">
        <v>6.2</v>
      </c>
      <c r="AJ80" s="1">
        <v>9.4</v>
      </c>
      <c r="AK80" s="1"/>
      <c r="AL80" s="1">
        <f t="shared" si="22"/>
        <v>2</v>
      </c>
      <c r="AM80" s="1">
        <f t="shared" si="23"/>
        <v>0</v>
      </c>
      <c r="AN80">
        <f t="shared" si="24"/>
        <v>1.8199999999999998</v>
      </c>
    </row>
    <row r="81" spans="1:40" x14ac:dyDescent="0.25">
      <c r="A81" s="1" t="s">
        <v>133</v>
      </c>
      <c r="B81" s="1" t="s">
        <v>43</v>
      </c>
      <c r="C81" s="1">
        <v>133</v>
      </c>
      <c r="D81" s="1">
        <v>211</v>
      </c>
      <c r="E81" s="1">
        <v>106</v>
      </c>
      <c r="F81" s="1">
        <v>236</v>
      </c>
      <c r="G81" s="7">
        <v>0.37</v>
      </c>
      <c r="H81" s="1">
        <v>50</v>
      </c>
      <c r="I81" s="1" t="s">
        <v>39</v>
      </c>
      <c r="J81" s="1"/>
      <c r="K81" s="1">
        <v>107</v>
      </c>
      <c r="L81" s="1">
        <f t="shared" si="16"/>
        <v>-1</v>
      </c>
      <c r="M81" s="1">
        <f t="shared" si="17"/>
        <v>106</v>
      </c>
      <c r="N81" s="1"/>
      <c r="O81" s="1"/>
      <c r="P81" s="1"/>
      <c r="Q81" s="1"/>
      <c r="R81" s="1"/>
      <c r="S81" s="1"/>
      <c r="T81" s="1">
        <v>86.600000000000023</v>
      </c>
      <c r="U81" s="1"/>
      <c r="V81" s="1"/>
      <c r="W81" s="1">
        <f t="shared" si="18"/>
        <v>21.2</v>
      </c>
      <c r="X81" s="5"/>
      <c r="Y81" s="5">
        <f t="shared" si="19"/>
        <v>0</v>
      </c>
      <c r="Z81" s="5"/>
      <c r="AA81" s="1">
        <f t="shared" si="20"/>
        <v>15.216981132075473</v>
      </c>
      <c r="AB81" s="1">
        <f t="shared" si="21"/>
        <v>15.216981132075473</v>
      </c>
      <c r="AC81" s="1">
        <v>30.6</v>
      </c>
      <c r="AD81" s="1">
        <v>30.6</v>
      </c>
      <c r="AE81" s="1">
        <v>27.4</v>
      </c>
      <c r="AF81" s="1">
        <v>35.4</v>
      </c>
      <c r="AG81" s="1">
        <v>29.4</v>
      </c>
      <c r="AH81" s="1">
        <v>16.2</v>
      </c>
      <c r="AI81" s="1">
        <v>28.8</v>
      </c>
      <c r="AJ81" s="1">
        <v>28.8</v>
      </c>
      <c r="AK81" s="1"/>
      <c r="AL81" s="1">
        <f t="shared" si="22"/>
        <v>0</v>
      </c>
      <c r="AM81" s="1">
        <f t="shared" si="23"/>
        <v>0</v>
      </c>
      <c r="AN81">
        <f t="shared" si="24"/>
        <v>7.8439999999999994</v>
      </c>
    </row>
    <row r="82" spans="1:40" x14ac:dyDescent="0.25">
      <c r="A82" s="1" t="s">
        <v>134</v>
      </c>
      <c r="B82" s="1" t="s">
        <v>43</v>
      </c>
      <c r="C82" s="1">
        <v>481</v>
      </c>
      <c r="D82" s="1">
        <v>140</v>
      </c>
      <c r="E82" s="1">
        <v>204</v>
      </c>
      <c r="F82" s="1">
        <v>405</v>
      </c>
      <c r="G82" s="7">
        <v>0.6</v>
      </c>
      <c r="H82" s="1">
        <v>70</v>
      </c>
      <c r="I82" s="16" t="s">
        <v>46</v>
      </c>
      <c r="J82" s="1"/>
      <c r="K82" s="1">
        <v>243</v>
      </c>
      <c r="L82" s="1">
        <f t="shared" si="16"/>
        <v>-39</v>
      </c>
      <c r="M82" s="1">
        <f t="shared" si="17"/>
        <v>204</v>
      </c>
      <c r="N82" s="1"/>
      <c r="O82" s="1"/>
      <c r="P82" s="1"/>
      <c r="Q82" s="1"/>
      <c r="R82" s="1"/>
      <c r="S82" s="1"/>
      <c r="T82" s="1">
        <v>163.80000000000001</v>
      </c>
      <c r="U82" s="1"/>
      <c r="V82" s="1"/>
      <c r="W82" s="1">
        <f t="shared" si="18"/>
        <v>40.799999999999997</v>
      </c>
      <c r="X82" s="5"/>
      <c r="Y82" s="5">
        <f t="shared" si="19"/>
        <v>0</v>
      </c>
      <c r="Z82" s="5"/>
      <c r="AA82" s="1">
        <f t="shared" si="20"/>
        <v>13.941176470588236</v>
      </c>
      <c r="AB82" s="1">
        <f t="shared" si="21"/>
        <v>13.941176470588236</v>
      </c>
      <c r="AC82" s="1">
        <v>61.8</v>
      </c>
      <c r="AD82" s="1">
        <v>61.8</v>
      </c>
      <c r="AE82" s="1">
        <v>34.200000000000003</v>
      </c>
      <c r="AF82" s="1">
        <v>32.6</v>
      </c>
      <c r="AG82" s="1">
        <v>19.600000000000001</v>
      </c>
      <c r="AH82" s="1">
        <v>83.6</v>
      </c>
      <c r="AI82" s="1">
        <v>196.6</v>
      </c>
      <c r="AJ82" s="1">
        <v>134</v>
      </c>
      <c r="AK82" s="1" t="s">
        <v>135</v>
      </c>
      <c r="AL82" s="1">
        <f t="shared" si="22"/>
        <v>0</v>
      </c>
      <c r="AM82" s="1">
        <f t="shared" si="23"/>
        <v>0</v>
      </c>
      <c r="AN82">
        <f t="shared" si="24"/>
        <v>24.479999999999997</v>
      </c>
    </row>
    <row r="83" spans="1:40" x14ac:dyDescent="0.25">
      <c r="A83" s="1" t="s">
        <v>136</v>
      </c>
      <c r="B83" s="1" t="s">
        <v>43</v>
      </c>
      <c r="C83" s="1">
        <v>124</v>
      </c>
      <c r="D83" s="1">
        <v>535</v>
      </c>
      <c r="E83" s="1">
        <v>254</v>
      </c>
      <c r="F83" s="1">
        <v>361</v>
      </c>
      <c r="G83" s="7">
        <v>0.33</v>
      </c>
      <c r="H83" s="1">
        <v>40</v>
      </c>
      <c r="I83" s="1" t="s">
        <v>39</v>
      </c>
      <c r="J83" s="1"/>
      <c r="K83" s="1">
        <v>325</v>
      </c>
      <c r="L83" s="1">
        <f t="shared" si="16"/>
        <v>-71</v>
      </c>
      <c r="M83" s="1">
        <f t="shared" si="17"/>
        <v>254</v>
      </c>
      <c r="N83" s="1"/>
      <c r="O83" s="1"/>
      <c r="P83" s="1"/>
      <c r="Q83" s="1"/>
      <c r="R83" s="1"/>
      <c r="S83" s="1"/>
      <c r="T83" s="1">
        <v>138.7887999999999</v>
      </c>
      <c r="U83" s="1"/>
      <c r="V83" s="1"/>
      <c r="W83" s="1">
        <f t="shared" si="18"/>
        <v>50.8</v>
      </c>
      <c r="X83" s="5">
        <f>11*W83-T83-S83-R83-Q83-P83-O83-F83</f>
        <v>59.011200000000031</v>
      </c>
      <c r="Y83" s="5">
        <f t="shared" si="19"/>
        <v>59.011200000000031</v>
      </c>
      <c r="Z83" s="5"/>
      <c r="AA83" s="1">
        <f t="shared" si="20"/>
        <v>11</v>
      </c>
      <c r="AB83" s="1">
        <f t="shared" si="21"/>
        <v>9.8383622047244081</v>
      </c>
      <c r="AC83" s="1">
        <v>41.2</v>
      </c>
      <c r="AD83" s="1">
        <v>49.6</v>
      </c>
      <c r="AE83" s="1">
        <v>42</v>
      </c>
      <c r="AF83" s="1">
        <v>24.8</v>
      </c>
      <c r="AG83" s="1">
        <v>34.4</v>
      </c>
      <c r="AH83" s="1">
        <v>51</v>
      </c>
      <c r="AI83" s="1">
        <v>66.400000000000006</v>
      </c>
      <c r="AJ83" s="1">
        <v>43.8</v>
      </c>
      <c r="AK83" s="1"/>
      <c r="AL83" s="1">
        <f t="shared" si="22"/>
        <v>19</v>
      </c>
      <c r="AM83" s="1">
        <f t="shared" si="23"/>
        <v>0</v>
      </c>
      <c r="AN83">
        <f t="shared" si="24"/>
        <v>16.763999999999999</v>
      </c>
    </row>
    <row r="84" spans="1:40" x14ac:dyDescent="0.25">
      <c r="A84" s="1" t="s">
        <v>137</v>
      </c>
      <c r="B84" s="1" t="s">
        <v>43</v>
      </c>
      <c r="C84" s="1">
        <v>28</v>
      </c>
      <c r="D84" s="1">
        <v>126</v>
      </c>
      <c r="E84" s="1">
        <v>29</v>
      </c>
      <c r="F84" s="1">
        <v>123</v>
      </c>
      <c r="G84" s="7">
        <v>0.4</v>
      </c>
      <c r="H84" s="1">
        <v>55</v>
      </c>
      <c r="I84" s="1" t="s">
        <v>39</v>
      </c>
      <c r="J84" s="1"/>
      <c r="K84" s="1">
        <v>42</v>
      </c>
      <c r="L84" s="1">
        <f t="shared" si="16"/>
        <v>-13</v>
      </c>
      <c r="M84" s="1">
        <f t="shared" si="17"/>
        <v>29</v>
      </c>
      <c r="N84" s="1"/>
      <c r="O84" s="1"/>
      <c r="P84" s="1"/>
      <c r="Q84" s="1"/>
      <c r="R84" s="1"/>
      <c r="S84" s="1"/>
      <c r="T84" s="1">
        <v>26.200000000000021</v>
      </c>
      <c r="U84" s="1"/>
      <c r="V84" s="1"/>
      <c r="W84" s="1">
        <f t="shared" si="18"/>
        <v>5.8</v>
      </c>
      <c r="X84" s="5"/>
      <c r="Y84" s="5">
        <f t="shared" si="19"/>
        <v>0</v>
      </c>
      <c r="Z84" s="5"/>
      <c r="AA84" s="1">
        <f t="shared" si="20"/>
        <v>25.724137931034488</v>
      </c>
      <c r="AB84" s="1">
        <f t="shared" si="21"/>
        <v>25.724137931034488</v>
      </c>
      <c r="AC84" s="1">
        <v>13.2</v>
      </c>
      <c r="AD84" s="1">
        <v>13.2</v>
      </c>
      <c r="AE84" s="1">
        <v>12.8</v>
      </c>
      <c r="AF84" s="1">
        <v>9.6</v>
      </c>
      <c r="AG84" s="1">
        <v>8.6</v>
      </c>
      <c r="AH84" s="1">
        <v>10.8</v>
      </c>
      <c r="AI84" s="1">
        <v>12.2</v>
      </c>
      <c r="AJ84" s="1">
        <v>8.4</v>
      </c>
      <c r="AK84" s="1"/>
      <c r="AL84" s="1">
        <f t="shared" si="22"/>
        <v>0</v>
      </c>
      <c r="AM84" s="1">
        <f t="shared" si="23"/>
        <v>0</v>
      </c>
      <c r="AN84">
        <f t="shared" si="24"/>
        <v>2.3199999999999998</v>
      </c>
    </row>
    <row r="85" spans="1:40" x14ac:dyDescent="0.25">
      <c r="A85" s="1" t="s">
        <v>138</v>
      </c>
      <c r="B85" s="1" t="s">
        <v>43</v>
      </c>
      <c r="C85" s="1">
        <v>-3</v>
      </c>
      <c r="D85" s="1">
        <v>431</v>
      </c>
      <c r="E85" s="1">
        <v>261</v>
      </c>
      <c r="F85" s="1">
        <v>156</v>
      </c>
      <c r="G85" s="7">
        <v>0.35</v>
      </c>
      <c r="H85" s="1">
        <v>40</v>
      </c>
      <c r="I85" s="13" t="s">
        <v>52</v>
      </c>
      <c r="J85" s="1"/>
      <c r="K85" s="1">
        <v>272</v>
      </c>
      <c r="L85" s="1">
        <f t="shared" si="16"/>
        <v>-11</v>
      </c>
      <c r="M85" s="1">
        <f t="shared" si="17"/>
        <v>261</v>
      </c>
      <c r="N85" s="1"/>
      <c r="O85" s="1"/>
      <c r="P85" s="1"/>
      <c r="Q85" s="1"/>
      <c r="R85" s="1">
        <v>25</v>
      </c>
      <c r="S85" s="1">
        <v>-30</v>
      </c>
      <c r="T85" s="1">
        <v>50</v>
      </c>
      <c r="U85" s="1"/>
      <c r="V85" s="1"/>
      <c r="W85" s="1">
        <f t="shared" si="18"/>
        <v>52.2</v>
      </c>
      <c r="X85" s="5">
        <v>150</v>
      </c>
      <c r="Y85" s="5">
        <f t="shared" si="19"/>
        <v>150</v>
      </c>
      <c r="Z85" s="5">
        <v>100</v>
      </c>
      <c r="AA85" s="1">
        <f t="shared" si="20"/>
        <v>8.6398467432950188</v>
      </c>
      <c r="AB85" s="1">
        <f t="shared" si="21"/>
        <v>3.8505747126436778</v>
      </c>
      <c r="AC85" s="1">
        <v>19.600000000000001</v>
      </c>
      <c r="AD85" s="1">
        <v>19.600000000000001</v>
      </c>
      <c r="AE85" s="1">
        <v>50</v>
      </c>
      <c r="AF85" s="1">
        <v>40</v>
      </c>
      <c r="AG85" s="1">
        <v>12.4</v>
      </c>
      <c r="AH85" s="1">
        <v>-1</v>
      </c>
      <c r="AI85" s="1">
        <v>8.8000000000000007</v>
      </c>
      <c r="AJ85" s="1">
        <v>26.2</v>
      </c>
      <c r="AK85" s="1"/>
      <c r="AL85" s="1">
        <f t="shared" si="22"/>
        <v>53</v>
      </c>
      <c r="AM85" s="1">
        <f t="shared" si="23"/>
        <v>35</v>
      </c>
      <c r="AN85">
        <f t="shared" si="24"/>
        <v>18.27</v>
      </c>
    </row>
    <row r="86" spans="1:40" x14ac:dyDescent="0.25">
      <c r="A86" s="1" t="s">
        <v>139</v>
      </c>
      <c r="B86" s="1" t="s">
        <v>43</v>
      </c>
      <c r="C86" s="1">
        <v>-1</v>
      </c>
      <c r="D86" s="1">
        <v>658</v>
      </c>
      <c r="E86" s="1">
        <v>355</v>
      </c>
      <c r="F86" s="1">
        <v>104</v>
      </c>
      <c r="G86" s="7">
        <v>0.35</v>
      </c>
      <c r="H86" s="1">
        <v>45</v>
      </c>
      <c r="I86" s="13" t="s">
        <v>52</v>
      </c>
      <c r="J86" s="1"/>
      <c r="K86" s="1">
        <v>519</v>
      </c>
      <c r="L86" s="1">
        <f t="shared" si="16"/>
        <v>-164</v>
      </c>
      <c r="M86" s="1">
        <f t="shared" si="17"/>
        <v>205</v>
      </c>
      <c r="N86" s="1">
        <v>150</v>
      </c>
      <c r="O86" s="1"/>
      <c r="P86" s="1"/>
      <c r="Q86" s="1"/>
      <c r="R86" s="1">
        <v>50</v>
      </c>
      <c r="S86" s="1"/>
      <c r="T86" s="1">
        <v>100</v>
      </c>
      <c r="U86" s="1"/>
      <c r="V86" s="1"/>
      <c r="W86" s="1">
        <f t="shared" si="18"/>
        <v>41</v>
      </c>
      <c r="X86" s="5">
        <f>11*W86-T86-S86-R86-Q86-P86-O86-F86</f>
        <v>197</v>
      </c>
      <c r="Y86" s="5">
        <f t="shared" si="19"/>
        <v>197</v>
      </c>
      <c r="Z86" s="5">
        <v>100</v>
      </c>
      <c r="AA86" s="1">
        <f t="shared" si="20"/>
        <v>13.439024390243903</v>
      </c>
      <c r="AB86" s="1">
        <f t="shared" si="21"/>
        <v>6.1951219512195124</v>
      </c>
      <c r="AC86" s="1">
        <v>-30.6</v>
      </c>
      <c r="AD86" s="1">
        <v>-0.6</v>
      </c>
      <c r="AE86" s="1">
        <v>0</v>
      </c>
      <c r="AF86" s="1">
        <v>2.8</v>
      </c>
      <c r="AG86" s="1">
        <v>74.400000000000006</v>
      </c>
      <c r="AH86" s="1">
        <v>77.2</v>
      </c>
      <c r="AI86" s="1">
        <v>16.600000000000001</v>
      </c>
      <c r="AJ86" s="1">
        <v>66.599999999999994</v>
      </c>
      <c r="AK86" s="1"/>
      <c r="AL86" s="1">
        <f t="shared" si="22"/>
        <v>69</v>
      </c>
      <c r="AM86" s="1">
        <f t="shared" si="23"/>
        <v>35</v>
      </c>
      <c r="AN86">
        <f t="shared" si="24"/>
        <v>14.35</v>
      </c>
    </row>
    <row r="87" spans="1:40" x14ac:dyDescent="0.25">
      <c r="A87" s="9" t="s">
        <v>140</v>
      </c>
      <c r="B87" s="9" t="s">
        <v>38</v>
      </c>
      <c r="C87" s="9">
        <v>-5.4409999999999998</v>
      </c>
      <c r="D87" s="9"/>
      <c r="E87" s="9"/>
      <c r="F87" s="12">
        <v>-5.4409999999999998</v>
      </c>
      <c r="G87" s="10">
        <v>0</v>
      </c>
      <c r="H87" s="9"/>
      <c r="I87" s="9" t="s">
        <v>55</v>
      </c>
      <c r="J87" s="9" t="s">
        <v>41</v>
      </c>
      <c r="K87" s="9"/>
      <c r="L87" s="9">
        <f t="shared" si="16"/>
        <v>0</v>
      </c>
      <c r="M87" s="9">
        <f t="shared" si="17"/>
        <v>0</v>
      </c>
      <c r="N87" s="9"/>
      <c r="O87" s="9"/>
      <c r="P87" s="9"/>
      <c r="Q87" s="9"/>
      <c r="R87" s="9"/>
      <c r="S87" s="9"/>
      <c r="T87" s="9">
        <v>0</v>
      </c>
      <c r="U87" s="9"/>
      <c r="V87" s="9"/>
      <c r="W87" s="9">
        <f t="shared" si="18"/>
        <v>0</v>
      </c>
      <c r="X87" s="11"/>
      <c r="Y87" s="5">
        <f t="shared" si="19"/>
        <v>0</v>
      </c>
      <c r="Z87" s="5"/>
      <c r="AA87" s="1" t="e">
        <f t="shared" si="20"/>
        <v>#DIV/0!</v>
      </c>
      <c r="AB87" s="1" t="e">
        <f t="shared" si="21"/>
        <v>#DIV/0!</v>
      </c>
      <c r="AC87" s="9">
        <v>0</v>
      </c>
      <c r="AD87" s="9">
        <v>0</v>
      </c>
      <c r="AE87" s="9">
        <v>0</v>
      </c>
      <c r="AF87" s="9">
        <v>1.0882000000000001</v>
      </c>
      <c r="AG87" s="9">
        <v>1.0882000000000001</v>
      </c>
      <c r="AH87" s="9">
        <v>0</v>
      </c>
      <c r="AI87" s="9">
        <v>0</v>
      </c>
      <c r="AJ87" s="9">
        <v>0</v>
      </c>
      <c r="AK87" s="9"/>
      <c r="AL87" s="1">
        <f t="shared" si="22"/>
        <v>0</v>
      </c>
      <c r="AM87" s="1">
        <f t="shared" si="23"/>
        <v>0</v>
      </c>
      <c r="AN87">
        <f t="shared" si="24"/>
        <v>0</v>
      </c>
    </row>
    <row r="88" spans="1:40" x14ac:dyDescent="0.25">
      <c r="A88" s="1" t="s">
        <v>141</v>
      </c>
      <c r="B88" s="1" t="s">
        <v>43</v>
      </c>
      <c r="C88" s="1">
        <v>53</v>
      </c>
      <c r="D88" s="1">
        <v>50</v>
      </c>
      <c r="E88" s="1"/>
      <c r="F88" s="1">
        <v>103</v>
      </c>
      <c r="G88" s="7">
        <v>0.4</v>
      </c>
      <c r="H88" s="1">
        <v>55</v>
      </c>
      <c r="I88" s="1" t="s">
        <v>39</v>
      </c>
      <c r="J88" s="1"/>
      <c r="K88" s="1"/>
      <c r="L88" s="1">
        <f t="shared" si="16"/>
        <v>0</v>
      </c>
      <c r="M88" s="1">
        <f t="shared" si="17"/>
        <v>0</v>
      </c>
      <c r="N88" s="1"/>
      <c r="O88" s="1"/>
      <c r="P88" s="1"/>
      <c r="Q88" s="1"/>
      <c r="R88" s="1"/>
      <c r="S88" s="1"/>
      <c r="T88" s="1">
        <v>0</v>
      </c>
      <c r="U88" s="1"/>
      <c r="V88" s="1"/>
      <c r="W88" s="1">
        <f t="shared" si="18"/>
        <v>0</v>
      </c>
      <c r="X88" s="5"/>
      <c r="Y88" s="5">
        <f t="shared" si="19"/>
        <v>0</v>
      </c>
      <c r="Z88" s="5"/>
      <c r="AA88" s="1" t="e">
        <f t="shared" si="20"/>
        <v>#DIV/0!</v>
      </c>
      <c r="AB88" s="1" t="e">
        <f t="shared" si="21"/>
        <v>#DIV/0!</v>
      </c>
      <c r="AC88" s="1">
        <v>0.4</v>
      </c>
      <c r="AD88" s="1">
        <v>0.4</v>
      </c>
      <c r="AE88" s="1">
        <v>8.6</v>
      </c>
      <c r="AF88" s="1">
        <v>8.6</v>
      </c>
      <c r="AG88" s="1">
        <v>4.4000000000000004</v>
      </c>
      <c r="AH88" s="1">
        <v>7.6</v>
      </c>
      <c r="AI88" s="1">
        <v>4</v>
      </c>
      <c r="AJ88" s="1">
        <v>4</v>
      </c>
      <c r="AK88" s="14" t="s">
        <v>74</v>
      </c>
      <c r="AL88" s="1">
        <f t="shared" si="22"/>
        <v>0</v>
      </c>
      <c r="AM88" s="1">
        <f t="shared" si="23"/>
        <v>0</v>
      </c>
      <c r="AN88">
        <f t="shared" si="24"/>
        <v>0</v>
      </c>
    </row>
    <row r="89" spans="1:40" x14ac:dyDescent="0.25">
      <c r="A89" s="1" t="s">
        <v>142</v>
      </c>
      <c r="B89" s="1" t="s">
        <v>38</v>
      </c>
      <c r="C89" s="1">
        <v>30.988</v>
      </c>
      <c r="D89" s="1">
        <v>11.706</v>
      </c>
      <c r="E89" s="1">
        <v>2.8980000000000001</v>
      </c>
      <c r="F89" s="1">
        <v>28.09</v>
      </c>
      <c r="G89" s="7">
        <v>1</v>
      </c>
      <c r="H89" s="1">
        <v>55</v>
      </c>
      <c r="I89" s="1" t="s">
        <v>39</v>
      </c>
      <c r="J89" s="1"/>
      <c r="K89" s="1">
        <v>12.2</v>
      </c>
      <c r="L89" s="1">
        <f t="shared" si="16"/>
        <v>-9.3019999999999996</v>
      </c>
      <c r="M89" s="1">
        <f t="shared" si="17"/>
        <v>2.8980000000000001</v>
      </c>
      <c r="N89" s="1"/>
      <c r="O89" s="1"/>
      <c r="P89" s="1"/>
      <c r="Q89" s="1"/>
      <c r="R89" s="1"/>
      <c r="S89" s="1"/>
      <c r="T89" s="1">
        <v>0</v>
      </c>
      <c r="U89" s="1"/>
      <c r="V89" s="1"/>
      <c r="W89" s="1">
        <f t="shared" si="18"/>
        <v>0.5796</v>
      </c>
      <c r="X89" s="5"/>
      <c r="Y89" s="5">
        <f t="shared" si="19"/>
        <v>0</v>
      </c>
      <c r="Z89" s="5"/>
      <c r="AA89" s="1">
        <f t="shared" si="20"/>
        <v>48.464458247066943</v>
      </c>
      <c r="AB89" s="1">
        <f t="shared" si="21"/>
        <v>48.464458247066943</v>
      </c>
      <c r="AC89" s="1">
        <v>0.81820000000000004</v>
      </c>
      <c r="AD89" s="1">
        <v>0.81820000000000004</v>
      </c>
      <c r="AE89" s="1">
        <v>1.704</v>
      </c>
      <c r="AF89" s="1">
        <v>2.0099999999999998</v>
      </c>
      <c r="AG89" s="1">
        <v>1.7163999999999999</v>
      </c>
      <c r="AH89" s="1">
        <v>1.7183999999999999</v>
      </c>
      <c r="AI89" s="1">
        <v>0.57800000000000007</v>
      </c>
      <c r="AJ89" s="1">
        <v>1.7447999999999999</v>
      </c>
      <c r="AK89" s="14" t="s">
        <v>74</v>
      </c>
      <c r="AL89" s="1">
        <f t="shared" si="22"/>
        <v>0</v>
      </c>
      <c r="AM89" s="1">
        <f t="shared" si="23"/>
        <v>0</v>
      </c>
      <c r="AN89">
        <f t="shared" si="24"/>
        <v>0.5796</v>
      </c>
    </row>
    <row r="90" spans="1:40" x14ac:dyDescent="0.25">
      <c r="A90" s="9" t="s">
        <v>143</v>
      </c>
      <c r="B90" s="9" t="s">
        <v>38</v>
      </c>
      <c r="C90" s="9"/>
      <c r="D90" s="9"/>
      <c r="E90" s="9"/>
      <c r="F90" s="9"/>
      <c r="G90" s="10">
        <v>0</v>
      </c>
      <c r="H90" s="9"/>
      <c r="I90" s="9" t="s">
        <v>39</v>
      </c>
      <c r="J90" s="9"/>
      <c r="K90" s="9"/>
      <c r="L90" s="9">
        <f t="shared" si="16"/>
        <v>0</v>
      </c>
      <c r="M90" s="9">
        <f t="shared" si="17"/>
        <v>0</v>
      </c>
      <c r="N90" s="9"/>
      <c r="O90" s="9"/>
      <c r="P90" s="9"/>
      <c r="Q90" s="9"/>
      <c r="R90" s="9"/>
      <c r="S90" s="9"/>
      <c r="T90" s="9">
        <v>0</v>
      </c>
      <c r="U90" s="9"/>
      <c r="V90" s="9"/>
      <c r="W90" s="9">
        <f t="shared" si="18"/>
        <v>0</v>
      </c>
      <c r="X90" s="11"/>
      <c r="Y90" s="5">
        <f t="shared" si="19"/>
        <v>0</v>
      </c>
      <c r="Z90" s="5"/>
      <c r="AA90" s="1" t="e">
        <f t="shared" si="20"/>
        <v>#DIV/0!</v>
      </c>
      <c r="AB90" s="1" t="e">
        <f t="shared" si="21"/>
        <v>#DIV/0!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 t="s">
        <v>63</v>
      </c>
      <c r="AL90" s="1">
        <f t="shared" si="22"/>
        <v>0</v>
      </c>
      <c r="AM90" s="1">
        <f t="shared" si="23"/>
        <v>0</v>
      </c>
      <c r="AN90">
        <f t="shared" si="24"/>
        <v>0</v>
      </c>
    </row>
    <row r="91" spans="1:40" x14ac:dyDescent="0.25">
      <c r="A91" s="1" t="s">
        <v>144</v>
      </c>
      <c r="B91" s="1" t="s">
        <v>38</v>
      </c>
      <c r="C91" s="1">
        <v>3624.0639999999999</v>
      </c>
      <c r="D91" s="1">
        <v>5856.7939999999999</v>
      </c>
      <c r="E91" s="1">
        <v>2738.6390000000001</v>
      </c>
      <c r="F91" s="1">
        <v>6117.5519999999997</v>
      </c>
      <c r="G91" s="7">
        <v>1</v>
      </c>
      <c r="H91" s="1">
        <v>60</v>
      </c>
      <c r="I91" s="1" t="s">
        <v>39</v>
      </c>
      <c r="J91" s="1"/>
      <c r="K91" s="1">
        <v>2812.645</v>
      </c>
      <c r="L91" s="1">
        <f t="shared" si="16"/>
        <v>-74.005999999999858</v>
      </c>
      <c r="M91" s="1">
        <f t="shared" si="17"/>
        <v>2738.6390000000001</v>
      </c>
      <c r="N91" s="1"/>
      <c r="O91" s="1">
        <v>2864.1539591302808</v>
      </c>
      <c r="P91" s="1"/>
      <c r="Q91" s="1"/>
      <c r="R91" s="1"/>
      <c r="S91" s="1"/>
      <c r="T91" s="1">
        <v>0</v>
      </c>
      <c r="U91" s="1"/>
      <c r="V91" s="1"/>
      <c r="W91" s="1">
        <f t="shared" si="18"/>
        <v>547.7278</v>
      </c>
      <c r="X91" s="5"/>
      <c r="Y91" s="5">
        <f t="shared" si="19"/>
        <v>0</v>
      </c>
      <c r="Z91" s="5"/>
      <c r="AA91" s="1">
        <f t="shared" si="20"/>
        <v>16.398119575326067</v>
      </c>
      <c r="AB91" s="1">
        <f t="shared" si="21"/>
        <v>16.398119575326067</v>
      </c>
      <c r="AC91" s="1">
        <v>842.63180000000011</v>
      </c>
      <c r="AD91" s="1">
        <v>930.80480000000011</v>
      </c>
      <c r="AE91" s="1">
        <v>746.08699999999999</v>
      </c>
      <c r="AF91" s="1">
        <v>678.24040000000002</v>
      </c>
      <c r="AG91" s="1">
        <v>611.37299999999993</v>
      </c>
      <c r="AH91" s="1">
        <v>524.66000000000008</v>
      </c>
      <c r="AI91" s="1">
        <v>546.37159999999994</v>
      </c>
      <c r="AJ91" s="1">
        <v>631.18540000000007</v>
      </c>
      <c r="AK91" s="1"/>
      <c r="AL91" s="1">
        <f t="shared" si="22"/>
        <v>0</v>
      </c>
      <c r="AM91" s="1">
        <f t="shared" si="23"/>
        <v>0</v>
      </c>
      <c r="AN91">
        <f t="shared" si="24"/>
        <v>547.7278</v>
      </c>
    </row>
    <row r="92" spans="1:40" x14ac:dyDescent="0.25">
      <c r="A92" s="1" t="s">
        <v>145</v>
      </c>
      <c r="B92" s="1" t="s">
        <v>43</v>
      </c>
      <c r="C92" s="1">
        <v>151</v>
      </c>
      <c r="D92" s="1">
        <v>431</v>
      </c>
      <c r="E92" s="1">
        <v>179</v>
      </c>
      <c r="F92" s="1">
        <v>385</v>
      </c>
      <c r="G92" s="7">
        <v>0.3</v>
      </c>
      <c r="H92" s="1">
        <v>40</v>
      </c>
      <c r="I92" s="1" t="s">
        <v>39</v>
      </c>
      <c r="J92" s="1"/>
      <c r="K92" s="1">
        <v>275</v>
      </c>
      <c r="L92" s="1">
        <f t="shared" si="16"/>
        <v>-96</v>
      </c>
      <c r="M92" s="1">
        <f t="shared" si="17"/>
        <v>179</v>
      </c>
      <c r="N92" s="1"/>
      <c r="O92" s="1"/>
      <c r="P92" s="1"/>
      <c r="Q92" s="1"/>
      <c r="R92" s="1"/>
      <c r="S92" s="1"/>
      <c r="T92" s="1">
        <v>182.78056000000001</v>
      </c>
      <c r="U92" s="1">
        <v>-183.33333333333334</v>
      </c>
      <c r="V92" s="1"/>
      <c r="W92" s="1">
        <f t="shared" si="18"/>
        <v>35.799999999999997</v>
      </c>
      <c r="X92" s="5">
        <v>100</v>
      </c>
      <c r="Y92" s="5">
        <f t="shared" si="19"/>
        <v>100</v>
      </c>
      <c r="Z92" s="5"/>
      <c r="AA92" s="1">
        <f t="shared" si="20"/>
        <v>13.532045437616388</v>
      </c>
      <c r="AB92" s="1">
        <f t="shared" si="21"/>
        <v>10.738749348230913</v>
      </c>
      <c r="AC92" s="1">
        <v>49</v>
      </c>
      <c r="AD92" s="1">
        <v>49</v>
      </c>
      <c r="AE92" s="1">
        <v>54.8</v>
      </c>
      <c r="AF92" s="1">
        <v>31.2</v>
      </c>
      <c r="AG92" s="1">
        <v>37.799999999999997</v>
      </c>
      <c r="AH92" s="1">
        <v>35.799999999999997</v>
      </c>
      <c r="AI92" s="1">
        <v>44</v>
      </c>
      <c r="AJ92" s="1">
        <v>54.4</v>
      </c>
      <c r="AK92" s="1"/>
      <c r="AL92" s="1">
        <f t="shared" si="22"/>
        <v>30</v>
      </c>
      <c r="AM92" s="1">
        <f t="shared" si="23"/>
        <v>0</v>
      </c>
      <c r="AN92">
        <f t="shared" si="24"/>
        <v>10.739999999999998</v>
      </c>
    </row>
    <row r="93" spans="1:40" x14ac:dyDescent="0.25">
      <c r="A93" s="1" t="s">
        <v>147</v>
      </c>
      <c r="B93" s="1" t="s">
        <v>38</v>
      </c>
      <c r="C93" s="1">
        <v>796.25300000000004</v>
      </c>
      <c r="D93" s="1">
        <v>5110.3829999999998</v>
      </c>
      <c r="E93" s="1">
        <v>1897.2750000000001</v>
      </c>
      <c r="F93" s="1">
        <v>3036.5569999999998</v>
      </c>
      <c r="G93" s="7">
        <v>1</v>
      </c>
      <c r="H93" s="1">
        <v>60</v>
      </c>
      <c r="I93" s="1" t="s">
        <v>39</v>
      </c>
      <c r="J93" s="1"/>
      <c r="K93" s="1">
        <v>1957.712</v>
      </c>
      <c r="L93" s="1">
        <f t="shared" si="16"/>
        <v>-60.436999999999898</v>
      </c>
      <c r="M93" s="1">
        <f t="shared" si="17"/>
        <v>1897.2750000000001</v>
      </c>
      <c r="N93" s="1"/>
      <c r="O93" s="1">
        <v>2011.834227209016</v>
      </c>
      <c r="P93" s="1"/>
      <c r="Q93" s="1"/>
      <c r="R93" s="1"/>
      <c r="S93" s="1"/>
      <c r="T93" s="1">
        <v>0</v>
      </c>
      <c r="U93" s="1"/>
      <c r="V93" s="1"/>
      <c r="W93" s="1">
        <f t="shared" si="18"/>
        <v>379.45500000000004</v>
      </c>
      <c r="X93" s="5"/>
      <c r="Y93" s="5">
        <f t="shared" si="19"/>
        <v>0</v>
      </c>
      <c r="Z93" s="5"/>
      <c r="AA93" s="1">
        <f t="shared" si="20"/>
        <v>13.304321269212462</v>
      </c>
      <c r="AB93" s="1">
        <f t="shared" si="21"/>
        <v>13.304321269212462</v>
      </c>
      <c r="AC93" s="1">
        <v>357.23480000000001</v>
      </c>
      <c r="AD93" s="1">
        <v>505.72719999999998</v>
      </c>
      <c r="AE93" s="1">
        <v>276.84160000000003</v>
      </c>
      <c r="AF93" s="1">
        <v>190.1532</v>
      </c>
      <c r="AG93" s="1">
        <v>224.54220000000001</v>
      </c>
      <c r="AH93" s="1">
        <v>235.44120000000001</v>
      </c>
      <c r="AI93" s="1">
        <v>237.84280000000001</v>
      </c>
      <c r="AJ93" s="1">
        <v>261.7706</v>
      </c>
      <c r="AK93" s="1"/>
      <c r="AL93" s="1">
        <f t="shared" si="22"/>
        <v>0</v>
      </c>
      <c r="AM93" s="1">
        <f t="shared" si="23"/>
        <v>0</v>
      </c>
      <c r="AN93">
        <f t="shared" si="24"/>
        <v>379.45500000000004</v>
      </c>
    </row>
    <row r="94" spans="1:40" x14ac:dyDescent="0.25">
      <c r="A94" s="1" t="s">
        <v>148</v>
      </c>
      <c r="B94" s="1" t="s">
        <v>38</v>
      </c>
      <c r="C94" s="1">
        <v>4569.18</v>
      </c>
      <c r="D94" s="1">
        <v>4592.5640000000003</v>
      </c>
      <c r="E94" s="1">
        <v>3472.752</v>
      </c>
      <c r="F94" s="1">
        <v>3775.018</v>
      </c>
      <c r="G94" s="7">
        <v>1</v>
      </c>
      <c r="H94" s="1">
        <v>60</v>
      </c>
      <c r="I94" s="1" t="s">
        <v>39</v>
      </c>
      <c r="J94" s="1"/>
      <c r="K94" s="1">
        <v>3549.8870000000002</v>
      </c>
      <c r="L94" s="1">
        <f t="shared" si="16"/>
        <v>-77.135000000000218</v>
      </c>
      <c r="M94" s="1">
        <f t="shared" si="17"/>
        <v>3472.752</v>
      </c>
      <c r="N94" s="1"/>
      <c r="O94" s="1">
        <v>494.45050147040922</v>
      </c>
      <c r="P94" s="1"/>
      <c r="Q94" s="1">
        <v>300</v>
      </c>
      <c r="R94" s="1"/>
      <c r="S94" s="1"/>
      <c r="T94" s="1">
        <v>0</v>
      </c>
      <c r="U94" s="1"/>
      <c r="V94" s="1"/>
      <c r="W94" s="1">
        <f t="shared" si="18"/>
        <v>694.55039999999997</v>
      </c>
      <c r="X94" s="5">
        <f>10*W94-T94-S94-R94-Q94-P94-O94-F94</f>
        <v>2376.0354985295908</v>
      </c>
      <c r="Y94" s="5">
        <f t="shared" si="19"/>
        <v>2376.0354985295908</v>
      </c>
      <c r="Z94" s="5">
        <v>500</v>
      </c>
      <c r="AA94" s="1">
        <f t="shared" si="20"/>
        <v>10.719890162038638</v>
      </c>
      <c r="AB94" s="1">
        <f t="shared" si="21"/>
        <v>6.5790308399079596</v>
      </c>
      <c r="AC94" s="1">
        <v>304.53539999999998</v>
      </c>
      <c r="AD94" s="1">
        <v>631.58000000000004</v>
      </c>
      <c r="AE94" s="1">
        <v>682.72479999999996</v>
      </c>
      <c r="AF94" s="1">
        <v>684.17160000000001</v>
      </c>
      <c r="AG94" s="1">
        <v>529.6386</v>
      </c>
      <c r="AH94" s="1">
        <v>447.9076</v>
      </c>
      <c r="AI94" s="1">
        <v>485.68380000000008</v>
      </c>
      <c r="AJ94" s="1">
        <v>514.53820000000007</v>
      </c>
      <c r="AK94" s="1"/>
      <c r="AL94" s="1">
        <f t="shared" si="22"/>
        <v>2376</v>
      </c>
      <c r="AM94" s="1">
        <f t="shared" si="23"/>
        <v>500</v>
      </c>
      <c r="AN94">
        <f t="shared" si="24"/>
        <v>694.55039999999997</v>
      </c>
    </row>
    <row r="95" spans="1:40" x14ac:dyDescent="0.25">
      <c r="A95" s="1" t="s">
        <v>68</v>
      </c>
      <c r="B95" s="1" t="s">
        <v>38</v>
      </c>
      <c r="C95" s="1">
        <v>4492.8469999999998</v>
      </c>
      <c r="D95" s="1">
        <v>8183.5460000000003</v>
      </c>
      <c r="E95" s="1">
        <v>4518.4960000000001</v>
      </c>
      <c r="F95" s="12">
        <f>5940.055+F23</f>
        <v>5927.5920000000006</v>
      </c>
      <c r="G95" s="7">
        <v>1</v>
      </c>
      <c r="H95" s="1">
        <v>60</v>
      </c>
      <c r="I95" s="1" t="s">
        <v>39</v>
      </c>
      <c r="J95" s="1"/>
      <c r="K95" s="1">
        <v>4651.7070000000003</v>
      </c>
      <c r="L95" s="1">
        <f t="shared" si="16"/>
        <v>-133.21100000000024</v>
      </c>
      <c r="M95" s="1">
        <f t="shared" si="17"/>
        <v>4518.4960000000001</v>
      </c>
      <c r="N95" s="1"/>
      <c r="O95" s="1"/>
      <c r="P95" s="1"/>
      <c r="Q95" s="1">
        <v>400</v>
      </c>
      <c r="R95" s="1"/>
      <c r="S95" s="1"/>
      <c r="T95" s="1">
        <v>0</v>
      </c>
      <c r="U95" s="1"/>
      <c r="V95" s="1">
        <v>400</v>
      </c>
      <c r="W95" s="1">
        <f t="shared" si="18"/>
        <v>903.69920000000002</v>
      </c>
      <c r="X95" s="5">
        <f>9*W95-T95-S95-R95-Q95-P95-O95-F95-V95</f>
        <v>1405.7007999999996</v>
      </c>
      <c r="Y95" s="5">
        <f t="shared" si="19"/>
        <v>1405.7007999999996</v>
      </c>
      <c r="Z95" s="5">
        <v>400</v>
      </c>
      <c r="AA95" s="1">
        <f t="shared" si="20"/>
        <v>9.4426251566893047</v>
      </c>
      <c r="AB95" s="1">
        <f t="shared" si="21"/>
        <v>7.4445036578542956</v>
      </c>
      <c r="AC95" s="1">
        <v>397.85039999999998</v>
      </c>
      <c r="AD95" s="1">
        <v>698.25620000000004</v>
      </c>
      <c r="AE95" s="1">
        <v>848.86939999999993</v>
      </c>
      <c r="AF95" s="1">
        <v>803.57920000000001</v>
      </c>
      <c r="AG95" s="1">
        <v>649.25559999999996</v>
      </c>
      <c r="AH95" s="1">
        <v>717.88199999999995</v>
      </c>
      <c r="AI95" s="1">
        <v>624.51419999999996</v>
      </c>
      <c r="AJ95" s="1">
        <v>657.89699999999982</v>
      </c>
      <c r="AK95" s="1"/>
      <c r="AL95" s="1">
        <f t="shared" si="22"/>
        <v>1406</v>
      </c>
      <c r="AM95" s="1">
        <f t="shared" si="23"/>
        <v>400</v>
      </c>
      <c r="AN95">
        <f t="shared" si="24"/>
        <v>903.69920000000002</v>
      </c>
    </row>
    <row r="96" spans="1:40" x14ac:dyDescent="0.25">
      <c r="A96" s="1" t="s">
        <v>149</v>
      </c>
      <c r="B96" s="1" t="s">
        <v>38</v>
      </c>
      <c r="C96" s="1">
        <v>60.741999999999997</v>
      </c>
      <c r="D96" s="1">
        <v>5.452</v>
      </c>
      <c r="E96" s="1">
        <v>20.353000000000002</v>
      </c>
      <c r="F96" s="1">
        <v>39.045999999999999</v>
      </c>
      <c r="G96" s="7">
        <v>1</v>
      </c>
      <c r="H96" s="1">
        <v>55</v>
      </c>
      <c r="I96" s="1" t="s">
        <v>39</v>
      </c>
      <c r="J96" s="1"/>
      <c r="K96" s="1">
        <v>27.52</v>
      </c>
      <c r="L96" s="1">
        <f t="shared" si="16"/>
        <v>-7.166999999999998</v>
      </c>
      <c r="M96" s="1">
        <f t="shared" si="17"/>
        <v>20.353000000000002</v>
      </c>
      <c r="N96" s="1"/>
      <c r="O96" s="1"/>
      <c r="P96" s="1"/>
      <c r="Q96" s="1"/>
      <c r="R96" s="1"/>
      <c r="S96" s="1"/>
      <c r="T96" s="1">
        <v>15.95160000000001</v>
      </c>
      <c r="U96" s="1"/>
      <c r="V96" s="1"/>
      <c r="W96" s="1">
        <f t="shared" si="18"/>
        <v>4.0706000000000007</v>
      </c>
      <c r="X96" s="5"/>
      <c r="Y96" s="5">
        <f t="shared" si="19"/>
        <v>0</v>
      </c>
      <c r="Z96" s="5"/>
      <c r="AA96" s="1">
        <f t="shared" si="20"/>
        <v>13.510932049329336</v>
      </c>
      <c r="AB96" s="1">
        <f t="shared" si="21"/>
        <v>13.510932049329336</v>
      </c>
      <c r="AC96" s="1">
        <v>5.3708</v>
      </c>
      <c r="AD96" s="1">
        <v>5.3708</v>
      </c>
      <c r="AE96" s="1">
        <v>3.2181999999999999</v>
      </c>
      <c r="AF96" s="1">
        <v>2.9496000000000002</v>
      </c>
      <c r="AG96" s="1">
        <v>2.4131999999999998</v>
      </c>
      <c r="AH96" s="1">
        <v>4.8087999999999997</v>
      </c>
      <c r="AI96" s="1">
        <v>2.9365999999999999</v>
      </c>
      <c r="AJ96" s="1">
        <v>2.9626000000000001</v>
      </c>
      <c r="AK96" s="1"/>
      <c r="AL96" s="1">
        <f t="shared" si="22"/>
        <v>0</v>
      </c>
      <c r="AM96" s="1">
        <f t="shared" si="23"/>
        <v>0</v>
      </c>
      <c r="AN96">
        <f t="shared" si="24"/>
        <v>4.0706000000000007</v>
      </c>
    </row>
    <row r="97" spans="1:40" x14ac:dyDescent="0.25">
      <c r="A97" s="9" t="s">
        <v>150</v>
      </c>
      <c r="B97" s="9" t="s">
        <v>38</v>
      </c>
      <c r="C97" s="9">
        <v>-1.36</v>
      </c>
      <c r="D97" s="9"/>
      <c r="E97" s="9"/>
      <c r="F97" s="9">
        <v>-1.36</v>
      </c>
      <c r="G97" s="10">
        <v>0</v>
      </c>
      <c r="H97" s="9"/>
      <c r="I97" s="9" t="s">
        <v>55</v>
      </c>
      <c r="J97" s="9"/>
      <c r="K97" s="9"/>
      <c r="L97" s="9">
        <f t="shared" si="16"/>
        <v>0</v>
      </c>
      <c r="M97" s="9">
        <f t="shared" si="17"/>
        <v>0</v>
      </c>
      <c r="N97" s="9"/>
      <c r="O97" s="9"/>
      <c r="P97" s="9"/>
      <c r="Q97" s="9"/>
      <c r="R97" s="9"/>
      <c r="S97" s="9"/>
      <c r="T97" s="9">
        <v>0</v>
      </c>
      <c r="U97" s="9"/>
      <c r="V97" s="9"/>
      <c r="W97" s="9">
        <f t="shared" si="18"/>
        <v>0</v>
      </c>
      <c r="X97" s="11"/>
      <c r="Y97" s="5">
        <f t="shared" si="19"/>
        <v>0</v>
      </c>
      <c r="Z97" s="5"/>
      <c r="AA97" s="1" t="e">
        <f t="shared" si="20"/>
        <v>#DIV/0!</v>
      </c>
      <c r="AB97" s="1" t="e">
        <f t="shared" si="21"/>
        <v>#DIV/0!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/>
      <c r="AL97" s="1">
        <f t="shared" si="22"/>
        <v>0</v>
      </c>
      <c r="AM97" s="1">
        <f t="shared" si="23"/>
        <v>0</v>
      </c>
      <c r="AN97">
        <f t="shared" si="24"/>
        <v>0</v>
      </c>
    </row>
    <row r="98" spans="1:40" x14ac:dyDescent="0.25">
      <c r="A98" s="9" t="s">
        <v>151</v>
      </c>
      <c r="B98" s="9" t="s">
        <v>38</v>
      </c>
      <c r="C98" s="9">
        <v>-2.5960000000000001</v>
      </c>
      <c r="D98" s="9"/>
      <c r="E98" s="9">
        <v>-1.016</v>
      </c>
      <c r="F98" s="9">
        <v>-2.5960000000000001</v>
      </c>
      <c r="G98" s="10">
        <v>0</v>
      </c>
      <c r="H98" s="9"/>
      <c r="I98" s="9" t="s">
        <v>55</v>
      </c>
      <c r="J98" s="9"/>
      <c r="K98" s="9"/>
      <c r="L98" s="9">
        <f t="shared" si="16"/>
        <v>-1.016</v>
      </c>
      <c r="M98" s="9">
        <f t="shared" si="17"/>
        <v>-1.016</v>
      </c>
      <c r="N98" s="9"/>
      <c r="O98" s="9"/>
      <c r="P98" s="9"/>
      <c r="Q98" s="9"/>
      <c r="R98" s="9"/>
      <c r="S98" s="9"/>
      <c r="T98" s="9">
        <v>0</v>
      </c>
      <c r="U98" s="9"/>
      <c r="V98" s="9"/>
      <c r="W98" s="9">
        <f t="shared" si="18"/>
        <v>-0.20319999999999999</v>
      </c>
      <c r="X98" s="11"/>
      <c r="Y98" s="5">
        <f t="shared" si="19"/>
        <v>0</v>
      </c>
      <c r="Z98" s="5"/>
      <c r="AA98" s="1">
        <f t="shared" si="20"/>
        <v>12.775590551181104</v>
      </c>
      <c r="AB98" s="1">
        <f t="shared" si="21"/>
        <v>12.775590551181104</v>
      </c>
      <c r="AC98" s="9">
        <v>0</v>
      </c>
      <c r="AD98" s="9">
        <v>0</v>
      </c>
      <c r="AE98" s="9">
        <v>0.5484</v>
      </c>
      <c r="AF98" s="9">
        <v>3.7995999999999999</v>
      </c>
      <c r="AG98" s="9">
        <v>5.4039999999999999</v>
      </c>
      <c r="AH98" s="9">
        <v>5.3784000000000001</v>
      </c>
      <c r="AI98" s="9">
        <v>6.8639999999999999</v>
      </c>
      <c r="AJ98" s="9">
        <v>3.9003999999999999</v>
      </c>
      <c r="AK98" s="9"/>
      <c r="AL98" s="1">
        <f t="shared" si="22"/>
        <v>0</v>
      </c>
      <c r="AM98" s="1">
        <f t="shared" si="23"/>
        <v>0</v>
      </c>
      <c r="AN98">
        <f t="shared" si="24"/>
        <v>0</v>
      </c>
    </row>
    <row r="99" spans="1:40" x14ac:dyDescent="0.25">
      <c r="A99" s="1" t="s">
        <v>152</v>
      </c>
      <c r="B99" s="1" t="s">
        <v>43</v>
      </c>
      <c r="C99" s="1">
        <v>-3</v>
      </c>
      <c r="D99" s="1"/>
      <c r="E99" s="1">
        <v>-4</v>
      </c>
      <c r="F99" s="1">
        <v>-3</v>
      </c>
      <c r="G99" s="7">
        <v>0.3</v>
      </c>
      <c r="H99" s="1">
        <v>40</v>
      </c>
      <c r="I99" s="13" t="s">
        <v>52</v>
      </c>
      <c r="J99" s="1"/>
      <c r="K99" s="1">
        <v>103</v>
      </c>
      <c r="L99" s="1">
        <f t="shared" si="16"/>
        <v>-107</v>
      </c>
      <c r="M99" s="1">
        <f t="shared" si="17"/>
        <v>-4</v>
      </c>
      <c r="N99" s="1"/>
      <c r="O99" s="1"/>
      <c r="P99" s="1"/>
      <c r="Q99" s="1"/>
      <c r="R99" s="1">
        <v>25</v>
      </c>
      <c r="S99" s="1">
        <v>-30</v>
      </c>
      <c r="T99" s="1">
        <v>50</v>
      </c>
      <c r="U99" s="1"/>
      <c r="V99" s="1"/>
      <c r="W99" s="1">
        <f t="shared" si="18"/>
        <v>-0.8</v>
      </c>
      <c r="X99" s="5">
        <v>50</v>
      </c>
      <c r="Y99" s="5">
        <f t="shared" si="19"/>
        <v>50</v>
      </c>
      <c r="Z99" s="5"/>
      <c r="AA99" s="1">
        <f t="shared" si="20"/>
        <v>-115</v>
      </c>
      <c r="AB99" s="1">
        <f t="shared" si="21"/>
        <v>-52.5</v>
      </c>
      <c r="AC99" s="1">
        <v>0</v>
      </c>
      <c r="AD99" s="1">
        <v>0</v>
      </c>
      <c r="AE99" s="1">
        <v>8.4</v>
      </c>
      <c r="AF99" s="1">
        <v>9.6</v>
      </c>
      <c r="AG99" s="1">
        <v>9.1999999999999993</v>
      </c>
      <c r="AH99" s="1">
        <v>15.2</v>
      </c>
      <c r="AI99" s="1">
        <v>23.8</v>
      </c>
      <c r="AJ99" s="1">
        <v>25.4</v>
      </c>
      <c r="AK99" s="1"/>
      <c r="AL99" s="1">
        <f t="shared" si="22"/>
        <v>15</v>
      </c>
      <c r="AM99" s="1">
        <f t="shared" si="23"/>
        <v>0</v>
      </c>
      <c r="AN99">
        <f t="shared" si="24"/>
        <v>-0.24</v>
      </c>
    </row>
    <row r="100" spans="1:40" x14ac:dyDescent="0.25">
      <c r="A100" s="1" t="s">
        <v>153</v>
      </c>
      <c r="B100" s="1" t="s">
        <v>43</v>
      </c>
      <c r="C100" s="1">
        <v>25</v>
      </c>
      <c r="D100" s="1">
        <v>157</v>
      </c>
      <c r="E100" s="1">
        <v>41</v>
      </c>
      <c r="F100" s="1">
        <v>140</v>
      </c>
      <c r="G100" s="7">
        <v>0.3</v>
      </c>
      <c r="H100" s="1">
        <v>40</v>
      </c>
      <c r="I100" s="1" t="s">
        <v>39</v>
      </c>
      <c r="J100" s="1"/>
      <c r="K100" s="1">
        <v>46</v>
      </c>
      <c r="L100" s="1">
        <f t="shared" si="16"/>
        <v>-5</v>
      </c>
      <c r="M100" s="1">
        <f t="shared" si="17"/>
        <v>41</v>
      </c>
      <c r="N100" s="1"/>
      <c r="O100" s="1"/>
      <c r="P100" s="1"/>
      <c r="Q100" s="1"/>
      <c r="R100" s="1"/>
      <c r="S100" s="1"/>
      <c r="T100" s="1">
        <v>0</v>
      </c>
      <c r="U100" s="1"/>
      <c r="V100" s="1"/>
      <c r="W100" s="1">
        <f t="shared" si="18"/>
        <v>8.1999999999999993</v>
      </c>
      <c r="X100" s="5"/>
      <c r="Y100" s="5">
        <f t="shared" si="19"/>
        <v>0</v>
      </c>
      <c r="Z100" s="5"/>
      <c r="AA100" s="1">
        <f t="shared" si="20"/>
        <v>17.073170731707318</v>
      </c>
      <c r="AB100" s="1">
        <f t="shared" si="21"/>
        <v>17.073170731707318</v>
      </c>
      <c r="AC100" s="1">
        <v>7.8</v>
      </c>
      <c r="AD100" s="1">
        <v>7.8</v>
      </c>
      <c r="AE100" s="1">
        <v>17.2</v>
      </c>
      <c r="AF100" s="1">
        <v>16.2</v>
      </c>
      <c r="AG100" s="1">
        <v>4</v>
      </c>
      <c r="AH100" s="1">
        <v>9.6</v>
      </c>
      <c r="AI100" s="1">
        <v>11</v>
      </c>
      <c r="AJ100" s="1">
        <v>12.4</v>
      </c>
      <c r="AK100" s="15" t="s">
        <v>65</v>
      </c>
      <c r="AL100" s="1">
        <f t="shared" si="22"/>
        <v>0</v>
      </c>
      <c r="AM100" s="1">
        <f t="shared" si="23"/>
        <v>0</v>
      </c>
      <c r="AN100">
        <f t="shared" si="24"/>
        <v>2.4599999999999995</v>
      </c>
    </row>
    <row r="101" spans="1:40" x14ac:dyDescent="0.25">
      <c r="A101" s="1" t="s">
        <v>154</v>
      </c>
      <c r="B101" s="1" t="s">
        <v>43</v>
      </c>
      <c r="C101" s="1">
        <v>439</v>
      </c>
      <c r="D101" s="1">
        <v>13</v>
      </c>
      <c r="E101" s="1">
        <v>236</v>
      </c>
      <c r="F101" s="1">
        <v>202</v>
      </c>
      <c r="G101" s="7">
        <v>7.0000000000000007E-2</v>
      </c>
      <c r="H101" s="1">
        <v>90</v>
      </c>
      <c r="I101" s="16" t="s">
        <v>46</v>
      </c>
      <c r="J101" s="1"/>
      <c r="K101" s="1">
        <v>249</v>
      </c>
      <c r="L101" s="1">
        <f t="shared" si="16"/>
        <v>-13</v>
      </c>
      <c r="M101" s="1">
        <f t="shared" si="17"/>
        <v>236</v>
      </c>
      <c r="N101" s="1"/>
      <c r="O101" s="1"/>
      <c r="P101" s="1"/>
      <c r="Q101" s="1"/>
      <c r="R101" s="1"/>
      <c r="S101" s="1"/>
      <c r="T101" s="1">
        <v>400</v>
      </c>
      <c r="U101" s="1"/>
      <c r="V101" s="1"/>
      <c r="W101" s="1">
        <f t="shared" si="18"/>
        <v>47.2</v>
      </c>
      <c r="X101" s="5"/>
      <c r="Y101" s="5">
        <f t="shared" si="19"/>
        <v>0</v>
      </c>
      <c r="Z101" s="5"/>
      <c r="AA101" s="1">
        <f t="shared" si="20"/>
        <v>12.754237288135592</v>
      </c>
      <c r="AB101" s="1">
        <f t="shared" si="21"/>
        <v>12.754237288135592</v>
      </c>
      <c r="AC101" s="1">
        <v>25.4</v>
      </c>
      <c r="AD101" s="1">
        <v>25.4</v>
      </c>
      <c r="AE101" s="1">
        <v>27.8</v>
      </c>
      <c r="AF101" s="1">
        <v>21.6</v>
      </c>
      <c r="AG101" s="1">
        <v>29</v>
      </c>
      <c r="AH101" s="1">
        <v>32.4</v>
      </c>
      <c r="AI101" s="1">
        <v>33.4</v>
      </c>
      <c r="AJ101" s="1">
        <v>34.799999999999997</v>
      </c>
      <c r="AK101" s="1" t="s">
        <v>155</v>
      </c>
      <c r="AL101" s="1">
        <f t="shared" si="22"/>
        <v>0</v>
      </c>
      <c r="AM101" s="1">
        <f t="shared" si="23"/>
        <v>0</v>
      </c>
      <c r="AN101">
        <f t="shared" si="24"/>
        <v>3.3040000000000007</v>
      </c>
    </row>
    <row r="102" spans="1:40" x14ac:dyDescent="0.25">
      <c r="A102" s="1" t="s">
        <v>156</v>
      </c>
      <c r="B102" s="1" t="s">
        <v>43</v>
      </c>
      <c r="C102" s="1">
        <v>362</v>
      </c>
      <c r="D102" s="1">
        <v>12</v>
      </c>
      <c r="E102" s="1">
        <v>240</v>
      </c>
      <c r="F102" s="1">
        <v>110</v>
      </c>
      <c r="G102" s="7">
        <v>7.0000000000000007E-2</v>
      </c>
      <c r="H102" s="1">
        <v>90</v>
      </c>
      <c r="I102" s="16" t="s">
        <v>46</v>
      </c>
      <c r="J102" s="1"/>
      <c r="K102" s="1">
        <v>274</v>
      </c>
      <c r="L102" s="1">
        <f t="shared" ref="L102:L133" si="25">E102-K102</f>
        <v>-34</v>
      </c>
      <c r="M102" s="1">
        <f t="shared" ref="M102:M133" si="26">E102-N102</f>
        <v>240</v>
      </c>
      <c r="N102" s="1"/>
      <c r="O102" s="1"/>
      <c r="P102" s="1"/>
      <c r="Q102" s="1"/>
      <c r="R102" s="1"/>
      <c r="S102" s="1"/>
      <c r="T102" s="1">
        <v>583.20000000000005</v>
      </c>
      <c r="U102" s="1"/>
      <c r="V102" s="1"/>
      <c r="W102" s="1">
        <f t="shared" ref="W102:W138" si="27">M102/5</f>
        <v>48</v>
      </c>
      <c r="X102" s="5"/>
      <c r="Y102" s="5">
        <f t="shared" si="19"/>
        <v>0</v>
      </c>
      <c r="Z102" s="5"/>
      <c r="AA102" s="1">
        <f t="shared" si="20"/>
        <v>14.441666666666668</v>
      </c>
      <c r="AB102" s="1">
        <f t="shared" si="21"/>
        <v>14.441666666666668</v>
      </c>
      <c r="AC102" s="1">
        <v>27.6</v>
      </c>
      <c r="AD102" s="1">
        <v>27.6</v>
      </c>
      <c r="AE102" s="1">
        <v>32.200000000000003</v>
      </c>
      <c r="AF102" s="1">
        <v>28.8</v>
      </c>
      <c r="AG102" s="1">
        <v>31.6</v>
      </c>
      <c r="AH102" s="1">
        <v>28.2</v>
      </c>
      <c r="AI102" s="1">
        <v>29.6</v>
      </c>
      <c r="AJ102" s="1">
        <v>31.2</v>
      </c>
      <c r="AK102" s="1" t="s">
        <v>157</v>
      </c>
      <c r="AL102" s="1">
        <f t="shared" si="22"/>
        <v>0</v>
      </c>
      <c r="AM102" s="1">
        <f t="shared" si="23"/>
        <v>0</v>
      </c>
      <c r="AN102">
        <f t="shared" si="24"/>
        <v>3.3600000000000003</v>
      </c>
    </row>
    <row r="103" spans="1:40" x14ac:dyDescent="0.25">
      <c r="A103" s="1" t="s">
        <v>158</v>
      </c>
      <c r="B103" s="1" t="s">
        <v>43</v>
      </c>
      <c r="C103" s="1">
        <v>397</v>
      </c>
      <c r="D103" s="1">
        <v>12</v>
      </c>
      <c r="E103" s="1">
        <v>204</v>
      </c>
      <c r="F103" s="1">
        <v>191</v>
      </c>
      <c r="G103" s="7">
        <v>7.0000000000000007E-2</v>
      </c>
      <c r="H103" s="1">
        <v>90</v>
      </c>
      <c r="I103" s="16" t="s">
        <v>46</v>
      </c>
      <c r="J103" s="1"/>
      <c r="K103" s="1">
        <v>217</v>
      </c>
      <c r="L103" s="1">
        <f t="shared" si="25"/>
        <v>-13</v>
      </c>
      <c r="M103" s="1">
        <f t="shared" si="26"/>
        <v>204</v>
      </c>
      <c r="N103" s="1"/>
      <c r="O103" s="1"/>
      <c r="P103" s="1"/>
      <c r="Q103" s="1"/>
      <c r="R103" s="1"/>
      <c r="S103" s="1"/>
      <c r="T103" s="1">
        <v>400</v>
      </c>
      <c r="U103" s="1"/>
      <c r="V103" s="1"/>
      <c r="W103" s="1">
        <f t="shared" si="27"/>
        <v>40.799999999999997</v>
      </c>
      <c r="X103" s="5"/>
      <c r="Y103" s="5">
        <f t="shared" si="19"/>
        <v>0</v>
      </c>
      <c r="Z103" s="5"/>
      <c r="AA103" s="1">
        <f t="shared" si="20"/>
        <v>14.48529411764706</v>
      </c>
      <c r="AB103" s="1">
        <f t="shared" si="21"/>
        <v>14.48529411764706</v>
      </c>
      <c r="AC103" s="1">
        <v>18.600000000000001</v>
      </c>
      <c r="AD103" s="1">
        <v>18.600000000000001</v>
      </c>
      <c r="AE103" s="1">
        <v>23.4</v>
      </c>
      <c r="AF103" s="1">
        <v>18.399999999999999</v>
      </c>
      <c r="AG103" s="1">
        <v>22.2</v>
      </c>
      <c r="AH103" s="1">
        <v>23.2</v>
      </c>
      <c r="AI103" s="1">
        <v>24.6</v>
      </c>
      <c r="AJ103" s="1">
        <v>27.4</v>
      </c>
      <c r="AK103" s="1" t="s">
        <v>155</v>
      </c>
      <c r="AL103" s="1">
        <f t="shared" si="22"/>
        <v>0</v>
      </c>
      <c r="AM103" s="1">
        <f t="shared" si="23"/>
        <v>0</v>
      </c>
      <c r="AN103">
        <f t="shared" si="24"/>
        <v>2.8559999999999999</v>
      </c>
    </row>
    <row r="104" spans="1:40" x14ac:dyDescent="0.25">
      <c r="A104" s="9" t="s">
        <v>159</v>
      </c>
      <c r="B104" s="9" t="s">
        <v>43</v>
      </c>
      <c r="C104" s="9">
        <v>4</v>
      </c>
      <c r="D104" s="9">
        <v>15</v>
      </c>
      <c r="E104" s="9"/>
      <c r="F104" s="9">
        <v>4</v>
      </c>
      <c r="G104" s="10">
        <v>0</v>
      </c>
      <c r="H104" s="9">
        <v>90</v>
      </c>
      <c r="I104" s="9" t="s">
        <v>55</v>
      </c>
      <c r="J104" s="9"/>
      <c r="K104" s="9">
        <v>131</v>
      </c>
      <c r="L104" s="9">
        <f t="shared" si="25"/>
        <v>-131</v>
      </c>
      <c r="M104" s="9">
        <f t="shared" si="26"/>
        <v>0</v>
      </c>
      <c r="N104" s="9"/>
      <c r="O104" s="9"/>
      <c r="P104" s="9"/>
      <c r="Q104" s="9"/>
      <c r="R104" s="9"/>
      <c r="S104" s="9"/>
      <c r="T104" s="9">
        <v>0</v>
      </c>
      <c r="U104" s="9"/>
      <c r="V104" s="9"/>
      <c r="W104" s="9">
        <f t="shared" si="27"/>
        <v>0</v>
      </c>
      <c r="X104" s="11"/>
      <c r="Y104" s="5">
        <f t="shared" si="19"/>
        <v>0</v>
      </c>
      <c r="Z104" s="5"/>
      <c r="AA104" s="1" t="e">
        <f t="shared" si="20"/>
        <v>#DIV/0!</v>
      </c>
      <c r="AB104" s="1" t="e">
        <f t="shared" si="21"/>
        <v>#DIV/0!</v>
      </c>
      <c r="AC104" s="9">
        <v>-0.6</v>
      </c>
      <c r="AD104" s="9">
        <v>-0.6</v>
      </c>
      <c r="AE104" s="9">
        <v>-0.2</v>
      </c>
      <c r="AF104" s="9">
        <v>-0.4</v>
      </c>
      <c r="AG104" s="9">
        <v>9.1999999999999993</v>
      </c>
      <c r="AH104" s="9">
        <v>15.4</v>
      </c>
      <c r="AI104" s="9">
        <v>13.6</v>
      </c>
      <c r="AJ104" s="9">
        <v>20.2</v>
      </c>
      <c r="AK104" s="9"/>
      <c r="AL104" s="1">
        <f t="shared" si="22"/>
        <v>0</v>
      </c>
      <c r="AM104" s="1">
        <f t="shared" si="23"/>
        <v>0</v>
      </c>
      <c r="AN104">
        <f t="shared" si="24"/>
        <v>0</v>
      </c>
    </row>
    <row r="105" spans="1:40" x14ac:dyDescent="0.25">
      <c r="A105" s="1" t="s">
        <v>160</v>
      </c>
      <c r="B105" s="1" t="s">
        <v>43</v>
      </c>
      <c r="C105" s="1">
        <v>18</v>
      </c>
      <c r="D105" s="1">
        <v>43</v>
      </c>
      <c r="E105" s="1">
        <v>17</v>
      </c>
      <c r="F105" s="1">
        <v>23</v>
      </c>
      <c r="G105" s="7">
        <v>0.3</v>
      </c>
      <c r="H105" s="1">
        <v>40</v>
      </c>
      <c r="I105" s="1" t="s">
        <v>39</v>
      </c>
      <c r="J105" s="1"/>
      <c r="K105" s="1">
        <v>46</v>
      </c>
      <c r="L105" s="1">
        <f t="shared" si="25"/>
        <v>-29</v>
      </c>
      <c r="M105" s="1">
        <f t="shared" si="26"/>
        <v>17</v>
      </c>
      <c r="N105" s="1"/>
      <c r="O105" s="1"/>
      <c r="P105" s="1"/>
      <c r="Q105" s="1"/>
      <c r="R105" s="1"/>
      <c r="S105" s="1"/>
      <c r="T105" s="1">
        <v>11.599999999999991</v>
      </c>
      <c r="U105" s="1"/>
      <c r="V105" s="1"/>
      <c r="W105" s="1">
        <f t="shared" si="27"/>
        <v>3.4</v>
      </c>
      <c r="X105" s="5">
        <v>6</v>
      </c>
      <c r="Y105" s="5">
        <f t="shared" si="19"/>
        <v>6</v>
      </c>
      <c r="Z105" s="5"/>
      <c r="AA105" s="1">
        <f t="shared" si="20"/>
        <v>11.941176470588234</v>
      </c>
      <c r="AB105" s="1">
        <f t="shared" si="21"/>
        <v>10.176470588235293</v>
      </c>
      <c r="AC105" s="1">
        <v>3.8</v>
      </c>
      <c r="AD105" s="1">
        <v>3.8</v>
      </c>
      <c r="AE105" s="1">
        <v>0.6</v>
      </c>
      <c r="AF105" s="1">
        <v>-0.4</v>
      </c>
      <c r="AG105" s="1">
        <v>0.6</v>
      </c>
      <c r="AH105" s="1">
        <v>4.4000000000000004</v>
      </c>
      <c r="AI105" s="1">
        <v>4.8</v>
      </c>
      <c r="AJ105" s="1">
        <v>1.6</v>
      </c>
      <c r="AK105" s="1"/>
      <c r="AL105" s="1">
        <f t="shared" si="22"/>
        <v>2</v>
      </c>
      <c r="AM105" s="1">
        <f t="shared" si="23"/>
        <v>0</v>
      </c>
      <c r="AN105">
        <f t="shared" si="24"/>
        <v>1.02</v>
      </c>
    </row>
    <row r="106" spans="1:40" x14ac:dyDescent="0.25">
      <c r="A106" s="1" t="s">
        <v>161</v>
      </c>
      <c r="B106" s="1" t="s">
        <v>38</v>
      </c>
      <c r="C106" s="1">
        <v>25.661000000000001</v>
      </c>
      <c r="D106" s="1"/>
      <c r="E106" s="1">
        <v>8.8689999999999998</v>
      </c>
      <c r="F106" s="1">
        <v>16.792000000000002</v>
      </c>
      <c r="G106" s="7">
        <v>1</v>
      </c>
      <c r="H106" s="1">
        <v>55</v>
      </c>
      <c r="I106" s="1" t="s">
        <v>39</v>
      </c>
      <c r="J106" s="1"/>
      <c r="K106" s="1">
        <v>7.2</v>
      </c>
      <c r="L106" s="1">
        <f t="shared" si="25"/>
        <v>1.6689999999999996</v>
      </c>
      <c r="M106" s="1">
        <f t="shared" si="26"/>
        <v>8.8689999999999998</v>
      </c>
      <c r="N106" s="1"/>
      <c r="O106" s="1"/>
      <c r="P106" s="1"/>
      <c r="Q106" s="1"/>
      <c r="R106" s="1"/>
      <c r="S106" s="1"/>
      <c r="T106" s="1">
        <v>12.287599999999999</v>
      </c>
      <c r="U106" s="1"/>
      <c r="V106" s="1"/>
      <c r="W106" s="1">
        <f t="shared" si="27"/>
        <v>1.7738</v>
      </c>
      <c r="X106" s="5"/>
      <c r="Y106" s="5">
        <f t="shared" si="19"/>
        <v>0</v>
      </c>
      <c r="Z106" s="5"/>
      <c r="AA106" s="1">
        <f t="shared" si="20"/>
        <v>16.393956477618669</v>
      </c>
      <c r="AB106" s="1">
        <f t="shared" si="21"/>
        <v>16.393956477618669</v>
      </c>
      <c r="AC106" s="1">
        <v>2.5558000000000001</v>
      </c>
      <c r="AD106" s="1">
        <v>2.5558000000000001</v>
      </c>
      <c r="AE106" s="1">
        <v>1.869</v>
      </c>
      <c r="AF106" s="1">
        <v>0.8869999999999999</v>
      </c>
      <c r="AG106" s="1">
        <v>2.1185999999999998</v>
      </c>
      <c r="AH106" s="1">
        <v>2.1888000000000001</v>
      </c>
      <c r="AI106" s="1">
        <v>1.9019999999999999</v>
      </c>
      <c r="AJ106" s="1">
        <v>2.5404</v>
      </c>
      <c r="AK106" s="1"/>
      <c r="AL106" s="1">
        <f t="shared" si="22"/>
        <v>0</v>
      </c>
      <c r="AM106" s="1">
        <f t="shared" si="23"/>
        <v>0</v>
      </c>
      <c r="AN106">
        <f t="shared" si="24"/>
        <v>1.7738</v>
      </c>
    </row>
    <row r="107" spans="1:40" x14ac:dyDescent="0.25">
      <c r="A107" s="1" t="s">
        <v>162</v>
      </c>
      <c r="B107" s="1" t="s">
        <v>43</v>
      </c>
      <c r="C107" s="1">
        <v>202</v>
      </c>
      <c r="D107" s="1">
        <v>71</v>
      </c>
      <c r="E107" s="1">
        <v>102</v>
      </c>
      <c r="F107" s="1">
        <v>130</v>
      </c>
      <c r="G107" s="7">
        <v>0.11</v>
      </c>
      <c r="H107" s="1">
        <v>30</v>
      </c>
      <c r="I107" s="16" t="s">
        <v>46</v>
      </c>
      <c r="J107" s="1"/>
      <c r="K107" s="1">
        <v>187</v>
      </c>
      <c r="L107" s="1">
        <f t="shared" si="25"/>
        <v>-85</v>
      </c>
      <c r="M107" s="1">
        <f t="shared" si="26"/>
        <v>102</v>
      </c>
      <c r="N107" s="1"/>
      <c r="O107" s="1"/>
      <c r="P107" s="1"/>
      <c r="Q107" s="1"/>
      <c r="R107" s="1"/>
      <c r="S107" s="1"/>
      <c r="T107" s="1">
        <v>577.6</v>
      </c>
      <c r="U107" s="1"/>
      <c r="V107" s="1"/>
      <c r="W107" s="1">
        <f t="shared" si="27"/>
        <v>20.399999999999999</v>
      </c>
      <c r="X107" s="5"/>
      <c r="Y107" s="5">
        <f t="shared" si="19"/>
        <v>0</v>
      </c>
      <c r="Z107" s="5"/>
      <c r="AA107" s="1">
        <f t="shared" si="20"/>
        <v>34.686274509803923</v>
      </c>
      <c r="AB107" s="1">
        <f t="shared" si="21"/>
        <v>34.686274509803923</v>
      </c>
      <c r="AC107" s="1">
        <v>18.600000000000001</v>
      </c>
      <c r="AD107" s="1">
        <v>20.6</v>
      </c>
      <c r="AE107" s="1">
        <v>12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 t="s">
        <v>157</v>
      </c>
      <c r="AL107" s="1">
        <f t="shared" si="22"/>
        <v>0</v>
      </c>
      <c r="AM107" s="1">
        <f t="shared" si="23"/>
        <v>0</v>
      </c>
      <c r="AN107">
        <f t="shared" si="24"/>
        <v>2.2439999999999998</v>
      </c>
    </row>
    <row r="108" spans="1:40" x14ac:dyDescent="0.25">
      <c r="A108" s="9" t="s">
        <v>163</v>
      </c>
      <c r="B108" s="9" t="s">
        <v>43</v>
      </c>
      <c r="C108" s="9"/>
      <c r="D108" s="9"/>
      <c r="E108" s="9"/>
      <c r="F108" s="9"/>
      <c r="G108" s="10">
        <v>0</v>
      </c>
      <c r="H108" s="9"/>
      <c r="I108" s="9" t="s">
        <v>39</v>
      </c>
      <c r="J108" s="9"/>
      <c r="K108" s="9"/>
      <c r="L108" s="9">
        <f t="shared" si="25"/>
        <v>0</v>
      </c>
      <c r="M108" s="9">
        <f t="shared" si="26"/>
        <v>0</v>
      </c>
      <c r="N108" s="9"/>
      <c r="O108" s="9"/>
      <c r="P108" s="9"/>
      <c r="Q108" s="9"/>
      <c r="R108" s="9"/>
      <c r="S108" s="9"/>
      <c r="T108" s="9">
        <v>0</v>
      </c>
      <c r="U108" s="9"/>
      <c r="V108" s="9"/>
      <c r="W108" s="9">
        <f t="shared" si="27"/>
        <v>0</v>
      </c>
      <c r="X108" s="11"/>
      <c r="Y108" s="5">
        <f t="shared" si="19"/>
        <v>0</v>
      </c>
      <c r="Z108" s="5"/>
      <c r="AA108" s="1" t="e">
        <f t="shared" si="20"/>
        <v>#DIV/0!</v>
      </c>
      <c r="AB108" s="1" t="e">
        <f t="shared" si="21"/>
        <v>#DIV/0!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 t="s">
        <v>63</v>
      </c>
      <c r="AL108" s="1">
        <f t="shared" si="22"/>
        <v>0</v>
      </c>
      <c r="AM108" s="1">
        <f t="shared" si="23"/>
        <v>0</v>
      </c>
      <c r="AN108">
        <f t="shared" si="24"/>
        <v>0</v>
      </c>
    </row>
    <row r="109" spans="1:40" x14ac:dyDescent="0.25">
      <c r="A109" s="1" t="s">
        <v>164</v>
      </c>
      <c r="B109" s="1" t="s">
        <v>43</v>
      </c>
      <c r="C109" s="1">
        <v>490</v>
      </c>
      <c r="D109" s="1">
        <v>309</v>
      </c>
      <c r="E109" s="1">
        <v>260</v>
      </c>
      <c r="F109" s="1">
        <v>466</v>
      </c>
      <c r="G109" s="7">
        <v>0.08</v>
      </c>
      <c r="H109" s="1">
        <v>45</v>
      </c>
      <c r="I109" s="16" t="s">
        <v>46</v>
      </c>
      <c r="J109" s="1"/>
      <c r="K109" s="1">
        <v>344</v>
      </c>
      <c r="L109" s="1">
        <f t="shared" si="25"/>
        <v>-84</v>
      </c>
      <c r="M109" s="1">
        <f t="shared" si="26"/>
        <v>260</v>
      </c>
      <c r="N109" s="1"/>
      <c r="O109" s="1"/>
      <c r="P109" s="1"/>
      <c r="Q109" s="1"/>
      <c r="R109" s="1"/>
      <c r="S109" s="1"/>
      <c r="T109" s="1">
        <v>300</v>
      </c>
      <c r="U109" s="1"/>
      <c r="V109" s="1"/>
      <c r="W109" s="1">
        <f t="shared" si="27"/>
        <v>52</v>
      </c>
      <c r="X109" s="5"/>
      <c r="Y109" s="5">
        <f t="shared" si="19"/>
        <v>0</v>
      </c>
      <c r="Z109" s="5"/>
      <c r="AA109" s="1">
        <f t="shared" si="20"/>
        <v>14.73076923076923</v>
      </c>
      <c r="AB109" s="1">
        <f t="shared" si="21"/>
        <v>14.73076923076923</v>
      </c>
      <c r="AC109" s="1">
        <v>41</v>
      </c>
      <c r="AD109" s="1">
        <v>41</v>
      </c>
      <c r="AE109" s="1">
        <v>42.2</v>
      </c>
      <c r="AF109" s="1">
        <v>49.2</v>
      </c>
      <c r="AG109" s="1">
        <v>54.2</v>
      </c>
      <c r="AH109" s="1">
        <v>46.4</v>
      </c>
      <c r="AI109" s="1">
        <v>59</v>
      </c>
      <c r="AJ109" s="1">
        <v>58.6</v>
      </c>
      <c r="AK109" s="1" t="s">
        <v>165</v>
      </c>
      <c r="AL109" s="1">
        <f t="shared" si="22"/>
        <v>0</v>
      </c>
      <c r="AM109" s="1">
        <f t="shared" si="23"/>
        <v>0</v>
      </c>
      <c r="AN109">
        <f t="shared" si="24"/>
        <v>4.16</v>
      </c>
    </row>
    <row r="110" spans="1:40" x14ac:dyDescent="0.25">
      <c r="A110" s="1" t="s">
        <v>166</v>
      </c>
      <c r="B110" s="1" t="s">
        <v>43</v>
      </c>
      <c r="C110" s="1">
        <v>320</v>
      </c>
      <c r="D110" s="1">
        <v>228</v>
      </c>
      <c r="E110" s="1">
        <v>223</v>
      </c>
      <c r="F110" s="1">
        <v>232</v>
      </c>
      <c r="G110" s="7">
        <v>0.08</v>
      </c>
      <c r="H110" s="1">
        <v>45</v>
      </c>
      <c r="I110" s="16" t="s">
        <v>46</v>
      </c>
      <c r="J110" s="1"/>
      <c r="K110" s="1">
        <v>329</v>
      </c>
      <c r="L110" s="1">
        <f t="shared" si="25"/>
        <v>-106</v>
      </c>
      <c r="M110" s="1">
        <f t="shared" si="26"/>
        <v>223</v>
      </c>
      <c r="N110" s="1"/>
      <c r="O110" s="1"/>
      <c r="P110" s="1"/>
      <c r="Q110" s="1"/>
      <c r="R110" s="1"/>
      <c r="S110" s="1"/>
      <c r="T110" s="1">
        <v>802.6</v>
      </c>
      <c r="U110" s="1"/>
      <c r="V110" s="1"/>
      <c r="W110" s="1">
        <f t="shared" si="27"/>
        <v>44.6</v>
      </c>
      <c r="X110" s="5"/>
      <c r="Y110" s="5">
        <f t="shared" si="19"/>
        <v>0</v>
      </c>
      <c r="Z110" s="5"/>
      <c r="AA110" s="1">
        <f t="shared" si="20"/>
        <v>23.197309417040355</v>
      </c>
      <c r="AB110" s="1">
        <f t="shared" si="21"/>
        <v>23.197309417040355</v>
      </c>
      <c r="AC110" s="1">
        <v>41.6</v>
      </c>
      <c r="AD110" s="1">
        <v>41.6</v>
      </c>
      <c r="AE110" s="1">
        <v>22.6</v>
      </c>
      <c r="AF110" s="1">
        <v>9.6</v>
      </c>
      <c r="AG110" s="1">
        <v>4.4000000000000004</v>
      </c>
      <c r="AH110" s="1">
        <v>25.8</v>
      </c>
      <c r="AI110" s="1">
        <v>24.4</v>
      </c>
      <c r="AJ110" s="1">
        <v>2.2000000000000002</v>
      </c>
      <c r="AK110" s="1" t="s">
        <v>167</v>
      </c>
      <c r="AL110" s="1">
        <f t="shared" si="22"/>
        <v>0</v>
      </c>
      <c r="AM110" s="1">
        <f t="shared" si="23"/>
        <v>0</v>
      </c>
      <c r="AN110">
        <f t="shared" si="24"/>
        <v>3.5680000000000001</v>
      </c>
    </row>
    <row r="111" spans="1:40" x14ac:dyDescent="0.25">
      <c r="A111" s="1" t="s">
        <v>168</v>
      </c>
      <c r="B111" s="1" t="s">
        <v>43</v>
      </c>
      <c r="C111" s="1">
        <v>123</v>
      </c>
      <c r="D111" s="1">
        <v>130</v>
      </c>
      <c r="E111" s="1">
        <v>129</v>
      </c>
      <c r="F111" s="1">
        <v>103</v>
      </c>
      <c r="G111" s="7">
        <v>0.17</v>
      </c>
      <c r="H111" s="1">
        <v>30</v>
      </c>
      <c r="I111" s="16" t="s">
        <v>46</v>
      </c>
      <c r="J111" s="1"/>
      <c r="K111" s="1">
        <v>162</v>
      </c>
      <c r="L111" s="1">
        <f t="shared" si="25"/>
        <v>-33</v>
      </c>
      <c r="M111" s="1">
        <f t="shared" si="26"/>
        <v>129</v>
      </c>
      <c r="N111" s="1"/>
      <c r="O111" s="1"/>
      <c r="P111" s="1"/>
      <c r="Q111" s="1"/>
      <c r="R111" s="1"/>
      <c r="S111" s="1"/>
      <c r="T111" s="1">
        <v>529.4</v>
      </c>
      <c r="U111" s="1"/>
      <c r="V111" s="1"/>
      <c r="W111" s="1">
        <f t="shared" si="27"/>
        <v>25.8</v>
      </c>
      <c r="X111" s="5"/>
      <c r="Y111" s="5">
        <f t="shared" si="19"/>
        <v>0</v>
      </c>
      <c r="Z111" s="5"/>
      <c r="AA111" s="1">
        <f t="shared" si="20"/>
        <v>24.511627906976742</v>
      </c>
      <c r="AB111" s="1">
        <f t="shared" si="21"/>
        <v>24.511627906976742</v>
      </c>
      <c r="AC111" s="1">
        <v>16.2</v>
      </c>
      <c r="AD111" s="1">
        <v>16.2</v>
      </c>
      <c r="AE111" s="1">
        <v>20.6</v>
      </c>
      <c r="AF111" s="1">
        <v>16</v>
      </c>
      <c r="AG111" s="1">
        <v>14.6</v>
      </c>
      <c r="AH111" s="1">
        <v>10.8</v>
      </c>
      <c r="AI111" s="1">
        <v>15.6</v>
      </c>
      <c r="AJ111" s="1">
        <v>14</v>
      </c>
      <c r="AK111" s="1" t="s">
        <v>157</v>
      </c>
      <c r="AL111" s="1">
        <f t="shared" si="22"/>
        <v>0</v>
      </c>
      <c r="AM111" s="1">
        <f t="shared" si="23"/>
        <v>0</v>
      </c>
      <c r="AN111">
        <f t="shared" si="24"/>
        <v>4.3860000000000001</v>
      </c>
    </row>
    <row r="112" spans="1:40" x14ac:dyDescent="0.25">
      <c r="A112" s="1" t="s">
        <v>169</v>
      </c>
      <c r="B112" s="1" t="s">
        <v>38</v>
      </c>
      <c r="C112" s="1">
        <v>93.263999999999996</v>
      </c>
      <c r="D112" s="1">
        <v>118.76300000000001</v>
      </c>
      <c r="E112" s="1">
        <v>174.13200000000001</v>
      </c>
      <c r="F112" s="1">
        <v>25.527999999999999</v>
      </c>
      <c r="G112" s="7">
        <v>1</v>
      </c>
      <c r="H112" s="1">
        <v>40</v>
      </c>
      <c r="I112" s="13" t="s">
        <v>52</v>
      </c>
      <c r="J112" s="1"/>
      <c r="K112" s="1">
        <v>205.63399999999999</v>
      </c>
      <c r="L112" s="1">
        <f t="shared" si="25"/>
        <v>-31.501999999999981</v>
      </c>
      <c r="M112" s="1">
        <f t="shared" si="26"/>
        <v>174.13200000000001</v>
      </c>
      <c r="N112" s="1"/>
      <c r="O112" s="1"/>
      <c r="P112" s="1"/>
      <c r="Q112" s="1"/>
      <c r="R112" s="1">
        <v>90.110119999999981</v>
      </c>
      <c r="S112" s="1">
        <v>-91</v>
      </c>
      <c r="T112" s="1">
        <v>180.22023999999999</v>
      </c>
      <c r="U112" s="1">
        <v>-182</v>
      </c>
      <c r="V112" s="1"/>
      <c r="W112" s="1">
        <f t="shared" si="27"/>
        <v>34.8264</v>
      </c>
      <c r="X112" s="5">
        <v>120</v>
      </c>
      <c r="Y112" s="5">
        <f t="shared" si="19"/>
        <v>120</v>
      </c>
      <c r="Z112" s="5"/>
      <c r="AA112" s="1">
        <f t="shared" si="20"/>
        <v>4.1020134151103749</v>
      </c>
      <c r="AB112" s="1">
        <f t="shared" si="21"/>
        <v>0.65635150345714677</v>
      </c>
      <c r="AC112" s="1">
        <v>42.7742</v>
      </c>
      <c r="AD112" s="1">
        <v>42.7742</v>
      </c>
      <c r="AE112" s="1">
        <v>44.640799999999999</v>
      </c>
      <c r="AF112" s="1">
        <v>37.654600000000002</v>
      </c>
      <c r="AG112" s="1">
        <v>36.516399999999997</v>
      </c>
      <c r="AH112" s="1">
        <v>39.003799999999998</v>
      </c>
      <c r="AI112" s="1">
        <v>47.948999999999998</v>
      </c>
      <c r="AJ112" s="1">
        <v>50.321599999999997</v>
      </c>
      <c r="AK112" s="1"/>
      <c r="AL112" s="1">
        <f t="shared" si="22"/>
        <v>120</v>
      </c>
      <c r="AM112" s="1">
        <f t="shared" si="23"/>
        <v>0</v>
      </c>
      <c r="AN112">
        <f t="shared" si="24"/>
        <v>34.8264</v>
      </c>
    </row>
    <row r="113" spans="1:40" x14ac:dyDescent="0.25">
      <c r="A113" s="1" t="s">
        <v>171</v>
      </c>
      <c r="B113" s="1" t="s">
        <v>38</v>
      </c>
      <c r="C113" s="1">
        <v>90.085999999999999</v>
      </c>
      <c r="D113" s="1">
        <v>114.04</v>
      </c>
      <c r="E113" s="1">
        <v>81.177999999999997</v>
      </c>
      <c r="F113" s="1">
        <v>112.053</v>
      </c>
      <c r="G113" s="7">
        <v>1</v>
      </c>
      <c r="H113" s="1">
        <v>40</v>
      </c>
      <c r="I113" s="13" t="s">
        <v>52</v>
      </c>
      <c r="J113" s="1"/>
      <c r="K113" s="1">
        <v>101.41500000000001</v>
      </c>
      <c r="L113" s="1">
        <f t="shared" si="25"/>
        <v>-20.237000000000009</v>
      </c>
      <c r="M113" s="1">
        <f t="shared" si="26"/>
        <v>81.177999999999997</v>
      </c>
      <c r="N113" s="1"/>
      <c r="O113" s="1"/>
      <c r="P113" s="1"/>
      <c r="Q113" s="1"/>
      <c r="R113" s="1">
        <v>25.40750000000001</v>
      </c>
      <c r="S113" s="1"/>
      <c r="T113" s="1">
        <v>50.815000000000019</v>
      </c>
      <c r="U113" s="1"/>
      <c r="V113" s="1"/>
      <c r="W113" s="1">
        <f t="shared" si="27"/>
        <v>16.235599999999998</v>
      </c>
      <c r="X113" s="5"/>
      <c r="Y113" s="5">
        <f t="shared" si="19"/>
        <v>0</v>
      </c>
      <c r="Z113" s="5"/>
      <c r="AA113" s="1">
        <f t="shared" si="20"/>
        <v>11.59646086378083</v>
      </c>
      <c r="AB113" s="1">
        <f t="shared" si="21"/>
        <v>11.59646086378083</v>
      </c>
      <c r="AC113" s="1">
        <v>17.161000000000001</v>
      </c>
      <c r="AD113" s="1">
        <v>17.161000000000001</v>
      </c>
      <c r="AE113" s="1">
        <v>14.714</v>
      </c>
      <c r="AF113" s="1">
        <v>10.642200000000001</v>
      </c>
      <c r="AG113" s="1">
        <v>4.7026000000000003</v>
      </c>
      <c r="AH113" s="1">
        <v>14.215400000000001</v>
      </c>
      <c r="AI113" s="1">
        <v>21.378</v>
      </c>
      <c r="AJ113" s="1">
        <v>13.5524</v>
      </c>
      <c r="AK113" s="1"/>
      <c r="AL113" s="1">
        <f t="shared" si="22"/>
        <v>0</v>
      </c>
      <c r="AM113" s="1">
        <f t="shared" si="23"/>
        <v>0</v>
      </c>
      <c r="AN113">
        <f t="shared" si="24"/>
        <v>16.235599999999998</v>
      </c>
    </row>
    <row r="114" spans="1:40" x14ac:dyDescent="0.25">
      <c r="A114" s="1" t="s">
        <v>172</v>
      </c>
      <c r="B114" s="1" t="s">
        <v>38</v>
      </c>
      <c r="C114" s="1">
        <v>20.67</v>
      </c>
      <c r="D114" s="1">
        <v>154.363</v>
      </c>
      <c r="E114" s="1">
        <v>140.64500000000001</v>
      </c>
      <c r="F114" s="1">
        <v>-5.0940000000000003</v>
      </c>
      <c r="G114" s="7">
        <v>1</v>
      </c>
      <c r="H114" s="1">
        <v>40</v>
      </c>
      <c r="I114" s="13" t="s">
        <v>52</v>
      </c>
      <c r="J114" s="1"/>
      <c r="K114" s="1">
        <v>212.52799999999999</v>
      </c>
      <c r="L114" s="1">
        <f t="shared" si="25"/>
        <v>-71.882999999999981</v>
      </c>
      <c r="M114" s="1">
        <f t="shared" si="26"/>
        <v>140.64500000000001</v>
      </c>
      <c r="N114" s="1"/>
      <c r="O114" s="1"/>
      <c r="P114" s="1"/>
      <c r="Q114" s="1"/>
      <c r="R114" s="1">
        <v>40</v>
      </c>
      <c r="S114" s="1">
        <v>-42</v>
      </c>
      <c r="T114" s="1">
        <v>80</v>
      </c>
      <c r="U114" s="1"/>
      <c r="V114" s="1"/>
      <c r="W114" s="1">
        <f t="shared" si="27"/>
        <v>28.129000000000001</v>
      </c>
      <c r="X114" s="5">
        <v>120</v>
      </c>
      <c r="Y114" s="5">
        <f t="shared" si="19"/>
        <v>120</v>
      </c>
      <c r="Z114" s="5"/>
      <c r="AA114" s="1">
        <f t="shared" si="20"/>
        <v>6.8579046535603823</v>
      </c>
      <c r="AB114" s="1">
        <f t="shared" si="21"/>
        <v>2.5918447154182518</v>
      </c>
      <c r="AC114" s="1">
        <v>43.2318</v>
      </c>
      <c r="AD114" s="1">
        <v>47.453200000000002</v>
      </c>
      <c r="AE114" s="1">
        <v>41.672199999999997</v>
      </c>
      <c r="AF114" s="1">
        <v>33.958799999999997</v>
      </c>
      <c r="AG114" s="1">
        <v>31.296800000000001</v>
      </c>
      <c r="AH114" s="1">
        <v>35.985399999999998</v>
      </c>
      <c r="AI114" s="1">
        <v>43.4876</v>
      </c>
      <c r="AJ114" s="1">
        <v>38.700800000000001</v>
      </c>
      <c r="AK114" s="1"/>
      <c r="AL114" s="1">
        <f t="shared" si="22"/>
        <v>120</v>
      </c>
      <c r="AM114" s="1">
        <f t="shared" si="23"/>
        <v>0</v>
      </c>
      <c r="AN114">
        <f t="shared" si="24"/>
        <v>28.129000000000001</v>
      </c>
    </row>
    <row r="115" spans="1:40" x14ac:dyDescent="0.25">
      <c r="A115" s="1" t="s">
        <v>173</v>
      </c>
      <c r="B115" s="1" t="s">
        <v>43</v>
      </c>
      <c r="C115" s="1">
        <v>49</v>
      </c>
      <c r="D115" s="1">
        <v>6</v>
      </c>
      <c r="E115" s="1">
        <v>42</v>
      </c>
      <c r="F115" s="1">
        <v>6</v>
      </c>
      <c r="G115" s="7">
        <v>0.3</v>
      </c>
      <c r="H115" s="1">
        <v>45</v>
      </c>
      <c r="I115" s="1" t="s">
        <v>39</v>
      </c>
      <c r="J115" s="1"/>
      <c r="K115" s="1">
        <v>134</v>
      </c>
      <c r="L115" s="1">
        <f t="shared" si="25"/>
        <v>-92</v>
      </c>
      <c r="M115" s="1">
        <f t="shared" si="26"/>
        <v>42</v>
      </c>
      <c r="N115" s="1"/>
      <c r="O115" s="1"/>
      <c r="P115" s="1"/>
      <c r="Q115" s="1"/>
      <c r="R115" s="1"/>
      <c r="S115" s="1"/>
      <c r="T115" s="1">
        <v>13</v>
      </c>
      <c r="U115" s="1"/>
      <c r="V115" s="1"/>
      <c r="W115" s="1">
        <f t="shared" si="27"/>
        <v>8.4</v>
      </c>
      <c r="X115" s="5">
        <f>8*W115-T115-S115-R115-Q115-P115-O115-F115</f>
        <v>48.2</v>
      </c>
      <c r="Y115" s="5">
        <f t="shared" si="19"/>
        <v>48.2</v>
      </c>
      <c r="Z115" s="5"/>
      <c r="AA115" s="1">
        <f t="shared" si="20"/>
        <v>8</v>
      </c>
      <c r="AB115" s="1">
        <f t="shared" si="21"/>
        <v>2.2619047619047619</v>
      </c>
      <c r="AC115" s="1">
        <v>2</v>
      </c>
      <c r="AD115" s="1">
        <v>2</v>
      </c>
      <c r="AE115" s="1">
        <v>3.2</v>
      </c>
      <c r="AF115" s="1">
        <v>4</v>
      </c>
      <c r="AG115" s="1">
        <v>3.8</v>
      </c>
      <c r="AH115" s="1">
        <v>7.4</v>
      </c>
      <c r="AI115" s="1">
        <v>15.4</v>
      </c>
      <c r="AJ115" s="1">
        <v>15.2</v>
      </c>
      <c r="AK115" s="1"/>
      <c r="AL115" s="1">
        <f t="shared" si="22"/>
        <v>14</v>
      </c>
      <c r="AM115" s="1">
        <f t="shared" si="23"/>
        <v>0</v>
      </c>
      <c r="AN115">
        <f t="shared" si="24"/>
        <v>2.52</v>
      </c>
    </row>
    <row r="116" spans="1:40" x14ac:dyDescent="0.25">
      <c r="A116" s="1" t="s">
        <v>174</v>
      </c>
      <c r="B116" s="1" t="s">
        <v>38</v>
      </c>
      <c r="C116" s="1">
        <v>19.491</v>
      </c>
      <c r="D116" s="1">
        <v>2.7040000000000002</v>
      </c>
      <c r="E116" s="1">
        <v>1.3839999999999999</v>
      </c>
      <c r="F116" s="1">
        <v>18.106999999999999</v>
      </c>
      <c r="G116" s="7">
        <v>1</v>
      </c>
      <c r="H116" s="1">
        <v>55</v>
      </c>
      <c r="I116" s="1" t="s">
        <v>39</v>
      </c>
      <c r="J116" s="1"/>
      <c r="K116" s="1">
        <v>5.2</v>
      </c>
      <c r="L116" s="1">
        <f t="shared" si="25"/>
        <v>-3.8160000000000003</v>
      </c>
      <c r="M116" s="1">
        <f t="shared" si="26"/>
        <v>1.3839999999999999</v>
      </c>
      <c r="N116" s="1"/>
      <c r="O116" s="1"/>
      <c r="P116" s="1"/>
      <c r="Q116" s="1"/>
      <c r="R116" s="1"/>
      <c r="S116" s="1"/>
      <c r="T116" s="1">
        <v>0</v>
      </c>
      <c r="U116" s="1"/>
      <c r="V116" s="1"/>
      <c r="W116" s="1">
        <f t="shared" si="27"/>
        <v>0.27679999999999999</v>
      </c>
      <c r="X116" s="5"/>
      <c r="Y116" s="5">
        <f t="shared" si="19"/>
        <v>0</v>
      </c>
      <c r="Z116" s="5"/>
      <c r="AA116" s="1">
        <f t="shared" si="20"/>
        <v>65.415462427745666</v>
      </c>
      <c r="AB116" s="1">
        <f t="shared" si="21"/>
        <v>65.415462427745666</v>
      </c>
      <c r="AC116" s="1">
        <v>0.55199999999999994</v>
      </c>
      <c r="AD116" s="1">
        <v>0.55199999999999994</v>
      </c>
      <c r="AE116" s="1">
        <v>0</v>
      </c>
      <c r="AF116" s="1">
        <v>0</v>
      </c>
      <c r="AG116" s="1">
        <v>0</v>
      </c>
      <c r="AH116" s="1">
        <v>0.82919999999999994</v>
      </c>
      <c r="AI116" s="1">
        <v>1.1052</v>
      </c>
      <c r="AJ116" s="1">
        <v>0.27600000000000002</v>
      </c>
      <c r="AK116" s="14" t="s">
        <v>74</v>
      </c>
      <c r="AL116" s="1">
        <f t="shared" si="22"/>
        <v>0</v>
      </c>
      <c r="AM116" s="1">
        <f t="shared" si="23"/>
        <v>0</v>
      </c>
      <c r="AN116">
        <f t="shared" si="24"/>
        <v>0.27679999999999999</v>
      </c>
    </row>
    <row r="117" spans="1:40" x14ac:dyDescent="0.25">
      <c r="A117" s="1" t="s">
        <v>175</v>
      </c>
      <c r="B117" s="1" t="s">
        <v>43</v>
      </c>
      <c r="C117" s="1">
        <v>462</v>
      </c>
      <c r="D117" s="1">
        <v>68</v>
      </c>
      <c r="E117" s="1">
        <v>364</v>
      </c>
      <c r="F117" s="1">
        <v>86</v>
      </c>
      <c r="G117" s="7">
        <v>0.28000000000000003</v>
      </c>
      <c r="H117" s="1">
        <v>40</v>
      </c>
      <c r="I117" s="13" t="s">
        <v>52</v>
      </c>
      <c r="J117" s="1"/>
      <c r="K117" s="1">
        <v>627</v>
      </c>
      <c r="L117" s="1">
        <f t="shared" si="25"/>
        <v>-263</v>
      </c>
      <c r="M117" s="1">
        <f t="shared" si="26"/>
        <v>364</v>
      </c>
      <c r="N117" s="1"/>
      <c r="O117" s="1">
        <v>240.76409906057151</v>
      </c>
      <c r="P117" s="1">
        <v>-241</v>
      </c>
      <c r="Q117" s="1"/>
      <c r="R117" s="1">
        <v>154.30388171428561</v>
      </c>
      <c r="S117" s="1">
        <v>-156</v>
      </c>
      <c r="T117" s="1">
        <v>308.60776342857127</v>
      </c>
      <c r="U117" s="1"/>
      <c r="V117" s="1"/>
      <c r="W117" s="1">
        <f t="shared" si="27"/>
        <v>72.8</v>
      </c>
      <c r="X117" s="5">
        <v>200</v>
      </c>
      <c r="Y117" s="5">
        <f t="shared" si="19"/>
        <v>200</v>
      </c>
      <c r="Z117" s="5"/>
      <c r="AA117" s="1">
        <f t="shared" si="20"/>
        <v>8.1411503324646759</v>
      </c>
      <c r="AB117" s="1">
        <f t="shared" si="21"/>
        <v>5.3938975852119286</v>
      </c>
      <c r="AC117" s="1">
        <v>76.599999999999994</v>
      </c>
      <c r="AD117" s="1">
        <v>78.2</v>
      </c>
      <c r="AE117" s="1">
        <v>70.2</v>
      </c>
      <c r="AF117" s="1">
        <v>72</v>
      </c>
      <c r="AG117" s="1">
        <v>68.400000000000006</v>
      </c>
      <c r="AH117" s="1">
        <v>58.2</v>
      </c>
      <c r="AI117" s="1">
        <v>83.8</v>
      </c>
      <c r="AJ117" s="1">
        <v>89</v>
      </c>
      <c r="AK117" s="1"/>
      <c r="AL117" s="1">
        <f t="shared" si="22"/>
        <v>56</v>
      </c>
      <c r="AM117" s="1">
        <f t="shared" si="23"/>
        <v>0</v>
      </c>
      <c r="AN117">
        <f t="shared" si="24"/>
        <v>20.384</v>
      </c>
    </row>
    <row r="118" spans="1:40" x14ac:dyDescent="0.25">
      <c r="A118" s="1" t="s">
        <v>176</v>
      </c>
      <c r="B118" s="1" t="s">
        <v>43</v>
      </c>
      <c r="C118" s="1">
        <v>-3.274</v>
      </c>
      <c r="D118" s="1">
        <v>6</v>
      </c>
      <c r="E118" s="1">
        <v>-4</v>
      </c>
      <c r="F118" s="1">
        <v>-5.274</v>
      </c>
      <c r="G118" s="7">
        <v>0.28000000000000003</v>
      </c>
      <c r="H118" s="1">
        <v>40</v>
      </c>
      <c r="I118" s="13" t="s">
        <v>52</v>
      </c>
      <c r="J118" s="1"/>
      <c r="K118" s="1">
        <v>150</v>
      </c>
      <c r="L118" s="1">
        <f t="shared" si="25"/>
        <v>-154</v>
      </c>
      <c r="M118" s="1">
        <f t="shared" si="26"/>
        <v>-4</v>
      </c>
      <c r="N118" s="1"/>
      <c r="O118" s="1"/>
      <c r="P118" s="1"/>
      <c r="Q118" s="1"/>
      <c r="R118" s="1">
        <v>75</v>
      </c>
      <c r="S118" s="1">
        <v>-77.999999999999986</v>
      </c>
      <c r="T118" s="1">
        <v>150</v>
      </c>
      <c r="U118" s="1"/>
      <c r="V118" s="1"/>
      <c r="W118" s="1">
        <f t="shared" si="27"/>
        <v>-0.8</v>
      </c>
      <c r="X118" s="5">
        <v>150</v>
      </c>
      <c r="Y118" s="5">
        <f t="shared" si="19"/>
        <v>150</v>
      </c>
      <c r="Z118" s="5"/>
      <c r="AA118" s="1">
        <f t="shared" si="20"/>
        <v>-364.65749999999997</v>
      </c>
      <c r="AB118" s="1">
        <f t="shared" si="21"/>
        <v>-177.1575</v>
      </c>
      <c r="AC118" s="1">
        <v>22.8</v>
      </c>
      <c r="AD118" s="1">
        <v>22.8</v>
      </c>
      <c r="AE118" s="1">
        <v>68.2</v>
      </c>
      <c r="AF118" s="1">
        <v>81.8</v>
      </c>
      <c r="AG118" s="1">
        <v>56.2</v>
      </c>
      <c r="AH118" s="1">
        <v>63.6</v>
      </c>
      <c r="AI118" s="1">
        <v>109</v>
      </c>
      <c r="AJ118" s="1">
        <v>91.4</v>
      </c>
      <c r="AK118" s="1"/>
      <c r="AL118" s="1">
        <f t="shared" si="22"/>
        <v>42</v>
      </c>
      <c r="AM118" s="1">
        <f t="shared" si="23"/>
        <v>0</v>
      </c>
      <c r="AN118">
        <f t="shared" si="24"/>
        <v>-0.22400000000000003</v>
      </c>
    </row>
    <row r="119" spans="1:40" x14ac:dyDescent="0.25">
      <c r="A119" s="1" t="s">
        <v>177</v>
      </c>
      <c r="B119" s="1" t="s">
        <v>43</v>
      </c>
      <c r="C119" s="1">
        <v>235.5</v>
      </c>
      <c r="D119" s="1">
        <v>351</v>
      </c>
      <c r="E119" s="1">
        <v>502</v>
      </c>
      <c r="F119" s="1">
        <v>5.5</v>
      </c>
      <c r="G119" s="7">
        <v>0.28000000000000003</v>
      </c>
      <c r="H119" s="1">
        <v>40</v>
      </c>
      <c r="I119" s="13" t="s">
        <v>52</v>
      </c>
      <c r="J119" s="1"/>
      <c r="K119" s="1">
        <v>924</v>
      </c>
      <c r="L119" s="1">
        <f t="shared" si="25"/>
        <v>-422</v>
      </c>
      <c r="M119" s="1">
        <f t="shared" si="26"/>
        <v>502</v>
      </c>
      <c r="N119" s="1"/>
      <c r="O119" s="1"/>
      <c r="P119" s="1"/>
      <c r="Q119" s="1"/>
      <c r="R119" s="1">
        <v>125</v>
      </c>
      <c r="S119" s="1">
        <v>-126</v>
      </c>
      <c r="T119" s="1">
        <v>250</v>
      </c>
      <c r="U119" s="1"/>
      <c r="V119" s="1"/>
      <c r="W119" s="1">
        <f t="shared" si="27"/>
        <v>100.4</v>
      </c>
      <c r="X119" s="5">
        <v>300</v>
      </c>
      <c r="Y119" s="5">
        <f t="shared" si="19"/>
        <v>300</v>
      </c>
      <c r="Z119" s="5"/>
      <c r="AA119" s="1">
        <f t="shared" si="20"/>
        <v>5.5229083665338639</v>
      </c>
      <c r="AB119" s="1">
        <f t="shared" si="21"/>
        <v>2.534860557768924</v>
      </c>
      <c r="AC119" s="1">
        <v>109.2</v>
      </c>
      <c r="AD119" s="1">
        <v>110.4</v>
      </c>
      <c r="AE119" s="1">
        <v>107.2</v>
      </c>
      <c r="AF119" s="1">
        <v>111.6</v>
      </c>
      <c r="AG119" s="1">
        <v>111.6</v>
      </c>
      <c r="AH119" s="1">
        <v>95.6</v>
      </c>
      <c r="AI119" s="1">
        <v>123.2</v>
      </c>
      <c r="AJ119" s="1">
        <v>137</v>
      </c>
      <c r="AK119" s="1"/>
      <c r="AL119" s="1">
        <f t="shared" si="22"/>
        <v>84</v>
      </c>
      <c r="AM119" s="1">
        <f t="shared" si="23"/>
        <v>0</v>
      </c>
      <c r="AN119">
        <f t="shared" si="24"/>
        <v>28.112000000000005</v>
      </c>
    </row>
    <row r="120" spans="1:40" x14ac:dyDescent="0.25">
      <c r="A120" s="1" t="s">
        <v>178</v>
      </c>
      <c r="B120" s="1" t="s">
        <v>43</v>
      </c>
      <c r="C120" s="1">
        <v>63</v>
      </c>
      <c r="D120" s="1">
        <v>274</v>
      </c>
      <c r="E120" s="1">
        <v>164</v>
      </c>
      <c r="F120" s="1">
        <v>107</v>
      </c>
      <c r="G120" s="7">
        <v>0.09</v>
      </c>
      <c r="H120" s="1">
        <v>45</v>
      </c>
      <c r="I120" s="16" t="s">
        <v>46</v>
      </c>
      <c r="J120" s="1"/>
      <c r="K120" s="1">
        <v>327</v>
      </c>
      <c r="L120" s="1">
        <f t="shared" si="25"/>
        <v>-163</v>
      </c>
      <c r="M120" s="1">
        <f t="shared" si="26"/>
        <v>164</v>
      </c>
      <c r="N120" s="1"/>
      <c r="O120" s="1"/>
      <c r="P120" s="1"/>
      <c r="Q120" s="1"/>
      <c r="R120" s="1"/>
      <c r="S120" s="1"/>
      <c r="T120" s="1">
        <v>794.22</v>
      </c>
      <c r="U120" s="1"/>
      <c r="V120" s="1"/>
      <c r="W120" s="1">
        <f t="shared" si="27"/>
        <v>32.799999999999997</v>
      </c>
      <c r="X120" s="5"/>
      <c r="Y120" s="5">
        <f t="shared" si="19"/>
        <v>0</v>
      </c>
      <c r="Z120" s="5"/>
      <c r="AA120" s="1">
        <f t="shared" si="20"/>
        <v>27.476219512195126</v>
      </c>
      <c r="AB120" s="1">
        <f t="shared" si="21"/>
        <v>27.476219512195126</v>
      </c>
      <c r="AC120" s="1">
        <v>20.2</v>
      </c>
      <c r="AD120" s="1">
        <v>22.8</v>
      </c>
      <c r="AE120" s="1">
        <v>17.399999999999999</v>
      </c>
      <c r="AF120" s="1">
        <v>12.2</v>
      </c>
      <c r="AG120" s="1">
        <v>15.6</v>
      </c>
      <c r="AH120" s="1">
        <v>14.2</v>
      </c>
      <c r="AI120" s="1">
        <v>12.2</v>
      </c>
      <c r="AJ120" s="1">
        <v>13.2</v>
      </c>
      <c r="AK120" s="1" t="s">
        <v>179</v>
      </c>
      <c r="AL120" s="1">
        <f t="shared" si="22"/>
        <v>0</v>
      </c>
      <c r="AM120" s="1">
        <f t="shared" si="23"/>
        <v>0</v>
      </c>
      <c r="AN120">
        <f t="shared" si="24"/>
        <v>2.9519999999999995</v>
      </c>
    </row>
    <row r="121" spans="1:40" x14ac:dyDescent="0.25">
      <c r="A121" s="9" t="s">
        <v>180</v>
      </c>
      <c r="B121" s="9" t="s">
        <v>38</v>
      </c>
      <c r="C121" s="9">
        <v>-0.09</v>
      </c>
      <c r="D121" s="9"/>
      <c r="E121" s="9"/>
      <c r="F121" s="9">
        <v>-0.09</v>
      </c>
      <c r="G121" s="10">
        <v>0</v>
      </c>
      <c r="H121" s="9">
        <v>55</v>
      </c>
      <c r="I121" s="9" t="s">
        <v>55</v>
      </c>
      <c r="J121" s="9"/>
      <c r="K121" s="9"/>
      <c r="L121" s="9">
        <f t="shared" si="25"/>
        <v>0</v>
      </c>
      <c r="M121" s="9">
        <f t="shared" si="26"/>
        <v>0</v>
      </c>
      <c r="N121" s="9"/>
      <c r="O121" s="9"/>
      <c r="P121" s="9"/>
      <c r="Q121" s="9"/>
      <c r="R121" s="9"/>
      <c r="S121" s="9"/>
      <c r="T121" s="9">
        <v>0</v>
      </c>
      <c r="U121" s="9"/>
      <c r="V121" s="9"/>
      <c r="W121" s="9">
        <f t="shared" si="27"/>
        <v>0</v>
      </c>
      <c r="X121" s="11"/>
      <c r="Y121" s="5">
        <f t="shared" si="19"/>
        <v>0</v>
      </c>
      <c r="Z121" s="5"/>
      <c r="AA121" s="1" t="e">
        <f t="shared" si="20"/>
        <v>#DIV/0!</v>
      </c>
      <c r="AB121" s="1" t="e">
        <f t="shared" si="21"/>
        <v>#DIV/0!</v>
      </c>
      <c r="AC121" s="9">
        <v>0</v>
      </c>
      <c r="AD121" s="9">
        <v>0</v>
      </c>
      <c r="AE121" s="9">
        <v>0</v>
      </c>
      <c r="AF121" s="9">
        <v>2.1854</v>
      </c>
      <c r="AG121" s="9">
        <v>2.1854</v>
      </c>
      <c r="AH121" s="9">
        <v>1.3512</v>
      </c>
      <c r="AI121" s="9">
        <v>2.4342000000000001</v>
      </c>
      <c r="AJ121" s="9">
        <v>1.6259999999999999</v>
      </c>
      <c r="AK121" s="9"/>
      <c r="AL121" s="1">
        <f t="shared" si="22"/>
        <v>0</v>
      </c>
      <c r="AM121" s="1">
        <f t="shared" si="23"/>
        <v>0</v>
      </c>
      <c r="AN121">
        <f t="shared" si="24"/>
        <v>0</v>
      </c>
    </row>
    <row r="122" spans="1:40" x14ac:dyDescent="0.25">
      <c r="A122" s="1" t="s">
        <v>181</v>
      </c>
      <c r="B122" s="1" t="s">
        <v>38</v>
      </c>
      <c r="C122" s="1">
        <v>107.803</v>
      </c>
      <c r="D122" s="1"/>
      <c r="E122" s="1">
        <v>49.853000000000002</v>
      </c>
      <c r="F122" s="1">
        <v>57.95</v>
      </c>
      <c r="G122" s="7">
        <v>1</v>
      </c>
      <c r="H122" s="1">
        <v>60</v>
      </c>
      <c r="I122" s="1" t="s">
        <v>39</v>
      </c>
      <c r="J122" s="1"/>
      <c r="K122" s="1">
        <v>50</v>
      </c>
      <c r="L122" s="1">
        <f t="shared" si="25"/>
        <v>-0.14699999999999847</v>
      </c>
      <c r="M122" s="1">
        <f t="shared" si="26"/>
        <v>49.853000000000002</v>
      </c>
      <c r="N122" s="1"/>
      <c r="O122" s="1"/>
      <c r="P122" s="1"/>
      <c r="Q122" s="1"/>
      <c r="R122" s="1"/>
      <c r="S122" s="1"/>
      <c r="T122" s="1">
        <v>0</v>
      </c>
      <c r="U122" s="1"/>
      <c r="V122" s="1"/>
      <c r="W122" s="1">
        <f t="shared" si="27"/>
        <v>9.970600000000001</v>
      </c>
      <c r="X122" s="5">
        <f>11*W122-T122-S122-R122-Q122-P122-O122-F122</f>
        <v>51.726600000000005</v>
      </c>
      <c r="Y122" s="5">
        <f t="shared" si="19"/>
        <v>51.726600000000005</v>
      </c>
      <c r="Z122" s="5"/>
      <c r="AA122" s="1">
        <f t="shared" si="20"/>
        <v>11</v>
      </c>
      <c r="AB122" s="1">
        <f t="shared" si="21"/>
        <v>5.8120875373598375</v>
      </c>
      <c r="AC122" s="1">
        <v>5.4567999999999994</v>
      </c>
      <c r="AD122" s="1">
        <v>5.4567999999999994</v>
      </c>
      <c r="AE122" s="1">
        <v>8.9201999999999995</v>
      </c>
      <c r="AF122" s="1">
        <v>6.9382000000000001</v>
      </c>
      <c r="AG122" s="1">
        <v>6.2747999999999999</v>
      </c>
      <c r="AH122" s="1">
        <v>10.271599999999999</v>
      </c>
      <c r="AI122" s="1">
        <v>16.718</v>
      </c>
      <c r="AJ122" s="1">
        <v>14.504</v>
      </c>
      <c r="AK122" s="1"/>
      <c r="AL122" s="1">
        <f t="shared" si="22"/>
        <v>52</v>
      </c>
      <c r="AM122" s="1">
        <f t="shared" si="23"/>
        <v>0</v>
      </c>
      <c r="AN122">
        <f t="shared" si="24"/>
        <v>9.970600000000001</v>
      </c>
    </row>
    <row r="123" spans="1:40" x14ac:dyDescent="0.25">
      <c r="A123" s="1" t="s">
        <v>182</v>
      </c>
      <c r="B123" s="1" t="s">
        <v>38</v>
      </c>
      <c r="C123" s="1">
        <v>38.676000000000002</v>
      </c>
      <c r="D123" s="1"/>
      <c r="E123" s="1">
        <v>17.443000000000001</v>
      </c>
      <c r="F123" s="1">
        <v>21.233000000000001</v>
      </c>
      <c r="G123" s="7">
        <v>1</v>
      </c>
      <c r="H123" s="1">
        <v>50</v>
      </c>
      <c r="I123" s="1" t="s">
        <v>39</v>
      </c>
      <c r="J123" s="1"/>
      <c r="K123" s="1">
        <v>17.5</v>
      </c>
      <c r="L123" s="1">
        <f t="shared" si="25"/>
        <v>-5.6999999999998607E-2</v>
      </c>
      <c r="M123" s="1">
        <f t="shared" si="26"/>
        <v>17.443000000000001</v>
      </c>
      <c r="N123" s="1"/>
      <c r="O123" s="1"/>
      <c r="P123" s="1"/>
      <c r="Q123" s="1"/>
      <c r="R123" s="1"/>
      <c r="S123" s="1"/>
      <c r="T123" s="1">
        <v>0</v>
      </c>
      <c r="U123" s="1"/>
      <c r="V123" s="1"/>
      <c r="W123" s="1">
        <f t="shared" si="27"/>
        <v>3.4886000000000004</v>
      </c>
      <c r="X123" s="5">
        <f>11*W123-T123-S123-R123-Q123-P123-O123-F123</f>
        <v>17.1416</v>
      </c>
      <c r="Y123" s="5">
        <f t="shared" si="19"/>
        <v>17.1416</v>
      </c>
      <c r="Z123" s="5"/>
      <c r="AA123" s="1">
        <f t="shared" si="20"/>
        <v>10.999999999999998</v>
      </c>
      <c r="AB123" s="1">
        <f t="shared" si="21"/>
        <v>6.0863956888149966</v>
      </c>
      <c r="AC123" s="1">
        <v>2.4849999999999999</v>
      </c>
      <c r="AD123" s="1">
        <v>2.4849999999999999</v>
      </c>
      <c r="AE123" s="1">
        <v>3.984</v>
      </c>
      <c r="AF123" s="1">
        <v>3.3889999999999998</v>
      </c>
      <c r="AG123" s="1">
        <v>4.8133999999999997</v>
      </c>
      <c r="AH123" s="1">
        <v>2.9209999999999998</v>
      </c>
      <c r="AI123" s="1">
        <v>5.9039999999999999</v>
      </c>
      <c r="AJ123" s="1">
        <v>10.317399999999999</v>
      </c>
      <c r="AK123" s="1"/>
      <c r="AL123" s="1">
        <f t="shared" si="22"/>
        <v>17</v>
      </c>
      <c r="AM123" s="1">
        <f t="shared" si="23"/>
        <v>0</v>
      </c>
      <c r="AN123">
        <f t="shared" si="24"/>
        <v>3.4886000000000004</v>
      </c>
    </row>
    <row r="124" spans="1:40" x14ac:dyDescent="0.25">
      <c r="A124" s="1" t="s">
        <v>183</v>
      </c>
      <c r="B124" s="1" t="s">
        <v>43</v>
      </c>
      <c r="C124" s="1">
        <v>324</v>
      </c>
      <c r="D124" s="1"/>
      <c r="E124" s="1">
        <v>193</v>
      </c>
      <c r="F124" s="1">
        <v>131</v>
      </c>
      <c r="G124" s="7">
        <v>0.09</v>
      </c>
      <c r="H124" s="1">
        <v>45</v>
      </c>
      <c r="I124" s="16" t="s">
        <v>46</v>
      </c>
      <c r="J124" s="1"/>
      <c r="K124" s="1">
        <v>193</v>
      </c>
      <c r="L124" s="1">
        <f t="shared" si="25"/>
        <v>0</v>
      </c>
      <c r="M124" s="1">
        <f t="shared" si="26"/>
        <v>193</v>
      </c>
      <c r="N124" s="1"/>
      <c r="O124" s="1"/>
      <c r="P124" s="1"/>
      <c r="Q124" s="1"/>
      <c r="R124" s="1"/>
      <c r="S124" s="1"/>
      <c r="T124" s="1">
        <v>400</v>
      </c>
      <c r="U124" s="1"/>
      <c r="V124" s="1"/>
      <c r="W124" s="1">
        <f t="shared" si="27"/>
        <v>38.6</v>
      </c>
      <c r="X124" s="5"/>
      <c r="Y124" s="5">
        <f t="shared" si="19"/>
        <v>0</v>
      </c>
      <c r="Z124" s="5"/>
      <c r="AA124" s="1">
        <f t="shared" si="20"/>
        <v>13.756476683937823</v>
      </c>
      <c r="AB124" s="1">
        <f t="shared" si="21"/>
        <v>13.756476683937823</v>
      </c>
      <c r="AC124" s="1">
        <v>11</v>
      </c>
      <c r="AD124" s="1">
        <v>11</v>
      </c>
      <c r="AE124" s="1">
        <v>11.2</v>
      </c>
      <c r="AF124" s="1">
        <v>16.2</v>
      </c>
      <c r="AG124" s="1">
        <v>19.399999999999999</v>
      </c>
      <c r="AH124" s="1">
        <v>14.4</v>
      </c>
      <c r="AI124" s="1">
        <v>11.6</v>
      </c>
      <c r="AJ124" s="1">
        <v>13.8</v>
      </c>
      <c r="AK124" s="1" t="s">
        <v>184</v>
      </c>
      <c r="AL124" s="1">
        <f t="shared" si="22"/>
        <v>0</v>
      </c>
      <c r="AM124" s="1">
        <f t="shared" si="23"/>
        <v>0</v>
      </c>
      <c r="AN124">
        <f t="shared" si="24"/>
        <v>3.4740000000000002</v>
      </c>
    </row>
    <row r="125" spans="1:40" x14ac:dyDescent="0.25">
      <c r="A125" s="1" t="s">
        <v>185</v>
      </c>
      <c r="B125" s="1" t="s">
        <v>43</v>
      </c>
      <c r="C125" s="1">
        <v>270</v>
      </c>
      <c r="D125" s="1">
        <v>52</v>
      </c>
      <c r="E125" s="1">
        <v>191</v>
      </c>
      <c r="F125" s="1">
        <v>122</v>
      </c>
      <c r="G125" s="7">
        <v>0.09</v>
      </c>
      <c r="H125" s="1">
        <v>45</v>
      </c>
      <c r="I125" s="16" t="s">
        <v>46</v>
      </c>
      <c r="J125" s="1"/>
      <c r="K125" s="1">
        <v>193</v>
      </c>
      <c r="L125" s="1">
        <f t="shared" si="25"/>
        <v>-2</v>
      </c>
      <c r="M125" s="1">
        <f t="shared" si="26"/>
        <v>191</v>
      </c>
      <c r="N125" s="1"/>
      <c r="O125" s="1"/>
      <c r="P125" s="1"/>
      <c r="Q125" s="1"/>
      <c r="R125" s="1"/>
      <c r="S125" s="1"/>
      <c r="T125" s="1">
        <v>500</v>
      </c>
      <c r="U125" s="1"/>
      <c r="V125" s="1"/>
      <c r="W125" s="1">
        <f t="shared" si="27"/>
        <v>38.200000000000003</v>
      </c>
      <c r="X125" s="5"/>
      <c r="Y125" s="5">
        <f t="shared" si="19"/>
        <v>0</v>
      </c>
      <c r="Z125" s="5"/>
      <c r="AA125" s="1">
        <f t="shared" si="20"/>
        <v>16.282722513089006</v>
      </c>
      <c r="AB125" s="1">
        <f t="shared" si="21"/>
        <v>16.282722513089006</v>
      </c>
      <c r="AC125" s="1">
        <v>16.399999999999999</v>
      </c>
      <c r="AD125" s="1">
        <v>16.399999999999999</v>
      </c>
      <c r="AE125" s="1">
        <v>18.8</v>
      </c>
      <c r="AF125" s="1">
        <v>15.4</v>
      </c>
      <c r="AG125" s="1">
        <v>16.2</v>
      </c>
      <c r="AH125" s="1">
        <v>9</v>
      </c>
      <c r="AI125" s="1">
        <v>10.199999999999999</v>
      </c>
      <c r="AJ125" s="1">
        <v>17.399999999999999</v>
      </c>
      <c r="AK125" s="1" t="s">
        <v>157</v>
      </c>
      <c r="AL125" s="1">
        <f t="shared" si="22"/>
        <v>0</v>
      </c>
      <c r="AM125" s="1">
        <f t="shared" si="23"/>
        <v>0</v>
      </c>
      <c r="AN125">
        <f t="shared" si="24"/>
        <v>3.4380000000000002</v>
      </c>
    </row>
    <row r="126" spans="1:40" x14ac:dyDescent="0.25">
      <c r="A126" s="1" t="s">
        <v>186</v>
      </c>
      <c r="B126" s="1" t="s">
        <v>38</v>
      </c>
      <c r="C126" s="1">
        <v>47.866</v>
      </c>
      <c r="D126" s="1">
        <v>347.90699999999998</v>
      </c>
      <c r="E126" s="1">
        <v>120.075</v>
      </c>
      <c r="F126" s="1">
        <v>258.87</v>
      </c>
      <c r="G126" s="7">
        <v>1</v>
      </c>
      <c r="H126" s="1">
        <v>60</v>
      </c>
      <c r="I126" s="1" t="s">
        <v>39</v>
      </c>
      <c r="J126" s="1"/>
      <c r="K126" s="1">
        <v>126.88200000000001</v>
      </c>
      <c r="L126" s="1">
        <f t="shared" si="25"/>
        <v>-6.8070000000000022</v>
      </c>
      <c r="M126" s="1">
        <f t="shared" si="26"/>
        <v>120.075</v>
      </c>
      <c r="N126" s="1"/>
      <c r="O126" s="1"/>
      <c r="P126" s="1"/>
      <c r="Q126" s="1"/>
      <c r="R126" s="1"/>
      <c r="S126" s="1"/>
      <c r="T126" s="1">
        <v>0</v>
      </c>
      <c r="U126" s="1"/>
      <c r="V126" s="1"/>
      <c r="W126" s="1">
        <f t="shared" si="27"/>
        <v>24.015000000000001</v>
      </c>
      <c r="X126" s="5"/>
      <c r="Y126" s="5">
        <f t="shared" si="19"/>
        <v>0</v>
      </c>
      <c r="Z126" s="5"/>
      <c r="AA126" s="1">
        <f t="shared" si="20"/>
        <v>10.779512804497189</v>
      </c>
      <c r="AB126" s="1">
        <f t="shared" si="21"/>
        <v>10.779512804497189</v>
      </c>
      <c r="AC126" s="1">
        <v>15.4374</v>
      </c>
      <c r="AD126" s="1">
        <v>15.4374</v>
      </c>
      <c r="AE126" s="1">
        <v>20.627600000000001</v>
      </c>
      <c r="AF126" s="1">
        <v>16.761399999999998</v>
      </c>
      <c r="AG126" s="1">
        <v>9.4372000000000007</v>
      </c>
      <c r="AH126" s="1">
        <v>6.8977999999999993</v>
      </c>
      <c r="AI126" s="1">
        <v>9.4394000000000009</v>
      </c>
      <c r="AJ126" s="1">
        <v>15.491400000000001</v>
      </c>
      <c r="AK126" s="17" t="s">
        <v>187</v>
      </c>
      <c r="AL126" s="1">
        <f t="shared" si="22"/>
        <v>0</v>
      </c>
      <c r="AM126" s="1">
        <f t="shared" si="23"/>
        <v>0</v>
      </c>
      <c r="AN126">
        <f t="shared" si="24"/>
        <v>24.015000000000001</v>
      </c>
    </row>
    <row r="127" spans="1:40" x14ac:dyDescent="0.25">
      <c r="A127" s="1" t="s">
        <v>188</v>
      </c>
      <c r="B127" s="1" t="s">
        <v>38</v>
      </c>
      <c r="C127" s="1">
        <v>89.947000000000003</v>
      </c>
      <c r="D127" s="1">
        <v>1800.9449999999999</v>
      </c>
      <c r="E127" s="1">
        <v>567.15700000000004</v>
      </c>
      <c r="F127" s="1">
        <v>1249.9690000000001</v>
      </c>
      <c r="G127" s="7">
        <v>1</v>
      </c>
      <c r="H127" s="1">
        <v>60</v>
      </c>
      <c r="I127" s="1" t="s">
        <v>39</v>
      </c>
      <c r="J127" s="1"/>
      <c r="K127" s="1">
        <v>608</v>
      </c>
      <c r="L127" s="1">
        <f t="shared" si="25"/>
        <v>-40.842999999999961</v>
      </c>
      <c r="M127" s="1">
        <f t="shared" si="26"/>
        <v>567.15700000000004</v>
      </c>
      <c r="N127" s="1"/>
      <c r="O127" s="1"/>
      <c r="P127" s="1"/>
      <c r="Q127" s="1"/>
      <c r="R127" s="1"/>
      <c r="S127" s="1"/>
      <c r="T127" s="1">
        <v>0</v>
      </c>
      <c r="U127" s="1"/>
      <c r="V127" s="1"/>
      <c r="W127" s="1">
        <f t="shared" si="27"/>
        <v>113.43140000000001</v>
      </c>
      <c r="X127" s="5"/>
      <c r="Y127" s="5">
        <f t="shared" si="19"/>
        <v>0</v>
      </c>
      <c r="Z127" s="5"/>
      <c r="AA127" s="1">
        <f t="shared" si="20"/>
        <v>11.019603037606871</v>
      </c>
      <c r="AB127" s="1">
        <f t="shared" si="21"/>
        <v>11.019603037606871</v>
      </c>
      <c r="AC127" s="1">
        <v>129.72380000000001</v>
      </c>
      <c r="AD127" s="1">
        <v>131.09280000000001</v>
      </c>
      <c r="AE127" s="1">
        <v>145.64699999999999</v>
      </c>
      <c r="AF127" s="1">
        <v>115.8732</v>
      </c>
      <c r="AG127" s="1">
        <v>76.514800000000008</v>
      </c>
      <c r="AH127" s="1">
        <v>92.683799999999991</v>
      </c>
      <c r="AI127" s="1">
        <v>121.5682</v>
      </c>
      <c r="AJ127" s="1">
        <v>123.7212</v>
      </c>
      <c r="AK127" s="1"/>
      <c r="AL127" s="1">
        <f t="shared" si="22"/>
        <v>0</v>
      </c>
      <c r="AM127" s="1">
        <f t="shared" si="23"/>
        <v>0</v>
      </c>
      <c r="AN127">
        <f t="shared" si="24"/>
        <v>113.43140000000001</v>
      </c>
    </row>
    <row r="128" spans="1:40" x14ac:dyDescent="0.25">
      <c r="A128" s="1" t="s">
        <v>189</v>
      </c>
      <c r="B128" s="1" t="s">
        <v>38</v>
      </c>
      <c r="C128" s="1">
        <v>171.67500000000001</v>
      </c>
      <c r="D128" s="1">
        <v>8.1739999999999995</v>
      </c>
      <c r="E128" s="1">
        <v>74.790000000000006</v>
      </c>
      <c r="F128" s="1">
        <v>96.587000000000003</v>
      </c>
      <c r="G128" s="7">
        <v>1</v>
      </c>
      <c r="H128" s="1">
        <v>60</v>
      </c>
      <c r="I128" s="1" t="s">
        <v>39</v>
      </c>
      <c r="J128" s="1"/>
      <c r="K128" s="1">
        <v>81.962000000000003</v>
      </c>
      <c r="L128" s="1">
        <f t="shared" si="25"/>
        <v>-7.171999999999997</v>
      </c>
      <c r="M128" s="1">
        <f t="shared" si="26"/>
        <v>74.790000000000006</v>
      </c>
      <c r="N128" s="1"/>
      <c r="O128" s="1"/>
      <c r="P128" s="1"/>
      <c r="Q128" s="1"/>
      <c r="R128" s="1"/>
      <c r="S128" s="1"/>
      <c r="T128" s="1">
        <v>0</v>
      </c>
      <c r="U128" s="1"/>
      <c r="V128" s="1"/>
      <c r="W128" s="1">
        <f t="shared" si="27"/>
        <v>14.958000000000002</v>
      </c>
      <c r="X128" s="5">
        <f>10*W128-T128-S128-R128-Q128-P128-O128-F128</f>
        <v>52.993000000000009</v>
      </c>
      <c r="Y128" s="5">
        <f t="shared" si="19"/>
        <v>52.993000000000009</v>
      </c>
      <c r="Z128" s="5"/>
      <c r="AA128" s="1">
        <f t="shared" si="20"/>
        <v>10</v>
      </c>
      <c r="AB128" s="1">
        <f t="shared" si="21"/>
        <v>6.4572135312207504</v>
      </c>
      <c r="AC128" s="1">
        <v>9.2240000000000002</v>
      </c>
      <c r="AD128" s="1">
        <v>9.2240000000000002</v>
      </c>
      <c r="AE128" s="1">
        <v>16.507400000000001</v>
      </c>
      <c r="AF128" s="1">
        <v>16.0214</v>
      </c>
      <c r="AG128" s="1">
        <v>12.3848</v>
      </c>
      <c r="AH128" s="1">
        <v>9.4190000000000005</v>
      </c>
      <c r="AI128" s="1">
        <v>12.1662</v>
      </c>
      <c r="AJ128" s="1">
        <v>14.089600000000001</v>
      </c>
      <c r="AK128" s="1" t="s">
        <v>190</v>
      </c>
      <c r="AL128" s="1">
        <f t="shared" si="22"/>
        <v>53</v>
      </c>
      <c r="AM128" s="1">
        <f t="shared" si="23"/>
        <v>0</v>
      </c>
      <c r="AN128">
        <f t="shared" si="24"/>
        <v>14.958000000000002</v>
      </c>
    </row>
    <row r="129" spans="1:40" x14ac:dyDescent="0.25">
      <c r="A129" s="1" t="s">
        <v>61</v>
      </c>
      <c r="B129" s="1" t="s">
        <v>38</v>
      </c>
      <c r="C129" s="1">
        <v>1279.047</v>
      </c>
      <c r="D129" s="1">
        <v>1921.91</v>
      </c>
      <c r="E129" s="12">
        <f>894.012+E19</f>
        <v>914.02599999999995</v>
      </c>
      <c r="F129" s="12">
        <f>2234.43+F19</f>
        <v>2206.9369999999999</v>
      </c>
      <c r="G129" s="7">
        <v>1</v>
      </c>
      <c r="H129" s="1">
        <v>60</v>
      </c>
      <c r="I129" s="1" t="s">
        <v>39</v>
      </c>
      <c r="J129" s="1"/>
      <c r="K129" s="1">
        <v>972</v>
      </c>
      <c r="L129" s="1">
        <f t="shared" si="25"/>
        <v>-57.974000000000046</v>
      </c>
      <c r="M129" s="1">
        <f t="shared" si="26"/>
        <v>914.02599999999995</v>
      </c>
      <c r="N129" s="1"/>
      <c r="O129" s="1">
        <v>362.49356808000022</v>
      </c>
      <c r="P129" s="1"/>
      <c r="Q129" s="1">
        <v>200</v>
      </c>
      <c r="R129" s="1"/>
      <c r="S129" s="1"/>
      <c r="T129" s="1">
        <v>629.94173839999985</v>
      </c>
      <c r="U129" s="1"/>
      <c r="V129" s="1"/>
      <c r="W129" s="1">
        <f t="shared" si="27"/>
        <v>182.80519999999999</v>
      </c>
      <c r="X129" s="5"/>
      <c r="Y129" s="5">
        <f t="shared" si="19"/>
        <v>0</v>
      </c>
      <c r="Z129" s="5"/>
      <c r="AA129" s="1">
        <f t="shared" si="20"/>
        <v>18.595599613577733</v>
      </c>
      <c r="AB129" s="1">
        <f t="shared" si="21"/>
        <v>18.595599613577733</v>
      </c>
      <c r="AC129" s="1">
        <v>261.65699999999998</v>
      </c>
      <c r="AD129" s="1">
        <v>263.20299999999997</v>
      </c>
      <c r="AE129" s="1">
        <v>260.8614</v>
      </c>
      <c r="AF129" s="1">
        <v>157.86420000000001</v>
      </c>
      <c r="AG129" s="1">
        <v>170.6746</v>
      </c>
      <c r="AH129" s="1">
        <v>196.4392</v>
      </c>
      <c r="AI129" s="1">
        <v>182.04040000000001</v>
      </c>
      <c r="AJ129" s="1">
        <v>202.87360000000001</v>
      </c>
      <c r="AK129" s="1"/>
      <c r="AL129" s="1">
        <f t="shared" si="22"/>
        <v>0</v>
      </c>
      <c r="AM129" s="1">
        <f t="shared" si="23"/>
        <v>0</v>
      </c>
      <c r="AN129">
        <f t="shared" si="24"/>
        <v>182.80519999999999</v>
      </c>
    </row>
    <row r="130" spans="1:40" x14ac:dyDescent="0.25">
      <c r="A130" s="1" t="s">
        <v>191</v>
      </c>
      <c r="B130" s="1" t="s">
        <v>43</v>
      </c>
      <c r="C130" s="1">
        <v>48</v>
      </c>
      <c r="D130" s="1">
        <v>40</v>
      </c>
      <c r="E130" s="1">
        <v>21</v>
      </c>
      <c r="F130" s="1">
        <v>63</v>
      </c>
      <c r="G130" s="7">
        <v>0.25</v>
      </c>
      <c r="H130" s="1"/>
      <c r="I130" s="13" t="s">
        <v>52</v>
      </c>
      <c r="J130" s="1"/>
      <c r="K130" s="1">
        <v>29</v>
      </c>
      <c r="L130" s="1">
        <f t="shared" si="25"/>
        <v>-8</v>
      </c>
      <c r="M130" s="1">
        <f t="shared" si="26"/>
        <v>21</v>
      </c>
      <c r="N130" s="1"/>
      <c r="O130" s="1"/>
      <c r="P130" s="1"/>
      <c r="Q130" s="1"/>
      <c r="R130" s="1">
        <v>10</v>
      </c>
      <c r="S130" s="1"/>
      <c r="T130" s="1">
        <v>20</v>
      </c>
      <c r="U130" s="1"/>
      <c r="V130" s="1"/>
      <c r="W130" s="1">
        <f t="shared" si="27"/>
        <v>4.2</v>
      </c>
      <c r="X130" s="5"/>
      <c r="Y130" s="5">
        <f t="shared" si="19"/>
        <v>0</v>
      </c>
      <c r="Z130" s="5"/>
      <c r="AA130" s="1">
        <f t="shared" si="20"/>
        <v>22.142857142857142</v>
      </c>
      <c r="AB130" s="1">
        <f t="shared" si="21"/>
        <v>22.142857142857142</v>
      </c>
      <c r="AC130" s="1">
        <v>6.2</v>
      </c>
      <c r="AD130" s="1">
        <v>6.2</v>
      </c>
      <c r="AE130" s="1">
        <v>10.4</v>
      </c>
      <c r="AF130" s="1">
        <v>8.8000000000000007</v>
      </c>
      <c r="AG130" s="1">
        <v>18.600000000000001</v>
      </c>
      <c r="AH130" s="1">
        <v>16.2</v>
      </c>
      <c r="AI130" s="1">
        <v>0</v>
      </c>
      <c r="AJ130" s="1">
        <v>0</v>
      </c>
      <c r="AK130" s="1" t="s">
        <v>192</v>
      </c>
      <c r="AL130" s="1">
        <f t="shared" si="22"/>
        <v>0</v>
      </c>
      <c r="AM130" s="1">
        <f t="shared" si="23"/>
        <v>0</v>
      </c>
      <c r="AN130">
        <f t="shared" si="24"/>
        <v>1.05</v>
      </c>
    </row>
    <row r="131" spans="1:40" x14ac:dyDescent="0.25">
      <c r="A131" s="1" t="s">
        <v>193</v>
      </c>
      <c r="B131" s="1" t="s">
        <v>43</v>
      </c>
      <c r="C131" s="1">
        <v>46</v>
      </c>
      <c r="D131" s="1">
        <v>12</v>
      </c>
      <c r="E131" s="12">
        <f>5+E138</f>
        <v>18</v>
      </c>
      <c r="F131" s="12">
        <f>53+F138</f>
        <v>85</v>
      </c>
      <c r="G131" s="7">
        <v>0.32500000000000001</v>
      </c>
      <c r="H131" s="1"/>
      <c r="I131" s="1" t="s">
        <v>39</v>
      </c>
      <c r="J131" s="1"/>
      <c r="K131" s="1">
        <v>9</v>
      </c>
      <c r="L131" s="1">
        <f t="shared" si="25"/>
        <v>9</v>
      </c>
      <c r="M131" s="1">
        <f t="shared" si="26"/>
        <v>18</v>
      </c>
      <c r="N131" s="1"/>
      <c r="O131" s="1"/>
      <c r="P131" s="1"/>
      <c r="Q131" s="1"/>
      <c r="R131" s="1"/>
      <c r="S131" s="1"/>
      <c r="T131" s="1">
        <v>0</v>
      </c>
      <c r="U131" s="1"/>
      <c r="V131" s="1"/>
      <c r="W131" s="1">
        <f t="shared" si="27"/>
        <v>3.6</v>
      </c>
      <c r="X131" s="5"/>
      <c r="Y131" s="5">
        <f t="shared" si="19"/>
        <v>0</v>
      </c>
      <c r="Z131" s="5"/>
      <c r="AA131" s="1">
        <f t="shared" si="20"/>
        <v>23.611111111111111</v>
      </c>
      <c r="AB131" s="1">
        <f t="shared" si="21"/>
        <v>23.611111111111111</v>
      </c>
      <c r="AC131" s="1">
        <v>7.6</v>
      </c>
      <c r="AD131" s="1">
        <v>7.6</v>
      </c>
      <c r="AE131" s="1">
        <v>5.2</v>
      </c>
      <c r="AF131" s="1">
        <v>5.2</v>
      </c>
      <c r="AG131" s="1">
        <v>10.199999999999999</v>
      </c>
      <c r="AH131" s="1">
        <v>9.8000000000000007</v>
      </c>
      <c r="AI131" s="1">
        <v>0</v>
      </c>
      <c r="AJ131" s="1">
        <v>0</v>
      </c>
      <c r="AK131" s="1" t="s">
        <v>192</v>
      </c>
      <c r="AL131" s="1">
        <f t="shared" si="22"/>
        <v>0</v>
      </c>
      <c r="AM131" s="1">
        <f t="shared" si="23"/>
        <v>0</v>
      </c>
      <c r="AN131">
        <f t="shared" si="24"/>
        <v>1.1700000000000002</v>
      </c>
    </row>
    <row r="132" spans="1:40" x14ac:dyDescent="0.25">
      <c r="A132" s="1" t="s">
        <v>194</v>
      </c>
      <c r="B132" s="1" t="s">
        <v>43</v>
      </c>
      <c r="C132" s="1">
        <v>122</v>
      </c>
      <c r="D132" s="1">
        <v>3</v>
      </c>
      <c r="E132" s="1">
        <v>49</v>
      </c>
      <c r="F132" s="1">
        <v>73</v>
      </c>
      <c r="G132" s="7">
        <v>0.25</v>
      </c>
      <c r="H132" s="1"/>
      <c r="I132" s="1" t="s">
        <v>39</v>
      </c>
      <c r="J132" s="1"/>
      <c r="K132" s="1">
        <v>56</v>
      </c>
      <c r="L132" s="1">
        <f t="shared" si="25"/>
        <v>-7</v>
      </c>
      <c r="M132" s="1">
        <f t="shared" si="26"/>
        <v>49</v>
      </c>
      <c r="N132" s="1"/>
      <c r="O132" s="1"/>
      <c r="P132" s="1"/>
      <c r="Q132" s="1"/>
      <c r="R132" s="1"/>
      <c r="S132" s="1"/>
      <c r="T132" s="1">
        <v>0</v>
      </c>
      <c r="U132" s="1"/>
      <c r="V132" s="1"/>
      <c r="W132" s="1">
        <f t="shared" si="27"/>
        <v>9.8000000000000007</v>
      </c>
      <c r="X132" s="5">
        <f>11*W132-T132-S132-R132-Q132-P132-O132-F132</f>
        <v>34.800000000000011</v>
      </c>
      <c r="Y132" s="5">
        <f t="shared" si="19"/>
        <v>34.800000000000011</v>
      </c>
      <c r="Z132" s="5"/>
      <c r="AA132" s="1">
        <f t="shared" si="20"/>
        <v>11</v>
      </c>
      <c r="AB132" s="1">
        <f t="shared" si="21"/>
        <v>7.4489795918367339</v>
      </c>
      <c r="AC132" s="1">
        <v>6.2</v>
      </c>
      <c r="AD132" s="1">
        <v>6.2</v>
      </c>
      <c r="AE132" s="1">
        <v>9.8000000000000007</v>
      </c>
      <c r="AF132" s="1">
        <v>6.6</v>
      </c>
      <c r="AG132" s="1">
        <v>14.4</v>
      </c>
      <c r="AH132" s="1">
        <v>13.2</v>
      </c>
      <c r="AI132" s="1">
        <v>0</v>
      </c>
      <c r="AJ132" s="1">
        <v>0</v>
      </c>
      <c r="AK132" s="1" t="s">
        <v>192</v>
      </c>
      <c r="AL132" s="1">
        <f t="shared" si="22"/>
        <v>9</v>
      </c>
      <c r="AM132" s="1">
        <f t="shared" si="23"/>
        <v>0</v>
      </c>
      <c r="AN132">
        <f t="shared" si="24"/>
        <v>2.4500000000000002</v>
      </c>
    </row>
    <row r="133" spans="1:40" x14ac:dyDescent="0.25">
      <c r="A133" s="1" t="s">
        <v>195</v>
      </c>
      <c r="B133" s="1" t="s">
        <v>43</v>
      </c>
      <c r="C133" s="1">
        <v>34</v>
      </c>
      <c r="D133" s="1">
        <v>2</v>
      </c>
      <c r="E133" s="1">
        <v>-3</v>
      </c>
      <c r="F133" s="1">
        <v>35</v>
      </c>
      <c r="G133" s="7">
        <v>0.3</v>
      </c>
      <c r="H133" s="1">
        <v>40</v>
      </c>
      <c r="I133" s="13" t="s">
        <v>52</v>
      </c>
      <c r="J133" s="1"/>
      <c r="K133" s="1">
        <v>189</v>
      </c>
      <c r="L133" s="1">
        <f t="shared" si="25"/>
        <v>-192</v>
      </c>
      <c r="M133" s="1">
        <f t="shared" si="26"/>
        <v>-3</v>
      </c>
      <c r="N133" s="1"/>
      <c r="O133" s="1"/>
      <c r="P133" s="1"/>
      <c r="Q133" s="1"/>
      <c r="R133" s="1">
        <v>25</v>
      </c>
      <c r="S133" s="1">
        <v>-30</v>
      </c>
      <c r="T133" s="1">
        <v>50</v>
      </c>
      <c r="U133" s="1"/>
      <c r="V133" s="1"/>
      <c r="W133" s="1">
        <f t="shared" si="27"/>
        <v>-0.6</v>
      </c>
      <c r="X133" s="5"/>
      <c r="Y133" s="5">
        <f t="shared" si="19"/>
        <v>0</v>
      </c>
      <c r="Z133" s="5"/>
      <c r="AA133" s="1">
        <f t="shared" si="20"/>
        <v>-133.33333333333334</v>
      </c>
      <c r="AB133" s="1">
        <f t="shared" si="21"/>
        <v>-133.33333333333334</v>
      </c>
      <c r="AC133" s="1">
        <v>13.2</v>
      </c>
      <c r="AD133" s="1">
        <v>13.6</v>
      </c>
      <c r="AE133" s="1">
        <v>34</v>
      </c>
      <c r="AF133" s="1">
        <v>30.8</v>
      </c>
      <c r="AG133" s="1">
        <v>19.2</v>
      </c>
      <c r="AH133" s="1">
        <v>19</v>
      </c>
      <c r="AI133" s="1">
        <v>33.6</v>
      </c>
      <c r="AJ133" s="1">
        <v>39.4</v>
      </c>
      <c r="AK133" s="1"/>
      <c r="AL133" s="1">
        <f t="shared" si="22"/>
        <v>0</v>
      </c>
      <c r="AM133" s="1">
        <f t="shared" si="23"/>
        <v>0</v>
      </c>
      <c r="AN133">
        <f t="shared" si="24"/>
        <v>-0.18</v>
      </c>
    </row>
    <row r="134" spans="1:40" x14ac:dyDescent="0.25">
      <c r="A134" s="1" t="s">
        <v>196</v>
      </c>
      <c r="B134" s="1" t="s">
        <v>43</v>
      </c>
      <c r="C134" s="1">
        <v>-11</v>
      </c>
      <c r="D134" s="1"/>
      <c r="E134" s="1"/>
      <c r="F134" s="1">
        <v>-16</v>
      </c>
      <c r="G134" s="7">
        <v>0.3</v>
      </c>
      <c r="H134" s="1">
        <v>40</v>
      </c>
      <c r="I134" s="13" t="s">
        <v>52</v>
      </c>
      <c r="J134" s="1"/>
      <c r="K134" s="1">
        <v>14</v>
      </c>
      <c r="L134" s="1">
        <f t="shared" ref="L134:L138" si="28">E134-K134</f>
        <v>-14</v>
      </c>
      <c r="M134" s="1">
        <f t="shared" ref="M134:M138" si="29">E134-N134</f>
        <v>0</v>
      </c>
      <c r="N134" s="1"/>
      <c r="O134" s="1"/>
      <c r="P134" s="1"/>
      <c r="Q134" s="1"/>
      <c r="R134" s="1">
        <v>25</v>
      </c>
      <c r="S134" s="1">
        <v>-30</v>
      </c>
      <c r="T134" s="1">
        <v>50</v>
      </c>
      <c r="U134" s="1"/>
      <c r="V134" s="1"/>
      <c r="W134" s="1">
        <f t="shared" si="27"/>
        <v>0</v>
      </c>
      <c r="X134" s="5">
        <v>50</v>
      </c>
      <c r="Y134" s="5">
        <f t="shared" si="19"/>
        <v>50</v>
      </c>
      <c r="Z134" s="5"/>
      <c r="AA134" s="1" t="e">
        <f t="shared" si="20"/>
        <v>#DIV/0!</v>
      </c>
      <c r="AB134" s="1" t="e">
        <f t="shared" si="21"/>
        <v>#DIV/0!</v>
      </c>
      <c r="AC134" s="1">
        <v>0.4</v>
      </c>
      <c r="AD134" s="1">
        <v>0.4</v>
      </c>
      <c r="AE134" s="1">
        <v>19.2</v>
      </c>
      <c r="AF134" s="1">
        <v>26.8</v>
      </c>
      <c r="AG134" s="1">
        <v>27.2</v>
      </c>
      <c r="AH134" s="1">
        <v>25.8</v>
      </c>
      <c r="AI134" s="1">
        <v>20.8</v>
      </c>
      <c r="AJ134" s="1">
        <v>23.6</v>
      </c>
      <c r="AK134" s="1"/>
      <c r="AL134" s="1">
        <f t="shared" si="22"/>
        <v>15</v>
      </c>
      <c r="AM134" s="1">
        <f t="shared" si="23"/>
        <v>0</v>
      </c>
      <c r="AN134">
        <f t="shared" si="24"/>
        <v>0</v>
      </c>
    </row>
    <row r="135" spans="1:40" x14ac:dyDescent="0.25">
      <c r="A135" s="1" t="s">
        <v>197</v>
      </c>
      <c r="B135" s="1" t="s">
        <v>38</v>
      </c>
      <c r="C135" s="1">
        <v>71.361000000000004</v>
      </c>
      <c r="D135" s="1">
        <v>68.28</v>
      </c>
      <c r="E135" s="1">
        <v>44.183999999999997</v>
      </c>
      <c r="F135" s="1">
        <v>91.141000000000005</v>
      </c>
      <c r="G135" s="7">
        <v>1</v>
      </c>
      <c r="H135" s="1">
        <v>50</v>
      </c>
      <c r="I135" s="1" t="s">
        <v>39</v>
      </c>
      <c r="J135" s="1"/>
      <c r="K135" s="1">
        <v>46.8</v>
      </c>
      <c r="L135" s="1">
        <f t="shared" si="28"/>
        <v>-2.6159999999999997</v>
      </c>
      <c r="M135" s="1">
        <f t="shared" si="29"/>
        <v>44.183999999999997</v>
      </c>
      <c r="N135" s="1"/>
      <c r="O135" s="1"/>
      <c r="P135" s="1"/>
      <c r="Q135" s="1"/>
      <c r="R135" s="1"/>
      <c r="S135" s="1"/>
      <c r="T135" s="1">
        <v>15.453199999999979</v>
      </c>
      <c r="U135" s="1"/>
      <c r="V135" s="1"/>
      <c r="W135" s="1">
        <f t="shared" si="27"/>
        <v>8.8368000000000002</v>
      </c>
      <c r="X135" s="5"/>
      <c r="Y135" s="5">
        <f t="shared" ref="Y135:Y138" si="30">X135</f>
        <v>0</v>
      </c>
      <c r="Z135" s="5"/>
      <c r="AA135" s="1">
        <f t="shared" ref="AA135:AA138" si="31">(F135+O135+P135+Q135+R135+S135+T135+Y135+V135+U135+Z135)/W135</f>
        <v>12.062533948940791</v>
      </c>
      <c r="AB135" s="1">
        <f t="shared" ref="AB135:AB138" si="32">(F135+O135+P135+Q135+R135+S135+T135+U135+V135)/W135</f>
        <v>12.062533948940791</v>
      </c>
      <c r="AC135" s="1">
        <v>11.002599999999999</v>
      </c>
      <c r="AD135" s="1">
        <v>11.002599999999999</v>
      </c>
      <c r="AE135" s="1">
        <v>13.903600000000001</v>
      </c>
      <c r="AF135" s="1">
        <v>13.324199999999999</v>
      </c>
      <c r="AG135" s="1">
        <v>7.5507999999999997</v>
      </c>
      <c r="AH135" s="1">
        <v>9.7211999999999996</v>
      </c>
      <c r="AI135" s="1">
        <v>14.6806</v>
      </c>
      <c r="AJ135" s="1">
        <v>16.251000000000001</v>
      </c>
      <c r="AK135" s="1"/>
      <c r="AL135" s="1">
        <f t="shared" ref="AL135:AL138" si="33">ROUND(G135*Y135,0)</f>
        <v>0</v>
      </c>
      <c r="AM135" s="1">
        <f t="shared" ref="AM135:AM138" si="34">ROUND(G135*Z135,0)</f>
        <v>0</v>
      </c>
      <c r="AN135">
        <f t="shared" ref="AN135:AN138" si="35">W135*G135</f>
        <v>8.8368000000000002</v>
      </c>
    </row>
    <row r="136" spans="1:40" x14ac:dyDescent="0.25">
      <c r="A136" s="1" t="s">
        <v>198</v>
      </c>
      <c r="B136" s="1" t="s">
        <v>43</v>
      </c>
      <c r="C136" s="1">
        <v>5</v>
      </c>
      <c r="D136" s="1">
        <v>25</v>
      </c>
      <c r="E136" s="1"/>
      <c r="F136" s="1">
        <v>28</v>
      </c>
      <c r="G136" s="7">
        <v>0.3</v>
      </c>
      <c r="H136" s="1">
        <v>40</v>
      </c>
      <c r="I136" s="13" t="s">
        <v>52</v>
      </c>
      <c r="J136" s="1"/>
      <c r="K136" s="1">
        <v>40</v>
      </c>
      <c r="L136" s="1">
        <f t="shared" si="28"/>
        <v>-40</v>
      </c>
      <c r="M136" s="1">
        <f t="shared" si="29"/>
        <v>0</v>
      </c>
      <c r="N136" s="1"/>
      <c r="O136" s="1"/>
      <c r="P136" s="1"/>
      <c r="Q136" s="1"/>
      <c r="R136" s="1">
        <v>15</v>
      </c>
      <c r="S136" s="1">
        <v>-18</v>
      </c>
      <c r="T136" s="1">
        <v>30</v>
      </c>
      <c r="U136" s="1"/>
      <c r="V136" s="1"/>
      <c r="W136" s="1">
        <f t="shared" si="27"/>
        <v>0</v>
      </c>
      <c r="X136" s="5"/>
      <c r="Y136" s="5">
        <f t="shared" si="30"/>
        <v>0</v>
      </c>
      <c r="Z136" s="5"/>
      <c r="AA136" s="1" t="e">
        <f t="shared" si="31"/>
        <v>#DIV/0!</v>
      </c>
      <c r="AB136" s="1" t="e">
        <f t="shared" si="32"/>
        <v>#DIV/0!</v>
      </c>
      <c r="AC136" s="1">
        <v>9.8000000000000007</v>
      </c>
      <c r="AD136" s="1">
        <v>9.8000000000000007</v>
      </c>
      <c r="AE136" s="1">
        <v>4.5999999999999996</v>
      </c>
      <c r="AF136" s="1">
        <v>2.8</v>
      </c>
      <c r="AG136" s="1">
        <v>9.1999999999999993</v>
      </c>
      <c r="AH136" s="1">
        <v>12</v>
      </c>
      <c r="AI136" s="1">
        <v>10.6</v>
      </c>
      <c r="AJ136" s="1">
        <v>11.8</v>
      </c>
      <c r="AK136" s="15" t="s">
        <v>65</v>
      </c>
      <c r="AL136" s="1">
        <f t="shared" si="33"/>
        <v>0</v>
      </c>
      <c r="AM136" s="1">
        <f t="shared" si="34"/>
        <v>0</v>
      </c>
      <c r="AN136">
        <f t="shared" si="35"/>
        <v>0</v>
      </c>
    </row>
    <row r="137" spans="1:40" x14ac:dyDescent="0.25">
      <c r="A137" s="1" t="s">
        <v>199</v>
      </c>
      <c r="B137" s="1" t="s">
        <v>43</v>
      </c>
      <c r="C137" s="1">
        <v>29</v>
      </c>
      <c r="D137" s="1">
        <v>135</v>
      </c>
      <c r="E137" s="1">
        <v>35</v>
      </c>
      <c r="F137" s="1">
        <v>123</v>
      </c>
      <c r="G137" s="7">
        <v>0.12</v>
      </c>
      <c r="H137" s="1">
        <v>45</v>
      </c>
      <c r="I137" s="1" t="s">
        <v>39</v>
      </c>
      <c r="J137" s="1"/>
      <c r="K137" s="1">
        <v>43</v>
      </c>
      <c r="L137" s="1">
        <f t="shared" si="28"/>
        <v>-8</v>
      </c>
      <c r="M137" s="1">
        <f t="shared" si="29"/>
        <v>35</v>
      </c>
      <c r="N137" s="1"/>
      <c r="O137" s="1"/>
      <c r="P137" s="1"/>
      <c r="Q137" s="1"/>
      <c r="R137" s="1"/>
      <c r="S137" s="1"/>
      <c r="T137" s="1">
        <v>33.000000000000043</v>
      </c>
      <c r="U137" s="1"/>
      <c r="V137" s="1"/>
      <c r="W137" s="1">
        <f t="shared" si="27"/>
        <v>7</v>
      </c>
      <c r="X137" s="5"/>
      <c r="Y137" s="5">
        <f t="shared" si="30"/>
        <v>0</v>
      </c>
      <c r="Z137" s="5"/>
      <c r="AA137" s="1">
        <f t="shared" si="31"/>
        <v>22.285714285714295</v>
      </c>
      <c r="AB137" s="1">
        <f t="shared" si="32"/>
        <v>22.285714285714295</v>
      </c>
      <c r="AC137" s="1">
        <v>13.8</v>
      </c>
      <c r="AD137" s="1">
        <v>13.8</v>
      </c>
      <c r="AE137" s="1">
        <v>11.8</v>
      </c>
      <c r="AF137" s="1">
        <v>8.6</v>
      </c>
      <c r="AG137" s="1">
        <v>9.1999999999999993</v>
      </c>
      <c r="AH137" s="1">
        <v>6.6</v>
      </c>
      <c r="AI137" s="1">
        <v>6</v>
      </c>
      <c r="AJ137" s="1">
        <v>11.4</v>
      </c>
      <c r="AK137" s="1"/>
      <c r="AL137" s="1">
        <f t="shared" si="33"/>
        <v>0</v>
      </c>
      <c r="AM137" s="1">
        <f t="shared" si="34"/>
        <v>0</v>
      </c>
      <c r="AN137">
        <f t="shared" si="35"/>
        <v>0.84</v>
      </c>
    </row>
    <row r="138" spans="1:40" x14ac:dyDescent="0.25">
      <c r="A138" s="9" t="s">
        <v>200</v>
      </c>
      <c r="B138" s="9" t="s">
        <v>43</v>
      </c>
      <c r="C138" s="9">
        <v>45</v>
      </c>
      <c r="D138" s="9">
        <v>1</v>
      </c>
      <c r="E138" s="12">
        <v>13</v>
      </c>
      <c r="F138" s="12">
        <v>32</v>
      </c>
      <c r="G138" s="10">
        <v>0</v>
      </c>
      <c r="H138" s="9"/>
      <c r="I138" s="9" t="s">
        <v>201</v>
      </c>
      <c r="J138" s="9" t="s">
        <v>193</v>
      </c>
      <c r="K138" s="9">
        <v>17</v>
      </c>
      <c r="L138" s="9">
        <f t="shared" si="28"/>
        <v>-4</v>
      </c>
      <c r="M138" s="9">
        <f t="shared" si="29"/>
        <v>13</v>
      </c>
      <c r="N138" s="9"/>
      <c r="O138" s="9"/>
      <c r="P138" s="9"/>
      <c r="Q138" s="9"/>
      <c r="R138" s="9"/>
      <c r="S138" s="9"/>
      <c r="T138" s="9">
        <v>0</v>
      </c>
      <c r="U138" s="9"/>
      <c r="V138" s="9"/>
      <c r="W138" s="9">
        <f t="shared" si="27"/>
        <v>2.6</v>
      </c>
      <c r="X138" s="11"/>
      <c r="Y138" s="5">
        <f t="shared" si="30"/>
        <v>0</v>
      </c>
      <c r="Z138" s="5"/>
      <c r="AA138" s="1">
        <f t="shared" si="31"/>
        <v>12.307692307692307</v>
      </c>
      <c r="AB138" s="1">
        <f t="shared" si="32"/>
        <v>12.307692307692307</v>
      </c>
      <c r="AC138" s="9">
        <v>3.6</v>
      </c>
      <c r="AD138" s="9">
        <v>3.6</v>
      </c>
      <c r="AE138" s="9">
        <v>4.8</v>
      </c>
      <c r="AF138" s="9">
        <v>2.4</v>
      </c>
      <c r="AG138" s="9">
        <v>0</v>
      </c>
      <c r="AH138" s="9">
        <v>0</v>
      </c>
      <c r="AI138" s="9">
        <v>0</v>
      </c>
      <c r="AJ138" s="9">
        <v>0</v>
      </c>
      <c r="AK138" s="9"/>
      <c r="AL138" s="1">
        <f t="shared" si="33"/>
        <v>0</v>
      </c>
      <c r="AM138" s="1">
        <f t="shared" si="34"/>
        <v>0</v>
      </c>
      <c r="AN138">
        <f t="shared" si="35"/>
        <v>0</v>
      </c>
    </row>
    <row r="139" spans="1:4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4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4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4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4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4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</sheetData>
  <autoFilter ref="A3:AL1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5FBB-B616-4833-973B-543C9DD0CA45}">
  <dimension ref="A1:D5"/>
  <sheetViews>
    <sheetView workbookViewId="0">
      <selection activeCell="D6" sqref="D6"/>
    </sheetView>
  </sheetViews>
  <sheetFormatPr defaultRowHeight="15" x14ac:dyDescent="0.25"/>
  <cols>
    <col min="1" max="1" width="9.28515625" bestFit="1" customWidth="1"/>
    <col min="2" max="2" width="99.28515625" bestFit="1" customWidth="1"/>
    <col min="3" max="3" width="4" bestFit="1" customWidth="1"/>
  </cols>
  <sheetData>
    <row r="1" spans="1:4" x14ac:dyDescent="0.25">
      <c r="A1" s="19" t="s">
        <v>89</v>
      </c>
      <c r="B1" s="20" t="s">
        <v>202</v>
      </c>
      <c r="C1" s="21">
        <v>201</v>
      </c>
      <c r="D1">
        <f>-1*C1</f>
        <v>-201</v>
      </c>
    </row>
    <row r="2" spans="1:4" x14ac:dyDescent="0.25">
      <c r="A2" s="19" t="s">
        <v>170</v>
      </c>
      <c r="B2" s="20" t="s">
        <v>203</v>
      </c>
      <c r="C2" s="21">
        <v>182</v>
      </c>
      <c r="D2">
        <f t="shared" ref="D2:D4" si="0">-1*C2</f>
        <v>-182</v>
      </c>
    </row>
    <row r="3" spans="1:4" x14ac:dyDescent="0.25">
      <c r="A3" s="19" t="s">
        <v>146</v>
      </c>
      <c r="B3" s="20" t="s">
        <v>204</v>
      </c>
      <c r="C3" s="21">
        <v>55</v>
      </c>
      <c r="D3">
        <f t="shared" si="0"/>
        <v>-55</v>
      </c>
    </row>
    <row r="4" spans="1:4" x14ac:dyDescent="0.25">
      <c r="A4" s="22" t="s">
        <v>96</v>
      </c>
      <c r="B4" s="23" t="s">
        <v>205</v>
      </c>
      <c r="C4" s="24">
        <v>8</v>
      </c>
      <c r="D4">
        <f t="shared" si="0"/>
        <v>-8</v>
      </c>
    </row>
    <row r="5" spans="1:4" x14ac:dyDescent="0.25">
      <c r="D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2026-08-25T10:39:19Z</dcterms:created>
  <dcterms:modified xsi:type="dcterms:W3CDTF">2026-08-27T09:42:03Z</dcterms:modified>
</cp:coreProperties>
</file>