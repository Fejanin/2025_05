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25,08,26 ПОКОМ КИ\"/>
    </mc:Choice>
  </mc:AlternateContent>
  <xr:revisionPtr revIDLastSave="0" documentId="13_ncr:1_{A94C7150-2091-4C73-94AF-1E525F9C86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8" i="1" l="1"/>
  <c r="E15" i="1"/>
  <c r="Q14" i="1"/>
  <c r="B15" i="1"/>
  <c r="Q12" i="1" l="1"/>
  <c r="Q10" i="1"/>
  <c r="Q9" i="1" l="1"/>
  <c r="D4" i="1" l="1"/>
  <c r="D3" i="1"/>
  <c r="D6" i="1" l="1"/>
  <c r="Q4" i="1" l="1"/>
  <c r="Q7" i="1" l="1"/>
  <c r="Q11" i="1"/>
  <c r="C15" i="1" l="1"/>
  <c r="D15" i="1"/>
  <c r="Q5" i="1" l="1"/>
  <c r="Q6" i="1" l="1"/>
  <c r="Q3" i="1" l="1"/>
  <c r="Q15" i="1" s="1"/>
  <c r="Q13" i="1"/>
  <c r="P15" i="1"/>
  <c r="O15" i="1"/>
  <c r="N15" i="1"/>
  <c r="F15" i="1" l="1"/>
  <c r="G15" i="1"/>
  <c r="H15" i="1"/>
  <c r="I15" i="1"/>
  <c r="J15" i="1"/>
  <c r="K15" i="1"/>
  <c r="L15" i="1"/>
  <c r="M15" i="1"/>
</calcChain>
</file>

<file path=xl/sharedStrings.xml><?xml version="1.0" encoding="utf-8"?>
<sst xmlns="http://schemas.openxmlformats.org/spreadsheetml/2006/main" count="35" uniqueCount="26">
  <si>
    <t>ПОЛУЧАТЕЛЬ</t>
  </si>
  <si>
    <t>3 машина</t>
  </si>
  <si>
    <t>Остаток</t>
  </si>
  <si>
    <t>ИТОГОВЫЕ ДАННЫЕ</t>
  </si>
  <si>
    <t>Бутырин</t>
  </si>
  <si>
    <t>нетто</t>
  </si>
  <si>
    <t>брутто</t>
  </si>
  <si>
    <t>паллеты</t>
  </si>
  <si>
    <t>4 машина</t>
  </si>
  <si>
    <t>ВЕС НЕТТО</t>
  </si>
  <si>
    <t>Коныгин</t>
  </si>
  <si>
    <t>Обрыньба</t>
  </si>
  <si>
    <t>ПРС ЛП</t>
  </si>
  <si>
    <t>Кочевой НВ</t>
  </si>
  <si>
    <t>Малахутин ЛП</t>
  </si>
  <si>
    <t>ВЕС дефицита</t>
  </si>
  <si>
    <t>ВЕС без дефицита</t>
  </si>
  <si>
    <t>Пушкарный ВВ</t>
  </si>
  <si>
    <t>Донецк</t>
  </si>
  <si>
    <t>Пушкарный ВВ дефицит</t>
  </si>
  <si>
    <t>Обрыньба дефицит</t>
  </si>
  <si>
    <t>Коныгин дефицит</t>
  </si>
  <si>
    <t>Малахутин ЛП дефицит</t>
  </si>
  <si>
    <t>0 машина на 28,06</t>
  </si>
  <si>
    <t>2 машина на 30,08</t>
  </si>
  <si>
    <t>уже забрали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</si>
</sst>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0" fillId="0" borderId="5" xfId="0" applyFill="1" applyBorder="1"/>
    <xf numFmtId="0" fontId="0" fillId="0" borderId="1" xfId="0" applyFill="1" applyBorder="1"/>
    <xf numFmtId="0" fontId="0" fillId="0" borderId="6" xfId="0" applyFill="1" applyBorder="1"/>
    <xf numFmtId="0" fontId="0" fillId="0" borderId="15" xfId="0" applyFill="1" applyBorder="1"/>
    <xf numFmtId="0" fontId="0" fillId="0" borderId="16" xfId="0" applyFill="1" applyBorder="1"/>
    <xf numFmtId="0" fontId="0" fillId="0" borderId="17" xfId="0" applyFill="1" applyBorder="1"/>
    <xf numFmtId="0" fontId="0" fillId="3" borderId="15" xfId="0" applyFill="1" applyBorder="1"/>
    <xf numFmtId="164" fontId="0" fillId="3" borderId="15" xfId="0" applyNumberFormat="1" applyFill="1" applyBorder="1"/>
    <xf numFmtId="164" fontId="0" fillId="3" borderId="16" xfId="0" applyNumberFormat="1" applyFill="1" applyBorder="1"/>
    <xf numFmtId="164" fontId="0" fillId="3" borderId="17" xfId="0" applyNumberFormat="1" applyFill="1" applyBorder="1"/>
    <xf numFmtId="164" fontId="0" fillId="0" borderId="15" xfId="0" applyNumberFormat="1" applyFill="1" applyBorder="1"/>
    <xf numFmtId="164" fontId="0" fillId="0" borderId="16" xfId="0" applyNumberFormat="1" applyFill="1" applyBorder="1"/>
    <xf numFmtId="164" fontId="0" fillId="0" borderId="17" xfId="0" applyNumberFormat="1" applyFill="1" applyBorder="1"/>
    <xf numFmtId="164" fontId="0" fillId="0" borderId="5" xfId="0" applyNumberFormat="1" applyFill="1" applyBorder="1"/>
    <xf numFmtId="164" fontId="0" fillId="0" borderId="1" xfId="0" applyNumberFormat="1" applyFill="1" applyBorder="1"/>
    <xf numFmtId="164" fontId="1" fillId="0" borderId="19" xfId="0" applyNumberFormat="1" applyFont="1" applyBorder="1"/>
    <xf numFmtId="164" fontId="0" fillId="0" borderId="0" xfId="0" applyNumberFormat="1"/>
    <xf numFmtId="0" fontId="0" fillId="4" borderId="15" xfId="0" applyFill="1" applyBorder="1"/>
    <xf numFmtId="0" fontId="0" fillId="0" borderId="23" xfId="0" applyBorder="1"/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164" fontId="1" fillId="2" borderId="10" xfId="0" applyNumberFormat="1" applyFont="1" applyFill="1" applyBorder="1" applyAlignment="1">
      <alignment horizontal="center" wrapText="1"/>
    </xf>
    <xf numFmtId="164" fontId="1" fillId="2" borderId="11" xfId="0" applyNumberFormat="1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24" xfId="0" applyFont="1" applyFill="1" applyBorder="1" applyAlignment="1">
      <alignment horizontal="center" wrapText="1"/>
    </xf>
    <xf numFmtId="0" fontId="1" fillId="2" borderId="25" xfId="0" applyFont="1" applyFill="1" applyBorder="1" applyAlignment="1">
      <alignment horizontal="center" wrapText="1"/>
    </xf>
    <xf numFmtId="0" fontId="0" fillId="5" borderId="15" xfId="0" applyFill="1" applyBorder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zoomScale="115" zoomScaleNormal="115" workbookViewId="0">
      <selection activeCell="S19" sqref="S19"/>
    </sheetView>
  </sheetViews>
  <sheetFormatPr defaultRowHeight="15" x14ac:dyDescent="0.25"/>
  <cols>
    <col min="1" max="1" width="23.7109375" bestFit="1" customWidth="1"/>
    <col min="2" max="2" width="8.85546875" style="32" customWidth="1"/>
    <col min="3" max="3" width="10.85546875" style="32" customWidth="1"/>
    <col min="4" max="4" width="11" style="32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7" width="8.140625" bestFit="1" customWidth="1"/>
    <col min="18" max="18" width="13.7109375" customWidth="1"/>
  </cols>
  <sheetData>
    <row r="1" spans="1:18" ht="15" customHeight="1" x14ac:dyDescent="0.25">
      <c r="A1" s="37" t="s">
        <v>0</v>
      </c>
      <c r="B1" s="39" t="s">
        <v>9</v>
      </c>
      <c r="C1" s="39" t="s">
        <v>15</v>
      </c>
      <c r="D1" s="39" t="s">
        <v>16</v>
      </c>
      <c r="E1" s="37" t="s">
        <v>23</v>
      </c>
      <c r="F1" s="41"/>
      <c r="G1" s="42"/>
      <c r="H1" s="37" t="s">
        <v>24</v>
      </c>
      <c r="I1" s="41"/>
      <c r="J1" s="42"/>
      <c r="K1" s="43" t="s">
        <v>1</v>
      </c>
      <c r="L1" s="44"/>
      <c r="M1" s="35"/>
      <c r="N1" s="37" t="s">
        <v>8</v>
      </c>
      <c r="O1" s="41"/>
      <c r="P1" s="42"/>
      <c r="Q1" s="35" t="s">
        <v>2</v>
      </c>
    </row>
    <row r="2" spans="1:18" ht="30.75" thickBot="1" x14ac:dyDescent="0.3">
      <c r="A2" s="38"/>
      <c r="B2" s="40"/>
      <c r="C2" s="40"/>
      <c r="D2" s="40"/>
      <c r="E2" s="13" t="s">
        <v>5</v>
      </c>
      <c r="F2" s="14" t="s">
        <v>6</v>
      </c>
      <c r="G2" s="15" t="s">
        <v>7</v>
      </c>
      <c r="H2" s="13" t="s">
        <v>5</v>
      </c>
      <c r="I2" s="14" t="s">
        <v>6</v>
      </c>
      <c r="J2" s="15" t="s">
        <v>7</v>
      </c>
      <c r="K2" s="13" t="s">
        <v>5</v>
      </c>
      <c r="L2" s="14" t="s">
        <v>6</v>
      </c>
      <c r="M2" s="15" t="s">
        <v>7</v>
      </c>
      <c r="N2" s="13" t="s">
        <v>5</v>
      </c>
      <c r="O2" s="14" t="s">
        <v>6</v>
      </c>
      <c r="P2" s="15" t="s">
        <v>7</v>
      </c>
      <c r="Q2" s="36"/>
    </row>
    <row r="3" spans="1:18" x14ac:dyDescent="0.25">
      <c r="A3" s="22" t="s">
        <v>12</v>
      </c>
      <c r="B3" s="23">
        <v>1318</v>
      </c>
      <c r="C3" s="24"/>
      <c r="D3" s="25">
        <f>B3-C3</f>
        <v>1318</v>
      </c>
      <c r="E3" s="6"/>
      <c r="F3" s="20"/>
      <c r="G3" s="21"/>
      <c r="H3" s="6">
        <v>1318</v>
      </c>
      <c r="I3" s="7"/>
      <c r="J3" s="8"/>
      <c r="K3" s="6"/>
      <c r="L3" s="7"/>
      <c r="M3" s="8"/>
      <c r="N3" s="6"/>
      <c r="O3" s="7"/>
      <c r="P3" s="8"/>
      <c r="Q3" s="5">
        <f t="shared" ref="Q3:Q14" si="0">B3-E3-H3-K3-N3</f>
        <v>0</v>
      </c>
    </row>
    <row r="4" spans="1:18" x14ac:dyDescent="0.25">
      <c r="A4" s="22" t="s">
        <v>13</v>
      </c>
      <c r="B4" s="23">
        <v>1405</v>
      </c>
      <c r="C4" s="24"/>
      <c r="D4" s="25">
        <f>B4-C4</f>
        <v>1405</v>
      </c>
      <c r="E4" s="6"/>
      <c r="F4" s="20"/>
      <c r="G4" s="21"/>
      <c r="H4" s="45">
        <v>1405</v>
      </c>
      <c r="I4" s="7"/>
      <c r="J4" s="8"/>
      <c r="K4" s="6"/>
      <c r="L4" s="7"/>
      <c r="M4" s="8"/>
      <c r="N4" s="6"/>
      <c r="O4" s="7"/>
      <c r="P4" s="8"/>
      <c r="Q4" s="5">
        <f t="shared" si="0"/>
        <v>0</v>
      </c>
      <c r="R4" s="46" t="s">
        <v>25</v>
      </c>
    </row>
    <row r="5" spans="1:18" x14ac:dyDescent="0.25">
      <c r="A5" s="19" t="s">
        <v>18</v>
      </c>
      <c r="B5" s="29">
        <v>3200</v>
      </c>
      <c r="C5" s="30"/>
      <c r="D5" s="28"/>
      <c r="E5" s="16"/>
      <c r="F5" s="17"/>
      <c r="G5" s="18"/>
      <c r="H5" s="3">
        <v>3200</v>
      </c>
      <c r="I5" s="2"/>
      <c r="J5" s="4"/>
      <c r="K5" s="6"/>
      <c r="L5" s="7"/>
      <c r="M5" s="8"/>
      <c r="N5" s="6"/>
      <c r="O5" s="7"/>
      <c r="P5" s="8"/>
      <c r="Q5" s="5">
        <f t="shared" si="0"/>
        <v>0</v>
      </c>
    </row>
    <row r="6" spans="1:18" x14ac:dyDescent="0.25">
      <c r="A6" s="6" t="s">
        <v>4</v>
      </c>
      <c r="B6" s="26">
        <v>1537</v>
      </c>
      <c r="C6" s="27"/>
      <c r="D6" s="28">
        <f t="shared" ref="D6" si="1">B6+C6</f>
        <v>1537</v>
      </c>
      <c r="E6" s="19"/>
      <c r="F6" s="20"/>
      <c r="G6" s="21"/>
      <c r="H6" s="6">
        <v>1537</v>
      </c>
      <c r="I6" s="7"/>
      <c r="J6" s="8"/>
      <c r="K6" s="6"/>
      <c r="L6" s="7"/>
      <c r="M6" s="8"/>
      <c r="N6" s="6"/>
      <c r="O6" s="7"/>
      <c r="P6" s="8"/>
      <c r="Q6" s="5">
        <f t="shared" ref="Q6:Q12" si="2">B6-E6-H6-K6-N6</f>
        <v>0</v>
      </c>
    </row>
    <row r="7" spans="1:18" x14ac:dyDescent="0.25">
      <c r="A7" s="6" t="s">
        <v>14</v>
      </c>
      <c r="B7" s="26">
        <v>10081</v>
      </c>
      <c r="C7" s="27"/>
      <c r="D7" s="28"/>
      <c r="E7" s="19"/>
      <c r="F7" s="20"/>
      <c r="G7" s="21"/>
      <c r="H7" s="6">
        <v>10081</v>
      </c>
      <c r="I7" s="7"/>
      <c r="J7" s="8"/>
      <c r="K7" s="6"/>
      <c r="L7" s="7"/>
      <c r="M7" s="8"/>
      <c r="N7" s="6"/>
      <c r="O7" s="7"/>
      <c r="P7" s="8"/>
      <c r="Q7" s="5">
        <f t="shared" si="2"/>
        <v>0</v>
      </c>
    </row>
    <row r="8" spans="1:18" x14ac:dyDescent="0.25">
      <c r="A8" s="6" t="s">
        <v>22</v>
      </c>
      <c r="B8" s="26">
        <v>5004</v>
      </c>
      <c r="C8" s="27"/>
      <c r="D8" s="28"/>
      <c r="E8" s="19"/>
      <c r="F8" s="20"/>
      <c r="G8" s="21"/>
      <c r="H8" s="6">
        <v>5004</v>
      </c>
      <c r="I8" s="7"/>
      <c r="J8" s="8"/>
      <c r="K8" s="6"/>
      <c r="L8" s="7"/>
      <c r="M8" s="8"/>
      <c r="N8" s="6"/>
      <c r="O8" s="7"/>
      <c r="P8" s="8"/>
      <c r="Q8" s="5">
        <f t="shared" si="2"/>
        <v>0</v>
      </c>
    </row>
    <row r="9" spans="1:18" x14ac:dyDescent="0.25">
      <c r="A9" s="33" t="s">
        <v>17</v>
      </c>
      <c r="B9" s="29">
        <v>6734</v>
      </c>
      <c r="C9" s="30"/>
      <c r="D9" s="28"/>
      <c r="E9" s="19">
        <v>6734</v>
      </c>
      <c r="F9" s="20"/>
      <c r="G9" s="21"/>
      <c r="H9" s="6"/>
      <c r="I9" s="7"/>
      <c r="J9" s="8"/>
      <c r="K9" s="6"/>
      <c r="L9" s="7"/>
      <c r="M9" s="8"/>
      <c r="N9" s="6"/>
      <c r="O9" s="7"/>
      <c r="P9" s="8"/>
      <c r="Q9" s="5">
        <f t="shared" si="2"/>
        <v>0</v>
      </c>
    </row>
    <row r="10" spans="1:18" x14ac:dyDescent="0.25">
      <c r="A10" s="33" t="s">
        <v>19</v>
      </c>
      <c r="B10" s="26">
        <v>2496</v>
      </c>
      <c r="C10" s="27"/>
      <c r="D10" s="28"/>
      <c r="E10" s="19">
        <v>2496</v>
      </c>
      <c r="F10" s="20"/>
      <c r="G10" s="21"/>
      <c r="H10" s="6"/>
      <c r="I10" s="7"/>
      <c r="J10" s="8"/>
      <c r="K10" s="6"/>
      <c r="L10" s="7"/>
      <c r="M10" s="8"/>
      <c r="N10" s="6"/>
      <c r="O10" s="7"/>
      <c r="P10" s="8"/>
      <c r="Q10" s="5">
        <f t="shared" si="2"/>
        <v>0</v>
      </c>
    </row>
    <row r="11" spans="1:18" x14ac:dyDescent="0.25">
      <c r="A11" s="33" t="s">
        <v>11</v>
      </c>
      <c r="B11" s="26">
        <v>4727</v>
      </c>
      <c r="C11" s="27"/>
      <c r="D11" s="28"/>
      <c r="E11" s="19">
        <v>4727</v>
      </c>
      <c r="F11" s="20"/>
      <c r="G11" s="21"/>
      <c r="H11" s="6"/>
      <c r="I11" s="7"/>
      <c r="J11" s="8"/>
      <c r="K11" s="6"/>
      <c r="L11" s="7"/>
      <c r="M11" s="8"/>
      <c r="N11" s="6"/>
      <c r="O11" s="7"/>
      <c r="P11" s="8"/>
      <c r="Q11" s="5">
        <f t="shared" si="2"/>
        <v>0</v>
      </c>
    </row>
    <row r="12" spans="1:18" x14ac:dyDescent="0.25">
      <c r="A12" s="33" t="s">
        <v>20</v>
      </c>
      <c r="B12" s="26">
        <v>1497</v>
      </c>
      <c r="C12" s="27"/>
      <c r="D12" s="28"/>
      <c r="E12" s="19">
        <v>1497</v>
      </c>
      <c r="F12" s="20"/>
      <c r="G12" s="21"/>
      <c r="H12" s="6"/>
      <c r="I12" s="7"/>
      <c r="J12" s="8"/>
      <c r="K12" s="6"/>
      <c r="L12" s="7"/>
      <c r="M12" s="8"/>
      <c r="N12" s="6"/>
      <c r="O12" s="7"/>
      <c r="P12" s="8"/>
      <c r="Q12" s="5">
        <f t="shared" si="2"/>
        <v>0</v>
      </c>
    </row>
    <row r="13" spans="1:18" x14ac:dyDescent="0.25">
      <c r="A13" s="33" t="s">
        <v>10</v>
      </c>
      <c r="B13" s="26">
        <v>1707</v>
      </c>
      <c r="C13" s="27"/>
      <c r="D13" s="28"/>
      <c r="E13" s="19">
        <v>1707</v>
      </c>
      <c r="F13" s="20"/>
      <c r="G13" s="21"/>
      <c r="H13" s="6"/>
      <c r="I13" s="7"/>
      <c r="J13" s="8"/>
      <c r="K13" s="6"/>
      <c r="L13" s="7"/>
      <c r="M13" s="8"/>
      <c r="N13" s="6"/>
      <c r="O13" s="7"/>
      <c r="P13" s="8"/>
      <c r="Q13" s="5">
        <f t="shared" si="0"/>
        <v>0</v>
      </c>
    </row>
    <row r="14" spans="1:18" ht="15.75" thickBot="1" x14ac:dyDescent="0.3">
      <c r="A14" s="33" t="s">
        <v>21</v>
      </c>
      <c r="B14" s="26">
        <v>2503</v>
      </c>
      <c r="C14" s="27"/>
      <c r="D14" s="28"/>
      <c r="E14" s="19">
        <v>2503</v>
      </c>
      <c r="F14" s="20"/>
      <c r="G14" s="21"/>
      <c r="H14" s="6"/>
      <c r="I14" s="7"/>
      <c r="J14" s="8"/>
      <c r="K14" s="6"/>
      <c r="L14" s="7"/>
      <c r="M14" s="8"/>
      <c r="N14" s="6"/>
      <c r="O14" s="7"/>
      <c r="P14" s="8"/>
      <c r="Q14" s="34">
        <f t="shared" si="0"/>
        <v>0</v>
      </c>
    </row>
    <row r="15" spans="1:18" s="1" customFormat="1" ht="15.75" thickBot="1" x14ac:dyDescent="0.3">
      <c r="A15" s="9" t="s">
        <v>3</v>
      </c>
      <c r="B15" s="31">
        <f>SUM(B3:B14)</f>
        <v>42209</v>
      </c>
      <c r="C15" s="31">
        <f>SUM(C3:C13)</f>
        <v>0</v>
      </c>
      <c r="D15" s="31">
        <f>SUM(D3:D13)</f>
        <v>4260</v>
      </c>
      <c r="E15" s="9">
        <f>SUM(E3:E14)</f>
        <v>19664</v>
      </c>
      <c r="F15" s="10">
        <f t="shared" ref="F15:P15" si="3">SUM(F3:F13)</f>
        <v>0</v>
      </c>
      <c r="G15" s="11">
        <f t="shared" si="3"/>
        <v>0</v>
      </c>
      <c r="H15" s="9">
        <f t="shared" si="3"/>
        <v>22545</v>
      </c>
      <c r="I15" s="10">
        <f t="shared" si="3"/>
        <v>0</v>
      </c>
      <c r="J15" s="11">
        <f t="shared" si="3"/>
        <v>0</v>
      </c>
      <c r="K15" s="9">
        <f t="shared" si="3"/>
        <v>0</v>
      </c>
      <c r="L15" s="10">
        <f t="shared" si="3"/>
        <v>0</v>
      </c>
      <c r="M15" s="11">
        <f t="shared" si="3"/>
        <v>0</v>
      </c>
      <c r="N15" s="9">
        <f t="shared" si="3"/>
        <v>0</v>
      </c>
      <c r="O15" s="10">
        <f t="shared" si="3"/>
        <v>0</v>
      </c>
      <c r="P15" s="11">
        <f t="shared" si="3"/>
        <v>0</v>
      </c>
      <c r="Q15" s="12">
        <f>SUM(Q3:Q14)</f>
        <v>0</v>
      </c>
    </row>
  </sheetData>
  <mergeCells count="9">
    <mergeCell ref="Q1:Q2"/>
    <mergeCell ref="A1:A2"/>
    <mergeCell ref="B1:B2"/>
    <mergeCell ref="E1:G1"/>
    <mergeCell ref="H1:J1"/>
    <mergeCell ref="K1:M1"/>
    <mergeCell ref="N1:P1"/>
    <mergeCell ref="C1:C2"/>
    <mergeCell ref="D1:D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2026-08-27T09:13:51Z</dcterms:modified>
</cp:coreProperties>
</file>