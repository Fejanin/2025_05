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0331175-1B90-4B62-8BCD-A29AA8C49D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5,08" sheetId="2" r:id="rId2"/>
  </sheets>
  <definedNames>
    <definedName name="_xlnm._FilterDatabase" localSheetId="0" hidden="1">Sheet!$A$3:$AK$134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9" i="1" l="1"/>
  <c r="AK9" i="1" s="1"/>
  <c r="W12" i="1"/>
  <c r="W13" i="1"/>
  <c r="AK13" i="1" s="1"/>
  <c r="W14" i="1"/>
  <c r="W15" i="1"/>
  <c r="AK15" i="1" s="1"/>
  <c r="W16" i="1"/>
  <c r="W17" i="1"/>
  <c r="W18" i="1"/>
  <c r="W19" i="1"/>
  <c r="AK19" i="1" s="1"/>
  <c r="W20" i="1"/>
  <c r="W21" i="1"/>
  <c r="AK21" i="1" s="1"/>
  <c r="W22" i="1"/>
  <c r="W24" i="1"/>
  <c r="W26" i="1"/>
  <c r="W28" i="1"/>
  <c r="W30" i="1"/>
  <c r="W31" i="1"/>
  <c r="AK31" i="1" s="1"/>
  <c r="W33" i="1"/>
  <c r="W34" i="1"/>
  <c r="W35" i="1"/>
  <c r="AK35" i="1" s="1"/>
  <c r="W36" i="1"/>
  <c r="AK37" i="1"/>
  <c r="W38" i="1"/>
  <c r="W39" i="1"/>
  <c r="AK39" i="1" s="1"/>
  <c r="W40" i="1"/>
  <c r="W43" i="1"/>
  <c r="W44" i="1"/>
  <c r="W47" i="1"/>
  <c r="AK47" i="1" s="1"/>
  <c r="W48" i="1"/>
  <c r="AK48" i="1" s="1"/>
  <c r="W51" i="1"/>
  <c r="AK51" i="1" s="1"/>
  <c r="W52" i="1"/>
  <c r="AK52" i="1" s="1"/>
  <c r="W55" i="1"/>
  <c r="AK55" i="1" s="1"/>
  <c r="W56" i="1"/>
  <c r="AK56" i="1" s="1"/>
  <c r="W57" i="1"/>
  <c r="W58" i="1"/>
  <c r="AK58" i="1" s="1"/>
  <c r="AK60" i="1"/>
  <c r="W64" i="1"/>
  <c r="AK64" i="1" s="1"/>
  <c r="W66" i="1"/>
  <c r="AK66" i="1" s="1"/>
  <c r="W67" i="1"/>
  <c r="W68" i="1"/>
  <c r="AK68" i="1" s="1"/>
  <c r="W69" i="1"/>
  <c r="AK69" i="1" s="1"/>
  <c r="W70" i="1"/>
  <c r="AK70" i="1" s="1"/>
  <c r="W71" i="1"/>
  <c r="AK71" i="1" s="1"/>
  <c r="W72" i="1"/>
  <c r="AK72" i="1" s="1"/>
  <c r="W75" i="1"/>
  <c r="AK75" i="1" s="1"/>
  <c r="W79" i="1"/>
  <c r="AK79" i="1" s="1"/>
  <c r="W81" i="1"/>
  <c r="AK81" i="1" s="1"/>
  <c r="W83" i="1"/>
  <c r="W86" i="1"/>
  <c r="AK86" i="1" s="1"/>
  <c r="W87" i="1"/>
  <c r="AK87" i="1" s="1"/>
  <c r="W88" i="1"/>
  <c r="AK88" i="1" s="1"/>
  <c r="W89" i="1"/>
  <c r="AK89" i="1" s="1"/>
  <c r="W90" i="1"/>
  <c r="AK90" i="1" s="1"/>
  <c r="W91" i="1"/>
  <c r="AK91" i="1" s="1"/>
  <c r="W92" i="1"/>
  <c r="AK92" i="1" s="1"/>
  <c r="W93" i="1"/>
  <c r="W95" i="1"/>
  <c r="AK95" i="1" s="1"/>
  <c r="W96" i="1"/>
  <c r="AK96" i="1" s="1"/>
  <c r="W98" i="1"/>
  <c r="AK98" i="1" s="1"/>
  <c r="W99" i="1"/>
  <c r="AK99" i="1" s="1"/>
  <c r="W101" i="1"/>
  <c r="AK101" i="1" s="1"/>
  <c r="W102" i="1"/>
  <c r="AK102" i="1" s="1"/>
  <c r="W104" i="1"/>
  <c r="AK104" i="1" s="1"/>
  <c r="W105" i="1"/>
  <c r="AK105" i="1" s="1"/>
  <c r="W109" i="1"/>
  <c r="AK109" i="1" s="1"/>
  <c r="W110" i="1"/>
  <c r="AK110" i="1" s="1"/>
  <c r="W111" i="1"/>
  <c r="AK111" i="1" s="1"/>
  <c r="W112" i="1"/>
  <c r="AK112" i="1" s="1"/>
  <c r="W113" i="1"/>
  <c r="AK113" i="1" s="1"/>
  <c r="W115" i="1"/>
  <c r="AK115" i="1" s="1"/>
  <c r="W116" i="1"/>
  <c r="AK116" i="1" s="1"/>
  <c r="W119" i="1"/>
  <c r="AK119" i="1" s="1"/>
  <c r="W121" i="1"/>
  <c r="AK121" i="1" s="1"/>
  <c r="W124" i="1"/>
  <c r="AK124" i="1" s="1"/>
  <c r="W125" i="1"/>
  <c r="AK125" i="1" s="1"/>
  <c r="W126" i="1"/>
  <c r="AK126" i="1" s="1"/>
  <c r="W127" i="1"/>
  <c r="AK127" i="1" s="1"/>
  <c r="W128" i="1"/>
  <c r="AK128" i="1" s="1"/>
  <c r="W129" i="1"/>
  <c r="AK129" i="1" s="1"/>
  <c r="W130" i="1"/>
  <c r="AK130" i="1" s="1"/>
  <c r="W132" i="1"/>
  <c r="AK132" i="1" s="1"/>
  <c r="W133" i="1"/>
  <c r="AK133" i="1" s="1"/>
  <c r="W134" i="1"/>
  <c r="AK134" i="1" s="1"/>
  <c r="W6" i="1"/>
  <c r="AK17" i="1"/>
  <c r="AK33" i="1"/>
  <c r="AK43" i="1"/>
  <c r="AK57" i="1"/>
  <c r="AK67" i="1"/>
  <c r="AK83" i="1"/>
  <c r="AK93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2" i="2"/>
  <c r="AK44" i="1" l="1"/>
  <c r="AK40" i="1"/>
  <c r="AK38" i="1"/>
  <c r="AK36" i="1"/>
  <c r="AK34" i="1"/>
  <c r="AK32" i="1"/>
  <c r="AK30" i="1"/>
  <c r="AK28" i="1"/>
  <c r="AK26" i="1"/>
  <c r="AK24" i="1"/>
  <c r="AK22" i="1"/>
  <c r="AK20" i="1"/>
  <c r="AK18" i="1"/>
  <c r="AK16" i="1"/>
  <c r="AK14" i="1"/>
  <c r="AK12" i="1"/>
  <c r="AK6" i="1"/>
  <c r="U134" i="1"/>
  <c r="Y134" i="1" s="1"/>
  <c r="L134" i="1"/>
  <c r="U133" i="1"/>
  <c r="X133" i="1" s="1"/>
  <c r="L133" i="1"/>
  <c r="U132" i="1"/>
  <c r="Y132" i="1" s="1"/>
  <c r="L132" i="1"/>
  <c r="U131" i="1"/>
  <c r="V131" i="1" s="1"/>
  <c r="W131" i="1" s="1"/>
  <c r="L131" i="1"/>
  <c r="U130" i="1"/>
  <c r="X130" i="1" s="1"/>
  <c r="L130" i="1"/>
  <c r="U129" i="1"/>
  <c r="L129" i="1"/>
  <c r="U128" i="1"/>
  <c r="X128" i="1" s="1"/>
  <c r="L128" i="1"/>
  <c r="F127" i="1"/>
  <c r="E127" i="1"/>
  <c r="U127" i="1" s="1"/>
  <c r="U126" i="1"/>
  <c r="X126" i="1" s="1"/>
  <c r="L126" i="1"/>
  <c r="U125" i="1"/>
  <c r="L125" i="1"/>
  <c r="U124" i="1"/>
  <c r="X124" i="1" s="1"/>
  <c r="L124" i="1"/>
  <c r="U123" i="1"/>
  <c r="L123" i="1"/>
  <c r="U122" i="1"/>
  <c r="L122" i="1"/>
  <c r="U121" i="1"/>
  <c r="X121" i="1" s="1"/>
  <c r="L121" i="1"/>
  <c r="U120" i="1"/>
  <c r="L120" i="1"/>
  <c r="U119" i="1"/>
  <c r="L119" i="1"/>
  <c r="U118" i="1"/>
  <c r="Y118" i="1" s="1"/>
  <c r="L118" i="1"/>
  <c r="U117" i="1"/>
  <c r="Y117" i="1" s="1"/>
  <c r="L117" i="1"/>
  <c r="U116" i="1"/>
  <c r="X116" i="1" s="1"/>
  <c r="L116" i="1"/>
  <c r="U115" i="1"/>
  <c r="X115" i="1" s="1"/>
  <c r="L115" i="1"/>
  <c r="U114" i="1"/>
  <c r="L114" i="1"/>
  <c r="U113" i="1"/>
  <c r="L113" i="1"/>
  <c r="U112" i="1"/>
  <c r="Y112" i="1" s="1"/>
  <c r="L112" i="1"/>
  <c r="U111" i="1"/>
  <c r="X111" i="1" s="1"/>
  <c r="L111" i="1"/>
  <c r="U110" i="1"/>
  <c r="Y110" i="1" s="1"/>
  <c r="L110" i="1"/>
  <c r="U109" i="1"/>
  <c r="X109" i="1" s="1"/>
  <c r="L109" i="1"/>
  <c r="U108" i="1"/>
  <c r="L108" i="1"/>
  <c r="U107" i="1"/>
  <c r="L107" i="1"/>
  <c r="U106" i="1"/>
  <c r="L106" i="1"/>
  <c r="U105" i="1"/>
  <c r="L105" i="1"/>
  <c r="U104" i="1"/>
  <c r="Y104" i="1" s="1"/>
  <c r="L104" i="1"/>
  <c r="U103" i="1"/>
  <c r="L103" i="1"/>
  <c r="U102" i="1"/>
  <c r="X102" i="1" s="1"/>
  <c r="L102" i="1"/>
  <c r="U101" i="1"/>
  <c r="X101" i="1" s="1"/>
  <c r="L101" i="1"/>
  <c r="U100" i="1"/>
  <c r="L100" i="1"/>
  <c r="U99" i="1"/>
  <c r="L99" i="1"/>
  <c r="U98" i="1"/>
  <c r="Y98" i="1" s="1"/>
  <c r="L98" i="1"/>
  <c r="U97" i="1"/>
  <c r="V97" i="1" s="1"/>
  <c r="W97" i="1" s="1"/>
  <c r="L97" i="1"/>
  <c r="U96" i="1"/>
  <c r="X96" i="1" s="1"/>
  <c r="L96" i="1"/>
  <c r="U95" i="1"/>
  <c r="X95" i="1" s="1"/>
  <c r="L95" i="1"/>
  <c r="U94" i="1"/>
  <c r="L94" i="1"/>
  <c r="U93" i="1"/>
  <c r="L93" i="1"/>
  <c r="U92" i="1"/>
  <c r="X92" i="1" s="1"/>
  <c r="L92" i="1"/>
  <c r="U91" i="1"/>
  <c r="L91" i="1"/>
  <c r="U90" i="1"/>
  <c r="Y90" i="1" s="1"/>
  <c r="L90" i="1"/>
  <c r="U89" i="1"/>
  <c r="X89" i="1" s="1"/>
  <c r="L89" i="1"/>
  <c r="U88" i="1"/>
  <c r="Y88" i="1" s="1"/>
  <c r="L88" i="1"/>
  <c r="U87" i="1"/>
  <c r="L87" i="1"/>
  <c r="U86" i="1"/>
  <c r="X86" i="1" s="1"/>
  <c r="L86" i="1"/>
  <c r="U85" i="1"/>
  <c r="L85" i="1"/>
  <c r="U84" i="1"/>
  <c r="L84" i="1"/>
  <c r="U83" i="1"/>
  <c r="L83" i="1"/>
  <c r="U82" i="1"/>
  <c r="V82" i="1" s="1"/>
  <c r="W82" i="1" s="1"/>
  <c r="AK82" i="1" s="1"/>
  <c r="L82" i="1"/>
  <c r="U81" i="1"/>
  <c r="X81" i="1" s="1"/>
  <c r="L81" i="1"/>
  <c r="U80" i="1"/>
  <c r="L80" i="1"/>
  <c r="U79" i="1"/>
  <c r="L79" i="1"/>
  <c r="U78" i="1"/>
  <c r="Y78" i="1" s="1"/>
  <c r="L78" i="1"/>
  <c r="U77" i="1"/>
  <c r="Y77" i="1" s="1"/>
  <c r="L77" i="1"/>
  <c r="U76" i="1"/>
  <c r="Y76" i="1" s="1"/>
  <c r="L76" i="1"/>
  <c r="U75" i="1"/>
  <c r="X75" i="1" s="1"/>
  <c r="L75" i="1"/>
  <c r="U74" i="1"/>
  <c r="L74" i="1"/>
  <c r="U73" i="1"/>
  <c r="Y73" i="1" s="1"/>
  <c r="L73" i="1"/>
  <c r="U72" i="1"/>
  <c r="X72" i="1" s="1"/>
  <c r="L72" i="1"/>
  <c r="U71" i="1"/>
  <c r="L71" i="1"/>
  <c r="U70" i="1"/>
  <c r="X70" i="1" s="1"/>
  <c r="L70" i="1"/>
  <c r="U69" i="1"/>
  <c r="L69" i="1"/>
  <c r="U68" i="1"/>
  <c r="X68" i="1" s="1"/>
  <c r="L68" i="1"/>
  <c r="U67" i="1"/>
  <c r="L67" i="1"/>
  <c r="U66" i="1"/>
  <c r="X66" i="1" s="1"/>
  <c r="L66" i="1"/>
  <c r="U65" i="1"/>
  <c r="Y65" i="1" s="1"/>
  <c r="L65" i="1"/>
  <c r="U64" i="1"/>
  <c r="Y64" i="1" s="1"/>
  <c r="L64" i="1"/>
  <c r="U63" i="1"/>
  <c r="Y63" i="1" s="1"/>
  <c r="L63" i="1"/>
  <c r="U62" i="1"/>
  <c r="Y62" i="1" s="1"/>
  <c r="L62" i="1"/>
  <c r="U61" i="1"/>
  <c r="Y61" i="1" s="1"/>
  <c r="L61" i="1"/>
  <c r="U60" i="1"/>
  <c r="X60" i="1" s="1"/>
  <c r="L60" i="1"/>
  <c r="U59" i="1"/>
  <c r="Y59" i="1" s="1"/>
  <c r="L59" i="1"/>
  <c r="U58" i="1"/>
  <c r="X58" i="1" s="1"/>
  <c r="L58" i="1"/>
  <c r="U57" i="1"/>
  <c r="L57" i="1"/>
  <c r="U56" i="1"/>
  <c r="X56" i="1" s="1"/>
  <c r="L56" i="1"/>
  <c r="U55" i="1"/>
  <c r="L55" i="1"/>
  <c r="U54" i="1"/>
  <c r="Y54" i="1" s="1"/>
  <c r="L54" i="1"/>
  <c r="U53" i="1"/>
  <c r="Y53" i="1" s="1"/>
  <c r="L53" i="1"/>
  <c r="U52" i="1"/>
  <c r="X52" i="1" s="1"/>
  <c r="L52" i="1"/>
  <c r="U51" i="1"/>
  <c r="L51" i="1"/>
  <c r="U50" i="1"/>
  <c r="V50" i="1" s="1"/>
  <c r="L50" i="1"/>
  <c r="U49" i="1"/>
  <c r="V49" i="1" s="1"/>
  <c r="W49" i="1" s="1"/>
  <c r="L49" i="1"/>
  <c r="U48" i="1"/>
  <c r="X48" i="1" s="1"/>
  <c r="L48" i="1"/>
  <c r="U47" i="1"/>
  <c r="L47" i="1"/>
  <c r="U46" i="1"/>
  <c r="Y46" i="1" s="1"/>
  <c r="L46" i="1"/>
  <c r="U45" i="1"/>
  <c r="Y45" i="1" s="1"/>
  <c r="L45" i="1"/>
  <c r="U44" i="1"/>
  <c r="X44" i="1" s="1"/>
  <c r="L44" i="1"/>
  <c r="U43" i="1"/>
  <c r="L43" i="1"/>
  <c r="U42" i="1"/>
  <c r="V42" i="1" s="1"/>
  <c r="W42" i="1" s="1"/>
  <c r="AK42" i="1" s="1"/>
  <c r="L42" i="1"/>
  <c r="U41" i="1"/>
  <c r="V41" i="1" s="1"/>
  <c r="W41" i="1" s="1"/>
  <c r="L41" i="1"/>
  <c r="U40" i="1"/>
  <c r="X40" i="1" s="1"/>
  <c r="L40" i="1"/>
  <c r="U39" i="1"/>
  <c r="L39" i="1"/>
  <c r="U38" i="1"/>
  <c r="X38" i="1" s="1"/>
  <c r="L38" i="1"/>
  <c r="U37" i="1"/>
  <c r="L37" i="1"/>
  <c r="U36" i="1"/>
  <c r="Y36" i="1" s="1"/>
  <c r="L36" i="1"/>
  <c r="U35" i="1"/>
  <c r="L35" i="1"/>
  <c r="U34" i="1"/>
  <c r="X34" i="1" s="1"/>
  <c r="L34" i="1"/>
  <c r="U33" i="1"/>
  <c r="X33" i="1" s="1"/>
  <c r="L33" i="1"/>
  <c r="U32" i="1"/>
  <c r="Y32" i="1" s="1"/>
  <c r="L32" i="1"/>
  <c r="U31" i="1"/>
  <c r="L31" i="1"/>
  <c r="U30" i="1"/>
  <c r="Y30" i="1" s="1"/>
  <c r="L30" i="1"/>
  <c r="U29" i="1"/>
  <c r="Y29" i="1" s="1"/>
  <c r="L29" i="1"/>
  <c r="U28" i="1"/>
  <c r="X28" i="1" s="1"/>
  <c r="L28" i="1"/>
  <c r="U27" i="1"/>
  <c r="Y27" i="1" s="1"/>
  <c r="L27" i="1"/>
  <c r="U26" i="1"/>
  <c r="Y26" i="1" s="1"/>
  <c r="L26" i="1"/>
  <c r="U25" i="1"/>
  <c r="V25" i="1" s="1"/>
  <c r="W25" i="1" s="1"/>
  <c r="L25" i="1"/>
  <c r="U24" i="1"/>
  <c r="Y24" i="1" s="1"/>
  <c r="L24" i="1"/>
  <c r="U23" i="1"/>
  <c r="Y23" i="1" s="1"/>
  <c r="L23" i="1"/>
  <c r="U22" i="1"/>
  <c r="X22" i="1" s="1"/>
  <c r="L22" i="1"/>
  <c r="U21" i="1"/>
  <c r="L21" i="1"/>
  <c r="U20" i="1"/>
  <c r="X20" i="1" s="1"/>
  <c r="L20" i="1"/>
  <c r="U19" i="1"/>
  <c r="L19" i="1"/>
  <c r="U18" i="1"/>
  <c r="X18" i="1" s="1"/>
  <c r="L18" i="1"/>
  <c r="U17" i="1"/>
  <c r="L17" i="1"/>
  <c r="U16" i="1"/>
  <c r="X16" i="1" s="1"/>
  <c r="L16" i="1"/>
  <c r="U15" i="1"/>
  <c r="X15" i="1" s="1"/>
  <c r="L15" i="1"/>
  <c r="U14" i="1"/>
  <c r="Y14" i="1" s="1"/>
  <c r="L14" i="1"/>
  <c r="U13" i="1"/>
  <c r="X13" i="1" s="1"/>
  <c r="L13" i="1"/>
  <c r="U12" i="1"/>
  <c r="Y12" i="1" s="1"/>
  <c r="L12" i="1"/>
  <c r="U11" i="1"/>
  <c r="V11" i="1" s="1"/>
  <c r="W11" i="1" s="1"/>
  <c r="L11" i="1"/>
  <c r="U10" i="1"/>
  <c r="V10" i="1" s="1"/>
  <c r="L10" i="1"/>
  <c r="U9" i="1"/>
  <c r="L9" i="1"/>
  <c r="U8" i="1"/>
  <c r="Y8" i="1" s="1"/>
  <c r="L8" i="1"/>
  <c r="U7" i="1"/>
  <c r="Y7" i="1" s="1"/>
  <c r="L7" i="1"/>
  <c r="U6" i="1"/>
  <c r="X6" i="1" s="1"/>
  <c r="L6" i="1"/>
  <c r="AI5" i="1"/>
  <c r="AH5" i="1"/>
  <c r="AG5" i="1"/>
  <c r="AF5" i="1"/>
  <c r="AE5" i="1"/>
  <c r="AD5" i="1"/>
  <c r="AC5" i="1"/>
  <c r="AB5" i="1"/>
  <c r="AA5" i="1"/>
  <c r="Z5" i="1"/>
  <c r="T5" i="1"/>
  <c r="S5" i="1"/>
  <c r="R5" i="1"/>
  <c r="Q5" i="1"/>
  <c r="P5" i="1"/>
  <c r="O5" i="1"/>
  <c r="N5" i="1"/>
  <c r="M5" i="1"/>
  <c r="K5" i="1"/>
  <c r="W10" i="1" l="1"/>
  <c r="AK10" i="1" s="1"/>
  <c r="W50" i="1"/>
  <c r="AK50" i="1" s="1"/>
  <c r="V117" i="1"/>
  <c r="W117" i="1" s="1"/>
  <c r="AK117" i="1" s="1"/>
  <c r="X64" i="1"/>
  <c r="V77" i="1"/>
  <c r="W77" i="1" s="1"/>
  <c r="AK77" i="1" s="1"/>
  <c r="X12" i="1"/>
  <c r="X14" i="1"/>
  <c r="X24" i="1"/>
  <c r="X26" i="1"/>
  <c r="X30" i="1"/>
  <c r="X32" i="1"/>
  <c r="X36" i="1"/>
  <c r="X42" i="1"/>
  <c r="Y79" i="1"/>
  <c r="X79" i="1"/>
  <c r="Y83" i="1"/>
  <c r="X83" i="1"/>
  <c r="Y87" i="1"/>
  <c r="X87" i="1"/>
  <c r="Y91" i="1"/>
  <c r="X91" i="1"/>
  <c r="Y93" i="1"/>
  <c r="X93" i="1"/>
  <c r="AK97" i="1"/>
  <c r="X97" i="1"/>
  <c r="Y99" i="1"/>
  <c r="X99" i="1"/>
  <c r="Y105" i="1"/>
  <c r="X105" i="1"/>
  <c r="Y113" i="1"/>
  <c r="X113" i="1"/>
  <c r="X117" i="1"/>
  <c r="Y119" i="1"/>
  <c r="X119" i="1"/>
  <c r="Y125" i="1"/>
  <c r="X125" i="1"/>
  <c r="F5" i="1"/>
  <c r="X127" i="1"/>
  <c r="Y129" i="1"/>
  <c r="X129" i="1"/>
  <c r="AK131" i="1"/>
  <c r="X131" i="1"/>
  <c r="X88" i="1"/>
  <c r="X104" i="1"/>
  <c r="X112" i="1"/>
  <c r="X132" i="1"/>
  <c r="Y9" i="1"/>
  <c r="X9" i="1"/>
  <c r="AK11" i="1"/>
  <c r="X11" i="1"/>
  <c r="Y17" i="1"/>
  <c r="X17" i="1"/>
  <c r="Y19" i="1"/>
  <c r="X19" i="1"/>
  <c r="Y21" i="1"/>
  <c r="X21" i="1"/>
  <c r="AK25" i="1"/>
  <c r="X25" i="1"/>
  <c r="Y31" i="1"/>
  <c r="X31" i="1"/>
  <c r="Y35" i="1"/>
  <c r="X35" i="1"/>
  <c r="Y37" i="1"/>
  <c r="X37" i="1"/>
  <c r="Y39" i="1"/>
  <c r="X39" i="1"/>
  <c r="AK41" i="1"/>
  <c r="X41" i="1"/>
  <c r="Y43" i="1"/>
  <c r="X43" i="1"/>
  <c r="Y47" i="1"/>
  <c r="X47" i="1"/>
  <c r="AK49" i="1"/>
  <c r="X49" i="1"/>
  <c r="Y51" i="1"/>
  <c r="X51" i="1"/>
  <c r="Y55" i="1"/>
  <c r="X55" i="1"/>
  <c r="Y57" i="1"/>
  <c r="X57" i="1"/>
  <c r="Y67" i="1"/>
  <c r="X67" i="1"/>
  <c r="Y69" i="1"/>
  <c r="X69" i="1"/>
  <c r="Y71" i="1"/>
  <c r="X71" i="1"/>
  <c r="Y115" i="1"/>
  <c r="X50" i="1"/>
  <c r="X82" i="1"/>
  <c r="X90" i="1"/>
  <c r="X98" i="1"/>
  <c r="X110" i="1"/>
  <c r="X134" i="1"/>
  <c r="V61" i="1"/>
  <c r="W61" i="1" s="1"/>
  <c r="Y103" i="1"/>
  <c r="V103" i="1"/>
  <c r="W103" i="1" s="1"/>
  <c r="U5" i="1"/>
  <c r="V7" i="1"/>
  <c r="W7" i="1" s="1"/>
  <c r="V45" i="1"/>
  <c r="W45" i="1" s="1"/>
  <c r="V54" i="1"/>
  <c r="W54" i="1" s="1"/>
  <c r="V63" i="1"/>
  <c r="W63" i="1" s="1"/>
  <c r="Y124" i="1"/>
  <c r="Y126" i="1"/>
  <c r="V8" i="1"/>
  <c r="W8" i="1" s="1"/>
  <c r="V23" i="1"/>
  <c r="W23" i="1" s="1"/>
  <c r="V29" i="1"/>
  <c r="W29" i="1" s="1"/>
  <c r="V46" i="1"/>
  <c r="W46" i="1" s="1"/>
  <c r="V53" i="1"/>
  <c r="W53" i="1" s="1"/>
  <c r="V62" i="1"/>
  <c r="W62" i="1" s="1"/>
  <c r="V73" i="1"/>
  <c r="W73" i="1" s="1"/>
  <c r="V76" i="1"/>
  <c r="W76" i="1" s="1"/>
  <c r="V78" i="1"/>
  <c r="W78" i="1" s="1"/>
  <c r="Y102" i="1"/>
  <c r="V118" i="1"/>
  <c r="W118" i="1" s="1"/>
  <c r="Y10" i="1"/>
  <c r="Y11" i="1"/>
  <c r="Y25" i="1"/>
  <c r="Y41" i="1"/>
  <c r="Y42" i="1"/>
  <c r="Y49" i="1"/>
  <c r="Y50" i="1"/>
  <c r="Y82" i="1"/>
  <c r="Y97" i="1"/>
  <c r="Y131" i="1"/>
  <c r="E5" i="1"/>
  <c r="Y89" i="1"/>
  <c r="Y96" i="1"/>
  <c r="Y6" i="1"/>
  <c r="Y13" i="1"/>
  <c r="Y15" i="1"/>
  <c r="Y16" i="1"/>
  <c r="Y18" i="1"/>
  <c r="Y20" i="1"/>
  <c r="Y22" i="1"/>
  <c r="Y28" i="1"/>
  <c r="Y33" i="1"/>
  <c r="Y34" i="1"/>
  <c r="Y38" i="1"/>
  <c r="Y40" i="1"/>
  <c r="Y44" i="1"/>
  <c r="Y48" i="1"/>
  <c r="Y52" i="1"/>
  <c r="Y56" i="1"/>
  <c r="Y58" i="1"/>
  <c r="Y60" i="1"/>
  <c r="Y66" i="1"/>
  <c r="Y68" i="1"/>
  <c r="Y70" i="1"/>
  <c r="Y72" i="1"/>
  <c r="Y74" i="1"/>
  <c r="V74" i="1"/>
  <c r="W74" i="1" s="1"/>
  <c r="Y80" i="1"/>
  <c r="V80" i="1"/>
  <c r="W80" i="1" s="1"/>
  <c r="Y84" i="1"/>
  <c r="V84" i="1"/>
  <c r="W84" i="1" s="1"/>
  <c r="Y85" i="1"/>
  <c r="V85" i="1"/>
  <c r="W85" i="1" s="1"/>
  <c r="Y94" i="1"/>
  <c r="V94" i="1"/>
  <c r="W94" i="1" s="1"/>
  <c r="Y100" i="1"/>
  <c r="V100" i="1"/>
  <c r="W100" i="1" s="1"/>
  <c r="Y106" i="1"/>
  <c r="V106" i="1"/>
  <c r="W106" i="1" s="1"/>
  <c r="Y107" i="1"/>
  <c r="V107" i="1"/>
  <c r="W107" i="1" s="1"/>
  <c r="Y108" i="1"/>
  <c r="V108" i="1"/>
  <c r="W108" i="1" s="1"/>
  <c r="Y120" i="1"/>
  <c r="V120" i="1"/>
  <c r="W120" i="1" s="1"/>
  <c r="L127" i="1"/>
  <c r="L5" i="1" s="1"/>
  <c r="V27" i="1"/>
  <c r="W27" i="1" s="1"/>
  <c r="V59" i="1"/>
  <c r="W59" i="1" s="1"/>
  <c r="V65" i="1"/>
  <c r="W65" i="1" s="1"/>
  <c r="Y75" i="1"/>
  <c r="Y81" i="1"/>
  <c r="Y86" i="1"/>
  <c r="Y92" i="1"/>
  <c r="Y95" i="1"/>
  <c r="Y101" i="1"/>
  <c r="Y109" i="1"/>
  <c r="Y111" i="1"/>
  <c r="Y114" i="1"/>
  <c r="V114" i="1"/>
  <c r="W114" i="1" s="1"/>
  <c r="Y116" i="1"/>
  <c r="Y121" i="1"/>
  <c r="Y122" i="1"/>
  <c r="V122" i="1"/>
  <c r="W122" i="1" s="1"/>
  <c r="Y123" i="1"/>
  <c r="V123" i="1"/>
  <c r="W123" i="1" s="1"/>
  <c r="Y127" i="1"/>
  <c r="Y128" i="1"/>
  <c r="Y130" i="1"/>
  <c r="Y133" i="1"/>
  <c r="X10" i="1" l="1"/>
  <c r="X77" i="1"/>
  <c r="AK123" i="1"/>
  <c r="X123" i="1"/>
  <c r="AK65" i="1"/>
  <c r="X65" i="1"/>
  <c r="AK120" i="1"/>
  <c r="X120" i="1"/>
  <c r="AK59" i="1"/>
  <c r="X59" i="1"/>
  <c r="AK118" i="1"/>
  <c r="X118" i="1"/>
  <c r="AK78" i="1"/>
  <c r="X78" i="1"/>
  <c r="AK73" i="1"/>
  <c r="X73" i="1"/>
  <c r="AK53" i="1"/>
  <c r="X53" i="1"/>
  <c r="AK29" i="1"/>
  <c r="X29" i="1"/>
  <c r="AK8" i="1"/>
  <c r="X8" i="1"/>
  <c r="AK54" i="1"/>
  <c r="X54" i="1"/>
  <c r="X7" i="1"/>
  <c r="AK7" i="1"/>
  <c r="W5" i="1"/>
  <c r="X103" i="1"/>
  <c r="AK103" i="1"/>
  <c r="AK61" i="1"/>
  <c r="X61" i="1"/>
  <c r="AK122" i="1"/>
  <c r="X122" i="1"/>
  <c r="AK114" i="1"/>
  <c r="X114" i="1"/>
  <c r="AK27" i="1"/>
  <c r="X27" i="1"/>
  <c r="AK108" i="1"/>
  <c r="X108" i="1"/>
  <c r="AK107" i="1"/>
  <c r="X107" i="1"/>
  <c r="AK106" i="1"/>
  <c r="X106" i="1"/>
  <c r="AK100" i="1"/>
  <c r="X100" i="1"/>
  <c r="AK94" i="1"/>
  <c r="X94" i="1"/>
  <c r="AK85" i="1"/>
  <c r="X85" i="1"/>
  <c r="AK84" i="1"/>
  <c r="X84" i="1"/>
  <c r="AK80" i="1"/>
  <c r="X80" i="1"/>
  <c r="AK74" i="1"/>
  <c r="X74" i="1"/>
  <c r="AK76" i="1"/>
  <c r="X76" i="1"/>
  <c r="AK62" i="1"/>
  <c r="X62" i="1"/>
  <c r="AK46" i="1"/>
  <c r="X46" i="1"/>
  <c r="X23" i="1"/>
  <c r="AK23" i="1"/>
  <c r="AK63" i="1"/>
  <c r="X63" i="1"/>
  <c r="AK45" i="1"/>
  <c r="X45" i="1"/>
  <c r="V5" i="1"/>
  <c r="AK5" i="1" l="1"/>
</calcChain>
</file>

<file path=xl/sharedStrings.xml><?xml version="1.0" encoding="utf-8"?>
<sst xmlns="http://schemas.openxmlformats.org/spreadsheetml/2006/main" count="1230" uniqueCount="583">
  <si>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</si>
  <si>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</si>
  <si>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</si>
  <si>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</si>
  <si>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</si>
  <si>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</si>
  <si>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</si>
  <si>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</si>
  <si>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</si>
  <si>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</si>
  <si>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</si>
  <si>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</si>
  <si>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</si>
  <si>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</si>
  <si>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</si>
  <si>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</si>
  <si>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</si>
  <si>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</si>
  <si>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</si>
  <si>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</si>
  <si>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</si>
  <si>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</si>
  <si>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</si>
  <si>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</si>
  <si>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</si>
  <si>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25,08,</t>
  </si>
  <si>
    <t>25,08,недогр</t>
  </si>
  <si>
    <t>25,08,доз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</si>
  <si>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</si>
  <si>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</si>
  <si>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</si>
  <si>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</si>
  <si>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</si>
  <si>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</si>
  <si>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</si>
  <si>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</si>
  <si>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</si>
  <si>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</si>
  <si>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</si>
  <si>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</si>
  <si>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</si>
  <si>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</si>
  <si>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</si>
  <si>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</si>
  <si>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</si>
  <si>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</si>
  <si>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</si>
  <si>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</si>
  <si>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</si>
  <si>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</si>
  <si>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</si>
  <si>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</si>
  <si>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</si>
  <si>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</si>
  <si>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</si>
  <si>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</si>
  <si>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</si>
  <si>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</si>
  <si>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</si>
  <si>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</si>
  <si>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</si>
  <si>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</si>
  <si>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</si>
  <si>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</si>
  <si>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</si>
  <si>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</si>
  <si>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</si>
  <si>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</si>
  <si>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</si>
  <si>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</si>
  <si>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</si>
  <si>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</si>
  <si>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</si>
  <si>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</si>
  <si>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</si>
  <si>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</si>
  <si>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</si>
  <si>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</si>
  <si>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</si>
  <si>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</si>
  <si>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</si>
  <si>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</si>
  <si>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</si>
  <si>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</si>
  <si>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</si>
  <si>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</si>
  <si>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</si>
  <si>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</si>
  <si>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</si>
  <si>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</si>
  <si>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</si>
  <si>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</si>
  <si>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</si>
  <si>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</si>
  <si>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</si>
  <si>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</si>
  <si>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</si>
  <si>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</si>
  <si>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</si>
  <si>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</si>
  <si>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</si>
  <si>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</si>
  <si>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</si>
  <si>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</si>
  <si>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</si>
  <si>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</si>
  <si>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нужно увеличить продажи / 120кг под задачи ТК (31,07,26)</t>
  </si>
  <si>
    <t xml:space="preserve"> 341 Сосиски Сочинки Сливочные ТМ Стародворье ВЕС ПОКОМ</t>
  </si>
  <si>
    <t>120кг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</si>
  <si>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</si>
  <si>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</si>
  <si>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</si>
  <si>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</si>
  <si>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</si>
  <si>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</si>
  <si>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</si>
  <si>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</si>
  <si>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</si>
  <si>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</si>
  <si>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</si>
  <si>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</si>
  <si>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</si>
  <si>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</si>
  <si>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</si>
  <si>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</si>
  <si>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</si>
  <si>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</si>
  <si>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</si>
  <si>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</si>
  <si>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</si>
  <si>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</si>
  <si>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</si>
  <si>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</si>
  <si>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</si>
  <si>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</si>
  <si>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</si>
  <si>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</si>
  <si>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</si>
  <si>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</si>
  <si>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</si>
  <si>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</si>
  <si>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</si>
  <si>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</si>
  <si>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</si>
  <si>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</si>
  <si>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</si>
  <si>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</si>
  <si>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</si>
  <si>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</si>
  <si>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</si>
  <si>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</si>
  <si>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</si>
  <si>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</si>
  <si>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</si>
  <si>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</si>
  <si>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</si>
  <si>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</si>
  <si>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</si>
  <si>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</si>
  <si>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</si>
  <si>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</si>
  <si>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</si>
  <si>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</si>
  <si>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</si>
  <si>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</si>
  <si>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</si>
  <si>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</si>
  <si>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</si>
  <si>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</si>
  <si>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</si>
  <si>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</si>
  <si>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</si>
  <si>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</si>
  <si>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</si>
  <si>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</si>
  <si>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</si>
  <si>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</si>
  <si>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</si>
  <si>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</si>
  <si>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</si>
  <si>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</si>
  <si>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</si>
  <si>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</si>
  <si>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</si>
  <si>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</si>
  <si>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</si>
  <si>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</si>
  <si>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</si>
  <si>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</si>
  <si>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</si>
  <si>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</si>
  <si>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</si>
  <si>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</si>
  <si>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</si>
  <si>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</si>
  <si>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</si>
  <si>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</si>
  <si>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</si>
  <si>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1 920 </t>
  </si>
  <si>
    <t> 1 925 </t>
  </si>
  <si>
    <t> 5 </t>
  </si>
  <si>
    <t> кг </t>
  </si>
  <si>
    <t> 1.000 </t>
  </si>
  <si>
    <t> 237.93 </t>
  </si>
  <si>
    <t> 458 024.05 </t>
  </si>
  <si>
    <t> SU000227 </t>
  </si>
  <si>
    <t> Сардельки «Стародворские с говядиной» Весовые NDX ТМ «Стародворье» </t>
  </si>
  <si>
    <t> 967 </t>
  </si>
  <si>
    <t> 972 </t>
  </si>
  <si>
    <t> 245.55 </t>
  </si>
  <si>
    <t> 238 676.81 </t>
  </si>
  <si>
    <t> SU000722 </t>
  </si>
  <si>
    <t> Вареные колбасы Докторская ГОСТ Вязанка Весовые Вектор Вязанка </t>
  </si>
  <si>
    <t> 1 307 </t>
  </si>
  <si>
    <t> 1 309 </t>
  </si>
  <si>
    <t> 2 </t>
  </si>
  <si>
    <t> 315.43 </t>
  </si>
  <si>
    <t> 412 763.50 </t>
  </si>
  <si>
    <t> SU001430 </t>
  </si>
  <si>
    <t> Сардельки «Шпикачки Стародворские» Весовой NDX ТМ «Стародворье» </t>
  </si>
  <si>
    <t> 76 </t>
  </si>
  <si>
    <t> 78 </t>
  </si>
  <si>
    <t> 247.05 </t>
  </si>
  <si>
    <t> 19 241.24 </t>
  </si>
  <si>
    <t> SU001523 </t>
  </si>
  <si>
    <t> Сосиски «Молокуши (Вязанка Молочные)» Весовой п/а мгс ТМ «Вязанка» </t>
  </si>
  <si>
    <t> 737 </t>
  </si>
  <si>
    <t> 738 </t>
  </si>
  <si>
    <t> 1 </t>
  </si>
  <si>
    <t> 270.85 </t>
  </si>
  <si>
    <t> 199 903.55 </t>
  </si>
  <si>
    <t> SU001718 </t>
  </si>
  <si>
    <t> Сосиски «Молокуши» ф/в 0,45 п/а мгс ТМ «Вязанка» </t>
  </si>
  <si>
    <t> 132 </t>
  </si>
  <si>
    <t> 0 </t>
  </si>
  <si>
    <t> шт </t>
  </si>
  <si>
    <t> 294 </t>
  </si>
  <si>
    <t> 0.450 </t>
  </si>
  <si>
    <t> 138.30 </t>
  </si>
  <si>
    <t> 40 660.20 </t>
  </si>
  <si>
    <t> SU001720 </t>
  </si>
  <si>
    <t> Сосиски «Сливочные» ф/в 0,45 п/а мгс ТМ «Вязанка» </t>
  </si>
  <si>
    <t> 329 </t>
  </si>
  <si>
    <t> 732 </t>
  </si>
  <si>
    <t> 138.77 </t>
  </si>
  <si>
    <t> 101 579.64 </t>
  </si>
  <si>
    <t> SU001721 </t>
  </si>
  <si>
    <t> Сосиски «Сливочные Вязанка» Весовой п/а мгс ТМ «Вязанка» </t>
  </si>
  <si>
    <t> 535 </t>
  </si>
  <si>
    <t> 539 </t>
  </si>
  <si>
    <t> 4 </t>
  </si>
  <si>
    <t> 284.43 </t>
  </si>
  <si>
    <t> 153 269.37 </t>
  </si>
  <si>
    <t> SU001822 </t>
  </si>
  <si>
    <t> В/к колбасы Кремлевский Бордо Весовые Фиброуз в/у Стародворье </t>
  </si>
  <si>
    <t> 46 </t>
  </si>
  <si>
    <t> 48 </t>
  </si>
  <si>
    <t> 296.44 </t>
  </si>
  <si>
    <t> 14 083.27 </t>
  </si>
  <si>
    <t> SU002010 </t>
  </si>
  <si>
    <t> Вареные колбасы «Молочная Дугушка» Весовые Вектор ТМ «Дугушка» </t>
  </si>
  <si>
    <t> 713 </t>
  </si>
  <si>
    <t> 714 </t>
  </si>
  <si>
    <t> 240.43 </t>
  </si>
  <si>
    <t> 171 640.09 </t>
  </si>
  <si>
    <t> SU002035 </t>
  </si>
  <si>
    <t> Ветчины Дугушка Дугушка Вес б/о Дугушка </t>
  </si>
  <si>
    <t> 296 </t>
  </si>
  <si>
    <t> 298 </t>
  </si>
  <si>
    <t> 273.46 </t>
  </si>
  <si>
    <t> 81 572.30 </t>
  </si>
  <si>
    <t> SU002074 </t>
  </si>
  <si>
    <t> Сосиски «Молочные для завтрака» Весовой п/а ТМ «Особый рецепт» </t>
  </si>
  <si>
    <t> 747 </t>
  </si>
  <si>
    <t> 754 </t>
  </si>
  <si>
    <t> 7 </t>
  </si>
  <si>
    <t> 205.06 </t>
  </si>
  <si>
    <t> 154 654.61 </t>
  </si>
  <si>
    <t> SU002151 </t>
  </si>
  <si>
    <t> В/к колбасы «Сервелат Запеченный» Весовые Вектор ТМ «Дугушка» </t>
  </si>
  <si>
    <t> 370 </t>
  </si>
  <si>
    <t> 369 </t>
  </si>
  <si>
    <t> -1 </t>
  </si>
  <si>
    <t> 285.29 </t>
  </si>
  <si>
    <t> 105 239.20 </t>
  </si>
  <si>
    <t> SU002158 </t>
  </si>
  <si>
    <t> В/к колбасы «Салями Запеченая» Весовые ТМ «Дугушка» </t>
  </si>
  <si>
    <t> 243 </t>
  </si>
  <si>
    <t> 247 </t>
  </si>
  <si>
    <t> 302.11 </t>
  </si>
  <si>
    <t> 74 637.18 </t>
  </si>
  <si>
    <t> SU002205 </t>
  </si>
  <si>
    <t> Сосиски «Молочные для завтрака» Фикс.вес 0,4 П/а мгс ТМ «Особый рецепт» </t>
  </si>
  <si>
    <t> -5 </t>
  </si>
  <si>
    <t> 0.400 </t>
  </si>
  <si>
    <t> 97.19 </t>
  </si>
  <si>
    <t> 0.00 </t>
  </si>
  <si>
    <t> SU002287 </t>
  </si>
  <si>
    <t> Сардельки «Сочные» Весовой п/а ТМ «Особый рецепт» </t>
  </si>
  <si>
    <t> 54 </t>
  </si>
  <si>
    <t> -54 </t>
  </si>
  <si>
    <t> 199.26 </t>
  </si>
  <si>
    <t> SU002618 </t>
  </si>
  <si>
    <t> Сосиски «Сочинки с сочной грудинкой» Фикс.вес 0,4 П/а мгс ТМ «Стародворье» </t>
  </si>
  <si>
    <t> 401 </t>
  </si>
  <si>
    <t> 1 002 </t>
  </si>
  <si>
    <t> 93.12 </t>
  </si>
  <si>
    <t> 93 306.24 </t>
  </si>
  <si>
    <t> SU002621 </t>
  </si>
  <si>
    <t> Сосиски «Сочинки с сочным окороком» Фикс.вес 0,4 П/а мгс ТМ «Стародворье» </t>
  </si>
  <si>
    <t> 82 </t>
  </si>
  <si>
    <t> 204 </t>
  </si>
  <si>
    <t> 18 996.48 </t>
  </si>
  <si>
    <t> SU002634 </t>
  </si>
  <si>
    <t> Вареные колбасы «Дугушка Стародворская» Вес п/а ТМ «Дугушка» </t>
  </si>
  <si>
    <t> 486 </t>
  </si>
  <si>
    <t> 489 </t>
  </si>
  <si>
    <t> 3 </t>
  </si>
  <si>
    <t> 220.42 </t>
  </si>
  <si>
    <t> 107 836.08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</si>
  <si>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</si>
  <si>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</si>
  <si>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</si>
  <si>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</si>
  <si>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</si>
  <si>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</si>
  <si>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</si>
  <si>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</si>
  <si>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</si>
  <si>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</si>
  <si>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</si>
  <si>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</si>
  <si>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</si>
  <si>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60 </t>
  </si>
  <si>
    <t> 150 </t>
  </si>
  <si>
    <t> 98.10 </t>
  </si>
  <si>
    <t> 14 715.00 </t>
  </si>
  <si>
    <t> SU002725 </t>
  </si>
  <si>
    <t> Сосиски «Сочинки» Весовой п/а ТМ «Стародворье» </t>
  </si>
  <si>
    <t> 252 </t>
  </si>
  <si>
    <t> 256 </t>
  </si>
  <si>
    <t> 215.25 </t>
  </si>
  <si>
    <t> 55 018.76 </t>
  </si>
  <si>
    <t> SU002734 </t>
  </si>
  <si>
    <t> Вареные колбасы Сливушка Вязанка Фикс.вес 0,45 П/а Вязанка </t>
  </si>
  <si>
    <t> 117 </t>
  </si>
  <si>
    <t> 260 </t>
  </si>
  <si>
    <t> 138.49 </t>
  </si>
  <si>
    <t> 36 007.40 </t>
  </si>
  <si>
    <t> SU002735 </t>
  </si>
  <si>
    <t> Ветчины «Сливушка с индейкой» Фикс.вес 0,4 п/а ТМ «Вязанка» </t>
  </si>
  <si>
    <t> 55 </t>
  </si>
  <si>
    <t> 138 </t>
  </si>
  <si>
    <t> 160.71 </t>
  </si>
  <si>
    <t> 22 177.98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</si>
  <si>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</si>
  <si>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</si>
  <si>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17 </t>
  </si>
  <si>
    <t> -17 </t>
  </si>
  <si>
    <t> 290.33 </t>
  </si>
  <si>
    <t> SU002758 </t>
  </si>
  <si>
    <t> Сардельки «Сочинки» Фикс.вес 0,4 п/а ТМ «Стародворье» </t>
  </si>
  <si>
    <t> 108.89 </t>
  </si>
  <si>
    <t> SU002759 </t>
  </si>
  <si>
    <t> Сардельки «Сочинки с сыром» Фикс.вес 0,4 п/а ТМ «Стародворье» </t>
  </si>
  <si>
    <t> 10 </t>
  </si>
  <si>
    <t> 24 </t>
  </si>
  <si>
    <t> 2 613.36 </t>
  </si>
  <si>
    <t> SU002799 </t>
  </si>
  <si>
    <t> Сосиски Сочинки по-баварски Бавария Фикс.вес 0,4 П/а мгс Стародворье </t>
  </si>
  <si>
    <t> 22 </t>
  </si>
  <si>
    <t> 96.84 </t>
  </si>
  <si>
    <t> 5 229.36 </t>
  </si>
  <si>
    <t> SU002801 </t>
  </si>
  <si>
    <t> Сосиски «Сочинки по-баварски с сыром» Фикс.вес 0,4 П/а мгс ТМ «Стародворье» </t>
  </si>
  <si>
    <t> SU002816 </t>
  </si>
  <si>
    <t> Вареные колбасы Молокуша Вязанка Фикс.вес 0,45 п/а Вязанка </t>
  </si>
  <si>
    <t> 108 </t>
  </si>
  <si>
    <t> 240 </t>
  </si>
  <si>
    <t> 136.56 </t>
  </si>
  <si>
    <t> 32 774.40 </t>
  </si>
  <si>
    <t> SU002828 </t>
  </si>
  <si>
    <t> Ветчины «Филейская» Весовые Вектор ТМ «Вязанка» </t>
  </si>
  <si>
    <t> 238 </t>
  </si>
  <si>
    <t> 276.88 </t>
  </si>
  <si>
    <t> 65 866.98 </t>
  </si>
  <si>
    <t> SU002829 </t>
  </si>
  <si>
    <t> Вареные колбасы «Филейская» Весовые Вектор ТМ «Вязанка» </t>
  </si>
  <si>
    <t> 367 </t>
  </si>
  <si>
    <t> 365 </t>
  </si>
  <si>
    <t> -2 </t>
  </si>
  <si>
    <t> 266.45 </t>
  </si>
  <si>
    <t> 97 165.52 </t>
  </si>
  <si>
    <t> SU002830 </t>
  </si>
  <si>
    <t> Вареные колбасы Молокуша Вязанка Вес п/а Вязанка </t>
  </si>
  <si>
    <t> 292 </t>
  </si>
  <si>
    <t> 291 </t>
  </si>
  <si>
    <t> 266.22 </t>
  </si>
  <si>
    <t> 77 526.99 </t>
  </si>
  <si>
    <t> SU002831 </t>
  </si>
  <si>
    <t> Колбаса вареная Филейская ТМ Вязанка ТС Классическая полиамид ф/в 0,4 кг </t>
  </si>
  <si>
    <t> 56 </t>
  </si>
  <si>
    <t> 140 </t>
  </si>
  <si>
    <t> 127.46 </t>
  </si>
  <si>
    <t> 17 844.40 </t>
  </si>
  <si>
    <t> SU002842 </t>
  </si>
  <si>
    <t> Сосиски «Сочинки Молочные» Фикс.вес 0,4 п/а мгс ТМ «Стародворье» </t>
  </si>
  <si>
    <t> 1 338 </t>
  </si>
  <si>
    <t> 87.80 </t>
  </si>
  <si>
    <t> 117 476.40 </t>
  </si>
  <si>
    <t> SU002843 </t>
  </si>
  <si>
    <t> Сосиски «Сочинки Молочные» Весовой п/а мгс ТМ «Стародворье» </t>
  </si>
  <si>
    <t> 502 </t>
  </si>
  <si>
    <t> 503 </t>
  </si>
  <si>
    <t> 209.10 </t>
  </si>
  <si>
    <t> 105 073.38 </t>
  </si>
  <si>
    <t> SU002844 </t>
  </si>
  <si>
    <t> Сосиски «Сочинки Сливочные» Фикс.вес 0,4 п/а мгс ТМ «Стародворье» </t>
  </si>
  <si>
    <t> 94.69 </t>
  </si>
  <si>
    <t> 14 203.50 </t>
  </si>
  <si>
    <t> SU002845 </t>
  </si>
  <si>
    <t> Сосиски «Сочинки Сливочные» Весовые ТМ «Стародворье» 1,35 кг </t>
  </si>
  <si>
    <t> 389 </t>
  </si>
  <si>
    <t> 390 </t>
  </si>
  <si>
    <t> 217.69 </t>
  </si>
  <si>
    <t> 84 939.15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</si>
  <si>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</si>
  <si>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</si>
  <si>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265 </t>
  </si>
  <si>
    <t> -265 </t>
  </si>
  <si>
    <t> 102.77 </t>
  </si>
  <si>
    <t> SU002928 </t>
  </si>
  <si>
    <t> Вареные колбасы «Сливушка» Вес П/а ТМ «Вязанка» </t>
  </si>
  <si>
    <t> 388 </t>
  </si>
  <si>
    <t> 270.15 </t>
  </si>
  <si>
    <t> 104 799.29 </t>
  </si>
  <si>
    <t> SU002941 </t>
  </si>
  <si>
    <t> В/к колбасы «Сочинка по-европейски с сочной грудинкой» Весовой фиброуз ТМ «Стародворье» </t>
  </si>
  <si>
    <t> 86 </t>
  </si>
  <si>
    <t> -86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</si>
  <si>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</si>
  <si>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</si>
  <si>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</si>
  <si>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23 </t>
  </si>
  <si>
    <t> -23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</si>
  <si>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</si>
  <si>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</si>
  <si>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</si>
  <si>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</si>
  <si>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</si>
  <si>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</si>
  <si>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</si>
  <si>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45 </t>
  </si>
  <si>
    <t> -45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</si>
  <si>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</si>
  <si>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</si>
  <si>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</si>
  <si>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443 </t>
  </si>
  <si>
    <t> -443 </t>
  </si>
  <si>
    <t> 246.13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</si>
  <si>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</si>
  <si>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</si>
  <si>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</si>
  <si>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</si>
  <si>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97.60 </t>
  </si>
  <si>
    <t> SU002986 </t>
  </si>
  <si>
    <t> Вареные колбасы «Докторская ГОСТ» Фикс.вес 0,37 п/а ТМ «Вязанка» </t>
  </si>
  <si>
    <t> 100 </t>
  </si>
  <si>
    <t> 270 </t>
  </si>
  <si>
    <t> 0.370 </t>
  </si>
  <si>
    <t> 145.90 </t>
  </si>
  <si>
    <t> 39 393.00 </t>
  </si>
  <si>
    <t> SU003168 </t>
  </si>
  <si>
    <t> Сосиски «Баварские с сыром» Фикс.вес 0,35 п/а ТМ «Стародворье» </t>
  </si>
  <si>
    <t> 11 </t>
  </si>
  <si>
    <t> -11 </t>
  </si>
  <si>
    <t> 92.93 </t>
  </si>
  <si>
    <t> SU003273 </t>
  </si>
  <si>
    <t> Вареные колбасы «Молочная Стародворская с молоком» Весовой п/а ТМ «Стародворье» </t>
  </si>
  <si>
    <t> 162 </t>
  </si>
  <si>
    <t> 161 </t>
  </si>
  <si>
    <t> 221.27 </t>
  </si>
  <si>
    <t> 35 732.23 </t>
  </si>
  <si>
    <t> SU003420 </t>
  </si>
  <si>
    <t> Вареные колбасы «Филейная» Весовой п/а ТМ «Особый рецепт» большой батон </t>
  </si>
  <si>
    <t> 690 </t>
  </si>
  <si>
    <t> 159.80 </t>
  </si>
  <si>
    <t> 110 303.87 </t>
  </si>
  <si>
    <t> SU003422 </t>
  </si>
  <si>
    <t> Вареные колбасы «Молочная» Весовой п/а ТМ «Особый рецепт» </t>
  </si>
  <si>
    <t> 750 </t>
  </si>
  <si>
    <t> 159.81 </t>
  </si>
  <si>
    <t> 119 890.26 </t>
  </si>
  <si>
    <t> SU003423 </t>
  </si>
  <si>
    <t> Вареные колбасы «Со шпиком» Весовой п/а ТМ «Особый рецепт» большой батон </t>
  </si>
  <si>
    <t> 840 </t>
  </si>
  <si>
    <t> 841 </t>
  </si>
  <si>
    <t> 160.03 </t>
  </si>
  <si>
    <t> 134 576.27 </t>
  </si>
  <si>
    <t> SU003642 </t>
  </si>
  <si>
    <t> Вареные колбасы «Филейская со шпиком» Весовой п/а ТМ «Вязанка» </t>
  </si>
  <si>
    <t> 157 </t>
  </si>
  <si>
    <t> 156 </t>
  </si>
  <si>
    <t> 278.53 </t>
  </si>
  <si>
    <t> 43 318.38 </t>
  </si>
  <si>
    <t> SU003829 </t>
  </si>
  <si>
    <t> Копченые колбасы «Сервелат Мясорубский Делюкс» Фикс.вес 0,3 фиброуз ТМ «Стародворье» </t>
  </si>
  <si>
    <t> 31 </t>
  </si>
  <si>
    <t> 102 </t>
  </si>
  <si>
    <t> 108.11 </t>
  </si>
  <si>
    <t> 11 027.22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</si>
  <si>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</si>
  <si>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</si>
  <si>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</si>
  <si>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</si>
  <si>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</si>
  <si>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</si>
  <si>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144 </t>
  </si>
  <si>
    <t> 95.17 </t>
  </si>
  <si>
    <t> 13 704.48 </t>
  </si>
  <si>
    <t> SU003921 </t>
  </si>
  <si>
    <t> Деликатесы в/к «Грудинка копчено-вареная» Фикс.вес 0,12 нарезка ТМ «Стародворье» </t>
  </si>
  <si>
    <t> -4 </t>
  </si>
  <si>
    <t> 0.120 </t>
  </si>
  <si>
    <t> 102.25 </t>
  </si>
  <si>
    <t> SU004039 </t>
  </si>
  <si>
    <t> Копченые колбасы «Балыковая» Фикс.вес 0,28 фиброуз срез ТМ «Вязанка» </t>
  </si>
  <si>
    <t> 62 </t>
  </si>
  <si>
    <t> 222 </t>
  </si>
  <si>
    <t> 0.280 </t>
  </si>
  <si>
    <t> 112.81 </t>
  </si>
  <si>
    <t> 25 043.82 </t>
  </si>
  <si>
    <t> SU004041 </t>
  </si>
  <si>
    <t> Копченые колбасы «Балыковая» Весовой фиброуз ТМ «Вязанка» </t>
  </si>
  <si>
    <t> 151 </t>
  </si>
  <si>
    <t> -151 </t>
  </si>
  <si>
    <t> 297.52 </t>
  </si>
  <si>
    <t> SU004042 </t>
  </si>
  <si>
    <t> Копченые колбасы «Сервелат Ореховый» Фикс.вес 0,28 фиброуз срез ТМ «Вязанка» </t>
  </si>
  <si>
    <t> 42 </t>
  </si>
  <si>
    <t> -42 </t>
  </si>
  <si>
    <t> SU004044 </t>
  </si>
  <si>
    <t> Копченые колбасы «Сервелат Ореховый» Весовой фиброуз ТМ «Вязанка» </t>
  </si>
  <si>
    <t> 101 </t>
  </si>
  <si>
    <t> 292.04 </t>
  </si>
  <si>
    <t> 29 557.66 </t>
  </si>
  <si>
    <t> SU004047 </t>
  </si>
  <si>
    <t> Копченые колбасы «Сервелат Финский» Весовой фиброуз ТМ «Вязанка» </t>
  </si>
  <si>
    <t> -102 </t>
  </si>
  <si>
    <t> 297.51 </t>
  </si>
  <si>
    <t> SU004104 </t>
  </si>
  <si>
    <t> Вареные колбасы «Мясная» Весовой п/а ТМ «Стародворье» </t>
  </si>
  <si>
    <t> 263 </t>
  </si>
  <si>
    <t> 229.77 </t>
  </si>
  <si>
    <t> 60 325.88 </t>
  </si>
  <si>
    <t> SU004146 </t>
  </si>
  <si>
    <t> Консервы «Буженина в пряном маринаде» Фикс.вес 0,25 ТМ «Стародворье» </t>
  </si>
  <si>
    <t> 15 </t>
  </si>
  <si>
    <t> 0.250 </t>
  </si>
  <si>
    <t> 115.16 </t>
  </si>
  <si>
    <t> 6 909.60 </t>
  </si>
  <si>
    <t> SU004157 </t>
  </si>
  <si>
    <t> Вареные колбасы «Мясная Классическая» Весовой п/а ТМ «Вязанка» </t>
  </si>
  <si>
    <t> 256.60 </t>
  </si>
  <si>
    <t> SU004238 </t>
  </si>
  <si>
    <t> Вареные колбасы «Докторская Классическая» Весовой п/а ТМ «Особый рецепт» </t>
  </si>
  <si>
    <t> 600 </t>
  </si>
  <si>
    <t> 597 </t>
  </si>
  <si>
    <t> -3 </t>
  </si>
  <si>
    <t> 95 449.50 </t>
  </si>
  <si>
    <t> ИТОГО </t>
  </si>
  <si>
    <t> 18 046 </t>
  </si>
  <si>
    <t> 16 812 </t>
  </si>
  <si>
    <t> 16 677 </t>
  </si>
  <si>
    <t> -1 369 </t>
  </si>
  <si>
    <t>  </t>
  </si>
  <si>
    <t> 20 047 </t>
  </si>
  <si>
    <t> 4 029 977.22</t>
  </si>
  <si>
    <t>SU</t>
  </si>
  <si>
    <t>недогруз</t>
  </si>
  <si>
    <t>дн</t>
  </si>
  <si>
    <t>заказ</t>
  </si>
  <si>
    <t>30,08,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</si>
</sst>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33">
    <xf numFmtId="0" fontId="0" fillId="0" borderId="0" xfId="0" applyBorder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164" fontId="2" fillId="4" borderId="1" xfId="1" applyNumberFormat="1" applyFill="1"/>
    <xf numFmtId="2" fontId="2" fillId="4" borderId="1" xfId="1" applyNumberFormat="1" applyFill="1"/>
    <xf numFmtId="164" fontId="2" fillId="4" borderId="2" xfId="1" applyNumberFormat="1" applyFill="1" applyBorder="1"/>
    <xf numFmtId="164" fontId="2" fillId="0" borderId="1" xfId="1" applyNumberFormat="1"/>
    <xf numFmtId="164" fontId="2" fillId="5" borderId="1" xfId="1" applyNumberFormat="1" applyFill="1"/>
    <xf numFmtId="164" fontId="5" fillId="6" borderId="1" xfId="1" applyNumberFormat="1" applyFont="1" applyFill="1"/>
    <xf numFmtId="164" fontId="2" fillId="7" borderId="1" xfId="1" applyNumberFormat="1" applyFill="1"/>
    <xf numFmtId="164" fontId="6" fillId="7" borderId="1" xfId="1" applyNumberFormat="1" applyFont="1" applyFill="1"/>
    <xf numFmtId="164" fontId="7" fillId="0" borderId="1" xfId="1" applyNumberFormat="1" applyFont="1"/>
    <xf numFmtId="164" fontId="7" fillId="7" borderId="1" xfId="1" applyNumberFormat="1" applyFont="1" applyFill="1"/>
    <xf numFmtId="164" fontId="7" fillId="5" borderId="1" xfId="1" applyNumberFormat="1" applyFont="1" applyFill="1"/>
    <xf numFmtId="0" fontId="0" fillId="0" borderId="1" xfId="0"/>
    <xf numFmtId="0" fontId="8" fillId="8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right" vertical="center" wrapText="1"/>
    </xf>
    <xf numFmtId="0" fontId="1" fillId="0" borderId="0" xfId="0" applyFont="1" applyBorder="1"/>
    <xf numFmtId="0" fontId="0" fillId="0" borderId="1" xfId="0" applyBorder="1"/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right" vertical="center" wrapText="1"/>
    </xf>
    <xf numFmtId="0" fontId="11" fillId="0" borderId="1" xfId="0" applyFont="1" applyBorder="1"/>
    <xf numFmtId="164" fontId="10" fillId="2" borderId="1" xfId="1" applyNumberFormat="1" applyFont="1" applyFill="1"/>
    <xf numFmtId="165" fontId="2" fillId="0" borderId="1" xfId="1" applyNumberFormat="1"/>
    <xf numFmtId="0" fontId="9" fillId="8" borderId="3" xfId="0" applyFont="1" applyFill="1" applyBorder="1" applyAlignment="1">
      <alignment horizontal="right" vertical="center" wrapText="1"/>
    </xf>
    <xf numFmtId="0" fontId="9" fillId="8" borderId="5" xfId="0" applyFont="1" applyFill="1" applyBorder="1" applyAlignment="1">
      <alignment horizontal="right" vertical="center" wrapText="1"/>
    </xf>
    <xf numFmtId="0" fontId="9" fillId="8" borderId="4" xfId="0" applyFont="1" applyFill="1" applyBorder="1" applyAlignment="1">
      <alignment horizontal="right" vertic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14062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9" customWidth="1"/>
    <col min="20" max="23" width="7" customWidth="1"/>
    <col min="24" max="25" width="5" customWidth="1"/>
    <col min="26" max="35" width="6.5703125" customWidth="1"/>
    <col min="36" max="36" width="27.85546875" customWidth="1"/>
    <col min="37" max="37" width="7" customWidth="1"/>
  </cols>
  <sheetData>
    <row r="1" spans="1:37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29">
        <v>1</v>
      </c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 t="s">
        <v>580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28" t="s">
        <v>581</v>
      </c>
      <c r="X3" s="1" t="s">
        <v>17</v>
      </c>
      <c r="Y3" s="1" t="s">
        <v>18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20</v>
      </c>
      <c r="AK3" s="1" t="s">
        <v>21</v>
      </c>
    </row>
    <row r="4" spans="1:37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1" t="s">
        <v>23</v>
      </c>
      <c r="Q4" s="11" t="s">
        <v>24</v>
      </c>
      <c r="R4" s="11" t="s">
        <v>25</v>
      </c>
      <c r="S4" s="11" t="s">
        <v>26</v>
      </c>
      <c r="T4" s="11" t="s">
        <v>27</v>
      </c>
      <c r="U4" s="11" t="s">
        <v>25</v>
      </c>
      <c r="V4" s="11"/>
      <c r="W4" s="11" t="s">
        <v>582</v>
      </c>
      <c r="X4" s="11"/>
      <c r="Y4" s="11"/>
      <c r="Z4" s="11" t="s">
        <v>28</v>
      </c>
      <c r="AA4" s="11" t="s">
        <v>29</v>
      </c>
      <c r="AB4" s="11" t="s">
        <v>30</v>
      </c>
      <c r="AC4" s="11" t="s">
        <v>31</v>
      </c>
      <c r="AD4" s="11" t="s">
        <v>32</v>
      </c>
      <c r="AE4" s="11" t="s">
        <v>33</v>
      </c>
      <c r="AF4" s="11" t="s">
        <v>34</v>
      </c>
      <c r="AG4" s="11" t="s">
        <v>35</v>
      </c>
      <c r="AH4" s="11" t="s">
        <v>36</v>
      </c>
      <c r="AI4" s="11" t="s">
        <v>37</v>
      </c>
      <c r="AJ4" s="11"/>
      <c r="AK4" s="11"/>
    </row>
    <row r="5" spans="1:37" x14ac:dyDescent="0.25">
      <c r="A5" s="11"/>
      <c r="B5" s="11"/>
      <c r="C5" s="11"/>
      <c r="D5" s="11"/>
      <c r="E5" s="3">
        <f>SUM(E6:E500)</f>
        <v>48413.407000000014</v>
      </c>
      <c r="F5" s="3">
        <f>SUM(F6:F500)</f>
        <v>59784.636999999995</v>
      </c>
      <c r="G5" s="6"/>
      <c r="H5" s="11"/>
      <c r="I5" s="11"/>
      <c r="J5" s="11"/>
      <c r="K5" s="3">
        <f t="shared" ref="K5:W5" si="0">SUM(K6:K500)</f>
        <v>52922.44000000001</v>
      </c>
      <c r="L5" s="3">
        <f t="shared" si="0"/>
        <v>-4509.0330000000004</v>
      </c>
      <c r="M5" s="3">
        <f t="shared" si="0"/>
        <v>0</v>
      </c>
      <c r="N5" s="3">
        <f t="shared" si="0"/>
        <v>0</v>
      </c>
      <c r="O5" s="3">
        <f t="shared" si="0"/>
        <v>23887.401539912011</v>
      </c>
      <c r="P5" s="3">
        <f t="shared" si="0"/>
        <v>-6030.4400000000005</v>
      </c>
      <c r="Q5" s="3">
        <f t="shared" si="0"/>
        <v>3550</v>
      </c>
      <c r="R5" s="3">
        <f t="shared" si="0"/>
        <v>22089.980531287998</v>
      </c>
      <c r="S5" s="3">
        <f t="shared" si="0"/>
        <v>-2381.6190476190473</v>
      </c>
      <c r="T5" s="3">
        <f t="shared" si="0"/>
        <v>400</v>
      </c>
      <c r="U5" s="3">
        <f t="shared" si="0"/>
        <v>9682.6813999999977</v>
      </c>
      <c r="V5" s="3">
        <f t="shared" si="0"/>
        <v>14477.434842599998</v>
      </c>
      <c r="W5" s="3">
        <f t="shared" si="0"/>
        <v>16935.776642599998</v>
      </c>
      <c r="X5" s="11"/>
      <c r="Y5" s="11"/>
      <c r="Z5" s="3">
        <f t="shared" ref="Z5:AI5" si="1">SUM(Z6:Z500)</f>
        <v>10297.278999999999</v>
      </c>
      <c r="AA5" s="3">
        <f t="shared" si="1"/>
        <v>10547.457800000002</v>
      </c>
      <c r="AB5" s="3">
        <f t="shared" si="1"/>
        <v>10043.437000000002</v>
      </c>
      <c r="AC5" s="3">
        <f t="shared" si="1"/>
        <v>9948.0886000000064</v>
      </c>
      <c r="AD5" s="3">
        <f t="shared" si="1"/>
        <v>10809.313400000001</v>
      </c>
      <c r="AE5" s="3">
        <f t="shared" si="1"/>
        <v>10812.657399999995</v>
      </c>
      <c r="AF5" s="3">
        <f t="shared" si="1"/>
        <v>9813.4631999999983</v>
      </c>
      <c r="AG5" s="3">
        <f t="shared" si="1"/>
        <v>10672.152599999996</v>
      </c>
      <c r="AH5" s="3">
        <f t="shared" si="1"/>
        <v>11335.495599999991</v>
      </c>
      <c r="AI5" s="3">
        <f t="shared" si="1"/>
        <v>10924.171399999996</v>
      </c>
      <c r="AJ5" s="11"/>
      <c r="AK5" s="3">
        <f>SUM(AK6:AK500)</f>
        <v>10348</v>
      </c>
    </row>
    <row r="6" spans="1:37" x14ac:dyDescent="0.25">
      <c r="A6" s="11" t="s">
        <v>38</v>
      </c>
      <c r="B6" s="11" t="s">
        <v>39</v>
      </c>
      <c r="C6" s="11">
        <v>4580.0889999999999</v>
      </c>
      <c r="D6" s="11">
        <v>1720.039</v>
      </c>
      <c r="E6" s="11">
        <v>2418.4059999999999</v>
      </c>
      <c r="F6" s="11">
        <v>3662.5189999999998</v>
      </c>
      <c r="G6" s="6">
        <v>1</v>
      </c>
      <c r="H6" s="11">
        <v>50</v>
      </c>
      <c r="I6" s="11" t="s">
        <v>40</v>
      </c>
      <c r="J6" s="11"/>
      <c r="K6" s="11">
        <v>2368.4</v>
      </c>
      <c r="L6" s="11">
        <f t="shared" ref="L6:L37" si="2">E6-K6</f>
        <v>50.005999999999858</v>
      </c>
      <c r="M6" s="11"/>
      <c r="N6" s="11"/>
      <c r="O6" s="11">
        <v>814.79933519600013</v>
      </c>
      <c r="P6" s="11"/>
      <c r="Q6" s="11"/>
      <c r="R6" s="11">
        <v>1301.5625744040001</v>
      </c>
      <c r="S6" s="11"/>
      <c r="T6" s="11"/>
      <c r="U6" s="11">
        <f t="shared" ref="U6:U37" si="3">E6/5</f>
        <v>483.68119999999999</v>
      </c>
      <c r="V6" s="4"/>
      <c r="W6" s="4">
        <f>V6</f>
        <v>0</v>
      </c>
      <c r="X6" s="11">
        <f>(F6+O6+P6+Q6+R6+W6+T6+S6)/U6</f>
        <v>11.947706277605993</v>
      </c>
      <c r="Y6" s="11">
        <f t="shared" ref="Y6:Y37" si="4">(F6+O6+P6+Q6+R6+S6+T6)/U6</f>
        <v>11.947706277605993</v>
      </c>
      <c r="Z6" s="11">
        <v>546.85760000000005</v>
      </c>
      <c r="AA6" s="11">
        <v>558.16419999999994</v>
      </c>
      <c r="AB6" s="11">
        <v>472.44099999999997</v>
      </c>
      <c r="AC6" s="11">
        <v>450.1</v>
      </c>
      <c r="AD6" s="11">
        <v>477.90280000000001</v>
      </c>
      <c r="AE6" s="11">
        <v>497.21940000000012</v>
      </c>
      <c r="AF6" s="11">
        <v>462.68740000000003</v>
      </c>
      <c r="AG6" s="11">
        <v>504.16359999999997</v>
      </c>
      <c r="AH6" s="11">
        <v>475.59160000000003</v>
      </c>
      <c r="AI6" s="11">
        <v>485.4896</v>
      </c>
      <c r="AJ6" s="11"/>
      <c r="AK6" s="11">
        <f>ROUND(G6*W6,0)</f>
        <v>0</v>
      </c>
    </row>
    <row r="7" spans="1:37" x14ac:dyDescent="0.25">
      <c r="A7" s="11" t="s">
        <v>41</v>
      </c>
      <c r="B7" s="11" t="s">
        <v>39</v>
      </c>
      <c r="C7" s="11">
        <v>1369.104</v>
      </c>
      <c r="D7" s="11">
        <v>2284.0160000000001</v>
      </c>
      <c r="E7" s="11">
        <v>1535.645</v>
      </c>
      <c r="F7" s="11">
        <v>1948.2929999999999</v>
      </c>
      <c r="G7" s="6">
        <v>1</v>
      </c>
      <c r="H7" s="11">
        <v>45</v>
      </c>
      <c r="I7" s="11" t="s">
        <v>40</v>
      </c>
      <c r="J7" s="11"/>
      <c r="K7" s="11">
        <v>1459.35</v>
      </c>
      <c r="L7" s="11">
        <f t="shared" si="2"/>
        <v>76.295000000000073</v>
      </c>
      <c r="M7" s="11"/>
      <c r="N7" s="11"/>
      <c r="O7" s="11">
        <v>460.05157452099991</v>
      </c>
      <c r="P7" s="11"/>
      <c r="Q7" s="11"/>
      <c r="R7" s="11">
        <v>734.8875800789998</v>
      </c>
      <c r="S7" s="11"/>
      <c r="T7" s="11"/>
      <c r="U7" s="11">
        <f t="shared" si="3"/>
        <v>307.12900000000002</v>
      </c>
      <c r="V7" s="4">
        <f>11*U7-T7-R7-Q7-P7-O7-F7</f>
        <v>235.18684540000072</v>
      </c>
      <c r="W7" s="4">
        <f>V7+$W$1*U7</f>
        <v>542.31584540000074</v>
      </c>
      <c r="X7" s="11">
        <f t="shared" ref="X7:X70" si="5">(F7+O7+P7+Q7+R7+W7+T7+S7)/U7</f>
        <v>12</v>
      </c>
      <c r="Y7" s="11">
        <f t="shared" si="4"/>
        <v>10.23424083886575</v>
      </c>
      <c r="Z7" s="11">
        <v>307.71940000000001</v>
      </c>
      <c r="AA7" s="11">
        <v>321.26519999999999</v>
      </c>
      <c r="AB7" s="11">
        <v>300.10660000000001</v>
      </c>
      <c r="AC7" s="11">
        <v>262.36520000000002</v>
      </c>
      <c r="AD7" s="11">
        <v>266.33199999999999</v>
      </c>
      <c r="AE7" s="11">
        <v>285.43920000000003</v>
      </c>
      <c r="AF7" s="11">
        <v>272.41820000000001</v>
      </c>
      <c r="AG7" s="11">
        <v>253.45859999999999</v>
      </c>
      <c r="AH7" s="11">
        <v>242.8768</v>
      </c>
      <c r="AI7" s="11">
        <v>235.5034</v>
      </c>
      <c r="AJ7" s="11"/>
      <c r="AK7" s="11">
        <f t="shared" ref="AK7:AK70" si="6">ROUND(G7*W7,0)</f>
        <v>542</v>
      </c>
    </row>
    <row r="8" spans="1:37" x14ac:dyDescent="0.25">
      <c r="A8" s="11" t="s">
        <v>42</v>
      </c>
      <c r="B8" s="11" t="s">
        <v>39</v>
      </c>
      <c r="C8" s="11">
        <v>1446.5070000000001</v>
      </c>
      <c r="D8" s="11">
        <v>1691.0450000000001</v>
      </c>
      <c r="E8" s="11">
        <v>1274.2619999999999</v>
      </c>
      <c r="F8" s="11">
        <v>1732.6379999999999</v>
      </c>
      <c r="G8" s="6">
        <v>1</v>
      </c>
      <c r="H8" s="11">
        <v>45</v>
      </c>
      <c r="I8" s="11" t="s">
        <v>40</v>
      </c>
      <c r="J8" s="11"/>
      <c r="K8" s="11">
        <v>1242.9079999999999</v>
      </c>
      <c r="L8" s="11">
        <f t="shared" si="2"/>
        <v>31.354000000000042</v>
      </c>
      <c r="M8" s="11"/>
      <c r="N8" s="11"/>
      <c r="O8" s="11">
        <v>333.15501888900019</v>
      </c>
      <c r="P8" s="11"/>
      <c r="Q8" s="11"/>
      <c r="R8" s="11">
        <v>532.18269251100014</v>
      </c>
      <c r="S8" s="11"/>
      <c r="T8" s="11"/>
      <c r="U8" s="11">
        <f t="shared" si="3"/>
        <v>254.85239999999999</v>
      </c>
      <c r="V8" s="4">
        <f>11*U8-T8-R8-Q8-P8-O8-F8</f>
        <v>205.40068860000019</v>
      </c>
      <c r="W8" s="4">
        <f>V8+$W$1*U8</f>
        <v>460.25308860000018</v>
      </c>
      <c r="X8" s="11">
        <f t="shared" si="5"/>
        <v>12.000000000000004</v>
      </c>
      <c r="Y8" s="11">
        <f t="shared" si="4"/>
        <v>10.194040595262202</v>
      </c>
      <c r="Z8" s="11">
        <v>257.28680000000003</v>
      </c>
      <c r="AA8" s="11">
        <v>276.00380000000001</v>
      </c>
      <c r="AB8" s="11">
        <v>247.24520000000001</v>
      </c>
      <c r="AC8" s="11">
        <v>223.76159999999999</v>
      </c>
      <c r="AD8" s="11">
        <v>249.89080000000001</v>
      </c>
      <c r="AE8" s="11">
        <v>251.58420000000001</v>
      </c>
      <c r="AF8" s="11">
        <v>216.3372</v>
      </c>
      <c r="AG8" s="11">
        <v>214.10339999999999</v>
      </c>
      <c r="AH8" s="11">
        <v>227.751</v>
      </c>
      <c r="AI8" s="11">
        <v>235.30099999999999</v>
      </c>
      <c r="AJ8" s="11"/>
      <c r="AK8" s="11">
        <f t="shared" si="6"/>
        <v>460</v>
      </c>
    </row>
    <row r="9" spans="1:37" x14ac:dyDescent="0.25">
      <c r="A9" s="8" t="s">
        <v>43</v>
      </c>
      <c r="B9" s="8" t="s">
        <v>44</v>
      </c>
      <c r="C9" s="8"/>
      <c r="D9" s="8"/>
      <c r="E9" s="8"/>
      <c r="F9" s="8"/>
      <c r="G9" s="9">
        <v>0</v>
      </c>
      <c r="H9" s="8"/>
      <c r="I9" s="8" t="s">
        <v>40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/>
      <c r="S9" s="8"/>
      <c r="T9" s="8"/>
      <c r="U9" s="8">
        <f t="shared" si="3"/>
        <v>0</v>
      </c>
      <c r="V9" s="10"/>
      <c r="W9" s="4">
        <f t="shared" ref="W9:W70" si="7">V9</f>
        <v>0</v>
      </c>
      <c r="X9" s="11" t="e">
        <f t="shared" si="5"/>
        <v>#DIV/0!</v>
      </c>
      <c r="Y9" s="11" t="e">
        <f t="shared" si="4"/>
        <v>#DIV/0!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 t="s">
        <v>45</v>
      </c>
      <c r="AK9" s="11">
        <f t="shared" si="6"/>
        <v>0</v>
      </c>
    </row>
    <row r="10" spans="1:37" x14ac:dyDescent="0.25">
      <c r="A10" s="11" t="s">
        <v>46</v>
      </c>
      <c r="B10" s="11" t="s">
        <v>44</v>
      </c>
      <c r="C10" s="11">
        <v>789</v>
      </c>
      <c r="D10" s="11">
        <v>604</v>
      </c>
      <c r="E10" s="11">
        <v>613</v>
      </c>
      <c r="F10" s="11">
        <v>643</v>
      </c>
      <c r="G10" s="6">
        <v>0.45</v>
      </c>
      <c r="H10" s="11">
        <v>45</v>
      </c>
      <c r="I10" s="11" t="s">
        <v>40</v>
      </c>
      <c r="J10" s="11"/>
      <c r="K10" s="11">
        <v>661</v>
      </c>
      <c r="L10" s="11">
        <f t="shared" si="2"/>
        <v>-48</v>
      </c>
      <c r="M10" s="11"/>
      <c r="N10" s="11"/>
      <c r="O10" s="11">
        <v>182.61012000000011</v>
      </c>
      <c r="P10" s="11"/>
      <c r="Q10" s="11">
        <v>100</v>
      </c>
      <c r="R10" s="11">
        <v>291.70188000000007</v>
      </c>
      <c r="S10" s="11"/>
      <c r="T10" s="11"/>
      <c r="U10" s="11">
        <f t="shared" si="3"/>
        <v>122.6</v>
      </c>
      <c r="V10" s="4">
        <f>11*U10-T10-R10-Q10-P10-O10-F10</f>
        <v>131.28799999999978</v>
      </c>
      <c r="W10" s="4">
        <f t="shared" ref="W10:W11" si="8">V10+$W$1*U10</f>
        <v>253.88799999999978</v>
      </c>
      <c r="X10" s="11">
        <f t="shared" si="5"/>
        <v>11.999999999999998</v>
      </c>
      <c r="Y10" s="11">
        <f t="shared" si="4"/>
        <v>9.9291353996737364</v>
      </c>
      <c r="Z10" s="11">
        <v>110.2</v>
      </c>
      <c r="AA10" s="11">
        <v>117.4</v>
      </c>
      <c r="AB10" s="11">
        <v>142.6</v>
      </c>
      <c r="AC10" s="11">
        <v>135.4</v>
      </c>
      <c r="AD10" s="11">
        <v>120.4</v>
      </c>
      <c r="AE10" s="11">
        <v>117.2</v>
      </c>
      <c r="AF10" s="11">
        <v>118.2</v>
      </c>
      <c r="AG10" s="11">
        <v>139</v>
      </c>
      <c r="AH10" s="11">
        <v>136.80000000000001</v>
      </c>
      <c r="AI10" s="11">
        <v>124.8</v>
      </c>
      <c r="AJ10" s="11"/>
      <c r="AK10" s="11">
        <f t="shared" si="6"/>
        <v>114</v>
      </c>
    </row>
    <row r="11" spans="1:37" x14ac:dyDescent="0.25">
      <c r="A11" s="11" t="s">
        <v>47</v>
      </c>
      <c r="B11" s="11" t="s">
        <v>44</v>
      </c>
      <c r="C11" s="11">
        <v>1220.76</v>
      </c>
      <c r="D11" s="11">
        <v>1558</v>
      </c>
      <c r="E11" s="11">
        <v>1241</v>
      </c>
      <c r="F11" s="11">
        <v>1365.76</v>
      </c>
      <c r="G11" s="6">
        <v>0.45</v>
      </c>
      <c r="H11" s="11">
        <v>45</v>
      </c>
      <c r="I11" s="11" t="s">
        <v>40</v>
      </c>
      <c r="J11" s="11"/>
      <c r="K11" s="11">
        <v>1295</v>
      </c>
      <c r="L11" s="11">
        <f t="shared" si="2"/>
        <v>-54</v>
      </c>
      <c r="M11" s="11"/>
      <c r="N11" s="11"/>
      <c r="O11" s="11">
        <v>455.98345099999949</v>
      </c>
      <c r="P11" s="11"/>
      <c r="Q11" s="11"/>
      <c r="R11" s="11">
        <v>728.38914899999929</v>
      </c>
      <c r="S11" s="11"/>
      <c r="T11" s="11"/>
      <c r="U11" s="11">
        <f t="shared" si="3"/>
        <v>248.2</v>
      </c>
      <c r="V11" s="4">
        <f>11*U11-T11-R11-Q11-P11-O11-F11</f>
        <v>180.06740000000104</v>
      </c>
      <c r="W11" s="4">
        <f t="shared" si="8"/>
        <v>428.26740000000103</v>
      </c>
      <c r="X11" s="11">
        <f t="shared" si="5"/>
        <v>11.999999999999998</v>
      </c>
      <c r="Y11" s="11">
        <f t="shared" si="4"/>
        <v>10.274506849315063</v>
      </c>
      <c r="Z11" s="11">
        <v>245.2</v>
      </c>
      <c r="AA11" s="11">
        <v>245.4</v>
      </c>
      <c r="AB11" s="11">
        <v>235.2</v>
      </c>
      <c r="AC11" s="11">
        <v>216.8</v>
      </c>
      <c r="AD11" s="11">
        <v>224.44800000000001</v>
      </c>
      <c r="AE11" s="11">
        <v>225.648</v>
      </c>
      <c r="AF11" s="11">
        <v>230.6</v>
      </c>
      <c r="AG11" s="11">
        <v>273.39999999999998</v>
      </c>
      <c r="AH11" s="11">
        <v>246.4</v>
      </c>
      <c r="AI11" s="11">
        <v>230.2</v>
      </c>
      <c r="AJ11" s="11"/>
      <c r="AK11" s="11">
        <f t="shared" si="6"/>
        <v>193</v>
      </c>
    </row>
    <row r="12" spans="1:37" x14ac:dyDescent="0.25">
      <c r="A12" s="11" t="s">
        <v>48</v>
      </c>
      <c r="B12" s="11" t="s">
        <v>44</v>
      </c>
      <c r="C12" s="11">
        <v>78</v>
      </c>
      <c r="D12" s="11">
        <v>150</v>
      </c>
      <c r="E12" s="11">
        <v>64</v>
      </c>
      <c r="F12" s="11">
        <v>157</v>
      </c>
      <c r="G12" s="6">
        <v>0.17</v>
      </c>
      <c r="H12" s="11">
        <v>180</v>
      </c>
      <c r="I12" s="11" t="s">
        <v>40</v>
      </c>
      <c r="J12" s="11"/>
      <c r="K12" s="11">
        <v>65</v>
      </c>
      <c r="L12" s="11">
        <f t="shared" si="2"/>
        <v>-1</v>
      </c>
      <c r="M12" s="11"/>
      <c r="N12" s="11"/>
      <c r="O12" s="11">
        <v>23.199999999999989</v>
      </c>
      <c r="P12" s="11"/>
      <c r="Q12" s="11"/>
      <c r="R12" s="11"/>
      <c r="S12" s="11"/>
      <c r="T12" s="11"/>
      <c r="U12" s="11">
        <f t="shared" si="3"/>
        <v>12.8</v>
      </c>
      <c r="V12" s="4"/>
      <c r="W12" s="4">
        <f t="shared" si="7"/>
        <v>0</v>
      </c>
      <c r="X12" s="11">
        <f t="shared" si="5"/>
        <v>14.078124999999998</v>
      </c>
      <c r="Y12" s="11">
        <f t="shared" si="4"/>
        <v>14.078124999999998</v>
      </c>
      <c r="Z12" s="11">
        <v>16.600000000000001</v>
      </c>
      <c r="AA12" s="11">
        <v>17.8</v>
      </c>
      <c r="AB12" s="11">
        <v>15.6</v>
      </c>
      <c r="AC12" s="11">
        <v>15</v>
      </c>
      <c r="AD12" s="11">
        <v>18.2</v>
      </c>
      <c r="AE12" s="11">
        <v>17.2</v>
      </c>
      <c r="AF12" s="11">
        <v>10.199999999999999</v>
      </c>
      <c r="AG12" s="11">
        <v>14.6</v>
      </c>
      <c r="AH12" s="11">
        <v>20.2</v>
      </c>
      <c r="AI12" s="11">
        <v>15.2</v>
      </c>
      <c r="AJ12" s="11"/>
      <c r="AK12" s="11">
        <f t="shared" si="6"/>
        <v>0</v>
      </c>
    </row>
    <row r="13" spans="1:37" x14ac:dyDescent="0.25">
      <c r="A13" s="11" t="s">
        <v>49</v>
      </c>
      <c r="B13" s="11" t="s">
        <v>44</v>
      </c>
      <c r="C13" s="11">
        <v>102</v>
      </c>
      <c r="D13" s="11"/>
      <c r="E13" s="11">
        <v>96</v>
      </c>
      <c r="F13" s="11"/>
      <c r="G13" s="6">
        <v>0.3</v>
      </c>
      <c r="H13" s="11">
        <v>40</v>
      </c>
      <c r="I13" s="12" t="s">
        <v>50</v>
      </c>
      <c r="J13" s="11"/>
      <c r="K13" s="11">
        <v>102</v>
      </c>
      <c r="L13" s="11">
        <f t="shared" si="2"/>
        <v>-6</v>
      </c>
      <c r="M13" s="11"/>
      <c r="N13" s="11"/>
      <c r="O13" s="11">
        <v>96.199999999999989</v>
      </c>
      <c r="P13" s="11">
        <v>-102</v>
      </c>
      <c r="Q13" s="11"/>
      <c r="R13" s="11"/>
      <c r="S13" s="11"/>
      <c r="T13" s="11"/>
      <c r="U13" s="11">
        <f t="shared" si="3"/>
        <v>19.2</v>
      </c>
      <c r="V13" s="4">
        <v>50</v>
      </c>
      <c r="W13" s="4">
        <f t="shared" si="7"/>
        <v>50</v>
      </c>
      <c r="X13" s="11">
        <f t="shared" si="5"/>
        <v>2.302083333333333</v>
      </c>
      <c r="Y13" s="11">
        <f t="shared" si="4"/>
        <v>-0.30208333333333393</v>
      </c>
      <c r="Z13" s="11">
        <v>21</v>
      </c>
      <c r="AA13" s="11">
        <v>17.8</v>
      </c>
      <c r="AB13" s="11">
        <v>10.6</v>
      </c>
      <c r="AC13" s="11">
        <v>10</v>
      </c>
      <c r="AD13" s="11">
        <v>19</v>
      </c>
      <c r="AE13" s="11">
        <v>21</v>
      </c>
      <c r="AF13" s="11">
        <v>22.2</v>
      </c>
      <c r="AG13" s="11">
        <v>22.8</v>
      </c>
      <c r="AH13" s="11">
        <v>17.600000000000001</v>
      </c>
      <c r="AI13" s="11">
        <v>17.8</v>
      </c>
      <c r="AJ13" s="11"/>
      <c r="AK13" s="11">
        <f t="shared" si="6"/>
        <v>15</v>
      </c>
    </row>
    <row r="14" spans="1:37" x14ac:dyDescent="0.25">
      <c r="A14" s="11" t="s">
        <v>51</v>
      </c>
      <c r="B14" s="11" t="s">
        <v>44</v>
      </c>
      <c r="C14" s="11">
        <v>244</v>
      </c>
      <c r="D14" s="11">
        <v>450</v>
      </c>
      <c r="E14" s="11">
        <v>238</v>
      </c>
      <c r="F14" s="11">
        <v>443</v>
      </c>
      <c r="G14" s="6">
        <v>0.17</v>
      </c>
      <c r="H14" s="11">
        <v>180</v>
      </c>
      <c r="I14" s="11" t="s">
        <v>40</v>
      </c>
      <c r="J14" s="11"/>
      <c r="K14" s="11">
        <v>240</v>
      </c>
      <c r="L14" s="11">
        <f t="shared" si="2"/>
        <v>-2</v>
      </c>
      <c r="M14" s="11"/>
      <c r="N14" s="11"/>
      <c r="O14" s="11">
        <v>137.85980000000009</v>
      </c>
      <c r="P14" s="11"/>
      <c r="Q14" s="11"/>
      <c r="R14" s="11"/>
      <c r="S14" s="11"/>
      <c r="T14" s="11"/>
      <c r="U14" s="11">
        <f t="shared" si="3"/>
        <v>47.6</v>
      </c>
      <c r="V14" s="4"/>
      <c r="W14" s="4">
        <f t="shared" si="7"/>
        <v>0</v>
      </c>
      <c r="X14" s="11">
        <f t="shared" si="5"/>
        <v>12.202936974789917</v>
      </c>
      <c r="Y14" s="11">
        <f t="shared" si="4"/>
        <v>12.202936974789917</v>
      </c>
      <c r="Z14" s="11">
        <v>57.6</v>
      </c>
      <c r="AA14" s="11">
        <v>60.6</v>
      </c>
      <c r="AB14" s="11">
        <v>47.6</v>
      </c>
      <c r="AC14" s="11">
        <v>44.8</v>
      </c>
      <c r="AD14" s="11">
        <v>57.2</v>
      </c>
      <c r="AE14" s="11">
        <v>52.8</v>
      </c>
      <c r="AF14" s="11">
        <v>33.6</v>
      </c>
      <c r="AG14" s="11">
        <v>38.4</v>
      </c>
      <c r="AH14" s="11">
        <v>56</v>
      </c>
      <c r="AI14" s="11">
        <v>56.2</v>
      </c>
      <c r="AJ14" s="11"/>
      <c r="AK14" s="11">
        <f t="shared" si="6"/>
        <v>0</v>
      </c>
    </row>
    <row r="15" spans="1:37" x14ac:dyDescent="0.25">
      <c r="A15" s="8" t="s">
        <v>52</v>
      </c>
      <c r="B15" s="8" t="s">
        <v>44</v>
      </c>
      <c r="C15" s="8">
        <v>-1</v>
      </c>
      <c r="D15" s="8"/>
      <c r="E15" s="8"/>
      <c r="F15" s="8">
        <v>-1</v>
      </c>
      <c r="G15" s="9">
        <v>0</v>
      </c>
      <c r="H15" s="8"/>
      <c r="I15" s="8" t="s">
        <v>53</v>
      </c>
      <c r="J15" s="8"/>
      <c r="K15" s="8"/>
      <c r="L15" s="8">
        <f t="shared" si="2"/>
        <v>0</v>
      </c>
      <c r="M15" s="8"/>
      <c r="N15" s="8"/>
      <c r="O15" s="8">
        <v>0</v>
      </c>
      <c r="P15" s="8"/>
      <c r="Q15" s="8"/>
      <c r="R15" s="8"/>
      <c r="S15" s="8"/>
      <c r="T15" s="8"/>
      <c r="U15" s="8">
        <f t="shared" si="3"/>
        <v>0</v>
      </c>
      <c r="V15" s="10"/>
      <c r="W15" s="4">
        <f t="shared" si="7"/>
        <v>0</v>
      </c>
      <c r="X15" s="11" t="e">
        <f t="shared" si="5"/>
        <v>#DIV/0!</v>
      </c>
      <c r="Y15" s="11" t="e">
        <f t="shared" si="4"/>
        <v>#DIV/0!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0.2</v>
      </c>
      <c r="AF15" s="8">
        <v>0.2</v>
      </c>
      <c r="AG15" s="8">
        <v>0</v>
      </c>
      <c r="AH15" s="8">
        <v>0</v>
      </c>
      <c r="AI15" s="8">
        <v>0</v>
      </c>
      <c r="AJ15" s="8"/>
      <c r="AK15" s="11">
        <f t="shared" si="6"/>
        <v>0</v>
      </c>
    </row>
    <row r="16" spans="1:37" x14ac:dyDescent="0.25">
      <c r="A16" s="11" t="s">
        <v>54</v>
      </c>
      <c r="B16" s="11" t="s">
        <v>39</v>
      </c>
      <c r="C16" s="11">
        <v>2079.9659999999999</v>
      </c>
      <c r="D16" s="11">
        <v>1649.509</v>
      </c>
      <c r="E16" s="11">
        <v>1087.087</v>
      </c>
      <c r="F16" s="11">
        <v>2563.2689999999998</v>
      </c>
      <c r="G16" s="6">
        <v>1</v>
      </c>
      <c r="H16" s="11">
        <v>70</v>
      </c>
      <c r="I16" s="11" t="s">
        <v>40</v>
      </c>
      <c r="J16" s="11"/>
      <c r="K16" s="11">
        <v>1043.93</v>
      </c>
      <c r="L16" s="11">
        <f t="shared" si="2"/>
        <v>43.156999999999925</v>
      </c>
      <c r="M16" s="11"/>
      <c r="N16" s="11"/>
      <c r="O16" s="11">
        <v>183.105692</v>
      </c>
      <c r="P16" s="11"/>
      <c r="Q16" s="11"/>
      <c r="R16" s="11">
        <v>292.49350800000008</v>
      </c>
      <c r="S16" s="11"/>
      <c r="T16" s="11"/>
      <c r="U16" s="11">
        <f t="shared" si="3"/>
        <v>217.41739999999999</v>
      </c>
      <c r="V16" s="4"/>
      <c r="W16" s="4">
        <f t="shared" si="7"/>
        <v>0</v>
      </c>
      <c r="X16" s="11">
        <f t="shared" si="5"/>
        <v>13.977115907006523</v>
      </c>
      <c r="Y16" s="11">
        <f t="shared" si="4"/>
        <v>13.977115907006523</v>
      </c>
      <c r="Z16" s="11">
        <v>228.7406</v>
      </c>
      <c r="AA16" s="11">
        <v>230.5266</v>
      </c>
      <c r="AB16" s="11">
        <v>233.18360000000001</v>
      </c>
      <c r="AC16" s="11">
        <v>242.98320000000001</v>
      </c>
      <c r="AD16" s="11">
        <v>239.7028</v>
      </c>
      <c r="AE16" s="11">
        <v>236.7696</v>
      </c>
      <c r="AF16" s="11">
        <v>224.553</v>
      </c>
      <c r="AG16" s="11">
        <v>226.56899999999999</v>
      </c>
      <c r="AH16" s="11">
        <v>227.60939999999999</v>
      </c>
      <c r="AI16" s="11">
        <v>217.93199999999999</v>
      </c>
      <c r="AJ16" s="11"/>
      <c r="AK16" s="11">
        <f t="shared" si="6"/>
        <v>0</v>
      </c>
    </row>
    <row r="17" spans="1:37" x14ac:dyDescent="0.25">
      <c r="A17" s="11" t="s">
        <v>55</v>
      </c>
      <c r="B17" s="11" t="s">
        <v>39</v>
      </c>
      <c r="C17" s="11">
        <v>4629.2709999999997</v>
      </c>
      <c r="D17" s="11">
        <v>4206.0649999999996</v>
      </c>
      <c r="E17" s="11">
        <v>3371.9540000000002</v>
      </c>
      <c r="F17" s="11">
        <v>5211.3649999999998</v>
      </c>
      <c r="G17" s="6">
        <v>1</v>
      </c>
      <c r="H17" s="11">
        <v>50</v>
      </c>
      <c r="I17" s="11" t="s">
        <v>40</v>
      </c>
      <c r="J17" s="11"/>
      <c r="K17" s="11">
        <v>3404.65</v>
      </c>
      <c r="L17" s="11">
        <f t="shared" si="2"/>
        <v>-32.695999999999913</v>
      </c>
      <c r="M17" s="11"/>
      <c r="N17" s="11"/>
      <c r="O17" s="11">
        <v>1195.840950304</v>
      </c>
      <c r="P17" s="11"/>
      <c r="Q17" s="11">
        <v>700</v>
      </c>
      <c r="R17" s="11">
        <v>1910.239440095999</v>
      </c>
      <c r="S17" s="11"/>
      <c r="T17" s="11"/>
      <c r="U17" s="11">
        <f t="shared" si="3"/>
        <v>674.39080000000001</v>
      </c>
      <c r="V17" s="4"/>
      <c r="W17" s="4">
        <f t="shared" si="7"/>
        <v>0</v>
      </c>
      <c r="X17" s="11">
        <f t="shared" si="5"/>
        <v>13.371246153417275</v>
      </c>
      <c r="Y17" s="11">
        <f t="shared" si="4"/>
        <v>13.371246153417275</v>
      </c>
      <c r="Z17" s="11">
        <v>736.59320000000002</v>
      </c>
      <c r="AA17" s="11">
        <v>741.72680000000003</v>
      </c>
      <c r="AB17" s="11">
        <v>660.61159999999995</v>
      </c>
      <c r="AC17" s="11">
        <v>636.86320000000001</v>
      </c>
      <c r="AD17" s="11">
        <v>674.43259999999998</v>
      </c>
      <c r="AE17" s="11">
        <v>703.17060000000004</v>
      </c>
      <c r="AF17" s="11">
        <v>753.43720000000008</v>
      </c>
      <c r="AG17" s="11">
        <v>789.19159999999999</v>
      </c>
      <c r="AH17" s="11">
        <v>779.79539999999997</v>
      </c>
      <c r="AI17" s="11">
        <v>746.61940000000004</v>
      </c>
      <c r="AJ17" s="11"/>
      <c r="AK17" s="11">
        <f t="shared" si="6"/>
        <v>0</v>
      </c>
    </row>
    <row r="18" spans="1:37" x14ac:dyDescent="0.25">
      <c r="A18" s="11" t="s">
        <v>56</v>
      </c>
      <c r="B18" s="11" t="s">
        <v>39</v>
      </c>
      <c r="C18" s="11">
        <v>151.46199999999999</v>
      </c>
      <c r="D18" s="11">
        <v>126.76600000000001</v>
      </c>
      <c r="E18" s="11">
        <v>99.350999999999999</v>
      </c>
      <c r="F18" s="11">
        <v>167.381</v>
      </c>
      <c r="G18" s="6">
        <v>1</v>
      </c>
      <c r="H18" s="11">
        <v>60</v>
      </c>
      <c r="I18" s="11" t="s">
        <v>40</v>
      </c>
      <c r="J18" s="11"/>
      <c r="K18" s="11">
        <v>96.55</v>
      </c>
      <c r="L18" s="11">
        <f t="shared" si="2"/>
        <v>2.8010000000000019</v>
      </c>
      <c r="M18" s="11"/>
      <c r="N18" s="11"/>
      <c r="O18" s="11">
        <v>56.141199999999913</v>
      </c>
      <c r="P18" s="11"/>
      <c r="Q18" s="11"/>
      <c r="R18" s="11"/>
      <c r="S18" s="11"/>
      <c r="T18" s="11"/>
      <c r="U18" s="11">
        <f t="shared" si="3"/>
        <v>19.870200000000001</v>
      </c>
      <c r="V18" s="4"/>
      <c r="W18" s="4">
        <f t="shared" si="7"/>
        <v>0</v>
      </c>
      <c r="X18" s="11">
        <f t="shared" si="5"/>
        <v>11.249116767823168</v>
      </c>
      <c r="Y18" s="11">
        <f t="shared" si="4"/>
        <v>11.249116767823168</v>
      </c>
      <c r="Z18" s="11">
        <v>23.232600000000001</v>
      </c>
      <c r="AA18" s="11">
        <v>23.764399999999998</v>
      </c>
      <c r="AB18" s="11">
        <v>25.488199999999999</v>
      </c>
      <c r="AC18" s="11">
        <v>23.536200000000001</v>
      </c>
      <c r="AD18" s="11">
        <v>24.895399999999999</v>
      </c>
      <c r="AE18" s="11">
        <v>24.598400000000002</v>
      </c>
      <c r="AF18" s="11">
        <v>18.6858</v>
      </c>
      <c r="AG18" s="11">
        <v>21.406600000000001</v>
      </c>
      <c r="AH18" s="11">
        <v>20.923999999999999</v>
      </c>
      <c r="AI18" s="11">
        <v>19.589400000000001</v>
      </c>
      <c r="AJ18" s="11"/>
      <c r="AK18" s="11">
        <f t="shared" si="6"/>
        <v>0</v>
      </c>
    </row>
    <row r="19" spans="1:37" x14ac:dyDescent="0.25">
      <c r="A19" s="11" t="s">
        <v>57</v>
      </c>
      <c r="B19" s="11" t="s">
        <v>39</v>
      </c>
      <c r="C19" s="11">
        <v>111.029</v>
      </c>
      <c r="D19" s="11">
        <v>106.857</v>
      </c>
      <c r="E19" s="11">
        <v>81.727000000000004</v>
      </c>
      <c r="F19" s="11">
        <v>127.283</v>
      </c>
      <c r="G19" s="6">
        <v>1</v>
      </c>
      <c r="H19" s="11">
        <v>60</v>
      </c>
      <c r="I19" s="11" t="s">
        <v>40</v>
      </c>
      <c r="J19" s="11"/>
      <c r="K19" s="11">
        <v>77.819999999999993</v>
      </c>
      <c r="L19" s="11">
        <f t="shared" si="2"/>
        <v>3.9070000000000107</v>
      </c>
      <c r="M19" s="11"/>
      <c r="N19" s="11"/>
      <c r="O19" s="11">
        <v>65.074000000000012</v>
      </c>
      <c r="P19" s="11"/>
      <c r="Q19" s="11"/>
      <c r="R19" s="11"/>
      <c r="S19" s="11"/>
      <c r="T19" s="11"/>
      <c r="U19" s="11">
        <f t="shared" si="3"/>
        <v>16.345400000000001</v>
      </c>
      <c r="V19" s="4"/>
      <c r="W19" s="4">
        <f t="shared" si="7"/>
        <v>0</v>
      </c>
      <c r="X19" s="11">
        <f t="shared" si="5"/>
        <v>11.768265077636523</v>
      </c>
      <c r="Y19" s="11">
        <f t="shared" si="4"/>
        <v>11.768265077636523</v>
      </c>
      <c r="Z19" s="11">
        <v>19.931799999999999</v>
      </c>
      <c r="AA19" s="11">
        <v>18.4558</v>
      </c>
      <c r="AB19" s="11">
        <v>16.866199999999999</v>
      </c>
      <c r="AC19" s="11">
        <v>17.227399999999999</v>
      </c>
      <c r="AD19" s="11">
        <v>14.844200000000001</v>
      </c>
      <c r="AE19" s="11">
        <v>17.3218</v>
      </c>
      <c r="AF19" s="11">
        <v>17.478400000000001</v>
      </c>
      <c r="AG19" s="11">
        <v>13.7256</v>
      </c>
      <c r="AH19" s="11">
        <v>14.416600000000001</v>
      </c>
      <c r="AI19" s="11">
        <v>16.773</v>
      </c>
      <c r="AJ19" s="11"/>
      <c r="AK19" s="11">
        <f t="shared" si="6"/>
        <v>0</v>
      </c>
    </row>
    <row r="20" spans="1:37" x14ac:dyDescent="0.25">
      <c r="A20" s="11" t="s">
        <v>58</v>
      </c>
      <c r="B20" s="11" t="s">
        <v>39</v>
      </c>
      <c r="C20" s="11">
        <v>22.62</v>
      </c>
      <c r="D20" s="11"/>
      <c r="E20" s="11">
        <v>6.8289999999999997</v>
      </c>
      <c r="F20" s="11">
        <v>14.704000000000001</v>
      </c>
      <c r="G20" s="6">
        <v>1</v>
      </c>
      <c r="H20" s="11">
        <v>180</v>
      </c>
      <c r="I20" s="11" t="s">
        <v>40</v>
      </c>
      <c r="J20" s="11"/>
      <c r="K20" s="11">
        <v>6.43</v>
      </c>
      <c r="L20" s="11">
        <f t="shared" si="2"/>
        <v>0.39900000000000002</v>
      </c>
      <c r="M20" s="11"/>
      <c r="N20" s="11"/>
      <c r="O20" s="11">
        <v>4.6648000000000032</v>
      </c>
      <c r="P20" s="11"/>
      <c r="Q20" s="11"/>
      <c r="R20" s="11"/>
      <c r="S20" s="11"/>
      <c r="T20" s="11"/>
      <c r="U20" s="11">
        <f t="shared" si="3"/>
        <v>1.3657999999999999</v>
      </c>
      <c r="V20" s="4"/>
      <c r="W20" s="4">
        <f t="shared" si="7"/>
        <v>0</v>
      </c>
      <c r="X20" s="11">
        <f t="shared" si="5"/>
        <v>14.181285693366529</v>
      </c>
      <c r="Y20" s="11">
        <f t="shared" si="4"/>
        <v>14.181285693366529</v>
      </c>
      <c r="Z20" s="11">
        <v>1.7043999999999999</v>
      </c>
      <c r="AA20" s="11">
        <v>1.3306</v>
      </c>
      <c r="AB20" s="11">
        <v>0.62980000000000003</v>
      </c>
      <c r="AC20" s="11">
        <v>1.0427999999999999</v>
      </c>
      <c r="AD20" s="11">
        <v>2.0901999999999998</v>
      </c>
      <c r="AE20" s="11">
        <v>2.1625999999999999</v>
      </c>
      <c r="AF20" s="11">
        <v>1.7310000000000001</v>
      </c>
      <c r="AG20" s="11">
        <v>1.6870000000000001</v>
      </c>
      <c r="AH20" s="11">
        <v>1.4314</v>
      </c>
      <c r="AI20" s="11">
        <v>1.4481999999999999</v>
      </c>
      <c r="AJ20" s="11"/>
      <c r="AK20" s="11">
        <f t="shared" si="6"/>
        <v>0</v>
      </c>
    </row>
    <row r="21" spans="1:37" x14ac:dyDescent="0.25">
      <c r="A21" s="11" t="s">
        <v>59</v>
      </c>
      <c r="B21" s="11" t="s">
        <v>39</v>
      </c>
      <c r="C21" s="11">
        <v>2299.8850000000002</v>
      </c>
      <c r="D21" s="11">
        <v>876.35799999999995</v>
      </c>
      <c r="E21" s="11">
        <v>1267.3779999999999</v>
      </c>
      <c r="F21" s="11">
        <v>1798.991</v>
      </c>
      <c r="G21" s="6">
        <v>1</v>
      </c>
      <c r="H21" s="11">
        <v>60</v>
      </c>
      <c r="I21" s="11" t="s">
        <v>40</v>
      </c>
      <c r="J21" s="11"/>
      <c r="K21" s="11">
        <v>1220.5650000000001</v>
      </c>
      <c r="L21" s="11">
        <f t="shared" si="2"/>
        <v>46.812999999999874</v>
      </c>
      <c r="M21" s="11"/>
      <c r="N21" s="11"/>
      <c r="O21" s="11">
        <v>445.24414465300009</v>
      </c>
      <c r="P21" s="11"/>
      <c r="Q21" s="11"/>
      <c r="R21" s="11">
        <v>711.23415314700014</v>
      </c>
      <c r="S21" s="11"/>
      <c r="T21" s="11"/>
      <c r="U21" s="11">
        <f t="shared" si="3"/>
        <v>253.47559999999999</v>
      </c>
      <c r="V21" s="4"/>
      <c r="W21" s="4">
        <f t="shared" si="7"/>
        <v>0</v>
      </c>
      <c r="X21" s="11">
        <f t="shared" si="5"/>
        <v>11.659778289507946</v>
      </c>
      <c r="Y21" s="11">
        <f t="shared" si="4"/>
        <v>11.659778289507946</v>
      </c>
      <c r="Z21" s="11">
        <v>272.93060000000003</v>
      </c>
      <c r="AA21" s="11">
        <v>280.49860000000001</v>
      </c>
      <c r="AB21" s="11">
        <v>283.15519999999998</v>
      </c>
      <c r="AC21" s="11">
        <v>289.96379999999999</v>
      </c>
      <c r="AD21" s="11">
        <v>276.86619999999999</v>
      </c>
      <c r="AE21" s="11">
        <v>268.45139999999998</v>
      </c>
      <c r="AF21" s="11">
        <v>275.91120000000001</v>
      </c>
      <c r="AG21" s="11">
        <v>284.72680000000003</v>
      </c>
      <c r="AH21" s="11">
        <v>282.6728</v>
      </c>
      <c r="AI21" s="11">
        <v>268.63920000000002</v>
      </c>
      <c r="AJ21" s="11"/>
      <c r="AK21" s="11">
        <f t="shared" si="6"/>
        <v>0</v>
      </c>
    </row>
    <row r="22" spans="1:37" x14ac:dyDescent="0.25">
      <c r="A22" s="11" t="s">
        <v>60</v>
      </c>
      <c r="B22" s="11" t="s">
        <v>39</v>
      </c>
      <c r="C22" s="11">
        <v>152.535</v>
      </c>
      <c r="D22" s="11">
        <v>395.72</v>
      </c>
      <c r="E22" s="11">
        <v>181.85</v>
      </c>
      <c r="F22" s="11">
        <v>355.95699999999999</v>
      </c>
      <c r="G22" s="6">
        <v>1</v>
      </c>
      <c r="H22" s="11">
        <v>70</v>
      </c>
      <c r="I22" s="11" t="s">
        <v>40</v>
      </c>
      <c r="J22" s="11"/>
      <c r="K22" s="11">
        <v>179.24</v>
      </c>
      <c r="L22" s="11">
        <f t="shared" si="2"/>
        <v>2.6099999999999852</v>
      </c>
      <c r="M22" s="11"/>
      <c r="N22" s="11"/>
      <c r="O22" s="11">
        <v>133.12663260000011</v>
      </c>
      <c r="P22" s="11"/>
      <c r="Q22" s="11"/>
      <c r="R22" s="11"/>
      <c r="S22" s="11"/>
      <c r="T22" s="11"/>
      <c r="U22" s="11">
        <f t="shared" si="3"/>
        <v>36.369999999999997</v>
      </c>
      <c r="V22" s="4"/>
      <c r="W22" s="4">
        <f t="shared" si="7"/>
        <v>0</v>
      </c>
      <c r="X22" s="11">
        <f t="shared" si="5"/>
        <v>13.447446593346168</v>
      </c>
      <c r="Y22" s="11">
        <f t="shared" si="4"/>
        <v>13.447446593346168</v>
      </c>
      <c r="Z22" s="11">
        <v>49.895400000000002</v>
      </c>
      <c r="AA22" s="11">
        <v>49.0822</v>
      </c>
      <c r="AB22" s="11">
        <v>37.723999999999997</v>
      </c>
      <c r="AC22" s="11">
        <v>35.753</v>
      </c>
      <c r="AD22" s="11">
        <v>35.983400000000003</v>
      </c>
      <c r="AE22" s="11">
        <v>37.6586</v>
      </c>
      <c r="AF22" s="11">
        <v>29.225200000000001</v>
      </c>
      <c r="AG22" s="11">
        <v>30.331199999999999</v>
      </c>
      <c r="AH22" s="11">
        <v>41.240400000000001</v>
      </c>
      <c r="AI22" s="11">
        <v>40.357600000000012</v>
      </c>
      <c r="AJ22" s="11"/>
      <c r="AK22" s="11">
        <f t="shared" si="6"/>
        <v>0</v>
      </c>
    </row>
    <row r="23" spans="1:37" x14ac:dyDescent="0.25">
      <c r="A23" s="11" t="s">
        <v>61</v>
      </c>
      <c r="B23" s="11" t="s">
        <v>39</v>
      </c>
      <c r="C23" s="11">
        <v>476.41</v>
      </c>
      <c r="D23" s="11">
        <v>511.62299999999999</v>
      </c>
      <c r="E23" s="11">
        <v>382.06299999999999</v>
      </c>
      <c r="F23" s="11">
        <v>576.572</v>
      </c>
      <c r="G23" s="6">
        <v>1</v>
      </c>
      <c r="H23" s="11">
        <v>70</v>
      </c>
      <c r="I23" s="12" t="s">
        <v>50</v>
      </c>
      <c r="J23" s="11"/>
      <c r="K23" s="11">
        <v>371.31</v>
      </c>
      <c r="L23" s="11">
        <f t="shared" si="2"/>
        <v>10.752999999999986</v>
      </c>
      <c r="M23" s="11"/>
      <c r="N23" s="11"/>
      <c r="O23" s="11">
        <v>151.28117027100009</v>
      </c>
      <c r="P23" s="11">
        <v>-153.12</v>
      </c>
      <c r="Q23" s="11"/>
      <c r="R23" s="11">
        <v>241.65693432900011</v>
      </c>
      <c r="S23" s="11"/>
      <c r="T23" s="11"/>
      <c r="U23" s="11">
        <f t="shared" si="3"/>
        <v>76.412599999999998</v>
      </c>
      <c r="V23" s="4">
        <f>11*U23-T23-R23-Q23-P23-O23-F23</f>
        <v>24.148495399999774</v>
      </c>
      <c r="W23" s="4">
        <f t="shared" si="7"/>
        <v>24.148495399999774</v>
      </c>
      <c r="X23" s="11">
        <f t="shared" si="5"/>
        <v>11</v>
      </c>
      <c r="Y23" s="11">
        <f t="shared" si="4"/>
        <v>10.683972337022954</v>
      </c>
      <c r="Z23" s="11">
        <v>86.384199999999993</v>
      </c>
      <c r="AA23" s="11">
        <v>84.844200000000001</v>
      </c>
      <c r="AB23" s="11">
        <v>79.9756</v>
      </c>
      <c r="AC23" s="11">
        <v>79.880200000000002</v>
      </c>
      <c r="AD23" s="11">
        <v>85.579599999999999</v>
      </c>
      <c r="AE23" s="11">
        <v>89.1798</v>
      </c>
      <c r="AF23" s="11">
        <v>90.862200000000001</v>
      </c>
      <c r="AG23" s="11">
        <v>89.53540000000001</v>
      </c>
      <c r="AH23" s="11">
        <v>90.167400000000001</v>
      </c>
      <c r="AI23" s="11">
        <v>90.783199999999994</v>
      </c>
      <c r="AJ23" s="11"/>
      <c r="AK23" s="11">
        <f t="shared" si="6"/>
        <v>24</v>
      </c>
    </row>
    <row r="24" spans="1:37" x14ac:dyDescent="0.25">
      <c r="A24" s="8" t="s">
        <v>62</v>
      </c>
      <c r="B24" s="8" t="s">
        <v>39</v>
      </c>
      <c r="C24" s="8"/>
      <c r="D24" s="8"/>
      <c r="E24" s="8"/>
      <c r="F24" s="8"/>
      <c r="G24" s="9">
        <v>0</v>
      </c>
      <c r="H24" s="8"/>
      <c r="I24" s="8" t="s">
        <v>40</v>
      </c>
      <c r="J24" s="8"/>
      <c r="K24" s="8"/>
      <c r="L24" s="8">
        <f t="shared" si="2"/>
        <v>0</v>
      </c>
      <c r="M24" s="8"/>
      <c r="N24" s="8"/>
      <c r="O24" s="8">
        <v>0</v>
      </c>
      <c r="P24" s="8"/>
      <c r="Q24" s="8"/>
      <c r="R24" s="8"/>
      <c r="S24" s="8"/>
      <c r="T24" s="8"/>
      <c r="U24" s="8">
        <f t="shared" si="3"/>
        <v>0</v>
      </c>
      <c r="V24" s="10"/>
      <c r="W24" s="4">
        <f t="shared" si="7"/>
        <v>0</v>
      </c>
      <c r="X24" s="11" t="e">
        <f t="shared" si="5"/>
        <v>#DIV/0!</v>
      </c>
      <c r="Y24" s="11" t="e">
        <f t="shared" si="4"/>
        <v>#DIV/0!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 t="s">
        <v>45</v>
      </c>
      <c r="AK24" s="11">
        <f t="shared" si="6"/>
        <v>0</v>
      </c>
    </row>
    <row r="25" spans="1:37" x14ac:dyDescent="0.25">
      <c r="A25" s="11" t="s">
        <v>63</v>
      </c>
      <c r="B25" s="11" t="s">
        <v>39</v>
      </c>
      <c r="C25" s="11">
        <v>537.89</v>
      </c>
      <c r="D25" s="11">
        <v>1013.914</v>
      </c>
      <c r="E25" s="11">
        <v>587.94799999999998</v>
      </c>
      <c r="F25" s="11">
        <v>912.00699999999995</v>
      </c>
      <c r="G25" s="6">
        <v>1</v>
      </c>
      <c r="H25" s="11">
        <v>70</v>
      </c>
      <c r="I25" s="12" t="s">
        <v>50</v>
      </c>
      <c r="J25" s="11"/>
      <c r="K25" s="11">
        <v>574.54999999999995</v>
      </c>
      <c r="L25" s="11">
        <f t="shared" si="2"/>
        <v>13.398000000000025</v>
      </c>
      <c r="M25" s="11"/>
      <c r="N25" s="11"/>
      <c r="O25" s="11">
        <v>230.85687886800011</v>
      </c>
      <c r="P25" s="11">
        <v>-232.32</v>
      </c>
      <c r="Q25" s="11"/>
      <c r="R25" s="11">
        <v>368.77137793200018</v>
      </c>
      <c r="S25" s="11"/>
      <c r="T25" s="11"/>
      <c r="U25" s="11">
        <f t="shared" si="3"/>
        <v>117.58959999999999</v>
      </c>
      <c r="V25" s="4">
        <f>11*U25-T25-R25-Q25-P25-O25-F25-S25</f>
        <v>14.170343199999706</v>
      </c>
      <c r="W25" s="4">
        <f t="shared" si="7"/>
        <v>14.170343199999706</v>
      </c>
      <c r="X25" s="11">
        <f t="shared" si="5"/>
        <v>11</v>
      </c>
      <c r="Y25" s="11">
        <f t="shared" si="4"/>
        <v>10.879493227292214</v>
      </c>
      <c r="Z25" s="11">
        <v>135.84819999999999</v>
      </c>
      <c r="AA25" s="11">
        <v>138.06559999999999</v>
      </c>
      <c r="AB25" s="11">
        <v>123.43040000000001</v>
      </c>
      <c r="AC25" s="11">
        <v>120.05240000000001</v>
      </c>
      <c r="AD25" s="11">
        <v>127.38039999999999</v>
      </c>
      <c r="AE25" s="11">
        <v>123.4118</v>
      </c>
      <c r="AF25" s="11">
        <v>117.6122</v>
      </c>
      <c r="AG25" s="11">
        <v>125.7372</v>
      </c>
      <c r="AH25" s="11">
        <v>138.38999999999999</v>
      </c>
      <c r="AI25" s="11">
        <v>139.70419999999999</v>
      </c>
      <c r="AJ25" s="11"/>
      <c r="AK25" s="11">
        <f t="shared" si="6"/>
        <v>14</v>
      </c>
    </row>
    <row r="26" spans="1:37" x14ac:dyDescent="0.25">
      <c r="A26" s="11" t="s">
        <v>64</v>
      </c>
      <c r="B26" s="11" t="s">
        <v>39</v>
      </c>
      <c r="C26" s="11">
        <v>50.189</v>
      </c>
      <c r="D26" s="11">
        <v>52.578000000000003</v>
      </c>
      <c r="E26" s="11">
        <v>94.475999999999999</v>
      </c>
      <c r="F26" s="11">
        <v>8.2910000000000004</v>
      </c>
      <c r="G26" s="6">
        <v>1</v>
      </c>
      <c r="H26" s="11">
        <v>40</v>
      </c>
      <c r="I26" s="12" t="s">
        <v>50</v>
      </c>
      <c r="J26" s="11"/>
      <c r="K26" s="11">
        <v>133.80000000000001</v>
      </c>
      <c r="L26" s="11">
        <f t="shared" si="2"/>
        <v>-39.324000000000012</v>
      </c>
      <c r="M26" s="11"/>
      <c r="N26" s="11"/>
      <c r="O26" s="11">
        <v>90</v>
      </c>
      <c r="P26" s="11">
        <v>-92.4</v>
      </c>
      <c r="Q26" s="11"/>
      <c r="R26" s="11">
        <v>45</v>
      </c>
      <c r="S26" s="11"/>
      <c r="T26" s="11"/>
      <c r="U26" s="11">
        <f t="shared" si="3"/>
        <v>18.895199999999999</v>
      </c>
      <c r="V26" s="4">
        <v>80</v>
      </c>
      <c r="W26" s="4">
        <f t="shared" si="7"/>
        <v>80</v>
      </c>
      <c r="X26" s="11">
        <f t="shared" si="5"/>
        <v>6.9272090266311022</v>
      </c>
      <c r="Y26" s="11">
        <f t="shared" si="4"/>
        <v>2.6933295228417795</v>
      </c>
      <c r="Z26" s="11">
        <v>31.544799999999999</v>
      </c>
      <c r="AA26" s="11">
        <v>30.824200000000001</v>
      </c>
      <c r="AB26" s="11">
        <v>25.345600000000001</v>
      </c>
      <c r="AC26" s="11">
        <v>25.345600000000001</v>
      </c>
      <c r="AD26" s="11">
        <v>29.334199999999999</v>
      </c>
      <c r="AE26" s="11">
        <v>30.359200000000001</v>
      </c>
      <c r="AF26" s="11">
        <v>1.6180000000000001</v>
      </c>
      <c r="AG26" s="11">
        <v>0.88819999999999999</v>
      </c>
      <c r="AH26" s="11">
        <v>28.8462</v>
      </c>
      <c r="AI26" s="11">
        <v>28.550999999999998</v>
      </c>
      <c r="AJ26" s="11"/>
      <c r="AK26" s="11">
        <f t="shared" si="6"/>
        <v>80</v>
      </c>
    </row>
    <row r="27" spans="1:37" x14ac:dyDescent="0.25">
      <c r="A27" s="11" t="s">
        <v>65</v>
      </c>
      <c r="B27" s="11" t="s">
        <v>39</v>
      </c>
      <c r="C27" s="11">
        <v>233.703</v>
      </c>
      <c r="D27" s="11">
        <v>435.22300000000001</v>
      </c>
      <c r="E27" s="11">
        <v>315.73099999999999</v>
      </c>
      <c r="F27" s="11">
        <v>313.36599999999999</v>
      </c>
      <c r="G27" s="6">
        <v>1</v>
      </c>
      <c r="H27" s="11">
        <v>30</v>
      </c>
      <c r="I27" s="11" t="s">
        <v>40</v>
      </c>
      <c r="J27" s="11"/>
      <c r="K27" s="11">
        <v>320.8</v>
      </c>
      <c r="L27" s="11">
        <f t="shared" si="2"/>
        <v>-5.0690000000000168</v>
      </c>
      <c r="M27" s="11"/>
      <c r="N27" s="11"/>
      <c r="O27" s="11">
        <v>129.891086</v>
      </c>
      <c r="P27" s="11"/>
      <c r="Q27" s="11"/>
      <c r="R27" s="11"/>
      <c r="S27" s="11"/>
      <c r="T27" s="11"/>
      <c r="U27" s="11">
        <f t="shared" si="3"/>
        <v>63.1462</v>
      </c>
      <c r="V27" s="4">
        <f>11*U27-T27-R27-Q27-P27-O27-F27</f>
        <v>251.35111400000005</v>
      </c>
      <c r="W27" s="4">
        <f t="shared" si="7"/>
        <v>251.35111400000005</v>
      </c>
      <c r="X27" s="11">
        <f t="shared" si="5"/>
        <v>11</v>
      </c>
      <c r="Y27" s="11">
        <f t="shared" si="4"/>
        <v>7.019536979263993</v>
      </c>
      <c r="Z27" s="11">
        <v>55.573599999999999</v>
      </c>
      <c r="AA27" s="11">
        <v>57.696000000000012</v>
      </c>
      <c r="AB27" s="11">
        <v>53.5364</v>
      </c>
      <c r="AC27" s="11">
        <v>46.989400000000003</v>
      </c>
      <c r="AD27" s="11">
        <v>50.754199999999997</v>
      </c>
      <c r="AE27" s="11">
        <v>52.681199999999997</v>
      </c>
      <c r="AF27" s="11">
        <v>61.315399999999997</v>
      </c>
      <c r="AG27" s="11">
        <v>65.999600000000001</v>
      </c>
      <c r="AH27" s="11">
        <v>56.640599999999992</v>
      </c>
      <c r="AI27" s="11">
        <v>57.695599999999999</v>
      </c>
      <c r="AJ27" s="11"/>
      <c r="AK27" s="11">
        <f t="shared" si="6"/>
        <v>251</v>
      </c>
    </row>
    <row r="28" spans="1:37" x14ac:dyDescent="0.25">
      <c r="A28" s="11" t="s">
        <v>66</v>
      </c>
      <c r="B28" s="11" t="s">
        <v>39</v>
      </c>
      <c r="C28" s="11">
        <v>0.23499999999999999</v>
      </c>
      <c r="D28" s="11"/>
      <c r="E28" s="11">
        <v>-8.1959999999999997</v>
      </c>
      <c r="F28" s="11">
        <v>0.23499999999999999</v>
      </c>
      <c r="G28" s="6">
        <v>1</v>
      </c>
      <c r="H28" s="11">
        <v>40</v>
      </c>
      <c r="I28" s="12" t="s">
        <v>50</v>
      </c>
      <c r="J28" s="11"/>
      <c r="K28" s="11">
        <v>52.1</v>
      </c>
      <c r="L28" s="11">
        <f t="shared" si="2"/>
        <v>-60.295999999999999</v>
      </c>
      <c r="M28" s="11"/>
      <c r="N28" s="11"/>
      <c r="O28" s="11">
        <v>100</v>
      </c>
      <c r="P28" s="11">
        <v>-108</v>
      </c>
      <c r="Q28" s="11"/>
      <c r="R28" s="11">
        <v>50</v>
      </c>
      <c r="S28" s="11">
        <v>-54</v>
      </c>
      <c r="T28" s="11"/>
      <c r="U28" s="11">
        <f t="shared" si="3"/>
        <v>-1.6392</v>
      </c>
      <c r="V28" s="4">
        <v>100</v>
      </c>
      <c r="W28" s="4">
        <f t="shared" si="7"/>
        <v>100</v>
      </c>
      <c r="X28" s="11">
        <f t="shared" si="5"/>
        <v>-53.828086871644715</v>
      </c>
      <c r="Y28" s="11">
        <f t="shared" si="4"/>
        <v>7.1772816007808693</v>
      </c>
      <c r="Z28" s="11">
        <v>-1.9690000000000001</v>
      </c>
      <c r="AA28" s="11">
        <v>-1.5426</v>
      </c>
      <c r="AB28" s="11">
        <v>0.627</v>
      </c>
      <c r="AC28" s="11">
        <v>13.4148</v>
      </c>
      <c r="AD28" s="11">
        <v>42.743000000000002</v>
      </c>
      <c r="AE28" s="11">
        <v>41.494799999999998</v>
      </c>
      <c r="AF28" s="11">
        <v>42.447800000000001</v>
      </c>
      <c r="AG28" s="11">
        <v>46.859200000000001</v>
      </c>
      <c r="AH28" s="11">
        <v>44.1312</v>
      </c>
      <c r="AI28" s="11">
        <v>43.206599999999987</v>
      </c>
      <c r="AJ28" s="11"/>
      <c r="AK28" s="11">
        <f t="shared" si="6"/>
        <v>100</v>
      </c>
    </row>
    <row r="29" spans="1:37" x14ac:dyDescent="0.25">
      <c r="A29" s="11" t="s">
        <v>67</v>
      </c>
      <c r="B29" s="11" t="s">
        <v>39</v>
      </c>
      <c r="C29" s="11">
        <v>854.98400000000004</v>
      </c>
      <c r="D29" s="11">
        <v>2423.2469999999998</v>
      </c>
      <c r="E29" s="11">
        <v>2017.818</v>
      </c>
      <c r="F29" s="11">
        <v>998.03300000000002</v>
      </c>
      <c r="G29" s="6">
        <v>1</v>
      </c>
      <c r="H29" s="11">
        <v>30</v>
      </c>
      <c r="I29" s="12" t="s">
        <v>50</v>
      </c>
      <c r="J29" s="11"/>
      <c r="K29" s="11">
        <v>2121.9810000000002</v>
      </c>
      <c r="L29" s="11">
        <f t="shared" si="2"/>
        <v>-104.16300000000024</v>
      </c>
      <c r="M29" s="11"/>
      <c r="N29" s="11"/>
      <c r="O29" s="11">
        <v>1920.8209999999999</v>
      </c>
      <c r="P29" s="11">
        <v>-500.6</v>
      </c>
      <c r="Q29" s="11"/>
      <c r="R29" s="11">
        <v>960.41050000000018</v>
      </c>
      <c r="S29" s="11"/>
      <c r="T29" s="11"/>
      <c r="U29" s="11">
        <f t="shared" si="3"/>
        <v>403.56360000000001</v>
      </c>
      <c r="V29" s="4">
        <f>11*U29-T29-R29-Q29-P29-O29-F29</f>
        <v>1060.5351000000001</v>
      </c>
      <c r="W29" s="4">
        <f t="shared" si="7"/>
        <v>1060.5351000000001</v>
      </c>
      <c r="X29" s="11">
        <f t="shared" si="5"/>
        <v>11</v>
      </c>
      <c r="Y29" s="11">
        <f t="shared" si="4"/>
        <v>8.3720744388245123</v>
      </c>
      <c r="Z29" s="11">
        <v>375.65600000000001</v>
      </c>
      <c r="AA29" s="11">
        <v>362.08580000000001</v>
      </c>
      <c r="AB29" s="11">
        <v>409.18340000000001</v>
      </c>
      <c r="AC29" s="11">
        <v>406.64479999999998</v>
      </c>
      <c r="AD29" s="11">
        <v>471.33839999999998</v>
      </c>
      <c r="AE29" s="11">
        <v>480.87979999999999</v>
      </c>
      <c r="AF29" s="11">
        <v>213.43700000000001</v>
      </c>
      <c r="AG29" s="11">
        <v>215.16399999999999</v>
      </c>
      <c r="AH29" s="11">
        <v>450.7</v>
      </c>
      <c r="AI29" s="11">
        <v>450.23039999999997</v>
      </c>
      <c r="AJ29" s="11"/>
      <c r="AK29" s="11">
        <f t="shared" si="6"/>
        <v>1061</v>
      </c>
    </row>
    <row r="30" spans="1:37" x14ac:dyDescent="0.25">
      <c r="A30" s="8" t="s">
        <v>68</v>
      </c>
      <c r="B30" s="8" t="s">
        <v>39</v>
      </c>
      <c r="C30" s="8">
        <v>0.437</v>
      </c>
      <c r="D30" s="8"/>
      <c r="E30" s="8"/>
      <c r="F30" s="8">
        <v>0.437</v>
      </c>
      <c r="G30" s="9">
        <v>0</v>
      </c>
      <c r="H30" s="8">
        <v>45</v>
      </c>
      <c r="I30" s="8" t="s">
        <v>53</v>
      </c>
      <c r="J30" s="8"/>
      <c r="K30" s="8">
        <v>5.2</v>
      </c>
      <c r="L30" s="8">
        <f t="shared" si="2"/>
        <v>-5.2</v>
      </c>
      <c r="M30" s="8"/>
      <c r="N30" s="8"/>
      <c r="O30" s="8">
        <v>0</v>
      </c>
      <c r="P30" s="8"/>
      <c r="Q30" s="8"/>
      <c r="R30" s="8"/>
      <c r="S30" s="8"/>
      <c r="T30" s="8"/>
      <c r="U30" s="8">
        <f t="shared" si="3"/>
        <v>0</v>
      </c>
      <c r="V30" s="10"/>
      <c r="W30" s="4">
        <f t="shared" si="7"/>
        <v>0</v>
      </c>
      <c r="X30" s="11" t="e">
        <f t="shared" si="5"/>
        <v>#DIV/0!</v>
      </c>
      <c r="Y30" s="11" t="e">
        <f t="shared" si="4"/>
        <v>#DIV/0!</v>
      </c>
      <c r="Z30" s="8">
        <v>0</v>
      </c>
      <c r="AA30" s="8">
        <v>0</v>
      </c>
      <c r="AB30" s="8">
        <v>0</v>
      </c>
      <c r="AC30" s="8">
        <v>0.26</v>
      </c>
      <c r="AD30" s="8">
        <v>1.5546</v>
      </c>
      <c r="AE30" s="8">
        <v>4.6036000000000001</v>
      </c>
      <c r="AF30" s="8">
        <v>4.6284000000000001</v>
      </c>
      <c r="AG30" s="8">
        <v>3.6878000000000002</v>
      </c>
      <c r="AH30" s="8">
        <v>5.8213999999999997</v>
      </c>
      <c r="AI30" s="8">
        <v>3.9933999999999998</v>
      </c>
      <c r="AJ30" s="8"/>
      <c r="AK30" s="11">
        <f t="shared" si="6"/>
        <v>0</v>
      </c>
    </row>
    <row r="31" spans="1:37" x14ac:dyDescent="0.25">
      <c r="A31" s="8" t="s">
        <v>69</v>
      </c>
      <c r="B31" s="8" t="s">
        <v>39</v>
      </c>
      <c r="C31" s="8">
        <v>-0.25700000000000001</v>
      </c>
      <c r="D31" s="8"/>
      <c r="E31" s="8"/>
      <c r="F31" s="8">
        <v>-0.25700000000000001</v>
      </c>
      <c r="G31" s="9">
        <v>0</v>
      </c>
      <c r="H31" s="8">
        <v>40</v>
      </c>
      <c r="I31" s="8" t="s">
        <v>53</v>
      </c>
      <c r="J31" s="8"/>
      <c r="K31" s="8">
        <v>82.8</v>
      </c>
      <c r="L31" s="8">
        <f t="shared" si="2"/>
        <v>-82.8</v>
      </c>
      <c r="M31" s="8"/>
      <c r="N31" s="8"/>
      <c r="O31" s="8">
        <v>0</v>
      </c>
      <c r="P31" s="8"/>
      <c r="Q31" s="8"/>
      <c r="R31" s="8"/>
      <c r="S31" s="8"/>
      <c r="T31" s="8"/>
      <c r="U31" s="8">
        <f t="shared" si="3"/>
        <v>0</v>
      </c>
      <c r="V31" s="10"/>
      <c r="W31" s="4">
        <f t="shared" si="7"/>
        <v>0</v>
      </c>
      <c r="X31" s="11" t="e">
        <f t="shared" si="5"/>
        <v>#DIV/0!</v>
      </c>
      <c r="Y31" s="11" t="e">
        <f t="shared" si="4"/>
        <v>#DIV/0!</v>
      </c>
      <c r="Z31" s="8">
        <v>0</v>
      </c>
      <c r="AA31" s="8">
        <v>0</v>
      </c>
      <c r="AB31" s="8">
        <v>0</v>
      </c>
      <c r="AC31" s="8">
        <v>0</v>
      </c>
      <c r="AD31" s="8">
        <v>0.73980000000000001</v>
      </c>
      <c r="AE31" s="8">
        <v>1.2958000000000001</v>
      </c>
      <c r="AF31" s="8">
        <v>12.6168</v>
      </c>
      <c r="AG31" s="8">
        <v>11.9848</v>
      </c>
      <c r="AH31" s="8">
        <v>17.542200000000001</v>
      </c>
      <c r="AI31" s="8">
        <v>20.3004</v>
      </c>
      <c r="AJ31" s="8"/>
      <c r="AK31" s="11">
        <f t="shared" si="6"/>
        <v>0</v>
      </c>
    </row>
    <row r="32" spans="1:37" x14ac:dyDescent="0.25">
      <c r="A32" s="11" t="s">
        <v>70</v>
      </c>
      <c r="B32" s="11" t="s">
        <v>39</v>
      </c>
      <c r="C32" s="11">
        <v>3.7480000000000002</v>
      </c>
      <c r="D32" s="11">
        <v>578.91899999999998</v>
      </c>
      <c r="E32" s="11">
        <v>582.471</v>
      </c>
      <c r="F32" s="11">
        <v>-6.8949999999999996</v>
      </c>
      <c r="G32" s="6">
        <v>1</v>
      </c>
      <c r="H32" s="11">
        <v>40</v>
      </c>
      <c r="I32" s="12" t="s">
        <v>50</v>
      </c>
      <c r="J32" s="11"/>
      <c r="K32" s="11">
        <v>1025</v>
      </c>
      <c r="L32" s="11">
        <f t="shared" si="2"/>
        <v>-442.529</v>
      </c>
      <c r="M32" s="11"/>
      <c r="N32" s="11"/>
      <c r="O32" s="11">
        <v>1000</v>
      </c>
      <c r="P32" s="11"/>
      <c r="Q32" s="11"/>
      <c r="R32" s="11">
        <v>740</v>
      </c>
      <c r="S32" s="11"/>
      <c r="T32" s="11"/>
      <c r="U32" s="11">
        <f t="shared" si="3"/>
        <v>116.49420000000001</v>
      </c>
      <c r="V32" s="4">
        <v>1000</v>
      </c>
      <c r="W32" s="4">
        <v>1400</v>
      </c>
      <c r="X32" s="11">
        <f t="shared" si="5"/>
        <v>26.894944125973652</v>
      </c>
      <c r="Y32" s="11">
        <f t="shared" si="4"/>
        <v>14.877178434634514</v>
      </c>
      <c r="Z32" s="11">
        <v>-1.4292</v>
      </c>
      <c r="AA32" s="11">
        <v>-0.58739999999999992</v>
      </c>
      <c r="AB32" s="11">
        <v>-0.2024</v>
      </c>
      <c r="AC32" s="11">
        <v>-0.22040000000000001</v>
      </c>
      <c r="AD32" s="11">
        <v>466.95479999999998</v>
      </c>
      <c r="AE32" s="11">
        <v>466.65679999999998</v>
      </c>
      <c r="AF32" s="11">
        <v>-1.0442</v>
      </c>
      <c r="AG32" s="11">
        <v>170.2936</v>
      </c>
      <c r="AH32" s="11">
        <v>540.2518</v>
      </c>
      <c r="AI32" s="11">
        <v>543.82479999999998</v>
      </c>
      <c r="AJ32" s="11"/>
      <c r="AK32" s="11">
        <f t="shared" si="6"/>
        <v>1400</v>
      </c>
    </row>
    <row r="33" spans="1:37" x14ac:dyDescent="0.25">
      <c r="A33" s="8" t="s">
        <v>71</v>
      </c>
      <c r="B33" s="8" t="s">
        <v>39</v>
      </c>
      <c r="C33" s="8"/>
      <c r="D33" s="8"/>
      <c r="E33" s="8"/>
      <c r="F33" s="8"/>
      <c r="G33" s="9">
        <v>0</v>
      </c>
      <c r="H33" s="8"/>
      <c r="I33" s="8" t="s">
        <v>40</v>
      </c>
      <c r="J33" s="8"/>
      <c r="K33" s="8"/>
      <c r="L33" s="8">
        <f t="shared" si="2"/>
        <v>0</v>
      </c>
      <c r="M33" s="8"/>
      <c r="N33" s="8"/>
      <c r="O33" s="8">
        <v>0</v>
      </c>
      <c r="P33" s="8"/>
      <c r="Q33" s="8"/>
      <c r="R33" s="8"/>
      <c r="S33" s="8"/>
      <c r="T33" s="8"/>
      <c r="U33" s="8">
        <f t="shared" si="3"/>
        <v>0</v>
      </c>
      <c r="V33" s="10"/>
      <c r="W33" s="4">
        <f t="shared" si="7"/>
        <v>0</v>
      </c>
      <c r="X33" s="11" t="e">
        <f t="shared" si="5"/>
        <v>#DIV/0!</v>
      </c>
      <c r="Y33" s="11" t="e">
        <f t="shared" si="4"/>
        <v>#DIV/0!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 t="s">
        <v>45</v>
      </c>
      <c r="AK33" s="11">
        <f t="shared" si="6"/>
        <v>0</v>
      </c>
    </row>
    <row r="34" spans="1:37" x14ac:dyDescent="0.25">
      <c r="A34" s="11" t="s">
        <v>72</v>
      </c>
      <c r="B34" s="11" t="s">
        <v>39</v>
      </c>
      <c r="C34" s="11">
        <v>142.81700000000001</v>
      </c>
      <c r="D34" s="11">
        <v>236.256</v>
      </c>
      <c r="E34" s="11">
        <v>157.18199999999999</v>
      </c>
      <c r="F34" s="11">
        <v>158.24299999999999</v>
      </c>
      <c r="G34" s="6">
        <v>1</v>
      </c>
      <c r="H34" s="11">
        <v>30</v>
      </c>
      <c r="I34" s="12" t="s">
        <v>50</v>
      </c>
      <c r="J34" s="11"/>
      <c r="K34" s="11">
        <v>209.9</v>
      </c>
      <c r="L34" s="11">
        <f t="shared" si="2"/>
        <v>-52.718000000000018</v>
      </c>
      <c r="M34" s="11"/>
      <c r="N34" s="11"/>
      <c r="O34" s="11">
        <v>150</v>
      </c>
      <c r="P34" s="11"/>
      <c r="Q34" s="11"/>
      <c r="R34" s="11">
        <v>75</v>
      </c>
      <c r="S34" s="11"/>
      <c r="T34" s="11"/>
      <c r="U34" s="11">
        <f t="shared" si="3"/>
        <v>31.436399999999999</v>
      </c>
      <c r="V34" s="4"/>
      <c r="W34" s="4">
        <f t="shared" si="7"/>
        <v>0</v>
      </c>
      <c r="X34" s="11">
        <f t="shared" si="5"/>
        <v>12.191058772632999</v>
      </c>
      <c r="Y34" s="11">
        <f t="shared" si="4"/>
        <v>12.191058772632999</v>
      </c>
      <c r="Z34" s="11">
        <v>41.902799999999999</v>
      </c>
      <c r="AA34" s="11">
        <v>49.4908</v>
      </c>
      <c r="AB34" s="11">
        <v>47.421799999999998</v>
      </c>
      <c r="AC34" s="11">
        <v>41.256</v>
      </c>
      <c r="AD34" s="11">
        <v>46.957599999999999</v>
      </c>
      <c r="AE34" s="11">
        <v>52.282200000000003</v>
      </c>
      <c r="AF34" s="11">
        <v>40.8566</v>
      </c>
      <c r="AG34" s="11">
        <v>32.737400000000001</v>
      </c>
      <c r="AH34" s="11">
        <v>46.584200000000003</v>
      </c>
      <c r="AI34" s="11">
        <v>55.434800000000003</v>
      </c>
      <c r="AJ34" s="11"/>
      <c r="AK34" s="11">
        <f t="shared" si="6"/>
        <v>0</v>
      </c>
    </row>
    <row r="35" spans="1:37" x14ac:dyDescent="0.25">
      <c r="A35" s="8" t="s">
        <v>73</v>
      </c>
      <c r="B35" s="8" t="s">
        <v>39</v>
      </c>
      <c r="C35" s="8"/>
      <c r="D35" s="8"/>
      <c r="E35" s="8"/>
      <c r="F35" s="8"/>
      <c r="G35" s="9">
        <v>0</v>
      </c>
      <c r="H35" s="8"/>
      <c r="I35" s="8" t="s">
        <v>40</v>
      </c>
      <c r="J35" s="8"/>
      <c r="K35" s="8"/>
      <c r="L35" s="8">
        <f t="shared" si="2"/>
        <v>0</v>
      </c>
      <c r="M35" s="8"/>
      <c r="N35" s="8"/>
      <c r="O35" s="8">
        <v>0</v>
      </c>
      <c r="P35" s="8"/>
      <c r="Q35" s="8"/>
      <c r="R35" s="8"/>
      <c r="S35" s="8"/>
      <c r="T35" s="8"/>
      <c r="U35" s="8">
        <f t="shared" si="3"/>
        <v>0</v>
      </c>
      <c r="V35" s="10"/>
      <c r="W35" s="4">
        <f t="shared" si="7"/>
        <v>0</v>
      </c>
      <c r="X35" s="11" t="e">
        <f t="shared" si="5"/>
        <v>#DIV/0!</v>
      </c>
      <c r="Y35" s="11" t="e">
        <f t="shared" si="4"/>
        <v>#DIV/0!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 t="s">
        <v>45</v>
      </c>
      <c r="AK35" s="11">
        <f t="shared" si="6"/>
        <v>0</v>
      </c>
    </row>
    <row r="36" spans="1:37" x14ac:dyDescent="0.25">
      <c r="A36" s="8" t="s">
        <v>74</v>
      </c>
      <c r="B36" s="8" t="s">
        <v>39</v>
      </c>
      <c r="C36" s="8"/>
      <c r="D36" s="8"/>
      <c r="E36" s="8"/>
      <c r="F36" s="8"/>
      <c r="G36" s="9">
        <v>0</v>
      </c>
      <c r="H36" s="8"/>
      <c r="I36" s="8" t="s">
        <v>40</v>
      </c>
      <c r="J36" s="8"/>
      <c r="K36" s="8"/>
      <c r="L36" s="8">
        <f t="shared" si="2"/>
        <v>0</v>
      </c>
      <c r="M36" s="8"/>
      <c r="N36" s="8"/>
      <c r="O36" s="8">
        <v>0</v>
      </c>
      <c r="P36" s="8"/>
      <c r="Q36" s="8"/>
      <c r="R36" s="8"/>
      <c r="S36" s="8"/>
      <c r="T36" s="8"/>
      <c r="U36" s="8">
        <f t="shared" si="3"/>
        <v>0</v>
      </c>
      <c r="V36" s="10"/>
      <c r="W36" s="4">
        <f t="shared" si="7"/>
        <v>0</v>
      </c>
      <c r="X36" s="11" t="e">
        <f t="shared" si="5"/>
        <v>#DIV/0!</v>
      </c>
      <c r="Y36" s="11" t="e">
        <f t="shared" si="4"/>
        <v>#DIV/0!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 t="s">
        <v>45</v>
      </c>
      <c r="AK36" s="11">
        <f t="shared" si="6"/>
        <v>0</v>
      </c>
    </row>
    <row r="37" spans="1:37" x14ac:dyDescent="0.25">
      <c r="A37" s="11" t="s">
        <v>75</v>
      </c>
      <c r="B37" s="11" t="s">
        <v>44</v>
      </c>
      <c r="C37" s="11">
        <v>-32.06</v>
      </c>
      <c r="D37" s="11">
        <v>6006</v>
      </c>
      <c r="E37" s="11">
        <v>3807</v>
      </c>
      <c r="F37" s="11">
        <v>1676.94</v>
      </c>
      <c r="G37" s="6">
        <v>0.4</v>
      </c>
      <c r="H37" s="11">
        <v>45</v>
      </c>
      <c r="I37" s="12" t="s">
        <v>50</v>
      </c>
      <c r="J37" s="11"/>
      <c r="K37" s="11">
        <v>4145</v>
      </c>
      <c r="L37" s="11">
        <f t="shared" si="2"/>
        <v>-338</v>
      </c>
      <c r="M37" s="11"/>
      <c r="N37" s="11"/>
      <c r="O37" s="11">
        <v>2000</v>
      </c>
      <c r="P37" s="11"/>
      <c r="Q37" s="11"/>
      <c r="R37" s="11">
        <v>1000</v>
      </c>
      <c r="S37" s="11"/>
      <c r="T37" s="11"/>
      <c r="U37" s="11">
        <f t="shared" si="3"/>
        <v>761.4</v>
      </c>
      <c r="V37" s="4">
        <v>3000</v>
      </c>
      <c r="W37" s="4">
        <v>3700</v>
      </c>
      <c r="X37" s="11">
        <f t="shared" si="5"/>
        <v>11.002022589965854</v>
      </c>
      <c r="Y37" s="11">
        <f t="shared" si="4"/>
        <v>6.1425531914893625</v>
      </c>
      <c r="Z37" s="11">
        <v>350.6</v>
      </c>
      <c r="AA37" s="11">
        <v>627.6</v>
      </c>
      <c r="AB37" s="11">
        <v>957.4</v>
      </c>
      <c r="AC37" s="11">
        <v>972</v>
      </c>
      <c r="AD37" s="11">
        <v>989.81200000000013</v>
      </c>
      <c r="AE37" s="11">
        <v>974.61200000000008</v>
      </c>
      <c r="AF37" s="11">
        <v>922.4</v>
      </c>
      <c r="AG37" s="11">
        <v>935.8</v>
      </c>
      <c r="AH37" s="11">
        <v>879.4</v>
      </c>
      <c r="AI37" s="11">
        <v>846.35859999999991</v>
      </c>
      <c r="AJ37" s="11"/>
      <c r="AK37" s="11">
        <f t="shared" si="6"/>
        <v>1480</v>
      </c>
    </row>
    <row r="38" spans="1:37" x14ac:dyDescent="0.25">
      <c r="A38" s="11" t="s">
        <v>76</v>
      </c>
      <c r="B38" s="11" t="s">
        <v>44</v>
      </c>
      <c r="C38" s="11">
        <v>564</v>
      </c>
      <c r="D38" s="11">
        <v>580</v>
      </c>
      <c r="E38" s="11">
        <v>426</v>
      </c>
      <c r="F38" s="11">
        <v>636</v>
      </c>
      <c r="G38" s="6">
        <v>0.45</v>
      </c>
      <c r="H38" s="11">
        <v>50</v>
      </c>
      <c r="I38" s="11" t="s">
        <v>40</v>
      </c>
      <c r="J38" s="11"/>
      <c r="K38" s="11">
        <v>437</v>
      </c>
      <c r="L38" s="11">
        <f t="shared" ref="L38:L69" si="9">E38-K38</f>
        <v>-11</v>
      </c>
      <c r="M38" s="11"/>
      <c r="N38" s="11"/>
      <c r="O38" s="11">
        <v>161.60860099999999</v>
      </c>
      <c r="P38" s="11"/>
      <c r="Q38" s="11"/>
      <c r="R38" s="11">
        <v>258.153999</v>
      </c>
      <c r="S38" s="11"/>
      <c r="T38" s="11"/>
      <c r="U38" s="11">
        <f t="shared" ref="U38:U69" si="10">E38/5</f>
        <v>85.2</v>
      </c>
      <c r="V38" s="4"/>
      <c r="W38" s="4">
        <f t="shared" si="7"/>
        <v>0</v>
      </c>
      <c r="X38" s="11">
        <f t="shared" si="5"/>
        <v>12.391579812206572</v>
      </c>
      <c r="Y38" s="11">
        <f t="shared" ref="Y38:Y69" si="11">(F38+O38+P38+Q38+R38+S38+T38)/U38</f>
        <v>12.391579812206572</v>
      </c>
      <c r="Z38" s="11">
        <v>96.8</v>
      </c>
      <c r="AA38" s="11">
        <v>99.2</v>
      </c>
      <c r="AB38" s="11">
        <v>105.4</v>
      </c>
      <c r="AC38" s="11">
        <v>102.8</v>
      </c>
      <c r="AD38" s="11">
        <v>77.8</v>
      </c>
      <c r="AE38" s="11">
        <v>75</v>
      </c>
      <c r="AF38" s="11">
        <v>65</v>
      </c>
      <c r="AG38" s="11">
        <v>95.6</v>
      </c>
      <c r="AH38" s="11">
        <v>101.8</v>
      </c>
      <c r="AI38" s="11">
        <v>92.4</v>
      </c>
      <c r="AJ38" s="11"/>
      <c r="AK38" s="11">
        <f t="shared" si="6"/>
        <v>0</v>
      </c>
    </row>
    <row r="39" spans="1:37" x14ac:dyDescent="0.25">
      <c r="A39" s="11" t="s">
        <v>77</v>
      </c>
      <c r="B39" s="11" t="s">
        <v>44</v>
      </c>
      <c r="C39" s="11">
        <v>-30</v>
      </c>
      <c r="D39" s="11"/>
      <c r="E39" s="11">
        <v>-6</v>
      </c>
      <c r="F39" s="11">
        <v>-30</v>
      </c>
      <c r="G39" s="6">
        <v>0.4</v>
      </c>
      <c r="H39" s="11">
        <v>45</v>
      </c>
      <c r="I39" s="12" t="s">
        <v>50</v>
      </c>
      <c r="J39" s="11"/>
      <c r="K39" s="11">
        <v>646</v>
      </c>
      <c r="L39" s="11">
        <f t="shared" si="9"/>
        <v>-652</v>
      </c>
      <c r="M39" s="11"/>
      <c r="N39" s="11"/>
      <c r="O39" s="11">
        <v>400</v>
      </c>
      <c r="P39" s="11">
        <v>-402</v>
      </c>
      <c r="Q39" s="11"/>
      <c r="R39" s="11">
        <v>200</v>
      </c>
      <c r="S39" s="11"/>
      <c r="T39" s="11"/>
      <c r="U39" s="11">
        <f t="shared" si="10"/>
        <v>-1.2</v>
      </c>
      <c r="V39" s="4">
        <v>300</v>
      </c>
      <c r="W39" s="4">
        <f t="shared" si="7"/>
        <v>300</v>
      </c>
      <c r="X39" s="11">
        <f t="shared" si="5"/>
        <v>-390</v>
      </c>
      <c r="Y39" s="11">
        <f t="shared" si="11"/>
        <v>-140</v>
      </c>
      <c r="Z39" s="11">
        <v>59</v>
      </c>
      <c r="AA39" s="11">
        <v>102.6</v>
      </c>
      <c r="AB39" s="11">
        <v>216.8</v>
      </c>
      <c r="AC39" s="11">
        <v>259</v>
      </c>
      <c r="AD39" s="11">
        <v>245.2</v>
      </c>
      <c r="AE39" s="11">
        <v>165.6</v>
      </c>
      <c r="AF39" s="11">
        <v>105.6</v>
      </c>
      <c r="AG39" s="11">
        <v>196.2</v>
      </c>
      <c r="AH39" s="11">
        <v>218.8</v>
      </c>
      <c r="AI39" s="11">
        <v>207.2</v>
      </c>
      <c r="AJ39" s="11"/>
      <c r="AK39" s="11">
        <f t="shared" si="6"/>
        <v>120</v>
      </c>
    </row>
    <row r="40" spans="1:37" x14ac:dyDescent="0.25">
      <c r="A40" s="11" t="s">
        <v>78</v>
      </c>
      <c r="B40" s="11" t="s">
        <v>44</v>
      </c>
      <c r="C40" s="11"/>
      <c r="D40" s="11"/>
      <c r="E40" s="11">
        <v>-1</v>
      </c>
      <c r="F40" s="11"/>
      <c r="G40" s="6">
        <v>0.4</v>
      </c>
      <c r="H40" s="11">
        <v>40</v>
      </c>
      <c r="I40" s="12" t="s">
        <v>50</v>
      </c>
      <c r="J40" s="11"/>
      <c r="K40" s="11">
        <v>2</v>
      </c>
      <c r="L40" s="11">
        <f t="shared" si="9"/>
        <v>-3</v>
      </c>
      <c r="M40" s="11"/>
      <c r="N40" s="11"/>
      <c r="O40" s="11">
        <v>20</v>
      </c>
      <c r="P40" s="11">
        <v>-24</v>
      </c>
      <c r="Q40" s="11"/>
      <c r="R40" s="11">
        <v>10</v>
      </c>
      <c r="S40" s="11">
        <v>-12.5</v>
      </c>
      <c r="T40" s="11"/>
      <c r="U40" s="11">
        <f t="shared" si="10"/>
        <v>-0.2</v>
      </c>
      <c r="V40" s="4">
        <v>10</v>
      </c>
      <c r="W40" s="4">
        <f t="shared" si="7"/>
        <v>10</v>
      </c>
      <c r="X40" s="11">
        <f t="shared" si="5"/>
        <v>-17.5</v>
      </c>
      <c r="Y40" s="11">
        <f t="shared" si="11"/>
        <v>32.5</v>
      </c>
      <c r="Z40" s="11">
        <v>4.4000000000000004</v>
      </c>
      <c r="AA40" s="11">
        <v>7.2</v>
      </c>
      <c r="AB40" s="11">
        <v>3.8</v>
      </c>
      <c r="AC40" s="11">
        <v>2.6</v>
      </c>
      <c r="AD40" s="11">
        <v>3.6</v>
      </c>
      <c r="AE40" s="11">
        <v>2.2000000000000002</v>
      </c>
      <c r="AF40" s="11">
        <v>2.6</v>
      </c>
      <c r="AG40" s="11">
        <v>5.4</v>
      </c>
      <c r="AH40" s="11">
        <v>4</v>
      </c>
      <c r="AI40" s="11">
        <v>1.4</v>
      </c>
      <c r="AJ40" s="11"/>
      <c r="AK40" s="11">
        <f t="shared" si="6"/>
        <v>4</v>
      </c>
    </row>
    <row r="41" spans="1:37" x14ac:dyDescent="0.25">
      <c r="A41" s="11" t="s">
        <v>79</v>
      </c>
      <c r="B41" s="11" t="s">
        <v>39</v>
      </c>
      <c r="C41" s="11">
        <v>185.74299999999999</v>
      </c>
      <c r="D41" s="11">
        <v>105.55500000000001</v>
      </c>
      <c r="E41" s="11">
        <v>283.36900000000003</v>
      </c>
      <c r="F41" s="11">
        <v>1.1639999999999999</v>
      </c>
      <c r="G41" s="6">
        <v>1</v>
      </c>
      <c r="H41" s="11">
        <v>45</v>
      </c>
      <c r="I41" s="12" t="s">
        <v>50</v>
      </c>
      <c r="J41" s="11"/>
      <c r="K41" s="11">
        <v>282.8</v>
      </c>
      <c r="L41" s="11">
        <f t="shared" si="9"/>
        <v>0.56900000000001683</v>
      </c>
      <c r="M41" s="11"/>
      <c r="N41" s="11"/>
      <c r="O41" s="11">
        <v>157.23543728199999</v>
      </c>
      <c r="P41" s="11"/>
      <c r="Q41" s="11"/>
      <c r="R41" s="11">
        <v>251.16829591800001</v>
      </c>
      <c r="S41" s="11"/>
      <c r="T41" s="11"/>
      <c r="U41" s="11">
        <f t="shared" si="10"/>
        <v>56.673800000000007</v>
      </c>
      <c r="V41" s="4">
        <f>11*U41-T41-R41-Q41-P41-O41-F41</f>
        <v>213.84406680000009</v>
      </c>
      <c r="W41" s="4">
        <f t="shared" si="7"/>
        <v>213.84406680000009</v>
      </c>
      <c r="X41" s="11">
        <f t="shared" si="5"/>
        <v>11</v>
      </c>
      <c r="Y41" s="11">
        <f t="shared" si="11"/>
        <v>7.2267561589305815</v>
      </c>
      <c r="Z41" s="11">
        <v>67.0672</v>
      </c>
      <c r="AA41" s="11">
        <v>44.9604</v>
      </c>
      <c r="AB41" s="11">
        <v>-1.5009999999999999</v>
      </c>
      <c r="AC41" s="11">
        <v>-2.0733999999999999</v>
      </c>
      <c r="AD41" s="11">
        <v>9.1658000000000008</v>
      </c>
      <c r="AE41" s="11">
        <v>37.942599999999999</v>
      </c>
      <c r="AF41" s="11">
        <v>58.043199999999999</v>
      </c>
      <c r="AG41" s="11">
        <v>60.015799999999999</v>
      </c>
      <c r="AH41" s="11">
        <v>55.129399999999997</v>
      </c>
      <c r="AI41" s="11">
        <v>48.190600000000003</v>
      </c>
      <c r="AJ41" s="11"/>
      <c r="AK41" s="11">
        <f t="shared" si="6"/>
        <v>214</v>
      </c>
    </row>
    <row r="42" spans="1:37" x14ac:dyDescent="0.25">
      <c r="A42" s="11" t="s">
        <v>80</v>
      </c>
      <c r="B42" s="11" t="s">
        <v>44</v>
      </c>
      <c r="C42" s="11">
        <v>661</v>
      </c>
      <c r="D42" s="11">
        <v>80</v>
      </c>
      <c r="E42" s="11">
        <v>399</v>
      </c>
      <c r="F42" s="11">
        <v>313</v>
      </c>
      <c r="G42" s="6">
        <v>0.1</v>
      </c>
      <c r="H42" s="11">
        <v>731</v>
      </c>
      <c r="I42" s="11" t="s">
        <v>40</v>
      </c>
      <c r="J42" s="11"/>
      <c r="K42" s="11">
        <v>399</v>
      </c>
      <c r="L42" s="11">
        <f t="shared" si="9"/>
        <v>0</v>
      </c>
      <c r="M42" s="11"/>
      <c r="N42" s="11"/>
      <c r="O42" s="11">
        <v>198.2</v>
      </c>
      <c r="P42" s="11"/>
      <c r="Q42" s="11"/>
      <c r="R42" s="11"/>
      <c r="S42" s="11"/>
      <c r="T42" s="11"/>
      <c r="U42" s="11">
        <f t="shared" si="10"/>
        <v>79.8</v>
      </c>
      <c r="V42" s="4">
        <f>11*U42-T42-R42-Q42-P42-O42-F42</f>
        <v>366.59999999999991</v>
      </c>
      <c r="W42" s="4">
        <f t="shared" si="7"/>
        <v>366.59999999999991</v>
      </c>
      <c r="X42" s="11">
        <f t="shared" si="5"/>
        <v>11</v>
      </c>
      <c r="Y42" s="11">
        <f t="shared" si="11"/>
        <v>6.4060150375939848</v>
      </c>
      <c r="Z42" s="11">
        <v>65</v>
      </c>
      <c r="AA42" s="11">
        <v>62.8</v>
      </c>
      <c r="AB42" s="11">
        <v>64</v>
      </c>
      <c r="AC42" s="11">
        <v>69.2</v>
      </c>
      <c r="AD42" s="11">
        <v>86.4</v>
      </c>
      <c r="AE42" s="11">
        <v>78.599999999999994</v>
      </c>
      <c r="AF42" s="11">
        <v>70.599999999999994</v>
      </c>
      <c r="AG42" s="11">
        <v>80.599999999999994</v>
      </c>
      <c r="AH42" s="11">
        <v>60.2</v>
      </c>
      <c r="AI42" s="11">
        <v>46.4</v>
      </c>
      <c r="AJ42" s="11"/>
      <c r="AK42" s="11">
        <f t="shared" si="6"/>
        <v>37</v>
      </c>
    </row>
    <row r="43" spans="1:37" x14ac:dyDescent="0.25">
      <c r="A43" s="11" t="s">
        <v>81</v>
      </c>
      <c r="B43" s="11" t="s">
        <v>44</v>
      </c>
      <c r="C43" s="11">
        <v>-1</v>
      </c>
      <c r="D43" s="11"/>
      <c r="E43" s="11">
        <v>-9</v>
      </c>
      <c r="F43" s="11">
        <v>-1</v>
      </c>
      <c r="G43" s="6">
        <v>0.35</v>
      </c>
      <c r="H43" s="11">
        <v>40</v>
      </c>
      <c r="I43" s="12" t="s">
        <v>50</v>
      </c>
      <c r="J43" s="11"/>
      <c r="K43" s="11">
        <v>64</v>
      </c>
      <c r="L43" s="11">
        <f t="shared" si="9"/>
        <v>-73</v>
      </c>
      <c r="M43" s="11"/>
      <c r="N43" s="11"/>
      <c r="O43" s="11">
        <v>100</v>
      </c>
      <c r="P43" s="11">
        <v>-102</v>
      </c>
      <c r="Q43" s="11"/>
      <c r="R43" s="11">
        <v>50</v>
      </c>
      <c r="S43" s="11">
        <v>-54.285714285714292</v>
      </c>
      <c r="T43" s="11"/>
      <c r="U43" s="11">
        <f t="shared" si="10"/>
        <v>-1.8</v>
      </c>
      <c r="V43" s="4">
        <v>100</v>
      </c>
      <c r="W43" s="4">
        <f t="shared" si="7"/>
        <v>100</v>
      </c>
      <c r="X43" s="11">
        <f t="shared" si="5"/>
        <v>-51.507936507936506</v>
      </c>
      <c r="Y43" s="11">
        <f t="shared" si="11"/>
        <v>4.047619047619051</v>
      </c>
      <c r="Z43" s="11">
        <v>-2.6</v>
      </c>
      <c r="AA43" s="11">
        <v>-2.8</v>
      </c>
      <c r="AB43" s="11">
        <v>-2.8</v>
      </c>
      <c r="AC43" s="11">
        <v>-3</v>
      </c>
      <c r="AD43" s="11">
        <v>6.8</v>
      </c>
      <c r="AE43" s="11">
        <v>28.4</v>
      </c>
      <c r="AF43" s="11">
        <v>45</v>
      </c>
      <c r="AG43" s="11">
        <v>43.6</v>
      </c>
      <c r="AH43" s="11">
        <v>47.6</v>
      </c>
      <c r="AI43" s="11">
        <v>44.6</v>
      </c>
      <c r="AJ43" s="11"/>
      <c r="AK43" s="11">
        <f t="shared" si="6"/>
        <v>35</v>
      </c>
    </row>
    <row r="44" spans="1:37" x14ac:dyDescent="0.25">
      <c r="A44" s="11" t="s">
        <v>82</v>
      </c>
      <c r="B44" s="11" t="s">
        <v>39</v>
      </c>
      <c r="C44" s="11">
        <v>9.0289999999999999</v>
      </c>
      <c r="D44" s="11">
        <v>35.006</v>
      </c>
      <c r="E44" s="11">
        <v>5.8140000000000001</v>
      </c>
      <c r="F44" s="11">
        <v>34.590000000000003</v>
      </c>
      <c r="G44" s="6">
        <v>1</v>
      </c>
      <c r="H44" s="11">
        <v>40</v>
      </c>
      <c r="I44" s="12" t="s">
        <v>50</v>
      </c>
      <c r="J44" s="11"/>
      <c r="K44" s="11">
        <v>47.25</v>
      </c>
      <c r="L44" s="11">
        <f t="shared" si="9"/>
        <v>-41.436</v>
      </c>
      <c r="M44" s="11"/>
      <c r="N44" s="11"/>
      <c r="O44" s="11">
        <v>30</v>
      </c>
      <c r="P44" s="11">
        <v>-33.6</v>
      </c>
      <c r="Q44" s="11"/>
      <c r="R44" s="11">
        <v>15</v>
      </c>
      <c r="S44" s="11">
        <v>-17</v>
      </c>
      <c r="T44" s="11"/>
      <c r="U44" s="11">
        <f t="shared" si="10"/>
        <v>1.1628000000000001</v>
      </c>
      <c r="V44" s="4">
        <v>20</v>
      </c>
      <c r="W44" s="4">
        <f t="shared" si="7"/>
        <v>20</v>
      </c>
      <c r="X44" s="11">
        <f t="shared" si="5"/>
        <v>42.131062951496396</v>
      </c>
      <c r="Y44" s="11">
        <f t="shared" si="11"/>
        <v>24.931200550395598</v>
      </c>
      <c r="Z44" s="11">
        <v>8.4174000000000007</v>
      </c>
      <c r="AA44" s="11">
        <v>11.9122</v>
      </c>
      <c r="AB44" s="11">
        <v>8.8938000000000006</v>
      </c>
      <c r="AC44" s="11">
        <v>8.7584</v>
      </c>
      <c r="AD44" s="11">
        <v>7.7378</v>
      </c>
      <c r="AE44" s="11">
        <v>8.1522000000000006</v>
      </c>
      <c r="AF44" s="11">
        <v>10.566599999999999</v>
      </c>
      <c r="AG44" s="11">
        <v>9.1028000000000002</v>
      </c>
      <c r="AH44" s="11">
        <v>7.556</v>
      </c>
      <c r="AI44" s="11">
        <v>7.9702000000000002</v>
      </c>
      <c r="AJ44" s="11"/>
      <c r="AK44" s="11">
        <f t="shared" si="6"/>
        <v>20</v>
      </c>
    </row>
    <row r="45" spans="1:37" x14ac:dyDescent="0.25">
      <c r="A45" s="11" t="s">
        <v>83</v>
      </c>
      <c r="B45" s="11" t="s">
        <v>44</v>
      </c>
      <c r="C45" s="11">
        <v>54</v>
      </c>
      <c r="D45" s="11">
        <v>207</v>
      </c>
      <c r="E45" s="11">
        <v>182</v>
      </c>
      <c r="F45" s="11">
        <v>32</v>
      </c>
      <c r="G45" s="6">
        <v>0.4</v>
      </c>
      <c r="H45" s="11">
        <v>40</v>
      </c>
      <c r="I45" s="12" t="s">
        <v>50</v>
      </c>
      <c r="J45" s="11"/>
      <c r="K45" s="11">
        <v>264</v>
      </c>
      <c r="L45" s="11">
        <f t="shared" si="9"/>
        <v>-82</v>
      </c>
      <c r="M45" s="11"/>
      <c r="N45" s="11"/>
      <c r="O45" s="11">
        <v>100</v>
      </c>
      <c r="P45" s="11"/>
      <c r="Q45" s="11"/>
      <c r="R45" s="11">
        <v>50</v>
      </c>
      <c r="S45" s="11"/>
      <c r="T45" s="11"/>
      <c r="U45" s="11">
        <f t="shared" si="10"/>
        <v>36.4</v>
      </c>
      <c r="V45" s="4">
        <f>11*U45-T45-R45-Q45-P45-O45-F45</f>
        <v>218.39999999999998</v>
      </c>
      <c r="W45" s="4">
        <f t="shared" si="7"/>
        <v>218.39999999999998</v>
      </c>
      <c r="X45" s="11">
        <f t="shared" si="5"/>
        <v>11</v>
      </c>
      <c r="Y45" s="11">
        <f t="shared" si="11"/>
        <v>5</v>
      </c>
      <c r="Z45" s="11">
        <v>46.4</v>
      </c>
      <c r="AA45" s="11">
        <v>39.4</v>
      </c>
      <c r="AB45" s="11">
        <v>7</v>
      </c>
      <c r="AC45" s="11">
        <v>3</v>
      </c>
      <c r="AD45" s="11">
        <v>44.6</v>
      </c>
      <c r="AE45" s="11">
        <v>42.4</v>
      </c>
      <c r="AF45" s="11">
        <v>-0.8</v>
      </c>
      <c r="AG45" s="11">
        <v>17.2</v>
      </c>
      <c r="AH45" s="11">
        <v>30.2</v>
      </c>
      <c r="AI45" s="11">
        <v>32.799999999999997</v>
      </c>
      <c r="AJ45" s="11"/>
      <c r="AK45" s="11">
        <f t="shared" si="6"/>
        <v>87</v>
      </c>
    </row>
    <row r="46" spans="1:37" x14ac:dyDescent="0.25">
      <c r="A46" s="11" t="s">
        <v>84</v>
      </c>
      <c r="B46" s="11" t="s">
        <v>44</v>
      </c>
      <c r="C46" s="11">
        <v>12</v>
      </c>
      <c r="D46" s="11">
        <v>150</v>
      </c>
      <c r="E46" s="11">
        <v>151</v>
      </c>
      <c r="F46" s="11">
        <v>9</v>
      </c>
      <c r="G46" s="6">
        <v>0.4</v>
      </c>
      <c r="H46" s="11">
        <v>45</v>
      </c>
      <c r="I46" s="12" t="s">
        <v>50</v>
      </c>
      <c r="J46" s="11"/>
      <c r="K46" s="11">
        <v>284</v>
      </c>
      <c r="L46" s="11">
        <f t="shared" si="9"/>
        <v>-133</v>
      </c>
      <c r="M46" s="11"/>
      <c r="N46" s="11"/>
      <c r="O46" s="11">
        <v>100</v>
      </c>
      <c r="P46" s="11"/>
      <c r="Q46" s="11"/>
      <c r="R46" s="11">
        <v>50</v>
      </c>
      <c r="S46" s="11"/>
      <c r="T46" s="11"/>
      <c r="U46" s="11">
        <f t="shared" si="10"/>
        <v>30.2</v>
      </c>
      <c r="V46" s="4">
        <f>11*U46-T46-R46-Q46-P46-O46-F46</f>
        <v>173.2</v>
      </c>
      <c r="W46" s="4">
        <f t="shared" si="7"/>
        <v>173.2</v>
      </c>
      <c r="X46" s="11">
        <f t="shared" si="5"/>
        <v>11</v>
      </c>
      <c r="Y46" s="11">
        <f t="shared" si="11"/>
        <v>5.2649006622516561</v>
      </c>
      <c r="Z46" s="11">
        <v>25.8</v>
      </c>
      <c r="AA46" s="11">
        <v>20.399999999999999</v>
      </c>
      <c r="AB46" s="11">
        <v>-0.8</v>
      </c>
      <c r="AC46" s="11">
        <v>23.6</v>
      </c>
      <c r="AD46" s="11">
        <v>52.4</v>
      </c>
      <c r="AE46" s="11">
        <v>27.8</v>
      </c>
      <c r="AF46" s="11">
        <v>-0.8</v>
      </c>
      <c r="AG46" s="11">
        <v>6.6</v>
      </c>
      <c r="AH46" s="11">
        <v>42.6</v>
      </c>
      <c r="AI46" s="11">
        <v>57.4</v>
      </c>
      <c r="AJ46" s="11"/>
      <c r="AK46" s="11">
        <f t="shared" si="6"/>
        <v>69</v>
      </c>
    </row>
    <row r="47" spans="1:37" x14ac:dyDescent="0.25">
      <c r="A47" s="11" t="s">
        <v>85</v>
      </c>
      <c r="B47" s="11" t="s">
        <v>39</v>
      </c>
      <c r="C47" s="11">
        <v>158.50700000000001</v>
      </c>
      <c r="D47" s="11">
        <v>57.231999999999999</v>
      </c>
      <c r="E47" s="11">
        <v>122.34099999999999</v>
      </c>
      <c r="F47" s="11">
        <v>76.164000000000001</v>
      </c>
      <c r="G47" s="6">
        <v>1</v>
      </c>
      <c r="H47" s="11">
        <v>40</v>
      </c>
      <c r="I47" s="12" t="s">
        <v>50</v>
      </c>
      <c r="J47" s="11"/>
      <c r="K47" s="11">
        <v>135.65</v>
      </c>
      <c r="L47" s="11">
        <f t="shared" si="9"/>
        <v>-13.309000000000012</v>
      </c>
      <c r="M47" s="11"/>
      <c r="N47" s="11"/>
      <c r="O47" s="11">
        <v>103.303</v>
      </c>
      <c r="P47" s="11">
        <v>-105</v>
      </c>
      <c r="Q47" s="11"/>
      <c r="R47" s="11"/>
      <c r="S47" s="11"/>
      <c r="T47" s="11"/>
      <c r="U47" s="11">
        <f t="shared" si="10"/>
        <v>24.4682</v>
      </c>
      <c r="V47" s="4">
        <v>80</v>
      </c>
      <c r="W47" s="4">
        <f t="shared" si="7"/>
        <v>80</v>
      </c>
      <c r="X47" s="11">
        <f t="shared" si="5"/>
        <v>6.312969486925887</v>
      </c>
      <c r="Y47" s="11">
        <f t="shared" si="11"/>
        <v>3.0434196222035124</v>
      </c>
      <c r="Z47" s="11">
        <v>21.0944</v>
      </c>
      <c r="AA47" s="11">
        <v>18.771799999999999</v>
      </c>
      <c r="AB47" s="11">
        <v>18.388999999999999</v>
      </c>
      <c r="AC47" s="11">
        <v>21.290800000000001</v>
      </c>
      <c r="AD47" s="11">
        <v>17.810400000000001</v>
      </c>
      <c r="AE47" s="11">
        <v>16.632000000000001</v>
      </c>
      <c r="AF47" s="11">
        <v>22.530799999999999</v>
      </c>
      <c r="AG47" s="11">
        <v>20.517600000000002</v>
      </c>
      <c r="AH47" s="11">
        <v>24.51</v>
      </c>
      <c r="AI47" s="11">
        <v>25.950800000000001</v>
      </c>
      <c r="AJ47" s="11"/>
      <c r="AK47" s="11">
        <f t="shared" si="6"/>
        <v>80</v>
      </c>
    </row>
    <row r="48" spans="1:37" x14ac:dyDescent="0.25">
      <c r="A48" s="11" t="s">
        <v>86</v>
      </c>
      <c r="B48" s="11" t="s">
        <v>44</v>
      </c>
      <c r="C48" s="11">
        <v>1227</v>
      </c>
      <c r="D48" s="11">
        <v>8</v>
      </c>
      <c r="E48" s="11">
        <v>1190</v>
      </c>
      <c r="F48" s="11">
        <v>-4</v>
      </c>
      <c r="G48" s="6">
        <v>0.35</v>
      </c>
      <c r="H48" s="11">
        <v>40</v>
      </c>
      <c r="I48" s="12" t="s">
        <v>50</v>
      </c>
      <c r="J48" s="11"/>
      <c r="K48" s="11">
        <v>1531</v>
      </c>
      <c r="L48" s="11">
        <f t="shared" si="9"/>
        <v>-341</v>
      </c>
      <c r="M48" s="11"/>
      <c r="N48" s="11"/>
      <c r="O48" s="11">
        <v>1500</v>
      </c>
      <c r="P48" s="11">
        <v>-1500</v>
      </c>
      <c r="Q48" s="11"/>
      <c r="R48" s="11">
        <v>750</v>
      </c>
      <c r="S48" s="11">
        <v>-757.14285714285722</v>
      </c>
      <c r="T48" s="11"/>
      <c r="U48" s="11">
        <f t="shared" si="10"/>
        <v>238</v>
      </c>
      <c r="V48" s="4">
        <v>800</v>
      </c>
      <c r="W48" s="4">
        <f t="shared" si="7"/>
        <v>800</v>
      </c>
      <c r="X48" s="11">
        <f t="shared" si="5"/>
        <v>3.3145258103241293</v>
      </c>
      <c r="Y48" s="11">
        <f t="shared" si="11"/>
        <v>-4.6818727490996741E-2</v>
      </c>
      <c r="Z48" s="11">
        <v>305.39999999999998</v>
      </c>
      <c r="AA48" s="11">
        <v>276</v>
      </c>
      <c r="AB48" s="11">
        <v>231</v>
      </c>
      <c r="AC48" s="11">
        <v>229.8</v>
      </c>
      <c r="AD48" s="11">
        <v>254</v>
      </c>
      <c r="AE48" s="11">
        <v>261.39999999999998</v>
      </c>
      <c r="AF48" s="11">
        <v>234</v>
      </c>
      <c r="AG48" s="11">
        <v>230.6</v>
      </c>
      <c r="AH48" s="11">
        <v>272.2</v>
      </c>
      <c r="AI48" s="11">
        <v>290.39999999999998</v>
      </c>
      <c r="AJ48" s="11"/>
      <c r="AK48" s="11">
        <f t="shared" si="6"/>
        <v>280</v>
      </c>
    </row>
    <row r="49" spans="1:37" x14ac:dyDescent="0.25">
      <c r="A49" s="11" t="s">
        <v>87</v>
      </c>
      <c r="B49" s="11" t="s">
        <v>44</v>
      </c>
      <c r="C49" s="11">
        <v>764</v>
      </c>
      <c r="D49" s="11">
        <v>986</v>
      </c>
      <c r="E49" s="11">
        <v>714</v>
      </c>
      <c r="F49" s="11">
        <v>984</v>
      </c>
      <c r="G49" s="6">
        <v>0.4</v>
      </c>
      <c r="H49" s="11">
        <v>40</v>
      </c>
      <c r="I49" s="12" t="s">
        <v>50</v>
      </c>
      <c r="J49" s="11"/>
      <c r="K49" s="11">
        <v>721</v>
      </c>
      <c r="L49" s="11">
        <f t="shared" si="9"/>
        <v>-7</v>
      </c>
      <c r="M49" s="11"/>
      <c r="N49" s="11"/>
      <c r="O49" s="11">
        <v>300</v>
      </c>
      <c r="P49" s="11"/>
      <c r="Q49" s="11"/>
      <c r="R49" s="11">
        <v>150</v>
      </c>
      <c r="S49" s="11"/>
      <c r="T49" s="11"/>
      <c r="U49" s="11">
        <f t="shared" si="10"/>
        <v>142.80000000000001</v>
      </c>
      <c r="V49" s="4">
        <f>11*U49-T49-R49-Q49-P49-O49-F49</f>
        <v>136.80000000000018</v>
      </c>
      <c r="W49" s="4">
        <f t="shared" si="7"/>
        <v>136.80000000000018</v>
      </c>
      <c r="X49" s="11">
        <f t="shared" si="5"/>
        <v>11</v>
      </c>
      <c r="Y49" s="11">
        <f t="shared" si="11"/>
        <v>10.042016806722689</v>
      </c>
      <c r="Z49" s="11">
        <v>156.80000000000001</v>
      </c>
      <c r="AA49" s="11">
        <v>151.19999999999999</v>
      </c>
      <c r="AB49" s="11">
        <v>139.6</v>
      </c>
      <c r="AC49" s="11">
        <v>149</v>
      </c>
      <c r="AD49" s="11">
        <v>103</v>
      </c>
      <c r="AE49" s="11">
        <v>49.8</v>
      </c>
      <c r="AF49" s="11">
        <v>86</v>
      </c>
      <c r="AG49" s="11">
        <v>134.4</v>
      </c>
      <c r="AH49" s="11">
        <v>143.4</v>
      </c>
      <c r="AI49" s="11">
        <v>127.4</v>
      </c>
      <c r="AJ49" s="11"/>
      <c r="AK49" s="11">
        <f t="shared" si="6"/>
        <v>55</v>
      </c>
    </row>
    <row r="50" spans="1:37" x14ac:dyDescent="0.25">
      <c r="A50" s="11" t="s">
        <v>88</v>
      </c>
      <c r="B50" s="11" t="s">
        <v>39</v>
      </c>
      <c r="C50" s="11">
        <v>564.62400000000002</v>
      </c>
      <c r="D50" s="11">
        <v>468.11200000000002</v>
      </c>
      <c r="E50" s="11">
        <v>445.81700000000001</v>
      </c>
      <c r="F50" s="11">
        <v>548.02200000000005</v>
      </c>
      <c r="G50" s="6">
        <v>1</v>
      </c>
      <c r="H50" s="11">
        <v>50</v>
      </c>
      <c r="I50" s="11" t="s">
        <v>40</v>
      </c>
      <c r="J50" s="11"/>
      <c r="K50" s="11">
        <v>440.75</v>
      </c>
      <c r="L50" s="11">
        <f t="shared" si="9"/>
        <v>5.0670000000000073</v>
      </c>
      <c r="M50" s="11"/>
      <c r="N50" s="11"/>
      <c r="O50" s="11">
        <v>145.57927122199999</v>
      </c>
      <c r="P50" s="11"/>
      <c r="Q50" s="11"/>
      <c r="R50" s="11">
        <v>232.54870597799999</v>
      </c>
      <c r="S50" s="11"/>
      <c r="T50" s="11"/>
      <c r="U50" s="11">
        <f t="shared" si="10"/>
        <v>89.163399999999996</v>
      </c>
      <c r="V50" s="4">
        <f>11*U50-T50-R50-Q50-P50-O50-F50</f>
        <v>54.647422799999845</v>
      </c>
      <c r="W50" s="4">
        <f>V50+$W$1*U50</f>
        <v>143.81082279999984</v>
      </c>
      <c r="X50" s="11">
        <f t="shared" si="5"/>
        <v>11.999999999999998</v>
      </c>
      <c r="Y50" s="11">
        <f t="shared" si="11"/>
        <v>10.387109253348347</v>
      </c>
      <c r="Z50" s="11">
        <v>89.271799999999999</v>
      </c>
      <c r="AA50" s="11">
        <v>90.6524</v>
      </c>
      <c r="AB50" s="11">
        <v>74.56</v>
      </c>
      <c r="AC50" s="11">
        <v>74.037400000000005</v>
      </c>
      <c r="AD50" s="11">
        <v>94.643200000000007</v>
      </c>
      <c r="AE50" s="11">
        <v>101.782</v>
      </c>
      <c r="AF50" s="11">
        <v>92.1952</v>
      </c>
      <c r="AG50" s="11">
        <v>85.624400000000009</v>
      </c>
      <c r="AH50" s="11">
        <v>98.405999999999992</v>
      </c>
      <c r="AI50" s="11">
        <v>105.60339999999999</v>
      </c>
      <c r="AJ50" s="11"/>
      <c r="AK50" s="11">
        <f t="shared" si="6"/>
        <v>144</v>
      </c>
    </row>
    <row r="51" spans="1:37" x14ac:dyDescent="0.25">
      <c r="A51" s="11" t="s">
        <v>89</v>
      </c>
      <c r="B51" s="11" t="s">
        <v>39</v>
      </c>
      <c r="C51" s="11">
        <v>511.31200000000001</v>
      </c>
      <c r="D51" s="11">
        <v>869.04700000000003</v>
      </c>
      <c r="E51" s="11">
        <v>539.34199999999998</v>
      </c>
      <c r="F51" s="11">
        <v>787.40899999999999</v>
      </c>
      <c r="G51" s="6">
        <v>1</v>
      </c>
      <c r="H51" s="11">
        <v>50</v>
      </c>
      <c r="I51" s="11" t="s">
        <v>40</v>
      </c>
      <c r="J51" s="11"/>
      <c r="K51" s="11">
        <v>532.45000000000005</v>
      </c>
      <c r="L51" s="11">
        <f t="shared" si="9"/>
        <v>6.8919999999999391</v>
      </c>
      <c r="M51" s="11"/>
      <c r="N51" s="11"/>
      <c r="O51" s="11">
        <v>176.33687255800021</v>
      </c>
      <c r="P51" s="11"/>
      <c r="Q51" s="11"/>
      <c r="R51" s="11">
        <v>281.68097824200021</v>
      </c>
      <c r="S51" s="11"/>
      <c r="T51" s="11"/>
      <c r="U51" s="11">
        <f t="shared" si="10"/>
        <v>107.86839999999999</v>
      </c>
      <c r="V51" s="4"/>
      <c r="W51" s="4">
        <f t="shared" si="7"/>
        <v>0</v>
      </c>
      <c r="X51" s="11">
        <f t="shared" si="5"/>
        <v>11.545798869733867</v>
      </c>
      <c r="Y51" s="11">
        <f t="shared" si="11"/>
        <v>11.545798869733867</v>
      </c>
      <c r="Z51" s="11">
        <v>115.7372</v>
      </c>
      <c r="AA51" s="11">
        <v>120.2286</v>
      </c>
      <c r="AB51" s="11">
        <v>105.809</v>
      </c>
      <c r="AC51" s="11">
        <v>99.316400000000002</v>
      </c>
      <c r="AD51" s="11">
        <v>104.8566</v>
      </c>
      <c r="AE51" s="11">
        <v>106.93259999999999</v>
      </c>
      <c r="AF51" s="11">
        <v>107.8848</v>
      </c>
      <c r="AG51" s="11">
        <v>115.07080000000001</v>
      </c>
      <c r="AH51" s="11">
        <v>121.9318</v>
      </c>
      <c r="AI51" s="11">
        <v>115.127</v>
      </c>
      <c r="AJ51" s="11"/>
      <c r="AK51" s="11">
        <f t="shared" si="6"/>
        <v>0</v>
      </c>
    </row>
    <row r="52" spans="1:37" x14ac:dyDescent="0.25">
      <c r="A52" s="11" t="s">
        <v>90</v>
      </c>
      <c r="B52" s="11" t="s">
        <v>39</v>
      </c>
      <c r="C52" s="11">
        <v>32.576000000000001</v>
      </c>
      <c r="D52" s="11"/>
      <c r="E52" s="11"/>
      <c r="F52" s="11">
        <v>32.576000000000001</v>
      </c>
      <c r="G52" s="6">
        <v>1</v>
      </c>
      <c r="H52" s="11">
        <v>45</v>
      </c>
      <c r="I52" s="12" t="s">
        <v>50</v>
      </c>
      <c r="J52" s="11"/>
      <c r="K52" s="11">
        <v>98.7</v>
      </c>
      <c r="L52" s="11">
        <f t="shared" si="9"/>
        <v>-98.7</v>
      </c>
      <c r="M52" s="11"/>
      <c r="N52" s="11"/>
      <c r="O52" s="11">
        <v>40</v>
      </c>
      <c r="P52" s="11">
        <v>-45</v>
      </c>
      <c r="Q52" s="11"/>
      <c r="R52" s="11">
        <v>20</v>
      </c>
      <c r="S52" s="11">
        <v>-27</v>
      </c>
      <c r="T52" s="11"/>
      <c r="U52" s="11">
        <f t="shared" si="10"/>
        <v>0</v>
      </c>
      <c r="V52" s="4">
        <v>20</v>
      </c>
      <c r="W52" s="4">
        <f t="shared" si="7"/>
        <v>20</v>
      </c>
      <c r="X52" s="11" t="e">
        <f t="shared" si="5"/>
        <v>#DIV/0!</v>
      </c>
      <c r="Y52" s="11" t="e">
        <f t="shared" si="11"/>
        <v>#DIV/0!</v>
      </c>
      <c r="Z52" s="11">
        <v>-0.23499999999999999</v>
      </c>
      <c r="AA52" s="11">
        <v>-0.23499999999999999</v>
      </c>
      <c r="AB52" s="11">
        <v>0.58399999999999996</v>
      </c>
      <c r="AC52" s="11">
        <v>9.094199999999999</v>
      </c>
      <c r="AD52" s="11">
        <v>17.8614</v>
      </c>
      <c r="AE52" s="11">
        <v>19.946200000000001</v>
      </c>
      <c r="AF52" s="11">
        <v>17.854199999999999</v>
      </c>
      <c r="AG52" s="11">
        <v>15.411</v>
      </c>
      <c r="AH52" s="11">
        <v>11.0654</v>
      </c>
      <c r="AI52" s="11">
        <v>9.3583999999999996</v>
      </c>
      <c r="AJ52" s="14" t="s">
        <v>91</v>
      </c>
      <c r="AK52" s="11">
        <f t="shared" si="6"/>
        <v>20</v>
      </c>
    </row>
    <row r="53" spans="1:37" x14ac:dyDescent="0.25">
      <c r="A53" s="11" t="s">
        <v>92</v>
      </c>
      <c r="B53" s="11" t="s">
        <v>44</v>
      </c>
      <c r="C53" s="11">
        <v>283</v>
      </c>
      <c r="D53" s="11">
        <v>170</v>
      </c>
      <c r="E53" s="11">
        <v>182</v>
      </c>
      <c r="F53" s="11">
        <v>241</v>
      </c>
      <c r="G53" s="6">
        <v>0.45</v>
      </c>
      <c r="H53" s="11">
        <v>50</v>
      </c>
      <c r="I53" s="11" t="s">
        <v>40</v>
      </c>
      <c r="J53" s="11"/>
      <c r="K53" s="11">
        <v>186</v>
      </c>
      <c r="L53" s="11">
        <f t="shared" si="9"/>
        <v>-4</v>
      </c>
      <c r="M53" s="11"/>
      <c r="N53" s="11"/>
      <c r="O53" s="11">
        <v>0</v>
      </c>
      <c r="P53" s="11"/>
      <c r="Q53" s="11"/>
      <c r="R53" s="11"/>
      <c r="S53" s="11"/>
      <c r="T53" s="11"/>
      <c r="U53" s="11">
        <f t="shared" si="10"/>
        <v>36.4</v>
      </c>
      <c r="V53" s="4">
        <f>11*U53-T53-R53-Q53-P53-O53-F53</f>
        <v>159.39999999999998</v>
      </c>
      <c r="W53" s="4">
        <f t="shared" si="7"/>
        <v>159.39999999999998</v>
      </c>
      <c r="X53" s="11">
        <f t="shared" si="5"/>
        <v>11</v>
      </c>
      <c r="Y53" s="11">
        <f t="shared" si="11"/>
        <v>6.6208791208791213</v>
      </c>
      <c r="Z53" s="11">
        <v>27.2</v>
      </c>
      <c r="AA53" s="11">
        <v>29.2</v>
      </c>
      <c r="AB53" s="11">
        <v>42.4</v>
      </c>
      <c r="AC53" s="11">
        <v>40.4</v>
      </c>
      <c r="AD53" s="11">
        <v>35</v>
      </c>
      <c r="AE53" s="11">
        <v>41.4</v>
      </c>
      <c r="AF53" s="11">
        <v>38.799999999999997</v>
      </c>
      <c r="AG53" s="11">
        <v>36.6</v>
      </c>
      <c r="AH53" s="11">
        <v>46.2</v>
      </c>
      <c r="AI53" s="11">
        <v>56</v>
      </c>
      <c r="AJ53" s="11"/>
      <c r="AK53" s="11">
        <f t="shared" si="6"/>
        <v>72</v>
      </c>
    </row>
    <row r="54" spans="1:37" x14ac:dyDescent="0.25">
      <c r="A54" s="11" t="s">
        <v>93</v>
      </c>
      <c r="B54" s="11" t="s">
        <v>44</v>
      </c>
      <c r="C54" s="11">
        <v>587</v>
      </c>
      <c r="D54" s="11">
        <v>581</v>
      </c>
      <c r="E54" s="11">
        <v>464</v>
      </c>
      <c r="F54" s="11">
        <v>626</v>
      </c>
      <c r="G54" s="6">
        <v>0.45</v>
      </c>
      <c r="H54" s="11">
        <v>50</v>
      </c>
      <c r="I54" s="11" t="s">
        <v>40</v>
      </c>
      <c r="J54" s="11"/>
      <c r="K54" s="11">
        <v>484</v>
      </c>
      <c r="L54" s="11">
        <f t="shared" si="9"/>
        <v>-20</v>
      </c>
      <c r="M54" s="11"/>
      <c r="N54" s="11"/>
      <c r="O54" s="11">
        <v>144.39632900000001</v>
      </c>
      <c r="P54" s="11"/>
      <c r="Q54" s="11"/>
      <c r="R54" s="11">
        <v>230.65907100000001</v>
      </c>
      <c r="S54" s="11"/>
      <c r="T54" s="11"/>
      <c r="U54" s="11">
        <f t="shared" si="10"/>
        <v>92.8</v>
      </c>
      <c r="V54" s="4">
        <f>11*U54-T54-R54-Q54-P54-O54-F54</f>
        <v>19.744599999999878</v>
      </c>
      <c r="W54" s="4">
        <f>V54+$W$1*U54</f>
        <v>112.54459999999987</v>
      </c>
      <c r="X54" s="11">
        <f t="shared" si="5"/>
        <v>12</v>
      </c>
      <c r="Y54" s="11">
        <f t="shared" si="11"/>
        <v>10.787234913793105</v>
      </c>
      <c r="Z54" s="11">
        <v>92.4</v>
      </c>
      <c r="AA54" s="11">
        <v>101.8</v>
      </c>
      <c r="AB54" s="11">
        <v>96.8</v>
      </c>
      <c r="AC54" s="11">
        <v>93.2</v>
      </c>
      <c r="AD54" s="11">
        <v>95.8</v>
      </c>
      <c r="AE54" s="11">
        <v>91.6</v>
      </c>
      <c r="AF54" s="11">
        <v>94.4</v>
      </c>
      <c r="AG54" s="11">
        <v>114.6</v>
      </c>
      <c r="AH54" s="11">
        <v>103.4</v>
      </c>
      <c r="AI54" s="11">
        <v>94</v>
      </c>
      <c r="AJ54" s="11"/>
      <c r="AK54" s="11">
        <f t="shared" si="6"/>
        <v>51</v>
      </c>
    </row>
    <row r="55" spans="1:37" x14ac:dyDescent="0.25">
      <c r="A55" s="11" t="s">
        <v>94</v>
      </c>
      <c r="B55" s="11" t="s">
        <v>44</v>
      </c>
      <c r="C55" s="11">
        <v>90</v>
      </c>
      <c r="D55" s="11"/>
      <c r="E55" s="11">
        <v>87</v>
      </c>
      <c r="F55" s="11"/>
      <c r="G55" s="6">
        <v>0.4</v>
      </c>
      <c r="H55" s="11">
        <v>40</v>
      </c>
      <c r="I55" s="12" t="s">
        <v>50</v>
      </c>
      <c r="J55" s="11"/>
      <c r="K55" s="11">
        <v>125</v>
      </c>
      <c r="L55" s="11">
        <f t="shared" si="9"/>
        <v>-38</v>
      </c>
      <c r="M55" s="11"/>
      <c r="N55" s="11"/>
      <c r="O55" s="11">
        <v>80</v>
      </c>
      <c r="P55" s="11">
        <v>-84</v>
      </c>
      <c r="Q55" s="11"/>
      <c r="R55" s="11">
        <v>40</v>
      </c>
      <c r="S55" s="11">
        <v>-42.5</v>
      </c>
      <c r="T55" s="11"/>
      <c r="U55" s="11">
        <f t="shared" si="10"/>
        <v>17.399999999999999</v>
      </c>
      <c r="V55" s="4">
        <v>80</v>
      </c>
      <c r="W55" s="4">
        <f t="shared" si="7"/>
        <v>80</v>
      </c>
      <c r="X55" s="11">
        <f t="shared" si="5"/>
        <v>4.2241379310344831</v>
      </c>
      <c r="Y55" s="11">
        <f t="shared" si="11"/>
        <v>-0.37356321839080464</v>
      </c>
      <c r="Z55" s="11">
        <v>31.8</v>
      </c>
      <c r="AA55" s="11">
        <v>29.2</v>
      </c>
      <c r="AB55" s="11">
        <v>19</v>
      </c>
      <c r="AC55" s="11">
        <v>19.8</v>
      </c>
      <c r="AD55" s="11">
        <v>25.6</v>
      </c>
      <c r="AE55" s="11">
        <v>30.8</v>
      </c>
      <c r="AF55" s="11">
        <v>30.8</v>
      </c>
      <c r="AG55" s="11">
        <v>25.8</v>
      </c>
      <c r="AH55" s="11">
        <v>27.4</v>
      </c>
      <c r="AI55" s="11">
        <v>37.200000000000003</v>
      </c>
      <c r="AJ55" s="11"/>
      <c r="AK55" s="11">
        <f t="shared" si="6"/>
        <v>32</v>
      </c>
    </row>
    <row r="56" spans="1:37" x14ac:dyDescent="0.25">
      <c r="A56" s="11" t="s">
        <v>95</v>
      </c>
      <c r="B56" s="11" t="s">
        <v>44</v>
      </c>
      <c r="C56" s="11">
        <v>123</v>
      </c>
      <c r="D56" s="11">
        <v>51</v>
      </c>
      <c r="E56" s="11">
        <v>59</v>
      </c>
      <c r="F56" s="11">
        <v>101</v>
      </c>
      <c r="G56" s="6">
        <v>0.4</v>
      </c>
      <c r="H56" s="11">
        <v>40</v>
      </c>
      <c r="I56" s="12" t="s">
        <v>50</v>
      </c>
      <c r="J56" s="11"/>
      <c r="K56" s="11">
        <v>82</v>
      </c>
      <c r="L56" s="11">
        <f t="shared" si="9"/>
        <v>-23</v>
      </c>
      <c r="M56" s="11"/>
      <c r="N56" s="11"/>
      <c r="O56" s="11">
        <v>45.600000000000023</v>
      </c>
      <c r="P56" s="11"/>
      <c r="Q56" s="11"/>
      <c r="R56" s="11">
        <v>22.800000000000011</v>
      </c>
      <c r="S56" s="11"/>
      <c r="T56" s="11"/>
      <c r="U56" s="11">
        <f t="shared" si="10"/>
        <v>11.8</v>
      </c>
      <c r="V56" s="4"/>
      <c r="W56" s="4">
        <f t="shared" si="7"/>
        <v>0</v>
      </c>
      <c r="X56" s="11">
        <f t="shared" si="5"/>
        <v>14.355932203389832</v>
      </c>
      <c r="Y56" s="11">
        <f t="shared" si="11"/>
        <v>14.355932203389832</v>
      </c>
      <c r="Z56" s="11">
        <v>13.8</v>
      </c>
      <c r="AA56" s="11">
        <v>10.199999999999999</v>
      </c>
      <c r="AB56" s="11">
        <v>8.8000000000000007</v>
      </c>
      <c r="AC56" s="11">
        <v>14.6</v>
      </c>
      <c r="AD56" s="11">
        <v>20</v>
      </c>
      <c r="AE56" s="11">
        <v>17.2</v>
      </c>
      <c r="AF56" s="11">
        <v>12.4</v>
      </c>
      <c r="AG56" s="11">
        <v>13</v>
      </c>
      <c r="AH56" s="11">
        <v>17.2</v>
      </c>
      <c r="AI56" s="11">
        <v>11.2</v>
      </c>
      <c r="AJ56" s="11"/>
      <c r="AK56" s="11">
        <f t="shared" si="6"/>
        <v>0</v>
      </c>
    </row>
    <row r="57" spans="1:37" x14ac:dyDescent="0.25">
      <c r="A57" s="11" t="s">
        <v>96</v>
      </c>
      <c r="B57" s="11" t="s">
        <v>39</v>
      </c>
      <c r="C57" s="11">
        <v>829.77</v>
      </c>
      <c r="D57" s="11">
        <v>756.27599999999995</v>
      </c>
      <c r="E57" s="11">
        <v>676.61099999999999</v>
      </c>
      <c r="F57" s="11">
        <v>833.15300000000002</v>
      </c>
      <c r="G57" s="6">
        <v>1</v>
      </c>
      <c r="H57" s="11">
        <v>50</v>
      </c>
      <c r="I57" s="11" t="s">
        <v>40</v>
      </c>
      <c r="J57" s="11"/>
      <c r="K57" s="11">
        <v>655.15</v>
      </c>
      <c r="L57" s="11">
        <f t="shared" si="9"/>
        <v>21.461000000000013</v>
      </c>
      <c r="M57" s="11"/>
      <c r="N57" s="11"/>
      <c r="O57" s="11">
        <v>227.27785765300001</v>
      </c>
      <c r="P57" s="11"/>
      <c r="Q57" s="11">
        <v>150</v>
      </c>
      <c r="R57" s="11">
        <v>363.05424014699997</v>
      </c>
      <c r="S57" s="11"/>
      <c r="T57" s="11"/>
      <c r="U57" s="11">
        <f t="shared" si="10"/>
        <v>135.32220000000001</v>
      </c>
      <c r="V57" s="4"/>
      <c r="W57" s="4">
        <f t="shared" si="7"/>
        <v>0</v>
      </c>
      <c r="X57" s="11">
        <f t="shared" si="5"/>
        <v>11.627693739829827</v>
      </c>
      <c r="Y57" s="11">
        <f t="shared" si="11"/>
        <v>11.627693739829827</v>
      </c>
      <c r="Z57" s="11">
        <v>134.5496</v>
      </c>
      <c r="AA57" s="11">
        <v>136.10159999999999</v>
      </c>
      <c r="AB57" s="11">
        <v>125.3366</v>
      </c>
      <c r="AC57" s="11">
        <v>121.60299999999999</v>
      </c>
      <c r="AD57" s="11">
        <v>139.44720000000001</v>
      </c>
      <c r="AE57" s="11">
        <v>142.02119999999999</v>
      </c>
      <c r="AF57" s="11">
        <v>148.81020000000001</v>
      </c>
      <c r="AG57" s="11">
        <v>151.5138</v>
      </c>
      <c r="AH57" s="11">
        <v>152.57759999999999</v>
      </c>
      <c r="AI57" s="11">
        <v>151.32759999999999</v>
      </c>
      <c r="AJ57" s="11"/>
      <c r="AK57" s="11">
        <f t="shared" si="6"/>
        <v>0</v>
      </c>
    </row>
    <row r="58" spans="1:37" x14ac:dyDescent="0.25">
      <c r="A58" s="8" t="s">
        <v>97</v>
      </c>
      <c r="B58" s="8" t="s">
        <v>39</v>
      </c>
      <c r="C58" s="8">
        <v>98.433000000000007</v>
      </c>
      <c r="D58" s="8">
        <v>637.24199999999996</v>
      </c>
      <c r="E58" s="8"/>
      <c r="F58" s="8"/>
      <c r="G58" s="9">
        <v>0</v>
      </c>
      <c r="H58" s="8"/>
      <c r="I58" s="8" t="s">
        <v>98</v>
      </c>
      <c r="J58" s="8" t="s">
        <v>99</v>
      </c>
      <c r="K58" s="8"/>
      <c r="L58" s="8">
        <f t="shared" si="9"/>
        <v>0</v>
      </c>
      <c r="M58" s="8"/>
      <c r="N58" s="8"/>
      <c r="O58" s="8">
        <v>0</v>
      </c>
      <c r="P58" s="8"/>
      <c r="Q58" s="8"/>
      <c r="R58" s="8"/>
      <c r="S58" s="8"/>
      <c r="T58" s="8"/>
      <c r="U58" s="8">
        <f t="shared" si="10"/>
        <v>0</v>
      </c>
      <c r="V58" s="10"/>
      <c r="W58" s="4">
        <f t="shared" si="7"/>
        <v>0</v>
      </c>
      <c r="X58" s="11" t="e">
        <f t="shared" si="5"/>
        <v>#DIV/0!</v>
      </c>
      <c r="Y58" s="11" t="e">
        <f t="shared" si="11"/>
        <v>#DIV/0!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/>
      <c r="AK58" s="11">
        <f t="shared" si="6"/>
        <v>0</v>
      </c>
    </row>
    <row r="59" spans="1:37" x14ac:dyDescent="0.25">
      <c r="A59" s="11" t="s">
        <v>100</v>
      </c>
      <c r="B59" s="11" t="s">
        <v>44</v>
      </c>
      <c r="C59" s="11">
        <v>401</v>
      </c>
      <c r="D59" s="11">
        <v>105</v>
      </c>
      <c r="E59" s="11">
        <v>237</v>
      </c>
      <c r="F59" s="11">
        <v>242</v>
      </c>
      <c r="G59" s="6">
        <v>0.1</v>
      </c>
      <c r="H59" s="11">
        <v>731</v>
      </c>
      <c r="I59" s="11" t="s">
        <v>40</v>
      </c>
      <c r="J59" s="11"/>
      <c r="K59" s="11">
        <v>242</v>
      </c>
      <c r="L59" s="11">
        <f t="shared" si="9"/>
        <v>-5</v>
      </c>
      <c r="M59" s="11"/>
      <c r="N59" s="11"/>
      <c r="O59" s="11">
        <v>33.400000000000027</v>
      </c>
      <c r="P59" s="11"/>
      <c r="Q59" s="11"/>
      <c r="R59" s="11"/>
      <c r="S59" s="11"/>
      <c r="T59" s="11"/>
      <c r="U59" s="11">
        <f t="shared" si="10"/>
        <v>47.4</v>
      </c>
      <c r="V59" s="4">
        <f>11*U59-T59-R59-Q59-P59-O59-F59</f>
        <v>245.99999999999994</v>
      </c>
      <c r="W59" s="4">
        <f t="shared" si="7"/>
        <v>245.99999999999994</v>
      </c>
      <c r="X59" s="11">
        <f t="shared" si="5"/>
        <v>11</v>
      </c>
      <c r="Y59" s="11">
        <f t="shared" si="11"/>
        <v>5.8101265822784818</v>
      </c>
      <c r="Z59" s="11">
        <v>37.200000000000003</v>
      </c>
      <c r="AA59" s="11">
        <v>40.6</v>
      </c>
      <c r="AB59" s="11">
        <v>49.6</v>
      </c>
      <c r="AC59" s="11">
        <v>52.8</v>
      </c>
      <c r="AD59" s="11">
        <v>58</v>
      </c>
      <c r="AE59" s="11">
        <v>56.4</v>
      </c>
      <c r="AF59" s="11">
        <v>43.8</v>
      </c>
      <c r="AG59" s="11">
        <v>46</v>
      </c>
      <c r="AH59" s="11">
        <v>43</v>
      </c>
      <c r="AI59" s="11">
        <v>32</v>
      </c>
      <c r="AJ59" s="11"/>
      <c r="AK59" s="11">
        <f t="shared" si="6"/>
        <v>25</v>
      </c>
    </row>
    <row r="60" spans="1:37" x14ac:dyDescent="0.25">
      <c r="A60" s="11" t="s">
        <v>101</v>
      </c>
      <c r="B60" s="11" t="s">
        <v>39</v>
      </c>
      <c r="C60" s="11">
        <v>899.22400000000005</v>
      </c>
      <c r="D60" s="11">
        <v>1217.6400000000001</v>
      </c>
      <c r="E60" s="11">
        <v>768.59699999999998</v>
      </c>
      <c r="F60" s="11">
        <v>1283.0989999999999</v>
      </c>
      <c r="G60" s="6">
        <v>1</v>
      </c>
      <c r="H60" s="11">
        <v>50</v>
      </c>
      <c r="I60" s="11" t="s">
        <v>40</v>
      </c>
      <c r="J60" s="11"/>
      <c r="K60" s="11">
        <v>745.1</v>
      </c>
      <c r="L60" s="11">
        <f t="shared" si="9"/>
        <v>23.496999999999957</v>
      </c>
      <c r="M60" s="11"/>
      <c r="N60" s="11"/>
      <c r="O60" s="11">
        <v>240.8067501839999</v>
      </c>
      <c r="P60" s="11"/>
      <c r="Q60" s="11"/>
      <c r="R60" s="11">
        <v>384.66532821599981</v>
      </c>
      <c r="S60" s="11"/>
      <c r="T60" s="11"/>
      <c r="U60" s="11">
        <f t="shared" si="10"/>
        <v>153.71940000000001</v>
      </c>
      <c r="V60" s="4"/>
      <c r="W60" s="4">
        <v>150</v>
      </c>
      <c r="X60" s="11">
        <f t="shared" si="5"/>
        <v>13.391745468691651</v>
      </c>
      <c r="Y60" s="11">
        <f t="shared" si="11"/>
        <v>12.415941503804982</v>
      </c>
      <c r="Z60" s="11">
        <v>178.23</v>
      </c>
      <c r="AA60" s="11">
        <v>187.59280000000001</v>
      </c>
      <c r="AB60" s="11">
        <v>186.78440000000001</v>
      </c>
      <c r="AC60" s="11">
        <v>179.19659999999999</v>
      </c>
      <c r="AD60" s="11">
        <v>169.71199999999999</v>
      </c>
      <c r="AE60" s="11">
        <v>165.36500000000001</v>
      </c>
      <c r="AF60" s="11">
        <v>160.84059999999999</v>
      </c>
      <c r="AG60" s="11">
        <v>178.38939999999999</v>
      </c>
      <c r="AH60" s="11">
        <v>198.24420000000001</v>
      </c>
      <c r="AI60" s="11">
        <v>186.80680000000001</v>
      </c>
      <c r="AJ60" s="11"/>
      <c r="AK60" s="11">
        <f t="shared" si="6"/>
        <v>150</v>
      </c>
    </row>
    <row r="61" spans="1:37" x14ac:dyDescent="0.25">
      <c r="A61" s="11" t="s">
        <v>102</v>
      </c>
      <c r="B61" s="11" t="s">
        <v>39</v>
      </c>
      <c r="C61" s="11">
        <v>68.853999999999999</v>
      </c>
      <c r="D61" s="11">
        <v>162.59200000000001</v>
      </c>
      <c r="E61" s="11">
        <v>108.334</v>
      </c>
      <c r="F61" s="11">
        <v>114.979</v>
      </c>
      <c r="G61" s="6">
        <v>1</v>
      </c>
      <c r="H61" s="11">
        <v>55</v>
      </c>
      <c r="I61" s="11" t="s">
        <v>40</v>
      </c>
      <c r="J61" s="11"/>
      <c r="K61" s="11">
        <v>104.45</v>
      </c>
      <c r="L61" s="11">
        <f t="shared" si="9"/>
        <v>3.8840000000000003</v>
      </c>
      <c r="M61" s="11"/>
      <c r="N61" s="11"/>
      <c r="O61" s="11">
        <v>0</v>
      </c>
      <c r="P61" s="11"/>
      <c r="Q61" s="11"/>
      <c r="R61" s="11"/>
      <c r="S61" s="11"/>
      <c r="T61" s="11"/>
      <c r="U61" s="11">
        <f t="shared" si="10"/>
        <v>21.666800000000002</v>
      </c>
      <c r="V61" s="4">
        <f>11*U61-T61-R61-Q61-P61-O61-F61</f>
        <v>123.35580000000003</v>
      </c>
      <c r="W61" s="4">
        <f t="shared" si="7"/>
        <v>123.35580000000003</v>
      </c>
      <c r="X61" s="11">
        <f t="shared" si="5"/>
        <v>11</v>
      </c>
      <c r="Y61" s="11">
        <f t="shared" si="11"/>
        <v>5.3066904203666434</v>
      </c>
      <c r="Z61" s="11">
        <v>16.1006</v>
      </c>
      <c r="AA61" s="11">
        <v>20.717400000000001</v>
      </c>
      <c r="AB61" s="11">
        <v>18.250800000000002</v>
      </c>
      <c r="AC61" s="11">
        <v>15.446999999999999</v>
      </c>
      <c r="AD61" s="11">
        <v>17.9756</v>
      </c>
      <c r="AE61" s="11">
        <v>16.6264</v>
      </c>
      <c r="AF61" s="11">
        <v>20.0504</v>
      </c>
      <c r="AG61" s="11">
        <v>20.848199999999999</v>
      </c>
      <c r="AH61" s="11">
        <v>17.22</v>
      </c>
      <c r="AI61" s="11">
        <v>18.130600000000001</v>
      </c>
      <c r="AJ61" s="11"/>
      <c r="AK61" s="11">
        <f t="shared" si="6"/>
        <v>123</v>
      </c>
    </row>
    <row r="62" spans="1:37" x14ac:dyDescent="0.25">
      <c r="A62" s="11" t="s">
        <v>103</v>
      </c>
      <c r="B62" s="11" t="s">
        <v>44</v>
      </c>
      <c r="C62" s="11">
        <v>313</v>
      </c>
      <c r="D62" s="11">
        <v>160</v>
      </c>
      <c r="E62" s="11">
        <v>190</v>
      </c>
      <c r="F62" s="11">
        <v>266</v>
      </c>
      <c r="G62" s="6">
        <v>0.1</v>
      </c>
      <c r="H62" s="11">
        <v>731</v>
      </c>
      <c r="I62" s="11" t="s">
        <v>40</v>
      </c>
      <c r="J62" s="11"/>
      <c r="K62" s="11">
        <v>190</v>
      </c>
      <c r="L62" s="11">
        <f t="shared" si="9"/>
        <v>0</v>
      </c>
      <c r="M62" s="11"/>
      <c r="N62" s="11"/>
      <c r="O62" s="11">
        <v>0</v>
      </c>
      <c r="P62" s="11"/>
      <c r="Q62" s="11"/>
      <c r="R62" s="11"/>
      <c r="S62" s="11"/>
      <c r="T62" s="11"/>
      <c r="U62" s="11">
        <f t="shared" si="10"/>
        <v>38</v>
      </c>
      <c r="V62" s="4">
        <f>11*U62-T62-R62-Q62-P62-O62-F62</f>
        <v>152</v>
      </c>
      <c r="W62" s="4">
        <f t="shared" si="7"/>
        <v>152</v>
      </c>
      <c r="X62" s="11">
        <f t="shared" si="5"/>
        <v>11</v>
      </c>
      <c r="Y62" s="11">
        <f t="shared" si="11"/>
        <v>7</v>
      </c>
      <c r="Z62" s="11">
        <v>30.6</v>
      </c>
      <c r="AA62" s="11">
        <v>35.200000000000003</v>
      </c>
      <c r="AB62" s="11">
        <v>43.8</v>
      </c>
      <c r="AC62" s="11">
        <v>41.8</v>
      </c>
      <c r="AD62" s="11">
        <v>40.6</v>
      </c>
      <c r="AE62" s="11">
        <v>37.6</v>
      </c>
      <c r="AF62" s="11">
        <v>34</v>
      </c>
      <c r="AG62" s="11">
        <v>46</v>
      </c>
      <c r="AH62" s="11">
        <v>42.2</v>
      </c>
      <c r="AI62" s="11">
        <v>26</v>
      </c>
      <c r="AJ62" s="11"/>
      <c r="AK62" s="11">
        <f t="shared" si="6"/>
        <v>15</v>
      </c>
    </row>
    <row r="63" spans="1:37" x14ac:dyDescent="0.25">
      <c r="A63" s="11" t="s">
        <v>104</v>
      </c>
      <c r="B63" s="11" t="s">
        <v>44</v>
      </c>
      <c r="C63" s="11">
        <v>369</v>
      </c>
      <c r="D63" s="11">
        <v>410</v>
      </c>
      <c r="E63" s="11">
        <v>317</v>
      </c>
      <c r="F63" s="11">
        <v>396</v>
      </c>
      <c r="G63" s="6">
        <v>0.4</v>
      </c>
      <c r="H63" s="11">
        <v>50</v>
      </c>
      <c r="I63" s="11" t="s">
        <v>40</v>
      </c>
      <c r="J63" s="11"/>
      <c r="K63" s="11">
        <v>323</v>
      </c>
      <c r="L63" s="11">
        <f t="shared" si="9"/>
        <v>-6</v>
      </c>
      <c r="M63" s="11"/>
      <c r="N63" s="11"/>
      <c r="O63" s="11">
        <v>83.519975000000017</v>
      </c>
      <c r="P63" s="11"/>
      <c r="Q63" s="11"/>
      <c r="R63" s="11">
        <v>133.41502500000001</v>
      </c>
      <c r="S63" s="11"/>
      <c r="T63" s="11"/>
      <c r="U63" s="11">
        <f t="shared" si="10"/>
        <v>63.4</v>
      </c>
      <c r="V63" s="4">
        <f>11*U63-T63-R63-Q63-P63-O63-F63</f>
        <v>84.464999999999918</v>
      </c>
      <c r="W63" s="4">
        <f t="shared" si="7"/>
        <v>84.464999999999918</v>
      </c>
      <c r="X63" s="11">
        <f t="shared" si="5"/>
        <v>11</v>
      </c>
      <c r="Y63" s="11">
        <f t="shared" si="11"/>
        <v>9.6677444794952692</v>
      </c>
      <c r="Z63" s="11">
        <v>66</v>
      </c>
      <c r="AA63" s="11">
        <v>65</v>
      </c>
      <c r="AB63" s="11">
        <v>69</v>
      </c>
      <c r="AC63" s="11">
        <v>59.8</v>
      </c>
      <c r="AD63" s="11">
        <v>59.4</v>
      </c>
      <c r="AE63" s="11">
        <v>52.2</v>
      </c>
      <c r="AF63" s="11">
        <v>41</v>
      </c>
      <c r="AG63" s="11">
        <v>60.6</v>
      </c>
      <c r="AH63" s="11">
        <v>49.4</v>
      </c>
      <c r="AI63" s="11">
        <v>42.6</v>
      </c>
      <c r="AJ63" s="11"/>
      <c r="AK63" s="11">
        <f t="shared" si="6"/>
        <v>34</v>
      </c>
    </row>
    <row r="64" spans="1:37" x14ac:dyDescent="0.25">
      <c r="A64" s="11" t="s">
        <v>105</v>
      </c>
      <c r="B64" s="11" t="s">
        <v>39</v>
      </c>
      <c r="C64" s="11">
        <v>21.271000000000001</v>
      </c>
      <c r="D64" s="11">
        <v>428.59399999999999</v>
      </c>
      <c r="E64" s="11">
        <v>28.062999999999999</v>
      </c>
      <c r="F64" s="11">
        <v>229.03200000000001</v>
      </c>
      <c r="G64" s="6">
        <v>1</v>
      </c>
      <c r="H64" s="11">
        <v>40</v>
      </c>
      <c r="I64" s="11" t="s">
        <v>40</v>
      </c>
      <c r="J64" s="11"/>
      <c r="K64" s="11">
        <v>112.8</v>
      </c>
      <c r="L64" s="11">
        <f t="shared" si="9"/>
        <v>-84.736999999999995</v>
      </c>
      <c r="M64" s="11"/>
      <c r="N64" s="11"/>
      <c r="O64" s="11">
        <v>310.30240972500002</v>
      </c>
      <c r="P64" s="11"/>
      <c r="Q64" s="11"/>
      <c r="R64" s="11">
        <v>495.67787527499991</v>
      </c>
      <c r="S64" s="11"/>
      <c r="T64" s="11"/>
      <c r="U64" s="11">
        <f t="shared" si="10"/>
        <v>5.6125999999999996</v>
      </c>
      <c r="V64" s="4"/>
      <c r="W64" s="4">
        <f t="shared" si="7"/>
        <v>0</v>
      </c>
      <c r="X64" s="11">
        <f t="shared" si="5"/>
        <v>184.40870274026295</v>
      </c>
      <c r="Y64" s="11">
        <f t="shared" si="11"/>
        <v>184.40870274026295</v>
      </c>
      <c r="Z64" s="11">
        <v>90.891600000000011</v>
      </c>
      <c r="AA64" s="11">
        <v>87.63300000000001</v>
      </c>
      <c r="AB64" s="11">
        <v>25.435600000000001</v>
      </c>
      <c r="AC64" s="11">
        <v>28.949200000000001</v>
      </c>
      <c r="AD64" s="11">
        <v>19.037400000000002</v>
      </c>
      <c r="AE64" s="11">
        <v>20.474399999999999</v>
      </c>
      <c r="AF64" s="11">
        <v>10.922000000000001</v>
      </c>
      <c r="AG64" s="11">
        <v>10.8414</v>
      </c>
      <c r="AH64" s="11">
        <v>9.9244000000000003</v>
      </c>
      <c r="AI64" s="11">
        <v>8.3956</v>
      </c>
      <c r="AJ64" s="14" t="s">
        <v>106</v>
      </c>
      <c r="AK64" s="11">
        <f t="shared" si="6"/>
        <v>0</v>
      </c>
    </row>
    <row r="65" spans="1:37" x14ac:dyDescent="0.25">
      <c r="A65" s="11" t="s">
        <v>107</v>
      </c>
      <c r="B65" s="11" t="s">
        <v>39</v>
      </c>
      <c r="C65" s="11">
        <v>310.35399999999998</v>
      </c>
      <c r="D65" s="11"/>
      <c r="E65" s="11">
        <v>307.67899999999997</v>
      </c>
      <c r="F65" s="11">
        <v>2.1059999999999999</v>
      </c>
      <c r="G65" s="6">
        <v>1</v>
      </c>
      <c r="H65" s="11">
        <v>40</v>
      </c>
      <c r="I65" s="11" t="s">
        <v>40</v>
      </c>
      <c r="J65" s="11"/>
      <c r="K65" s="11">
        <v>416.39499999999998</v>
      </c>
      <c r="L65" s="11">
        <f t="shared" si="9"/>
        <v>-108.71600000000001</v>
      </c>
      <c r="M65" s="11"/>
      <c r="N65" s="11"/>
      <c r="O65" s="11">
        <v>242.49232407400001</v>
      </c>
      <c r="P65" s="11"/>
      <c r="Q65" s="11"/>
      <c r="R65" s="11">
        <v>387.35786832600007</v>
      </c>
      <c r="S65" s="11"/>
      <c r="T65" s="11"/>
      <c r="U65" s="11">
        <f t="shared" si="10"/>
        <v>61.535799999999995</v>
      </c>
      <c r="V65" s="4">
        <f>11*U65-T65-R65-Q65-P65-O65-F65</f>
        <v>44.937607599999858</v>
      </c>
      <c r="W65" s="4">
        <f t="shared" si="7"/>
        <v>44.937607599999858</v>
      </c>
      <c r="X65" s="11">
        <f t="shared" si="5"/>
        <v>11</v>
      </c>
      <c r="Y65" s="11">
        <f t="shared" si="11"/>
        <v>10.269732292421649</v>
      </c>
      <c r="Z65" s="11">
        <v>85.055199999999999</v>
      </c>
      <c r="AA65" s="11">
        <v>46.878799999999998</v>
      </c>
      <c r="AB65" s="11">
        <v>23.079000000000001</v>
      </c>
      <c r="AC65" s="11">
        <v>22.816600000000001</v>
      </c>
      <c r="AD65" s="11">
        <v>0</v>
      </c>
      <c r="AE65" s="11">
        <v>0</v>
      </c>
      <c r="AF65" s="11">
        <v>0.27239999999999998</v>
      </c>
      <c r="AG65" s="11">
        <v>0.27239999999999998</v>
      </c>
      <c r="AH65" s="11">
        <v>0</v>
      </c>
      <c r="AI65" s="11">
        <v>0</v>
      </c>
      <c r="AJ65" s="11" t="s">
        <v>108</v>
      </c>
      <c r="AK65" s="11">
        <f t="shared" si="6"/>
        <v>45</v>
      </c>
    </row>
    <row r="66" spans="1:37" x14ac:dyDescent="0.25">
      <c r="A66" s="11" t="s">
        <v>109</v>
      </c>
      <c r="B66" s="11" t="s">
        <v>44</v>
      </c>
      <c r="C66" s="11">
        <v>811</v>
      </c>
      <c r="D66" s="11">
        <v>2053</v>
      </c>
      <c r="E66" s="11">
        <v>1232</v>
      </c>
      <c r="F66" s="11">
        <v>1530</v>
      </c>
      <c r="G66" s="6">
        <v>0.4</v>
      </c>
      <c r="H66" s="11">
        <v>40</v>
      </c>
      <c r="I66" s="11" t="s">
        <v>40</v>
      </c>
      <c r="J66" s="11"/>
      <c r="K66" s="11">
        <v>1304</v>
      </c>
      <c r="L66" s="11">
        <f t="shared" si="9"/>
        <v>-72</v>
      </c>
      <c r="M66" s="11"/>
      <c r="N66" s="11"/>
      <c r="O66" s="11">
        <v>836.16802499999994</v>
      </c>
      <c r="P66" s="11"/>
      <c r="Q66" s="11"/>
      <c r="R66" s="11">
        <v>1335.6969750000001</v>
      </c>
      <c r="S66" s="11"/>
      <c r="T66" s="11"/>
      <c r="U66" s="11">
        <f t="shared" si="10"/>
        <v>246.4</v>
      </c>
      <c r="V66" s="4"/>
      <c r="W66" s="4">
        <f t="shared" si="7"/>
        <v>0</v>
      </c>
      <c r="X66" s="11">
        <f t="shared" si="5"/>
        <v>15.023802759740258</v>
      </c>
      <c r="Y66" s="11">
        <f t="shared" si="11"/>
        <v>15.023802759740258</v>
      </c>
      <c r="Z66" s="11">
        <v>312.2</v>
      </c>
      <c r="AA66" s="11">
        <v>247</v>
      </c>
      <c r="AB66" s="11">
        <v>179.6</v>
      </c>
      <c r="AC66" s="11">
        <v>181.2</v>
      </c>
      <c r="AD66" s="11">
        <v>180.6</v>
      </c>
      <c r="AE66" s="11">
        <v>186.2</v>
      </c>
      <c r="AF66" s="11">
        <v>159.19999999999999</v>
      </c>
      <c r="AG66" s="11">
        <v>162.80000000000001</v>
      </c>
      <c r="AH66" s="11">
        <v>187.4</v>
      </c>
      <c r="AI66" s="11">
        <v>170.2</v>
      </c>
      <c r="AJ66" s="11"/>
      <c r="AK66" s="11">
        <f t="shared" si="6"/>
        <v>0</v>
      </c>
    </row>
    <row r="67" spans="1:37" x14ac:dyDescent="0.25">
      <c r="A67" s="11" t="s">
        <v>110</v>
      </c>
      <c r="B67" s="11" t="s">
        <v>44</v>
      </c>
      <c r="C67" s="11">
        <v>15</v>
      </c>
      <c r="D67" s="11">
        <v>256</v>
      </c>
      <c r="E67" s="11">
        <v>247</v>
      </c>
      <c r="F67" s="11">
        <v>15</v>
      </c>
      <c r="G67" s="6">
        <v>0.4</v>
      </c>
      <c r="H67" s="11">
        <v>40</v>
      </c>
      <c r="I67" s="12" t="s">
        <v>50</v>
      </c>
      <c r="J67" s="11"/>
      <c r="K67" s="11">
        <v>745</v>
      </c>
      <c r="L67" s="11">
        <f t="shared" si="9"/>
        <v>-498</v>
      </c>
      <c r="M67" s="11"/>
      <c r="N67" s="11"/>
      <c r="O67" s="11">
        <v>300</v>
      </c>
      <c r="P67" s="11"/>
      <c r="Q67" s="11"/>
      <c r="R67" s="11">
        <v>150</v>
      </c>
      <c r="S67" s="11"/>
      <c r="T67" s="11"/>
      <c r="U67" s="11">
        <f t="shared" si="10"/>
        <v>49.4</v>
      </c>
      <c r="V67" s="4">
        <v>150</v>
      </c>
      <c r="W67" s="4">
        <f t="shared" si="7"/>
        <v>150</v>
      </c>
      <c r="X67" s="11">
        <f t="shared" si="5"/>
        <v>12.449392712550608</v>
      </c>
      <c r="Y67" s="11">
        <f t="shared" si="11"/>
        <v>9.4129554655870447</v>
      </c>
      <c r="Z67" s="11">
        <v>124.2</v>
      </c>
      <c r="AA67" s="11">
        <v>129.6</v>
      </c>
      <c r="AB67" s="11">
        <v>96.4</v>
      </c>
      <c r="AC67" s="11">
        <v>59.8</v>
      </c>
      <c r="AD67" s="11">
        <v>2.2000000000000002</v>
      </c>
      <c r="AE67" s="11">
        <v>1</v>
      </c>
      <c r="AF67" s="11">
        <v>50.2</v>
      </c>
      <c r="AG67" s="11">
        <v>102</v>
      </c>
      <c r="AH67" s="11">
        <v>140.80000000000001</v>
      </c>
      <c r="AI67" s="11">
        <v>123.2</v>
      </c>
      <c r="AJ67" s="11"/>
      <c r="AK67" s="11">
        <f t="shared" si="6"/>
        <v>60</v>
      </c>
    </row>
    <row r="68" spans="1:37" x14ac:dyDescent="0.25">
      <c r="A68" s="11" t="s">
        <v>111</v>
      </c>
      <c r="B68" s="11" t="s">
        <v>39</v>
      </c>
      <c r="C68" s="11">
        <v>148.893</v>
      </c>
      <c r="D68" s="11">
        <v>278.00200000000001</v>
      </c>
      <c r="E68" s="11">
        <v>307.73</v>
      </c>
      <c r="F68" s="11">
        <v>91.828999999999994</v>
      </c>
      <c r="G68" s="6">
        <v>1</v>
      </c>
      <c r="H68" s="11">
        <v>40</v>
      </c>
      <c r="I68" s="12" t="s">
        <v>50</v>
      </c>
      <c r="J68" s="11"/>
      <c r="K68" s="11">
        <v>288.95</v>
      </c>
      <c r="L68" s="11">
        <f t="shared" si="9"/>
        <v>18.78000000000003</v>
      </c>
      <c r="M68" s="11"/>
      <c r="N68" s="11"/>
      <c r="O68" s="11">
        <v>168.43632399999979</v>
      </c>
      <c r="P68" s="11">
        <v>-172.8</v>
      </c>
      <c r="Q68" s="11"/>
      <c r="R68" s="11">
        <v>84.218161999999921</v>
      </c>
      <c r="S68" s="11">
        <v>-86</v>
      </c>
      <c r="T68" s="11"/>
      <c r="U68" s="11">
        <f t="shared" si="10"/>
        <v>61.546000000000006</v>
      </c>
      <c r="V68" s="4">
        <v>150</v>
      </c>
      <c r="W68" s="4">
        <f t="shared" si="7"/>
        <v>150</v>
      </c>
      <c r="X68" s="11">
        <f t="shared" si="5"/>
        <v>3.8293875475254224</v>
      </c>
      <c r="Y68" s="11">
        <f t="shared" si="11"/>
        <v>1.3921861047021691</v>
      </c>
      <c r="Z68" s="11">
        <v>65.935000000000002</v>
      </c>
      <c r="AA68" s="11">
        <v>67.238399999999999</v>
      </c>
      <c r="AB68" s="11">
        <v>56.559399999999997</v>
      </c>
      <c r="AC68" s="11">
        <v>55.1158</v>
      </c>
      <c r="AD68" s="11">
        <v>57.833799999999997</v>
      </c>
      <c r="AE68" s="11">
        <v>55.1432</v>
      </c>
      <c r="AF68" s="11">
        <v>54.483400000000003</v>
      </c>
      <c r="AG68" s="11">
        <v>59.456200000000003</v>
      </c>
      <c r="AH68" s="11">
        <v>60.828000000000003</v>
      </c>
      <c r="AI68" s="11">
        <v>57.925600000000003</v>
      </c>
      <c r="AJ68" s="11"/>
      <c r="AK68" s="11">
        <f t="shared" si="6"/>
        <v>150</v>
      </c>
    </row>
    <row r="69" spans="1:37" x14ac:dyDescent="0.25">
      <c r="A69" s="11" t="s">
        <v>112</v>
      </c>
      <c r="B69" s="11" t="s">
        <v>39</v>
      </c>
      <c r="C69" s="11">
        <v>208.648</v>
      </c>
      <c r="D69" s="11">
        <v>256.137</v>
      </c>
      <c r="E69" s="11">
        <v>449.30399999999997</v>
      </c>
      <c r="F69" s="11">
        <v>-6.3570000000000002</v>
      </c>
      <c r="G69" s="6">
        <v>1</v>
      </c>
      <c r="H69" s="11">
        <v>40</v>
      </c>
      <c r="I69" s="12" t="s">
        <v>50</v>
      </c>
      <c r="J69" s="11"/>
      <c r="K69" s="11">
        <v>428.05</v>
      </c>
      <c r="L69" s="11">
        <f t="shared" si="9"/>
        <v>21.253999999999962</v>
      </c>
      <c r="M69" s="11"/>
      <c r="N69" s="11"/>
      <c r="O69" s="11">
        <v>50</v>
      </c>
      <c r="P69" s="11">
        <v>-54</v>
      </c>
      <c r="Q69" s="11"/>
      <c r="R69" s="11">
        <v>25</v>
      </c>
      <c r="S69" s="11">
        <v>-27</v>
      </c>
      <c r="T69" s="11"/>
      <c r="U69" s="11">
        <f t="shared" si="10"/>
        <v>89.860799999999998</v>
      </c>
      <c r="V69" s="4">
        <v>200</v>
      </c>
      <c r="W69" s="4">
        <f t="shared" si="7"/>
        <v>200</v>
      </c>
      <c r="X69" s="11">
        <f t="shared" si="5"/>
        <v>2.0881518971564912</v>
      </c>
      <c r="Y69" s="11">
        <f t="shared" si="11"/>
        <v>-0.13751268628812563</v>
      </c>
      <c r="Z69" s="11">
        <v>74.588200000000001</v>
      </c>
      <c r="AA69" s="11">
        <v>88.295199999999994</v>
      </c>
      <c r="AB69" s="11">
        <v>74.920600000000007</v>
      </c>
      <c r="AC69" s="11">
        <v>70.786599999999993</v>
      </c>
      <c r="AD69" s="11">
        <v>88.879800000000003</v>
      </c>
      <c r="AE69" s="11">
        <v>87.743600000000001</v>
      </c>
      <c r="AF69" s="11">
        <v>69.691200000000009</v>
      </c>
      <c r="AG69" s="11">
        <v>74.162400000000005</v>
      </c>
      <c r="AH69" s="11">
        <v>74.625</v>
      </c>
      <c r="AI69" s="11">
        <v>66.962000000000003</v>
      </c>
      <c r="AJ69" s="11"/>
      <c r="AK69" s="11">
        <f t="shared" si="6"/>
        <v>200</v>
      </c>
    </row>
    <row r="70" spans="1:37" x14ac:dyDescent="0.25">
      <c r="A70" s="11" t="s">
        <v>113</v>
      </c>
      <c r="B70" s="11" t="s">
        <v>39</v>
      </c>
      <c r="C70" s="11">
        <v>506.947</v>
      </c>
      <c r="D70" s="11">
        <v>421.57600000000002</v>
      </c>
      <c r="E70" s="11">
        <v>771.12699999999995</v>
      </c>
      <c r="F70" s="11">
        <v>46.276000000000003</v>
      </c>
      <c r="G70" s="6">
        <v>1</v>
      </c>
      <c r="H70" s="11">
        <v>40</v>
      </c>
      <c r="I70" s="12" t="s">
        <v>50</v>
      </c>
      <c r="J70" s="11"/>
      <c r="K70" s="11">
        <v>736.75</v>
      </c>
      <c r="L70" s="11">
        <f t="shared" ref="L70:L101" si="12">E70-K70</f>
        <v>34.376999999999953</v>
      </c>
      <c r="M70" s="11"/>
      <c r="N70" s="11"/>
      <c r="O70" s="11">
        <v>274.81192138400002</v>
      </c>
      <c r="P70" s="11">
        <v>-275.39999999999998</v>
      </c>
      <c r="Q70" s="11"/>
      <c r="R70" s="11">
        <v>438.98527701599988</v>
      </c>
      <c r="S70" s="11">
        <v>-443</v>
      </c>
      <c r="T70" s="11"/>
      <c r="U70" s="11">
        <f t="shared" ref="U70:U101" si="13">E70/5</f>
        <v>154.22539999999998</v>
      </c>
      <c r="V70" s="4">
        <v>350</v>
      </c>
      <c r="W70" s="4">
        <f t="shared" si="7"/>
        <v>350</v>
      </c>
      <c r="X70" s="11">
        <f t="shared" si="5"/>
        <v>2.5396153837175977</v>
      </c>
      <c r="Y70" s="11">
        <f t="shared" ref="Y70:Y101" si="14">(F70+O70+P70+Q70+R70+S70+T70)/U70</f>
        <v>0.27020969567918085</v>
      </c>
      <c r="Z70" s="11">
        <v>177.6354</v>
      </c>
      <c r="AA70" s="11">
        <v>179.7578</v>
      </c>
      <c r="AB70" s="11">
        <v>145.75380000000001</v>
      </c>
      <c r="AC70" s="11">
        <v>144.0752</v>
      </c>
      <c r="AD70" s="11">
        <v>137.29580000000001</v>
      </c>
      <c r="AE70" s="11">
        <v>137.2748</v>
      </c>
      <c r="AF70" s="11">
        <v>175.5292</v>
      </c>
      <c r="AG70" s="11">
        <v>172.87260000000001</v>
      </c>
      <c r="AH70" s="11">
        <v>159.3614</v>
      </c>
      <c r="AI70" s="11">
        <v>169.21940000000001</v>
      </c>
      <c r="AJ70" s="11"/>
      <c r="AK70" s="11">
        <f t="shared" si="6"/>
        <v>350</v>
      </c>
    </row>
    <row r="71" spans="1:37" x14ac:dyDescent="0.25">
      <c r="A71" s="11" t="s">
        <v>114</v>
      </c>
      <c r="B71" s="11" t="s">
        <v>39</v>
      </c>
      <c r="C71" s="11">
        <v>144.852</v>
      </c>
      <c r="D71" s="11">
        <v>217.34</v>
      </c>
      <c r="E71" s="11">
        <v>305.827</v>
      </c>
      <c r="F71" s="11">
        <v>22.751000000000001</v>
      </c>
      <c r="G71" s="6">
        <v>1</v>
      </c>
      <c r="H71" s="11">
        <v>40</v>
      </c>
      <c r="I71" s="18" t="s">
        <v>50</v>
      </c>
      <c r="J71" s="11"/>
      <c r="K71" s="11">
        <v>312.10000000000002</v>
      </c>
      <c r="L71" s="11">
        <f t="shared" si="12"/>
        <v>-6.2730000000000246</v>
      </c>
      <c r="M71" s="11"/>
      <c r="N71" s="11"/>
      <c r="O71" s="11">
        <v>151.28113899999971</v>
      </c>
      <c r="P71" s="11">
        <v>-151.19999999999999</v>
      </c>
      <c r="Q71" s="11"/>
      <c r="R71" s="11"/>
      <c r="S71" s="11"/>
      <c r="T71" s="11"/>
      <c r="U71" s="11">
        <f t="shared" si="13"/>
        <v>61.165399999999998</v>
      </c>
      <c r="V71" s="4">
        <v>150</v>
      </c>
      <c r="W71" s="4">
        <f t="shared" ref="W71:W134" si="15">V71</f>
        <v>150</v>
      </c>
      <c r="X71" s="11">
        <f t="shared" ref="X71:X134" si="16">(F71+O71+P71+Q71+R71+W71+T71+S71)/U71</f>
        <v>2.8256520679992239</v>
      </c>
      <c r="Y71" s="11">
        <f t="shared" si="14"/>
        <v>0.37328520699610773</v>
      </c>
      <c r="Z71" s="11">
        <v>53.972799999999992</v>
      </c>
      <c r="AA71" s="11">
        <v>54.696000000000012</v>
      </c>
      <c r="AB71" s="11">
        <v>44.735399999999998</v>
      </c>
      <c r="AC71" s="11">
        <v>40.375599999999999</v>
      </c>
      <c r="AD71" s="11">
        <v>45.681600000000003</v>
      </c>
      <c r="AE71" s="11">
        <v>44.385399999999997</v>
      </c>
      <c r="AF71" s="11">
        <v>47.916400000000003</v>
      </c>
      <c r="AG71" s="11">
        <v>52.795399999999987</v>
      </c>
      <c r="AH71" s="11">
        <v>48.722799999999999</v>
      </c>
      <c r="AI71" s="11">
        <v>50.617800000000003</v>
      </c>
      <c r="AJ71" s="11"/>
      <c r="AK71" s="11">
        <f t="shared" ref="AK71:AK134" si="17">ROUND(G71*W71,0)</f>
        <v>150</v>
      </c>
    </row>
    <row r="72" spans="1:37" x14ac:dyDescent="0.25">
      <c r="A72" s="11" t="s">
        <v>115</v>
      </c>
      <c r="B72" s="11" t="s">
        <v>44</v>
      </c>
      <c r="C72" s="11">
        <v>24</v>
      </c>
      <c r="D72" s="11">
        <v>16</v>
      </c>
      <c r="E72" s="11">
        <v>11</v>
      </c>
      <c r="F72" s="11">
        <v>29</v>
      </c>
      <c r="G72" s="6">
        <v>0.6</v>
      </c>
      <c r="H72" s="11">
        <v>70</v>
      </c>
      <c r="I72" s="11" t="s">
        <v>40</v>
      </c>
      <c r="J72" s="11"/>
      <c r="K72" s="11">
        <v>11</v>
      </c>
      <c r="L72" s="11">
        <f t="shared" si="12"/>
        <v>0</v>
      </c>
      <c r="M72" s="11"/>
      <c r="N72" s="11"/>
      <c r="O72" s="11">
        <v>0</v>
      </c>
      <c r="P72" s="11"/>
      <c r="Q72" s="11"/>
      <c r="R72" s="11"/>
      <c r="S72" s="11"/>
      <c r="T72" s="11"/>
      <c r="U72" s="11">
        <f t="shared" si="13"/>
        <v>2.2000000000000002</v>
      </c>
      <c r="V72" s="4"/>
      <c r="W72" s="4">
        <f t="shared" si="15"/>
        <v>0</v>
      </c>
      <c r="X72" s="11">
        <f t="shared" si="16"/>
        <v>13.18181818181818</v>
      </c>
      <c r="Y72" s="11">
        <f t="shared" si="14"/>
        <v>13.18181818181818</v>
      </c>
      <c r="Z72" s="11">
        <v>1.2</v>
      </c>
      <c r="AA72" s="11">
        <v>1.2</v>
      </c>
      <c r="AB72" s="11">
        <v>2</v>
      </c>
      <c r="AC72" s="11">
        <v>2</v>
      </c>
      <c r="AD72" s="11">
        <v>1.2</v>
      </c>
      <c r="AE72" s="11">
        <v>0.4</v>
      </c>
      <c r="AF72" s="11">
        <v>1.2</v>
      </c>
      <c r="AG72" s="11">
        <v>2</v>
      </c>
      <c r="AH72" s="11">
        <v>2</v>
      </c>
      <c r="AI72" s="11">
        <v>0.8</v>
      </c>
      <c r="AJ72" s="14" t="s">
        <v>91</v>
      </c>
      <c r="AK72" s="11">
        <f t="shared" si="17"/>
        <v>0</v>
      </c>
    </row>
    <row r="73" spans="1:37" x14ac:dyDescent="0.25">
      <c r="A73" s="11" t="s">
        <v>116</v>
      </c>
      <c r="B73" s="11" t="s">
        <v>39</v>
      </c>
      <c r="C73" s="11">
        <v>327.94799999999998</v>
      </c>
      <c r="D73" s="11">
        <v>405.43599999999998</v>
      </c>
      <c r="E73" s="11">
        <v>298.774</v>
      </c>
      <c r="F73" s="11">
        <v>374.29599999999999</v>
      </c>
      <c r="G73" s="6">
        <v>1</v>
      </c>
      <c r="H73" s="11">
        <v>30</v>
      </c>
      <c r="I73" s="11" t="s">
        <v>40</v>
      </c>
      <c r="J73" s="11"/>
      <c r="K73" s="11">
        <v>325.7</v>
      </c>
      <c r="L73" s="11">
        <f t="shared" si="12"/>
        <v>-26.925999999999988</v>
      </c>
      <c r="M73" s="11"/>
      <c r="N73" s="11"/>
      <c r="O73" s="11">
        <v>179.3726337999999</v>
      </c>
      <c r="P73" s="11"/>
      <c r="Q73" s="11"/>
      <c r="R73" s="11"/>
      <c r="S73" s="11"/>
      <c r="T73" s="11"/>
      <c r="U73" s="11">
        <f t="shared" si="13"/>
        <v>59.754800000000003</v>
      </c>
      <c r="V73" s="4">
        <f>11*U73-T73-R73-Q73-P73-O73-F73</f>
        <v>103.63416620000015</v>
      </c>
      <c r="W73" s="4">
        <f t="shared" si="15"/>
        <v>103.63416620000015</v>
      </c>
      <c r="X73" s="11">
        <f t="shared" si="16"/>
        <v>11.000000000000002</v>
      </c>
      <c r="Y73" s="11">
        <f t="shared" si="14"/>
        <v>9.2656762937872763</v>
      </c>
      <c r="Z73" s="11">
        <v>63.089399999999998</v>
      </c>
      <c r="AA73" s="11">
        <v>62.3386</v>
      </c>
      <c r="AB73" s="11">
        <v>48.734200000000001</v>
      </c>
      <c r="AC73" s="11">
        <v>49.574399999999997</v>
      </c>
      <c r="AD73" s="11">
        <v>57.8048</v>
      </c>
      <c r="AE73" s="11">
        <v>60.2044</v>
      </c>
      <c r="AF73" s="11">
        <v>77.722000000000008</v>
      </c>
      <c r="AG73" s="11">
        <v>80.553599999999989</v>
      </c>
      <c r="AH73" s="11">
        <v>64.354600000000005</v>
      </c>
      <c r="AI73" s="11">
        <v>60.799799999999998</v>
      </c>
      <c r="AJ73" s="11"/>
      <c r="AK73" s="11">
        <f t="shared" si="17"/>
        <v>104</v>
      </c>
    </row>
    <row r="74" spans="1:37" x14ac:dyDescent="0.25">
      <c r="A74" s="11" t="s">
        <v>117</v>
      </c>
      <c r="B74" s="11" t="s">
        <v>44</v>
      </c>
      <c r="C74" s="11">
        <v>99</v>
      </c>
      <c r="D74" s="11">
        <v>216</v>
      </c>
      <c r="E74" s="11">
        <v>134</v>
      </c>
      <c r="F74" s="11">
        <v>170</v>
      </c>
      <c r="G74" s="6">
        <v>0.6</v>
      </c>
      <c r="H74" s="11">
        <v>60</v>
      </c>
      <c r="I74" s="11" t="s">
        <v>40</v>
      </c>
      <c r="J74" s="11"/>
      <c r="K74" s="11">
        <v>141</v>
      </c>
      <c r="L74" s="11">
        <f t="shared" si="12"/>
        <v>-7</v>
      </c>
      <c r="M74" s="11"/>
      <c r="N74" s="11"/>
      <c r="O74" s="11">
        <v>50.500000000000028</v>
      </c>
      <c r="P74" s="11"/>
      <c r="Q74" s="11"/>
      <c r="R74" s="11"/>
      <c r="S74" s="11"/>
      <c r="T74" s="11"/>
      <c r="U74" s="11">
        <f t="shared" si="13"/>
        <v>26.8</v>
      </c>
      <c r="V74" s="4">
        <f>11*U74-T74-R74-Q74-P74-O74-F74</f>
        <v>74.299999999999983</v>
      </c>
      <c r="W74" s="4">
        <f t="shared" si="15"/>
        <v>74.299999999999983</v>
      </c>
      <c r="X74" s="11">
        <f t="shared" si="16"/>
        <v>11</v>
      </c>
      <c r="Y74" s="11">
        <f t="shared" si="14"/>
        <v>8.2276119402985088</v>
      </c>
      <c r="Z74" s="11">
        <v>24.8</v>
      </c>
      <c r="AA74" s="11">
        <v>28.2</v>
      </c>
      <c r="AB74" s="11">
        <v>22.8</v>
      </c>
      <c r="AC74" s="11">
        <v>19.2</v>
      </c>
      <c r="AD74" s="11">
        <v>23.4</v>
      </c>
      <c r="AE74" s="11">
        <v>25.4</v>
      </c>
      <c r="AF74" s="11">
        <v>18.600000000000001</v>
      </c>
      <c r="AG74" s="11">
        <v>32.6</v>
      </c>
      <c r="AH74" s="11">
        <v>24.6</v>
      </c>
      <c r="AI74" s="11">
        <v>15</v>
      </c>
      <c r="AJ74" s="11"/>
      <c r="AK74" s="11">
        <f t="shared" si="17"/>
        <v>45</v>
      </c>
    </row>
    <row r="75" spans="1:37" x14ac:dyDescent="0.25">
      <c r="A75" s="11" t="s">
        <v>118</v>
      </c>
      <c r="B75" s="11" t="s">
        <v>44</v>
      </c>
      <c r="C75" s="11">
        <v>20</v>
      </c>
      <c r="D75" s="11">
        <v>72</v>
      </c>
      <c r="E75" s="11">
        <v>32</v>
      </c>
      <c r="F75" s="11">
        <v>58</v>
      </c>
      <c r="G75" s="6">
        <v>0.6</v>
      </c>
      <c r="H75" s="11">
        <v>60</v>
      </c>
      <c r="I75" s="11" t="s">
        <v>40</v>
      </c>
      <c r="J75" s="11"/>
      <c r="K75" s="11">
        <v>33</v>
      </c>
      <c r="L75" s="11">
        <f t="shared" si="12"/>
        <v>-1</v>
      </c>
      <c r="M75" s="11"/>
      <c r="N75" s="11"/>
      <c r="O75" s="11">
        <v>14.59999999999998</v>
      </c>
      <c r="P75" s="11"/>
      <c r="Q75" s="11"/>
      <c r="R75" s="11"/>
      <c r="S75" s="11"/>
      <c r="T75" s="11"/>
      <c r="U75" s="11">
        <f t="shared" si="13"/>
        <v>6.4</v>
      </c>
      <c r="V75" s="4"/>
      <c r="W75" s="4">
        <f t="shared" si="15"/>
        <v>0</v>
      </c>
      <c r="X75" s="11">
        <f t="shared" si="16"/>
        <v>11.343749999999996</v>
      </c>
      <c r="Y75" s="11">
        <f t="shared" si="14"/>
        <v>11.343749999999996</v>
      </c>
      <c r="Z75" s="11">
        <v>6.8</v>
      </c>
      <c r="AA75" s="11">
        <v>7.6</v>
      </c>
      <c r="AB75" s="11">
        <v>5.8</v>
      </c>
      <c r="AC75" s="11">
        <v>4</v>
      </c>
      <c r="AD75" s="11">
        <v>5.4</v>
      </c>
      <c r="AE75" s="11">
        <v>4.4000000000000004</v>
      </c>
      <c r="AF75" s="11">
        <v>4</v>
      </c>
      <c r="AG75" s="11">
        <v>5.4</v>
      </c>
      <c r="AH75" s="11">
        <v>5.8</v>
      </c>
      <c r="AI75" s="11">
        <v>4.2</v>
      </c>
      <c r="AJ75" s="11"/>
      <c r="AK75" s="11">
        <f t="shared" si="17"/>
        <v>0</v>
      </c>
    </row>
    <row r="76" spans="1:37" x14ac:dyDescent="0.25">
      <c r="A76" s="11" t="s">
        <v>119</v>
      </c>
      <c r="B76" s="11" t="s">
        <v>44</v>
      </c>
      <c r="C76" s="11">
        <v>196</v>
      </c>
      <c r="D76" s="11">
        <v>40</v>
      </c>
      <c r="E76" s="11">
        <v>124</v>
      </c>
      <c r="F76" s="11">
        <v>100</v>
      </c>
      <c r="G76" s="6">
        <v>0.4</v>
      </c>
      <c r="H76" s="11">
        <v>90</v>
      </c>
      <c r="I76" s="11" t="s">
        <v>40</v>
      </c>
      <c r="J76" s="11"/>
      <c r="K76" s="11">
        <v>130</v>
      </c>
      <c r="L76" s="11">
        <f t="shared" si="12"/>
        <v>-6</v>
      </c>
      <c r="M76" s="11"/>
      <c r="N76" s="11"/>
      <c r="O76" s="11">
        <v>75.200000000000017</v>
      </c>
      <c r="P76" s="11"/>
      <c r="Q76" s="11"/>
      <c r="R76" s="11"/>
      <c r="S76" s="11"/>
      <c r="T76" s="11"/>
      <c r="U76" s="11">
        <f t="shared" si="13"/>
        <v>24.8</v>
      </c>
      <c r="V76" s="4">
        <f>11*U76-T76-R76-Q76-P76-O76-F76</f>
        <v>97.6</v>
      </c>
      <c r="W76" s="4">
        <f t="shared" si="15"/>
        <v>97.6</v>
      </c>
      <c r="X76" s="11">
        <f t="shared" si="16"/>
        <v>11</v>
      </c>
      <c r="Y76" s="11">
        <f t="shared" si="14"/>
        <v>7.0645161290322589</v>
      </c>
      <c r="Z76" s="11">
        <v>20.6</v>
      </c>
      <c r="AA76" s="11">
        <v>17</v>
      </c>
      <c r="AB76" s="11">
        <v>22.8</v>
      </c>
      <c r="AC76" s="11">
        <v>25.2</v>
      </c>
      <c r="AD76" s="11">
        <v>20.6</v>
      </c>
      <c r="AE76" s="11">
        <v>22.2</v>
      </c>
      <c r="AF76" s="11">
        <v>19.8</v>
      </c>
      <c r="AG76" s="11">
        <v>15.6</v>
      </c>
      <c r="AH76" s="11">
        <v>17.8</v>
      </c>
      <c r="AI76" s="11">
        <v>17.2</v>
      </c>
      <c r="AJ76" s="11"/>
      <c r="AK76" s="11">
        <f t="shared" si="17"/>
        <v>39</v>
      </c>
    </row>
    <row r="77" spans="1:37" x14ac:dyDescent="0.25">
      <c r="A77" s="11" t="s">
        <v>120</v>
      </c>
      <c r="B77" s="11" t="s">
        <v>44</v>
      </c>
      <c r="C77" s="11">
        <v>234</v>
      </c>
      <c r="D77" s="11">
        <v>64</v>
      </c>
      <c r="E77" s="11">
        <v>135</v>
      </c>
      <c r="F77" s="11">
        <v>146</v>
      </c>
      <c r="G77" s="6">
        <v>0.33</v>
      </c>
      <c r="H77" s="11">
        <v>60</v>
      </c>
      <c r="I77" s="12" t="s">
        <v>50</v>
      </c>
      <c r="J77" s="11"/>
      <c r="K77" s="11">
        <v>138</v>
      </c>
      <c r="L77" s="11">
        <f t="shared" si="12"/>
        <v>-3</v>
      </c>
      <c r="M77" s="11"/>
      <c r="N77" s="11"/>
      <c r="O77" s="11">
        <v>113.4</v>
      </c>
      <c r="P77" s="11"/>
      <c r="Q77" s="11"/>
      <c r="R77" s="11"/>
      <c r="S77" s="11"/>
      <c r="T77" s="11"/>
      <c r="U77" s="11">
        <f t="shared" si="13"/>
        <v>27</v>
      </c>
      <c r="V77" s="4">
        <f>11*U77-T77-R77-Q77-P77-O77-F77</f>
        <v>37.599999999999994</v>
      </c>
      <c r="W77" s="4">
        <f t="shared" si="15"/>
        <v>37.599999999999994</v>
      </c>
      <c r="X77" s="11">
        <f t="shared" si="16"/>
        <v>11</v>
      </c>
      <c r="Y77" s="11">
        <f t="shared" si="14"/>
        <v>9.6074074074074058</v>
      </c>
      <c r="Z77" s="11">
        <v>28.2</v>
      </c>
      <c r="AA77" s="11">
        <v>25.8</v>
      </c>
      <c r="AB77" s="11">
        <v>29.8</v>
      </c>
      <c r="AC77" s="11">
        <v>31.6</v>
      </c>
      <c r="AD77" s="11">
        <v>29</v>
      </c>
      <c r="AE77" s="11">
        <v>28.6</v>
      </c>
      <c r="AF77" s="11">
        <v>23</v>
      </c>
      <c r="AG77" s="11">
        <v>19.2</v>
      </c>
      <c r="AH77" s="11">
        <v>26</v>
      </c>
      <c r="AI77" s="11">
        <v>23.8</v>
      </c>
      <c r="AJ77" s="11"/>
      <c r="AK77" s="11">
        <f t="shared" si="17"/>
        <v>12</v>
      </c>
    </row>
    <row r="78" spans="1:37" x14ac:dyDescent="0.25">
      <c r="A78" s="11" t="s">
        <v>121</v>
      </c>
      <c r="B78" s="11" t="s">
        <v>44</v>
      </c>
      <c r="C78" s="11">
        <v>137</v>
      </c>
      <c r="D78" s="11">
        <v>120</v>
      </c>
      <c r="E78" s="11">
        <v>149</v>
      </c>
      <c r="F78" s="11">
        <v>96</v>
      </c>
      <c r="G78" s="6">
        <v>0.35</v>
      </c>
      <c r="H78" s="11">
        <v>90</v>
      </c>
      <c r="I78" s="11" t="s">
        <v>40</v>
      </c>
      <c r="J78" s="11"/>
      <c r="K78" s="11">
        <v>155</v>
      </c>
      <c r="L78" s="11">
        <f t="shared" si="12"/>
        <v>-6</v>
      </c>
      <c r="M78" s="11"/>
      <c r="N78" s="11"/>
      <c r="O78" s="11">
        <v>193.3</v>
      </c>
      <c r="P78" s="11"/>
      <c r="Q78" s="11"/>
      <c r="R78" s="11"/>
      <c r="S78" s="11"/>
      <c r="T78" s="11"/>
      <c r="U78" s="11">
        <f t="shared" si="13"/>
        <v>29.8</v>
      </c>
      <c r="V78" s="4">
        <f>11*U78-T78-R78-Q78-P78-O78-F78</f>
        <v>38.5</v>
      </c>
      <c r="W78" s="4">
        <f t="shared" si="15"/>
        <v>38.5</v>
      </c>
      <c r="X78" s="11">
        <f t="shared" si="16"/>
        <v>11</v>
      </c>
      <c r="Y78" s="11">
        <f t="shared" si="14"/>
        <v>9.7080536912751683</v>
      </c>
      <c r="Z78" s="11">
        <v>29</v>
      </c>
      <c r="AA78" s="11">
        <v>21.4</v>
      </c>
      <c r="AB78" s="11">
        <v>22</v>
      </c>
      <c r="AC78" s="11">
        <v>21.8</v>
      </c>
      <c r="AD78" s="11">
        <v>20</v>
      </c>
      <c r="AE78" s="11">
        <v>23</v>
      </c>
      <c r="AF78" s="11">
        <v>19</v>
      </c>
      <c r="AG78" s="11">
        <v>19.2</v>
      </c>
      <c r="AH78" s="11">
        <v>20.6</v>
      </c>
      <c r="AI78" s="11">
        <v>15.6</v>
      </c>
      <c r="AJ78" s="11"/>
      <c r="AK78" s="11">
        <f t="shared" si="17"/>
        <v>13</v>
      </c>
    </row>
    <row r="79" spans="1:37" x14ac:dyDescent="0.25">
      <c r="A79" s="11" t="s">
        <v>122</v>
      </c>
      <c r="B79" s="11" t="s">
        <v>44</v>
      </c>
      <c r="C79" s="11">
        <v>477</v>
      </c>
      <c r="D79" s="11">
        <v>790</v>
      </c>
      <c r="E79" s="11">
        <v>468</v>
      </c>
      <c r="F79" s="11">
        <v>725</v>
      </c>
      <c r="G79" s="6">
        <v>0.37</v>
      </c>
      <c r="H79" s="11">
        <v>50</v>
      </c>
      <c r="I79" s="11" t="s">
        <v>40</v>
      </c>
      <c r="J79" s="11"/>
      <c r="K79" s="11">
        <v>489</v>
      </c>
      <c r="L79" s="11">
        <f t="shared" si="12"/>
        <v>-21</v>
      </c>
      <c r="M79" s="11"/>
      <c r="N79" s="11"/>
      <c r="O79" s="11">
        <v>164.83105099999989</v>
      </c>
      <c r="P79" s="11"/>
      <c r="Q79" s="11"/>
      <c r="R79" s="11">
        <v>263.30154899999991</v>
      </c>
      <c r="S79" s="11"/>
      <c r="T79" s="11"/>
      <c r="U79" s="11">
        <f t="shared" si="13"/>
        <v>93.6</v>
      </c>
      <c r="V79" s="4"/>
      <c r="W79" s="4">
        <f t="shared" si="15"/>
        <v>0</v>
      </c>
      <c r="X79" s="11">
        <f t="shared" si="16"/>
        <v>12.319792735042736</v>
      </c>
      <c r="Y79" s="11">
        <f t="shared" si="14"/>
        <v>12.319792735042736</v>
      </c>
      <c r="Z79" s="11">
        <v>104.8</v>
      </c>
      <c r="AA79" s="11">
        <v>111.2</v>
      </c>
      <c r="AB79" s="11">
        <v>113</v>
      </c>
      <c r="AC79" s="11">
        <v>100</v>
      </c>
      <c r="AD79" s="11">
        <v>88.2</v>
      </c>
      <c r="AE79" s="11">
        <v>79.2</v>
      </c>
      <c r="AF79" s="11">
        <v>78.2</v>
      </c>
      <c r="AG79" s="11">
        <v>97.8</v>
      </c>
      <c r="AH79" s="11">
        <v>89.2</v>
      </c>
      <c r="AI79" s="11">
        <v>84.6</v>
      </c>
      <c r="AJ79" s="11"/>
      <c r="AK79" s="11">
        <f t="shared" si="17"/>
        <v>0</v>
      </c>
    </row>
    <row r="80" spans="1:37" x14ac:dyDescent="0.25">
      <c r="A80" s="11" t="s">
        <v>123</v>
      </c>
      <c r="B80" s="11" t="s">
        <v>44</v>
      </c>
      <c r="C80" s="11">
        <v>146</v>
      </c>
      <c r="D80" s="11">
        <v>144</v>
      </c>
      <c r="E80" s="11">
        <v>131</v>
      </c>
      <c r="F80" s="11">
        <v>137</v>
      </c>
      <c r="G80" s="6">
        <v>0.6</v>
      </c>
      <c r="H80" s="11">
        <v>70</v>
      </c>
      <c r="I80" s="11" t="s">
        <v>40</v>
      </c>
      <c r="J80" s="11"/>
      <c r="K80" s="11">
        <v>137</v>
      </c>
      <c r="L80" s="11">
        <f t="shared" si="12"/>
        <v>-6</v>
      </c>
      <c r="M80" s="11"/>
      <c r="N80" s="11"/>
      <c r="O80" s="11">
        <v>95.19999999999996</v>
      </c>
      <c r="P80" s="11"/>
      <c r="Q80" s="11"/>
      <c r="R80" s="11"/>
      <c r="S80" s="11"/>
      <c r="T80" s="11"/>
      <c r="U80" s="11">
        <f t="shared" si="13"/>
        <v>26.2</v>
      </c>
      <c r="V80" s="4">
        <f>11*U80-T80-R80-Q80-P80-O80-F80</f>
        <v>56.000000000000028</v>
      </c>
      <c r="W80" s="4">
        <f t="shared" si="15"/>
        <v>56.000000000000028</v>
      </c>
      <c r="X80" s="11">
        <f t="shared" si="16"/>
        <v>11</v>
      </c>
      <c r="Y80" s="11">
        <f t="shared" si="14"/>
        <v>8.8625954198473273</v>
      </c>
      <c r="Z80" s="11">
        <v>25.4</v>
      </c>
      <c r="AA80" s="11">
        <v>23.8</v>
      </c>
      <c r="AB80" s="11">
        <v>19.600000000000001</v>
      </c>
      <c r="AC80" s="11">
        <v>22.8</v>
      </c>
      <c r="AD80" s="11">
        <v>16.8</v>
      </c>
      <c r="AE80" s="11">
        <v>15.2</v>
      </c>
      <c r="AF80" s="11">
        <v>20.8</v>
      </c>
      <c r="AG80" s="11">
        <v>25.2</v>
      </c>
      <c r="AH80" s="11">
        <v>23</v>
      </c>
      <c r="AI80" s="11">
        <v>22.2</v>
      </c>
      <c r="AJ80" s="11"/>
      <c r="AK80" s="11">
        <f t="shared" si="17"/>
        <v>34</v>
      </c>
    </row>
    <row r="81" spans="1:37" x14ac:dyDescent="0.25">
      <c r="A81" s="11" t="s">
        <v>124</v>
      </c>
      <c r="B81" s="11" t="s">
        <v>44</v>
      </c>
      <c r="C81" s="11">
        <v>71</v>
      </c>
      <c r="D81" s="11">
        <v>12</v>
      </c>
      <c r="E81" s="11">
        <v>50</v>
      </c>
      <c r="F81" s="11">
        <v>33</v>
      </c>
      <c r="G81" s="6">
        <v>0.33</v>
      </c>
      <c r="H81" s="11">
        <v>40</v>
      </c>
      <c r="I81" s="11" t="s">
        <v>40</v>
      </c>
      <c r="J81" s="11"/>
      <c r="K81" s="11">
        <v>70</v>
      </c>
      <c r="L81" s="11">
        <f t="shared" si="12"/>
        <v>-20</v>
      </c>
      <c r="M81" s="11"/>
      <c r="N81" s="11"/>
      <c r="O81" s="11">
        <v>94.2</v>
      </c>
      <c r="P81" s="11"/>
      <c r="Q81" s="11"/>
      <c r="R81" s="11"/>
      <c r="S81" s="11"/>
      <c r="T81" s="11"/>
      <c r="U81" s="11">
        <f t="shared" si="13"/>
        <v>10</v>
      </c>
      <c r="V81" s="4"/>
      <c r="W81" s="4">
        <f t="shared" si="15"/>
        <v>0</v>
      </c>
      <c r="X81" s="11">
        <f t="shared" si="16"/>
        <v>12.72</v>
      </c>
      <c r="Y81" s="11">
        <f t="shared" si="14"/>
        <v>12.72</v>
      </c>
      <c r="Z81" s="11">
        <v>13.8</v>
      </c>
      <c r="AA81" s="11">
        <v>6.2</v>
      </c>
      <c r="AB81" s="11">
        <v>5.6</v>
      </c>
      <c r="AC81" s="11">
        <v>8.8000000000000007</v>
      </c>
      <c r="AD81" s="11">
        <v>10.6</v>
      </c>
      <c r="AE81" s="11">
        <v>10.6</v>
      </c>
      <c r="AF81" s="11">
        <v>10.4</v>
      </c>
      <c r="AG81" s="11">
        <v>9</v>
      </c>
      <c r="AH81" s="11">
        <v>8.6</v>
      </c>
      <c r="AI81" s="11">
        <v>6</v>
      </c>
      <c r="AJ81" s="11"/>
      <c r="AK81" s="11">
        <f t="shared" si="17"/>
        <v>0</v>
      </c>
    </row>
    <row r="82" spans="1:37" x14ac:dyDescent="0.25">
      <c r="A82" s="11" t="s">
        <v>125</v>
      </c>
      <c r="B82" s="11" t="s">
        <v>44</v>
      </c>
      <c r="C82" s="11">
        <v>286</v>
      </c>
      <c r="D82" s="11">
        <v>298</v>
      </c>
      <c r="E82" s="11">
        <v>287</v>
      </c>
      <c r="F82" s="11">
        <v>266</v>
      </c>
      <c r="G82" s="6">
        <v>0.4</v>
      </c>
      <c r="H82" s="11">
        <v>55</v>
      </c>
      <c r="I82" s="11" t="s">
        <v>40</v>
      </c>
      <c r="J82" s="11"/>
      <c r="K82" s="11">
        <v>301</v>
      </c>
      <c r="L82" s="11">
        <f t="shared" si="12"/>
        <v>-14</v>
      </c>
      <c r="M82" s="11"/>
      <c r="N82" s="11"/>
      <c r="O82" s="11">
        <v>84.779694999999947</v>
      </c>
      <c r="P82" s="11"/>
      <c r="Q82" s="11"/>
      <c r="R82" s="11">
        <v>135.4273049999999</v>
      </c>
      <c r="S82" s="11"/>
      <c r="T82" s="11"/>
      <c r="U82" s="11">
        <f t="shared" si="13"/>
        <v>57.4</v>
      </c>
      <c r="V82" s="4">
        <f>11*U82-T82-R82-Q82-P82-O82-F82</f>
        <v>145.1930000000001</v>
      </c>
      <c r="W82" s="4">
        <f t="shared" si="15"/>
        <v>145.1930000000001</v>
      </c>
      <c r="X82" s="11">
        <f t="shared" si="16"/>
        <v>11</v>
      </c>
      <c r="Y82" s="11">
        <f t="shared" si="14"/>
        <v>8.4705052264808351</v>
      </c>
      <c r="Z82" s="11">
        <v>51.8</v>
      </c>
      <c r="AA82" s="11">
        <v>49.2</v>
      </c>
      <c r="AB82" s="11">
        <v>55.8</v>
      </c>
      <c r="AC82" s="11">
        <v>49.8</v>
      </c>
      <c r="AD82" s="11">
        <v>36.200000000000003</v>
      </c>
      <c r="AE82" s="11">
        <v>42</v>
      </c>
      <c r="AF82" s="11">
        <v>46</v>
      </c>
      <c r="AG82" s="11">
        <v>56.4</v>
      </c>
      <c r="AH82" s="11">
        <v>55.4</v>
      </c>
      <c r="AI82" s="11">
        <v>44.8</v>
      </c>
      <c r="AJ82" s="11"/>
      <c r="AK82" s="11">
        <f t="shared" si="17"/>
        <v>58</v>
      </c>
    </row>
    <row r="83" spans="1:37" x14ac:dyDescent="0.25">
      <c r="A83" s="11" t="s">
        <v>126</v>
      </c>
      <c r="B83" s="11" t="s">
        <v>44</v>
      </c>
      <c r="C83" s="11">
        <v>146</v>
      </c>
      <c r="D83" s="11">
        <v>54</v>
      </c>
      <c r="E83" s="11">
        <v>156</v>
      </c>
      <c r="F83" s="11">
        <v>33</v>
      </c>
      <c r="G83" s="6">
        <v>0.35</v>
      </c>
      <c r="H83" s="11">
        <v>40</v>
      </c>
      <c r="I83" s="12" t="s">
        <v>50</v>
      </c>
      <c r="J83" s="11"/>
      <c r="K83" s="11">
        <v>164</v>
      </c>
      <c r="L83" s="11">
        <f t="shared" si="12"/>
        <v>-8</v>
      </c>
      <c r="M83" s="11"/>
      <c r="N83" s="11"/>
      <c r="O83" s="11">
        <v>50</v>
      </c>
      <c r="P83" s="11">
        <v>-54</v>
      </c>
      <c r="Q83" s="11"/>
      <c r="R83" s="11">
        <v>25</v>
      </c>
      <c r="S83" s="11">
        <v>-31.428571428571431</v>
      </c>
      <c r="T83" s="11"/>
      <c r="U83" s="11">
        <f t="shared" si="13"/>
        <v>31.2</v>
      </c>
      <c r="V83" s="4">
        <v>100</v>
      </c>
      <c r="W83" s="4">
        <f t="shared" si="15"/>
        <v>100</v>
      </c>
      <c r="X83" s="11">
        <f t="shared" si="16"/>
        <v>3.9285714285714284</v>
      </c>
      <c r="Y83" s="11">
        <f t="shared" si="14"/>
        <v>0.72344322344322343</v>
      </c>
      <c r="Z83" s="11">
        <v>23</v>
      </c>
      <c r="AA83" s="11">
        <v>3.2</v>
      </c>
      <c r="AB83" s="11">
        <v>15</v>
      </c>
      <c r="AC83" s="11">
        <v>25.4</v>
      </c>
      <c r="AD83" s="11">
        <v>10.199999999999999</v>
      </c>
      <c r="AE83" s="11">
        <v>7.2</v>
      </c>
      <c r="AF83" s="11">
        <v>14.6</v>
      </c>
      <c r="AG83" s="11">
        <v>29</v>
      </c>
      <c r="AH83" s="11">
        <v>24.2</v>
      </c>
      <c r="AI83" s="11">
        <v>2.6</v>
      </c>
      <c r="AJ83" s="11"/>
      <c r="AK83" s="11">
        <f t="shared" si="17"/>
        <v>35</v>
      </c>
    </row>
    <row r="84" spans="1:37" x14ac:dyDescent="0.25">
      <c r="A84" s="11" t="s">
        <v>127</v>
      </c>
      <c r="B84" s="11" t="s">
        <v>44</v>
      </c>
      <c r="C84" s="11">
        <v>332</v>
      </c>
      <c r="D84" s="11"/>
      <c r="E84" s="11">
        <v>176</v>
      </c>
      <c r="F84" s="11">
        <v>147</v>
      </c>
      <c r="G84" s="6">
        <v>0.35</v>
      </c>
      <c r="H84" s="11">
        <v>45</v>
      </c>
      <c r="I84" s="11" t="s">
        <v>40</v>
      </c>
      <c r="J84" s="11"/>
      <c r="K84" s="11">
        <v>177</v>
      </c>
      <c r="L84" s="11">
        <f t="shared" si="12"/>
        <v>-1</v>
      </c>
      <c r="M84" s="11"/>
      <c r="N84" s="11"/>
      <c r="O84" s="11">
        <v>111.4</v>
      </c>
      <c r="P84" s="11"/>
      <c r="Q84" s="11"/>
      <c r="R84" s="11"/>
      <c r="S84" s="11"/>
      <c r="T84" s="11"/>
      <c r="U84" s="11">
        <f t="shared" si="13"/>
        <v>35.200000000000003</v>
      </c>
      <c r="V84" s="4">
        <f>11*U84-T84-R84-Q84-P84-O84-F84</f>
        <v>128.80000000000007</v>
      </c>
      <c r="W84" s="4">
        <f t="shared" si="15"/>
        <v>128.80000000000007</v>
      </c>
      <c r="X84" s="11">
        <f t="shared" si="16"/>
        <v>11</v>
      </c>
      <c r="Y84" s="11">
        <f t="shared" si="14"/>
        <v>7.3409090909090899</v>
      </c>
      <c r="Z84" s="11">
        <v>32.200000000000003</v>
      </c>
      <c r="AA84" s="11">
        <v>24.2</v>
      </c>
      <c r="AB84" s="11">
        <v>3.6</v>
      </c>
      <c r="AC84" s="11">
        <v>9.6</v>
      </c>
      <c r="AD84" s="11">
        <v>50.6</v>
      </c>
      <c r="AE84" s="11">
        <v>53.4</v>
      </c>
      <c r="AF84" s="11">
        <v>61.6</v>
      </c>
      <c r="AG84" s="11">
        <v>61.2</v>
      </c>
      <c r="AH84" s="11">
        <v>44</v>
      </c>
      <c r="AI84" s="11">
        <v>49</v>
      </c>
      <c r="AJ84" s="11"/>
      <c r="AK84" s="11">
        <f t="shared" si="17"/>
        <v>45</v>
      </c>
    </row>
    <row r="85" spans="1:37" x14ac:dyDescent="0.25">
      <c r="A85" s="11" t="s">
        <v>128</v>
      </c>
      <c r="B85" s="11" t="s">
        <v>44</v>
      </c>
      <c r="C85" s="11">
        <v>267</v>
      </c>
      <c r="D85" s="11">
        <v>90</v>
      </c>
      <c r="E85" s="11">
        <v>120</v>
      </c>
      <c r="F85" s="11">
        <v>237</v>
      </c>
      <c r="G85" s="6">
        <v>0.4</v>
      </c>
      <c r="H85" s="11">
        <v>55</v>
      </c>
      <c r="I85" s="11" t="s">
        <v>40</v>
      </c>
      <c r="J85" s="11"/>
      <c r="K85" s="11">
        <v>120</v>
      </c>
      <c r="L85" s="11">
        <f t="shared" si="12"/>
        <v>0</v>
      </c>
      <c r="M85" s="11"/>
      <c r="N85" s="11"/>
      <c r="O85" s="11">
        <v>0</v>
      </c>
      <c r="P85" s="11"/>
      <c r="Q85" s="11"/>
      <c r="R85" s="11"/>
      <c r="S85" s="11"/>
      <c r="T85" s="11"/>
      <c r="U85" s="11">
        <f t="shared" si="13"/>
        <v>24</v>
      </c>
      <c r="V85" s="4">
        <f>11*U85-T85-R85-Q85-P85-O85-F85</f>
        <v>27</v>
      </c>
      <c r="W85" s="4">
        <f t="shared" si="15"/>
        <v>27</v>
      </c>
      <c r="X85" s="11">
        <f t="shared" si="16"/>
        <v>11</v>
      </c>
      <c r="Y85" s="11">
        <f t="shared" si="14"/>
        <v>9.875</v>
      </c>
      <c r="Z85" s="11">
        <v>16.399999999999999</v>
      </c>
      <c r="AA85" s="11">
        <v>27.2</v>
      </c>
      <c r="AB85" s="11">
        <v>12.6</v>
      </c>
      <c r="AC85" s="11">
        <v>11.8</v>
      </c>
      <c r="AD85" s="11">
        <v>36.200000000000003</v>
      </c>
      <c r="AE85" s="11">
        <v>39.799999999999997</v>
      </c>
      <c r="AF85" s="11">
        <v>15</v>
      </c>
      <c r="AG85" s="11">
        <v>16</v>
      </c>
      <c r="AH85" s="11">
        <v>28</v>
      </c>
      <c r="AI85" s="11">
        <v>29.8</v>
      </c>
      <c r="AJ85" s="11"/>
      <c r="AK85" s="11">
        <f t="shared" si="17"/>
        <v>11</v>
      </c>
    </row>
    <row r="86" spans="1:37" x14ac:dyDescent="0.25">
      <c r="A86" s="11" t="s">
        <v>129</v>
      </c>
      <c r="B86" s="11" t="s">
        <v>39</v>
      </c>
      <c r="C86" s="11">
        <v>71.266000000000005</v>
      </c>
      <c r="D86" s="11"/>
      <c r="E86" s="11">
        <v>12.904</v>
      </c>
      <c r="F86" s="11">
        <v>46.64</v>
      </c>
      <c r="G86" s="6">
        <v>1</v>
      </c>
      <c r="H86" s="11">
        <v>55</v>
      </c>
      <c r="I86" s="11" t="s">
        <v>40</v>
      </c>
      <c r="J86" s="11"/>
      <c r="K86" s="11">
        <v>11</v>
      </c>
      <c r="L86" s="11">
        <f t="shared" si="12"/>
        <v>1.9039999999999999</v>
      </c>
      <c r="M86" s="11"/>
      <c r="N86" s="11"/>
      <c r="O86" s="11">
        <v>0</v>
      </c>
      <c r="P86" s="11"/>
      <c r="Q86" s="11"/>
      <c r="R86" s="11"/>
      <c r="S86" s="11"/>
      <c r="T86" s="11"/>
      <c r="U86" s="11">
        <f t="shared" si="13"/>
        <v>2.5808</v>
      </c>
      <c r="V86" s="4"/>
      <c r="W86" s="4">
        <f t="shared" si="15"/>
        <v>0</v>
      </c>
      <c r="X86" s="11">
        <f t="shared" si="16"/>
        <v>18.071915685058897</v>
      </c>
      <c r="Y86" s="11">
        <f t="shared" si="14"/>
        <v>18.071915685058897</v>
      </c>
      <c r="Z86" s="11">
        <v>3.1728000000000001</v>
      </c>
      <c r="AA86" s="11">
        <v>2.5781999999999998</v>
      </c>
      <c r="AB86" s="11">
        <v>1.9770000000000001</v>
      </c>
      <c r="AC86" s="11">
        <v>1.7008000000000001</v>
      </c>
      <c r="AD86" s="11">
        <v>1.6816</v>
      </c>
      <c r="AE86" s="11">
        <v>6.2156000000000002</v>
      </c>
      <c r="AF86" s="11">
        <v>7.9986000000000006</v>
      </c>
      <c r="AG86" s="11">
        <v>3.4681999999999999</v>
      </c>
      <c r="AH86" s="11">
        <v>1.6208</v>
      </c>
      <c r="AI86" s="11">
        <v>-1.0531999999999999</v>
      </c>
      <c r="AJ86" s="15" t="s">
        <v>130</v>
      </c>
      <c r="AK86" s="11">
        <f t="shared" si="17"/>
        <v>0</v>
      </c>
    </row>
    <row r="87" spans="1:37" x14ac:dyDescent="0.25">
      <c r="A87" s="8" t="s">
        <v>131</v>
      </c>
      <c r="B87" s="8" t="s">
        <v>44</v>
      </c>
      <c r="C87" s="8">
        <v>4</v>
      </c>
      <c r="D87" s="8"/>
      <c r="E87" s="8"/>
      <c r="F87" s="8">
        <v>3</v>
      </c>
      <c r="G87" s="9">
        <v>0</v>
      </c>
      <c r="H87" s="8">
        <v>55</v>
      </c>
      <c r="I87" s="8" t="s">
        <v>53</v>
      </c>
      <c r="J87" s="8"/>
      <c r="K87" s="8">
        <v>12</v>
      </c>
      <c r="L87" s="8">
        <f t="shared" si="12"/>
        <v>-12</v>
      </c>
      <c r="M87" s="8"/>
      <c r="N87" s="8"/>
      <c r="O87" s="8">
        <v>0</v>
      </c>
      <c r="P87" s="8"/>
      <c r="Q87" s="8"/>
      <c r="R87" s="8"/>
      <c r="S87" s="8"/>
      <c r="T87" s="8"/>
      <c r="U87" s="8">
        <f t="shared" si="13"/>
        <v>0</v>
      </c>
      <c r="V87" s="10"/>
      <c r="W87" s="4">
        <f t="shared" si="15"/>
        <v>0</v>
      </c>
      <c r="X87" s="11" t="e">
        <f t="shared" si="16"/>
        <v>#DIV/0!</v>
      </c>
      <c r="Y87" s="11" t="e">
        <f t="shared" si="14"/>
        <v>#DIV/0!</v>
      </c>
      <c r="Z87" s="8">
        <v>0</v>
      </c>
      <c r="AA87" s="8">
        <v>0</v>
      </c>
      <c r="AB87" s="8">
        <v>0.6</v>
      </c>
      <c r="AC87" s="8">
        <v>0.6</v>
      </c>
      <c r="AD87" s="8">
        <v>2</v>
      </c>
      <c r="AE87" s="8">
        <v>4</v>
      </c>
      <c r="AF87" s="8">
        <v>4</v>
      </c>
      <c r="AG87" s="8">
        <v>6</v>
      </c>
      <c r="AH87" s="8">
        <v>4</v>
      </c>
      <c r="AI87" s="8">
        <v>1.2</v>
      </c>
      <c r="AJ87" s="8"/>
      <c r="AK87" s="11">
        <f t="shared" si="17"/>
        <v>0</v>
      </c>
    </row>
    <row r="88" spans="1:37" x14ac:dyDescent="0.25">
      <c r="A88" s="11" t="s">
        <v>132</v>
      </c>
      <c r="B88" s="11" t="s">
        <v>39</v>
      </c>
      <c r="C88" s="11">
        <v>196.059</v>
      </c>
      <c r="D88" s="11">
        <v>357.23399999999998</v>
      </c>
      <c r="E88" s="11">
        <v>231.30799999999999</v>
      </c>
      <c r="F88" s="11">
        <v>261.42700000000002</v>
      </c>
      <c r="G88" s="6">
        <v>1</v>
      </c>
      <c r="H88" s="11">
        <v>55</v>
      </c>
      <c r="I88" s="11" t="s">
        <v>40</v>
      </c>
      <c r="J88" s="11"/>
      <c r="K88" s="11">
        <v>221</v>
      </c>
      <c r="L88" s="11">
        <f t="shared" si="12"/>
        <v>10.307999999999993</v>
      </c>
      <c r="M88" s="11"/>
      <c r="N88" s="11"/>
      <c r="O88" s="11">
        <v>96.141618650000083</v>
      </c>
      <c r="P88" s="11"/>
      <c r="Q88" s="11"/>
      <c r="R88" s="11">
        <v>153.57687135000009</v>
      </c>
      <c r="S88" s="11"/>
      <c r="T88" s="11"/>
      <c r="U88" s="11">
        <f t="shared" si="13"/>
        <v>46.261600000000001</v>
      </c>
      <c r="V88" s="4"/>
      <c r="W88" s="4">
        <f t="shared" si="15"/>
        <v>0</v>
      </c>
      <c r="X88" s="11">
        <f t="shared" si="16"/>
        <v>11.049023163919971</v>
      </c>
      <c r="Y88" s="11">
        <f t="shared" si="14"/>
        <v>11.049023163919971</v>
      </c>
      <c r="Z88" s="11">
        <v>53.542400000000001</v>
      </c>
      <c r="AA88" s="11">
        <v>48.606000000000002</v>
      </c>
      <c r="AB88" s="11">
        <v>44.576599999999999</v>
      </c>
      <c r="AC88" s="11">
        <v>42.3018</v>
      </c>
      <c r="AD88" s="11">
        <v>32.957999999999998</v>
      </c>
      <c r="AE88" s="11">
        <v>40.682000000000002</v>
      </c>
      <c r="AF88" s="11">
        <v>27.418199999999999</v>
      </c>
      <c r="AG88" s="11">
        <v>33.930599999999998</v>
      </c>
      <c r="AH88" s="11">
        <v>31.181999999999999</v>
      </c>
      <c r="AI88" s="11">
        <v>37.124600000000001</v>
      </c>
      <c r="AJ88" s="11"/>
      <c r="AK88" s="11">
        <f t="shared" si="17"/>
        <v>0</v>
      </c>
    </row>
    <row r="89" spans="1:37" x14ac:dyDescent="0.25">
      <c r="A89" s="11" t="s">
        <v>133</v>
      </c>
      <c r="B89" s="11" t="s">
        <v>39</v>
      </c>
      <c r="C89" s="11">
        <v>1277.7809999999999</v>
      </c>
      <c r="D89" s="11">
        <v>546.93399999999997</v>
      </c>
      <c r="E89" s="11">
        <v>748.31500000000005</v>
      </c>
      <c r="F89" s="11">
        <v>1020.962</v>
      </c>
      <c r="G89" s="6">
        <v>1</v>
      </c>
      <c r="H89" s="11">
        <v>60</v>
      </c>
      <c r="I89" s="11" t="s">
        <v>40</v>
      </c>
      <c r="J89" s="11"/>
      <c r="K89" s="11">
        <v>749.67</v>
      </c>
      <c r="L89" s="11">
        <f t="shared" si="12"/>
        <v>-1.3549999999999045</v>
      </c>
      <c r="M89" s="11"/>
      <c r="N89" s="11"/>
      <c r="O89" s="11">
        <v>300.90726850799979</v>
      </c>
      <c r="P89" s="11"/>
      <c r="Q89" s="11">
        <v>200</v>
      </c>
      <c r="R89" s="11">
        <v>480.6700522919997</v>
      </c>
      <c r="S89" s="11"/>
      <c r="T89" s="11"/>
      <c r="U89" s="11">
        <f t="shared" si="13"/>
        <v>149.66300000000001</v>
      </c>
      <c r="V89" s="4"/>
      <c r="W89" s="4">
        <f t="shared" si="15"/>
        <v>0</v>
      </c>
      <c r="X89" s="11">
        <f t="shared" si="16"/>
        <v>13.380323264935218</v>
      </c>
      <c r="Y89" s="11">
        <f t="shared" si="14"/>
        <v>13.380323264935218</v>
      </c>
      <c r="Z89" s="11">
        <v>165.05600000000001</v>
      </c>
      <c r="AA89" s="11">
        <v>161.7576</v>
      </c>
      <c r="AB89" s="11">
        <v>146.61940000000001</v>
      </c>
      <c r="AC89" s="11">
        <v>153.85120000000001</v>
      </c>
      <c r="AD89" s="11">
        <v>151.1354</v>
      </c>
      <c r="AE89" s="11">
        <v>164.34880000000001</v>
      </c>
      <c r="AF89" s="11">
        <v>171.851</v>
      </c>
      <c r="AG89" s="11">
        <v>176.95820000000001</v>
      </c>
      <c r="AH89" s="11">
        <v>182.36699999999999</v>
      </c>
      <c r="AI89" s="11">
        <v>171.1482</v>
      </c>
      <c r="AJ89" s="11"/>
      <c r="AK89" s="11">
        <f t="shared" si="17"/>
        <v>0</v>
      </c>
    </row>
    <row r="90" spans="1:37" x14ac:dyDescent="0.25">
      <c r="A90" s="8" t="s">
        <v>134</v>
      </c>
      <c r="B90" s="8" t="s">
        <v>44</v>
      </c>
      <c r="C90" s="8"/>
      <c r="D90" s="8"/>
      <c r="E90" s="8"/>
      <c r="F90" s="8"/>
      <c r="G90" s="9">
        <v>0</v>
      </c>
      <c r="H90" s="8"/>
      <c r="I90" s="8" t="s">
        <v>40</v>
      </c>
      <c r="J90" s="8"/>
      <c r="K90" s="8"/>
      <c r="L90" s="8">
        <f t="shared" si="12"/>
        <v>0</v>
      </c>
      <c r="M90" s="8"/>
      <c r="N90" s="8"/>
      <c r="O90" s="8">
        <v>0</v>
      </c>
      <c r="P90" s="8"/>
      <c r="Q90" s="8"/>
      <c r="R90" s="8"/>
      <c r="S90" s="8"/>
      <c r="T90" s="8"/>
      <c r="U90" s="8">
        <f t="shared" si="13"/>
        <v>0</v>
      </c>
      <c r="V90" s="10"/>
      <c r="W90" s="4">
        <f t="shared" si="15"/>
        <v>0</v>
      </c>
      <c r="X90" s="11" t="e">
        <f t="shared" si="16"/>
        <v>#DIV/0!</v>
      </c>
      <c r="Y90" s="11" t="e">
        <f t="shared" si="14"/>
        <v>#DIV/0!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 t="s">
        <v>45</v>
      </c>
      <c r="AK90" s="11">
        <f t="shared" si="17"/>
        <v>0</v>
      </c>
    </row>
    <row r="91" spans="1:37" x14ac:dyDescent="0.25">
      <c r="A91" s="11" t="s">
        <v>135</v>
      </c>
      <c r="B91" s="11" t="s">
        <v>39</v>
      </c>
      <c r="C91" s="11">
        <v>3953.5369999999998</v>
      </c>
      <c r="D91" s="11">
        <v>2638.1109999999999</v>
      </c>
      <c r="E91" s="11">
        <v>1991.2190000000001</v>
      </c>
      <c r="F91" s="11">
        <v>4463.9709999999995</v>
      </c>
      <c r="G91" s="6">
        <v>1</v>
      </c>
      <c r="H91" s="11">
        <v>60</v>
      </c>
      <c r="I91" s="11" t="s">
        <v>40</v>
      </c>
      <c r="J91" s="11"/>
      <c r="K91" s="11">
        <v>1992.866</v>
      </c>
      <c r="L91" s="11">
        <f t="shared" si="12"/>
        <v>-1.6469999999999345</v>
      </c>
      <c r="M91" s="11"/>
      <c r="N91" s="11"/>
      <c r="O91" s="11">
        <v>518.80449644100031</v>
      </c>
      <c r="P91" s="11"/>
      <c r="Q91" s="11">
        <v>400</v>
      </c>
      <c r="R91" s="11">
        <v>828.73965015900035</v>
      </c>
      <c r="S91" s="11"/>
      <c r="T91" s="11"/>
      <c r="U91" s="11">
        <f t="shared" si="13"/>
        <v>398.24380000000002</v>
      </c>
      <c r="V91" s="4"/>
      <c r="W91" s="4">
        <f t="shared" si="15"/>
        <v>0</v>
      </c>
      <c r="X91" s="11">
        <f t="shared" si="16"/>
        <v>15.597267670206039</v>
      </c>
      <c r="Y91" s="11">
        <f t="shared" si="14"/>
        <v>15.597267670206039</v>
      </c>
      <c r="Z91" s="11">
        <v>447.41399999999999</v>
      </c>
      <c r="AA91" s="11">
        <v>441.04020000000003</v>
      </c>
      <c r="AB91" s="11">
        <v>428.07299999999998</v>
      </c>
      <c r="AC91" s="11">
        <v>430.87459999999999</v>
      </c>
      <c r="AD91" s="11">
        <v>398.44540000000001</v>
      </c>
      <c r="AE91" s="11">
        <v>391.17919999999998</v>
      </c>
      <c r="AF91" s="11">
        <v>446.94080000000002</v>
      </c>
      <c r="AG91" s="11">
        <v>458.49939999999998</v>
      </c>
      <c r="AH91" s="11">
        <v>436.01319999999998</v>
      </c>
      <c r="AI91" s="11">
        <v>426.09260000000012</v>
      </c>
      <c r="AJ91" s="11"/>
      <c r="AK91" s="11">
        <f t="shared" si="17"/>
        <v>0</v>
      </c>
    </row>
    <row r="92" spans="1:37" x14ac:dyDescent="0.25">
      <c r="A92" s="11" t="s">
        <v>136</v>
      </c>
      <c r="B92" s="11" t="s">
        <v>39</v>
      </c>
      <c r="C92" s="11">
        <v>3377.0450000000001</v>
      </c>
      <c r="D92" s="11">
        <v>3256.2049999999999</v>
      </c>
      <c r="E92" s="11">
        <v>1886.808</v>
      </c>
      <c r="F92" s="11">
        <v>4553.5680000000002</v>
      </c>
      <c r="G92" s="6">
        <v>1</v>
      </c>
      <c r="H92" s="11">
        <v>60</v>
      </c>
      <c r="I92" s="11" t="s">
        <v>40</v>
      </c>
      <c r="J92" s="11"/>
      <c r="K92" s="11">
        <v>1921.75</v>
      </c>
      <c r="L92" s="11">
        <f t="shared" si="12"/>
        <v>-34.942000000000007</v>
      </c>
      <c r="M92" s="11"/>
      <c r="N92" s="11"/>
      <c r="O92" s="11">
        <v>427.99470182699997</v>
      </c>
      <c r="P92" s="11"/>
      <c r="Q92" s="11">
        <v>500</v>
      </c>
      <c r="R92" s="11">
        <v>683.67984837299991</v>
      </c>
      <c r="S92" s="11"/>
      <c r="T92" s="11"/>
      <c r="U92" s="11">
        <f t="shared" si="13"/>
        <v>377.36160000000001</v>
      </c>
      <c r="V92" s="4"/>
      <c r="W92" s="4">
        <f t="shared" si="15"/>
        <v>0</v>
      </c>
      <c r="X92" s="11">
        <f t="shared" si="16"/>
        <v>16.33775813490297</v>
      </c>
      <c r="Y92" s="11">
        <f t="shared" si="14"/>
        <v>16.33775813490297</v>
      </c>
      <c r="Z92" s="11">
        <v>462.4796</v>
      </c>
      <c r="AA92" s="11">
        <v>465.33640000000003</v>
      </c>
      <c r="AB92" s="11">
        <v>430.09660000000002</v>
      </c>
      <c r="AC92" s="11">
        <v>430.392</v>
      </c>
      <c r="AD92" s="11">
        <v>397.80779999999999</v>
      </c>
      <c r="AE92" s="11">
        <v>401.32119999999998</v>
      </c>
      <c r="AF92" s="11">
        <v>409.54320000000001</v>
      </c>
      <c r="AG92" s="11">
        <v>447.65519999999998</v>
      </c>
      <c r="AH92" s="11">
        <v>530.02260000000001</v>
      </c>
      <c r="AI92" s="11">
        <v>493.26420000000002</v>
      </c>
      <c r="AJ92" s="11"/>
      <c r="AK92" s="11">
        <f t="shared" si="17"/>
        <v>0</v>
      </c>
    </row>
    <row r="93" spans="1:37" x14ac:dyDescent="0.25">
      <c r="A93" s="11" t="s">
        <v>137</v>
      </c>
      <c r="B93" s="11" t="s">
        <v>39</v>
      </c>
      <c r="C93" s="11">
        <v>5586.7780000000002</v>
      </c>
      <c r="D93" s="11">
        <v>2629.4789999999998</v>
      </c>
      <c r="E93" s="11">
        <v>2437.902</v>
      </c>
      <c r="F93" s="11">
        <v>5587.0039999999999</v>
      </c>
      <c r="G93" s="6">
        <v>1</v>
      </c>
      <c r="H93" s="11">
        <v>60</v>
      </c>
      <c r="I93" s="11" t="s">
        <v>40</v>
      </c>
      <c r="J93" s="11"/>
      <c r="K93" s="11">
        <v>2478.5500000000002</v>
      </c>
      <c r="L93" s="11">
        <f t="shared" si="12"/>
        <v>-40.648000000000138</v>
      </c>
      <c r="M93" s="11"/>
      <c r="N93" s="11"/>
      <c r="O93" s="11">
        <v>466.96834676800017</v>
      </c>
      <c r="P93" s="11"/>
      <c r="Q93" s="11">
        <v>1200</v>
      </c>
      <c r="R93" s="11">
        <v>745.93645003200027</v>
      </c>
      <c r="S93" s="11"/>
      <c r="T93" s="11">
        <v>400</v>
      </c>
      <c r="U93" s="11">
        <f t="shared" si="13"/>
        <v>487.5804</v>
      </c>
      <c r="V93" s="4"/>
      <c r="W93" s="4">
        <f t="shared" si="15"/>
        <v>0</v>
      </c>
      <c r="X93" s="11">
        <f t="shared" si="16"/>
        <v>17.227740895245176</v>
      </c>
      <c r="Y93" s="11">
        <f t="shared" si="14"/>
        <v>17.227740895245176</v>
      </c>
      <c r="Z93" s="11">
        <v>602.74900000000002</v>
      </c>
      <c r="AA93" s="11">
        <v>636.64959999999996</v>
      </c>
      <c r="AB93" s="11">
        <v>570.65219999999999</v>
      </c>
      <c r="AC93" s="11">
        <v>530.8288</v>
      </c>
      <c r="AD93" s="11">
        <v>571.27639999999997</v>
      </c>
      <c r="AE93" s="11">
        <v>585.21899999999994</v>
      </c>
      <c r="AF93" s="11">
        <v>581.18280000000004</v>
      </c>
      <c r="AG93" s="11">
        <v>622.20299999999997</v>
      </c>
      <c r="AH93" s="11">
        <v>586.15959999999995</v>
      </c>
      <c r="AI93" s="11">
        <v>578.34320000000002</v>
      </c>
      <c r="AJ93" s="11"/>
      <c r="AK93" s="11">
        <f t="shared" si="17"/>
        <v>0</v>
      </c>
    </row>
    <row r="94" spans="1:37" x14ac:dyDescent="0.25">
      <c r="A94" s="11" t="s">
        <v>138</v>
      </c>
      <c r="B94" s="11" t="s">
        <v>39</v>
      </c>
      <c r="C94" s="11">
        <v>63.777999999999999</v>
      </c>
      <c r="D94" s="11">
        <v>21.495999999999999</v>
      </c>
      <c r="E94" s="11">
        <v>42.4</v>
      </c>
      <c r="F94" s="11">
        <v>40.902999999999999</v>
      </c>
      <c r="G94" s="6">
        <v>1</v>
      </c>
      <c r="H94" s="11">
        <v>55</v>
      </c>
      <c r="I94" s="11" t="s">
        <v>40</v>
      </c>
      <c r="J94" s="11"/>
      <c r="K94" s="11">
        <v>44.6</v>
      </c>
      <c r="L94" s="11">
        <f t="shared" si="12"/>
        <v>-2.2000000000000028</v>
      </c>
      <c r="M94" s="11"/>
      <c r="N94" s="11"/>
      <c r="O94" s="11">
        <v>0</v>
      </c>
      <c r="P94" s="11"/>
      <c r="Q94" s="11"/>
      <c r="R94" s="11"/>
      <c r="S94" s="11"/>
      <c r="T94" s="11"/>
      <c r="U94" s="11">
        <f t="shared" si="13"/>
        <v>8.48</v>
      </c>
      <c r="V94" s="4">
        <f>10*U94-T94-R94-Q94-P94-O94-F94</f>
        <v>43.897000000000013</v>
      </c>
      <c r="W94" s="4">
        <f t="shared" si="15"/>
        <v>43.897000000000013</v>
      </c>
      <c r="X94" s="11">
        <f t="shared" si="16"/>
        <v>10</v>
      </c>
      <c r="Y94" s="11">
        <f t="shared" si="14"/>
        <v>4.8234669811320749</v>
      </c>
      <c r="Z94" s="11">
        <v>2.9582000000000002</v>
      </c>
      <c r="AA94" s="11">
        <v>3.7658</v>
      </c>
      <c r="AB94" s="11">
        <v>7.8483999999999998</v>
      </c>
      <c r="AC94" s="11">
        <v>7.0462000000000007</v>
      </c>
      <c r="AD94" s="11">
        <v>8.6546000000000003</v>
      </c>
      <c r="AE94" s="11">
        <v>8.9195999999999991</v>
      </c>
      <c r="AF94" s="11">
        <v>9.2284000000000006</v>
      </c>
      <c r="AG94" s="11">
        <v>8.9586000000000006</v>
      </c>
      <c r="AH94" s="11">
        <v>7.3046000000000006</v>
      </c>
      <c r="AI94" s="11">
        <v>6.6986000000000008</v>
      </c>
      <c r="AJ94" s="11"/>
      <c r="AK94" s="11">
        <f t="shared" si="17"/>
        <v>44</v>
      </c>
    </row>
    <row r="95" spans="1:37" x14ac:dyDescent="0.25">
      <c r="A95" s="8" t="s">
        <v>139</v>
      </c>
      <c r="B95" s="8" t="s">
        <v>39</v>
      </c>
      <c r="C95" s="8">
        <v>4.125</v>
      </c>
      <c r="D95" s="8"/>
      <c r="E95" s="8"/>
      <c r="F95" s="8">
        <v>4.125</v>
      </c>
      <c r="G95" s="9">
        <v>0</v>
      </c>
      <c r="H95" s="8">
        <v>55</v>
      </c>
      <c r="I95" s="8" t="s">
        <v>53</v>
      </c>
      <c r="J95" s="8"/>
      <c r="K95" s="8">
        <v>5.2</v>
      </c>
      <c r="L95" s="8">
        <f t="shared" si="12"/>
        <v>-5.2</v>
      </c>
      <c r="M95" s="8"/>
      <c r="N95" s="8"/>
      <c r="O95" s="8">
        <v>0</v>
      </c>
      <c r="P95" s="8"/>
      <c r="Q95" s="8"/>
      <c r="R95" s="8"/>
      <c r="S95" s="8"/>
      <c r="T95" s="8"/>
      <c r="U95" s="8">
        <f t="shared" si="13"/>
        <v>0</v>
      </c>
      <c r="V95" s="10"/>
      <c r="W95" s="4">
        <f t="shared" si="15"/>
        <v>0</v>
      </c>
      <c r="X95" s="11" t="e">
        <f t="shared" si="16"/>
        <v>#DIV/0!</v>
      </c>
      <c r="Y95" s="11" t="e">
        <f t="shared" si="14"/>
        <v>#DIV/0!</v>
      </c>
      <c r="Z95" s="8">
        <v>0</v>
      </c>
      <c r="AA95" s="8">
        <v>0.80399999999999994</v>
      </c>
      <c r="AB95" s="8">
        <v>3.4893999999999998</v>
      </c>
      <c r="AC95" s="8">
        <v>4.0462000000000007</v>
      </c>
      <c r="AD95" s="8">
        <v>4.3285999999999998</v>
      </c>
      <c r="AE95" s="8">
        <v>3.7852000000000001</v>
      </c>
      <c r="AF95" s="8">
        <v>3.2425999999999999</v>
      </c>
      <c r="AG95" s="8">
        <v>3.4236</v>
      </c>
      <c r="AH95" s="8">
        <v>2.371</v>
      </c>
      <c r="AI95" s="8">
        <v>2.0373999999999999</v>
      </c>
      <c r="AJ95" s="8"/>
      <c r="AK95" s="11">
        <f t="shared" si="17"/>
        <v>0</v>
      </c>
    </row>
    <row r="96" spans="1:37" x14ac:dyDescent="0.25">
      <c r="A96" s="11" t="s">
        <v>140</v>
      </c>
      <c r="B96" s="11" t="s">
        <v>44</v>
      </c>
      <c r="C96" s="11">
        <v>-7</v>
      </c>
      <c r="D96" s="11"/>
      <c r="E96" s="11">
        <v>-9</v>
      </c>
      <c r="F96" s="11">
        <v>-9</v>
      </c>
      <c r="G96" s="6">
        <v>0.3</v>
      </c>
      <c r="H96" s="11">
        <v>40</v>
      </c>
      <c r="I96" s="12" t="s">
        <v>50</v>
      </c>
      <c r="J96" s="11"/>
      <c r="K96" s="11">
        <v>7</v>
      </c>
      <c r="L96" s="11">
        <f t="shared" si="12"/>
        <v>-16</v>
      </c>
      <c r="M96" s="11"/>
      <c r="N96" s="11"/>
      <c r="O96" s="11">
        <v>100</v>
      </c>
      <c r="P96" s="11">
        <v>-102</v>
      </c>
      <c r="Q96" s="11"/>
      <c r="R96" s="11">
        <v>50</v>
      </c>
      <c r="S96" s="11">
        <v>-53.333333333333336</v>
      </c>
      <c r="T96" s="11"/>
      <c r="U96" s="11">
        <f t="shared" si="13"/>
        <v>-1.8</v>
      </c>
      <c r="V96" s="4">
        <v>100</v>
      </c>
      <c r="W96" s="4">
        <f t="shared" si="15"/>
        <v>100</v>
      </c>
      <c r="X96" s="11">
        <f t="shared" si="16"/>
        <v>-47.592592592592588</v>
      </c>
      <c r="Y96" s="11">
        <f t="shared" si="14"/>
        <v>7.9629629629629637</v>
      </c>
      <c r="Z96" s="11">
        <v>-2.4</v>
      </c>
      <c r="AA96" s="11">
        <v>-2.8</v>
      </c>
      <c r="AB96" s="11">
        <v>41</v>
      </c>
      <c r="AC96" s="11">
        <v>73</v>
      </c>
      <c r="AD96" s="11">
        <v>35.200000000000003</v>
      </c>
      <c r="AE96" s="11">
        <v>4.8</v>
      </c>
      <c r="AF96" s="11">
        <v>28.8</v>
      </c>
      <c r="AG96" s="11">
        <v>65.400000000000006</v>
      </c>
      <c r="AH96" s="11">
        <v>70.8</v>
      </c>
      <c r="AI96" s="11">
        <v>52.8</v>
      </c>
      <c r="AJ96" s="11"/>
      <c r="AK96" s="11">
        <f t="shared" si="17"/>
        <v>30</v>
      </c>
    </row>
    <row r="97" spans="1:37" x14ac:dyDescent="0.25">
      <c r="A97" s="11" t="s">
        <v>141</v>
      </c>
      <c r="B97" s="11" t="s">
        <v>44</v>
      </c>
      <c r="C97" s="11">
        <v>192</v>
      </c>
      <c r="D97" s="11">
        <v>312</v>
      </c>
      <c r="E97" s="11">
        <v>245</v>
      </c>
      <c r="F97" s="11">
        <v>248</v>
      </c>
      <c r="G97" s="6">
        <v>0.3</v>
      </c>
      <c r="H97" s="11">
        <v>40</v>
      </c>
      <c r="I97" s="11" t="s">
        <v>40</v>
      </c>
      <c r="J97" s="11"/>
      <c r="K97" s="11">
        <v>249</v>
      </c>
      <c r="L97" s="11">
        <f t="shared" si="12"/>
        <v>-4</v>
      </c>
      <c r="M97" s="11"/>
      <c r="N97" s="11"/>
      <c r="O97" s="11">
        <v>183.24999999999989</v>
      </c>
      <c r="P97" s="11"/>
      <c r="Q97" s="11"/>
      <c r="R97" s="11"/>
      <c r="S97" s="11"/>
      <c r="T97" s="11"/>
      <c r="U97" s="11">
        <f t="shared" si="13"/>
        <v>49</v>
      </c>
      <c r="V97" s="4">
        <f>11*U97-T97-R97-Q97-P97-O97-F97</f>
        <v>107.75000000000011</v>
      </c>
      <c r="W97" s="4">
        <f t="shared" si="15"/>
        <v>107.75000000000011</v>
      </c>
      <c r="X97" s="11">
        <f t="shared" si="16"/>
        <v>11</v>
      </c>
      <c r="Y97" s="11">
        <f t="shared" si="14"/>
        <v>8.8010204081632626</v>
      </c>
      <c r="Z97" s="11">
        <v>51.8</v>
      </c>
      <c r="AA97" s="11">
        <v>50</v>
      </c>
      <c r="AB97" s="11">
        <v>29.2</v>
      </c>
      <c r="AC97" s="11">
        <v>25</v>
      </c>
      <c r="AD97" s="11">
        <v>42.4</v>
      </c>
      <c r="AE97" s="11">
        <v>77.2</v>
      </c>
      <c r="AF97" s="11">
        <v>35.6</v>
      </c>
      <c r="AG97" s="11">
        <v>32.200000000000003</v>
      </c>
      <c r="AH97" s="11">
        <v>46.4</v>
      </c>
      <c r="AI97" s="11">
        <v>46.4</v>
      </c>
      <c r="AJ97" s="11"/>
      <c r="AK97" s="11">
        <f t="shared" si="17"/>
        <v>32</v>
      </c>
    </row>
    <row r="98" spans="1:37" x14ac:dyDescent="0.25">
      <c r="A98" s="8" t="s">
        <v>142</v>
      </c>
      <c r="B98" s="8" t="s">
        <v>44</v>
      </c>
      <c r="C98" s="8"/>
      <c r="D98" s="8"/>
      <c r="E98" s="8"/>
      <c r="F98" s="8"/>
      <c r="G98" s="9">
        <v>0</v>
      </c>
      <c r="H98" s="8"/>
      <c r="I98" s="8" t="s">
        <v>40</v>
      </c>
      <c r="J98" s="8"/>
      <c r="K98" s="8"/>
      <c r="L98" s="8">
        <f t="shared" si="12"/>
        <v>0</v>
      </c>
      <c r="M98" s="8"/>
      <c r="N98" s="8"/>
      <c r="O98" s="8">
        <v>0</v>
      </c>
      <c r="P98" s="8"/>
      <c r="Q98" s="8"/>
      <c r="R98" s="8"/>
      <c r="S98" s="8"/>
      <c r="T98" s="8"/>
      <c r="U98" s="8">
        <f t="shared" si="13"/>
        <v>0</v>
      </c>
      <c r="V98" s="10"/>
      <c r="W98" s="4">
        <f t="shared" si="15"/>
        <v>0</v>
      </c>
      <c r="X98" s="11" t="e">
        <f t="shared" si="16"/>
        <v>#DIV/0!</v>
      </c>
      <c r="Y98" s="11" t="e">
        <f t="shared" si="14"/>
        <v>#DIV/0!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 t="s">
        <v>45</v>
      </c>
      <c r="AK98" s="11">
        <f t="shared" si="17"/>
        <v>0</v>
      </c>
    </row>
    <row r="99" spans="1:37" x14ac:dyDescent="0.25">
      <c r="A99" s="11" t="s">
        <v>143</v>
      </c>
      <c r="B99" s="11" t="s">
        <v>44</v>
      </c>
      <c r="C99" s="11">
        <v>19</v>
      </c>
      <c r="D99" s="11">
        <v>109</v>
      </c>
      <c r="E99" s="11">
        <v>20</v>
      </c>
      <c r="F99" s="11">
        <v>98</v>
      </c>
      <c r="G99" s="6">
        <v>7.0000000000000007E-2</v>
      </c>
      <c r="H99" s="11">
        <v>90</v>
      </c>
      <c r="I99" s="12" t="s">
        <v>50</v>
      </c>
      <c r="J99" s="11"/>
      <c r="K99" s="11">
        <v>58</v>
      </c>
      <c r="L99" s="11">
        <f t="shared" si="12"/>
        <v>-38</v>
      </c>
      <c r="M99" s="11"/>
      <c r="N99" s="11"/>
      <c r="O99" s="11">
        <v>100</v>
      </c>
      <c r="P99" s="11"/>
      <c r="Q99" s="11"/>
      <c r="R99" s="11">
        <v>50</v>
      </c>
      <c r="S99" s="11">
        <v>-71.428571428571416</v>
      </c>
      <c r="T99" s="11"/>
      <c r="U99" s="11">
        <f t="shared" si="13"/>
        <v>4</v>
      </c>
      <c r="V99" s="4">
        <v>50</v>
      </c>
      <c r="W99" s="4">
        <f t="shared" si="15"/>
        <v>50</v>
      </c>
      <c r="X99" s="11">
        <f t="shared" si="16"/>
        <v>56.642857142857146</v>
      </c>
      <c r="Y99" s="11">
        <f t="shared" si="14"/>
        <v>44.142857142857146</v>
      </c>
      <c r="Z99" s="11">
        <v>33.4</v>
      </c>
      <c r="AA99" s="11">
        <v>39.6</v>
      </c>
      <c r="AB99" s="11">
        <v>10.4</v>
      </c>
      <c r="AC99" s="11">
        <v>7.4</v>
      </c>
      <c r="AD99" s="11">
        <v>34.200000000000003</v>
      </c>
      <c r="AE99" s="11">
        <v>44</v>
      </c>
      <c r="AF99" s="11">
        <v>36.6</v>
      </c>
      <c r="AG99" s="11">
        <v>20</v>
      </c>
      <c r="AH99" s="11">
        <v>18.399999999999999</v>
      </c>
      <c r="AI99" s="11">
        <v>31.6</v>
      </c>
      <c r="AJ99" s="11"/>
      <c r="AK99" s="11">
        <f t="shared" si="17"/>
        <v>4</v>
      </c>
    </row>
    <row r="100" spans="1:37" x14ac:dyDescent="0.25">
      <c r="A100" s="11" t="s">
        <v>144</v>
      </c>
      <c r="B100" s="11" t="s">
        <v>44</v>
      </c>
      <c r="C100" s="11">
        <v>219</v>
      </c>
      <c r="D100" s="11">
        <v>145</v>
      </c>
      <c r="E100" s="11">
        <v>183</v>
      </c>
      <c r="F100" s="11">
        <v>169</v>
      </c>
      <c r="G100" s="6">
        <v>7.0000000000000007E-2</v>
      </c>
      <c r="H100" s="11">
        <v>90</v>
      </c>
      <c r="I100" s="11" t="s">
        <v>40</v>
      </c>
      <c r="J100" s="11"/>
      <c r="K100" s="11">
        <v>186</v>
      </c>
      <c r="L100" s="11">
        <f t="shared" si="12"/>
        <v>-3</v>
      </c>
      <c r="M100" s="11"/>
      <c r="N100" s="11"/>
      <c r="O100" s="11">
        <v>79.892119999999935</v>
      </c>
      <c r="P100" s="11"/>
      <c r="Q100" s="11"/>
      <c r="R100" s="11">
        <v>127.6198799999999</v>
      </c>
      <c r="S100" s="11"/>
      <c r="T100" s="11"/>
      <c r="U100" s="11">
        <f t="shared" si="13"/>
        <v>36.6</v>
      </c>
      <c r="V100" s="4">
        <f>11*U100-T100-R100-Q100-P100-O100-F100</f>
        <v>26.088000000000193</v>
      </c>
      <c r="W100" s="4">
        <f t="shared" si="15"/>
        <v>26.088000000000193</v>
      </c>
      <c r="X100" s="11">
        <f t="shared" si="16"/>
        <v>11</v>
      </c>
      <c r="Y100" s="11">
        <f t="shared" si="14"/>
        <v>10.287213114754094</v>
      </c>
      <c r="Z100" s="11">
        <v>39.4</v>
      </c>
      <c r="AA100" s="11">
        <v>31.2</v>
      </c>
      <c r="AB100" s="11">
        <v>27.2</v>
      </c>
      <c r="AC100" s="11">
        <v>32.200000000000003</v>
      </c>
      <c r="AD100" s="11">
        <v>35.6</v>
      </c>
      <c r="AE100" s="11">
        <v>33.4</v>
      </c>
      <c r="AF100" s="11">
        <v>25.8</v>
      </c>
      <c r="AG100" s="11">
        <v>27.4</v>
      </c>
      <c r="AH100" s="11">
        <v>26.6</v>
      </c>
      <c r="AI100" s="11">
        <v>23.6</v>
      </c>
      <c r="AJ100" s="11"/>
      <c r="AK100" s="11">
        <f t="shared" si="17"/>
        <v>2</v>
      </c>
    </row>
    <row r="101" spans="1:37" x14ac:dyDescent="0.25">
      <c r="A101" s="8" t="s">
        <v>145</v>
      </c>
      <c r="B101" s="8" t="s">
        <v>44</v>
      </c>
      <c r="C101" s="8">
        <v>2</v>
      </c>
      <c r="D101" s="8"/>
      <c r="E101" s="8">
        <v>-1</v>
      </c>
      <c r="F101" s="8">
        <v>2</v>
      </c>
      <c r="G101" s="9">
        <v>0</v>
      </c>
      <c r="H101" s="8">
        <v>90</v>
      </c>
      <c r="I101" s="8" t="s">
        <v>53</v>
      </c>
      <c r="J101" s="8"/>
      <c r="K101" s="8">
        <v>39</v>
      </c>
      <c r="L101" s="8">
        <f t="shared" si="12"/>
        <v>-40</v>
      </c>
      <c r="M101" s="8"/>
      <c r="N101" s="8"/>
      <c r="O101" s="8">
        <v>0</v>
      </c>
      <c r="P101" s="8"/>
      <c r="Q101" s="8"/>
      <c r="R101" s="8"/>
      <c r="S101" s="8"/>
      <c r="T101" s="8"/>
      <c r="U101" s="8">
        <f t="shared" si="13"/>
        <v>-0.2</v>
      </c>
      <c r="V101" s="10"/>
      <c r="W101" s="4">
        <f t="shared" si="15"/>
        <v>0</v>
      </c>
      <c r="X101" s="11">
        <f t="shared" si="16"/>
        <v>-10</v>
      </c>
      <c r="Y101" s="11">
        <f t="shared" si="14"/>
        <v>-10</v>
      </c>
      <c r="Z101" s="8">
        <v>0</v>
      </c>
      <c r="AA101" s="8">
        <v>-0.4</v>
      </c>
      <c r="AB101" s="8">
        <v>0.4</v>
      </c>
      <c r="AC101" s="8">
        <v>1.6</v>
      </c>
      <c r="AD101" s="8">
        <v>15.4</v>
      </c>
      <c r="AE101" s="8">
        <v>25</v>
      </c>
      <c r="AF101" s="8">
        <v>18.2</v>
      </c>
      <c r="AG101" s="8">
        <v>13.4</v>
      </c>
      <c r="AH101" s="8">
        <v>16.8</v>
      </c>
      <c r="AI101" s="8">
        <v>20</v>
      </c>
      <c r="AJ101" s="8"/>
      <c r="AK101" s="11">
        <f t="shared" si="17"/>
        <v>0</v>
      </c>
    </row>
    <row r="102" spans="1:37" x14ac:dyDescent="0.25">
      <c r="A102" s="11" t="s">
        <v>146</v>
      </c>
      <c r="B102" s="11" t="s">
        <v>44</v>
      </c>
      <c r="C102" s="11">
        <v>57</v>
      </c>
      <c r="D102" s="11">
        <v>156</v>
      </c>
      <c r="E102" s="11">
        <v>191</v>
      </c>
      <c r="F102" s="11">
        <v>16</v>
      </c>
      <c r="G102" s="6">
        <v>0.3</v>
      </c>
      <c r="H102" s="11">
        <v>40</v>
      </c>
      <c r="I102" s="18" t="s">
        <v>50</v>
      </c>
      <c r="J102" s="11"/>
      <c r="K102" s="11">
        <v>203</v>
      </c>
      <c r="L102" s="11">
        <f t="shared" ref="L102:L133" si="18">E102-K102</f>
        <v>-12</v>
      </c>
      <c r="M102" s="11"/>
      <c r="N102" s="11"/>
      <c r="O102" s="11">
        <v>63.399999999999977</v>
      </c>
      <c r="P102" s="11">
        <v>-66</v>
      </c>
      <c r="Q102" s="11"/>
      <c r="R102" s="11"/>
      <c r="S102" s="11"/>
      <c r="T102" s="11"/>
      <c r="U102" s="11">
        <f t="shared" ref="U102:U134" si="19">E102/5</f>
        <v>38.200000000000003</v>
      </c>
      <c r="V102" s="4">
        <v>100</v>
      </c>
      <c r="W102" s="4">
        <f t="shared" si="15"/>
        <v>100</v>
      </c>
      <c r="X102" s="11">
        <f t="shared" si="16"/>
        <v>2.9685863874345539</v>
      </c>
      <c r="Y102" s="11">
        <f t="shared" ref="Y102:Y134" si="20">(F102+O102+P102+Q102+R102+S102+T102)/U102</f>
        <v>0.3507853403141355</v>
      </c>
      <c r="Z102" s="11">
        <v>19</v>
      </c>
      <c r="AA102" s="11">
        <v>18.8</v>
      </c>
      <c r="AB102" s="11">
        <v>21</v>
      </c>
      <c r="AC102" s="11">
        <v>17.2</v>
      </c>
      <c r="AD102" s="11">
        <v>1.8</v>
      </c>
      <c r="AE102" s="11">
        <v>0</v>
      </c>
      <c r="AF102" s="11">
        <v>35.200000000000003</v>
      </c>
      <c r="AG102" s="11">
        <v>41.4</v>
      </c>
      <c r="AH102" s="11">
        <v>45.4</v>
      </c>
      <c r="AI102" s="11">
        <v>42</v>
      </c>
      <c r="AJ102" s="11"/>
      <c r="AK102" s="11">
        <f t="shared" si="17"/>
        <v>30</v>
      </c>
    </row>
    <row r="103" spans="1:37" x14ac:dyDescent="0.25">
      <c r="A103" s="11" t="s">
        <v>147</v>
      </c>
      <c r="B103" s="11" t="s">
        <v>39</v>
      </c>
      <c r="C103" s="11">
        <v>100.89400000000001</v>
      </c>
      <c r="D103" s="11">
        <v>101.672</v>
      </c>
      <c r="E103" s="11">
        <v>108.69499999999999</v>
      </c>
      <c r="F103" s="11">
        <v>77.86</v>
      </c>
      <c r="G103" s="6">
        <v>1</v>
      </c>
      <c r="H103" s="11">
        <v>55</v>
      </c>
      <c r="I103" s="12" t="s">
        <v>50</v>
      </c>
      <c r="J103" s="11"/>
      <c r="K103" s="11">
        <v>113.2</v>
      </c>
      <c r="L103" s="11">
        <f t="shared" si="18"/>
        <v>-4.5050000000000097</v>
      </c>
      <c r="M103" s="11"/>
      <c r="N103" s="11"/>
      <c r="O103" s="11">
        <v>80</v>
      </c>
      <c r="P103" s="11"/>
      <c r="Q103" s="11"/>
      <c r="R103" s="11">
        <v>40</v>
      </c>
      <c r="S103" s="11">
        <v>-42</v>
      </c>
      <c r="T103" s="11"/>
      <c r="U103" s="11">
        <f t="shared" si="19"/>
        <v>21.738999999999997</v>
      </c>
      <c r="V103" s="4">
        <f>11*U103-T103-R103-Q103-P103-O103-F103-S103</f>
        <v>83.268999999999963</v>
      </c>
      <c r="W103" s="4">
        <f t="shared" si="15"/>
        <v>83.268999999999963</v>
      </c>
      <c r="X103" s="11">
        <f t="shared" si="16"/>
        <v>11</v>
      </c>
      <c r="Y103" s="11">
        <f t="shared" si="20"/>
        <v>7.1696030176181074</v>
      </c>
      <c r="Z103" s="11">
        <v>21.257400000000001</v>
      </c>
      <c r="AA103" s="11">
        <v>25.684999999999999</v>
      </c>
      <c r="AB103" s="11">
        <v>22.070399999999999</v>
      </c>
      <c r="AC103" s="11">
        <v>19.931000000000001</v>
      </c>
      <c r="AD103" s="11">
        <v>16.528400000000001</v>
      </c>
      <c r="AE103" s="11">
        <v>14.6228</v>
      </c>
      <c r="AF103" s="11">
        <v>16.844999999999999</v>
      </c>
      <c r="AG103" s="11">
        <v>18.491800000000001</v>
      </c>
      <c r="AH103" s="11">
        <v>20.605</v>
      </c>
      <c r="AI103" s="11">
        <v>20.893799999999999</v>
      </c>
      <c r="AJ103" s="11"/>
      <c r="AK103" s="11">
        <f t="shared" si="17"/>
        <v>83</v>
      </c>
    </row>
    <row r="104" spans="1:37" x14ac:dyDescent="0.25">
      <c r="A104" s="8" t="s">
        <v>148</v>
      </c>
      <c r="B104" s="8" t="s">
        <v>44</v>
      </c>
      <c r="C104" s="8"/>
      <c r="D104" s="8"/>
      <c r="E104" s="8"/>
      <c r="F104" s="8"/>
      <c r="G104" s="9">
        <v>0</v>
      </c>
      <c r="H104" s="8"/>
      <c r="I104" s="8" t="s">
        <v>40</v>
      </c>
      <c r="J104" s="8"/>
      <c r="K104" s="8"/>
      <c r="L104" s="8">
        <f t="shared" si="18"/>
        <v>0</v>
      </c>
      <c r="M104" s="8"/>
      <c r="N104" s="8"/>
      <c r="O104" s="8">
        <v>0</v>
      </c>
      <c r="P104" s="8"/>
      <c r="Q104" s="8"/>
      <c r="R104" s="8"/>
      <c r="S104" s="8"/>
      <c r="T104" s="8"/>
      <c r="U104" s="8">
        <f t="shared" si="19"/>
        <v>0</v>
      </c>
      <c r="V104" s="10"/>
      <c r="W104" s="4">
        <f t="shared" si="15"/>
        <v>0</v>
      </c>
      <c r="X104" s="11" t="e">
        <f t="shared" si="16"/>
        <v>#DIV/0!</v>
      </c>
      <c r="Y104" s="11" t="e">
        <f t="shared" si="20"/>
        <v>#DIV/0!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 t="s">
        <v>45</v>
      </c>
      <c r="AK104" s="11">
        <f t="shared" si="17"/>
        <v>0</v>
      </c>
    </row>
    <row r="105" spans="1:37" x14ac:dyDescent="0.25">
      <c r="A105" s="11" t="s">
        <v>149</v>
      </c>
      <c r="B105" s="11" t="s">
        <v>44</v>
      </c>
      <c r="C105" s="11">
        <v>30</v>
      </c>
      <c r="D105" s="11">
        <v>5</v>
      </c>
      <c r="E105" s="11">
        <v>12</v>
      </c>
      <c r="F105" s="11"/>
      <c r="G105" s="6">
        <v>0.1</v>
      </c>
      <c r="H105" s="11">
        <v>30</v>
      </c>
      <c r="I105" s="11" t="s">
        <v>40</v>
      </c>
      <c r="J105" s="11"/>
      <c r="K105" s="11">
        <v>20</v>
      </c>
      <c r="L105" s="11">
        <f t="shared" si="18"/>
        <v>-8</v>
      </c>
      <c r="M105" s="11"/>
      <c r="N105" s="11"/>
      <c r="O105" s="11">
        <v>26.6</v>
      </c>
      <c r="P105" s="11">
        <v>-30</v>
      </c>
      <c r="Q105" s="11"/>
      <c r="R105" s="11"/>
      <c r="S105" s="11"/>
      <c r="T105" s="11"/>
      <c r="U105" s="11">
        <f t="shared" si="19"/>
        <v>2.4</v>
      </c>
      <c r="V105" s="4">
        <v>20</v>
      </c>
      <c r="W105" s="4">
        <f t="shared" si="15"/>
        <v>20</v>
      </c>
      <c r="X105" s="11">
        <f t="shared" si="16"/>
        <v>6.9166666666666679</v>
      </c>
      <c r="Y105" s="11">
        <f t="shared" si="20"/>
        <v>-1.4166666666666661</v>
      </c>
      <c r="Z105" s="11">
        <v>3.6</v>
      </c>
      <c r="AA105" s="11">
        <v>1.8</v>
      </c>
      <c r="AB105" s="11">
        <v>1.4</v>
      </c>
      <c r="AC105" s="11">
        <v>-0.4</v>
      </c>
      <c r="AD105" s="11">
        <v>3</v>
      </c>
      <c r="AE105" s="11">
        <v>2.8</v>
      </c>
      <c r="AF105" s="11">
        <v>0.2</v>
      </c>
      <c r="AG105" s="11">
        <v>1.6</v>
      </c>
      <c r="AH105" s="11">
        <v>1.8</v>
      </c>
      <c r="AI105" s="11">
        <v>2</v>
      </c>
      <c r="AJ105" s="16" t="s">
        <v>150</v>
      </c>
      <c r="AK105" s="11">
        <f t="shared" si="17"/>
        <v>2</v>
      </c>
    </row>
    <row r="106" spans="1:37" x14ac:dyDescent="0.25">
      <c r="A106" s="11" t="s">
        <v>151</v>
      </c>
      <c r="B106" s="11" t="s">
        <v>44</v>
      </c>
      <c r="C106" s="11">
        <v>262</v>
      </c>
      <c r="D106" s="11">
        <v>402</v>
      </c>
      <c r="E106" s="11">
        <v>287</v>
      </c>
      <c r="F106" s="11">
        <v>327</v>
      </c>
      <c r="G106" s="6">
        <v>0.08</v>
      </c>
      <c r="H106" s="11">
        <v>45</v>
      </c>
      <c r="I106" s="11" t="s">
        <v>40</v>
      </c>
      <c r="J106" s="11"/>
      <c r="K106" s="11">
        <v>293</v>
      </c>
      <c r="L106" s="11">
        <f t="shared" si="18"/>
        <v>-6</v>
      </c>
      <c r="M106" s="11"/>
      <c r="N106" s="11"/>
      <c r="O106" s="11">
        <v>153.27559999999971</v>
      </c>
      <c r="P106" s="11"/>
      <c r="Q106" s="11"/>
      <c r="R106" s="11"/>
      <c r="S106" s="11"/>
      <c r="T106" s="11"/>
      <c r="U106" s="11">
        <f t="shared" si="19"/>
        <v>57.4</v>
      </c>
      <c r="V106" s="4">
        <f>11*U106-T106-R106-Q106-P106-O106-F106</f>
        <v>151.12440000000026</v>
      </c>
      <c r="W106" s="4">
        <f t="shared" si="15"/>
        <v>151.12440000000026</v>
      </c>
      <c r="X106" s="11">
        <f t="shared" si="16"/>
        <v>11</v>
      </c>
      <c r="Y106" s="11">
        <f t="shared" si="20"/>
        <v>8.3671707317073114</v>
      </c>
      <c r="Z106" s="11">
        <v>55.6</v>
      </c>
      <c r="AA106" s="11">
        <v>57.2</v>
      </c>
      <c r="AB106" s="11">
        <v>45.8</v>
      </c>
      <c r="AC106" s="11">
        <v>48.4</v>
      </c>
      <c r="AD106" s="11">
        <v>52.4</v>
      </c>
      <c r="AE106" s="11">
        <v>43.2</v>
      </c>
      <c r="AF106" s="11">
        <v>38.799999999999997</v>
      </c>
      <c r="AG106" s="11">
        <v>42.2</v>
      </c>
      <c r="AH106" s="11">
        <v>43.2</v>
      </c>
      <c r="AI106" s="11">
        <v>37.6</v>
      </c>
      <c r="AJ106" s="11"/>
      <c r="AK106" s="11">
        <f t="shared" si="17"/>
        <v>12</v>
      </c>
    </row>
    <row r="107" spans="1:37" x14ac:dyDescent="0.25">
      <c r="A107" s="11" t="s">
        <v>152</v>
      </c>
      <c r="B107" s="11" t="s">
        <v>44</v>
      </c>
      <c r="C107" s="11">
        <v>210</v>
      </c>
      <c r="D107" s="11">
        <v>290</v>
      </c>
      <c r="E107" s="11">
        <v>271</v>
      </c>
      <c r="F107" s="11">
        <v>206</v>
      </c>
      <c r="G107" s="6">
        <v>0.08</v>
      </c>
      <c r="H107" s="11">
        <v>45</v>
      </c>
      <c r="I107" s="11" t="s">
        <v>40</v>
      </c>
      <c r="J107" s="11"/>
      <c r="K107" s="11">
        <v>278</v>
      </c>
      <c r="L107" s="11">
        <f t="shared" si="18"/>
        <v>-7</v>
      </c>
      <c r="M107" s="11"/>
      <c r="N107" s="11"/>
      <c r="O107" s="11">
        <v>190.98500000000001</v>
      </c>
      <c r="P107" s="11"/>
      <c r="Q107" s="11"/>
      <c r="R107" s="11"/>
      <c r="S107" s="11"/>
      <c r="T107" s="11"/>
      <c r="U107" s="11">
        <f t="shared" si="19"/>
        <v>54.2</v>
      </c>
      <c r="V107" s="4">
        <f>11*U107-T107-R107-Q107-P107-O107-F107</f>
        <v>199.21500000000003</v>
      </c>
      <c r="W107" s="4">
        <f t="shared" si="15"/>
        <v>199.21500000000003</v>
      </c>
      <c r="X107" s="11">
        <f t="shared" si="16"/>
        <v>11</v>
      </c>
      <c r="Y107" s="11">
        <f t="shared" si="20"/>
        <v>7.3244464944649446</v>
      </c>
      <c r="Z107" s="11">
        <v>46</v>
      </c>
      <c r="AA107" s="11">
        <v>45</v>
      </c>
      <c r="AB107" s="11">
        <v>32</v>
      </c>
      <c r="AC107" s="11">
        <v>31.4</v>
      </c>
      <c r="AD107" s="11">
        <v>45</v>
      </c>
      <c r="AE107" s="11">
        <v>48.6</v>
      </c>
      <c r="AF107" s="11">
        <v>29</v>
      </c>
      <c r="AG107" s="11">
        <v>23</v>
      </c>
      <c r="AH107" s="11">
        <v>33.200000000000003</v>
      </c>
      <c r="AI107" s="11">
        <v>35</v>
      </c>
      <c r="AJ107" s="11"/>
      <c r="AK107" s="11">
        <f t="shared" si="17"/>
        <v>16</v>
      </c>
    </row>
    <row r="108" spans="1:37" x14ac:dyDescent="0.25">
      <c r="A108" s="11" t="s">
        <v>153</v>
      </c>
      <c r="B108" s="11" t="s">
        <v>44</v>
      </c>
      <c r="C108" s="11">
        <v>22</v>
      </c>
      <c r="D108" s="11"/>
      <c r="E108" s="11">
        <v>7</v>
      </c>
      <c r="F108" s="11">
        <v>7</v>
      </c>
      <c r="G108" s="6">
        <v>0.17</v>
      </c>
      <c r="H108" s="11">
        <v>30</v>
      </c>
      <c r="I108" s="11" t="s">
        <v>40</v>
      </c>
      <c r="J108" s="11"/>
      <c r="K108" s="11">
        <v>7</v>
      </c>
      <c r="L108" s="11">
        <f t="shared" si="18"/>
        <v>0</v>
      </c>
      <c r="M108" s="11"/>
      <c r="N108" s="11"/>
      <c r="O108" s="11">
        <v>4.2000000000000028</v>
      </c>
      <c r="P108" s="11"/>
      <c r="Q108" s="11"/>
      <c r="R108" s="11"/>
      <c r="S108" s="11"/>
      <c r="T108" s="11"/>
      <c r="U108" s="11">
        <f t="shared" si="19"/>
        <v>1.4</v>
      </c>
      <c r="V108" s="4">
        <f>11*U108-T108-R108-Q108-P108-O108-F108</f>
        <v>4.1999999999999957</v>
      </c>
      <c r="W108" s="4">
        <f t="shared" si="15"/>
        <v>4.1999999999999957</v>
      </c>
      <c r="X108" s="11">
        <f t="shared" si="16"/>
        <v>11</v>
      </c>
      <c r="Y108" s="11">
        <f t="shared" si="20"/>
        <v>8.0000000000000018</v>
      </c>
      <c r="Z108" s="11">
        <v>1.6</v>
      </c>
      <c r="AA108" s="11">
        <v>0.2</v>
      </c>
      <c r="AB108" s="11">
        <v>0</v>
      </c>
      <c r="AC108" s="11">
        <v>-0.2</v>
      </c>
      <c r="AD108" s="11">
        <v>2</v>
      </c>
      <c r="AE108" s="11">
        <v>4.2</v>
      </c>
      <c r="AF108" s="11">
        <v>1.6</v>
      </c>
      <c r="AG108" s="11">
        <v>0.4</v>
      </c>
      <c r="AH108" s="11">
        <v>0.4</v>
      </c>
      <c r="AI108" s="11">
        <v>1.8</v>
      </c>
      <c r="AJ108" s="11" t="s">
        <v>154</v>
      </c>
      <c r="AK108" s="11">
        <f t="shared" si="17"/>
        <v>1</v>
      </c>
    </row>
    <row r="109" spans="1:37" x14ac:dyDescent="0.25">
      <c r="A109" s="11" t="s">
        <v>155</v>
      </c>
      <c r="B109" s="11" t="s">
        <v>39</v>
      </c>
      <c r="C109" s="11">
        <v>417.541</v>
      </c>
      <c r="D109" s="11">
        <v>0.71599999999999997</v>
      </c>
      <c r="E109" s="11">
        <v>404.762</v>
      </c>
      <c r="F109" s="11">
        <v>3.7490000000000001</v>
      </c>
      <c r="G109" s="6">
        <v>1</v>
      </c>
      <c r="H109" s="11">
        <v>40</v>
      </c>
      <c r="I109" s="12" t="s">
        <v>50</v>
      </c>
      <c r="J109" s="11"/>
      <c r="K109" s="11">
        <v>540.02499999999998</v>
      </c>
      <c r="L109" s="11">
        <f t="shared" si="18"/>
        <v>-135.26299999999998</v>
      </c>
      <c r="M109" s="11"/>
      <c r="N109" s="11"/>
      <c r="O109" s="11">
        <v>200</v>
      </c>
      <c r="P109" s="11">
        <v>-203</v>
      </c>
      <c r="Q109" s="11"/>
      <c r="R109" s="11">
        <v>100</v>
      </c>
      <c r="S109" s="11"/>
      <c r="T109" s="11"/>
      <c r="U109" s="11">
        <f t="shared" si="19"/>
        <v>80.952399999999997</v>
      </c>
      <c r="V109" s="4">
        <v>250</v>
      </c>
      <c r="W109" s="4">
        <f t="shared" si="15"/>
        <v>250</v>
      </c>
      <c r="X109" s="11">
        <f t="shared" si="16"/>
        <v>4.3327807452280602</v>
      </c>
      <c r="Y109" s="11">
        <f t="shared" si="20"/>
        <v>1.2445461777538405</v>
      </c>
      <c r="Z109" s="11">
        <v>96.791799999999995</v>
      </c>
      <c r="AA109" s="11">
        <v>97.415999999999997</v>
      </c>
      <c r="AB109" s="11">
        <v>88.752200000000002</v>
      </c>
      <c r="AC109" s="11">
        <v>85.401199999999989</v>
      </c>
      <c r="AD109" s="11">
        <v>87.400199999999998</v>
      </c>
      <c r="AE109" s="11">
        <v>80.573400000000007</v>
      </c>
      <c r="AF109" s="11">
        <v>83.3596</v>
      </c>
      <c r="AG109" s="11">
        <v>84.740200000000002</v>
      </c>
      <c r="AH109" s="11">
        <v>85.5518</v>
      </c>
      <c r="AI109" s="11">
        <v>88.798400000000001</v>
      </c>
      <c r="AJ109" s="11"/>
      <c r="AK109" s="11">
        <f t="shared" si="17"/>
        <v>250</v>
      </c>
    </row>
    <row r="110" spans="1:37" x14ac:dyDescent="0.25">
      <c r="A110" s="11" t="s">
        <v>156</v>
      </c>
      <c r="B110" s="11" t="s">
        <v>39</v>
      </c>
      <c r="C110" s="11">
        <v>126.003</v>
      </c>
      <c r="D110" s="11">
        <v>202.05600000000001</v>
      </c>
      <c r="E110" s="11">
        <v>135.328</v>
      </c>
      <c r="F110" s="11">
        <v>147.97200000000001</v>
      </c>
      <c r="G110" s="6">
        <v>1</v>
      </c>
      <c r="H110" s="11">
        <v>40</v>
      </c>
      <c r="I110" s="12" t="s">
        <v>50</v>
      </c>
      <c r="J110" s="11"/>
      <c r="K110" s="11">
        <v>190.8</v>
      </c>
      <c r="L110" s="11">
        <f t="shared" si="18"/>
        <v>-55.472000000000008</v>
      </c>
      <c r="M110" s="11"/>
      <c r="N110" s="11"/>
      <c r="O110" s="11">
        <v>200</v>
      </c>
      <c r="P110" s="11"/>
      <c r="Q110" s="11"/>
      <c r="R110" s="11">
        <v>100</v>
      </c>
      <c r="S110" s="11">
        <v>-102</v>
      </c>
      <c r="T110" s="11"/>
      <c r="U110" s="11">
        <f t="shared" si="19"/>
        <v>27.0656</v>
      </c>
      <c r="V110" s="4">
        <v>150</v>
      </c>
      <c r="W110" s="4">
        <f t="shared" si="15"/>
        <v>150</v>
      </c>
      <c r="X110" s="11">
        <f t="shared" si="16"/>
        <v>18.324810829983448</v>
      </c>
      <c r="Y110" s="11">
        <f t="shared" si="20"/>
        <v>12.782720501300544</v>
      </c>
      <c r="Z110" s="11">
        <v>78.425399999999996</v>
      </c>
      <c r="AA110" s="11">
        <v>77.138599999999997</v>
      </c>
      <c r="AB110" s="11">
        <v>61.042400000000001</v>
      </c>
      <c r="AC110" s="11">
        <v>57.488399999999999</v>
      </c>
      <c r="AD110" s="11">
        <v>60.191400000000002</v>
      </c>
      <c r="AE110" s="11">
        <v>58.831200000000003</v>
      </c>
      <c r="AF110" s="11">
        <v>66.663600000000002</v>
      </c>
      <c r="AG110" s="11">
        <v>64.051199999999994</v>
      </c>
      <c r="AH110" s="11">
        <v>58.3504</v>
      </c>
      <c r="AI110" s="11">
        <v>61.6798</v>
      </c>
      <c r="AJ110" s="11"/>
      <c r="AK110" s="11">
        <f t="shared" si="17"/>
        <v>150</v>
      </c>
    </row>
    <row r="111" spans="1:37" x14ac:dyDescent="0.25">
      <c r="A111" s="11" t="s">
        <v>99</v>
      </c>
      <c r="B111" s="11" t="s">
        <v>39</v>
      </c>
      <c r="C111" s="11">
        <v>78.088999999999999</v>
      </c>
      <c r="D111" s="11">
        <v>139.501</v>
      </c>
      <c r="E111" s="11">
        <v>192.28700000000001</v>
      </c>
      <c r="F111" s="11">
        <v>-25</v>
      </c>
      <c r="G111" s="6">
        <v>1</v>
      </c>
      <c r="H111" s="11">
        <v>40</v>
      </c>
      <c r="I111" s="12" t="s">
        <v>50</v>
      </c>
      <c r="J111" s="11"/>
      <c r="K111" s="11">
        <v>252.8</v>
      </c>
      <c r="L111" s="11">
        <f t="shared" si="18"/>
        <v>-60.513000000000005</v>
      </c>
      <c r="M111" s="11"/>
      <c r="N111" s="11"/>
      <c r="O111" s="11">
        <v>300</v>
      </c>
      <c r="P111" s="11">
        <v>-301</v>
      </c>
      <c r="Q111" s="11"/>
      <c r="R111" s="11">
        <v>150</v>
      </c>
      <c r="S111" s="11">
        <v>-151</v>
      </c>
      <c r="T111" s="11"/>
      <c r="U111" s="11">
        <f t="shared" si="19"/>
        <v>38.4574</v>
      </c>
      <c r="V111" s="4">
        <v>200</v>
      </c>
      <c r="W111" s="4">
        <f t="shared" si="15"/>
        <v>200</v>
      </c>
      <c r="X111" s="11">
        <f t="shared" si="16"/>
        <v>4.4984840368823686</v>
      </c>
      <c r="Y111" s="11">
        <f t="shared" si="20"/>
        <v>-0.70207554332846211</v>
      </c>
      <c r="Z111" s="11">
        <v>90.9636</v>
      </c>
      <c r="AA111" s="11">
        <v>99.641199999999998</v>
      </c>
      <c r="AB111" s="11">
        <v>90.812600000000003</v>
      </c>
      <c r="AC111" s="11">
        <v>87.560400000000001</v>
      </c>
      <c r="AD111" s="11">
        <v>101.8978</v>
      </c>
      <c r="AE111" s="11">
        <v>89.504600000000011</v>
      </c>
      <c r="AF111" s="11">
        <v>76.044000000000011</v>
      </c>
      <c r="AG111" s="11">
        <v>82.587199999999996</v>
      </c>
      <c r="AH111" s="11">
        <v>93.196200000000005</v>
      </c>
      <c r="AI111" s="11">
        <v>104.8322</v>
      </c>
      <c r="AJ111" s="11"/>
      <c r="AK111" s="11">
        <f t="shared" si="17"/>
        <v>200</v>
      </c>
    </row>
    <row r="112" spans="1:37" x14ac:dyDescent="0.25">
      <c r="A112" s="8" t="s">
        <v>157</v>
      </c>
      <c r="B112" s="8" t="s">
        <v>44</v>
      </c>
      <c r="C112" s="8"/>
      <c r="D112" s="8"/>
      <c r="E112" s="8"/>
      <c r="F112" s="8"/>
      <c r="G112" s="9">
        <v>0</v>
      </c>
      <c r="H112" s="8"/>
      <c r="I112" s="8" t="s">
        <v>40</v>
      </c>
      <c r="J112" s="8"/>
      <c r="K112" s="8"/>
      <c r="L112" s="8">
        <f t="shared" si="18"/>
        <v>0</v>
      </c>
      <c r="M112" s="8"/>
      <c r="N112" s="8"/>
      <c r="O112" s="8">
        <v>0</v>
      </c>
      <c r="P112" s="8"/>
      <c r="Q112" s="8"/>
      <c r="R112" s="8"/>
      <c r="S112" s="8"/>
      <c r="T112" s="8"/>
      <c r="U112" s="8">
        <f t="shared" si="19"/>
        <v>0</v>
      </c>
      <c r="V112" s="10"/>
      <c r="W112" s="4">
        <f t="shared" si="15"/>
        <v>0</v>
      </c>
      <c r="X112" s="11" t="e">
        <f t="shared" si="16"/>
        <v>#DIV/0!</v>
      </c>
      <c r="Y112" s="11" t="e">
        <f t="shared" si="20"/>
        <v>#DIV/0!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 t="s">
        <v>45</v>
      </c>
      <c r="AK112" s="11">
        <f t="shared" si="17"/>
        <v>0</v>
      </c>
    </row>
    <row r="113" spans="1:37" x14ac:dyDescent="0.25">
      <c r="A113" s="11" t="s">
        <v>158</v>
      </c>
      <c r="B113" s="11" t="s">
        <v>39</v>
      </c>
      <c r="C113" s="11">
        <v>14.536</v>
      </c>
      <c r="D113" s="11"/>
      <c r="E113" s="11">
        <v>2.83</v>
      </c>
      <c r="F113" s="11">
        <v>9.0809999999999995</v>
      </c>
      <c r="G113" s="6">
        <v>1</v>
      </c>
      <c r="H113" s="11">
        <v>55</v>
      </c>
      <c r="I113" s="11" t="s">
        <v>40</v>
      </c>
      <c r="J113" s="11"/>
      <c r="K113" s="11">
        <v>3.9</v>
      </c>
      <c r="L113" s="11">
        <f t="shared" si="18"/>
        <v>-1.0699999999999998</v>
      </c>
      <c r="M113" s="11"/>
      <c r="N113" s="11"/>
      <c r="O113" s="11">
        <v>0</v>
      </c>
      <c r="P113" s="11"/>
      <c r="Q113" s="11"/>
      <c r="R113" s="11"/>
      <c r="S113" s="11"/>
      <c r="T113" s="11"/>
      <c r="U113" s="11">
        <f t="shared" si="19"/>
        <v>0.56600000000000006</v>
      </c>
      <c r="V113" s="4"/>
      <c r="W113" s="4">
        <f t="shared" si="15"/>
        <v>0</v>
      </c>
      <c r="X113" s="11">
        <f t="shared" si="16"/>
        <v>16.044169611307417</v>
      </c>
      <c r="Y113" s="11">
        <f t="shared" si="20"/>
        <v>16.044169611307417</v>
      </c>
      <c r="Z113" s="11">
        <v>0</v>
      </c>
      <c r="AA113" s="11">
        <v>0.26879999999999998</v>
      </c>
      <c r="AB113" s="11">
        <v>0.54180000000000006</v>
      </c>
      <c r="AC113" s="11">
        <v>0.54720000000000002</v>
      </c>
      <c r="AD113" s="11">
        <v>1.615</v>
      </c>
      <c r="AE113" s="11">
        <v>1.3408</v>
      </c>
      <c r="AF113" s="11">
        <v>1</v>
      </c>
      <c r="AG113" s="11">
        <v>1.2816000000000001</v>
      </c>
      <c r="AH113" s="11">
        <v>0.28160000000000002</v>
      </c>
      <c r="AI113" s="11">
        <v>0</v>
      </c>
      <c r="AJ113" s="17" t="s">
        <v>159</v>
      </c>
      <c r="AK113" s="11">
        <f t="shared" si="17"/>
        <v>0</v>
      </c>
    </row>
    <row r="114" spans="1:37" x14ac:dyDescent="0.25">
      <c r="A114" s="11" t="s">
        <v>160</v>
      </c>
      <c r="B114" s="11" t="s">
        <v>44</v>
      </c>
      <c r="C114" s="11">
        <v>306</v>
      </c>
      <c r="D114" s="11">
        <v>7</v>
      </c>
      <c r="E114" s="11">
        <v>217</v>
      </c>
      <c r="F114" s="11">
        <v>71</v>
      </c>
      <c r="G114" s="6">
        <v>0.28000000000000003</v>
      </c>
      <c r="H114" s="11">
        <v>40</v>
      </c>
      <c r="I114" s="11" t="s">
        <v>40</v>
      </c>
      <c r="J114" s="11"/>
      <c r="K114" s="11">
        <v>420</v>
      </c>
      <c r="L114" s="11">
        <f t="shared" si="18"/>
        <v>-203</v>
      </c>
      <c r="M114" s="11"/>
      <c r="N114" s="11"/>
      <c r="O114" s="11">
        <v>137.154325</v>
      </c>
      <c r="P114" s="11">
        <v>-138</v>
      </c>
      <c r="Q114" s="11"/>
      <c r="R114" s="11">
        <v>219.09067499999989</v>
      </c>
      <c r="S114" s="11"/>
      <c r="T114" s="11"/>
      <c r="U114" s="11">
        <f t="shared" si="19"/>
        <v>43.4</v>
      </c>
      <c r="V114" s="4">
        <f>11*U114-T114-R114-Q114-P114-O114-F114</f>
        <v>188.15500000000009</v>
      </c>
      <c r="W114" s="4">
        <f t="shared" si="15"/>
        <v>188.15500000000009</v>
      </c>
      <c r="X114" s="11">
        <f t="shared" si="16"/>
        <v>11</v>
      </c>
      <c r="Y114" s="11">
        <f t="shared" si="20"/>
        <v>6.6646313364055274</v>
      </c>
      <c r="Z114" s="11">
        <v>70.8</v>
      </c>
      <c r="AA114" s="11">
        <v>65</v>
      </c>
      <c r="AB114" s="11">
        <v>39</v>
      </c>
      <c r="AC114" s="11">
        <v>37.4</v>
      </c>
      <c r="AD114" s="11">
        <v>79.400000000000006</v>
      </c>
      <c r="AE114" s="11">
        <v>86.4</v>
      </c>
      <c r="AF114" s="11">
        <v>61.8</v>
      </c>
      <c r="AG114" s="11">
        <v>64.599999999999994</v>
      </c>
      <c r="AH114" s="11">
        <v>68.400000000000006</v>
      </c>
      <c r="AI114" s="11">
        <v>56</v>
      </c>
      <c r="AJ114" s="11"/>
      <c r="AK114" s="11">
        <f t="shared" si="17"/>
        <v>53</v>
      </c>
    </row>
    <row r="115" spans="1:37" x14ac:dyDescent="0.25">
      <c r="A115" s="8" t="s">
        <v>161</v>
      </c>
      <c r="B115" s="8" t="s">
        <v>44</v>
      </c>
      <c r="C115" s="8"/>
      <c r="D115" s="8"/>
      <c r="E115" s="8"/>
      <c r="F115" s="8"/>
      <c r="G115" s="9">
        <v>0</v>
      </c>
      <c r="H115" s="8"/>
      <c r="I115" s="8" t="s">
        <v>40</v>
      </c>
      <c r="J115" s="8"/>
      <c r="K115" s="8"/>
      <c r="L115" s="8">
        <f t="shared" si="18"/>
        <v>0</v>
      </c>
      <c r="M115" s="8"/>
      <c r="N115" s="8"/>
      <c r="O115" s="8">
        <v>0</v>
      </c>
      <c r="P115" s="8"/>
      <c r="Q115" s="8"/>
      <c r="R115" s="8"/>
      <c r="S115" s="8"/>
      <c r="T115" s="8"/>
      <c r="U115" s="8">
        <f t="shared" si="19"/>
        <v>0</v>
      </c>
      <c r="V115" s="10"/>
      <c r="W115" s="4">
        <f t="shared" si="15"/>
        <v>0</v>
      </c>
      <c r="X115" s="11" t="e">
        <f t="shared" si="16"/>
        <v>#DIV/0!</v>
      </c>
      <c r="Y115" s="11" t="e">
        <f t="shared" si="20"/>
        <v>#DIV/0!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 t="s">
        <v>45</v>
      </c>
      <c r="AK115" s="11">
        <f t="shared" si="17"/>
        <v>0</v>
      </c>
    </row>
    <row r="116" spans="1:37" x14ac:dyDescent="0.25">
      <c r="A116" s="11" t="s">
        <v>162</v>
      </c>
      <c r="B116" s="11" t="s">
        <v>44</v>
      </c>
      <c r="C116" s="11">
        <v>324</v>
      </c>
      <c r="D116" s="11">
        <v>1</v>
      </c>
      <c r="E116" s="11">
        <v>231</v>
      </c>
      <c r="F116" s="11">
        <v>81</v>
      </c>
      <c r="G116" s="6">
        <v>0.28000000000000003</v>
      </c>
      <c r="H116" s="11">
        <v>40</v>
      </c>
      <c r="I116" s="12" t="s">
        <v>50</v>
      </c>
      <c r="J116" s="11"/>
      <c r="K116" s="11">
        <v>395</v>
      </c>
      <c r="L116" s="11">
        <f t="shared" si="18"/>
        <v>-164</v>
      </c>
      <c r="M116" s="11"/>
      <c r="N116" s="11"/>
      <c r="O116" s="11">
        <v>300</v>
      </c>
      <c r="P116" s="11">
        <v>-299.99999999999989</v>
      </c>
      <c r="Q116" s="11"/>
      <c r="R116" s="11">
        <v>150</v>
      </c>
      <c r="S116" s="11">
        <v>-149.99999999999997</v>
      </c>
      <c r="T116" s="11"/>
      <c r="U116" s="11">
        <f t="shared" si="19"/>
        <v>46.2</v>
      </c>
      <c r="V116" s="4">
        <v>200</v>
      </c>
      <c r="W116" s="4">
        <f t="shared" si="15"/>
        <v>200</v>
      </c>
      <c r="X116" s="11">
        <f t="shared" si="16"/>
        <v>6.0822510822510845</v>
      </c>
      <c r="Y116" s="11">
        <f t="shared" si="20"/>
        <v>1.7532467532467562</v>
      </c>
      <c r="Z116" s="11">
        <v>76.400000000000006</v>
      </c>
      <c r="AA116" s="11">
        <v>75.2</v>
      </c>
      <c r="AB116" s="11">
        <v>67</v>
      </c>
      <c r="AC116" s="11">
        <v>62.4</v>
      </c>
      <c r="AD116" s="11">
        <v>67</v>
      </c>
      <c r="AE116" s="11">
        <v>69</v>
      </c>
      <c r="AF116" s="11">
        <v>63</v>
      </c>
      <c r="AG116" s="11">
        <v>66.8</v>
      </c>
      <c r="AH116" s="11">
        <v>66.400000000000006</v>
      </c>
      <c r="AI116" s="11">
        <v>53</v>
      </c>
      <c r="AJ116" s="11"/>
      <c r="AK116" s="11">
        <f t="shared" si="17"/>
        <v>56</v>
      </c>
    </row>
    <row r="117" spans="1:37" x14ac:dyDescent="0.25">
      <c r="A117" s="11" t="s">
        <v>163</v>
      </c>
      <c r="B117" s="11" t="s">
        <v>44</v>
      </c>
      <c r="C117" s="11">
        <v>3</v>
      </c>
      <c r="D117" s="11">
        <v>90</v>
      </c>
      <c r="E117" s="11">
        <v>63</v>
      </c>
      <c r="F117" s="11">
        <v>23</v>
      </c>
      <c r="G117" s="6">
        <v>0.09</v>
      </c>
      <c r="H117" s="11"/>
      <c r="I117" s="11" t="s">
        <v>40</v>
      </c>
      <c r="J117" s="11"/>
      <c r="K117" s="11">
        <v>101</v>
      </c>
      <c r="L117" s="11">
        <f t="shared" si="18"/>
        <v>-38</v>
      </c>
      <c r="M117" s="11"/>
      <c r="N117" s="11"/>
      <c r="O117" s="11">
        <v>0</v>
      </c>
      <c r="P117" s="11"/>
      <c r="Q117" s="11"/>
      <c r="R117" s="11"/>
      <c r="S117" s="11"/>
      <c r="T117" s="11"/>
      <c r="U117" s="11">
        <f t="shared" si="19"/>
        <v>12.6</v>
      </c>
      <c r="V117" s="4">
        <f>8*U117-T117-R117-Q117-P117-O117-F117</f>
        <v>77.8</v>
      </c>
      <c r="W117" s="4">
        <f t="shared" si="15"/>
        <v>77.8</v>
      </c>
      <c r="X117" s="11">
        <f t="shared" si="16"/>
        <v>8</v>
      </c>
      <c r="Y117" s="11">
        <f t="shared" si="20"/>
        <v>1.8253968253968254</v>
      </c>
      <c r="Z117" s="11">
        <v>3.8</v>
      </c>
      <c r="AA117" s="11">
        <v>7.4</v>
      </c>
      <c r="AB117" s="11">
        <v>8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 t="s">
        <v>164</v>
      </c>
      <c r="AK117" s="11">
        <f t="shared" si="17"/>
        <v>7</v>
      </c>
    </row>
    <row r="118" spans="1:37" x14ac:dyDescent="0.25">
      <c r="A118" s="11" t="s">
        <v>165</v>
      </c>
      <c r="B118" s="11" t="s">
        <v>39</v>
      </c>
      <c r="C118" s="11">
        <v>307.69600000000003</v>
      </c>
      <c r="D118" s="11"/>
      <c r="E118" s="11">
        <v>216.696</v>
      </c>
      <c r="F118" s="11">
        <v>90.263999999999996</v>
      </c>
      <c r="G118" s="6">
        <v>1</v>
      </c>
      <c r="H118" s="11">
        <v>60</v>
      </c>
      <c r="I118" s="11" t="s">
        <v>40</v>
      </c>
      <c r="J118" s="11"/>
      <c r="K118" s="11">
        <v>232.85</v>
      </c>
      <c r="L118" s="11">
        <f t="shared" si="18"/>
        <v>-16.153999999999996</v>
      </c>
      <c r="M118" s="11"/>
      <c r="N118" s="11"/>
      <c r="O118" s="11">
        <v>9.6532000000000266</v>
      </c>
      <c r="P118" s="11"/>
      <c r="Q118" s="11"/>
      <c r="R118" s="11"/>
      <c r="S118" s="11"/>
      <c r="T118" s="11"/>
      <c r="U118" s="11">
        <f t="shared" si="19"/>
        <v>43.339199999999998</v>
      </c>
      <c r="V118" s="4">
        <f>8*U118-T118-R118-Q118-P118-O118-F118</f>
        <v>246.79639999999995</v>
      </c>
      <c r="W118" s="4">
        <f t="shared" si="15"/>
        <v>246.79639999999995</v>
      </c>
      <c r="X118" s="11">
        <f t="shared" si="16"/>
        <v>8</v>
      </c>
      <c r="Y118" s="11">
        <f t="shared" si="20"/>
        <v>2.3054694133717288</v>
      </c>
      <c r="Z118" s="11">
        <v>23.119599999999998</v>
      </c>
      <c r="AA118" s="11">
        <v>16.192399999999999</v>
      </c>
      <c r="AB118" s="11">
        <v>24.320599999999999</v>
      </c>
      <c r="AC118" s="11">
        <v>34.040199999999999</v>
      </c>
      <c r="AD118" s="11">
        <v>26.383400000000002</v>
      </c>
      <c r="AE118" s="11">
        <v>17.169599999999999</v>
      </c>
      <c r="AF118" s="11">
        <v>17.895399999999999</v>
      </c>
      <c r="AG118" s="11">
        <v>29.697600000000001</v>
      </c>
      <c r="AH118" s="11">
        <v>35.659999999999997</v>
      </c>
      <c r="AI118" s="11">
        <v>26.834399999999999</v>
      </c>
      <c r="AJ118" s="11"/>
      <c r="AK118" s="11">
        <f t="shared" si="17"/>
        <v>247</v>
      </c>
    </row>
    <row r="119" spans="1:37" x14ac:dyDescent="0.25">
      <c r="A119" s="11" t="s">
        <v>166</v>
      </c>
      <c r="B119" s="11" t="s">
        <v>39</v>
      </c>
      <c r="C119" s="11">
        <v>82.09</v>
      </c>
      <c r="D119" s="11"/>
      <c r="E119" s="11">
        <v>-1.1779999999999999</v>
      </c>
      <c r="F119" s="11">
        <v>82.09</v>
      </c>
      <c r="G119" s="6">
        <v>1</v>
      </c>
      <c r="H119" s="11">
        <v>50</v>
      </c>
      <c r="I119" s="11" t="s">
        <v>40</v>
      </c>
      <c r="J119" s="11"/>
      <c r="K119" s="11">
        <v>42.5</v>
      </c>
      <c r="L119" s="11">
        <f t="shared" si="18"/>
        <v>-43.677999999999997</v>
      </c>
      <c r="M119" s="11"/>
      <c r="N119" s="11"/>
      <c r="O119" s="11">
        <v>0</v>
      </c>
      <c r="P119" s="11"/>
      <c r="Q119" s="11"/>
      <c r="R119" s="11"/>
      <c r="S119" s="11"/>
      <c r="T119" s="11"/>
      <c r="U119" s="11">
        <f t="shared" si="19"/>
        <v>-0.23559999999999998</v>
      </c>
      <c r="V119" s="4"/>
      <c r="W119" s="4">
        <f t="shared" si="15"/>
        <v>0</v>
      </c>
      <c r="X119" s="11">
        <f t="shared" si="16"/>
        <v>-348.42954159592534</v>
      </c>
      <c r="Y119" s="11">
        <f t="shared" si="20"/>
        <v>-348.42954159592534</v>
      </c>
      <c r="Z119" s="11">
        <v>-0.3604</v>
      </c>
      <c r="AA119" s="11">
        <v>-0.12479999999999999</v>
      </c>
      <c r="AB119" s="11">
        <v>-0.17460000000000001</v>
      </c>
      <c r="AC119" s="11">
        <v>-0.35780000000000001</v>
      </c>
      <c r="AD119" s="11">
        <v>-0.1832</v>
      </c>
      <c r="AE119" s="11">
        <v>0.36159999999999998</v>
      </c>
      <c r="AF119" s="11">
        <v>4.1176000000000004</v>
      </c>
      <c r="AG119" s="11">
        <v>5.7633999999999999</v>
      </c>
      <c r="AH119" s="11">
        <v>15.0108</v>
      </c>
      <c r="AI119" s="11">
        <v>18.382400000000001</v>
      </c>
      <c r="AJ119" s="15" t="s">
        <v>130</v>
      </c>
      <c r="AK119" s="11">
        <f t="shared" si="17"/>
        <v>0</v>
      </c>
    </row>
    <row r="120" spans="1:37" x14ac:dyDescent="0.25">
      <c r="A120" s="11" t="s">
        <v>167</v>
      </c>
      <c r="B120" s="11" t="s">
        <v>44</v>
      </c>
      <c r="C120" s="11">
        <v>-1</v>
      </c>
      <c r="D120" s="11">
        <v>100</v>
      </c>
      <c r="E120" s="11">
        <v>63</v>
      </c>
      <c r="F120" s="11">
        <v>27</v>
      </c>
      <c r="G120" s="6">
        <v>0.09</v>
      </c>
      <c r="H120" s="11"/>
      <c r="I120" s="11" t="s">
        <v>40</v>
      </c>
      <c r="J120" s="11"/>
      <c r="K120" s="11">
        <v>74</v>
      </c>
      <c r="L120" s="11">
        <f t="shared" si="18"/>
        <v>-11</v>
      </c>
      <c r="M120" s="11"/>
      <c r="N120" s="11"/>
      <c r="O120" s="11">
        <v>0</v>
      </c>
      <c r="P120" s="11"/>
      <c r="Q120" s="11"/>
      <c r="R120" s="11"/>
      <c r="S120" s="11"/>
      <c r="T120" s="11"/>
      <c r="U120" s="11">
        <f t="shared" si="19"/>
        <v>12.6</v>
      </c>
      <c r="V120" s="4">
        <f>8*U120-T120-R120-Q120-P120-O120-F120</f>
        <v>73.8</v>
      </c>
      <c r="W120" s="4">
        <f t="shared" si="15"/>
        <v>73.8</v>
      </c>
      <c r="X120" s="11">
        <f t="shared" si="16"/>
        <v>8</v>
      </c>
      <c r="Y120" s="11">
        <f t="shared" si="20"/>
        <v>2.1428571428571428</v>
      </c>
      <c r="Z120" s="11">
        <v>2.6</v>
      </c>
      <c r="AA120" s="11">
        <v>8.1999999999999993</v>
      </c>
      <c r="AB120" s="11">
        <v>8.1999999999999993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 t="s">
        <v>164</v>
      </c>
      <c r="AK120" s="11">
        <f t="shared" si="17"/>
        <v>7</v>
      </c>
    </row>
    <row r="121" spans="1:37" x14ac:dyDescent="0.25">
      <c r="A121" s="8" t="s">
        <v>168</v>
      </c>
      <c r="B121" s="8" t="s">
        <v>44</v>
      </c>
      <c r="C121" s="8"/>
      <c r="D121" s="8"/>
      <c r="E121" s="8"/>
      <c r="F121" s="8"/>
      <c r="G121" s="9">
        <v>0</v>
      </c>
      <c r="H121" s="8"/>
      <c r="I121" s="8" t="s">
        <v>40</v>
      </c>
      <c r="J121" s="8"/>
      <c r="K121" s="8"/>
      <c r="L121" s="8">
        <f t="shared" si="18"/>
        <v>0</v>
      </c>
      <c r="M121" s="8"/>
      <c r="N121" s="8"/>
      <c r="O121" s="8">
        <v>0</v>
      </c>
      <c r="P121" s="8"/>
      <c r="Q121" s="8"/>
      <c r="R121" s="8"/>
      <c r="S121" s="8"/>
      <c r="T121" s="8"/>
      <c r="U121" s="8">
        <f t="shared" si="19"/>
        <v>0</v>
      </c>
      <c r="V121" s="10"/>
      <c r="W121" s="4">
        <f t="shared" si="15"/>
        <v>0</v>
      </c>
      <c r="X121" s="11" t="e">
        <f t="shared" si="16"/>
        <v>#DIV/0!</v>
      </c>
      <c r="Y121" s="11" t="e">
        <f t="shared" si="20"/>
        <v>#DIV/0!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 t="s">
        <v>45</v>
      </c>
      <c r="AK121" s="11">
        <f t="shared" si="17"/>
        <v>0</v>
      </c>
    </row>
    <row r="122" spans="1:37" x14ac:dyDescent="0.25">
      <c r="A122" s="11" t="s">
        <v>169</v>
      </c>
      <c r="B122" s="11" t="s">
        <v>39</v>
      </c>
      <c r="C122" s="11">
        <v>248.17599999999999</v>
      </c>
      <c r="D122" s="11">
        <v>719.95799999999997</v>
      </c>
      <c r="E122" s="11">
        <v>351.44299999999998</v>
      </c>
      <c r="F122" s="11">
        <v>580.72799999999995</v>
      </c>
      <c r="G122" s="6">
        <v>1</v>
      </c>
      <c r="H122" s="11">
        <v>60</v>
      </c>
      <c r="I122" s="11" t="s">
        <v>40</v>
      </c>
      <c r="J122" s="11"/>
      <c r="K122" s="11">
        <v>338.3</v>
      </c>
      <c r="L122" s="11">
        <f t="shared" si="18"/>
        <v>13.142999999999972</v>
      </c>
      <c r="M122" s="11"/>
      <c r="N122" s="11"/>
      <c r="O122" s="11">
        <v>152.6804491999998</v>
      </c>
      <c r="P122" s="11"/>
      <c r="Q122" s="11"/>
      <c r="R122" s="11"/>
      <c r="S122" s="11"/>
      <c r="T122" s="11"/>
      <c r="U122" s="11">
        <f t="shared" si="19"/>
        <v>70.288600000000002</v>
      </c>
      <c r="V122" s="4">
        <f>11*U122-T122-R122-Q122-P122-O122-F122</f>
        <v>39.766150800000332</v>
      </c>
      <c r="W122" s="4">
        <f t="shared" si="15"/>
        <v>39.766150800000332</v>
      </c>
      <c r="X122" s="11">
        <f t="shared" si="16"/>
        <v>11</v>
      </c>
      <c r="Y122" s="11">
        <f t="shared" si="20"/>
        <v>10.434244659873716</v>
      </c>
      <c r="Z122" s="11">
        <v>78.236599999999996</v>
      </c>
      <c r="AA122" s="11">
        <v>83.537400000000005</v>
      </c>
      <c r="AB122" s="11">
        <v>65.344999999999999</v>
      </c>
      <c r="AC122" s="11">
        <v>56.364999999999988</v>
      </c>
      <c r="AD122" s="11">
        <v>56.581600000000002</v>
      </c>
      <c r="AE122" s="11">
        <v>54.922800000000002</v>
      </c>
      <c r="AF122" s="11">
        <v>66.630399999999995</v>
      </c>
      <c r="AG122" s="11">
        <v>70.855999999999995</v>
      </c>
      <c r="AH122" s="11">
        <v>76.245800000000003</v>
      </c>
      <c r="AI122" s="11">
        <v>71.3352</v>
      </c>
      <c r="AJ122" s="11"/>
      <c r="AK122" s="11">
        <f t="shared" si="17"/>
        <v>40</v>
      </c>
    </row>
    <row r="123" spans="1:37" x14ac:dyDescent="0.25">
      <c r="A123" s="11" t="s">
        <v>170</v>
      </c>
      <c r="B123" s="11" t="s">
        <v>39</v>
      </c>
      <c r="C123" s="11">
        <v>406.09100000000001</v>
      </c>
      <c r="D123" s="11">
        <v>675.59199999999998</v>
      </c>
      <c r="E123" s="11">
        <v>467.98500000000001</v>
      </c>
      <c r="F123" s="11">
        <v>555.60599999999999</v>
      </c>
      <c r="G123" s="6">
        <v>1</v>
      </c>
      <c r="H123" s="11">
        <v>60</v>
      </c>
      <c r="I123" s="11" t="s">
        <v>40</v>
      </c>
      <c r="J123" s="11"/>
      <c r="K123" s="11">
        <v>451.55</v>
      </c>
      <c r="L123" s="11">
        <f t="shared" si="18"/>
        <v>16.435000000000002</v>
      </c>
      <c r="M123" s="11"/>
      <c r="N123" s="11"/>
      <c r="O123" s="11">
        <v>162.23177324200009</v>
      </c>
      <c r="P123" s="11"/>
      <c r="Q123" s="11"/>
      <c r="R123" s="11">
        <v>259.14945595800009</v>
      </c>
      <c r="S123" s="11"/>
      <c r="T123" s="11"/>
      <c r="U123" s="11">
        <f t="shared" si="19"/>
        <v>93.597000000000008</v>
      </c>
      <c r="V123" s="4">
        <f>11*U123-T123-R123-Q123-P123-O123-F123</f>
        <v>52.579770799999778</v>
      </c>
      <c r="W123" s="4">
        <f>V123+$W$1*U123</f>
        <v>146.17677079999979</v>
      </c>
      <c r="X123" s="11">
        <f t="shared" si="16"/>
        <v>11.999999999999998</v>
      </c>
      <c r="Y123" s="11">
        <f t="shared" si="20"/>
        <v>10.438232306591024</v>
      </c>
      <c r="Z123" s="11">
        <v>92.200800000000001</v>
      </c>
      <c r="AA123" s="11">
        <v>92.7684</v>
      </c>
      <c r="AB123" s="11">
        <v>92.423599999999993</v>
      </c>
      <c r="AC123" s="11">
        <v>83.889399999999995</v>
      </c>
      <c r="AD123" s="11">
        <v>75.759</v>
      </c>
      <c r="AE123" s="11">
        <v>77.756200000000007</v>
      </c>
      <c r="AF123" s="11">
        <v>88.792600000000007</v>
      </c>
      <c r="AG123" s="11">
        <v>87.907200000000003</v>
      </c>
      <c r="AH123" s="11">
        <v>90.133600000000001</v>
      </c>
      <c r="AI123" s="11">
        <v>88.307600000000008</v>
      </c>
      <c r="AJ123" s="11"/>
      <c r="AK123" s="11">
        <f t="shared" si="17"/>
        <v>146</v>
      </c>
    </row>
    <row r="124" spans="1:37" x14ac:dyDescent="0.25">
      <c r="A124" s="11" t="s">
        <v>171</v>
      </c>
      <c r="B124" s="11" t="s">
        <v>39</v>
      </c>
      <c r="C124" s="11">
        <v>112.03700000000001</v>
      </c>
      <c r="D124" s="11">
        <v>449.25299999999999</v>
      </c>
      <c r="E124" s="11">
        <v>157.76</v>
      </c>
      <c r="F124" s="11">
        <v>371.69200000000001</v>
      </c>
      <c r="G124" s="6">
        <v>1</v>
      </c>
      <c r="H124" s="11">
        <v>60</v>
      </c>
      <c r="I124" s="11" t="s">
        <v>40</v>
      </c>
      <c r="J124" s="11"/>
      <c r="K124" s="11">
        <v>153.4</v>
      </c>
      <c r="L124" s="11">
        <f t="shared" si="18"/>
        <v>4.3599999999999852</v>
      </c>
      <c r="M124" s="11"/>
      <c r="N124" s="11"/>
      <c r="O124" s="11">
        <v>77.063773400000002</v>
      </c>
      <c r="P124" s="11"/>
      <c r="Q124" s="11"/>
      <c r="R124" s="11"/>
      <c r="S124" s="11"/>
      <c r="T124" s="11"/>
      <c r="U124" s="11">
        <f t="shared" si="19"/>
        <v>31.552</v>
      </c>
      <c r="V124" s="4"/>
      <c r="W124" s="4">
        <f t="shared" si="15"/>
        <v>0</v>
      </c>
      <c r="X124" s="11">
        <f t="shared" si="16"/>
        <v>14.222736225912779</v>
      </c>
      <c r="Y124" s="11">
        <f t="shared" si="20"/>
        <v>14.222736225912779</v>
      </c>
      <c r="Z124" s="11">
        <v>45.125</v>
      </c>
      <c r="AA124" s="11">
        <v>47.799799999999998</v>
      </c>
      <c r="AB124" s="11">
        <v>34.2012</v>
      </c>
      <c r="AC124" s="11">
        <v>29.3096</v>
      </c>
      <c r="AD124" s="11">
        <v>30.529399999999999</v>
      </c>
      <c r="AE124" s="11">
        <v>31.781199999999998</v>
      </c>
      <c r="AF124" s="11">
        <v>32.8658</v>
      </c>
      <c r="AG124" s="11">
        <v>29.383600000000001</v>
      </c>
      <c r="AH124" s="11">
        <v>24.572399999999998</v>
      </c>
      <c r="AI124" s="11">
        <v>27.509399999999999</v>
      </c>
      <c r="AJ124" s="11"/>
      <c r="AK124" s="11">
        <f t="shared" si="17"/>
        <v>0</v>
      </c>
    </row>
    <row r="125" spans="1:37" x14ac:dyDescent="0.25">
      <c r="A125" s="11" t="s">
        <v>172</v>
      </c>
      <c r="B125" s="11" t="s">
        <v>39</v>
      </c>
      <c r="C125" s="11">
        <v>2800.511</v>
      </c>
      <c r="D125" s="11">
        <v>1315.9829999999999</v>
      </c>
      <c r="E125" s="11">
        <v>1581.307</v>
      </c>
      <c r="F125" s="11">
        <v>2412.2429999999999</v>
      </c>
      <c r="G125" s="6">
        <v>1</v>
      </c>
      <c r="H125" s="11">
        <v>60</v>
      </c>
      <c r="I125" s="11" t="s">
        <v>40</v>
      </c>
      <c r="J125" s="11"/>
      <c r="K125" s="11">
        <v>1576.05</v>
      </c>
      <c r="L125" s="11">
        <f t="shared" si="18"/>
        <v>5.2570000000000618</v>
      </c>
      <c r="M125" s="11"/>
      <c r="N125" s="11"/>
      <c r="O125" s="11">
        <v>371.27477702700003</v>
      </c>
      <c r="P125" s="11"/>
      <c r="Q125" s="11">
        <v>300</v>
      </c>
      <c r="R125" s="11">
        <v>593.07529317300009</v>
      </c>
      <c r="S125" s="11"/>
      <c r="T125" s="11"/>
      <c r="U125" s="11">
        <f t="shared" si="19"/>
        <v>316.26139999999998</v>
      </c>
      <c r="V125" s="4"/>
      <c r="W125" s="4">
        <f t="shared" si="15"/>
        <v>0</v>
      </c>
      <c r="X125" s="11">
        <f t="shared" si="16"/>
        <v>11.625171678238321</v>
      </c>
      <c r="Y125" s="11">
        <f t="shared" si="20"/>
        <v>11.625171678238321</v>
      </c>
      <c r="Z125" s="11">
        <v>312.13819999999998</v>
      </c>
      <c r="AA125" s="11">
        <v>312.54939999999999</v>
      </c>
      <c r="AB125" s="11">
        <v>297.05020000000002</v>
      </c>
      <c r="AC125" s="11">
        <v>289.678</v>
      </c>
      <c r="AD125" s="11">
        <v>290.18599999999998</v>
      </c>
      <c r="AE125" s="11">
        <v>287.87099999999998</v>
      </c>
      <c r="AF125" s="11">
        <v>292.56079999999997</v>
      </c>
      <c r="AG125" s="11">
        <v>311.30119999999999</v>
      </c>
      <c r="AH125" s="11">
        <v>194.2492</v>
      </c>
      <c r="AI125" s="11">
        <v>172.9366</v>
      </c>
      <c r="AJ125" s="11"/>
      <c r="AK125" s="11">
        <f t="shared" si="17"/>
        <v>0</v>
      </c>
    </row>
    <row r="126" spans="1:37" x14ac:dyDescent="0.25">
      <c r="A126" s="11" t="s">
        <v>173</v>
      </c>
      <c r="B126" s="11" t="s">
        <v>44</v>
      </c>
      <c r="C126" s="11">
        <v>206</v>
      </c>
      <c r="D126" s="11">
        <v>108</v>
      </c>
      <c r="E126" s="11">
        <v>40</v>
      </c>
      <c r="F126" s="11">
        <v>272</v>
      </c>
      <c r="G126" s="6">
        <v>0.25</v>
      </c>
      <c r="H126" s="11"/>
      <c r="I126" s="12" t="s">
        <v>50</v>
      </c>
      <c r="J126" s="11"/>
      <c r="K126" s="11">
        <v>40</v>
      </c>
      <c r="L126" s="11">
        <f t="shared" si="18"/>
        <v>0</v>
      </c>
      <c r="M126" s="11"/>
      <c r="N126" s="11"/>
      <c r="O126" s="11">
        <v>100</v>
      </c>
      <c r="P126" s="11"/>
      <c r="Q126" s="11"/>
      <c r="R126" s="11">
        <v>50</v>
      </c>
      <c r="S126" s="11"/>
      <c r="T126" s="11"/>
      <c r="U126" s="11">
        <f t="shared" si="19"/>
        <v>8</v>
      </c>
      <c r="V126" s="4"/>
      <c r="W126" s="4">
        <f t="shared" si="15"/>
        <v>0</v>
      </c>
      <c r="X126" s="11">
        <f t="shared" si="16"/>
        <v>52.75</v>
      </c>
      <c r="Y126" s="11">
        <f t="shared" si="20"/>
        <v>52.75</v>
      </c>
      <c r="Z126" s="11">
        <v>4.2</v>
      </c>
      <c r="AA126" s="11">
        <v>0</v>
      </c>
      <c r="AB126" s="11">
        <v>0</v>
      </c>
      <c r="AC126" s="11">
        <v>0</v>
      </c>
      <c r="AD126" s="11">
        <v>23.2</v>
      </c>
      <c r="AE126" s="11">
        <v>40.4</v>
      </c>
      <c r="AF126" s="11">
        <v>17.2</v>
      </c>
      <c r="AG126" s="11">
        <v>0</v>
      </c>
      <c r="AH126" s="11">
        <v>0</v>
      </c>
      <c r="AI126" s="11">
        <v>0</v>
      </c>
      <c r="AJ126" s="14" t="s">
        <v>174</v>
      </c>
      <c r="AK126" s="11">
        <f t="shared" si="17"/>
        <v>0</v>
      </c>
    </row>
    <row r="127" spans="1:37" x14ac:dyDescent="0.25">
      <c r="A127" s="11" t="s">
        <v>175</v>
      </c>
      <c r="B127" s="11" t="s">
        <v>44</v>
      </c>
      <c r="C127" s="11">
        <v>206</v>
      </c>
      <c r="D127" s="11">
        <v>315</v>
      </c>
      <c r="E127" s="13">
        <f>25+E134</f>
        <v>27</v>
      </c>
      <c r="F127" s="13">
        <f>444+F134</f>
        <v>492</v>
      </c>
      <c r="G127" s="6">
        <v>0.32500000000000001</v>
      </c>
      <c r="H127" s="11"/>
      <c r="I127" s="12" t="s">
        <v>50</v>
      </c>
      <c r="J127" s="11"/>
      <c r="K127" s="11">
        <v>25</v>
      </c>
      <c r="L127" s="11">
        <f t="shared" si="18"/>
        <v>2</v>
      </c>
      <c r="M127" s="11"/>
      <c r="N127" s="11"/>
      <c r="O127" s="11">
        <v>0</v>
      </c>
      <c r="P127" s="11"/>
      <c r="Q127" s="11"/>
      <c r="R127" s="11">
        <v>0</v>
      </c>
      <c r="S127" s="11"/>
      <c r="T127" s="11"/>
      <c r="U127" s="11">
        <f t="shared" si="19"/>
        <v>5.4</v>
      </c>
      <c r="V127" s="4"/>
      <c r="W127" s="4">
        <f t="shared" si="15"/>
        <v>0</v>
      </c>
      <c r="X127" s="11">
        <f t="shared" si="16"/>
        <v>91.1111111111111</v>
      </c>
      <c r="Y127" s="11">
        <f t="shared" si="20"/>
        <v>91.1111111111111</v>
      </c>
      <c r="Z127" s="11">
        <v>3.4</v>
      </c>
      <c r="AA127" s="11">
        <v>0</v>
      </c>
      <c r="AB127" s="11">
        <v>0.4</v>
      </c>
      <c r="AC127" s="11">
        <v>3.6</v>
      </c>
      <c r="AD127" s="11">
        <v>24</v>
      </c>
      <c r="AE127" s="11">
        <v>36.799999999999997</v>
      </c>
      <c r="AF127" s="11">
        <v>16</v>
      </c>
      <c r="AG127" s="11">
        <v>0</v>
      </c>
      <c r="AH127" s="11">
        <v>0</v>
      </c>
      <c r="AI127" s="11">
        <v>0</v>
      </c>
      <c r="AJ127" s="14" t="s">
        <v>174</v>
      </c>
      <c r="AK127" s="11">
        <f t="shared" si="17"/>
        <v>0</v>
      </c>
    </row>
    <row r="128" spans="1:37" x14ac:dyDescent="0.25">
      <c r="A128" s="11" t="s">
        <v>176</v>
      </c>
      <c r="B128" s="11" t="s">
        <v>44</v>
      </c>
      <c r="C128" s="11">
        <v>149</v>
      </c>
      <c r="D128" s="11"/>
      <c r="E128" s="11">
        <v>39</v>
      </c>
      <c r="F128" s="11">
        <v>108</v>
      </c>
      <c r="G128" s="6">
        <v>0.25</v>
      </c>
      <c r="H128" s="11"/>
      <c r="I128" s="11" t="s">
        <v>40</v>
      </c>
      <c r="J128" s="11"/>
      <c r="K128" s="11">
        <v>39</v>
      </c>
      <c r="L128" s="11">
        <f t="shared" si="18"/>
        <v>0</v>
      </c>
      <c r="M128" s="11"/>
      <c r="N128" s="11"/>
      <c r="O128" s="11">
        <v>0</v>
      </c>
      <c r="P128" s="11"/>
      <c r="Q128" s="11"/>
      <c r="R128" s="11"/>
      <c r="S128" s="11"/>
      <c r="T128" s="11"/>
      <c r="U128" s="11">
        <f t="shared" si="19"/>
        <v>7.8</v>
      </c>
      <c r="V128" s="4"/>
      <c r="W128" s="4">
        <f t="shared" si="15"/>
        <v>0</v>
      </c>
      <c r="X128" s="11">
        <f t="shared" si="16"/>
        <v>13.846153846153847</v>
      </c>
      <c r="Y128" s="11">
        <f t="shared" si="20"/>
        <v>13.846153846153847</v>
      </c>
      <c r="Z128" s="11">
        <v>6.4</v>
      </c>
      <c r="AA128" s="11">
        <v>2.6</v>
      </c>
      <c r="AB128" s="11">
        <v>0.4</v>
      </c>
      <c r="AC128" s="11">
        <v>9.4</v>
      </c>
      <c r="AD128" s="11">
        <v>29.8</v>
      </c>
      <c r="AE128" s="11">
        <v>30.2</v>
      </c>
      <c r="AF128" s="11">
        <v>9.4</v>
      </c>
      <c r="AG128" s="11">
        <v>0</v>
      </c>
      <c r="AH128" s="11">
        <v>0</v>
      </c>
      <c r="AI128" s="11">
        <v>0</v>
      </c>
      <c r="AJ128" s="11" t="s">
        <v>177</v>
      </c>
      <c r="AK128" s="11">
        <f t="shared" si="17"/>
        <v>0</v>
      </c>
    </row>
    <row r="129" spans="1:37" x14ac:dyDescent="0.25">
      <c r="A129" s="11" t="s">
        <v>178</v>
      </c>
      <c r="B129" s="11" t="s">
        <v>44</v>
      </c>
      <c r="C129" s="11">
        <v>3</v>
      </c>
      <c r="D129" s="11"/>
      <c r="E129" s="11">
        <v>-5</v>
      </c>
      <c r="F129" s="11">
        <v>1</v>
      </c>
      <c r="G129" s="6">
        <v>0.3</v>
      </c>
      <c r="H129" s="11">
        <v>40</v>
      </c>
      <c r="I129" s="12" t="s">
        <v>50</v>
      </c>
      <c r="J129" s="11"/>
      <c r="K129" s="11">
        <v>136</v>
      </c>
      <c r="L129" s="11">
        <f t="shared" si="18"/>
        <v>-141</v>
      </c>
      <c r="M129" s="11"/>
      <c r="N129" s="11"/>
      <c r="O129" s="11">
        <v>300</v>
      </c>
      <c r="P129" s="11">
        <v>-300</v>
      </c>
      <c r="Q129" s="11"/>
      <c r="R129" s="11">
        <v>150</v>
      </c>
      <c r="S129" s="11">
        <v>-150</v>
      </c>
      <c r="T129" s="11"/>
      <c r="U129" s="11">
        <f t="shared" si="19"/>
        <v>-1</v>
      </c>
      <c r="V129" s="4">
        <v>200</v>
      </c>
      <c r="W129" s="4">
        <f t="shared" si="15"/>
        <v>200</v>
      </c>
      <c r="X129" s="11">
        <f t="shared" si="16"/>
        <v>-201</v>
      </c>
      <c r="Y129" s="11">
        <f t="shared" si="20"/>
        <v>-1</v>
      </c>
      <c r="Z129" s="11">
        <v>74.599999999999994</v>
      </c>
      <c r="AA129" s="11">
        <v>112.4</v>
      </c>
      <c r="AB129" s="11">
        <v>109.2</v>
      </c>
      <c r="AC129" s="11">
        <v>112</v>
      </c>
      <c r="AD129" s="11">
        <v>42.2</v>
      </c>
      <c r="AE129" s="11">
        <v>25.4</v>
      </c>
      <c r="AF129" s="11">
        <v>82.8</v>
      </c>
      <c r="AG129" s="11">
        <v>98.6</v>
      </c>
      <c r="AH129" s="11">
        <v>83.8</v>
      </c>
      <c r="AI129" s="11">
        <v>69</v>
      </c>
      <c r="AJ129" s="11"/>
      <c r="AK129" s="11">
        <f t="shared" si="17"/>
        <v>60</v>
      </c>
    </row>
    <row r="130" spans="1:37" x14ac:dyDescent="0.25">
      <c r="A130" s="11" t="s">
        <v>179</v>
      </c>
      <c r="B130" s="11" t="s">
        <v>44</v>
      </c>
      <c r="C130" s="11">
        <v>-7</v>
      </c>
      <c r="D130" s="11"/>
      <c r="E130" s="11">
        <v>-15</v>
      </c>
      <c r="F130" s="11">
        <v>-7</v>
      </c>
      <c r="G130" s="6">
        <v>0.3</v>
      </c>
      <c r="H130" s="11">
        <v>40</v>
      </c>
      <c r="I130" s="12" t="s">
        <v>50</v>
      </c>
      <c r="J130" s="11"/>
      <c r="K130" s="11">
        <v>15</v>
      </c>
      <c r="L130" s="11">
        <f t="shared" si="18"/>
        <v>-30</v>
      </c>
      <c r="M130" s="11"/>
      <c r="N130" s="11"/>
      <c r="O130" s="11">
        <v>150</v>
      </c>
      <c r="P130" s="11">
        <v>-150</v>
      </c>
      <c r="Q130" s="11"/>
      <c r="R130" s="11">
        <v>75</v>
      </c>
      <c r="S130" s="11">
        <v>-76.666666666666671</v>
      </c>
      <c r="T130" s="11"/>
      <c r="U130" s="11">
        <f t="shared" si="19"/>
        <v>-3</v>
      </c>
      <c r="V130" s="4">
        <v>150</v>
      </c>
      <c r="W130" s="4">
        <f t="shared" si="15"/>
        <v>150</v>
      </c>
      <c r="X130" s="11">
        <f t="shared" si="16"/>
        <v>-47.111111111111107</v>
      </c>
      <c r="Y130" s="11">
        <f t="shared" si="20"/>
        <v>2.8888888888888906</v>
      </c>
      <c r="Z130" s="11">
        <v>-2</v>
      </c>
      <c r="AA130" s="11">
        <v>-2.4</v>
      </c>
      <c r="AB130" s="11">
        <v>24.4</v>
      </c>
      <c r="AC130" s="11">
        <v>53.6</v>
      </c>
      <c r="AD130" s="11">
        <v>89.4</v>
      </c>
      <c r="AE130" s="11">
        <v>93</v>
      </c>
      <c r="AF130" s="11">
        <v>65.8</v>
      </c>
      <c r="AG130" s="11">
        <v>68.400000000000006</v>
      </c>
      <c r="AH130" s="11">
        <v>71</v>
      </c>
      <c r="AI130" s="11">
        <v>56</v>
      </c>
      <c r="AJ130" s="11"/>
      <c r="AK130" s="11">
        <f t="shared" si="17"/>
        <v>45</v>
      </c>
    </row>
    <row r="131" spans="1:37" x14ac:dyDescent="0.25">
      <c r="A131" s="11" t="s">
        <v>180</v>
      </c>
      <c r="B131" s="11" t="s">
        <v>39</v>
      </c>
      <c r="C131" s="11">
        <v>218.13800000000001</v>
      </c>
      <c r="D131" s="11">
        <v>466.64600000000002</v>
      </c>
      <c r="E131" s="11">
        <v>288.92500000000001</v>
      </c>
      <c r="F131" s="11">
        <v>364.53100000000001</v>
      </c>
      <c r="G131" s="6">
        <v>1</v>
      </c>
      <c r="H131" s="11">
        <v>50</v>
      </c>
      <c r="I131" s="11" t="s">
        <v>40</v>
      </c>
      <c r="J131" s="11"/>
      <c r="K131" s="11">
        <v>292.10000000000002</v>
      </c>
      <c r="L131" s="11">
        <f t="shared" si="18"/>
        <v>-3.1750000000000114</v>
      </c>
      <c r="M131" s="11"/>
      <c r="N131" s="11"/>
      <c r="O131" s="11">
        <v>93.27761866499992</v>
      </c>
      <c r="P131" s="11"/>
      <c r="Q131" s="11"/>
      <c r="R131" s="11">
        <v>149.00191033499991</v>
      </c>
      <c r="S131" s="11"/>
      <c r="T131" s="11"/>
      <c r="U131" s="11">
        <f t="shared" si="19"/>
        <v>57.785000000000004</v>
      </c>
      <c r="V131" s="4">
        <f>11*U131-T131-R131-Q131-P131-O131-F131</f>
        <v>28.824471000000131</v>
      </c>
      <c r="W131" s="4">
        <f t="shared" si="15"/>
        <v>28.824471000000131</v>
      </c>
      <c r="X131" s="11">
        <f t="shared" si="16"/>
        <v>11</v>
      </c>
      <c r="Y131" s="11">
        <f t="shared" si="20"/>
        <v>10.501177277840267</v>
      </c>
      <c r="Z131" s="11">
        <v>63.404400000000003</v>
      </c>
      <c r="AA131" s="11">
        <v>59.213000000000001</v>
      </c>
      <c r="AB131" s="11">
        <v>48.825200000000002</v>
      </c>
      <c r="AC131" s="11">
        <v>45.4114</v>
      </c>
      <c r="AD131" s="11">
        <v>53.256399999999999</v>
      </c>
      <c r="AE131" s="11">
        <v>58.144799999999996</v>
      </c>
      <c r="AF131" s="11">
        <v>62.955399999999997</v>
      </c>
      <c r="AG131" s="11">
        <v>66.096400000000003</v>
      </c>
      <c r="AH131" s="11">
        <v>58.156999999999996</v>
      </c>
      <c r="AI131" s="11">
        <v>49.684600000000003</v>
      </c>
      <c r="AJ131" s="11"/>
      <c r="AK131" s="11">
        <f t="shared" si="17"/>
        <v>29</v>
      </c>
    </row>
    <row r="132" spans="1:37" x14ac:dyDescent="0.25">
      <c r="A132" s="11" t="s">
        <v>181</v>
      </c>
      <c r="B132" s="11" t="s">
        <v>44</v>
      </c>
      <c r="C132" s="11">
        <v>213</v>
      </c>
      <c r="D132" s="11">
        <v>150</v>
      </c>
      <c r="E132" s="11">
        <v>223</v>
      </c>
      <c r="F132" s="11">
        <v>63</v>
      </c>
      <c r="G132" s="6">
        <v>0.3</v>
      </c>
      <c r="H132" s="11">
        <v>40</v>
      </c>
      <c r="I132" s="12" t="s">
        <v>50</v>
      </c>
      <c r="J132" s="11"/>
      <c r="K132" s="11">
        <v>340</v>
      </c>
      <c r="L132" s="11">
        <f t="shared" si="18"/>
        <v>-117</v>
      </c>
      <c r="M132" s="11"/>
      <c r="N132" s="11"/>
      <c r="O132" s="11">
        <v>200</v>
      </c>
      <c r="P132" s="11">
        <v>-204</v>
      </c>
      <c r="Q132" s="11"/>
      <c r="R132" s="11">
        <v>100</v>
      </c>
      <c r="S132" s="11"/>
      <c r="T132" s="11"/>
      <c r="U132" s="11">
        <f t="shared" si="19"/>
        <v>44.6</v>
      </c>
      <c r="V132" s="4">
        <v>150</v>
      </c>
      <c r="W132" s="4">
        <f t="shared" si="15"/>
        <v>150</v>
      </c>
      <c r="X132" s="11">
        <f t="shared" si="16"/>
        <v>6.928251121076233</v>
      </c>
      <c r="Y132" s="11">
        <f t="shared" si="20"/>
        <v>3.5650224215246635</v>
      </c>
      <c r="Z132" s="11">
        <v>75.2</v>
      </c>
      <c r="AA132" s="11">
        <v>37.6</v>
      </c>
      <c r="AB132" s="11">
        <v>25.8</v>
      </c>
      <c r="AC132" s="11">
        <v>48.8</v>
      </c>
      <c r="AD132" s="11">
        <v>63.2</v>
      </c>
      <c r="AE132" s="11">
        <v>63.4</v>
      </c>
      <c r="AF132" s="11">
        <v>55</v>
      </c>
      <c r="AG132" s="11">
        <v>46.8</v>
      </c>
      <c r="AH132" s="11">
        <v>58.4</v>
      </c>
      <c r="AI132" s="11">
        <v>57.6</v>
      </c>
      <c r="AJ132" s="11"/>
      <c r="AK132" s="11">
        <f t="shared" si="17"/>
        <v>45</v>
      </c>
    </row>
    <row r="133" spans="1:37" x14ac:dyDescent="0.25">
      <c r="A133" s="11" t="s">
        <v>182</v>
      </c>
      <c r="B133" s="11" t="s">
        <v>44</v>
      </c>
      <c r="C133" s="11">
        <v>101</v>
      </c>
      <c r="D133" s="11">
        <v>76</v>
      </c>
      <c r="E133" s="11">
        <v>99</v>
      </c>
      <c r="F133" s="11">
        <v>58</v>
      </c>
      <c r="G133" s="6">
        <v>0.12</v>
      </c>
      <c r="H133" s="11">
        <v>45</v>
      </c>
      <c r="I133" s="12" t="s">
        <v>50</v>
      </c>
      <c r="J133" s="11"/>
      <c r="K133" s="11">
        <v>108</v>
      </c>
      <c r="L133" s="11">
        <f t="shared" si="18"/>
        <v>-9</v>
      </c>
      <c r="M133" s="11"/>
      <c r="N133" s="11"/>
      <c r="O133" s="11">
        <v>34.199999999999989</v>
      </c>
      <c r="P133" s="11">
        <v>-45.000000000000007</v>
      </c>
      <c r="Q133" s="11"/>
      <c r="R133" s="11">
        <v>17.099999999999991</v>
      </c>
      <c r="S133" s="11">
        <v>-33.333333333333336</v>
      </c>
      <c r="T133" s="11"/>
      <c r="U133" s="11">
        <f t="shared" si="19"/>
        <v>19.8</v>
      </c>
      <c r="V133" s="4">
        <v>40</v>
      </c>
      <c r="W133" s="4">
        <f t="shared" si="15"/>
        <v>40</v>
      </c>
      <c r="X133" s="11">
        <f t="shared" si="16"/>
        <v>3.5841750841750826</v>
      </c>
      <c r="Y133" s="11">
        <f t="shared" si="20"/>
        <v>1.5639730639730622</v>
      </c>
      <c r="Z133" s="11">
        <v>13.6</v>
      </c>
      <c r="AA133" s="11">
        <v>12.4</v>
      </c>
      <c r="AB133" s="11">
        <v>11.6</v>
      </c>
      <c r="AC133" s="11">
        <v>13.4</v>
      </c>
      <c r="AD133" s="11">
        <v>14.2</v>
      </c>
      <c r="AE133" s="11">
        <v>11.8</v>
      </c>
      <c r="AF133" s="11">
        <v>8</v>
      </c>
      <c r="AG133" s="11">
        <v>6.8</v>
      </c>
      <c r="AH133" s="11">
        <v>10.199999999999999</v>
      </c>
      <c r="AI133" s="11">
        <v>11.4</v>
      </c>
      <c r="AJ133" s="11"/>
      <c r="AK133" s="11">
        <f t="shared" si="17"/>
        <v>5</v>
      </c>
    </row>
    <row r="134" spans="1:37" x14ac:dyDescent="0.25">
      <c r="A134" s="8" t="s">
        <v>183</v>
      </c>
      <c r="B134" s="8" t="s">
        <v>44</v>
      </c>
      <c r="C134" s="8"/>
      <c r="D134" s="8">
        <v>50</v>
      </c>
      <c r="E134" s="13">
        <v>2</v>
      </c>
      <c r="F134" s="13">
        <v>48</v>
      </c>
      <c r="G134" s="9">
        <v>0</v>
      </c>
      <c r="H134" s="8"/>
      <c r="I134" s="8" t="s">
        <v>184</v>
      </c>
      <c r="J134" s="8" t="s">
        <v>175</v>
      </c>
      <c r="K134" s="8">
        <v>2</v>
      </c>
      <c r="L134" s="8">
        <f t="shared" ref="L134" si="21">E134-K134</f>
        <v>0</v>
      </c>
      <c r="M134" s="8"/>
      <c r="N134" s="8"/>
      <c r="O134" s="8">
        <v>0</v>
      </c>
      <c r="P134" s="8"/>
      <c r="Q134" s="8"/>
      <c r="R134" s="8"/>
      <c r="S134" s="8"/>
      <c r="T134" s="8"/>
      <c r="U134" s="8">
        <f t="shared" si="19"/>
        <v>0.4</v>
      </c>
      <c r="V134" s="10"/>
      <c r="W134" s="4">
        <f t="shared" si="15"/>
        <v>0</v>
      </c>
      <c r="X134" s="11">
        <f t="shared" si="16"/>
        <v>120</v>
      </c>
      <c r="Y134" s="11">
        <f t="shared" si="20"/>
        <v>120</v>
      </c>
      <c r="Z134" s="8">
        <v>0.2</v>
      </c>
      <c r="AA134" s="8">
        <v>0</v>
      </c>
      <c r="AB134" s="8">
        <v>0</v>
      </c>
      <c r="AC134" s="8">
        <v>0</v>
      </c>
      <c r="AD134" s="8">
        <v>1</v>
      </c>
      <c r="AE134" s="8">
        <v>1</v>
      </c>
      <c r="AF134" s="8">
        <v>0</v>
      </c>
      <c r="AG134" s="8">
        <v>0</v>
      </c>
      <c r="AH134" s="8">
        <v>0</v>
      </c>
      <c r="AI134" s="8">
        <v>0</v>
      </c>
      <c r="AJ134" s="8"/>
      <c r="AK134" s="11">
        <f t="shared" si="17"/>
        <v>0</v>
      </c>
    </row>
    <row r="135" spans="1:37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spans="1:37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spans="1:37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spans="1:37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spans="1:37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spans="1:37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spans="1:37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spans="1:37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spans="1:37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1:37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spans="1:37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1:37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1:37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1:37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spans="1:37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1:37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spans="1:37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spans="1:37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spans="1:37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spans="1:37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spans="1:37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spans="1:37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1:37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spans="1:37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spans="1:37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spans="1:37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spans="1:37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spans="1:37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spans="1:37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spans="1:37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spans="1:37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spans="1:37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spans="1:37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spans="1:37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spans="1:37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spans="1:37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spans="1:37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spans="1:37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spans="1:37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spans="1:37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spans="1:37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spans="1:37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spans="1:37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spans="1:37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spans="1:37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spans="1:37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spans="1:37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spans="1:37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spans="1:37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spans="1:37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spans="1:37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1:37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spans="1:37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spans="1:37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spans="1:37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spans="1:37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spans="1:37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spans="1:37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spans="1:37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spans="1:37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spans="1:37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spans="1:37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spans="1:37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spans="1:37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spans="1:37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spans="1:37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spans="1:37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spans="1:37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spans="1:37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spans="1:37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spans="1:37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spans="1:37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spans="1:37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spans="1:37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spans="1:37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spans="1:37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spans="1:37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spans="1:37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spans="1:37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spans="1:37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spans="1:37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spans="1:37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spans="1:37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spans="1:37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spans="1:37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spans="1:37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spans="1:37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spans="1:37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spans="1:37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spans="1:37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spans="1:37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spans="1:37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1:37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1:37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spans="1:37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spans="1:37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spans="1:37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spans="1:37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spans="1:37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spans="1:37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spans="1:37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spans="1:37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spans="1:37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spans="1:37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spans="1:37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spans="1:37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spans="1:37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spans="1:37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spans="1:37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spans="1:37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spans="1:37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spans="1:37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spans="1:37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spans="1:37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spans="1:37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spans="1:37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spans="1:37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spans="1:37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spans="1:37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spans="1:37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spans="1:37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spans="1:37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spans="1:37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spans="1:37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spans="1:37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spans="1:37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spans="1:37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spans="1:37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spans="1:37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spans="1:37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spans="1:37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spans="1:37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spans="1:37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spans="1:37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spans="1:37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37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spans="1:37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spans="1:37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spans="1:37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spans="1:37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spans="1:37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spans="1:37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spans="1:37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spans="1:37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spans="1:37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spans="1:37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spans="1:37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spans="1:37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spans="1:37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spans="1:37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spans="1:37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spans="1:37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spans="1:37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1:37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1:37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spans="1:37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1:37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1:37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spans="1:37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1:37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1:37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1:37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spans="1:37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1:37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spans="1:37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spans="1:37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spans="1:37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spans="1:37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spans="1:37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spans="1:37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spans="1:37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1:37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spans="1:37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spans="1:37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spans="1:37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spans="1:37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spans="1:37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spans="1:37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spans="1:37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spans="1:37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spans="1:37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spans="1:37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spans="1:37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spans="1:37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spans="1:37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spans="1:37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spans="1:37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spans="1:37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spans="1:37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spans="1:37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spans="1:37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spans="1:37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spans="1:37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spans="1:37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spans="1:37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spans="1:37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spans="1:37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spans="1:37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spans="1:37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spans="1:37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spans="1:37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spans="1:37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spans="1:37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spans="1:37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spans="1:37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spans="1:37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spans="1:37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spans="1:37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spans="1:37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spans="1:37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spans="1:37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spans="1:37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spans="1:37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1:37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1:37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spans="1:37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1:37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1:37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spans="1:37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1:37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1:37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1:37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spans="1:37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1:37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spans="1:37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spans="1:37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spans="1:37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spans="1:37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spans="1:37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spans="1:37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1:37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spans="1:37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spans="1:37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spans="1:37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spans="1:37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spans="1:37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spans="1:37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spans="1:37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spans="1:37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spans="1:37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spans="1:37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spans="1:37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spans="1:37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spans="1:37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spans="1:37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spans="1:37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spans="1:37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spans="1:37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spans="1:37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spans="1:37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spans="1:37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spans="1:37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spans="1:37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spans="1:37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spans="1:37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spans="1:37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spans="1:37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spans="1:37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spans="1:37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1:37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1:37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spans="1:37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1:37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spans="1:37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spans="1:37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spans="1:37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spans="1:37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spans="1:37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spans="1:37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spans="1:37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spans="1:37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spans="1:37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spans="1:37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spans="1:37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spans="1:37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spans="1:37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spans="1:37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spans="1:37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spans="1:37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spans="1:37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spans="1:37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spans="1:37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spans="1:37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spans="1:37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spans="1:37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spans="1:37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spans="1:37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spans="1:37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spans="1:37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spans="1:37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spans="1:37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spans="1:37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spans="1:37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spans="1:37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spans="1:37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spans="1:37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spans="1:37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spans="1:37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spans="1:37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spans="1:37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spans="1:37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spans="1:37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spans="1:37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spans="1:37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spans="1:37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spans="1:37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spans="1:37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spans="1:37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spans="1:37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spans="1:37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spans="1:37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spans="1:37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spans="1:37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spans="1:37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spans="1:37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spans="1:37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spans="1:37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spans="1:37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spans="1:37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spans="1:37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spans="1:37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spans="1:37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spans="1:37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spans="1:37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spans="1:37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spans="1:37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spans="1:37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spans="1:37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spans="1:37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spans="1:37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spans="1:37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spans="1:37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spans="1:37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spans="1:37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spans="1:37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spans="1:37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spans="1:37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spans="1:37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spans="1:37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spans="1:37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spans="1:37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spans="1:37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spans="1:37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spans="1:37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spans="1:37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spans="1:37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spans="1:37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spans="1:37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spans="1:37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spans="1:37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spans="1:37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spans="1:37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spans="1:37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spans="1:37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spans="1:37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spans="1:37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spans="1:37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spans="1:37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spans="1:37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spans="1:37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spans="1:37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spans="1:37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spans="1:37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spans="1:37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spans="1:37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spans="1:37" x14ac:dyDescent="0.25">
      <c r="A500" s="11"/>
      <c r="B500" s="11"/>
      <c r="C500" s="11"/>
      <c r="D500" s="11"/>
      <c r="E500" s="11"/>
      <c r="F500" s="11"/>
      <c r="G500" s="6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</sheetData>
  <autoFilter ref="A3:AK134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workbookViewId="0">
      <selection activeCell="O2" sqref="O2"/>
    </sheetView>
  </sheetViews>
  <sheetFormatPr defaultRowHeight="15" x14ac:dyDescent="0.25"/>
  <cols>
    <col min="1" max="1" width="12" customWidth="1"/>
    <col min="2" max="2" width="12" style="24" customWidth="1"/>
    <col min="3" max="3" width="99.28515625" bestFit="1" customWidth="1"/>
    <col min="4" max="4" width="9.5703125" customWidth="1"/>
    <col min="7" max="7" width="9.140625" style="23"/>
    <col min="8" max="8" width="9.140625" style="27"/>
  </cols>
  <sheetData>
    <row r="1" spans="1:13" ht="90" x14ac:dyDescent="0.25">
      <c r="A1" s="20" t="s">
        <v>185</v>
      </c>
      <c r="B1" s="20" t="s">
        <v>578</v>
      </c>
      <c r="C1" s="20" t="s">
        <v>186</v>
      </c>
      <c r="D1" s="20" t="s">
        <v>187</v>
      </c>
      <c r="E1" s="20" t="s">
        <v>188</v>
      </c>
      <c r="F1" s="20" t="s">
        <v>189</v>
      </c>
      <c r="G1" s="20" t="s">
        <v>190</v>
      </c>
      <c r="H1" s="25" t="s">
        <v>579</v>
      </c>
      <c r="I1" s="20" t="s">
        <v>191</v>
      </c>
      <c r="J1" s="20" t="s">
        <v>192</v>
      </c>
      <c r="K1" s="20" t="s">
        <v>193</v>
      </c>
      <c r="L1" s="20" t="s">
        <v>194</v>
      </c>
      <c r="M1" s="20" t="s">
        <v>195</v>
      </c>
    </row>
    <row r="2" spans="1:13" ht="30" x14ac:dyDescent="0.25">
      <c r="A2" s="21" t="s">
        <v>196</v>
      </c>
      <c r="B2" s="21" t="str">
        <f>SUBSTITUTE(A2," ","")</f>
        <v>SU000126</v>
      </c>
      <c r="C2" s="21" t="s">
        <v>197</v>
      </c>
      <c r="D2" s="22" t="s">
        <v>198</v>
      </c>
      <c r="E2" s="22" t="s">
        <v>198</v>
      </c>
      <c r="F2" s="22" t="s">
        <v>199</v>
      </c>
      <c r="G2" s="22" t="s">
        <v>200</v>
      </c>
      <c r="H2" s="26">
        <f>IF(--SUBSTITUTE(G2," ","")&gt;0,0,--SUBSTITUTE(G2," ",""))</f>
        <v>0</v>
      </c>
      <c r="I2" s="22" t="s">
        <v>201</v>
      </c>
      <c r="J2" s="22" t="s">
        <v>199</v>
      </c>
      <c r="K2" s="22" t="s">
        <v>202</v>
      </c>
      <c r="L2" s="22" t="s">
        <v>203</v>
      </c>
      <c r="M2" s="22" t="s">
        <v>204</v>
      </c>
    </row>
    <row r="3" spans="1:13" ht="30" x14ac:dyDescent="0.25">
      <c r="A3" s="21" t="s">
        <v>205</v>
      </c>
      <c r="B3" s="21" t="str">
        <f t="shared" ref="B3:B66" si="0">SUBSTITUTE(A3," ","")</f>
        <v>SU000227</v>
      </c>
      <c r="C3" s="21" t="s">
        <v>206</v>
      </c>
      <c r="D3" s="22" t="s">
        <v>207</v>
      </c>
      <c r="E3" s="22" t="s">
        <v>207</v>
      </c>
      <c r="F3" s="22" t="s">
        <v>208</v>
      </c>
      <c r="G3" s="22" t="s">
        <v>200</v>
      </c>
      <c r="H3" s="26">
        <f t="shared" ref="H3:H66" si="1">IF(--SUBSTITUTE(G3," ","")&gt;0,0,--SUBSTITUTE(G3," ",""))</f>
        <v>0</v>
      </c>
      <c r="I3" s="22" t="s">
        <v>201</v>
      </c>
      <c r="J3" s="22" t="s">
        <v>208</v>
      </c>
      <c r="K3" s="22" t="s">
        <v>202</v>
      </c>
      <c r="L3" s="22" t="s">
        <v>209</v>
      </c>
      <c r="M3" s="22" t="s">
        <v>210</v>
      </c>
    </row>
    <row r="4" spans="1:13" ht="30" x14ac:dyDescent="0.25">
      <c r="A4" s="21" t="s">
        <v>211</v>
      </c>
      <c r="B4" s="21" t="str">
        <f t="shared" si="0"/>
        <v>SU000722</v>
      </c>
      <c r="C4" s="21" t="s">
        <v>212</v>
      </c>
      <c r="D4" s="22" t="s">
        <v>213</v>
      </c>
      <c r="E4" s="22" t="s">
        <v>213</v>
      </c>
      <c r="F4" s="22" t="s">
        <v>214</v>
      </c>
      <c r="G4" s="22" t="s">
        <v>215</v>
      </c>
      <c r="H4" s="26">
        <f t="shared" si="1"/>
        <v>0</v>
      </c>
      <c r="I4" s="22" t="s">
        <v>201</v>
      </c>
      <c r="J4" s="22" t="s">
        <v>214</v>
      </c>
      <c r="K4" s="22" t="s">
        <v>202</v>
      </c>
      <c r="L4" s="22" t="s">
        <v>216</v>
      </c>
      <c r="M4" s="22" t="s">
        <v>217</v>
      </c>
    </row>
    <row r="5" spans="1:13" ht="30" x14ac:dyDescent="0.25">
      <c r="A5" s="21" t="s">
        <v>218</v>
      </c>
      <c r="B5" s="21" t="str">
        <f t="shared" si="0"/>
        <v>SU001430</v>
      </c>
      <c r="C5" s="21" t="s">
        <v>219</v>
      </c>
      <c r="D5" s="22" t="s">
        <v>220</v>
      </c>
      <c r="E5" s="22" t="s">
        <v>220</v>
      </c>
      <c r="F5" s="22" t="s">
        <v>221</v>
      </c>
      <c r="G5" s="22" t="s">
        <v>215</v>
      </c>
      <c r="H5" s="26">
        <f t="shared" si="1"/>
        <v>0</v>
      </c>
      <c r="I5" s="22" t="s">
        <v>201</v>
      </c>
      <c r="J5" s="22" t="s">
        <v>221</v>
      </c>
      <c r="K5" s="22" t="s">
        <v>202</v>
      </c>
      <c r="L5" s="22" t="s">
        <v>222</v>
      </c>
      <c r="M5" s="22" t="s">
        <v>223</v>
      </c>
    </row>
    <row r="6" spans="1:13" ht="30" x14ac:dyDescent="0.25">
      <c r="A6" s="21" t="s">
        <v>224</v>
      </c>
      <c r="B6" s="21" t="str">
        <f t="shared" si="0"/>
        <v>SU001523</v>
      </c>
      <c r="C6" s="21" t="s">
        <v>225</v>
      </c>
      <c r="D6" s="22" t="s">
        <v>226</v>
      </c>
      <c r="E6" s="22" t="s">
        <v>226</v>
      </c>
      <c r="F6" s="22" t="s">
        <v>227</v>
      </c>
      <c r="G6" s="22" t="s">
        <v>228</v>
      </c>
      <c r="H6" s="26">
        <f t="shared" si="1"/>
        <v>0</v>
      </c>
      <c r="I6" s="22" t="s">
        <v>201</v>
      </c>
      <c r="J6" s="22" t="s">
        <v>227</v>
      </c>
      <c r="K6" s="22" t="s">
        <v>202</v>
      </c>
      <c r="L6" s="22" t="s">
        <v>229</v>
      </c>
      <c r="M6" s="22" t="s">
        <v>230</v>
      </c>
    </row>
    <row r="7" spans="1:13" ht="30" x14ac:dyDescent="0.25">
      <c r="A7" s="21" t="s">
        <v>231</v>
      </c>
      <c r="B7" s="21" t="str">
        <f t="shared" si="0"/>
        <v>SU001718</v>
      </c>
      <c r="C7" s="21" t="s">
        <v>232</v>
      </c>
      <c r="D7" s="22" t="s">
        <v>233</v>
      </c>
      <c r="E7" s="22" t="s">
        <v>233</v>
      </c>
      <c r="F7" s="22" t="s">
        <v>233</v>
      </c>
      <c r="G7" s="22" t="s">
        <v>234</v>
      </c>
      <c r="H7" s="26">
        <f t="shared" si="1"/>
        <v>0</v>
      </c>
      <c r="I7" s="22" t="s">
        <v>235</v>
      </c>
      <c r="J7" s="22" t="s">
        <v>236</v>
      </c>
      <c r="K7" s="22" t="s">
        <v>237</v>
      </c>
      <c r="L7" s="22" t="s">
        <v>238</v>
      </c>
      <c r="M7" s="22" t="s">
        <v>239</v>
      </c>
    </row>
    <row r="8" spans="1:13" ht="30" x14ac:dyDescent="0.25">
      <c r="A8" s="21" t="s">
        <v>240</v>
      </c>
      <c r="B8" s="21" t="str">
        <f t="shared" si="0"/>
        <v>SU001720</v>
      </c>
      <c r="C8" s="21" t="s">
        <v>241</v>
      </c>
      <c r="D8" s="22" t="s">
        <v>242</v>
      </c>
      <c r="E8" s="22" t="s">
        <v>242</v>
      </c>
      <c r="F8" s="22" t="s">
        <v>242</v>
      </c>
      <c r="G8" s="22" t="s">
        <v>234</v>
      </c>
      <c r="H8" s="26">
        <f t="shared" si="1"/>
        <v>0</v>
      </c>
      <c r="I8" s="22" t="s">
        <v>235</v>
      </c>
      <c r="J8" s="22" t="s">
        <v>243</v>
      </c>
      <c r="K8" s="22" t="s">
        <v>237</v>
      </c>
      <c r="L8" s="22" t="s">
        <v>244</v>
      </c>
      <c r="M8" s="22" t="s">
        <v>245</v>
      </c>
    </row>
    <row r="9" spans="1:13" ht="30" x14ac:dyDescent="0.25">
      <c r="A9" s="21" t="s">
        <v>246</v>
      </c>
      <c r="B9" s="21" t="str">
        <f t="shared" si="0"/>
        <v>SU001721</v>
      </c>
      <c r="C9" s="21" t="s">
        <v>247</v>
      </c>
      <c r="D9" s="22" t="s">
        <v>248</v>
      </c>
      <c r="E9" s="22" t="s">
        <v>248</v>
      </c>
      <c r="F9" s="22" t="s">
        <v>249</v>
      </c>
      <c r="G9" s="22" t="s">
        <v>250</v>
      </c>
      <c r="H9" s="26">
        <f t="shared" si="1"/>
        <v>0</v>
      </c>
      <c r="I9" s="22" t="s">
        <v>201</v>
      </c>
      <c r="J9" s="22" t="s">
        <v>249</v>
      </c>
      <c r="K9" s="22" t="s">
        <v>202</v>
      </c>
      <c r="L9" s="22" t="s">
        <v>251</v>
      </c>
      <c r="M9" s="22" t="s">
        <v>252</v>
      </c>
    </row>
    <row r="10" spans="1:13" ht="30" x14ac:dyDescent="0.25">
      <c r="A10" s="21" t="s">
        <v>253</v>
      </c>
      <c r="B10" s="21" t="str">
        <f t="shared" si="0"/>
        <v>SU001822</v>
      </c>
      <c r="C10" s="21" t="s">
        <v>254</v>
      </c>
      <c r="D10" s="22" t="s">
        <v>255</v>
      </c>
      <c r="E10" s="22" t="s">
        <v>255</v>
      </c>
      <c r="F10" s="22" t="s">
        <v>256</v>
      </c>
      <c r="G10" s="22" t="s">
        <v>215</v>
      </c>
      <c r="H10" s="26">
        <f t="shared" si="1"/>
        <v>0</v>
      </c>
      <c r="I10" s="22" t="s">
        <v>201</v>
      </c>
      <c r="J10" s="22" t="s">
        <v>256</v>
      </c>
      <c r="K10" s="22" t="s">
        <v>202</v>
      </c>
      <c r="L10" s="22" t="s">
        <v>257</v>
      </c>
      <c r="M10" s="22" t="s">
        <v>258</v>
      </c>
    </row>
    <row r="11" spans="1:13" ht="30" x14ac:dyDescent="0.25">
      <c r="A11" s="21" t="s">
        <v>259</v>
      </c>
      <c r="B11" s="21" t="str">
        <f t="shared" si="0"/>
        <v>SU002010</v>
      </c>
      <c r="C11" s="21" t="s">
        <v>260</v>
      </c>
      <c r="D11" s="22" t="s">
        <v>261</v>
      </c>
      <c r="E11" s="22" t="s">
        <v>261</v>
      </c>
      <c r="F11" s="22" t="s">
        <v>262</v>
      </c>
      <c r="G11" s="22" t="s">
        <v>228</v>
      </c>
      <c r="H11" s="26">
        <f t="shared" si="1"/>
        <v>0</v>
      </c>
      <c r="I11" s="22" t="s">
        <v>201</v>
      </c>
      <c r="J11" s="22" t="s">
        <v>262</v>
      </c>
      <c r="K11" s="22" t="s">
        <v>202</v>
      </c>
      <c r="L11" s="22" t="s">
        <v>263</v>
      </c>
      <c r="M11" s="22" t="s">
        <v>264</v>
      </c>
    </row>
    <row r="12" spans="1:13" ht="30" x14ac:dyDescent="0.25">
      <c r="A12" s="21" t="s">
        <v>265</v>
      </c>
      <c r="B12" s="21" t="str">
        <f t="shared" si="0"/>
        <v>SU002035</v>
      </c>
      <c r="C12" s="21" t="s">
        <v>266</v>
      </c>
      <c r="D12" s="22" t="s">
        <v>267</v>
      </c>
      <c r="E12" s="22" t="s">
        <v>267</v>
      </c>
      <c r="F12" s="22" t="s">
        <v>268</v>
      </c>
      <c r="G12" s="22" t="s">
        <v>215</v>
      </c>
      <c r="H12" s="26">
        <f t="shared" si="1"/>
        <v>0</v>
      </c>
      <c r="I12" s="22" t="s">
        <v>201</v>
      </c>
      <c r="J12" s="22" t="s">
        <v>268</v>
      </c>
      <c r="K12" s="22" t="s">
        <v>202</v>
      </c>
      <c r="L12" s="22" t="s">
        <v>269</v>
      </c>
      <c r="M12" s="22" t="s">
        <v>270</v>
      </c>
    </row>
    <row r="13" spans="1:13" ht="30" x14ac:dyDescent="0.25">
      <c r="A13" s="21" t="s">
        <v>271</v>
      </c>
      <c r="B13" s="21" t="str">
        <f t="shared" si="0"/>
        <v>SU002074</v>
      </c>
      <c r="C13" s="21" t="s">
        <v>272</v>
      </c>
      <c r="D13" s="22" t="s">
        <v>273</v>
      </c>
      <c r="E13" s="22" t="s">
        <v>273</v>
      </c>
      <c r="F13" s="22" t="s">
        <v>274</v>
      </c>
      <c r="G13" s="22" t="s">
        <v>275</v>
      </c>
      <c r="H13" s="26">
        <f t="shared" si="1"/>
        <v>0</v>
      </c>
      <c r="I13" s="22" t="s">
        <v>201</v>
      </c>
      <c r="J13" s="22" t="s">
        <v>274</v>
      </c>
      <c r="K13" s="22" t="s">
        <v>202</v>
      </c>
      <c r="L13" s="22" t="s">
        <v>276</v>
      </c>
      <c r="M13" s="22" t="s">
        <v>277</v>
      </c>
    </row>
    <row r="14" spans="1:13" ht="30" x14ac:dyDescent="0.25">
      <c r="A14" s="21" t="s">
        <v>278</v>
      </c>
      <c r="B14" s="21" t="str">
        <f t="shared" si="0"/>
        <v>SU002151</v>
      </c>
      <c r="C14" s="21" t="s">
        <v>279</v>
      </c>
      <c r="D14" s="22" t="s">
        <v>280</v>
      </c>
      <c r="E14" s="22" t="s">
        <v>280</v>
      </c>
      <c r="F14" s="22" t="s">
        <v>281</v>
      </c>
      <c r="G14" s="22" t="s">
        <v>282</v>
      </c>
      <c r="H14" s="26">
        <f t="shared" si="1"/>
        <v>-1</v>
      </c>
      <c r="I14" s="22" t="s">
        <v>201</v>
      </c>
      <c r="J14" s="22" t="s">
        <v>281</v>
      </c>
      <c r="K14" s="22" t="s">
        <v>202</v>
      </c>
      <c r="L14" s="22" t="s">
        <v>283</v>
      </c>
      <c r="M14" s="22" t="s">
        <v>284</v>
      </c>
    </row>
    <row r="15" spans="1:13" ht="30" x14ac:dyDescent="0.25">
      <c r="A15" s="21" t="s">
        <v>285</v>
      </c>
      <c r="B15" s="21" t="str">
        <f t="shared" si="0"/>
        <v>SU002158</v>
      </c>
      <c r="C15" s="21" t="s">
        <v>286</v>
      </c>
      <c r="D15" s="22" t="s">
        <v>287</v>
      </c>
      <c r="E15" s="22" t="s">
        <v>287</v>
      </c>
      <c r="F15" s="22" t="s">
        <v>288</v>
      </c>
      <c r="G15" s="22" t="s">
        <v>250</v>
      </c>
      <c r="H15" s="26">
        <f t="shared" si="1"/>
        <v>0</v>
      </c>
      <c r="I15" s="22" t="s">
        <v>201</v>
      </c>
      <c r="J15" s="22" t="s">
        <v>288</v>
      </c>
      <c r="K15" s="22" t="s">
        <v>202</v>
      </c>
      <c r="L15" s="22" t="s">
        <v>289</v>
      </c>
      <c r="M15" s="22" t="s">
        <v>290</v>
      </c>
    </row>
    <row r="16" spans="1:13" x14ac:dyDescent="0.25">
      <c r="A16" s="21" t="s">
        <v>291</v>
      </c>
      <c r="B16" s="21" t="str">
        <f t="shared" si="0"/>
        <v>SU002205</v>
      </c>
      <c r="C16" s="21" t="s">
        <v>292</v>
      </c>
      <c r="D16" s="22" t="s">
        <v>200</v>
      </c>
      <c r="E16" s="22" t="s">
        <v>234</v>
      </c>
      <c r="F16" s="22" t="s">
        <v>234</v>
      </c>
      <c r="G16" s="22" t="s">
        <v>293</v>
      </c>
      <c r="H16" s="26">
        <f t="shared" si="1"/>
        <v>-5</v>
      </c>
      <c r="I16" s="22" t="s">
        <v>235</v>
      </c>
      <c r="J16" s="22" t="s">
        <v>234</v>
      </c>
      <c r="K16" s="22" t="s">
        <v>294</v>
      </c>
      <c r="L16" s="22" t="s">
        <v>295</v>
      </c>
      <c r="M16" s="22" t="s">
        <v>296</v>
      </c>
    </row>
    <row r="17" spans="1:13" x14ac:dyDescent="0.25">
      <c r="A17" s="21" t="s">
        <v>297</v>
      </c>
      <c r="B17" s="21" t="str">
        <f t="shared" si="0"/>
        <v>SU002287</v>
      </c>
      <c r="C17" s="21" t="s">
        <v>298</v>
      </c>
      <c r="D17" s="22" t="s">
        <v>299</v>
      </c>
      <c r="E17" s="22" t="s">
        <v>234</v>
      </c>
      <c r="F17" s="22" t="s">
        <v>234</v>
      </c>
      <c r="G17" s="22" t="s">
        <v>300</v>
      </c>
      <c r="H17" s="26">
        <f t="shared" si="1"/>
        <v>-54</v>
      </c>
      <c r="I17" s="22" t="s">
        <v>201</v>
      </c>
      <c r="J17" s="22" t="s">
        <v>234</v>
      </c>
      <c r="K17" s="22" t="s">
        <v>202</v>
      </c>
      <c r="L17" s="22" t="s">
        <v>301</v>
      </c>
      <c r="M17" s="22" t="s">
        <v>296</v>
      </c>
    </row>
    <row r="18" spans="1:13" ht="30" x14ac:dyDescent="0.25">
      <c r="A18" s="21" t="s">
        <v>302</v>
      </c>
      <c r="B18" s="21" t="str">
        <f t="shared" si="0"/>
        <v>SU002618</v>
      </c>
      <c r="C18" s="21" t="s">
        <v>303</v>
      </c>
      <c r="D18" s="22" t="s">
        <v>304</v>
      </c>
      <c r="E18" s="22" t="s">
        <v>304</v>
      </c>
      <c r="F18" s="22" t="s">
        <v>304</v>
      </c>
      <c r="G18" s="22" t="s">
        <v>234</v>
      </c>
      <c r="H18" s="26">
        <f t="shared" si="1"/>
        <v>0</v>
      </c>
      <c r="I18" s="22" t="s">
        <v>235</v>
      </c>
      <c r="J18" s="22" t="s">
        <v>305</v>
      </c>
      <c r="K18" s="22" t="s">
        <v>294</v>
      </c>
      <c r="L18" s="22" t="s">
        <v>306</v>
      </c>
      <c r="M18" s="22" t="s">
        <v>307</v>
      </c>
    </row>
    <row r="19" spans="1:13" ht="30" x14ac:dyDescent="0.25">
      <c r="A19" s="21" t="s">
        <v>308</v>
      </c>
      <c r="B19" s="21" t="str">
        <f t="shared" si="0"/>
        <v>SU002621</v>
      </c>
      <c r="C19" s="21" t="s">
        <v>309</v>
      </c>
      <c r="D19" s="22" t="s">
        <v>310</v>
      </c>
      <c r="E19" s="22" t="s">
        <v>310</v>
      </c>
      <c r="F19" s="22" t="s">
        <v>310</v>
      </c>
      <c r="G19" s="22" t="s">
        <v>234</v>
      </c>
      <c r="H19" s="26">
        <f t="shared" si="1"/>
        <v>0</v>
      </c>
      <c r="I19" s="22" t="s">
        <v>235</v>
      </c>
      <c r="J19" s="22" t="s">
        <v>311</v>
      </c>
      <c r="K19" s="22" t="s">
        <v>294</v>
      </c>
      <c r="L19" s="22" t="s">
        <v>306</v>
      </c>
      <c r="M19" s="22" t="s">
        <v>312</v>
      </c>
    </row>
    <row r="20" spans="1:13" ht="30" x14ac:dyDescent="0.25">
      <c r="A20" s="21" t="s">
        <v>313</v>
      </c>
      <c r="B20" s="21" t="str">
        <f t="shared" si="0"/>
        <v>SU002634</v>
      </c>
      <c r="C20" s="21" t="s">
        <v>314</v>
      </c>
      <c r="D20" s="22" t="s">
        <v>315</v>
      </c>
      <c r="E20" s="22" t="s">
        <v>315</v>
      </c>
      <c r="F20" s="22" t="s">
        <v>316</v>
      </c>
      <c r="G20" s="22" t="s">
        <v>317</v>
      </c>
      <c r="H20" s="26">
        <f t="shared" si="1"/>
        <v>0</v>
      </c>
      <c r="I20" s="22" t="s">
        <v>201</v>
      </c>
      <c r="J20" s="22" t="s">
        <v>316</v>
      </c>
      <c r="K20" s="22" t="s">
        <v>202</v>
      </c>
      <c r="L20" s="22" t="s">
        <v>318</v>
      </c>
      <c r="M20" s="22" t="s">
        <v>319</v>
      </c>
    </row>
    <row r="21" spans="1:13" x14ac:dyDescent="0.25">
      <c r="A21" s="21" t="s">
        <v>320</v>
      </c>
      <c r="B21" s="21" t="str">
        <f t="shared" si="0"/>
        <v>SU002655</v>
      </c>
      <c r="C21" s="21" t="s">
        <v>321</v>
      </c>
      <c r="D21" s="22" t="s">
        <v>322</v>
      </c>
      <c r="E21" s="22" t="s">
        <v>234</v>
      </c>
      <c r="F21" s="22" t="s">
        <v>234</v>
      </c>
      <c r="G21" s="22" t="s">
        <v>323</v>
      </c>
      <c r="H21" s="26">
        <f t="shared" si="1"/>
        <v>-27</v>
      </c>
      <c r="I21" s="22" t="s">
        <v>201</v>
      </c>
      <c r="J21" s="22" t="s">
        <v>234</v>
      </c>
      <c r="K21" s="22" t="s">
        <v>202</v>
      </c>
      <c r="L21" s="22" t="s">
        <v>324</v>
      </c>
      <c r="M21" s="22" t="s">
        <v>296</v>
      </c>
    </row>
    <row r="22" spans="1:13" ht="30" x14ac:dyDescent="0.25">
      <c r="A22" s="21" t="s">
        <v>325</v>
      </c>
      <c r="B22" s="21" t="str">
        <f t="shared" si="0"/>
        <v>SU002660</v>
      </c>
      <c r="C22" s="21" t="s">
        <v>326</v>
      </c>
      <c r="D22" s="22" t="s">
        <v>327</v>
      </c>
      <c r="E22" s="22" t="s">
        <v>234</v>
      </c>
      <c r="F22" s="22" t="s">
        <v>234</v>
      </c>
      <c r="G22" s="22" t="s">
        <v>328</v>
      </c>
      <c r="H22" s="26">
        <f t="shared" si="1"/>
        <v>-19</v>
      </c>
      <c r="I22" s="22" t="s">
        <v>235</v>
      </c>
      <c r="J22" s="22" t="s">
        <v>234</v>
      </c>
      <c r="K22" s="22" t="s">
        <v>329</v>
      </c>
      <c r="L22" s="22" t="s">
        <v>330</v>
      </c>
      <c r="M22" s="22" t="s">
        <v>296</v>
      </c>
    </row>
    <row r="23" spans="1:13" ht="30" x14ac:dyDescent="0.25">
      <c r="A23" s="21" t="s">
        <v>331</v>
      </c>
      <c r="B23" s="21" t="str">
        <f t="shared" si="0"/>
        <v>SU002686</v>
      </c>
      <c r="C23" s="21" t="s">
        <v>332</v>
      </c>
      <c r="D23" s="22" t="s">
        <v>333</v>
      </c>
      <c r="E23" s="22" t="s">
        <v>333</v>
      </c>
      <c r="F23" s="22" t="s">
        <v>333</v>
      </c>
      <c r="G23" s="22" t="s">
        <v>234</v>
      </c>
      <c r="H23" s="26">
        <f t="shared" si="1"/>
        <v>0</v>
      </c>
      <c r="I23" s="22" t="s">
        <v>235</v>
      </c>
      <c r="J23" s="22" t="s">
        <v>334</v>
      </c>
      <c r="K23" s="22" t="s">
        <v>294</v>
      </c>
      <c r="L23" s="22" t="s">
        <v>335</v>
      </c>
      <c r="M23" s="22" t="s">
        <v>336</v>
      </c>
    </row>
    <row r="24" spans="1:13" ht="30" x14ac:dyDescent="0.25">
      <c r="A24" s="21" t="s">
        <v>337</v>
      </c>
      <c r="B24" s="21" t="str">
        <f t="shared" si="0"/>
        <v>SU002725</v>
      </c>
      <c r="C24" s="21" t="s">
        <v>338</v>
      </c>
      <c r="D24" s="22" t="s">
        <v>339</v>
      </c>
      <c r="E24" s="22" t="s">
        <v>339</v>
      </c>
      <c r="F24" s="22" t="s">
        <v>340</v>
      </c>
      <c r="G24" s="22" t="s">
        <v>250</v>
      </c>
      <c r="H24" s="26">
        <f t="shared" si="1"/>
        <v>0</v>
      </c>
      <c r="I24" s="22" t="s">
        <v>201</v>
      </c>
      <c r="J24" s="22" t="s">
        <v>340</v>
      </c>
      <c r="K24" s="22" t="s">
        <v>202</v>
      </c>
      <c r="L24" s="22" t="s">
        <v>341</v>
      </c>
      <c r="M24" s="22" t="s">
        <v>342</v>
      </c>
    </row>
    <row r="25" spans="1:13" ht="30" x14ac:dyDescent="0.25">
      <c r="A25" s="21" t="s">
        <v>343</v>
      </c>
      <c r="B25" s="21" t="str">
        <f t="shared" si="0"/>
        <v>SU002734</v>
      </c>
      <c r="C25" s="21" t="s">
        <v>344</v>
      </c>
      <c r="D25" s="22" t="s">
        <v>345</v>
      </c>
      <c r="E25" s="22" t="s">
        <v>345</v>
      </c>
      <c r="F25" s="22" t="s">
        <v>345</v>
      </c>
      <c r="G25" s="22" t="s">
        <v>234</v>
      </c>
      <c r="H25" s="26">
        <f t="shared" si="1"/>
        <v>0</v>
      </c>
      <c r="I25" s="22" t="s">
        <v>235</v>
      </c>
      <c r="J25" s="22" t="s">
        <v>346</v>
      </c>
      <c r="K25" s="22" t="s">
        <v>237</v>
      </c>
      <c r="L25" s="22" t="s">
        <v>347</v>
      </c>
      <c r="M25" s="22" t="s">
        <v>348</v>
      </c>
    </row>
    <row r="26" spans="1:13" ht="30" x14ac:dyDescent="0.25">
      <c r="A26" s="21" t="s">
        <v>349</v>
      </c>
      <c r="B26" s="21" t="str">
        <f t="shared" si="0"/>
        <v>SU002735</v>
      </c>
      <c r="C26" s="21" t="s">
        <v>350</v>
      </c>
      <c r="D26" s="22" t="s">
        <v>351</v>
      </c>
      <c r="E26" s="22" t="s">
        <v>351</v>
      </c>
      <c r="F26" s="22" t="s">
        <v>351</v>
      </c>
      <c r="G26" s="22" t="s">
        <v>234</v>
      </c>
      <c r="H26" s="26">
        <f t="shared" si="1"/>
        <v>0</v>
      </c>
      <c r="I26" s="22" t="s">
        <v>235</v>
      </c>
      <c r="J26" s="22" t="s">
        <v>352</v>
      </c>
      <c r="K26" s="22" t="s">
        <v>294</v>
      </c>
      <c r="L26" s="22" t="s">
        <v>353</v>
      </c>
      <c r="M26" s="22" t="s">
        <v>354</v>
      </c>
    </row>
    <row r="27" spans="1:13" ht="30" x14ac:dyDescent="0.25">
      <c r="A27" s="21" t="s">
        <v>355</v>
      </c>
      <c r="B27" s="21" t="str">
        <f t="shared" si="0"/>
        <v>SU002756</v>
      </c>
      <c r="C27" s="21" t="s">
        <v>356</v>
      </c>
      <c r="D27" s="22" t="s">
        <v>357</v>
      </c>
      <c r="E27" s="22" t="s">
        <v>357</v>
      </c>
      <c r="F27" s="22" t="s">
        <v>234</v>
      </c>
      <c r="G27" s="22" t="s">
        <v>358</v>
      </c>
      <c r="H27" s="26">
        <f t="shared" si="1"/>
        <v>-17</v>
      </c>
      <c r="I27" s="22" t="s">
        <v>201</v>
      </c>
      <c r="J27" s="22" t="s">
        <v>234</v>
      </c>
      <c r="K27" s="22" t="s">
        <v>202</v>
      </c>
      <c r="L27" s="22" t="s">
        <v>359</v>
      </c>
      <c r="M27" s="22" t="s">
        <v>296</v>
      </c>
    </row>
    <row r="28" spans="1:13" x14ac:dyDescent="0.25">
      <c r="A28" s="21" t="s">
        <v>360</v>
      </c>
      <c r="B28" s="21" t="str">
        <f t="shared" si="0"/>
        <v>SU002758</v>
      </c>
      <c r="C28" s="21" t="s">
        <v>361</v>
      </c>
      <c r="D28" s="22" t="s">
        <v>357</v>
      </c>
      <c r="E28" s="22" t="s">
        <v>234</v>
      </c>
      <c r="F28" s="22" t="s">
        <v>234</v>
      </c>
      <c r="G28" s="22" t="s">
        <v>358</v>
      </c>
      <c r="H28" s="26">
        <f t="shared" si="1"/>
        <v>-17</v>
      </c>
      <c r="I28" s="22" t="s">
        <v>235</v>
      </c>
      <c r="J28" s="22" t="s">
        <v>234</v>
      </c>
      <c r="K28" s="22" t="s">
        <v>294</v>
      </c>
      <c r="L28" s="22" t="s">
        <v>362</v>
      </c>
      <c r="M28" s="22" t="s">
        <v>296</v>
      </c>
    </row>
    <row r="29" spans="1:13" x14ac:dyDescent="0.25">
      <c r="A29" s="21" t="s">
        <v>363</v>
      </c>
      <c r="B29" s="21" t="str">
        <f t="shared" si="0"/>
        <v>SU002759</v>
      </c>
      <c r="C29" s="21" t="s">
        <v>364</v>
      </c>
      <c r="D29" s="22" t="s">
        <v>365</v>
      </c>
      <c r="E29" s="22" t="s">
        <v>365</v>
      </c>
      <c r="F29" s="22" t="s">
        <v>365</v>
      </c>
      <c r="G29" s="22" t="s">
        <v>234</v>
      </c>
      <c r="H29" s="26">
        <f t="shared" si="1"/>
        <v>0</v>
      </c>
      <c r="I29" s="22" t="s">
        <v>235</v>
      </c>
      <c r="J29" s="22" t="s">
        <v>366</v>
      </c>
      <c r="K29" s="22" t="s">
        <v>294</v>
      </c>
      <c r="L29" s="22" t="s">
        <v>362</v>
      </c>
      <c r="M29" s="22" t="s">
        <v>367</v>
      </c>
    </row>
    <row r="30" spans="1:13" x14ac:dyDescent="0.25">
      <c r="A30" s="21" t="s">
        <v>368</v>
      </c>
      <c r="B30" s="21" t="str">
        <f t="shared" si="0"/>
        <v>SU002799</v>
      </c>
      <c r="C30" s="21" t="s">
        <v>369</v>
      </c>
      <c r="D30" s="22" t="s">
        <v>370</v>
      </c>
      <c r="E30" s="22" t="s">
        <v>370</v>
      </c>
      <c r="F30" s="22" t="s">
        <v>370</v>
      </c>
      <c r="G30" s="22" t="s">
        <v>234</v>
      </c>
      <c r="H30" s="26">
        <f t="shared" si="1"/>
        <v>0</v>
      </c>
      <c r="I30" s="22" t="s">
        <v>235</v>
      </c>
      <c r="J30" s="22" t="s">
        <v>299</v>
      </c>
      <c r="K30" s="22" t="s">
        <v>294</v>
      </c>
      <c r="L30" s="22" t="s">
        <v>371</v>
      </c>
      <c r="M30" s="22" t="s">
        <v>372</v>
      </c>
    </row>
    <row r="31" spans="1:13" x14ac:dyDescent="0.25">
      <c r="A31" s="21" t="s">
        <v>373</v>
      </c>
      <c r="B31" s="21" t="str">
        <f t="shared" si="0"/>
        <v>SU002801</v>
      </c>
      <c r="C31" s="21" t="s">
        <v>374</v>
      </c>
      <c r="D31" s="22" t="s">
        <v>370</v>
      </c>
      <c r="E31" s="22" t="s">
        <v>370</v>
      </c>
      <c r="F31" s="22" t="s">
        <v>370</v>
      </c>
      <c r="G31" s="22" t="s">
        <v>234</v>
      </c>
      <c r="H31" s="26">
        <f t="shared" si="1"/>
        <v>0</v>
      </c>
      <c r="I31" s="22" t="s">
        <v>235</v>
      </c>
      <c r="J31" s="22" t="s">
        <v>299</v>
      </c>
      <c r="K31" s="22" t="s">
        <v>294</v>
      </c>
      <c r="L31" s="22" t="s">
        <v>371</v>
      </c>
      <c r="M31" s="22" t="s">
        <v>372</v>
      </c>
    </row>
    <row r="32" spans="1:13" ht="30" x14ac:dyDescent="0.25">
      <c r="A32" s="21" t="s">
        <v>375</v>
      </c>
      <c r="B32" s="21" t="str">
        <f t="shared" si="0"/>
        <v>SU002816</v>
      </c>
      <c r="C32" s="21" t="s">
        <v>376</v>
      </c>
      <c r="D32" s="22" t="s">
        <v>377</v>
      </c>
      <c r="E32" s="22" t="s">
        <v>377</v>
      </c>
      <c r="F32" s="22" t="s">
        <v>377</v>
      </c>
      <c r="G32" s="22" t="s">
        <v>234</v>
      </c>
      <c r="H32" s="26">
        <f t="shared" si="1"/>
        <v>0</v>
      </c>
      <c r="I32" s="22" t="s">
        <v>235</v>
      </c>
      <c r="J32" s="22" t="s">
        <v>378</v>
      </c>
      <c r="K32" s="22" t="s">
        <v>237</v>
      </c>
      <c r="L32" s="22" t="s">
        <v>379</v>
      </c>
      <c r="M32" s="22" t="s">
        <v>380</v>
      </c>
    </row>
    <row r="33" spans="1:13" ht="30" x14ac:dyDescent="0.25">
      <c r="A33" s="21" t="s">
        <v>381</v>
      </c>
      <c r="B33" s="21" t="str">
        <f t="shared" si="0"/>
        <v>SU002828</v>
      </c>
      <c r="C33" s="21" t="s">
        <v>382</v>
      </c>
      <c r="D33" s="22" t="s">
        <v>383</v>
      </c>
      <c r="E33" s="22" t="s">
        <v>383</v>
      </c>
      <c r="F33" s="22" t="s">
        <v>383</v>
      </c>
      <c r="G33" s="22" t="s">
        <v>234</v>
      </c>
      <c r="H33" s="26">
        <f t="shared" si="1"/>
        <v>0</v>
      </c>
      <c r="I33" s="22" t="s">
        <v>201</v>
      </c>
      <c r="J33" s="22" t="s">
        <v>383</v>
      </c>
      <c r="K33" s="22" t="s">
        <v>202</v>
      </c>
      <c r="L33" s="22" t="s">
        <v>384</v>
      </c>
      <c r="M33" s="22" t="s">
        <v>385</v>
      </c>
    </row>
    <row r="34" spans="1:13" ht="30" x14ac:dyDescent="0.25">
      <c r="A34" s="21" t="s">
        <v>386</v>
      </c>
      <c r="B34" s="21" t="str">
        <f t="shared" si="0"/>
        <v>SU002829</v>
      </c>
      <c r="C34" s="21" t="s">
        <v>387</v>
      </c>
      <c r="D34" s="22" t="s">
        <v>388</v>
      </c>
      <c r="E34" s="22" t="s">
        <v>388</v>
      </c>
      <c r="F34" s="22" t="s">
        <v>389</v>
      </c>
      <c r="G34" s="22" t="s">
        <v>390</v>
      </c>
      <c r="H34" s="26">
        <f t="shared" si="1"/>
        <v>-2</v>
      </c>
      <c r="I34" s="22" t="s">
        <v>201</v>
      </c>
      <c r="J34" s="22" t="s">
        <v>389</v>
      </c>
      <c r="K34" s="22" t="s">
        <v>202</v>
      </c>
      <c r="L34" s="22" t="s">
        <v>391</v>
      </c>
      <c r="M34" s="22" t="s">
        <v>392</v>
      </c>
    </row>
    <row r="35" spans="1:13" ht="30" x14ac:dyDescent="0.25">
      <c r="A35" s="21" t="s">
        <v>393</v>
      </c>
      <c r="B35" s="21" t="str">
        <f t="shared" si="0"/>
        <v>SU002830</v>
      </c>
      <c r="C35" s="21" t="s">
        <v>394</v>
      </c>
      <c r="D35" s="22" t="s">
        <v>395</v>
      </c>
      <c r="E35" s="22" t="s">
        <v>395</v>
      </c>
      <c r="F35" s="22" t="s">
        <v>396</v>
      </c>
      <c r="G35" s="22" t="s">
        <v>282</v>
      </c>
      <c r="H35" s="26">
        <f t="shared" si="1"/>
        <v>-1</v>
      </c>
      <c r="I35" s="22" t="s">
        <v>201</v>
      </c>
      <c r="J35" s="22" t="s">
        <v>396</v>
      </c>
      <c r="K35" s="22" t="s">
        <v>202</v>
      </c>
      <c r="L35" s="22" t="s">
        <v>397</v>
      </c>
      <c r="M35" s="22" t="s">
        <v>398</v>
      </c>
    </row>
    <row r="36" spans="1:13" ht="30" x14ac:dyDescent="0.25">
      <c r="A36" s="21" t="s">
        <v>399</v>
      </c>
      <c r="B36" s="21" t="str">
        <f t="shared" si="0"/>
        <v>SU002831</v>
      </c>
      <c r="C36" s="21" t="s">
        <v>400</v>
      </c>
      <c r="D36" s="22" t="s">
        <v>401</v>
      </c>
      <c r="E36" s="22" t="s">
        <v>401</v>
      </c>
      <c r="F36" s="22" t="s">
        <v>401</v>
      </c>
      <c r="G36" s="22" t="s">
        <v>234</v>
      </c>
      <c r="H36" s="26">
        <f t="shared" si="1"/>
        <v>0</v>
      </c>
      <c r="I36" s="22" t="s">
        <v>235</v>
      </c>
      <c r="J36" s="22" t="s">
        <v>402</v>
      </c>
      <c r="K36" s="22" t="s">
        <v>294</v>
      </c>
      <c r="L36" s="22" t="s">
        <v>403</v>
      </c>
      <c r="M36" s="22" t="s">
        <v>404</v>
      </c>
    </row>
    <row r="37" spans="1:13" ht="30" x14ac:dyDescent="0.25">
      <c r="A37" s="21" t="s">
        <v>405</v>
      </c>
      <c r="B37" s="21" t="str">
        <f t="shared" si="0"/>
        <v>SU002842</v>
      </c>
      <c r="C37" s="21" t="s">
        <v>406</v>
      </c>
      <c r="D37" s="22" t="s">
        <v>248</v>
      </c>
      <c r="E37" s="22" t="s">
        <v>248</v>
      </c>
      <c r="F37" s="22" t="s">
        <v>248</v>
      </c>
      <c r="G37" s="22" t="s">
        <v>234</v>
      </c>
      <c r="H37" s="26">
        <f t="shared" si="1"/>
        <v>0</v>
      </c>
      <c r="I37" s="22" t="s">
        <v>235</v>
      </c>
      <c r="J37" s="22" t="s">
        <v>407</v>
      </c>
      <c r="K37" s="22" t="s">
        <v>294</v>
      </c>
      <c r="L37" s="22" t="s">
        <v>408</v>
      </c>
      <c r="M37" s="22" t="s">
        <v>409</v>
      </c>
    </row>
    <row r="38" spans="1:13" ht="30" x14ac:dyDescent="0.25">
      <c r="A38" s="21" t="s">
        <v>410</v>
      </c>
      <c r="B38" s="21" t="str">
        <f t="shared" si="0"/>
        <v>SU002843</v>
      </c>
      <c r="C38" s="21" t="s">
        <v>411</v>
      </c>
      <c r="D38" s="22" t="s">
        <v>412</v>
      </c>
      <c r="E38" s="22" t="s">
        <v>412</v>
      </c>
      <c r="F38" s="22" t="s">
        <v>413</v>
      </c>
      <c r="G38" s="22" t="s">
        <v>228</v>
      </c>
      <c r="H38" s="26">
        <f t="shared" si="1"/>
        <v>0</v>
      </c>
      <c r="I38" s="22" t="s">
        <v>201</v>
      </c>
      <c r="J38" s="22" t="s">
        <v>413</v>
      </c>
      <c r="K38" s="22" t="s">
        <v>202</v>
      </c>
      <c r="L38" s="22" t="s">
        <v>414</v>
      </c>
      <c r="M38" s="22" t="s">
        <v>415</v>
      </c>
    </row>
    <row r="39" spans="1:13" ht="30" x14ac:dyDescent="0.25">
      <c r="A39" s="21" t="s">
        <v>416</v>
      </c>
      <c r="B39" s="21" t="str">
        <f t="shared" si="0"/>
        <v>SU002844</v>
      </c>
      <c r="C39" s="21" t="s">
        <v>417</v>
      </c>
      <c r="D39" s="22" t="s">
        <v>333</v>
      </c>
      <c r="E39" s="22" t="s">
        <v>333</v>
      </c>
      <c r="F39" s="22" t="s">
        <v>333</v>
      </c>
      <c r="G39" s="22" t="s">
        <v>234</v>
      </c>
      <c r="H39" s="26">
        <f t="shared" si="1"/>
        <v>0</v>
      </c>
      <c r="I39" s="22" t="s">
        <v>235</v>
      </c>
      <c r="J39" s="22" t="s">
        <v>334</v>
      </c>
      <c r="K39" s="22" t="s">
        <v>294</v>
      </c>
      <c r="L39" s="22" t="s">
        <v>418</v>
      </c>
      <c r="M39" s="22" t="s">
        <v>419</v>
      </c>
    </row>
    <row r="40" spans="1:13" ht="30" x14ac:dyDescent="0.25">
      <c r="A40" s="21" t="s">
        <v>420</v>
      </c>
      <c r="B40" s="21" t="str">
        <f t="shared" si="0"/>
        <v>SU002845</v>
      </c>
      <c r="C40" s="21" t="s">
        <v>421</v>
      </c>
      <c r="D40" s="22" t="s">
        <v>422</v>
      </c>
      <c r="E40" s="22" t="s">
        <v>422</v>
      </c>
      <c r="F40" s="22" t="s">
        <v>423</v>
      </c>
      <c r="G40" s="22" t="s">
        <v>228</v>
      </c>
      <c r="H40" s="26">
        <f t="shared" si="1"/>
        <v>0</v>
      </c>
      <c r="I40" s="22" t="s">
        <v>201</v>
      </c>
      <c r="J40" s="22" t="s">
        <v>423</v>
      </c>
      <c r="K40" s="22" t="s">
        <v>202</v>
      </c>
      <c r="L40" s="22" t="s">
        <v>424</v>
      </c>
      <c r="M40" s="22" t="s">
        <v>425</v>
      </c>
    </row>
    <row r="41" spans="1:13" ht="30" x14ac:dyDescent="0.25">
      <c r="A41" s="21" t="s">
        <v>426</v>
      </c>
      <c r="B41" s="21" t="str">
        <f t="shared" si="0"/>
        <v>SU002848</v>
      </c>
      <c r="C41" s="21" t="s">
        <v>427</v>
      </c>
      <c r="D41" s="22" t="s">
        <v>428</v>
      </c>
      <c r="E41" s="22" t="s">
        <v>234</v>
      </c>
      <c r="F41" s="22" t="s">
        <v>234</v>
      </c>
      <c r="G41" s="22" t="s">
        <v>429</v>
      </c>
      <c r="H41" s="26">
        <f t="shared" si="1"/>
        <v>-265</v>
      </c>
      <c r="I41" s="22" t="s">
        <v>235</v>
      </c>
      <c r="J41" s="22" t="s">
        <v>234</v>
      </c>
      <c r="K41" s="22" t="s">
        <v>329</v>
      </c>
      <c r="L41" s="22" t="s">
        <v>430</v>
      </c>
      <c r="M41" s="22" t="s">
        <v>296</v>
      </c>
    </row>
    <row r="42" spans="1:13" ht="30" x14ac:dyDescent="0.25">
      <c r="A42" s="21" t="s">
        <v>431</v>
      </c>
      <c r="B42" s="21" t="str">
        <f t="shared" si="0"/>
        <v>SU002928</v>
      </c>
      <c r="C42" s="21" t="s">
        <v>432</v>
      </c>
      <c r="D42" s="22" t="s">
        <v>422</v>
      </c>
      <c r="E42" s="22" t="s">
        <v>422</v>
      </c>
      <c r="F42" s="22" t="s">
        <v>433</v>
      </c>
      <c r="G42" s="22" t="s">
        <v>282</v>
      </c>
      <c r="H42" s="26">
        <f t="shared" si="1"/>
        <v>-1</v>
      </c>
      <c r="I42" s="22" t="s">
        <v>201</v>
      </c>
      <c r="J42" s="22" t="s">
        <v>433</v>
      </c>
      <c r="K42" s="22" t="s">
        <v>202</v>
      </c>
      <c r="L42" s="22" t="s">
        <v>434</v>
      </c>
      <c r="M42" s="22" t="s">
        <v>435</v>
      </c>
    </row>
    <row r="43" spans="1:13" x14ac:dyDescent="0.25">
      <c r="A43" s="21" t="s">
        <v>436</v>
      </c>
      <c r="B43" s="21" t="str">
        <f t="shared" si="0"/>
        <v>SU002941</v>
      </c>
      <c r="C43" s="21" t="s">
        <v>437</v>
      </c>
      <c r="D43" s="22" t="s">
        <v>438</v>
      </c>
      <c r="E43" s="22" t="s">
        <v>234</v>
      </c>
      <c r="F43" s="22" t="s">
        <v>234</v>
      </c>
      <c r="G43" s="22" t="s">
        <v>439</v>
      </c>
      <c r="H43" s="26">
        <f t="shared" si="1"/>
        <v>-86</v>
      </c>
      <c r="I43" s="22" t="s">
        <v>201</v>
      </c>
      <c r="J43" s="22" t="s">
        <v>234</v>
      </c>
      <c r="K43" s="22" t="s">
        <v>202</v>
      </c>
      <c r="L43" s="22" t="s">
        <v>440</v>
      </c>
      <c r="M43" s="22" t="s">
        <v>296</v>
      </c>
    </row>
    <row r="44" spans="1:13" x14ac:dyDescent="0.25">
      <c r="A44" s="21" t="s">
        <v>441</v>
      </c>
      <c r="B44" s="21" t="str">
        <f t="shared" si="0"/>
        <v>SU002942</v>
      </c>
      <c r="C44" s="21" t="s">
        <v>442</v>
      </c>
      <c r="D44" s="22" t="s">
        <v>443</v>
      </c>
      <c r="E44" s="22" t="s">
        <v>234</v>
      </c>
      <c r="F44" s="22" t="s">
        <v>234</v>
      </c>
      <c r="G44" s="22" t="s">
        <v>444</v>
      </c>
      <c r="H44" s="26">
        <f t="shared" si="1"/>
        <v>-23</v>
      </c>
      <c r="I44" s="22" t="s">
        <v>235</v>
      </c>
      <c r="J44" s="22" t="s">
        <v>234</v>
      </c>
      <c r="K44" s="22" t="s">
        <v>445</v>
      </c>
      <c r="L44" s="22" t="s">
        <v>446</v>
      </c>
      <c r="M44" s="22" t="s">
        <v>296</v>
      </c>
    </row>
    <row r="45" spans="1:13" x14ac:dyDescent="0.25">
      <c r="A45" s="21" t="s">
        <v>447</v>
      </c>
      <c r="B45" s="21" t="str">
        <f t="shared" si="0"/>
        <v>SU002943</v>
      </c>
      <c r="C45" s="21" t="s">
        <v>448</v>
      </c>
      <c r="D45" s="22" t="s">
        <v>322</v>
      </c>
      <c r="E45" s="22" t="s">
        <v>234</v>
      </c>
      <c r="F45" s="22" t="s">
        <v>234</v>
      </c>
      <c r="G45" s="22" t="s">
        <v>323</v>
      </c>
      <c r="H45" s="26">
        <f t="shared" si="1"/>
        <v>-27</v>
      </c>
      <c r="I45" s="22" t="s">
        <v>201</v>
      </c>
      <c r="J45" s="22" t="s">
        <v>234</v>
      </c>
      <c r="K45" s="22" t="s">
        <v>202</v>
      </c>
      <c r="L45" s="22" t="s">
        <v>449</v>
      </c>
      <c r="M45" s="22" t="s">
        <v>296</v>
      </c>
    </row>
    <row r="46" spans="1:13" ht="30" x14ac:dyDescent="0.25">
      <c r="A46" s="21" t="s">
        <v>450</v>
      </c>
      <c r="B46" s="21" t="str">
        <f t="shared" si="0"/>
        <v>SU002944</v>
      </c>
      <c r="C46" s="21" t="s">
        <v>451</v>
      </c>
      <c r="D46" s="22" t="s">
        <v>452</v>
      </c>
      <c r="E46" s="22" t="s">
        <v>234</v>
      </c>
      <c r="F46" s="22" t="s">
        <v>234</v>
      </c>
      <c r="G46" s="22" t="s">
        <v>453</v>
      </c>
      <c r="H46" s="26">
        <f t="shared" si="1"/>
        <v>-45</v>
      </c>
      <c r="I46" s="22" t="s">
        <v>235</v>
      </c>
      <c r="J46" s="22" t="s">
        <v>234</v>
      </c>
      <c r="K46" s="22" t="s">
        <v>445</v>
      </c>
      <c r="L46" s="22" t="s">
        <v>454</v>
      </c>
      <c r="M46" s="22" t="s">
        <v>296</v>
      </c>
    </row>
    <row r="47" spans="1:13" x14ac:dyDescent="0.25">
      <c r="A47" s="21" t="s">
        <v>455</v>
      </c>
      <c r="B47" s="21" t="str">
        <f t="shared" si="0"/>
        <v>SU002945</v>
      </c>
      <c r="C47" s="21" t="s">
        <v>456</v>
      </c>
      <c r="D47" s="22" t="s">
        <v>457</v>
      </c>
      <c r="E47" s="22" t="s">
        <v>234</v>
      </c>
      <c r="F47" s="22" t="s">
        <v>234</v>
      </c>
      <c r="G47" s="22" t="s">
        <v>458</v>
      </c>
      <c r="H47" s="26">
        <f t="shared" si="1"/>
        <v>-443</v>
      </c>
      <c r="I47" s="22" t="s">
        <v>201</v>
      </c>
      <c r="J47" s="22" t="s">
        <v>234</v>
      </c>
      <c r="K47" s="22" t="s">
        <v>202</v>
      </c>
      <c r="L47" s="22" t="s">
        <v>459</v>
      </c>
      <c r="M47" s="22" t="s">
        <v>296</v>
      </c>
    </row>
    <row r="48" spans="1:13" x14ac:dyDescent="0.25">
      <c r="A48" s="21" t="s">
        <v>460</v>
      </c>
      <c r="B48" s="21" t="str">
        <f t="shared" si="0"/>
        <v>SU002948</v>
      </c>
      <c r="C48" s="21" t="s">
        <v>461</v>
      </c>
      <c r="D48" s="22" t="s">
        <v>462</v>
      </c>
      <c r="E48" s="22" t="s">
        <v>234</v>
      </c>
      <c r="F48" s="22" t="s">
        <v>234</v>
      </c>
      <c r="G48" s="22" t="s">
        <v>463</v>
      </c>
      <c r="H48" s="26">
        <f t="shared" si="1"/>
        <v>-16</v>
      </c>
      <c r="I48" s="22" t="s">
        <v>235</v>
      </c>
      <c r="J48" s="22" t="s">
        <v>234</v>
      </c>
      <c r="K48" s="22" t="s">
        <v>445</v>
      </c>
      <c r="L48" s="22" t="s">
        <v>464</v>
      </c>
      <c r="M48" s="22" t="s">
        <v>296</v>
      </c>
    </row>
    <row r="49" spans="1:13" ht="30" x14ac:dyDescent="0.25">
      <c r="A49" s="21" t="s">
        <v>465</v>
      </c>
      <c r="B49" s="21" t="str">
        <f t="shared" si="0"/>
        <v>SU002986</v>
      </c>
      <c r="C49" s="21" t="s">
        <v>466</v>
      </c>
      <c r="D49" s="22" t="s">
        <v>467</v>
      </c>
      <c r="E49" s="22" t="s">
        <v>467</v>
      </c>
      <c r="F49" s="22" t="s">
        <v>467</v>
      </c>
      <c r="G49" s="22" t="s">
        <v>234</v>
      </c>
      <c r="H49" s="26">
        <f t="shared" si="1"/>
        <v>0</v>
      </c>
      <c r="I49" s="22" t="s">
        <v>235</v>
      </c>
      <c r="J49" s="22" t="s">
        <v>468</v>
      </c>
      <c r="K49" s="22" t="s">
        <v>469</v>
      </c>
      <c r="L49" s="22" t="s">
        <v>470</v>
      </c>
      <c r="M49" s="22" t="s">
        <v>471</v>
      </c>
    </row>
    <row r="50" spans="1:13" x14ac:dyDescent="0.25">
      <c r="A50" s="21" t="s">
        <v>472</v>
      </c>
      <c r="B50" s="21" t="str">
        <f t="shared" si="0"/>
        <v>SU003168</v>
      </c>
      <c r="C50" s="21" t="s">
        <v>473</v>
      </c>
      <c r="D50" s="22" t="s">
        <v>474</v>
      </c>
      <c r="E50" s="22" t="s">
        <v>474</v>
      </c>
      <c r="F50" s="22" t="s">
        <v>234</v>
      </c>
      <c r="G50" s="22" t="s">
        <v>475</v>
      </c>
      <c r="H50" s="26">
        <f t="shared" si="1"/>
        <v>-11</v>
      </c>
      <c r="I50" s="22" t="s">
        <v>235</v>
      </c>
      <c r="J50" s="22" t="s">
        <v>234</v>
      </c>
      <c r="K50" s="22" t="s">
        <v>329</v>
      </c>
      <c r="L50" s="22" t="s">
        <v>476</v>
      </c>
      <c r="M50" s="22" t="s">
        <v>296</v>
      </c>
    </row>
    <row r="51" spans="1:13" ht="30" x14ac:dyDescent="0.25">
      <c r="A51" s="21" t="s">
        <v>477</v>
      </c>
      <c r="B51" s="21" t="str">
        <f t="shared" si="0"/>
        <v>SU003273</v>
      </c>
      <c r="C51" s="21" t="s">
        <v>478</v>
      </c>
      <c r="D51" s="22" t="s">
        <v>479</v>
      </c>
      <c r="E51" s="22" t="s">
        <v>479</v>
      </c>
      <c r="F51" s="22" t="s">
        <v>480</v>
      </c>
      <c r="G51" s="22" t="s">
        <v>282</v>
      </c>
      <c r="H51" s="26">
        <f t="shared" si="1"/>
        <v>-1</v>
      </c>
      <c r="I51" s="22" t="s">
        <v>201</v>
      </c>
      <c r="J51" s="22" t="s">
        <v>480</v>
      </c>
      <c r="K51" s="22" t="s">
        <v>202</v>
      </c>
      <c r="L51" s="22" t="s">
        <v>481</v>
      </c>
      <c r="M51" s="22" t="s">
        <v>482</v>
      </c>
    </row>
    <row r="52" spans="1:13" ht="30" x14ac:dyDescent="0.25">
      <c r="A52" s="21" t="s">
        <v>483</v>
      </c>
      <c r="B52" s="21" t="str">
        <f t="shared" si="0"/>
        <v>SU003420</v>
      </c>
      <c r="C52" s="21" t="s">
        <v>484</v>
      </c>
      <c r="D52" s="22" t="s">
        <v>485</v>
      </c>
      <c r="E52" s="22" t="s">
        <v>485</v>
      </c>
      <c r="F52" s="22" t="s">
        <v>485</v>
      </c>
      <c r="G52" s="22" t="s">
        <v>234</v>
      </c>
      <c r="H52" s="26">
        <f t="shared" si="1"/>
        <v>0</v>
      </c>
      <c r="I52" s="22" t="s">
        <v>201</v>
      </c>
      <c r="J52" s="22" t="s">
        <v>485</v>
      </c>
      <c r="K52" s="22" t="s">
        <v>202</v>
      </c>
      <c r="L52" s="22" t="s">
        <v>486</v>
      </c>
      <c r="M52" s="22" t="s">
        <v>487</v>
      </c>
    </row>
    <row r="53" spans="1:13" ht="30" x14ac:dyDescent="0.25">
      <c r="A53" s="21" t="s">
        <v>488</v>
      </c>
      <c r="B53" s="21" t="str">
        <f t="shared" si="0"/>
        <v>SU003422</v>
      </c>
      <c r="C53" s="21" t="s">
        <v>489</v>
      </c>
      <c r="D53" s="22" t="s">
        <v>490</v>
      </c>
      <c r="E53" s="22" t="s">
        <v>490</v>
      </c>
      <c r="F53" s="22" t="s">
        <v>490</v>
      </c>
      <c r="G53" s="22" t="s">
        <v>234</v>
      </c>
      <c r="H53" s="26">
        <f t="shared" si="1"/>
        <v>0</v>
      </c>
      <c r="I53" s="22" t="s">
        <v>201</v>
      </c>
      <c r="J53" s="22" t="s">
        <v>490</v>
      </c>
      <c r="K53" s="22" t="s">
        <v>202</v>
      </c>
      <c r="L53" s="22" t="s">
        <v>491</v>
      </c>
      <c r="M53" s="22" t="s">
        <v>492</v>
      </c>
    </row>
    <row r="54" spans="1:13" ht="30" x14ac:dyDescent="0.25">
      <c r="A54" s="21" t="s">
        <v>493</v>
      </c>
      <c r="B54" s="21" t="str">
        <f t="shared" si="0"/>
        <v>SU003423</v>
      </c>
      <c r="C54" s="21" t="s">
        <v>494</v>
      </c>
      <c r="D54" s="22" t="s">
        <v>495</v>
      </c>
      <c r="E54" s="22" t="s">
        <v>495</v>
      </c>
      <c r="F54" s="22" t="s">
        <v>496</v>
      </c>
      <c r="G54" s="22" t="s">
        <v>228</v>
      </c>
      <c r="H54" s="26">
        <f t="shared" si="1"/>
        <v>0</v>
      </c>
      <c r="I54" s="22" t="s">
        <v>201</v>
      </c>
      <c r="J54" s="22" t="s">
        <v>496</v>
      </c>
      <c r="K54" s="22" t="s">
        <v>202</v>
      </c>
      <c r="L54" s="22" t="s">
        <v>497</v>
      </c>
      <c r="M54" s="22" t="s">
        <v>498</v>
      </c>
    </row>
    <row r="55" spans="1:13" ht="30" x14ac:dyDescent="0.25">
      <c r="A55" s="21" t="s">
        <v>499</v>
      </c>
      <c r="B55" s="21" t="str">
        <f t="shared" si="0"/>
        <v>SU003642</v>
      </c>
      <c r="C55" s="21" t="s">
        <v>500</v>
      </c>
      <c r="D55" s="22" t="s">
        <v>501</v>
      </c>
      <c r="E55" s="22" t="s">
        <v>501</v>
      </c>
      <c r="F55" s="22" t="s">
        <v>502</v>
      </c>
      <c r="G55" s="22" t="s">
        <v>282</v>
      </c>
      <c r="H55" s="26">
        <f t="shared" si="1"/>
        <v>-1</v>
      </c>
      <c r="I55" s="22" t="s">
        <v>201</v>
      </c>
      <c r="J55" s="22" t="s">
        <v>502</v>
      </c>
      <c r="K55" s="22" t="s">
        <v>202</v>
      </c>
      <c r="L55" s="22" t="s">
        <v>503</v>
      </c>
      <c r="M55" s="22" t="s">
        <v>504</v>
      </c>
    </row>
    <row r="56" spans="1:13" ht="30" x14ac:dyDescent="0.25">
      <c r="A56" s="21" t="s">
        <v>505</v>
      </c>
      <c r="B56" s="21" t="str">
        <f t="shared" si="0"/>
        <v>SU003829</v>
      </c>
      <c r="C56" s="21" t="s">
        <v>506</v>
      </c>
      <c r="D56" s="22" t="s">
        <v>507</v>
      </c>
      <c r="E56" s="22" t="s">
        <v>507</v>
      </c>
      <c r="F56" s="22" t="s">
        <v>507</v>
      </c>
      <c r="G56" s="22" t="s">
        <v>234</v>
      </c>
      <c r="H56" s="26">
        <f t="shared" si="1"/>
        <v>0</v>
      </c>
      <c r="I56" s="22" t="s">
        <v>235</v>
      </c>
      <c r="J56" s="22" t="s">
        <v>508</v>
      </c>
      <c r="K56" s="22" t="s">
        <v>445</v>
      </c>
      <c r="L56" s="22" t="s">
        <v>509</v>
      </c>
      <c r="M56" s="22" t="s">
        <v>510</v>
      </c>
    </row>
    <row r="57" spans="1:13" x14ac:dyDescent="0.25">
      <c r="A57" s="21" t="s">
        <v>511</v>
      </c>
      <c r="B57" s="21" t="str">
        <f t="shared" si="0"/>
        <v>SU003894</v>
      </c>
      <c r="C57" s="21" t="s">
        <v>512</v>
      </c>
      <c r="D57" s="22" t="s">
        <v>200</v>
      </c>
      <c r="E57" s="22" t="s">
        <v>234</v>
      </c>
      <c r="F57" s="22" t="s">
        <v>234</v>
      </c>
      <c r="G57" s="22" t="s">
        <v>293</v>
      </c>
      <c r="H57" s="26">
        <f t="shared" si="1"/>
        <v>-5</v>
      </c>
      <c r="I57" s="22" t="s">
        <v>235</v>
      </c>
      <c r="J57" s="22" t="s">
        <v>234</v>
      </c>
      <c r="K57" s="22" t="s">
        <v>513</v>
      </c>
      <c r="L57" s="22" t="s">
        <v>514</v>
      </c>
      <c r="M57" s="22" t="s">
        <v>296</v>
      </c>
    </row>
    <row r="58" spans="1:13" ht="30" x14ac:dyDescent="0.25">
      <c r="A58" s="21" t="s">
        <v>515</v>
      </c>
      <c r="B58" s="21" t="str">
        <f t="shared" si="0"/>
        <v>SU003896</v>
      </c>
      <c r="C58" s="21" t="s">
        <v>516</v>
      </c>
      <c r="D58" s="22" t="s">
        <v>365</v>
      </c>
      <c r="E58" s="22" t="s">
        <v>365</v>
      </c>
      <c r="F58" s="22" t="s">
        <v>365</v>
      </c>
      <c r="G58" s="22" t="s">
        <v>234</v>
      </c>
      <c r="H58" s="26">
        <f t="shared" si="1"/>
        <v>0</v>
      </c>
      <c r="I58" s="22" t="s">
        <v>235</v>
      </c>
      <c r="J58" s="22" t="s">
        <v>517</v>
      </c>
      <c r="K58" s="22" t="s">
        <v>513</v>
      </c>
      <c r="L58" s="22" t="s">
        <v>518</v>
      </c>
      <c r="M58" s="22" t="s">
        <v>519</v>
      </c>
    </row>
    <row r="59" spans="1:13" x14ac:dyDescent="0.25">
      <c r="A59" s="21" t="s">
        <v>520</v>
      </c>
      <c r="B59" s="21" t="str">
        <f t="shared" si="0"/>
        <v>SU003921</v>
      </c>
      <c r="C59" s="21" t="s">
        <v>521</v>
      </c>
      <c r="D59" s="22" t="s">
        <v>250</v>
      </c>
      <c r="E59" s="22" t="s">
        <v>234</v>
      </c>
      <c r="F59" s="22" t="s">
        <v>234</v>
      </c>
      <c r="G59" s="22" t="s">
        <v>522</v>
      </c>
      <c r="H59" s="26">
        <f t="shared" si="1"/>
        <v>-4</v>
      </c>
      <c r="I59" s="22" t="s">
        <v>235</v>
      </c>
      <c r="J59" s="22" t="s">
        <v>234</v>
      </c>
      <c r="K59" s="22" t="s">
        <v>523</v>
      </c>
      <c r="L59" s="22" t="s">
        <v>524</v>
      </c>
      <c r="M59" s="22" t="s">
        <v>296</v>
      </c>
    </row>
    <row r="60" spans="1:13" ht="30" x14ac:dyDescent="0.25">
      <c r="A60" s="21" t="s">
        <v>525</v>
      </c>
      <c r="B60" s="21" t="str">
        <f t="shared" si="0"/>
        <v>SU004039</v>
      </c>
      <c r="C60" s="21" t="s">
        <v>526</v>
      </c>
      <c r="D60" s="22" t="s">
        <v>527</v>
      </c>
      <c r="E60" s="22" t="s">
        <v>527</v>
      </c>
      <c r="F60" s="22" t="s">
        <v>527</v>
      </c>
      <c r="G60" s="22" t="s">
        <v>234</v>
      </c>
      <c r="H60" s="26">
        <f t="shared" si="1"/>
        <v>0</v>
      </c>
      <c r="I60" s="22" t="s">
        <v>235</v>
      </c>
      <c r="J60" s="22" t="s">
        <v>528</v>
      </c>
      <c r="K60" s="22" t="s">
        <v>529</v>
      </c>
      <c r="L60" s="22" t="s">
        <v>530</v>
      </c>
      <c r="M60" s="22" t="s">
        <v>531</v>
      </c>
    </row>
    <row r="61" spans="1:13" x14ac:dyDescent="0.25">
      <c r="A61" s="21" t="s">
        <v>532</v>
      </c>
      <c r="B61" s="21" t="str">
        <f t="shared" si="0"/>
        <v>SU004041</v>
      </c>
      <c r="C61" s="21" t="s">
        <v>533</v>
      </c>
      <c r="D61" s="22" t="s">
        <v>534</v>
      </c>
      <c r="E61" s="22" t="s">
        <v>234</v>
      </c>
      <c r="F61" s="22" t="s">
        <v>234</v>
      </c>
      <c r="G61" s="22" t="s">
        <v>535</v>
      </c>
      <c r="H61" s="26">
        <f t="shared" si="1"/>
        <v>-151</v>
      </c>
      <c r="I61" s="22" t="s">
        <v>201</v>
      </c>
      <c r="J61" s="22" t="s">
        <v>234</v>
      </c>
      <c r="K61" s="22" t="s">
        <v>202</v>
      </c>
      <c r="L61" s="22" t="s">
        <v>536</v>
      </c>
      <c r="M61" s="22" t="s">
        <v>296</v>
      </c>
    </row>
    <row r="62" spans="1:13" x14ac:dyDescent="0.25">
      <c r="A62" s="21" t="s">
        <v>537</v>
      </c>
      <c r="B62" s="21" t="str">
        <f t="shared" si="0"/>
        <v>SU004042</v>
      </c>
      <c r="C62" s="21" t="s">
        <v>538</v>
      </c>
      <c r="D62" s="22" t="s">
        <v>539</v>
      </c>
      <c r="E62" s="22" t="s">
        <v>234</v>
      </c>
      <c r="F62" s="22" t="s">
        <v>234</v>
      </c>
      <c r="G62" s="22" t="s">
        <v>540</v>
      </c>
      <c r="H62" s="26">
        <f t="shared" si="1"/>
        <v>-42</v>
      </c>
      <c r="I62" s="22" t="s">
        <v>235</v>
      </c>
      <c r="J62" s="22" t="s">
        <v>234</v>
      </c>
      <c r="K62" s="22" t="s">
        <v>529</v>
      </c>
      <c r="L62" s="22" t="s">
        <v>509</v>
      </c>
      <c r="M62" s="22" t="s">
        <v>296</v>
      </c>
    </row>
    <row r="63" spans="1:13" ht="30" x14ac:dyDescent="0.25">
      <c r="A63" s="21" t="s">
        <v>541</v>
      </c>
      <c r="B63" s="21" t="str">
        <f t="shared" si="0"/>
        <v>SU004044</v>
      </c>
      <c r="C63" s="21" t="s">
        <v>542</v>
      </c>
      <c r="D63" s="22" t="s">
        <v>508</v>
      </c>
      <c r="E63" s="22" t="s">
        <v>508</v>
      </c>
      <c r="F63" s="22" t="s">
        <v>543</v>
      </c>
      <c r="G63" s="22" t="s">
        <v>282</v>
      </c>
      <c r="H63" s="26">
        <f t="shared" si="1"/>
        <v>-1</v>
      </c>
      <c r="I63" s="22" t="s">
        <v>201</v>
      </c>
      <c r="J63" s="22" t="s">
        <v>543</v>
      </c>
      <c r="K63" s="22" t="s">
        <v>202</v>
      </c>
      <c r="L63" s="22" t="s">
        <v>544</v>
      </c>
      <c r="M63" s="22" t="s">
        <v>545</v>
      </c>
    </row>
    <row r="64" spans="1:13" x14ac:dyDescent="0.25">
      <c r="A64" s="21" t="s">
        <v>546</v>
      </c>
      <c r="B64" s="21" t="str">
        <f t="shared" si="0"/>
        <v>SU004047</v>
      </c>
      <c r="C64" s="21" t="s">
        <v>547</v>
      </c>
      <c r="D64" s="22" t="s">
        <v>508</v>
      </c>
      <c r="E64" s="22" t="s">
        <v>508</v>
      </c>
      <c r="F64" s="22" t="s">
        <v>234</v>
      </c>
      <c r="G64" s="22" t="s">
        <v>548</v>
      </c>
      <c r="H64" s="26">
        <f t="shared" si="1"/>
        <v>-102</v>
      </c>
      <c r="I64" s="22" t="s">
        <v>201</v>
      </c>
      <c r="J64" s="22" t="s">
        <v>234</v>
      </c>
      <c r="K64" s="22" t="s">
        <v>202</v>
      </c>
      <c r="L64" s="22" t="s">
        <v>549</v>
      </c>
      <c r="M64" s="22" t="s">
        <v>296</v>
      </c>
    </row>
    <row r="65" spans="1:13" ht="30" x14ac:dyDescent="0.25">
      <c r="A65" s="21" t="s">
        <v>550</v>
      </c>
      <c r="B65" s="21" t="str">
        <f t="shared" si="0"/>
        <v>SU004104</v>
      </c>
      <c r="C65" s="21" t="s">
        <v>551</v>
      </c>
      <c r="D65" s="22" t="s">
        <v>428</v>
      </c>
      <c r="E65" s="22" t="s">
        <v>428</v>
      </c>
      <c r="F65" s="22" t="s">
        <v>552</v>
      </c>
      <c r="G65" s="22" t="s">
        <v>390</v>
      </c>
      <c r="H65" s="26">
        <f t="shared" si="1"/>
        <v>-2</v>
      </c>
      <c r="I65" s="22" t="s">
        <v>201</v>
      </c>
      <c r="J65" s="22" t="s">
        <v>552</v>
      </c>
      <c r="K65" s="22" t="s">
        <v>202</v>
      </c>
      <c r="L65" s="22" t="s">
        <v>553</v>
      </c>
      <c r="M65" s="22" t="s">
        <v>554</v>
      </c>
    </row>
    <row r="66" spans="1:13" x14ac:dyDescent="0.25">
      <c r="A66" s="21" t="s">
        <v>555</v>
      </c>
      <c r="B66" s="21" t="str">
        <f t="shared" si="0"/>
        <v>SU004146</v>
      </c>
      <c r="C66" s="21" t="s">
        <v>556</v>
      </c>
      <c r="D66" s="22" t="s">
        <v>557</v>
      </c>
      <c r="E66" s="22" t="s">
        <v>557</v>
      </c>
      <c r="F66" s="22" t="s">
        <v>557</v>
      </c>
      <c r="G66" s="22" t="s">
        <v>234</v>
      </c>
      <c r="H66" s="26">
        <f t="shared" si="1"/>
        <v>0</v>
      </c>
      <c r="I66" s="22" t="s">
        <v>235</v>
      </c>
      <c r="J66" s="22" t="s">
        <v>333</v>
      </c>
      <c r="K66" s="22" t="s">
        <v>558</v>
      </c>
      <c r="L66" s="22" t="s">
        <v>559</v>
      </c>
      <c r="M66" s="22" t="s">
        <v>560</v>
      </c>
    </row>
    <row r="67" spans="1:13" x14ac:dyDescent="0.25">
      <c r="A67" s="21" t="s">
        <v>561</v>
      </c>
      <c r="B67" s="21" t="str">
        <f t="shared" ref="B67:B68" si="2">SUBSTITUTE(A67," ","")</f>
        <v>SU004157</v>
      </c>
      <c r="C67" s="21" t="s">
        <v>562</v>
      </c>
      <c r="D67" s="22" t="s">
        <v>539</v>
      </c>
      <c r="E67" s="22" t="s">
        <v>539</v>
      </c>
      <c r="F67" s="22" t="s">
        <v>234</v>
      </c>
      <c r="G67" s="22" t="s">
        <v>540</v>
      </c>
      <c r="H67" s="26">
        <f t="shared" ref="H67:H69" si="3">IF(--SUBSTITUTE(G67," ","")&gt;0,0,--SUBSTITUTE(G67," ",""))</f>
        <v>-42</v>
      </c>
      <c r="I67" s="22" t="s">
        <v>201</v>
      </c>
      <c r="J67" s="22" t="s">
        <v>234</v>
      </c>
      <c r="K67" s="22" t="s">
        <v>202</v>
      </c>
      <c r="L67" s="22" t="s">
        <v>563</v>
      </c>
      <c r="M67" s="22" t="s">
        <v>296</v>
      </c>
    </row>
    <row r="68" spans="1:13" ht="30" x14ac:dyDescent="0.25">
      <c r="A68" s="21" t="s">
        <v>564</v>
      </c>
      <c r="B68" s="21" t="str">
        <f t="shared" si="2"/>
        <v>SU004238</v>
      </c>
      <c r="C68" s="21" t="s">
        <v>565</v>
      </c>
      <c r="D68" s="22" t="s">
        <v>566</v>
      </c>
      <c r="E68" s="22" t="s">
        <v>566</v>
      </c>
      <c r="F68" s="22" t="s">
        <v>567</v>
      </c>
      <c r="G68" s="22" t="s">
        <v>568</v>
      </c>
      <c r="H68" s="26">
        <f t="shared" si="3"/>
        <v>-3</v>
      </c>
      <c r="I68" s="22" t="s">
        <v>201</v>
      </c>
      <c r="J68" s="22" t="s">
        <v>567</v>
      </c>
      <c r="K68" s="22" t="s">
        <v>202</v>
      </c>
      <c r="L68" s="22" t="s">
        <v>486</v>
      </c>
      <c r="M68" s="22" t="s">
        <v>569</v>
      </c>
    </row>
    <row r="69" spans="1:13" ht="30" x14ac:dyDescent="0.25">
      <c r="A69" s="30" t="s">
        <v>570</v>
      </c>
      <c r="B69" s="31"/>
      <c r="C69" s="32"/>
      <c r="D69" s="22" t="s">
        <v>571</v>
      </c>
      <c r="E69" s="22" t="s">
        <v>572</v>
      </c>
      <c r="F69" s="22" t="s">
        <v>573</v>
      </c>
      <c r="G69" s="22" t="s">
        <v>574</v>
      </c>
      <c r="H69" s="26">
        <f t="shared" si="3"/>
        <v>-1369</v>
      </c>
      <c r="I69" s="22" t="s">
        <v>575</v>
      </c>
      <c r="J69" s="22" t="s">
        <v>576</v>
      </c>
      <c r="K69" s="22" t="s">
        <v>575</v>
      </c>
      <c r="L69" s="22" t="s">
        <v>575</v>
      </c>
      <c r="M69" s="22" t="s">
        <v>577</v>
      </c>
    </row>
  </sheetData>
  <mergeCells count="1">
    <mergeCell ref="A69:C6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25,08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2026-08-25T11:38:33Z</dcterms:created>
  <dcterms:modified xsi:type="dcterms:W3CDTF">2026-08-26T09:01:13Z</dcterms:modified>
</cp:coreProperties>
</file>