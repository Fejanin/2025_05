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4,08 Малахутин КИ ЛП ближ\"/>
    </mc:Choice>
  </mc:AlternateContent>
  <xr:revisionPtr revIDLastSave="0" documentId="13_ncr:1_{0420A315-BEAF-4545-B69E-9B4B031B57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N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N418" i="2" s="1"/>
  <c r="P418" i="2"/>
  <c r="BO417" i="2"/>
  <c r="BM417" i="2"/>
  <c r="Y417" i="2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J9" i="2" s="1"/>
  <c r="D7" i="2"/>
  <c r="Q6" i="2"/>
  <c r="P2" i="2"/>
  <c r="Z92" i="2" l="1"/>
  <c r="BN92" i="2"/>
  <c r="Z285" i="2"/>
  <c r="Z169" i="2"/>
  <c r="BN169" i="2"/>
  <c r="Z411" i="2"/>
  <c r="BN411" i="2"/>
  <c r="Y413" i="2"/>
  <c r="BP23" i="2"/>
  <c r="Z117" i="2"/>
  <c r="BN117" i="2"/>
  <c r="Z221" i="2"/>
  <c r="Z342" i="2"/>
  <c r="BN342" i="2"/>
  <c r="Z436" i="2"/>
  <c r="BN436" i="2"/>
  <c r="Z57" i="2"/>
  <c r="BN57" i="2"/>
  <c r="Z103" i="2"/>
  <c r="BN103" i="2"/>
  <c r="Z143" i="2"/>
  <c r="Z188" i="2"/>
  <c r="BN188" i="2"/>
  <c r="Z244" i="2"/>
  <c r="BN244" i="2"/>
  <c r="Z311" i="2"/>
  <c r="Z312" i="2" s="1"/>
  <c r="BN311" i="2"/>
  <c r="BP311" i="2"/>
  <c r="Y312" i="2"/>
  <c r="Z386" i="2"/>
  <c r="BN386" i="2"/>
  <c r="Z426" i="2"/>
  <c r="BN426" i="2"/>
  <c r="BP475" i="2"/>
  <c r="Z48" i="2"/>
  <c r="BN48" i="2"/>
  <c r="Z68" i="2"/>
  <c r="BN68" i="2"/>
  <c r="Z100" i="2"/>
  <c r="Z110" i="2"/>
  <c r="Z135" i="2"/>
  <c r="BN135" i="2"/>
  <c r="Z151" i="2"/>
  <c r="BN151" i="2"/>
  <c r="Y200" i="2"/>
  <c r="Z223" i="2"/>
  <c r="BN223" i="2"/>
  <c r="Z267" i="2"/>
  <c r="BN267" i="2"/>
  <c r="BP292" i="2"/>
  <c r="Z338" i="2"/>
  <c r="BN338" i="2"/>
  <c r="Z368" i="2"/>
  <c r="BN368" i="2"/>
  <c r="Y376" i="2"/>
  <c r="Z418" i="2"/>
  <c r="Z430" i="2"/>
  <c r="Z506" i="2"/>
  <c r="BN506" i="2"/>
  <c r="BP532" i="2"/>
  <c r="Z540" i="2"/>
  <c r="Z541" i="2" s="1"/>
  <c r="BP59" i="2"/>
  <c r="BN59" i="2"/>
  <c r="Z59" i="2"/>
  <c r="BN99" i="2"/>
  <c r="Z99" i="2"/>
  <c r="BN109" i="2"/>
  <c r="Z109" i="2"/>
  <c r="BN119" i="2"/>
  <c r="Z119" i="2"/>
  <c r="BP148" i="2"/>
  <c r="BN148" i="2"/>
  <c r="Z148" i="2"/>
  <c r="BP174" i="2"/>
  <c r="BN174" i="2"/>
  <c r="Z174" i="2"/>
  <c r="BP190" i="2"/>
  <c r="BN190" i="2"/>
  <c r="Z190" i="2"/>
  <c r="BN222" i="2"/>
  <c r="Z222" i="2"/>
  <c r="BN265" i="2"/>
  <c r="BP265" i="2"/>
  <c r="BP287" i="2"/>
  <c r="BN287" i="2"/>
  <c r="Z287" i="2"/>
  <c r="BP332" i="2"/>
  <c r="BN332" i="2"/>
  <c r="Z332" i="2"/>
  <c r="BP352" i="2"/>
  <c r="Y356" i="2"/>
  <c r="BP392" i="2"/>
  <c r="BN392" i="2"/>
  <c r="Z392" i="2"/>
  <c r="Y421" i="2"/>
  <c r="Z417" i="2"/>
  <c r="BN429" i="2"/>
  <c r="Z429" i="2"/>
  <c r="BP455" i="2"/>
  <c r="BN455" i="2"/>
  <c r="Z455" i="2"/>
  <c r="BP481" i="2"/>
  <c r="BN481" i="2"/>
  <c r="Z481" i="2"/>
  <c r="BN22" i="2"/>
  <c r="Y25" i="2"/>
  <c r="Y24" i="2"/>
  <c r="BP56" i="2"/>
  <c r="Z56" i="2"/>
  <c r="F563" i="2"/>
  <c r="Y95" i="2"/>
  <c r="BP90" i="2"/>
  <c r="BN90" i="2"/>
  <c r="Z90" i="2"/>
  <c r="BP101" i="2"/>
  <c r="BN101" i="2"/>
  <c r="Z101" i="2"/>
  <c r="BP111" i="2"/>
  <c r="BN111" i="2"/>
  <c r="Z111" i="2"/>
  <c r="BN142" i="2"/>
  <c r="Z142" i="2"/>
  <c r="BP179" i="2"/>
  <c r="BN179" i="2"/>
  <c r="Z179" i="2"/>
  <c r="Y192" i="2"/>
  <c r="Y217" i="2"/>
  <c r="Y216" i="2"/>
  <c r="BP215" i="2"/>
  <c r="BN215" i="2"/>
  <c r="Z215" i="2"/>
  <c r="Z216" i="2" s="1"/>
  <c r="BP225" i="2"/>
  <c r="BN225" i="2"/>
  <c r="Z225" i="2"/>
  <c r="BP277" i="2"/>
  <c r="BN277" i="2"/>
  <c r="Z277" i="2"/>
  <c r="BP298" i="2"/>
  <c r="BN298" i="2"/>
  <c r="Z298" i="2"/>
  <c r="BP378" i="2"/>
  <c r="BN378" i="2"/>
  <c r="Z378" i="2"/>
  <c r="BP399" i="2"/>
  <c r="BN399" i="2"/>
  <c r="Z399" i="2"/>
  <c r="BN419" i="2"/>
  <c r="BP419" i="2"/>
  <c r="BN431" i="2"/>
  <c r="BP431" i="2"/>
  <c r="BP473" i="2"/>
  <c r="BN473" i="2"/>
  <c r="Z473" i="2"/>
  <c r="BP544" i="2"/>
  <c r="Z544" i="2"/>
  <c r="Y172" i="2"/>
  <c r="Y186" i="2"/>
  <c r="Y191" i="2"/>
  <c r="T563" i="2"/>
  <c r="Y383" i="2"/>
  <c r="BN27" i="2"/>
  <c r="BN40" i="2"/>
  <c r="BN49" i="2"/>
  <c r="BP49" i="2"/>
  <c r="BN60" i="2"/>
  <c r="BP60" i="2"/>
  <c r="BP65" i="2"/>
  <c r="Y70" i="2"/>
  <c r="Z66" i="2"/>
  <c r="BP73" i="2"/>
  <c r="BN73" i="2"/>
  <c r="Z73" i="2"/>
  <c r="BN77" i="2"/>
  <c r="Y80" i="2"/>
  <c r="BN83" i="2"/>
  <c r="BP83" i="2"/>
  <c r="BN85" i="2"/>
  <c r="BN93" i="2"/>
  <c r="BP102" i="2"/>
  <c r="BN102" i="2"/>
  <c r="Z102" i="2"/>
  <c r="BP136" i="2"/>
  <c r="BN136" i="2"/>
  <c r="Z136" i="2"/>
  <c r="Y138" i="2"/>
  <c r="Y139" i="2"/>
  <c r="BN154" i="2"/>
  <c r="Z154" i="2"/>
  <c r="BN176" i="2"/>
  <c r="Z176" i="2"/>
  <c r="BP178" i="2"/>
  <c r="BN178" i="2"/>
  <c r="Z178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BP360" i="2"/>
  <c r="BN360" i="2"/>
  <c r="Z360" i="2"/>
  <c r="BN474" i="2"/>
  <c r="Y477" i="2"/>
  <c r="BP480" i="2"/>
  <c r="BN480" i="2"/>
  <c r="Z480" i="2"/>
  <c r="Y483" i="2"/>
  <c r="Y482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BP66" i="2"/>
  <c r="BP67" i="2"/>
  <c r="BN67" i="2"/>
  <c r="Z67" i="2"/>
  <c r="Y8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BP154" i="2"/>
  <c r="Y159" i="2"/>
  <c r="BP158" i="2"/>
  <c r="BN158" i="2"/>
  <c r="Z158" i="2"/>
  <c r="Z159" i="2" s="1"/>
  <c r="Y160" i="2"/>
  <c r="BP170" i="2"/>
  <c r="BN170" i="2"/>
  <c r="Z170" i="2"/>
  <c r="Z171" i="2" s="1"/>
  <c r="BP176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P339" i="2"/>
  <c r="BN340" i="2"/>
  <c r="Z340" i="2"/>
  <c r="BP346" i="2"/>
  <c r="BN346" i="2"/>
  <c r="Z346" i="2"/>
  <c r="Z348" i="2" s="1"/>
  <c r="BP370" i="2"/>
  <c r="BN370" i="2"/>
  <c r="Z370" i="2"/>
  <c r="BN372" i="2"/>
  <c r="BP372" i="2"/>
  <c r="BP387" i="2"/>
  <c r="BN387" i="2"/>
  <c r="Z387" i="2"/>
  <c r="BN394" i="2"/>
  <c r="Z394" i="2"/>
  <c r="BP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28" i="2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Y534" i="2"/>
  <c r="Z532" i="2"/>
  <c r="Z533" i="2" s="1"/>
  <c r="BN361" i="2"/>
  <c r="BN371" i="2"/>
  <c r="BN381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Y552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Z382" i="2" s="1"/>
  <c r="BP381" i="2"/>
  <c r="BN391" i="2"/>
  <c r="Y402" i="2"/>
  <c r="Z412" i="2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Z343" i="2" s="1"/>
  <c r="BN354" i="2"/>
  <c r="Y366" i="2"/>
  <c r="Z385" i="2"/>
  <c r="Z419" i="2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413" i="2" l="1"/>
  <c r="Z546" i="2"/>
  <c r="Z52" i="2"/>
  <c r="Z191" i="2"/>
  <c r="Z144" i="2"/>
  <c r="Z395" i="2"/>
  <c r="Z257" i="2"/>
  <c r="Z420" i="2"/>
  <c r="Z32" i="2"/>
  <c r="Z247" i="2"/>
  <c r="Z138" i="2"/>
  <c r="Z120" i="2"/>
  <c r="Z74" i="2"/>
  <c r="Z482" i="2"/>
  <c r="Z62" i="2"/>
  <c r="Z166" i="2"/>
  <c r="Z401" i="2"/>
  <c r="Z456" i="2"/>
  <c r="Z433" i="2"/>
  <c r="Z388" i="2"/>
  <c r="Z304" i="2"/>
  <c r="Z94" i="2"/>
  <c r="Z113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407" i="2"/>
  <c r="Z523" i="2"/>
  <c r="Z477" i="2"/>
  <c r="Z327" i="2"/>
  <c r="Z24" i="2"/>
  <c r="Y553" i="2"/>
  <c r="Y557" i="2"/>
  <c r="Z105" i="2"/>
  <c r="Z334" i="2"/>
  <c r="Z69" i="2"/>
  <c r="Z365" i="2"/>
  <c r="Z79" i="2"/>
  <c r="Z273" i="2"/>
  <c r="Z155" i="2"/>
  <c r="Z466" i="2"/>
  <c r="Z87" i="2"/>
  <c r="Z318" i="2"/>
  <c r="Z43" i="2"/>
  <c r="Y555" i="2"/>
  <c r="Z558" i="2" l="1"/>
  <c r="Y556" i="2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<sst xmlns="http://schemas.openxmlformats.org/spreadsheetml/2006/main" count="4216" uniqueCount="893">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</sst>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Z13" sqref="Z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100</v>
      </c>
      <c r="Y48" s="55">
        <f>IFERROR(IF(X48="",0,CEILING((X48/$H48),1)*$H48),"")</f>
        <v>108</v>
      </c>
      <c r="Z48" s="41">
        <f>IFERROR(IF(Y48=0,"",ROUNDUP(Y48/H48,0)*0.01898),"")</f>
        <v>0.1898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103.79629629629629</v>
      </c>
      <c r="BN48" s="78">
        <f>IFERROR(Y48*I48/H48,"0")</f>
        <v>112.1</v>
      </c>
      <c r="BO48" s="78">
        <f>IFERROR(1/J48*(X48/H48),"0")</f>
        <v>0.14467592592592593</v>
      </c>
      <c r="BP48" s="78">
        <f>IFERROR(1/J48*(Y48/H48),"0")</f>
        <v>0.15625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9.2592592592592595</v>
      </c>
      <c r="Y52" s="43">
        <f>IFERROR(Y48/H48,"0")+IFERROR(Y49/H49,"0")+IFERROR(Y50/H50,"0")+IFERROR(Y51/H51,"0")</f>
        <v>10</v>
      </c>
      <c r="Z52" s="43">
        <f>IFERROR(IF(Z48="",0,Z48),"0")+IFERROR(IF(Z49="",0,Z49),"0")+IFERROR(IF(Z50="",0,Z50),"0")+IFERROR(IF(Z51="",0,Z51),"0")</f>
        <v>0.1898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100</v>
      </c>
      <c r="Y53" s="43">
        <f>IFERROR(SUM(Y48:Y51),"0")</f>
        <v>108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4.6296296296296298</v>
      </c>
      <c r="Y69" s="43">
        <f>IFERROR(Y65/H65,"0")+IFERROR(Y66/H66,"0")+IFERROR(Y67/H67,"0")+IFERROR(Y68/H68,"0")</f>
        <v>5</v>
      </c>
      <c r="Z69" s="43">
        <f>IFERROR(IF(Z65="",0,Z65),"0")+IFERROR(IF(Z66="",0,Z66),"0")+IFERROR(IF(Z67="",0,Z67),"0")+IFERROR(IF(Z68="",0,Z68),"0")</f>
        <v>9.4899999999999998E-2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50</v>
      </c>
      <c r="Y70" s="43">
        <f>IFERROR(SUM(Y65:Y68),"0")</f>
        <v>54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320</v>
      </c>
      <c r="Y90" s="55">
        <f>IFERROR(IF(X90="",0,CEILING((X90/$H90),1)*$H90),"")</f>
        <v>324</v>
      </c>
      <c r="Z90" s="41">
        <f>IFERROR(IF(Y90=0,"",ROUNDUP(Y90/H90,0)*0.01898),"")</f>
        <v>0.75919999999999999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339.51604938271606</v>
      </c>
      <c r="BN90" s="78">
        <f>IFERROR(Y90*I90/H90,"0")</f>
        <v>343.76</v>
      </c>
      <c r="BO90" s="78">
        <f>IFERROR(1/J90*(X90/H90),"0")</f>
        <v>0.61728395061728403</v>
      </c>
      <c r="BP90" s="78">
        <f>IFERROR(1/J90*(Y90/H90),"0")</f>
        <v>0.625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54</v>
      </c>
      <c r="Y92" s="55">
        <f>IFERROR(IF(X92="",0,CEILING((X92/$H92),1)*$H92),"")</f>
        <v>54</v>
      </c>
      <c r="Z92" s="41">
        <f>IFERROR(IF(Y92=0,"",ROUNDUP(Y92/H92,0)*0.00651),"")</f>
        <v>0.13020000000000001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59.039999999999992</v>
      </c>
      <c r="BN92" s="78">
        <f>IFERROR(Y92*I92/H92,"0")</f>
        <v>59.039999999999992</v>
      </c>
      <c r="BO92" s="78">
        <f>IFERROR(1/J92*(X92/H92),"0")</f>
        <v>0.1098901098901099</v>
      </c>
      <c r="BP92" s="78">
        <f>IFERROR(1/J92*(Y92/H92),"0")</f>
        <v>0.1098901098901099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59.506172839506178</v>
      </c>
      <c r="Y94" s="43">
        <f>IFERROR(Y90/H90,"0")+IFERROR(Y91/H91,"0")+IFERROR(Y92/H92,"0")+IFERROR(Y93/H93,"0")</f>
        <v>60</v>
      </c>
      <c r="Z94" s="43">
        <f>IFERROR(IF(Z90="",0,Z90),"0")+IFERROR(IF(Z91="",0,Z91),"0")+IFERROR(IF(Z92="",0,Z92),"0")+IFERROR(IF(Z93="",0,Z93),"0")</f>
        <v>0.88939999999999997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374</v>
      </c>
      <c r="Y95" s="43">
        <f>IFERROR(SUM(Y90:Y93),"0")</f>
        <v>378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100</v>
      </c>
      <c r="Y98" s="55">
        <f t="shared" ref="Y98:Y104" si="11">IFERROR(IF(X98="",0,CEILING((X98/$H98),1)*$H98),"")</f>
        <v>108</v>
      </c>
      <c r="Z98" s="41">
        <f>IFERROR(IF(Y98=0,"",ROUNDUP(Y98/H98,0)*0.01898),"")</f>
        <v>0.1898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103.79629629629629</v>
      </c>
      <c r="BN98" s="78">
        <f t="shared" ref="BN98:BN104" si="13">IFERROR(Y98*I98/H98,"0")</f>
        <v>112.1</v>
      </c>
      <c r="BO98" s="78">
        <f t="shared" ref="BO98:BO104" si="14">IFERROR(1/J98*(X98/H98),"0")</f>
        <v>0.14467592592592593</v>
      </c>
      <c r="BP98" s="78">
        <f t="shared" ref="BP98:BP104" si="15">IFERROR(1/J98*(Y98/H98),"0")</f>
        <v>0.15625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9.2592592592592595</v>
      </c>
      <c r="Y105" s="43">
        <f>IFERROR(Y98/H98,"0")+IFERROR(Y99/H99,"0")+IFERROR(Y100/H100,"0")+IFERROR(Y101/H101,"0")+IFERROR(Y102/H102,"0")+IFERROR(Y103/H103,"0")+IFERROR(Y104/H104,"0")</f>
        <v>10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0.1898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100</v>
      </c>
      <c r="Y106" s="43">
        <f>IFERROR(SUM(Y98:Y104),"0")</f>
        <v>108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40</v>
      </c>
      <c r="Y108" s="55">
        <f>IFERROR(IF(X108="",0,CEILING((X108/$H108),1)*$H108),"")</f>
        <v>43.2</v>
      </c>
      <c r="Z108" s="41">
        <f>IFERROR(IF(Y108=0,"",ROUNDUP(Y108/H108,0)*0.01898),"")</f>
        <v>7.5920000000000001E-2</v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41.518518518518519</v>
      </c>
      <c r="BN108" s="78">
        <f>IFERROR(Y108*I108/H108,"0")</f>
        <v>44.84</v>
      </c>
      <c r="BO108" s="78">
        <f>IFERROR(1/J108*(X108/H108),"0")</f>
        <v>5.7870370370370364E-2</v>
      </c>
      <c r="BP108" s="78">
        <f>IFERROR(1/J108*(Y108/H108),"0")</f>
        <v>6.25E-2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3.7037037037037033</v>
      </c>
      <c r="Y113" s="43">
        <f>IFERROR(Y108/H108,"0")+IFERROR(Y109/H109,"0")+IFERROR(Y110/H110,"0")+IFERROR(Y111/H111,"0")+IFERROR(Y112/H112,"0")</f>
        <v>4</v>
      </c>
      <c r="Z113" s="43">
        <f>IFERROR(IF(Z108="",0,Z108),"0")+IFERROR(IF(Z109="",0,Z109),"0")+IFERROR(IF(Z110="",0,Z110),"0")+IFERROR(IF(Z111="",0,Z111),"0")+IFERROR(IF(Z112="",0,Z112),"0")</f>
        <v>7.5920000000000001E-2</v>
      </c>
      <c r="AA113" s="67"/>
      <c r="AB113" s="67"/>
      <c r="AC113" s="67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40</v>
      </c>
      <c r="Y114" s="43">
        <f>IFERROR(SUM(Y108:Y112),"0")</f>
        <v>43.2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1400</v>
      </c>
      <c r="Y116" s="55">
        <f>IFERROR(IF(X116="",0,CEILING((X116/$H116),1)*$H116),"")</f>
        <v>1401.3</v>
      </c>
      <c r="Z116" s="41">
        <f>IFERROR(IF(Y116=0,"",ROUNDUP(Y116/H116,0)*0.01898),"")</f>
        <v>3.2835399999999999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1484.3456790123455</v>
      </c>
      <c r="BN116" s="78">
        <f>IFERROR(Y116*I116/H116,"0")</f>
        <v>1485.7239999999999</v>
      </c>
      <c r="BO116" s="78">
        <f>IFERROR(1/J116*(X116/H116),"0")</f>
        <v>2.7006172839506175</v>
      </c>
      <c r="BP116" s="78">
        <f>IFERROR(1/J116*(Y116/H116),"0")</f>
        <v>2.703125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172.83950617283952</v>
      </c>
      <c r="Y120" s="43">
        <f>IFERROR(Y116/H116,"0")+IFERROR(Y117/H117,"0")+IFERROR(Y118/H118,"0")+IFERROR(Y119/H119,"0")</f>
        <v>173</v>
      </c>
      <c r="Z120" s="43">
        <f>IFERROR(IF(Z116="",0,Z116),"0")+IFERROR(IF(Z117="",0,Z117),"0")+IFERROR(IF(Z118="",0,Z118),"0")+IFERROR(IF(Z119="",0,Z119),"0")</f>
        <v>3.2835399999999999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1400</v>
      </c>
      <c r="Y121" s="43">
        <f>IFERROR(SUM(Y116:Y119),"0")</f>
        <v>1401.3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20</v>
      </c>
      <c r="Y174" s="55">
        <f t="shared" ref="Y174:Y184" si="22">IFERROR(IF(X174="",0,CEILING((X174/$H174),1)*$H174),"")</f>
        <v>21</v>
      </c>
      <c r="Z174" s="41">
        <f>IFERROR(IF(Y174=0,"",ROUNDUP(Y174/H174,0)*0.00902),"")</f>
        <v>5.4120000000000001E-2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21.085714285714285</v>
      </c>
      <c r="BN174" s="78">
        <f t="shared" ref="BN174:BN184" si="24">IFERROR(Y174*I174/H174,"0")</f>
        <v>22.139999999999997</v>
      </c>
      <c r="BO174" s="78">
        <f t="shared" ref="BO174:BO184" si="25">IFERROR(1/J174*(X174/H174),"0")</f>
        <v>4.3290043290043295E-2</v>
      </c>
      <c r="BP174" s="78">
        <f t="shared" ref="BP174:BP184" si="26">IFERROR(1/J174*(Y174/H174),"0")</f>
        <v>4.5454545454545456E-2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5.7142857142857144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6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5.4120000000000001E-2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20</v>
      </c>
      <c r="Y186" s="43">
        <f>IFERROR(SUM(Y174:Y184),"0")</f>
        <v>21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40</v>
      </c>
      <c r="Y219" s="55">
        <f t="shared" ref="Y219:Y232" si="33">IFERROR(IF(X219="",0,CEILING((X219/$H219),1)*$H219),"")</f>
        <v>42</v>
      </c>
      <c r="Z219" s="41">
        <f>IFERROR(IF(Y219=0,"",ROUNDUP(Y219/H219,0)*0.00902),"")</f>
        <v>9.0200000000000002E-2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42.38095238095238</v>
      </c>
      <c r="BN219" s="78">
        <f t="shared" ref="BN219:BN232" si="35">IFERROR(Y219*I219/H219,"0")</f>
        <v>44.5</v>
      </c>
      <c r="BO219" s="78">
        <f t="shared" ref="BO219:BO232" si="36">IFERROR(1/J219*(X219/H219),"0")</f>
        <v>7.2150072150072145E-2</v>
      </c>
      <c r="BP219" s="78">
        <f t="shared" ref="BP219:BP232" si="37">IFERROR(1/J219*(Y219/H219),"0")</f>
        <v>7.575757575757576E-2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52.5</v>
      </c>
      <c r="Y230" s="55">
        <f t="shared" si="33"/>
        <v>52.5</v>
      </c>
      <c r="Z230" s="41">
        <f>IFERROR(IF(Y230=0,"",ROUNDUP(Y230/H230,0)*0.00502),"")</f>
        <v>0.1255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55.000000000000007</v>
      </c>
      <c r="BN230" s="78">
        <f t="shared" si="35"/>
        <v>55.000000000000007</v>
      </c>
      <c r="BO230" s="78">
        <f t="shared" si="36"/>
        <v>0.10683760683760685</v>
      </c>
      <c r="BP230" s="78">
        <f t="shared" si="37"/>
        <v>0.10683760683760685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34.523809523809526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35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0.2157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92.5</v>
      </c>
      <c r="Y234" s="43">
        <f>IFERROR(SUM(Y219:Y232),"0")</f>
        <v>94.5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70</v>
      </c>
      <c r="Y265" s="55">
        <f t="shared" ref="Y265:Y272" si="39">IFERROR(IF(X265="",0,CEILING((X265/$H265),1)*$H265),"")</f>
        <v>70.2</v>
      </c>
      <c r="Z265" s="41">
        <f>IFERROR(IF(Y265=0,"",ROUNDUP(Y265/H265,0)*0.00902),"")</f>
        <v>0.11726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72.462962962962962</v>
      </c>
      <c r="BN265" s="78">
        <f t="shared" ref="BN265:BN272" si="41">IFERROR(Y265*I265/H265,"0")</f>
        <v>72.67</v>
      </c>
      <c r="BO265" s="78">
        <f t="shared" ref="BO265:BO272" si="42">IFERROR(1/J265*(X265/H265),"0")</f>
        <v>9.8204264870931535E-2</v>
      </c>
      <c r="BP265" s="78">
        <f t="shared" ref="BP265:BP272" si="43">IFERROR(1/J265*(Y265/H265),"0")</f>
        <v>9.8484848484848481E-2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50</v>
      </c>
      <c r="Y266" s="55">
        <f t="shared" si="39"/>
        <v>54</v>
      </c>
      <c r="Z266" s="41">
        <f>IFERROR(IF(Y266=0,"",ROUNDUP(Y266/H266,0)*0.00902),"")</f>
        <v>9.0200000000000002E-2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51.759259259259252</v>
      </c>
      <c r="BN266" s="78">
        <f t="shared" si="41"/>
        <v>55.9</v>
      </c>
      <c r="BO266" s="78">
        <f t="shared" si="42"/>
        <v>7.0145903479236812E-2</v>
      </c>
      <c r="BP266" s="78">
        <f t="shared" si="43"/>
        <v>7.575757575757576E-2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22.222222222222221</v>
      </c>
      <c r="Y273" s="43">
        <f>IFERROR(Y265/H265,"0")+IFERROR(Y266/H266,"0")+IFERROR(Y267/H267,"0")+IFERROR(Y268/H268,"0")+IFERROR(Y269/H269,"0")+IFERROR(Y270/H270,"0")+IFERROR(Y271/H271,"0")+IFERROR(Y272/H272,"0")</f>
        <v>23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0.20746000000000001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120</v>
      </c>
      <c r="Y274" s="43">
        <f>IFERROR(SUM(Y265:Y272),"0")</f>
        <v>124.2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96</v>
      </c>
      <c r="Y282" s="55">
        <f t="shared" si="44"/>
        <v>96</v>
      </c>
      <c r="Z282" s="41">
        <f>IFERROR(IF(Y282=0,"",ROUNDUP(Y282/H282,0)*0.00651),"")</f>
        <v>0.26040000000000002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106.08000000000001</v>
      </c>
      <c r="BN282" s="78">
        <f t="shared" si="46"/>
        <v>106.08000000000001</v>
      </c>
      <c r="BO282" s="78">
        <f t="shared" si="47"/>
        <v>0.2197802197802198</v>
      </c>
      <c r="BP282" s="78">
        <f t="shared" si="48"/>
        <v>0.2197802197802198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0.26040000000000002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96</v>
      </c>
      <c r="Y289" s="43">
        <f>IFERROR(SUM(Y276:Y287),"0")</f>
        <v>96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800</v>
      </c>
      <c r="Y386" s="55">
        <f>IFERROR(IF(X386="",0,CEILING((X386/$H386),1)*$H386),"")</f>
        <v>803.4</v>
      </c>
      <c r="Z386" s="41">
        <f>IFERROR(IF(Y386=0,"",ROUNDUP(Y386/H386,0)*0.01898),"")</f>
        <v>1.9549400000000001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850.66666666666674</v>
      </c>
      <c r="BN386" s="78">
        <f>IFERROR(Y386*I386/H386,"0")</f>
        <v>854.28200000000015</v>
      </c>
      <c r="BO386" s="78">
        <f>IFERROR(1/J386*(X386/H386),"0")</f>
        <v>1.6025641025641026</v>
      </c>
      <c r="BP386" s="78">
        <f>IFERROR(1/J386*(Y386/H386),"0")</f>
        <v>1.609375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102.56410256410257</v>
      </c>
      <c r="Y388" s="43">
        <f>IFERROR(Y385/H385,"0")+IFERROR(Y386/H386,"0")+IFERROR(Y387/H387,"0")</f>
        <v>103</v>
      </c>
      <c r="Z388" s="43">
        <f>IFERROR(IF(Z385="",0,Z385),"0")+IFERROR(IF(Z386="",0,Z386),"0")+IFERROR(IF(Z387="",0,Z387),"0")</f>
        <v>1.9549400000000001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800</v>
      </c>
      <c r="Y389" s="43">
        <f>IFERROR(SUM(Y385:Y387),"0")</f>
        <v>803.4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5.0999999999999996</v>
      </c>
      <c r="Y394" s="55">
        <f>IFERROR(IF(X394="",0,CEILING((X394/$H394),1)*$H394),"")</f>
        <v>5.0999999999999996</v>
      </c>
      <c r="Z394" s="41">
        <f>IFERROR(IF(Y394=0,"",ROUNDUP(Y394/H394,0)*0.00651),"")</f>
        <v>1.302E-2</v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5.76</v>
      </c>
      <c r="BN394" s="78">
        <f>IFERROR(Y394*I394/H394,"0")</f>
        <v>5.76</v>
      </c>
      <c r="BO394" s="78">
        <f>IFERROR(1/J394*(X394/H394),"0")</f>
        <v>1.098901098901099E-2</v>
      </c>
      <c r="BP394" s="78">
        <f>IFERROR(1/J394*(Y394/H394),"0")</f>
        <v>1.098901098901099E-2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2</v>
      </c>
      <c r="Y395" s="43">
        <f>IFERROR(Y391/H391,"0")+IFERROR(Y392/H392,"0")+IFERROR(Y393/H393,"0")+IFERROR(Y394/H394,"0")</f>
        <v>2</v>
      </c>
      <c r="Z395" s="43">
        <f>IFERROR(IF(Z391="",0,Z391),"0")+IFERROR(IF(Z392="",0,Z392),"0")+IFERROR(IF(Z393="",0,Z393),"0")+IFERROR(IF(Z394="",0,Z394),"0")</f>
        <v>1.302E-2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5.0999999999999996</v>
      </c>
      <c r="Y396" s="43">
        <f>IFERROR(SUM(Y391:Y394),"0")</f>
        <v>5.0999999999999996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1500</v>
      </c>
      <c r="Y426" s="55">
        <f t="shared" si="64"/>
        <v>1500</v>
      </c>
      <c r="Z426" s="41">
        <f>IFERROR(IF(Y426=0,"",ROUNDUP(Y426/H426,0)*0.02175),"")</f>
        <v>2.1749999999999998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1547</v>
      </c>
      <c r="BN426" s="78">
        <f t="shared" si="66"/>
        <v>1547</v>
      </c>
      <c r="BO426" s="78">
        <f t="shared" si="67"/>
        <v>2.083333333333333</v>
      </c>
      <c r="BP426" s="78">
        <f t="shared" si="68"/>
        <v>2.083333333333333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750</v>
      </c>
      <c r="Y427" s="55">
        <f t="shared" si="64"/>
        <v>750</v>
      </c>
      <c r="Z427" s="41">
        <f>IFERROR(IF(Y427=0,"",ROUNDUP(Y427/H427,0)*0.02175),"")</f>
        <v>1.0874999999999999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773.5</v>
      </c>
      <c r="BN427" s="78">
        <f t="shared" si="66"/>
        <v>773.5</v>
      </c>
      <c r="BO427" s="78">
        <f t="shared" si="67"/>
        <v>1.0416666666666665</v>
      </c>
      <c r="BP427" s="78">
        <f t="shared" si="68"/>
        <v>1.0416666666666665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64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1547</v>
      </c>
      <c r="BN428" s="78">
        <f t="shared" si="66"/>
        <v>1547</v>
      </c>
      <c r="BO428" s="78">
        <f t="shared" si="67"/>
        <v>2.083333333333333</v>
      </c>
      <c r="BP428" s="78">
        <f t="shared" si="68"/>
        <v>2.083333333333333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250</v>
      </c>
      <c r="Y433" s="43">
        <f>IFERROR(Y425/H425,"0")+IFERROR(Y426/H426,"0")+IFERROR(Y427/H427,"0")+IFERROR(Y428/H428,"0")+IFERROR(Y429/H429,"0")+IFERROR(Y430/H430,"0")+IFERROR(Y431/H431,"0")+IFERROR(Y432/H432,"0")</f>
        <v>250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5.4375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3750</v>
      </c>
      <c r="Y434" s="43">
        <f>IFERROR(SUM(Y425:Y432),"0")</f>
        <v>3750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750</v>
      </c>
      <c r="Y436" s="55">
        <f>IFERROR(IF(X436="",0,CEILING((X436/$H436),1)*$H436),"")</f>
        <v>750</v>
      </c>
      <c r="Z436" s="41">
        <f>IFERROR(IF(Y436=0,"",ROUNDUP(Y436/H436,0)*0.02175),"")</f>
        <v>1.0874999999999999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773.5</v>
      </c>
      <c r="BN436" s="78">
        <f>IFERROR(Y436*I436/H436,"0")</f>
        <v>773.5</v>
      </c>
      <c r="BO436" s="78">
        <f>IFERROR(1/J436*(X436/H436),"0")</f>
        <v>1.0416666666666665</v>
      </c>
      <c r="BP436" s="78">
        <f>IFERROR(1/J436*(Y436/H436),"0")</f>
        <v>1.0416666666666665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50</v>
      </c>
      <c r="Y439" s="43">
        <f>IFERROR(Y436/H436,"0")+IFERROR(Y437/H437,"0")+IFERROR(Y438/H438,"0")</f>
        <v>50</v>
      </c>
      <c r="Z439" s="43">
        <f>IFERROR(IF(Z436="",0,Z436),"0")+IFERROR(IF(Z437="",0,Z437),"0")+IFERROR(IF(Z438="",0,Z438),"0")</f>
        <v>1.0874999999999999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750</v>
      </c>
      <c r="Y440" s="43">
        <f>IFERROR(SUM(Y436:Y438),"0")</f>
        <v>750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200</v>
      </c>
      <c r="Y449" s="55">
        <f>IFERROR(IF(X449="",0,CEILING((X449/$H449),1)*$H449),"")</f>
        <v>207</v>
      </c>
      <c r="Z449" s="41">
        <f>IFERROR(IF(Y449=0,"",ROUNDUP(Y449/H449,0)*0.01898),"")</f>
        <v>0.43653999999999998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210.97777777777776</v>
      </c>
      <c r="BN449" s="78">
        <f>IFERROR(Y449*I449/H449,"0")</f>
        <v>218.36199999999999</v>
      </c>
      <c r="BO449" s="78">
        <f>IFERROR(1/J449*(X449/H449),"0")</f>
        <v>0.34722222222222221</v>
      </c>
      <c r="BP449" s="78">
        <f>IFERROR(1/J449*(Y449/H449),"0")</f>
        <v>0.359375</v>
      </c>
    </row>
    <row r="450" spans="1:68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22.222222222222221</v>
      </c>
      <c r="Y450" s="43">
        <f>IFERROR(Y448/H448,"0")+IFERROR(Y449/H449,"0")</f>
        <v>23</v>
      </c>
      <c r="Z450" s="43">
        <f>IFERROR(IF(Z448="",0,Z448),"0")+IFERROR(IF(Z449="",0,Z449),"0")</f>
        <v>0.43653999999999998</v>
      </c>
      <c r="AA450" s="67"/>
      <c r="AB450" s="67"/>
      <c r="AC450" s="67"/>
    </row>
    <row r="451" spans="1:68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200</v>
      </c>
      <c r="Y451" s="43">
        <f>IFERROR(SUM(Y448:Y449),"0")</f>
        <v>207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40</v>
      </c>
      <c r="Y490" s="55">
        <f>IFERROR(IF(X490="",0,CEILING((X490/$H490),1)*$H490),"")</f>
        <v>43.2</v>
      </c>
      <c r="Z490" s="41">
        <f>IFERROR(IF(Y490=0,"",ROUNDUP(Y490/H490,0)*0.00902),"")</f>
        <v>7.2160000000000002E-2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41.407407407407405</v>
      </c>
      <c r="BN490" s="78">
        <f>IFERROR(Y490*I490/H490,"0")</f>
        <v>44.72</v>
      </c>
      <c r="BO490" s="78">
        <f>IFERROR(1/J490*(X490/H490),"0")</f>
        <v>5.6116722783389444E-2</v>
      </c>
      <c r="BP490" s="78">
        <f>IFERROR(1/J490*(Y490/H490),"0")</f>
        <v>6.0606060606060608E-2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7.4074074074074066</v>
      </c>
      <c r="Y493" s="43">
        <f>IFERROR(Y490/H490,"0")+IFERROR(Y491/H491,"0")+IFERROR(Y492/H492,"0")</f>
        <v>8</v>
      </c>
      <c r="Z493" s="43">
        <f>IFERROR(IF(Z490="",0,Z490),"0")+IFERROR(IF(Z491="",0,Z491),"0")+IFERROR(IF(Z492="",0,Z492),"0")</f>
        <v>7.2160000000000002E-2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40</v>
      </c>
      <c r="Y494" s="43">
        <f>IFERROR(SUM(Y490:Y492),"0")</f>
        <v>43.2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700</v>
      </c>
      <c r="Y501" s="55">
        <f t="shared" si="74"/>
        <v>702.24</v>
      </c>
      <c r="Z501" s="41">
        <f t="shared" si="75"/>
        <v>1.5906800000000001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746.40151515151513</v>
      </c>
      <c r="BN501" s="78">
        <f t="shared" si="77"/>
        <v>748.79</v>
      </c>
      <c r="BO501" s="78">
        <f t="shared" si="78"/>
        <v>1.2747668997668997</v>
      </c>
      <c r="BP501" s="78">
        <f t="shared" si="79"/>
        <v>1.278846153846154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132.57575757575756</v>
      </c>
      <c r="Y507" s="43">
        <f>IFERROR(Y498/H498,"0")+IFERROR(Y499/H499,"0")+IFERROR(Y500/H500,"0")+IFERROR(Y501/H501,"0")+IFERROR(Y502/H502,"0")+IFERROR(Y503/H503,"0")+IFERROR(Y504/H504,"0")+IFERROR(Y505/H505,"0")+IFERROR(Y506/H506,"0")</f>
        <v>133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1.5906800000000001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700</v>
      </c>
      <c r="Y508" s="43">
        <f>IFERROR(SUM(Y498:Y506),"0")</f>
        <v>702.24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700</v>
      </c>
      <c r="Y510" s="55">
        <f>IFERROR(IF(X510="",0,CEILING((X510/$H510),1)*$H510),"")</f>
        <v>702.24</v>
      </c>
      <c r="Z510" s="41">
        <f>IFERROR(IF(Y510=0,"",ROUNDUP(Y510/H510,0)*0.01196),"")</f>
        <v>1.5906800000000001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746.40151515151513</v>
      </c>
      <c r="BN510" s="78">
        <f>IFERROR(Y510*I510/H510,"0")</f>
        <v>748.79</v>
      </c>
      <c r="BO510" s="78">
        <f>IFERROR(1/J510*(X510/H510),"0")</f>
        <v>1.2747668997668997</v>
      </c>
      <c r="BP510" s="78">
        <f>IFERROR(1/J510*(Y510/H510),"0")</f>
        <v>1.278846153846154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132.57575757575756</v>
      </c>
      <c r="Y513" s="43">
        <f>IFERROR(Y510/H510,"0")+IFERROR(Y511/H511,"0")+IFERROR(Y512/H512,"0")</f>
        <v>133</v>
      </c>
      <c r="Z513" s="43">
        <f>IFERROR(IF(Z510="",0,Z510),"0")+IFERROR(IF(Z511="",0,Z511),"0")+IFERROR(IF(Z512="",0,Z512),"0")</f>
        <v>1.5906800000000001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700</v>
      </c>
      <c r="Y514" s="43">
        <f>IFERROR(SUM(Y510:Y512),"0")</f>
        <v>702.24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500</v>
      </c>
      <c r="Y517" s="55">
        <f t="shared" si="80"/>
        <v>501.6</v>
      </c>
      <c r="Z517" s="41">
        <f>IFERROR(IF(Y517=0,"",ROUNDUP(Y517/H517,0)*0.01196),"")</f>
        <v>1.1362000000000001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533.14393939393938</v>
      </c>
      <c r="BN517" s="78">
        <f t="shared" si="82"/>
        <v>534.85</v>
      </c>
      <c r="BO517" s="78">
        <f t="shared" si="83"/>
        <v>0.91054778554778548</v>
      </c>
      <c r="BP517" s="78">
        <f t="shared" si="84"/>
        <v>0.91346153846153855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94.696969696969688</v>
      </c>
      <c r="Y523" s="43">
        <f>IFERROR(Y516/H516,"0")+IFERROR(Y517/H517,"0")+IFERROR(Y518/H518,"0")+IFERROR(Y519/H519,"0")+IFERROR(Y520/H520,"0")+IFERROR(Y521/H521,"0")+IFERROR(Y522/H522,"0")</f>
        <v>95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1.1362000000000001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500</v>
      </c>
      <c r="Y524" s="43">
        <f>IFERROR(SUM(Y516:Y522),"0")</f>
        <v>501.6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100</v>
      </c>
      <c r="Y528" s="55">
        <f>IFERROR(IF(X528="",0,CEILING((X528/$H528),1)*$H528),"")</f>
        <v>108</v>
      </c>
      <c r="Z528" s="41">
        <f>IFERROR(IF(Y528=0,"",ROUNDUP(Y528/H528,0)*0.01898),"")</f>
        <v>0.17082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103.41666666666667</v>
      </c>
      <c r="BN528" s="78">
        <f>IFERROR(Y528*I528/H528,"0")</f>
        <v>111.69</v>
      </c>
      <c r="BO528" s="78">
        <f>IFERROR(1/J528*(X528/H528),"0")</f>
        <v>0.13020833333333334</v>
      </c>
      <c r="BP528" s="78">
        <f>IFERROR(1/J528*(Y528/H528),"0")</f>
        <v>0.140625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8.3333333333333339</v>
      </c>
      <c r="Y529" s="43">
        <f>IFERROR(Y528/H528,"0")</f>
        <v>9</v>
      </c>
      <c r="Z529" s="43">
        <f>IFERROR(IF(Z528="",0,Z528),"0")</f>
        <v>0.17082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100</v>
      </c>
      <c r="Y530" s="43">
        <f>IFERROR(SUM(Y528:Y528),"0")</f>
        <v>108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80</v>
      </c>
      <c r="Y540" s="55">
        <f>IFERROR(IF(X540="",0,CEILING((X540/$H540),1)*$H540),"")</f>
        <v>81</v>
      </c>
      <c r="Z540" s="41">
        <f>IFERROR(IF(Y540=0,"",ROUNDUP(Y540/H540,0)*0.01898),"")</f>
        <v>0.17082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84.391111111111115</v>
      </c>
      <c r="BN540" s="78">
        <f>IFERROR(Y540*I540/H540,"0")</f>
        <v>85.445999999999998</v>
      </c>
      <c r="BO540" s="78">
        <f>IFERROR(1/J540*(X540/H540),"0")</f>
        <v>0.1388888888888889</v>
      </c>
      <c r="BP540" s="78">
        <f>IFERROR(1/J540*(Y540/H540),"0")</f>
        <v>0.140625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8.8888888888888893</v>
      </c>
      <c r="Y541" s="43">
        <f>IFERROR(Y540/H540,"0")</f>
        <v>9</v>
      </c>
      <c r="Z541" s="43">
        <f>IFERROR(IF(Z540="",0,Z540),"0")</f>
        <v>0.17082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80</v>
      </c>
      <c r="Y542" s="43">
        <f>IFERROR(SUM(Y540:Y540),"0")</f>
        <v>81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10017.6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10081.98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10496.246475869812</v>
      </c>
      <c r="Y554" s="43">
        <f>IFERROR(SUM(BN22:BN550),"0")</f>
        <v>10563.594000000001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17</v>
      </c>
      <c r="Y555" s="44">
        <f>ROUNDUP(SUM(BP22:BP550),0)</f>
        <v>17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10921.246475869812</v>
      </c>
      <c r="Y556" s="43">
        <f>GrossWeightTotalR+PalletQtyTotalR*25</f>
        <v>10988.594000000001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1172.9222875889541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1181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19.121899999999997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108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54</v>
      </c>
      <c r="F563" s="52">
        <f>IFERROR(Y83*1,"0")+IFERROR(Y84*1,"0")+IFERROR(Y85*1,"0")+IFERROR(Y86*1,"0")+IFERROR(Y90*1,"0")+IFERROR(Y91*1,"0")+IFERROR(Y92*1,"0")+IFERROR(Y93*1,"0")</f>
        <v>378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1552.5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21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94.5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220.2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808.5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4707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43.2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1906.08</v>
      </c>
      <c r="AB563" s="52">
        <f>IFERROR(Y528*1,"0")+IFERROR(Y532*1,"0")+IFERROR(Y536*1,"0")+IFERROR(Y540*1,"0")+IFERROR(Y544*1,"0")+IFERROR(Y545*1,"0")</f>
        <v>189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2,92"/>
        <filter val="1 400,00"/>
        <filter val="1 500,00"/>
        <filter val="10 017,60"/>
        <filter val="10 496,25"/>
        <filter val="10 921,25"/>
        <filter val="100,00"/>
        <filter val="102,56"/>
        <filter val="120,00"/>
        <filter val="132,58"/>
        <filter val="17"/>
        <filter val="172,84"/>
        <filter val="2,00"/>
        <filter val="20,00"/>
        <filter val="200,00"/>
        <filter val="22,22"/>
        <filter val="250,00"/>
        <filter val="3 750,00"/>
        <filter val="3,70"/>
        <filter val="320,00"/>
        <filter val="34,52"/>
        <filter val="374,00"/>
        <filter val="4,63"/>
        <filter val="40,00"/>
        <filter val="5,10"/>
        <filter val="5,71"/>
        <filter val="50,00"/>
        <filter val="500,00"/>
        <filter val="52,50"/>
        <filter val="54,00"/>
        <filter val="59,51"/>
        <filter val="7,41"/>
        <filter val="70,00"/>
        <filter val="700,00"/>
        <filter val="750,00"/>
        <filter val="8,33"/>
        <filter val="8,89"/>
        <filter val="80,00"/>
        <filter val="800,00"/>
        <filter val="9,26"/>
        <filter val="92,50"/>
        <filter val="94,70"/>
        <filter val="96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