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5D1788D-A98B-4BF7-9DB5-D949240A264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1" i="2" l="1"/>
  <c r="X550" i="2"/>
  <c r="BO549" i="2"/>
  <c r="BM549" i="2"/>
  <c r="Y549" i="2"/>
  <c r="AC562" i="2" s="1"/>
  <c r="P549" i="2"/>
  <c r="X546" i="2"/>
  <c r="X545" i="2"/>
  <c r="BO544" i="2"/>
  <c r="BM544" i="2"/>
  <c r="Y544" i="2"/>
  <c r="BP544" i="2" s="1"/>
  <c r="P544" i="2"/>
  <c r="BO543" i="2"/>
  <c r="BM543" i="2"/>
  <c r="Y543" i="2"/>
  <c r="Z543" i="2" s="1"/>
  <c r="P543" i="2"/>
  <c r="X541" i="2"/>
  <c r="X540" i="2"/>
  <c r="BO539" i="2"/>
  <c r="BM539" i="2"/>
  <c r="Y539" i="2"/>
  <c r="Y540" i="2" s="1"/>
  <c r="P539" i="2"/>
  <c r="X537" i="2"/>
  <c r="X536" i="2"/>
  <c r="BO535" i="2"/>
  <c r="BM535" i="2"/>
  <c r="Y535" i="2"/>
  <c r="Z535" i="2" s="1"/>
  <c r="Z536" i="2" s="1"/>
  <c r="P535" i="2"/>
  <c r="X533" i="2"/>
  <c r="X532" i="2"/>
  <c r="BO531" i="2"/>
  <c r="BM531" i="2"/>
  <c r="Y531" i="2"/>
  <c r="BP531" i="2" s="1"/>
  <c r="P531" i="2"/>
  <c r="X529" i="2"/>
  <c r="X528" i="2"/>
  <c r="BO527" i="2"/>
  <c r="BM527" i="2"/>
  <c r="Y527" i="2"/>
  <c r="Y528" i="2" s="1"/>
  <c r="P527" i="2"/>
  <c r="X523" i="2"/>
  <c r="X522" i="2"/>
  <c r="BO521" i="2"/>
  <c r="BM521" i="2"/>
  <c r="Y521" i="2"/>
  <c r="Z521" i="2" s="1"/>
  <c r="P521" i="2"/>
  <c r="BO520" i="2"/>
  <c r="BM520" i="2"/>
  <c r="Y520" i="2"/>
  <c r="P520" i="2"/>
  <c r="BO519" i="2"/>
  <c r="BM519" i="2"/>
  <c r="Y519" i="2"/>
  <c r="BN519" i="2" s="1"/>
  <c r="P519" i="2"/>
  <c r="BO518" i="2"/>
  <c r="BM518" i="2"/>
  <c r="Y518" i="2"/>
  <c r="BN518" i="2" s="1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X513" i="2"/>
  <c r="X512" i="2"/>
  <c r="BO511" i="2"/>
  <c r="BM511" i="2"/>
  <c r="Y511" i="2"/>
  <c r="Z511" i="2" s="1"/>
  <c r="P511" i="2"/>
  <c r="BO510" i="2"/>
  <c r="BM510" i="2"/>
  <c r="Y510" i="2"/>
  <c r="P510" i="2"/>
  <c r="BO509" i="2"/>
  <c r="BM509" i="2"/>
  <c r="Y509" i="2"/>
  <c r="BP509" i="2" s="1"/>
  <c r="P509" i="2"/>
  <c r="X507" i="2"/>
  <c r="X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BO499" i="2"/>
  <c r="BM499" i="2"/>
  <c r="Y499" i="2"/>
  <c r="Z499" i="2" s="1"/>
  <c r="P499" i="2"/>
  <c r="BO498" i="2"/>
  <c r="BM498" i="2"/>
  <c r="Y498" i="2"/>
  <c r="BN498" i="2" s="1"/>
  <c r="P498" i="2"/>
  <c r="BO497" i="2"/>
  <c r="BM497" i="2"/>
  <c r="Y497" i="2"/>
  <c r="BP497" i="2" s="1"/>
  <c r="P497" i="2"/>
  <c r="X493" i="2"/>
  <c r="X492" i="2"/>
  <c r="BO491" i="2"/>
  <c r="BM491" i="2"/>
  <c r="Y491" i="2"/>
  <c r="BP491" i="2" s="1"/>
  <c r="P491" i="2"/>
  <c r="BO490" i="2"/>
  <c r="BM490" i="2"/>
  <c r="Y490" i="2"/>
  <c r="Z490" i="2" s="1"/>
  <c r="P490" i="2"/>
  <c r="BO489" i="2"/>
  <c r="BM489" i="2"/>
  <c r="Y489" i="2"/>
  <c r="Z489" i="2" s="1"/>
  <c r="P489" i="2"/>
  <c r="X487" i="2"/>
  <c r="X486" i="2"/>
  <c r="BO485" i="2"/>
  <c r="BM485" i="2"/>
  <c r="Y485" i="2"/>
  <c r="P485" i="2"/>
  <c r="X482" i="2"/>
  <c r="X481" i="2"/>
  <c r="BO480" i="2"/>
  <c r="BM480" i="2"/>
  <c r="Y480" i="2"/>
  <c r="P480" i="2"/>
  <c r="BO479" i="2"/>
  <c r="BM479" i="2"/>
  <c r="Y479" i="2"/>
  <c r="Y482" i="2" s="1"/>
  <c r="P479" i="2"/>
  <c r="X477" i="2"/>
  <c r="X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BN473" i="2" s="1"/>
  <c r="P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Y477" i="2" s="1"/>
  <c r="P470" i="2"/>
  <c r="X466" i="2"/>
  <c r="X465" i="2"/>
  <c r="BO464" i="2"/>
  <c r="BM464" i="2"/>
  <c r="Y464" i="2"/>
  <c r="Z464" i="2" s="1"/>
  <c r="P464" i="2"/>
  <c r="BO463" i="2"/>
  <c r="BM463" i="2"/>
  <c r="Y463" i="2"/>
  <c r="Z463" i="2" s="1"/>
  <c r="P463" i="2"/>
  <c r="BO462" i="2"/>
  <c r="BM462" i="2"/>
  <c r="Y462" i="2"/>
  <c r="P462" i="2"/>
  <c r="X460" i="2"/>
  <c r="X459" i="2"/>
  <c r="BO458" i="2"/>
  <c r="BM458" i="2"/>
  <c r="Y458" i="2"/>
  <c r="Z458" i="2" s="1"/>
  <c r="Z459" i="2" s="1"/>
  <c r="P458" i="2"/>
  <c r="X456" i="2"/>
  <c r="X455" i="2"/>
  <c r="BO454" i="2"/>
  <c r="BM454" i="2"/>
  <c r="Y454" i="2"/>
  <c r="BP454" i="2" s="1"/>
  <c r="P454" i="2"/>
  <c r="BO453" i="2"/>
  <c r="BM453" i="2"/>
  <c r="Y453" i="2"/>
  <c r="Y455" i="2" s="1"/>
  <c r="P453" i="2"/>
  <c r="X450" i="2"/>
  <c r="X449" i="2"/>
  <c r="BO448" i="2"/>
  <c r="BM448" i="2"/>
  <c r="Y448" i="2"/>
  <c r="BN448" i="2" s="1"/>
  <c r="P448" i="2"/>
  <c r="BO447" i="2"/>
  <c r="BM447" i="2"/>
  <c r="Y447" i="2"/>
  <c r="BP447" i="2" s="1"/>
  <c r="P447" i="2"/>
  <c r="X445" i="2"/>
  <c r="X444" i="2"/>
  <c r="BO443" i="2"/>
  <c r="BM443" i="2"/>
  <c r="Y443" i="2"/>
  <c r="BP443" i="2" s="1"/>
  <c r="P443" i="2"/>
  <c r="BO442" i="2"/>
  <c r="BM442" i="2"/>
  <c r="Y442" i="2"/>
  <c r="Z442" i="2" s="1"/>
  <c r="P442" i="2"/>
  <c r="BO441" i="2"/>
  <c r="BM441" i="2"/>
  <c r="Y441" i="2"/>
  <c r="Z441" i="2" s="1"/>
  <c r="P441" i="2"/>
  <c r="X439" i="2"/>
  <c r="X438" i="2"/>
  <c r="BO437" i="2"/>
  <c r="BM437" i="2"/>
  <c r="Y437" i="2"/>
  <c r="Z437" i="2" s="1"/>
  <c r="P437" i="2"/>
  <c r="BO436" i="2"/>
  <c r="BM436" i="2"/>
  <c r="Y436" i="2"/>
  <c r="Z436" i="2" s="1"/>
  <c r="P436" i="2"/>
  <c r="BO435" i="2"/>
  <c r="BM435" i="2"/>
  <c r="Y435" i="2"/>
  <c r="P435" i="2"/>
  <c r="X433" i="2"/>
  <c r="X432" i="2"/>
  <c r="BO431" i="2"/>
  <c r="BM431" i="2"/>
  <c r="Y431" i="2"/>
  <c r="BN431" i="2" s="1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Z427" i="2" s="1"/>
  <c r="P427" i="2"/>
  <c r="BO426" i="2"/>
  <c r="BM426" i="2"/>
  <c r="Y426" i="2"/>
  <c r="Z426" i="2" s="1"/>
  <c r="P426" i="2"/>
  <c r="BO425" i="2"/>
  <c r="BM425" i="2"/>
  <c r="Y425" i="2"/>
  <c r="Z425" i="2" s="1"/>
  <c r="P425" i="2"/>
  <c r="BO424" i="2"/>
  <c r="BM424" i="2"/>
  <c r="Y424" i="2"/>
  <c r="P424" i="2"/>
  <c r="X420" i="2"/>
  <c r="X419" i="2"/>
  <c r="BO418" i="2"/>
  <c r="BM418" i="2"/>
  <c r="Y418" i="2"/>
  <c r="BP418" i="2" s="1"/>
  <c r="P418" i="2"/>
  <c r="BO417" i="2"/>
  <c r="BM417" i="2"/>
  <c r="Y417" i="2"/>
  <c r="Z417" i="2" s="1"/>
  <c r="P417" i="2"/>
  <c r="BO416" i="2"/>
  <c r="BM416" i="2"/>
  <c r="Y416" i="2"/>
  <c r="Z416" i="2" s="1"/>
  <c r="P416" i="2"/>
  <c r="X413" i="2"/>
  <c r="X412" i="2"/>
  <c r="BO411" i="2"/>
  <c r="BM411" i="2"/>
  <c r="Y411" i="2"/>
  <c r="BP411" i="2" s="1"/>
  <c r="P411" i="2"/>
  <c r="BO410" i="2"/>
  <c r="BM410" i="2"/>
  <c r="Y410" i="2"/>
  <c r="P410" i="2"/>
  <c r="X407" i="2"/>
  <c r="X406" i="2"/>
  <c r="BO405" i="2"/>
  <c r="BM405" i="2"/>
  <c r="Y405" i="2"/>
  <c r="Z405" i="2" s="1"/>
  <c r="P405" i="2"/>
  <c r="BO404" i="2"/>
  <c r="BM404" i="2"/>
  <c r="Y404" i="2"/>
  <c r="Z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BO398" i="2"/>
  <c r="BM398" i="2"/>
  <c r="Y398" i="2"/>
  <c r="P398" i="2"/>
  <c r="BO397" i="2"/>
  <c r="BM397" i="2"/>
  <c r="Y397" i="2"/>
  <c r="BP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Z391" i="2" s="1"/>
  <c r="P391" i="2"/>
  <c r="BO390" i="2"/>
  <c r="BM390" i="2"/>
  <c r="Y390" i="2"/>
  <c r="Z390" i="2" s="1"/>
  <c r="P390" i="2"/>
  <c r="X388" i="2"/>
  <c r="X387" i="2"/>
  <c r="BO386" i="2"/>
  <c r="BM386" i="2"/>
  <c r="Y386" i="2"/>
  <c r="BN386" i="2" s="1"/>
  <c r="P386" i="2"/>
  <c r="BO385" i="2"/>
  <c r="BM385" i="2"/>
  <c r="Y385" i="2"/>
  <c r="BN385" i="2" s="1"/>
  <c r="P385" i="2"/>
  <c r="BO384" i="2"/>
  <c r="BM384" i="2"/>
  <c r="Y384" i="2"/>
  <c r="Z384" i="2" s="1"/>
  <c r="P384" i="2"/>
  <c r="X382" i="2"/>
  <c r="X381" i="2"/>
  <c r="BO380" i="2"/>
  <c r="BM380" i="2"/>
  <c r="Y380" i="2"/>
  <c r="BN380" i="2" s="1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P377" i="2"/>
  <c r="X375" i="2"/>
  <c r="X374" i="2"/>
  <c r="BO373" i="2"/>
  <c r="BM373" i="2"/>
  <c r="Y373" i="2"/>
  <c r="Z373" i="2" s="1"/>
  <c r="P373" i="2"/>
  <c r="BO372" i="2"/>
  <c r="BM372" i="2"/>
  <c r="Y372" i="2"/>
  <c r="Z372" i="2" s="1"/>
  <c r="P372" i="2"/>
  <c r="BO371" i="2"/>
  <c r="BM371" i="2"/>
  <c r="Y371" i="2"/>
  <c r="BN371" i="2" s="1"/>
  <c r="P371" i="2"/>
  <c r="BO370" i="2"/>
  <c r="BM370" i="2"/>
  <c r="Y370" i="2"/>
  <c r="BN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P367" i="2"/>
  <c r="X365" i="2"/>
  <c r="X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BN360" i="2" s="1"/>
  <c r="P360" i="2"/>
  <c r="BO359" i="2"/>
  <c r="BM359" i="2"/>
  <c r="Y359" i="2"/>
  <c r="P359" i="2"/>
  <c r="X356" i="2"/>
  <c r="X355" i="2"/>
  <c r="BO354" i="2"/>
  <c r="BM354" i="2"/>
  <c r="Y354" i="2"/>
  <c r="Z354" i="2" s="1"/>
  <c r="P354" i="2"/>
  <c r="BO353" i="2"/>
  <c r="BM353" i="2"/>
  <c r="Y353" i="2"/>
  <c r="Z353" i="2" s="1"/>
  <c r="P353" i="2"/>
  <c r="BO352" i="2"/>
  <c r="BM352" i="2"/>
  <c r="Y352" i="2"/>
  <c r="S562" i="2" s="1"/>
  <c r="P352" i="2"/>
  <c r="X349" i="2"/>
  <c r="X348" i="2"/>
  <c r="BO347" i="2"/>
  <c r="BM347" i="2"/>
  <c r="Y347" i="2"/>
  <c r="Z347" i="2" s="1"/>
  <c r="P347" i="2"/>
  <c r="BO346" i="2"/>
  <c r="BM346" i="2"/>
  <c r="Y346" i="2"/>
  <c r="Z346" i="2" s="1"/>
  <c r="P346" i="2"/>
  <c r="X344" i="2"/>
  <c r="X343" i="2"/>
  <c r="BO342" i="2"/>
  <c r="BM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P339" i="2" s="1"/>
  <c r="P339" i="2"/>
  <c r="BO338" i="2"/>
  <c r="BM338" i="2"/>
  <c r="Y338" i="2"/>
  <c r="BP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P332" i="2"/>
  <c r="BO331" i="2"/>
  <c r="BM331" i="2"/>
  <c r="Y331" i="2"/>
  <c r="P331" i="2"/>
  <c r="X328" i="2"/>
  <c r="X327" i="2"/>
  <c r="BO326" i="2"/>
  <c r="BM326" i="2"/>
  <c r="Y326" i="2"/>
  <c r="Z326" i="2" s="1"/>
  <c r="P326" i="2"/>
  <c r="BO325" i="2"/>
  <c r="BM325" i="2"/>
  <c r="Y325" i="2"/>
  <c r="P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X319" i="2"/>
  <c r="X318" i="2"/>
  <c r="BO317" i="2"/>
  <c r="BM317" i="2"/>
  <c r="Y317" i="2"/>
  <c r="Z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Z311" i="2" s="1"/>
  <c r="Z312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Z303" i="2" s="1"/>
  <c r="P303" i="2"/>
  <c r="BO302" i="2"/>
  <c r="BM302" i="2"/>
  <c r="Y302" i="2"/>
  <c r="BP302" i="2" s="1"/>
  <c r="P302" i="2"/>
  <c r="BO301" i="2"/>
  <c r="BM301" i="2"/>
  <c r="Y301" i="2"/>
  <c r="BN301" i="2" s="1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Z292" i="2" s="1"/>
  <c r="P292" i="2"/>
  <c r="BO291" i="2"/>
  <c r="BM291" i="2"/>
  <c r="Y291" i="2"/>
  <c r="BP291" i="2" s="1"/>
  <c r="P291" i="2"/>
  <c r="X289" i="2"/>
  <c r="X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Z284" i="2" s="1"/>
  <c r="P284" i="2"/>
  <c r="BO283" i="2"/>
  <c r="BM283" i="2"/>
  <c r="Y283" i="2"/>
  <c r="BP283" i="2" s="1"/>
  <c r="P283" i="2"/>
  <c r="BO282" i="2"/>
  <c r="BM282" i="2"/>
  <c r="Y282" i="2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BN276" i="2" s="1"/>
  <c r="P276" i="2"/>
  <c r="X274" i="2"/>
  <c r="X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BN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Z266" i="2" s="1"/>
  <c r="P266" i="2"/>
  <c r="BO265" i="2"/>
  <c r="BM265" i="2"/>
  <c r="Y265" i="2"/>
  <c r="BP265" i="2" s="1"/>
  <c r="P265" i="2"/>
  <c r="X263" i="2"/>
  <c r="X262" i="2"/>
  <c r="BO261" i="2"/>
  <c r="BM261" i="2"/>
  <c r="Y261" i="2"/>
  <c r="P261" i="2"/>
  <c r="BO260" i="2"/>
  <c r="BM260" i="2"/>
  <c r="Y260" i="2"/>
  <c r="BN260" i="2" s="1"/>
  <c r="P260" i="2"/>
  <c r="X258" i="2"/>
  <c r="X257" i="2"/>
  <c r="BO256" i="2"/>
  <c r="BM256" i="2"/>
  <c r="Y256" i="2"/>
  <c r="P256" i="2"/>
  <c r="BO255" i="2"/>
  <c r="BM255" i="2"/>
  <c r="Y255" i="2"/>
  <c r="Z255" i="2" s="1"/>
  <c r="P255" i="2"/>
  <c r="X252" i="2"/>
  <c r="X251" i="2"/>
  <c r="BO250" i="2"/>
  <c r="BM250" i="2"/>
  <c r="Y250" i="2"/>
  <c r="Y252" i="2" s="1"/>
  <c r="P250" i="2"/>
  <c r="X248" i="2"/>
  <c r="X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N237" i="2" s="1"/>
  <c r="P237" i="2"/>
  <c r="BO236" i="2"/>
  <c r="BM236" i="2"/>
  <c r="Y236" i="2"/>
  <c r="Y242" i="2" s="1"/>
  <c r="P236" i="2"/>
  <c r="X234" i="2"/>
  <c r="X233" i="2"/>
  <c r="BO232" i="2"/>
  <c r="BM232" i="2"/>
  <c r="Y232" i="2"/>
  <c r="Z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P219" i="2" s="1"/>
  <c r="P219" i="2"/>
  <c r="X217" i="2"/>
  <c r="X216" i="2"/>
  <c r="BO215" i="2"/>
  <c r="BM215" i="2"/>
  <c r="Y215" i="2"/>
  <c r="Y217" i="2" s="1"/>
  <c r="P215" i="2"/>
  <c r="X212" i="2"/>
  <c r="X211" i="2"/>
  <c r="BO210" i="2"/>
  <c r="BM210" i="2"/>
  <c r="Y210" i="2"/>
  <c r="Z210" i="2" s="1"/>
  <c r="P210" i="2"/>
  <c r="BO209" i="2"/>
  <c r="BM209" i="2"/>
  <c r="Y209" i="2"/>
  <c r="P209" i="2"/>
  <c r="BO208" i="2"/>
  <c r="BM208" i="2"/>
  <c r="Y208" i="2"/>
  <c r="Z208" i="2" s="1"/>
  <c r="P208" i="2"/>
  <c r="BO207" i="2"/>
  <c r="BM207" i="2"/>
  <c r="Y207" i="2"/>
  <c r="P207" i="2"/>
  <c r="BO206" i="2"/>
  <c r="BM206" i="2"/>
  <c r="Y206" i="2"/>
  <c r="Z206" i="2" s="1"/>
  <c r="P206" i="2"/>
  <c r="BO205" i="2"/>
  <c r="BM205" i="2"/>
  <c r="Y205" i="2"/>
  <c r="BP205" i="2" s="1"/>
  <c r="P205" i="2"/>
  <c r="BO204" i="2"/>
  <c r="BM204" i="2"/>
  <c r="Y204" i="2"/>
  <c r="P204" i="2"/>
  <c r="X200" i="2"/>
  <c r="X199" i="2"/>
  <c r="BO198" i="2"/>
  <c r="BM198" i="2"/>
  <c r="Y198" i="2"/>
  <c r="BN198" i="2" s="1"/>
  <c r="P198" i="2"/>
  <c r="X196" i="2"/>
  <c r="X195" i="2"/>
  <c r="BO194" i="2"/>
  <c r="BM194" i="2"/>
  <c r="Y194" i="2"/>
  <c r="BP194" i="2" s="1"/>
  <c r="P194" i="2"/>
  <c r="X192" i="2"/>
  <c r="X191" i="2"/>
  <c r="BO190" i="2"/>
  <c r="BM190" i="2"/>
  <c r="Y190" i="2"/>
  <c r="P190" i="2"/>
  <c r="BO189" i="2"/>
  <c r="BM189" i="2"/>
  <c r="Y189" i="2"/>
  <c r="P189" i="2"/>
  <c r="BO188" i="2"/>
  <c r="BM188" i="2"/>
  <c r="Y188" i="2"/>
  <c r="Z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Y174" i="2"/>
  <c r="Z174" i="2" s="1"/>
  <c r="P174" i="2"/>
  <c r="X172" i="2"/>
  <c r="X171" i="2"/>
  <c r="BO170" i="2"/>
  <c r="BM170" i="2"/>
  <c r="Y170" i="2"/>
  <c r="BP170" i="2" s="1"/>
  <c r="P170" i="2"/>
  <c r="BO169" i="2"/>
  <c r="BM169" i="2"/>
  <c r="Y169" i="2"/>
  <c r="P169" i="2"/>
  <c r="X167" i="2"/>
  <c r="X166" i="2"/>
  <c r="BO165" i="2"/>
  <c r="BM165" i="2"/>
  <c r="Y165" i="2"/>
  <c r="P165" i="2"/>
  <c r="BO164" i="2"/>
  <c r="BM164" i="2"/>
  <c r="Y164" i="2"/>
  <c r="P164" i="2"/>
  <c r="BO163" i="2"/>
  <c r="BM163" i="2"/>
  <c r="Y163" i="2"/>
  <c r="Z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Z149" i="2" s="1"/>
  <c r="P149" i="2"/>
  <c r="BO148" i="2"/>
  <c r="BM148" i="2"/>
  <c r="Y148" i="2"/>
  <c r="P148" i="2"/>
  <c r="X145" i="2"/>
  <c r="X144" i="2"/>
  <c r="BO143" i="2"/>
  <c r="BM143" i="2"/>
  <c r="Y143" i="2"/>
  <c r="P143" i="2"/>
  <c r="BO142" i="2"/>
  <c r="BM142" i="2"/>
  <c r="Y142" i="2"/>
  <c r="P142" i="2"/>
  <c r="BO141" i="2"/>
  <c r="BM141" i="2"/>
  <c r="Y141" i="2"/>
  <c r="P141" i="2"/>
  <c r="X139" i="2"/>
  <c r="X138" i="2"/>
  <c r="BO137" i="2"/>
  <c r="BM137" i="2"/>
  <c r="Y137" i="2"/>
  <c r="P137" i="2"/>
  <c r="BO136" i="2"/>
  <c r="BM136" i="2"/>
  <c r="Y136" i="2"/>
  <c r="BP136" i="2" s="1"/>
  <c r="P136" i="2"/>
  <c r="BO135" i="2"/>
  <c r="BM135" i="2"/>
  <c r="Y135" i="2"/>
  <c r="BP135" i="2" s="1"/>
  <c r="P135" i="2"/>
  <c r="BO134" i="2"/>
  <c r="BM134" i="2"/>
  <c r="Y134" i="2"/>
  <c r="P134" i="2"/>
  <c r="X132" i="2"/>
  <c r="X131" i="2"/>
  <c r="BO130" i="2"/>
  <c r="BM130" i="2"/>
  <c r="Y130" i="2"/>
  <c r="P130" i="2"/>
  <c r="BO129" i="2"/>
  <c r="BM129" i="2"/>
  <c r="Y129" i="2"/>
  <c r="Z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Y119" i="2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P116" i="2"/>
  <c r="X114" i="2"/>
  <c r="X113" i="2"/>
  <c r="BO112" i="2"/>
  <c r="BM112" i="2"/>
  <c r="Y112" i="2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BP109" i="2" s="1"/>
  <c r="P109" i="2"/>
  <c r="BO108" i="2"/>
  <c r="BM108" i="2"/>
  <c r="Y108" i="2"/>
  <c r="P108" i="2"/>
  <c r="X106" i="2"/>
  <c r="X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BP102" i="2" s="1"/>
  <c r="P102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BP99" i="2" s="1"/>
  <c r="P99" i="2"/>
  <c r="BO98" i="2"/>
  <c r="BM98" i="2"/>
  <c r="Y98" i="2"/>
  <c r="BN98" i="2" s="1"/>
  <c r="P98" i="2"/>
  <c r="X95" i="2"/>
  <c r="X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P91" i="2"/>
  <c r="BO90" i="2"/>
  <c r="BM90" i="2"/>
  <c r="Y90" i="2"/>
  <c r="Z90" i="2" s="1"/>
  <c r="P90" i="2"/>
  <c r="X88" i="2"/>
  <c r="X87" i="2"/>
  <c r="BO86" i="2"/>
  <c r="BM86" i="2"/>
  <c r="Y86" i="2"/>
  <c r="BP86" i="2" s="1"/>
  <c r="P86" i="2"/>
  <c r="BO85" i="2"/>
  <c r="BM85" i="2"/>
  <c r="Y85" i="2"/>
  <c r="BP85" i="2" s="1"/>
  <c r="P85" i="2"/>
  <c r="BO84" i="2"/>
  <c r="BM84" i="2"/>
  <c r="Y84" i="2"/>
  <c r="Z84" i="2" s="1"/>
  <c r="P84" i="2"/>
  <c r="BO83" i="2"/>
  <c r="BM83" i="2"/>
  <c r="Y83" i="2"/>
  <c r="P83" i="2"/>
  <c r="X80" i="2"/>
  <c r="X79" i="2"/>
  <c r="BO78" i="2"/>
  <c r="BM78" i="2"/>
  <c r="Y78" i="2"/>
  <c r="Z78" i="2" s="1"/>
  <c r="P78" i="2"/>
  <c r="BO77" i="2"/>
  <c r="BM77" i="2"/>
  <c r="Y77" i="2"/>
  <c r="Z77" i="2" s="1"/>
  <c r="Z79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X70" i="2"/>
  <c r="X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BP66" i="2" s="1"/>
  <c r="P66" i="2"/>
  <c r="BO65" i="2"/>
  <c r="BM65" i="2"/>
  <c r="Y65" i="2"/>
  <c r="BN65" i="2" s="1"/>
  <c r="P65" i="2"/>
  <c r="X63" i="2"/>
  <c r="X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P56" i="2" s="1"/>
  <c r="P56" i="2"/>
  <c r="X53" i="2"/>
  <c r="X52" i="2"/>
  <c r="BO51" i="2"/>
  <c r="BM51" i="2"/>
  <c r="Y51" i="2"/>
  <c r="BP51" i="2" s="1"/>
  <c r="P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P48" i="2"/>
  <c r="X44" i="2"/>
  <c r="X43" i="2"/>
  <c r="BO42" i="2"/>
  <c r="BM42" i="2"/>
  <c r="Y42" i="2"/>
  <c r="Z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BP231" i="2" l="1"/>
  <c r="Z109" i="2"/>
  <c r="BN109" i="2"/>
  <c r="Z338" i="2"/>
  <c r="Z60" i="2"/>
  <c r="BN60" i="2"/>
  <c r="BP280" i="2"/>
  <c r="Z392" i="2"/>
  <c r="Z37" i="2"/>
  <c r="BN37" i="2"/>
  <c r="Z93" i="2"/>
  <c r="BN93" i="2"/>
  <c r="Z219" i="2"/>
  <c r="Z265" i="2"/>
  <c r="BN265" i="2"/>
  <c r="BP301" i="2"/>
  <c r="Z368" i="2"/>
  <c r="BN368" i="2"/>
  <c r="Z431" i="2"/>
  <c r="Z509" i="2"/>
  <c r="Z49" i="2"/>
  <c r="BN49" i="2"/>
  <c r="Y80" i="2"/>
  <c r="Z136" i="2"/>
  <c r="Z176" i="2"/>
  <c r="BN176" i="2"/>
  <c r="Z177" i="2"/>
  <c r="BN177" i="2"/>
  <c r="Z194" i="2"/>
  <c r="Z195" i="2" s="1"/>
  <c r="Y195" i="2"/>
  <c r="Z205" i="2"/>
  <c r="BN205" i="2"/>
  <c r="Z226" i="2"/>
  <c r="BN226" i="2"/>
  <c r="BP270" i="2"/>
  <c r="Y305" i="2"/>
  <c r="Z322" i="2"/>
  <c r="BN322" i="2"/>
  <c r="BP360" i="2"/>
  <c r="Z378" i="2"/>
  <c r="BN378" i="2"/>
  <c r="BP498" i="2"/>
  <c r="X554" i="2"/>
  <c r="X553" i="2"/>
  <c r="Z27" i="2"/>
  <c r="BN27" i="2"/>
  <c r="BP41" i="2"/>
  <c r="Z56" i="2"/>
  <c r="BN56" i="2"/>
  <c r="Z65" i="2"/>
  <c r="Z66" i="2"/>
  <c r="BN66" i="2"/>
  <c r="Z85" i="2"/>
  <c r="BN85" i="2"/>
  <c r="Z99" i="2"/>
  <c r="BN99" i="2"/>
  <c r="Z104" i="2"/>
  <c r="BN104" i="2"/>
  <c r="Y113" i="2"/>
  <c r="Z117" i="2"/>
  <c r="Y124" i="2"/>
  <c r="Z151" i="2"/>
  <c r="Y166" i="2"/>
  <c r="Z180" i="2"/>
  <c r="BP237" i="2"/>
  <c r="Z245" i="2"/>
  <c r="BN245" i="2"/>
  <c r="Z268" i="2"/>
  <c r="BN268" i="2"/>
  <c r="Z278" i="2"/>
  <c r="BN278" i="2"/>
  <c r="Z299" i="2"/>
  <c r="BN299" i="2"/>
  <c r="Y313" i="2"/>
  <c r="BP324" i="2"/>
  <c r="Z341" i="2"/>
  <c r="BN341" i="2"/>
  <c r="Y365" i="2"/>
  <c r="Z363" i="2"/>
  <c r="BN363" i="2"/>
  <c r="BP370" i="2"/>
  <c r="Y381" i="2"/>
  <c r="BP380" i="2"/>
  <c r="Z472" i="2"/>
  <c r="Y492" i="2"/>
  <c r="Y493" i="2"/>
  <c r="Z516" i="2"/>
  <c r="BN516" i="2"/>
  <c r="Z544" i="2"/>
  <c r="Z545" i="2" s="1"/>
  <c r="BN38" i="2"/>
  <c r="BP38" i="2"/>
  <c r="Y43" i="2"/>
  <c r="BN50" i="2"/>
  <c r="BP50" i="2"/>
  <c r="BN59" i="2"/>
  <c r="BN61" i="2"/>
  <c r="BP61" i="2"/>
  <c r="Y62" i="2"/>
  <c r="Y74" i="2"/>
  <c r="Z72" i="2"/>
  <c r="BP100" i="2"/>
  <c r="BN100" i="2"/>
  <c r="Z100" i="2"/>
  <c r="BN108" i="2"/>
  <c r="BP110" i="2"/>
  <c r="BN110" i="2"/>
  <c r="Z110" i="2"/>
  <c r="BN118" i="2"/>
  <c r="BP118" i="2"/>
  <c r="BP119" i="2"/>
  <c r="Z119" i="2"/>
  <c r="BP152" i="2"/>
  <c r="Z152" i="2"/>
  <c r="BP154" i="2"/>
  <c r="BN154" i="2"/>
  <c r="Z154" i="2"/>
  <c r="BP175" i="2"/>
  <c r="BN175" i="2"/>
  <c r="Z175" i="2"/>
  <c r="BP181" i="2"/>
  <c r="BN181" i="2"/>
  <c r="Z181" i="2"/>
  <c r="BN190" i="2"/>
  <c r="BP190" i="2"/>
  <c r="BP204" i="2"/>
  <c r="BN204" i="2"/>
  <c r="Z204" i="2"/>
  <c r="BP220" i="2"/>
  <c r="Z220" i="2"/>
  <c r="BP222" i="2"/>
  <c r="BN222" i="2"/>
  <c r="Z222" i="2"/>
  <c r="BN227" i="2"/>
  <c r="BP227" i="2"/>
  <c r="BN22" i="2"/>
  <c r="Z23" i="2"/>
  <c r="Z28" i="2"/>
  <c r="Z32" i="2" s="1"/>
  <c r="BN30" i="2"/>
  <c r="BP30" i="2"/>
  <c r="Z40" i="2"/>
  <c r="D562" i="2"/>
  <c r="Z51" i="2"/>
  <c r="BN51" i="2"/>
  <c r="E562" i="2"/>
  <c r="Y69" i="2"/>
  <c r="BP65" i="2"/>
  <c r="BP83" i="2"/>
  <c r="BN83" i="2"/>
  <c r="Z83" i="2"/>
  <c r="BP90" i="2"/>
  <c r="BN91" i="2"/>
  <c r="Z91" i="2"/>
  <c r="BP103" i="2"/>
  <c r="Z103" i="2"/>
  <c r="Y114" i="2"/>
  <c r="BP116" i="2"/>
  <c r="BN116" i="2"/>
  <c r="Z116" i="2"/>
  <c r="BP137" i="2"/>
  <c r="BN137" i="2"/>
  <c r="Z137" i="2"/>
  <c r="BP142" i="2"/>
  <c r="BN142" i="2"/>
  <c r="Z142" i="2"/>
  <c r="BP143" i="2"/>
  <c r="BN143" i="2"/>
  <c r="Z143" i="2"/>
  <c r="BP165" i="2"/>
  <c r="BN165" i="2"/>
  <c r="Z165" i="2"/>
  <c r="Y172" i="2"/>
  <c r="BP169" i="2"/>
  <c r="Y186" i="2"/>
  <c r="BN206" i="2"/>
  <c r="BP206" i="2"/>
  <c r="Y212" i="2"/>
  <c r="BN207" i="2"/>
  <c r="BP209" i="2"/>
  <c r="BN209" i="2"/>
  <c r="Z209" i="2"/>
  <c r="BP225" i="2"/>
  <c r="BN225" i="2"/>
  <c r="Z225" i="2"/>
  <c r="BN84" i="2"/>
  <c r="BP84" i="2"/>
  <c r="BN128" i="2"/>
  <c r="Y145" i="2"/>
  <c r="BN141" i="2"/>
  <c r="BN153" i="2"/>
  <c r="BN170" i="2"/>
  <c r="BN182" i="2"/>
  <c r="BP182" i="2"/>
  <c r="BN183" i="2"/>
  <c r="BP183" i="2"/>
  <c r="Y196" i="2"/>
  <c r="BN210" i="2"/>
  <c r="BN221" i="2"/>
  <c r="BN232" i="2"/>
  <c r="BP232" i="2"/>
  <c r="BN271" i="2"/>
  <c r="BP271" i="2"/>
  <c r="BN285" i="2"/>
  <c r="BP285" i="2"/>
  <c r="BP228" i="2"/>
  <c r="Z230" i="2"/>
  <c r="BN230" i="2"/>
  <c r="Z236" i="2"/>
  <c r="BN236" i="2"/>
  <c r="BP236" i="2"/>
  <c r="Z238" i="2"/>
  <c r="BN238" i="2"/>
  <c r="Z240" i="2"/>
  <c r="BN240" i="2"/>
  <c r="Y241" i="2"/>
  <c r="Z246" i="2"/>
  <c r="BN246" i="2"/>
  <c r="BN255" i="2"/>
  <c r="BP255" i="2"/>
  <c r="Y257" i="2"/>
  <c r="BP260" i="2"/>
  <c r="Y263" i="2"/>
  <c r="Z269" i="2"/>
  <c r="BN269" i="2"/>
  <c r="Z279" i="2"/>
  <c r="BN279" i="2"/>
  <c r="Z283" i="2"/>
  <c r="BN283" i="2"/>
  <c r="BN284" i="2"/>
  <c r="Z286" i="2"/>
  <c r="Z291" i="2"/>
  <c r="Z293" i="2" s="1"/>
  <c r="BN291" i="2"/>
  <c r="BP297" i="2"/>
  <c r="Z300" i="2"/>
  <c r="BN300" i="2"/>
  <c r="Z302" i="2"/>
  <c r="BN302" i="2"/>
  <c r="BN311" i="2"/>
  <c r="BP311" i="2"/>
  <c r="Y312" i="2"/>
  <c r="Z316" i="2"/>
  <c r="BN316" i="2"/>
  <c r="Y327" i="2"/>
  <c r="Z323" i="2"/>
  <c r="BN323" i="2"/>
  <c r="Y328" i="2"/>
  <c r="BN346" i="2"/>
  <c r="BP346" i="2"/>
  <c r="Y356" i="2"/>
  <c r="BP385" i="2"/>
  <c r="BN405" i="2"/>
  <c r="BP405" i="2"/>
  <c r="BN418" i="2"/>
  <c r="BN426" i="2"/>
  <c r="BP426" i="2"/>
  <c r="BN427" i="2"/>
  <c r="BP427" i="2"/>
  <c r="BN430" i="2"/>
  <c r="Y444" i="2"/>
  <c r="Y445" i="2"/>
  <c r="BP448" i="2"/>
  <c r="Y449" i="2"/>
  <c r="Y450" i="2"/>
  <c r="Y460" i="2"/>
  <c r="BN464" i="2"/>
  <c r="BP464" i="2"/>
  <c r="BN472" i="2"/>
  <c r="BP474" i="2"/>
  <c r="BN501" i="2"/>
  <c r="BP501" i="2"/>
  <c r="BN502" i="2"/>
  <c r="BP502" i="2"/>
  <c r="BN503" i="2"/>
  <c r="Y523" i="2"/>
  <c r="BN535" i="2"/>
  <c r="BP535" i="2"/>
  <c r="Y536" i="2"/>
  <c r="Y537" i="2"/>
  <c r="BN549" i="2"/>
  <c r="BP549" i="2"/>
  <c r="Z333" i="2"/>
  <c r="BN333" i="2"/>
  <c r="Z339" i="2"/>
  <c r="BN339" i="2"/>
  <c r="Z340" i="2"/>
  <c r="BP342" i="2"/>
  <c r="Y343" i="2"/>
  <c r="Z352" i="2"/>
  <c r="Z355" i="2" s="1"/>
  <c r="BN352" i="2"/>
  <c r="BP352" i="2"/>
  <c r="BN353" i="2"/>
  <c r="BP353" i="2"/>
  <c r="BN354" i="2"/>
  <c r="BP354" i="2"/>
  <c r="Y355" i="2"/>
  <c r="Z359" i="2"/>
  <c r="BN359" i="2"/>
  <c r="BP359" i="2"/>
  <c r="Z369" i="2"/>
  <c r="BN369" i="2"/>
  <c r="BN373" i="2"/>
  <c r="BP373" i="2"/>
  <c r="Z379" i="2"/>
  <c r="BN379" i="2"/>
  <c r="Z385" i="2"/>
  <c r="BP386" i="2"/>
  <c r="BN390" i="2"/>
  <c r="BP390" i="2"/>
  <c r="Z393" i="2"/>
  <c r="Z394" i="2" s="1"/>
  <c r="BN397" i="2"/>
  <c r="Z411" i="2"/>
  <c r="BN411" i="2"/>
  <c r="Z428" i="2"/>
  <c r="BN429" i="2"/>
  <c r="BP431" i="2"/>
  <c r="BN436" i="2"/>
  <c r="BP436" i="2"/>
  <c r="BN441" i="2"/>
  <c r="BP441" i="2"/>
  <c r="BN442" i="2"/>
  <c r="BP442" i="2"/>
  <c r="BN443" i="2"/>
  <c r="Z447" i="2"/>
  <c r="BN447" i="2"/>
  <c r="Z454" i="2"/>
  <c r="BN454" i="2"/>
  <c r="Z471" i="2"/>
  <c r="BN471" i="2"/>
  <c r="BP473" i="2"/>
  <c r="BN489" i="2"/>
  <c r="BP489" i="2"/>
  <c r="BN490" i="2"/>
  <c r="BP490" i="2"/>
  <c r="BN491" i="2"/>
  <c r="Z497" i="2"/>
  <c r="BN497" i="2"/>
  <c r="BN511" i="2"/>
  <c r="BP511" i="2"/>
  <c r="Z517" i="2"/>
  <c r="BN517" i="2"/>
  <c r="BP518" i="2"/>
  <c r="BN521" i="2"/>
  <c r="BP521" i="2"/>
  <c r="Y529" i="2"/>
  <c r="Y541" i="2"/>
  <c r="Y233" i="2"/>
  <c r="Y406" i="2"/>
  <c r="BN403" i="2"/>
  <c r="Y407" i="2"/>
  <c r="W562" i="2"/>
  <c r="Y433" i="2"/>
  <c r="BP424" i="2"/>
  <c r="X562" i="2"/>
  <c r="BP453" i="2"/>
  <c r="Y456" i="2"/>
  <c r="AA562" i="2"/>
  <c r="BP500" i="2"/>
  <c r="BN500" i="2"/>
  <c r="Y512" i="2"/>
  <c r="BN509" i="2"/>
  <c r="Y546" i="2"/>
  <c r="Z403" i="2"/>
  <c r="Z406" i="2" s="1"/>
  <c r="Z424" i="2"/>
  <c r="Z453" i="2"/>
  <c r="BP158" i="2"/>
  <c r="BN158" i="2"/>
  <c r="BN189" i="2"/>
  <c r="Z189" i="2"/>
  <c r="Y70" i="2"/>
  <c r="Y75" i="2"/>
  <c r="BP130" i="2"/>
  <c r="BN130" i="2"/>
  <c r="Z150" i="2"/>
  <c r="Z158" i="2"/>
  <c r="Z159" i="2" s="1"/>
  <c r="BN277" i="2"/>
  <c r="Z277" i="2"/>
  <c r="BN40" i="2"/>
  <c r="Y44" i="2"/>
  <c r="Z59" i="2"/>
  <c r="F562" i="2"/>
  <c r="Z108" i="2"/>
  <c r="Y120" i="2"/>
  <c r="Z130" i="2"/>
  <c r="Z141" i="2"/>
  <c r="Z153" i="2"/>
  <c r="Z170" i="2"/>
  <c r="Z178" i="2"/>
  <c r="Z207" i="2"/>
  <c r="BN298" i="2"/>
  <c r="Z298" i="2"/>
  <c r="BP410" i="2"/>
  <c r="BN410" i="2"/>
  <c r="Z410" i="2"/>
  <c r="U562" i="2"/>
  <c r="Y412" i="2"/>
  <c r="BP475" i="2"/>
  <c r="BN475" i="2"/>
  <c r="Y144" i="2"/>
  <c r="BN150" i="2"/>
  <c r="BP184" i="2"/>
  <c r="BN184" i="2"/>
  <c r="BP189" i="2"/>
  <c r="Y234" i="2"/>
  <c r="BN317" i="2"/>
  <c r="T562" i="2"/>
  <c r="Y364" i="2"/>
  <c r="BN361" i="2"/>
  <c r="BN424" i="2"/>
  <c r="BN453" i="2"/>
  <c r="Z475" i="2"/>
  <c r="Y400" i="2"/>
  <c r="BP398" i="2"/>
  <c r="Z48" i="2"/>
  <c r="Z67" i="2"/>
  <c r="BN77" i="2"/>
  <c r="Z86" i="2"/>
  <c r="Z87" i="2" s="1"/>
  <c r="Z111" i="2"/>
  <c r="Y159" i="2"/>
  <c r="BP178" i="2"/>
  <c r="Z261" i="2"/>
  <c r="BP272" i="2"/>
  <c r="BN272" i="2"/>
  <c r="BN286" i="2"/>
  <c r="BP298" i="2"/>
  <c r="Y309" i="2"/>
  <c r="BN307" i="2"/>
  <c r="BP317" i="2"/>
  <c r="Z398" i="2"/>
  <c r="Z504" i="2"/>
  <c r="BN23" i="2"/>
  <c r="BN28" i="2"/>
  <c r="BN31" i="2"/>
  <c r="Z41" i="2"/>
  <c r="Y63" i="2"/>
  <c r="BN72" i="2"/>
  <c r="BN103" i="2"/>
  <c r="BP108" i="2"/>
  <c r="BN119" i="2"/>
  <c r="H562" i="2"/>
  <c r="BN136" i="2"/>
  <c r="BP141" i="2"/>
  <c r="Z190" i="2"/>
  <c r="Z191" i="2" s="1"/>
  <c r="BP207" i="2"/>
  <c r="BP210" i="2"/>
  <c r="Z228" i="2"/>
  <c r="BP239" i="2"/>
  <c r="BN239" i="2"/>
  <c r="Z272" i="2"/>
  <c r="BP292" i="2"/>
  <c r="BN292" i="2"/>
  <c r="Z307" i="2"/>
  <c r="Z308" i="2" s="1"/>
  <c r="BN340" i="2"/>
  <c r="BP367" i="2"/>
  <c r="BN367" i="2"/>
  <c r="Z367" i="2"/>
  <c r="Y374" i="2"/>
  <c r="BP404" i="2"/>
  <c r="BN404" i="2"/>
  <c r="BP425" i="2"/>
  <c r="BN425" i="2"/>
  <c r="Z562" i="2"/>
  <c r="Y487" i="2"/>
  <c r="Y486" i="2"/>
  <c r="Z485" i="2"/>
  <c r="Z486" i="2" s="1"/>
  <c r="BP510" i="2"/>
  <c r="BN510" i="2"/>
  <c r="Z510" i="2"/>
  <c r="Z512" i="2" s="1"/>
  <c r="Z519" i="2"/>
  <c r="BN543" i="2"/>
  <c r="Y388" i="2"/>
  <c r="BP384" i="2"/>
  <c r="Y387" i="2"/>
  <c r="V562" i="2"/>
  <c r="BP417" i="2"/>
  <c r="BN48" i="2"/>
  <c r="BP77" i="2"/>
  <c r="BN86" i="2"/>
  <c r="BP91" i="2"/>
  <c r="Y106" i="2"/>
  <c r="G562" i="2"/>
  <c r="Y105" i="2"/>
  <c r="I562" i="2"/>
  <c r="BP148" i="2"/>
  <c r="BN148" i="2"/>
  <c r="Y156" i="2"/>
  <c r="Y160" i="2"/>
  <c r="BN179" i="2"/>
  <c r="Z179" i="2"/>
  <c r="BP256" i="2"/>
  <c r="M562" i="2"/>
  <c r="BN261" i="2"/>
  <c r="BP315" i="2"/>
  <c r="Y318" i="2"/>
  <c r="BN315" i="2"/>
  <c r="Y334" i="2"/>
  <c r="BN331" i="2"/>
  <c r="Q562" i="2"/>
  <c r="Z348" i="2"/>
  <c r="BP361" i="2"/>
  <c r="BN384" i="2"/>
  <c r="BN398" i="2"/>
  <c r="BN417" i="2"/>
  <c r="Y465" i="2"/>
  <c r="BN462" i="2"/>
  <c r="Y466" i="2"/>
  <c r="BN504" i="2"/>
  <c r="Y248" i="2"/>
  <c r="Y247" i="2"/>
  <c r="BN244" i="2"/>
  <c r="Z244" i="2"/>
  <c r="Y273" i="2"/>
  <c r="BN266" i="2"/>
  <c r="X556" i="2"/>
  <c r="BP31" i="2"/>
  <c r="Z57" i="2"/>
  <c r="BP67" i="2"/>
  <c r="BP72" i="2"/>
  <c r="Z98" i="2"/>
  <c r="BP111" i="2"/>
  <c r="Y132" i="2"/>
  <c r="Z148" i="2"/>
  <c r="Y199" i="2"/>
  <c r="Z198" i="2"/>
  <c r="Z199" i="2" s="1"/>
  <c r="BP208" i="2"/>
  <c r="BN208" i="2"/>
  <c r="BN231" i="2"/>
  <c r="Z250" i="2"/>
  <c r="Z251" i="2" s="1"/>
  <c r="Z256" i="2"/>
  <c r="Z257" i="2" s="1"/>
  <c r="BP266" i="2"/>
  <c r="Z281" i="2"/>
  <c r="BP287" i="2"/>
  <c r="BN287" i="2"/>
  <c r="Z315" i="2"/>
  <c r="Y319" i="2"/>
  <c r="Z331" i="2"/>
  <c r="Y335" i="2"/>
  <c r="Z462" i="2"/>
  <c r="Z465" i="2" s="1"/>
  <c r="BN485" i="2"/>
  <c r="BP543" i="2"/>
  <c r="J562" i="2"/>
  <c r="BP261" i="2"/>
  <c r="BP307" i="2"/>
  <c r="BP362" i="2"/>
  <c r="BN362" i="2"/>
  <c r="BN393" i="2"/>
  <c r="BN437" i="2"/>
  <c r="Y476" i="2"/>
  <c r="BP470" i="2"/>
  <c r="Y562" i="2"/>
  <c r="BN470" i="2"/>
  <c r="Z470" i="2"/>
  <c r="BP519" i="2"/>
  <c r="BN250" i="2"/>
  <c r="BN256" i="2"/>
  <c r="BN267" i="2"/>
  <c r="Z267" i="2"/>
  <c r="BN281" i="2"/>
  <c r="Z362" i="2"/>
  <c r="BP399" i="2"/>
  <c r="BN399" i="2"/>
  <c r="Y432" i="2"/>
  <c r="Y481" i="2"/>
  <c r="BN479" i="2"/>
  <c r="BP485" i="2"/>
  <c r="BP505" i="2"/>
  <c r="BN505" i="2"/>
  <c r="Y216" i="2"/>
  <c r="L562" i="2"/>
  <c r="Y262" i="2"/>
  <c r="Y274" i="2"/>
  <c r="Y308" i="2"/>
  <c r="BN325" i="2"/>
  <c r="P562" i="2"/>
  <c r="BP331" i="2"/>
  <c r="Y375" i="2"/>
  <c r="Z399" i="2"/>
  <c r="Z418" i="2"/>
  <c r="Z419" i="2" s="1"/>
  <c r="Z429" i="2"/>
  <c r="BP437" i="2"/>
  <c r="BP462" i="2"/>
  <c r="Z479" i="2"/>
  <c r="Z505" i="2"/>
  <c r="BP520" i="2"/>
  <c r="BN520" i="2"/>
  <c r="Z520" i="2"/>
  <c r="BP48" i="2"/>
  <c r="F9" i="2"/>
  <c r="Y139" i="2"/>
  <c r="Y138" i="2"/>
  <c r="BN134" i="2"/>
  <c r="A10" i="2"/>
  <c r="X552" i="2"/>
  <c r="Z39" i="2"/>
  <c r="BP57" i="2"/>
  <c r="Z68" i="2"/>
  <c r="Z73" i="2"/>
  <c r="BN78" i="2"/>
  <c r="Z101" i="2"/>
  <c r="Z134" i="2"/>
  <c r="Y25" i="2"/>
  <c r="BN29" i="2"/>
  <c r="BN92" i="2"/>
  <c r="BP98" i="2"/>
  <c r="Y121" i="2"/>
  <c r="Y131" i="2"/>
  <c r="BN163" i="2"/>
  <c r="Y167" i="2"/>
  <c r="Y185" i="2"/>
  <c r="Y191" i="2"/>
  <c r="BN188" i="2"/>
  <c r="BP198" i="2"/>
  <c r="Z215" i="2"/>
  <c r="Z216" i="2" s="1"/>
  <c r="BN220" i="2"/>
  <c r="Z223" i="2"/>
  <c r="BP229" i="2"/>
  <c r="BN229" i="2"/>
  <c r="BP250" i="2"/>
  <c r="BP284" i="2"/>
  <c r="Y294" i="2"/>
  <c r="Z325" i="2"/>
  <c r="Z371" i="2"/>
  <c r="Y394" i="2"/>
  <c r="Y506" i="2"/>
  <c r="BN499" i="2"/>
  <c r="J9" i="2"/>
  <c r="H9" i="2"/>
  <c r="Z92" i="2"/>
  <c r="BN112" i="2"/>
  <c r="Z112" i="2"/>
  <c r="BN39" i="2"/>
  <c r="BP112" i="2"/>
  <c r="Y288" i="2"/>
  <c r="BP29" i="2"/>
  <c r="BN42" i="2"/>
  <c r="Z58" i="2"/>
  <c r="BP68" i="2"/>
  <c r="BP73" i="2"/>
  <c r="BP101" i="2"/>
  <c r="Y125" i="2"/>
  <c r="BP123" i="2"/>
  <c r="BP134" i="2"/>
  <c r="BN149" i="2"/>
  <c r="Y155" i="2"/>
  <c r="BP163" i="2"/>
  <c r="BN169" i="2"/>
  <c r="Z169" i="2"/>
  <c r="Y171" i="2"/>
  <c r="Y192" i="2"/>
  <c r="BN215" i="2"/>
  <c r="Y251" i="2"/>
  <c r="Z276" i="2"/>
  <c r="BP282" i="2"/>
  <c r="BN282" i="2"/>
  <c r="Y304" i="2"/>
  <c r="BN297" i="2"/>
  <c r="O562" i="2"/>
  <c r="Y439" i="2"/>
  <c r="BP435" i="2"/>
  <c r="Y438" i="2"/>
  <c r="BN435" i="2"/>
  <c r="BP479" i="2"/>
  <c r="Y533" i="2"/>
  <c r="Y532" i="2"/>
  <c r="Z531" i="2"/>
  <c r="Z532" i="2" s="1"/>
  <c r="Y87" i="2"/>
  <c r="BP332" i="2"/>
  <c r="BN332" i="2"/>
  <c r="Z332" i="2"/>
  <c r="Y79" i="2"/>
  <c r="Y95" i="2"/>
  <c r="Y94" i="2"/>
  <c r="BN90" i="2"/>
  <c r="Z123" i="2"/>
  <c r="Z124" i="2" s="1"/>
  <c r="BN129" i="2"/>
  <c r="BN152" i="2"/>
  <c r="BN180" i="2"/>
  <c r="Y200" i="2"/>
  <c r="BP223" i="2"/>
  <c r="Z282" i="2"/>
  <c r="Y289" i="2"/>
  <c r="Z297" i="2"/>
  <c r="BP303" i="2"/>
  <c r="BN303" i="2"/>
  <c r="BP325" i="2"/>
  <c r="BN347" i="2"/>
  <c r="BP371" i="2"/>
  <c r="BN391" i="2"/>
  <c r="Y395" i="2"/>
  <c r="Y413" i="2"/>
  <c r="Z435" i="2"/>
  <c r="Z438" i="2" s="1"/>
  <c r="Z474" i="2"/>
  <c r="Y545" i="2"/>
  <c r="Y24" i="2"/>
  <c r="Y32" i="2"/>
  <c r="Y33" i="2"/>
  <c r="Y52" i="2"/>
  <c r="BP78" i="2"/>
  <c r="Y88" i="2"/>
  <c r="BP377" i="2"/>
  <c r="BN377" i="2"/>
  <c r="Z377" i="2"/>
  <c r="Y382" i="2"/>
  <c r="BP463" i="2"/>
  <c r="BN463" i="2"/>
  <c r="Z22" i="2"/>
  <c r="BP42" i="2"/>
  <c r="Y53" i="2"/>
  <c r="BN102" i="2"/>
  <c r="Z102" i="2"/>
  <c r="BN135" i="2"/>
  <c r="Z135" i="2"/>
  <c r="BP149" i="2"/>
  <c r="BP164" i="2"/>
  <c r="BN164" i="2"/>
  <c r="BP188" i="2"/>
  <c r="BP215" i="2"/>
  <c r="Y401" i="2"/>
  <c r="BP480" i="2"/>
  <c r="BN480" i="2"/>
  <c r="Z480" i="2"/>
  <c r="BP499" i="2"/>
  <c r="Y507" i="2"/>
  <c r="BN531" i="2"/>
  <c r="B562" i="2"/>
  <c r="BP58" i="2"/>
  <c r="BP129" i="2"/>
  <c r="Z164" i="2"/>
  <c r="Y211" i="2"/>
  <c r="K562" i="2"/>
  <c r="Z221" i="2"/>
  <c r="BN224" i="2"/>
  <c r="Z224" i="2"/>
  <c r="BP276" i="2"/>
  <c r="Y293" i="2"/>
  <c r="BP326" i="2"/>
  <c r="BN326" i="2"/>
  <c r="Z342" i="2"/>
  <c r="BP347" i="2"/>
  <c r="BP372" i="2"/>
  <c r="BN372" i="2"/>
  <c r="Z386" i="2"/>
  <c r="BP391" i="2"/>
  <c r="Y420" i="2"/>
  <c r="Z430" i="2"/>
  <c r="Y459" i="2"/>
  <c r="BP458" i="2"/>
  <c r="BN458" i="2"/>
  <c r="Y513" i="2"/>
  <c r="Y522" i="2"/>
  <c r="Z549" i="2"/>
  <c r="Z550" i="2" s="1"/>
  <c r="R562" i="2"/>
  <c r="C562" i="2"/>
  <c r="Y258" i="2"/>
  <c r="Y348" i="2"/>
  <c r="Z515" i="2"/>
  <c r="Z527" i="2"/>
  <c r="Z528" i="2" s="1"/>
  <c r="Z539" i="2"/>
  <c r="Z540" i="2" s="1"/>
  <c r="Y550" i="2"/>
  <c r="Y344" i="2"/>
  <c r="Z397" i="2"/>
  <c r="Z443" i="2"/>
  <c r="Z444" i="2" s="1"/>
  <c r="Z491" i="2"/>
  <c r="Z492" i="2" s="1"/>
  <c r="Z503" i="2"/>
  <c r="BN515" i="2"/>
  <c r="BN527" i="2"/>
  <c r="BN539" i="2"/>
  <c r="BN117" i="2"/>
  <c r="Z128" i="2"/>
  <c r="BN151" i="2"/>
  <c r="BN174" i="2"/>
  <c r="BN194" i="2"/>
  <c r="BN219" i="2"/>
  <c r="Z227" i="2"/>
  <c r="Z237" i="2"/>
  <c r="Z260" i="2"/>
  <c r="Z270" i="2"/>
  <c r="Z280" i="2"/>
  <c r="Z301" i="2"/>
  <c r="Z324" i="2"/>
  <c r="BN338" i="2"/>
  <c r="Y349" i="2"/>
  <c r="Z360" i="2"/>
  <c r="Z370" i="2"/>
  <c r="Z380" i="2"/>
  <c r="BN392" i="2"/>
  <c r="BN416" i="2"/>
  <c r="Y419" i="2"/>
  <c r="BN428" i="2"/>
  <c r="Z448" i="2"/>
  <c r="Z473" i="2"/>
  <c r="Z498" i="2"/>
  <c r="Z518" i="2"/>
  <c r="BN544" i="2"/>
  <c r="BP527" i="2"/>
  <c r="BP539" i="2"/>
  <c r="Y551" i="2"/>
  <c r="BP174" i="2"/>
  <c r="BP416" i="2"/>
  <c r="AB562" i="2"/>
  <c r="Z120" i="2" l="1"/>
  <c r="Z241" i="2"/>
  <c r="Z131" i="2"/>
  <c r="Z74" i="2"/>
  <c r="Z262" i="2"/>
  <c r="Z52" i="2"/>
  <c r="X555" i="2"/>
  <c r="Z449" i="2"/>
  <c r="Z327" i="2"/>
  <c r="Z387" i="2"/>
  <c r="Z343" i="2"/>
  <c r="Z166" i="2"/>
  <c r="Z24" i="2"/>
  <c r="Z304" i="2"/>
  <c r="Z94" i="2"/>
  <c r="Z481" i="2"/>
  <c r="Z334" i="2"/>
  <c r="Z318" i="2"/>
  <c r="Z155" i="2"/>
  <c r="Z211" i="2"/>
  <c r="Z144" i="2"/>
  <c r="Z455" i="2"/>
  <c r="Z364" i="2"/>
  <c r="Z506" i="2"/>
  <c r="Y554" i="2"/>
  <c r="Y553" i="2"/>
  <c r="Z69" i="2"/>
  <c r="Z400" i="2"/>
  <c r="Z233" i="2"/>
  <c r="Z171" i="2"/>
  <c r="Z273" i="2"/>
  <c r="Z247" i="2"/>
  <c r="Z43" i="2"/>
  <c r="Z412" i="2"/>
  <c r="Z185" i="2"/>
  <c r="Z432" i="2"/>
  <c r="Z105" i="2"/>
  <c r="Z476" i="2"/>
  <c r="Z62" i="2"/>
  <c r="Y552" i="2"/>
  <c r="Y556" i="2"/>
  <c r="Z138" i="2"/>
  <c r="Z374" i="2"/>
  <c r="Z522" i="2"/>
  <c r="Z288" i="2"/>
  <c r="Z381" i="2"/>
  <c r="Z113" i="2"/>
  <c r="Z557" i="2" l="1"/>
  <c r="Y555" i="2"/>
</calcChain>
</file>

<file path=xl/sharedStrings.xml><?xml version="1.0" encoding="utf-8"?>
<sst xmlns="http://schemas.openxmlformats.org/spreadsheetml/2006/main" count="4234" uniqueCount="906">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</sst>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2"/>
  <sheetViews>
    <sheetView showGridLines="0" tabSelected="1" zoomScaleNormal="100" zoomScaleSheetLayoutView="100" workbookViewId="0">
      <selection activeCell="AA116" sqref="AA11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/>
      <c r="I5" s="994"/>
      <c r="J5" s="994"/>
      <c r="K5" s="994"/>
      <c r="L5" s="994"/>
      <c r="M5" s="994"/>
      <c r="N5" s="72"/>
      <c r="P5" s="27" t="s">
        <v>4</v>
      </c>
      <c r="Q5" s="996">
        <v>46258</v>
      </c>
      <c r="R5" s="996"/>
      <c r="T5" s="997" t="s">
        <v>3</v>
      </c>
      <c r="U5" s="998"/>
      <c r="V5" s="999" t="s">
        <v>866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/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Понедельник</v>
      </c>
      <c r="R6" s="974"/>
      <c r="T6" s="975" t="s">
        <v>5</v>
      </c>
      <c r="U6" s="976"/>
      <c r="V6" s="977" t="s">
        <v>69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>
        <f>IFERROR(VLOOKUP(DeliveryAddress,Table,3,0),1)</f>
        <v>1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58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0.41666666666666669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70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55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71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72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73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74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61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59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66</v>
      </c>
      <c r="L17" s="933" t="s">
        <v>64</v>
      </c>
      <c r="M17" s="933" t="s">
        <v>2</v>
      </c>
      <c r="N17" s="933" t="s">
        <v>63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56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60</v>
      </c>
      <c r="AB17" s="939" t="s">
        <v>19</v>
      </c>
      <c r="AC17" s="939" t="s">
        <v>65</v>
      </c>
      <c r="AD17" s="941" t="s">
        <v>57</v>
      </c>
      <c r="AE17" s="942"/>
      <c r="AF17" s="943"/>
      <c r="AG17" s="82"/>
      <c r="BD17" s="81" t="s">
        <v>62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75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75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76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6" t="s">
        <v>85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2" t="s">
        <v>45</v>
      </c>
      <c r="B34" s="662"/>
      <c r="C34" s="662"/>
      <c r="D34" s="662"/>
      <c r="E34" s="662"/>
      <c r="F34" s="662"/>
      <c r="G34" s="662"/>
      <c r="H34" s="662"/>
      <c r="I34" s="662"/>
      <c r="J34" s="662"/>
      <c r="K34" s="662"/>
      <c r="L34" s="662"/>
      <c r="M34" s="662"/>
      <c r="N34" s="662"/>
      <c r="O34" s="662"/>
      <c r="P34" s="662"/>
      <c r="Q34" s="662"/>
      <c r="R34" s="662"/>
      <c r="S34" s="662"/>
      <c r="T34" s="662"/>
      <c r="U34" s="662"/>
      <c r="V34" s="662"/>
      <c r="W34" s="662"/>
      <c r="X34" s="662"/>
      <c r="Y34" s="662"/>
      <c r="Z34" s="662"/>
      <c r="AA34" s="54"/>
      <c r="AB34" s="54"/>
      <c r="AC34" s="54"/>
    </row>
    <row r="35" spans="1:68" ht="16.5" hidden="1" customHeight="1" x14ac:dyDescent="0.25">
      <c r="A35" s="655" t="s">
        <v>103</v>
      </c>
      <c r="B35" s="655"/>
      <c r="C35" s="655"/>
      <c r="D35" s="655"/>
      <c r="E35" s="655"/>
      <c r="F35" s="655"/>
      <c r="G35" s="655"/>
      <c r="H35" s="655"/>
      <c r="I35" s="655"/>
      <c r="J35" s="655"/>
      <c r="K35" s="655"/>
      <c r="L35" s="655"/>
      <c r="M35" s="655"/>
      <c r="N35" s="655"/>
      <c r="O35" s="655"/>
      <c r="P35" s="655"/>
      <c r="Q35" s="655"/>
      <c r="R35" s="655"/>
      <c r="S35" s="655"/>
      <c r="T35" s="655"/>
      <c r="U35" s="655"/>
      <c r="V35" s="655"/>
      <c r="W35" s="655"/>
      <c r="X35" s="655"/>
      <c r="Y35" s="655"/>
      <c r="Z35" s="655"/>
      <c r="AA35" s="65"/>
      <c r="AB35" s="65"/>
      <c r="AC35" s="79"/>
    </row>
    <row r="36" spans="1:68" ht="14.25" hidden="1" customHeight="1" x14ac:dyDescent="0.25">
      <c r="A36" s="656" t="s">
        <v>85</v>
      </c>
      <c r="B36" s="656"/>
      <c r="C36" s="656"/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6"/>
      <c r="O36" s="656"/>
      <c r="P36" s="656"/>
      <c r="Q36" s="656"/>
      <c r="R36" s="656"/>
      <c r="S36" s="656"/>
      <c r="T36" s="656"/>
      <c r="U36" s="656"/>
      <c r="V36" s="656"/>
      <c r="W36" s="656"/>
      <c r="X36" s="656"/>
      <c r="Y36" s="656"/>
      <c r="Z36" s="656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1">
        <v>4680115889354</v>
      </c>
      <c r="E37" s="65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3"/>
      <c r="R37" s="653"/>
      <c r="S37" s="653"/>
      <c r="T37" s="654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1">
        <v>4680115888463</v>
      </c>
      <c r="E38" s="65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2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3"/>
      <c r="R38" s="653"/>
      <c r="S38" s="653"/>
      <c r="T38" s="654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51">
        <v>4680115889590</v>
      </c>
      <c r="E39" s="65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2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3"/>
      <c r="R39" s="653"/>
      <c r="S39" s="653"/>
      <c r="T39" s="654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651">
        <v>4680115888494</v>
      </c>
      <c r="E40" s="65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53"/>
      <c r="R40" s="653"/>
      <c r="S40" s="653"/>
      <c r="T40" s="654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651">
        <v>4680115888272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2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651">
        <v>4680115888364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645"/>
      <c r="B43" s="645"/>
      <c r="C43" s="645"/>
      <c r="D43" s="645"/>
      <c r="E43" s="645"/>
      <c r="F43" s="645"/>
      <c r="G43" s="645"/>
      <c r="H43" s="645"/>
      <c r="I43" s="645"/>
      <c r="J43" s="645"/>
      <c r="K43" s="645"/>
      <c r="L43" s="645"/>
      <c r="M43" s="645"/>
      <c r="N43" s="645"/>
      <c r="O43" s="646"/>
      <c r="P43" s="642" t="s">
        <v>40</v>
      </c>
      <c r="Q43" s="643"/>
      <c r="R43" s="643"/>
      <c r="S43" s="643"/>
      <c r="T43" s="643"/>
      <c r="U43" s="643"/>
      <c r="V43" s="644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645"/>
      <c r="B44" s="645"/>
      <c r="C44" s="645"/>
      <c r="D44" s="645"/>
      <c r="E44" s="645"/>
      <c r="F44" s="645"/>
      <c r="G44" s="645"/>
      <c r="H44" s="645"/>
      <c r="I44" s="645"/>
      <c r="J44" s="645"/>
      <c r="K44" s="645"/>
      <c r="L44" s="645"/>
      <c r="M44" s="645"/>
      <c r="N44" s="645"/>
      <c r="O44" s="646"/>
      <c r="P44" s="642" t="s">
        <v>40</v>
      </c>
      <c r="Q44" s="643"/>
      <c r="R44" s="643"/>
      <c r="S44" s="643"/>
      <c r="T44" s="643"/>
      <c r="U44" s="643"/>
      <c r="V44" s="644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662" t="s">
        <v>121</v>
      </c>
      <c r="B45" s="662"/>
      <c r="C45" s="662"/>
      <c r="D45" s="662"/>
      <c r="E45" s="662"/>
      <c r="F45" s="662"/>
      <c r="G45" s="662"/>
      <c r="H45" s="662"/>
      <c r="I45" s="662"/>
      <c r="J45" s="662"/>
      <c r="K45" s="662"/>
      <c r="L45" s="662"/>
      <c r="M45" s="662"/>
      <c r="N45" s="662"/>
      <c r="O45" s="662"/>
      <c r="P45" s="662"/>
      <c r="Q45" s="662"/>
      <c r="R45" s="662"/>
      <c r="S45" s="662"/>
      <c r="T45" s="662"/>
      <c r="U45" s="662"/>
      <c r="V45" s="662"/>
      <c r="W45" s="662"/>
      <c r="X45" s="662"/>
      <c r="Y45" s="662"/>
      <c r="Z45" s="662"/>
      <c r="AA45" s="54"/>
      <c r="AB45" s="54"/>
      <c r="AC45" s="54"/>
    </row>
    <row r="46" spans="1:68" ht="16.5" hidden="1" customHeight="1" x14ac:dyDescent="0.25">
      <c r="A46" s="655" t="s">
        <v>122</v>
      </c>
      <c r="B46" s="655"/>
      <c r="C46" s="655"/>
      <c r="D46" s="655"/>
      <c r="E46" s="655"/>
      <c r="F46" s="655"/>
      <c r="G46" s="655"/>
      <c r="H46" s="655"/>
      <c r="I46" s="655"/>
      <c r="J46" s="655"/>
      <c r="K46" s="655"/>
      <c r="L46" s="655"/>
      <c r="M46" s="655"/>
      <c r="N46" s="655"/>
      <c r="O46" s="655"/>
      <c r="P46" s="655"/>
      <c r="Q46" s="655"/>
      <c r="R46" s="655"/>
      <c r="S46" s="655"/>
      <c r="T46" s="655"/>
      <c r="U46" s="655"/>
      <c r="V46" s="655"/>
      <c r="W46" s="655"/>
      <c r="X46" s="655"/>
      <c r="Y46" s="655"/>
      <c r="Z46" s="655"/>
      <c r="AA46" s="65"/>
      <c r="AB46" s="65"/>
      <c r="AC46" s="79"/>
    </row>
    <row r="47" spans="1:68" ht="14.25" hidden="1" customHeight="1" x14ac:dyDescent="0.25">
      <c r="A47" s="656" t="s">
        <v>123</v>
      </c>
      <c r="B47" s="656"/>
      <c r="C47" s="656"/>
      <c r="D47" s="656"/>
      <c r="E47" s="656"/>
      <c r="F47" s="656"/>
      <c r="G47" s="656"/>
      <c r="H47" s="656"/>
      <c r="I47" s="656"/>
      <c r="J47" s="656"/>
      <c r="K47" s="656"/>
      <c r="L47" s="656"/>
      <c r="M47" s="656"/>
      <c r="N47" s="656"/>
      <c r="O47" s="656"/>
      <c r="P47" s="656"/>
      <c r="Q47" s="656"/>
      <c r="R47" s="656"/>
      <c r="S47" s="656"/>
      <c r="T47" s="656"/>
      <c r="U47" s="656"/>
      <c r="V47" s="656"/>
      <c r="W47" s="656"/>
      <c r="X47" s="656"/>
      <c r="Y47" s="656"/>
      <c r="Z47" s="656"/>
      <c r="AA47" s="66"/>
      <c r="AB47" s="66"/>
      <c r="AC47" s="80"/>
    </row>
    <row r="48" spans="1:68" ht="16.5" hidden="1" customHeight="1" x14ac:dyDescent="0.25">
      <c r="A48" s="63" t="s">
        <v>124</v>
      </c>
      <c r="B48" s="63" t="s">
        <v>125</v>
      </c>
      <c r="C48" s="36">
        <v>4301011380</v>
      </c>
      <c r="D48" s="651">
        <v>4607091385670</v>
      </c>
      <c r="E48" s="651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9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53"/>
      <c r="R48" s="653"/>
      <c r="S48" s="653"/>
      <c r="T48" s="65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651">
        <v>4680115887725</v>
      </c>
      <c r="E49" s="651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91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53"/>
      <c r="R49" s="653"/>
      <c r="S49" s="653"/>
      <c r="T49" s="65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133</v>
      </c>
      <c r="B50" s="63" t="s">
        <v>134</v>
      </c>
      <c r="C50" s="36">
        <v>4301011382</v>
      </c>
      <c r="D50" s="651">
        <v>4607091385687</v>
      </c>
      <c r="E50" s="651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91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53"/>
      <c r="R50" s="653"/>
      <c r="S50" s="653"/>
      <c r="T50" s="65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651">
        <v>4680115882539</v>
      </c>
      <c r="E51" s="651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91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idden="1" x14ac:dyDescent="0.2">
      <c r="A52" s="645"/>
      <c r="B52" s="645"/>
      <c r="C52" s="645"/>
      <c r="D52" s="645"/>
      <c r="E52" s="645"/>
      <c r="F52" s="645"/>
      <c r="G52" s="645"/>
      <c r="H52" s="645"/>
      <c r="I52" s="645"/>
      <c r="J52" s="645"/>
      <c r="K52" s="645"/>
      <c r="L52" s="645"/>
      <c r="M52" s="645"/>
      <c r="N52" s="645"/>
      <c r="O52" s="646"/>
      <c r="P52" s="642" t="s">
        <v>40</v>
      </c>
      <c r="Q52" s="643"/>
      <c r="R52" s="643"/>
      <c r="S52" s="643"/>
      <c r="T52" s="643"/>
      <c r="U52" s="643"/>
      <c r="V52" s="644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hidden="1" x14ac:dyDescent="0.2">
      <c r="A53" s="645"/>
      <c r="B53" s="645"/>
      <c r="C53" s="645"/>
      <c r="D53" s="645"/>
      <c r="E53" s="645"/>
      <c r="F53" s="645"/>
      <c r="G53" s="645"/>
      <c r="H53" s="645"/>
      <c r="I53" s="645"/>
      <c r="J53" s="645"/>
      <c r="K53" s="645"/>
      <c r="L53" s="645"/>
      <c r="M53" s="645"/>
      <c r="N53" s="645"/>
      <c r="O53" s="646"/>
      <c r="P53" s="642" t="s">
        <v>40</v>
      </c>
      <c r="Q53" s="643"/>
      <c r="R53" s="643"/>
      <c r="S53" s="643"/>
      <c r="T53" s="643"/>
      <c r="U53" s="643"/>
      <c r="V53" s="644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hidden="1" customHeight="1" x14ac:dyDescent="0.25">
      <c r="A54" s="655" t="s">
        <v>138</v>
      </c>
      <c r="B54" s="655"/>
      <c r="C54" s="655"/>
      <c r="D54" s="655"/>
      <c r="E54" s="655"/>
      <c r="F54" s="655"/>
      <c r="G54" s="655"/>
      <c r="H54" s="655"/>
      <c r="I54" s="655"/>
      <c r="J54" s="655"/>
      <c r="K54" s="655"/>
      <c r="L54" s="655"/>
      <c r="M54" s="655"/>
      <c r="N54" s="655"/>
      <c r="O54" s="655"/>
      <c r="P54" s="655"/>
      <c r="Q54" s="655"/>
      <c r="R54" s="655"/>
      <c r="S54" s="655"/>
      <c r="T54" s="655"/>
      <c r="U54" s="655"/>
      <c r="V54" s="655"/>
      <c r="W54" s="655"/>
      <c r="X54" s="655"/>
      <c r="Y54" s="655"/>
      <c r="Z54" s="655"/>
      <c r="AA54" s="65"/>
      <c r="AB54" s="65"/>
      <c r="AC54" s="79"/>
    </row>
    <row r="55" spans="1:68" ht="14.25" hidden="1" customHeight="1" x14ac:dyDescent="0.25">
      <c r="A55" s="656" t="s">
        <v>123</v>
      </c>
      <c r="B55" s="656"/>
      <c r="C55" s="656"/>
      <c r="D55" s="656"/>
      <c r="E55" s="656"/>
      <c r="F55" s="656"/>
      <c r="G55" s="656"/>
      <c r="H55" s="656"/>
      <c r="I55" s="656"/>
      <c r="J55" s="656"/>
      <c r="K55" s="656"/>
      <c r="L55" s="656"/>
      <c r="M55" s="656"/>
      <c r="N55" s="656"/>
      <c r="O55" s="656"/>
      <c r="P55" s="656"/>
      <c r="Q55" s="656"/>
      <c r="R55" s="656"/>
      <c r="S55" s="656"/>
      <c r="T55" s="656"/>
      <c r="U55" s="656"/>
      <c r="V55" s="656"/>
      <c r="W55" s="656"/>
      <c r="X55" s="656"/>
      <c r="Y55" s="656"/>
      <c r="Z55" s="656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651">
        <v>4680115885882</v>
      </c>
      <c r="E56" s="651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91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3"/>
      <c r="R56" s="653"/>
      <c r="S56" s="653"/>
      <c r="T56" s="65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4301011816</v>
      </c>
      <c r="D57" s="651">
        <v>4680115881426</v>
      </c>
      <c r="E57" s="651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3"/>
      <c r="R57" s="653"/>
      <c r="S57" s="653"/>
      <c r="T57" s="65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51">
        <v>4680115880283</v>
      </c>
      <c r="E58" s="651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91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3"/>
      <c r="R58" s="653"/>
      <c r="S58" s="653"/>
      <c r="T58" s="65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651">
        <v>4680115881525</v>
      </c>
      <c r="E59" s="65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9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651">
        <v>4680115885899</v>
      </c>
      <c r="E60" s="65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91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153</v>
      </c>
      <c r="B61" s="63" t="s">
        <v>154</v>
      </c>
      <c r="C61" s="36">
        <v>4301011801</v>
      </c>
      <c r="D61" s="651">
        <v>4680115881419</v>
      </c>
      <c r="E61" s="65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90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idden="1" x14ac:dyDescent="0.2">
      <c r="A62" s="645"/>
      <c r="B62" s="645"/>
      <c r="C62" s="645"/>
      <c r="D62" s="645"/>
      <c r="E62" s="645"/>
      <c r="F62" s="645"/>
      <c r="G62" s="645"/>
      <c r="H62" s="645"/>
      <c r="I62" s="645"/>
      <c r="J62" s="645"/>
      <c r="K62" s="645"/>
      <c r="L62" s="645"/>
      <c r="M62" s="645"/>
      <c r="N62" s="645"/>
      <c r="O62" s="646"/>
      <c r="P62" s="642" t="s">
        <v>40</v>
      </c>
      <c r="Q62" s="643"/>
      <c r="R62" s="643"/>
      <c r="S62" s="643"/>
      <c r="T62" s="643"/>
      <c r="U62" s="643"/>
      <c r="V62" s="644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45"/>
      <c r="B63" s="645"/>
      <c r="C63" s="645"/>
      <c r="D63" s="645"/>
      <c r="E63" s="645"/>
      <c r="F63" s="645"/>
      <c r="G63" s="645"/>
      <c r="H63" s="645"/>
      <c r="I63" s="645"/>
      <c r="J63" s="645"/>
      <c r="K63" s="645"/>
      <c r="L63" s="645"/>
      <c r="M63" s="645"/>
      <c r="N63" s="645"/>
      <c r="O63" s="646"/>
      <c r="P63" s="642" t="s">
        <v>40</v>
      </c>
      <c r="Q63" s="643"/>
      <c r="R63" s="643"/>
      <c r="S63" s="643"/>
      <c r="T63" s="643"/>
      <c r="U63" s="643"/>
      <c r="V63" s="644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hidden="1" customHeight="1" x14ac:dyDescent="0.25">
      <c r="A64" s="656" t="s">
        <v>156</v>
      </c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6"/>
      <c r="P64" s="656"/>
      <c r="Q64" s="656"/>
      <c r="R64" s="656"/>
      <c r="S64" s="656"/>
      <c r="T64" s="656"/>
      <c r="U64" s="656"/>
      <c r="V64" s="656"/>
      <c r="W64" s="656"/>
      <c r="X64" s="656"/>
      <c r="Y64" s="656"/>
      <c r="Z64" s="656"/>
      <c r="AA64" s="66"/>
      <c r="AB64" s="66"/>
      <c r="AC64" s="80"/>
    </row>
    <row r="65" spans="1:68" ht="16.5" hidden="1" customHeight="1" x14ac:dyDescent="0.25">
      <c r="A65" s="63" t="s">
        <v>157</v>
      </c>
      <c r="B65" s="63" t="s">
        <v>158</v>
      </c>
      <c r="C65" s="36">
        <v>4301020298</v>
      </c>
      <c r="D65" s="651">
        <v>4680115881440</v>
      </c>
      <c r="E65" s="65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90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651">
        <v>4680115885950</v>
      </c>
      <c r="E66" s="65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91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651">
        <v>4680115887688</v>
      </c>
      <c r="E67" s="65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9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3"/>
      <c r="R67" s="653"/>
      <c r="S67" s="653"/>
      <c r="T67" s="65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165</v>
      </c>
      <c r="B68" s="63" t="s">
        <v>166</v>
      </c>
      <c r="C68" s="36">
        <v>4301020296</v>
      </c>
      <c r="D68" s="651">
        <v>4680115881433</v>
      </c>
      <c r="E68" s="65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9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3"/>
      <c r="R68" s="653"/>
      <c r="S68" s="653"/>
      <c r="T68" s="654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45"/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6"/>
      <c r="P69" s="642" t="s">
        <v>40</v>
      </c>
      <c r="Q69" s="643"/>
      <c r="R69" s="643"/>
      <c r="S69" s="643"/>
      <c r="T69" s="643"/>
      <c r="U69" s="643"/>
      <c r="V69" s="644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45"/>
      <c r="B70" s="645"/>
      <c r="C70" s="645"/>
      <c r="D70" s="645"/>
      <c r="E70" s="645"/>
      <c r="F70" s="645"/>
      <c r="G70" s="645"/>
      <c r="H70" s="645"/>
      <c r="I70" s="645"/>
      <c r="J70" s="645"/>
      <c r="K70" s="645"/>
      <c r="L70" s="645"/>
      <c r="M70" s="645"/>
      <c r="N70" s="645"/>
      <c r="O70" s="646"/>
      <c r="P70" s="642" t="s">
        <v>40</v>
      </c>
      <c r="Q70" s="643"/>
      <c r="R70" s="643"/>
      <c r="S70" s="643"/>
      <c r="T70" s="643"/>
      <c r="U70" s="643"/>
      <c r="V70" s="644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56" t="s">
        <v>85</v>
      </c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6"/>
      <c r="P71" s="656"/>
      <c r="Q71" s="656"/>
      <c r="R71" s="656"/>
      <c r="S71" s="656"/>
      <c r="T71" s="656"/>
      <c r="U71" s="656"/>
      <c r="V71" s="656"/>
      <c r="W71" s="656"/>
      <c r="X71" s="656"/>
      <c r="Y71" s="656"/>
      <c r="Z71" s="656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651">
        <v>4680115884311</v>
      </c>
      <c r="E72" s="65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0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651">
        <v>4680115884403</v>
      </c>
      <c r="E73" s="65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0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56" t="s">
        <v>173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51">
        <v>4680115881532</v>
      </c>
      <c r="E77" s="65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90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651">
        <v>4680115881464</v>
      </c>
      <c r="E78" s="65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90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655" t="s">
        <v>180</v>
      </c>
      <c r="B81" s="655"/>
      <c r="C81" s="655"/>
      <c r="D81" s="655"/>
      <c r="E81" s="655"/>
      <c r="F81" s="655"/>
      <c r="G81" s="655"/>
      <c r="H81" s="655"/>
      <c r="I81" s="655"/>
      <c r="J81" s="655"/>
      <c r="K81" s="655"/>
      <c r="L81" s="655"/>
      <c r="M81" s="655"/>
      <c r="N81" s="655"/>
      <c r="O81" s="655"/>
      <c r="P81" s="655"/>
      <c r="Q81" s="655"/>
      <c r="R81" s="655"/>
      <c r="S81" s="655"/>
      <c r="T81" s="655"/>
      <c r="U81" s="655"/>
      <c r="V81" s="655"/>
      <c r="W81" s="655"/>
      <c r="X81" s="655"/>
      <c r="Y81" s="655"/>
      <c r="Z81" s="655"/>
      <c r="AA81" s="65"/>
      <c r="AB81" s="65"/>
      <c r="AC81" s="79"/>
    </row>
    <row r="82" spans="1:68" ht="14.25" hidden="1" customHeight="1" x14ac:dyDescent="0.25">
      <c r="A82" s="656" t="s">
        <v>123</v>
      </c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6"/>
      <c r="P82" s="656"/>
      <c r="Q82" s="656"/>
      <c r="R82" s="656"/>
      <c r="S82" s="656"/>
      <c r="T82" s="656"/>
      <c r="U82" s="656"/>
      <c r="V82" s="656"/>
      <c r="W82" s="656"/>
      <c r="X82" s="656"/>
      <c r="Y82" s="656"/>
      <c r="Z82" s="656"/>
      <c r="AA82" s="66"/>
      <c r="AB82" s="66"/>
      <c r="AC82" s="80"/>
    </row>
    <row r="83" spans="1:68" ht="27" hidden="1" customHeight="1" x14ac:dyDescent="0.25">
      <c r="A83" s="63" t="s">
        <v>181</v>
      </c>
      <c r="B83" s="63" t="s">
        <v>182</v>
      </c>
      <c r="C83" s="36">
        <v>4301011468</v>
      </c>
      <c r="D83" s="651">
        <v>4680115881327</v>
      </c>
      <c r="E83" s="65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90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651">
        <v>4680115887732</v>
      </c>
      <c r="E84" s="65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90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53"/>
      <c r="R84" s="653"/>
      <c r="S84" s="653"/>
      <c r="T84" s="654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651">
        <v>4680115881518</v>
      </c>
      <c r="E85" s="65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89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53"/>
      <c r="R85" s="653"/>
      <c r="S85" s="653"/>
      <c r="T85" s="65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4301011443</v>
      </c>
      <c r="D86" s="651">
        <v>4680115881303</v>
      </c>
      <c r="E86" s="65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89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53"/>
      <c r="R86" s="653"/>
      <c r="S86" s="653"/>
      <c r="T86" s="654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idden="1" x14ac:dyDescent="0.2">
      <c r="A87" s="645"/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6"/>
      <c r="P87" s="642" t="s">
        <v>40</v>
      </c>
      <c r="Q87" s="643"/>
      <c r="R87" s="643"/>
      <c r="S87" s="643"/>
      <c r="T87" s="643"/>
      <c r="U87" s="643"/>
      <c r="V87" s="644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hidden="1" x14ac:dyDescent="0.2">
      <c r="A88" s="645"/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6"/>
      <c r="P88" s="642" t="s">
        <v>40</v>
      </c>
      <c r="Q88" s="643"/>
      <c r="R88" s="643"/>
      <c r="S88" s="643"/>
      <c r="T88" s="643"/>
      <c r="U88" s="643"/>
      <c r="V88" s="644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hidden="1" customHeight="1" x14ac:dyDescent="0.25">
      <c r="A89" s="656" t="s">
        <v>85</v>
      </c>
      <c r="B89" s="656"/>
      <c r="C89" s="656"/>
      <c r="D89" s="656"/>
      <c r="E89" s="656"/>
      <c r="F89" s="656"/>
      <c r="G89" s="656"/>
      <c r="H89" s="656"/>
      <c r="I89" s="656"/>
      <c r="J89" s="656"/>
      <c r="K89" s="656"/>
      <c r="L89" s="656"/>
      <c r="M89" s="656"/>
      <c r="N89" s="656"/>
      <c r="O89" s="656"/>
      <c r="P89" s="656"/>
      <c r="Q89" s="656"/>
      <c r="R89" s="656"/>
      <c r="S89" s="656"/>
      <c r="T89" s="656"/>
      <c r="U89" s="656"/>
      <c r="V89" s="656"/>
      <c r="W89" s="656"/>
      <c r="X89" s="656"/>
      <c r="Y89" s="656"/>
      <c r="Z89" s="656"/>
      <c r="AA89" s="66"/>
      <c r="AB89" s="66"/>
      <c r="AC89" s="80"/>
    </row>
    <row r="90" spans="1:68" ht="27" hidden="1" customHeight="1" x14ac:dyDescent="0.25">
      <c r="A90" s="63" t="s">
        <v>191</v>
      </c>
      <c r="B90" s="63" t="s">
        <v>192</v>
      </c>
      <c r="C90" s="36">
        <v>4301051712</v>
      </c>
      <c r="D90" s="651">
        <v>4607091386967</v>
      </c>
      <c r="E90" s="65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8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651">
        <v>4680115884953</v>
      </c>
      <c r="E91" s="65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89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4301051718</v>
      </c>
      <c r="D92" s="651">
        <v>4607091385731</v>
      </c>
      <c r="E92" s="65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89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53"/>
      <c r="R92" s="653"/>
      <c r="S92" s="653"/>
      <c r="T92" s="654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651">
        <v>4680115880894</v>
      </c>
      <c r="E93" s="65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89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53"/>
      <c r="R93" s="653"/>
      <c r="S93" s="653"/>
      <c r="T93" s="65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idden="1" x14ac:dyDescent="0.2">
      <c r="A94" s="645"/>
      <c r="B94" s="645"/>
      <c r="C94" s="645"/>
      <c r="D94" s="645"/>
      <c r="E94" s="645"/>
      <c r="F94" s="645"/>
      <c r="G94" s="645"/>
      <c r="H94" s="645"/>
      <c r="I94" s="645"/>
      <c r="J94" s="645"/>
      <c r="K94" s="645"/>
      <c r="L94" s="645"/>
      <c r="M94" s="645"/>
      <c r="N94" s="645"/>
      <c r="O94" s="646"/>
      <c r="P94" s="642" t="s">
        <v>40</v>
      </c>
      <c r="Q94" s="643"/>
      <c r="R94" s="643"/>
      <c r="S94" s="643"/>
      <c r="T94" s="643"/>
      <c r="U94" s="643"/>
      <c r="V94" s="644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hidden="1" x14ac:dyDescent="0.2">
      <c r="A95" s="645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42" t="s">
        <v>40</v>
      </c>
      <c r="Q95" s="643"/>
      <c r="R95" s="643"/>
      <c r="S95" s="643"/>
      <c r="T95" s="643"/>
      <c r="U95" s="643"/>
      <c r="V95" s="644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hidden="1" customHeight="1" x14ac:dyDescent="0.25">
      <c r="A96" s="655" t="s">
        <v>201</v>
      </c>
      <c r="B96" s="655"/>
      <c r="C96" s="655"/>
      <c r="D96" s="655"/>
      <c r="E96" s="655"/>
      <c r="F96" s="655"/>
      <c r="G96" s="655"/>
      <c r="H96" s="655"/>
      <c r="I96" s="655"/>
      <c r="J96" s="655"/>
      <c r="K96" s="655"/>
      <c r="L96" s="655"/>
      <c r="M96" s="655"/>
      <c r="N96" s="655"/>
      <c r="O96" s="655"/>
      <c r="P96" s="655"/>
      <c r="Q96" s="655"/>
      <c r="R96" s="655"/>
      <c r="S96" s="655"/>
      <c r="T96" s="655"/>
      <c r="U96" s="655"/>
      <c r="V96" s="655"/>
      <c r="W96" s="655"/>
      <c r="X96" s="655"/>
      <c r="Y96" s="655"/>
      <c r="Z96" s="655"/>
      <c r="AA96" s="65"/>
      <c r="AB96" s="65"/>
      <c r="AC96" s="79"/>
    </row>
    <row r="97" spans="1:68" ht="14.25" hidden="1" customHeight="1" x14ac:dyDescent="0.25">
      <c r="A97" s="656" t="s">
        <v>123</v>
      </c>
      <c r="B97" s="656"/>
      <c r="C97" s="656"/>
      <c r="D97" s="656"/>
      <c r="E97" s="656"/>
      <c r="F97" s="656"/>
      <c r="G97" s="656"/>
      <c r="H97" s="656"/>
      <c r="I97" s="656"/>
      <c r="J97" s="656"/>
      <c r="K97" s="656"/>
      <c r="L97" s="656"/>
      <c r="M97" s="656"/>
      <c r="N97" s="656"/>
      <c r="O97" s="656"/>
      <c r="P97" s="656"/>
      <c r="Q97" s="656"/>
      <c r="R97" s="656"/>
      <c r="S97" s="656"/>
      <c r="T97" s="656"/>
      <c r="U97" s="656"/>
      <c r="V97" s="656"/>
      <c r="W97" s="656"/>
      <c r="X97" s="656"/>
      <c r="Y97" s="656"/>
      <c r="Z97" s="656"/>
      <c r="AA97" s="66"/>
      <c r="AB97" s="66"/>
      <c r="AC97" s="80"/>
    </row>
    <row r="98" spans="1:68" ht="37.5" hidden="1" customHeight="1" x14ac:dyDescent="0.25">
      <c r="A98" s="63" t="s">
        <v>202</v>
      </c>
      <c r="B98" s="63" t="s">
        <v>203</v>
      </c>
      <c r="C98" s="36">
        <v>4301011514</v>
      </c>
      <c r="D98" s="651">
        <v>4680115882133</v>
      </c>
      <c r="E98" s="65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89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651">
        <v>4680115887718</v>
      </c>
      <c r="E99" s="65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89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53"/>
      <c r="R99" s="653"/>
      <c r="S99" s="653"/>
      <c r="T99" s="65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651">
        <v>4680115887718</v>
      </c>
      <c r="E100" s="651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89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3"/>
      <c r="R100" s="653"/>
      <c r="S100" s="653"/>
      <c r="T100" s="654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651">
        <v>4680115887718</v>
      </c>
      <c r="E101" s="651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89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3"/>
      <c r="R101" s="653"/>
      <c r="S101" s="653"/>
      <c r="T101" s="654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651">
        <v>4680115880269</v>
      </c>
      <c r="E102" s="651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88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53"/>
      <c r="R102" s="653"/>
      <c r="S102" s="653"/>
      <c r="T102" s="65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4301011415</v>
      </c>
      <c r="D103" s="651">
        <v>4680115880429</v>
      </c>
      <c r="E103" s="651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88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651">
        <v>4680115881457</v>
      </c>
      <c r="E104" s="651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88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idden="1" x14ac:dyDescent="0.2">
      <c r="A105" s="645"/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6"/>
      <c r="P105" s="642" t="s">
        <v>40</v>
      </c>
      <c r="Q105" s="643"/>
      <c r="R105" s="643"/>
      <c r="S105" s="643"/>
      <c r="T105" s="643"/>
      <c r="U105" s="643"/>
      <c r="V105" s="644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hidden="1" x14ac:dyDescent="0.2">
      <c r="A106" s="645"/>
      <c r="B106" s="645"/>
      <c r="C106" s="645"/>
      <c r="D106" s="645"/>
      <c r="E106" s="645"/>
      <c r="F106" s="645"/>
      <c r="G106" s="645"/>
      <c r="H106" s="645"/>
      <c r="I106" s="645"/>
      <c r="J106" s="645"/>
      <c r="K106" s="645"/>
      <c r="L106" s="645"/>
      <c r="M106" s="645"/>
      <c r="N106" s="645"/>
      <c r="O106" s="646"/>
      <c r="P106" s="642" t="s">
        <v>40</v>
      </c>
      <c r="Q106" s="643"/>
      <c r="R106" s="643"/>
      <c r="S106" s="643"/>
      <c r="T106" s="643"/>
      <c r="U106" s="643"/>
      <c r="V106" s="644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hidden="1" customHeight="1" x14ac:dyDescent="0.25">
      <c r="A107" s="656" t="s">
        <v>156</v>
      </c>
      <c r="B107" s="656"/>
      <c r="C107" s="656"/>
      <c r="D107" s="656"/>
      <c r="E107" s="656"/>
      <c r="F107" s="656"/>
      <c r="G107" s="656"/>
      <c r="H107" s="656"/>
      <c r="I107" s="656"/>
      <c r="J107" s="656"/>
      <c r="K107" s="656"/>
      <c r="L107" s="656"/>
      <c r="M107" s="656"/>
      <c r="N107" s="656"/>
      <c r="O107" s="656"/>
      <c r="P107" s="656"/>
      <c r="Q107" s="656"/>
      <c r="R107" s="656"/>
      <c r="S107" s="656"/>
      <c r="T107" s="656"/>
      <c r="U107" s="656"/>
      <c r="V107" s="656"/>
      <c r="W107" s="656"/>
      <c r="X107" s="656"/>
      <c r="Y107" s="656"/>
      <c r="Z107" s="656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651">
        <v>4680115881488</v>
      </c>
      <c r="E108" s="651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88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651">
        <v>4680115887664</v>
      </c>
      <c r="E109" s="651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88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53"/>
      <c r="R109" s="653"/>
      <c r="S109" s="653"/>
      <c r="T109" s="654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651">
        <v>4680115887664</v>
      </c>
      <c r="E110" s="651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88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3"/>
      <c r="R110" s="653"/>
      <c r="S110" s="653"/>
      <c r="T110" s="654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651">
        <v>4680115882775</v>
      </c>
      <c r="E111" s="651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8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53"/>
      <c r="R111" s="653"/>
      <c r="S111" s="653"/>
      <c r="T111" s="65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651">
        <v>4680115880658</v>
      </c>
      <c r="E112" s="651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88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645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42" t="s">
        <v>40</v>
      </c>
      <c r="Q113" s="643"/>
      <c r="R113" s="643"/>
      <c r="S113" s="643"/>
      <c r="T113" s="643"/>
      <c r="U113" s="643"/>
      <c r="V113" s="644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42" t="s">
        <v>40</v>
      </c>
      <c r="Q114" s="643"/>
      <c r="R114" s="643"/>
      <c r="S114" s="643"/>
      <c r="T114" s="643"/>
      <c r="U114" s="643"/>
      <c r="V114" s="644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6" t="s">
        <v>85</v>
      </c>
      <c r="B115" s="656"/>
      <c r="C115" s="656"/>
      <c r="D115" s="656"/>
      <c r="E115" s="656"/>
      <c r="F115" s="656"/>
      <c r="G115" s="656"/>
      <c r="H115" s="656"/>
      <c r="I115" s="656"/>
      <c r="J115" s="656"/>
      <c r="K115" s="656"/>
      <c r="L115" s="656"/>
      <c r="M115" s="656"/>
      <c r="N115" s="656"/>
      <c r="O115" s="656"/>
      <c r="P115" s="656"/>
      <c r="Q115" s="656"/>
      <c r="R115" s="656"/>
      <c r="S115" s="656"/>
      <c r="T115" s="656"/>
      <c r="U115" s="656"/>
      <c r="V115" s="656"/>
      <c r="W115" s="656"/>
      <c r="X115" s="656"/>
      <c r="Y115" s="656"/>
      <c r="Z115" s="656"/>
      <c r="AA115" s="66"/>
      <c r="AB115" s="66"/>
      <c r="AC115" s="80"/>
    </row>
    <row r="116" spans="1:68" ht="27" customHeight="1" x14ac:dyDescent="0.25">
      <c r="A116" s="63" t="s">
        <v>228</v>
      </c>
      <c r="B116" s="63" t="s">
        <v>229</v>
      </c>
      <c r="C116" s="36">
        <v>4301051724</v>
      </c>
      <c r="D116" s="651">
        <v>4607091385168</v>
      </c>
      <c r="E116" s="651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8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250</v>
      </c>
      <c r="Y116" s="55">
        <f>IFERROR(IF(X116="",0,CEILING((X116/$H116),1)*$H116),"")</f>
        <v>251.1</v>
      </c>
      <c r="Z116" s="41">
        <f>IFERROR(IF(Y116=0,"",ROUNDUP(Y116/H116,0)*0.01898),"")</f>
        <v>0.58838000000000001</v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265.06172839506172</v>
      </c>
      <c r="BN116" s="78">
        <f>IFERROR(Y116*I116/H116,"0")</f>
        <v>266.22799999999995</v>
      </c>
      <c r="BO116" s="78">
        <f>IFERROR(1/J116*(X116/H116),"0")</f>
        <v>0.48225308641975312</v>
      </c>
      <c r="BP116" s="78">
        <f>IFERROR(1/J116*(Y116/H116),"0")</f>
        <v>0.484375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651">
        <v>4607091383256</v>
      </c>
      <c r="E117" s="651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88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53"/>
      <c r="R117" s="653"/>
      <c r="S117" s="653"/>
      <c r="T117" s="65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4301051721</v>
      </c>
      <c r="D118" s="651">
        <v>4607091385748</v>
      </c>
      <c r="E118" s="651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53"/>
      <c r="R118" s="653"/>
      <c r="S118" s="653"/>
      <c r="T118" s="654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235</v>
      </c>
      <c r="B119" s="63" t="s">
        <v>236</v>
      </c>
      <c r="C119" s="36">
        <v>4301051740</v>
      </c>
      <c r="D119" s="651">
        <v>4680115884533</v>
      </c>
      <c r="E119" s="651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8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53"/>
      <c r="R119" s="653"/>
      <c r="S119" s="653"/>
      <c r="T119" s="65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45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42" t="s">
        <v>40</v>
      </c>
      <c r="Q120" s="643"/>
      <c r="R120" s="643"/>
      <c r="S120" s="643"/>
      <c r="T120" s="643"/>
      <c r="U120" s="643"/>
      <c r="V120" s="644"/>
      <c r="W120" s="42" t="s">
        <v>39</v>
      </c>
      <c r="X120" s="43">
        <f>IFERROR(X116/H116,"0")+IFERROR(X117/H117,"0")+IFERROR(X118/H118,"0")+IFERROR(X119/H119,"0")</f>
        <v>30.8641975308642</v>
      </c>
      <c r="Y120" s="43">
        <f>IFERROR(Y116/H116,"0")+IFERROR(Y117/H117,"0")+IFERROR(Y118/H118,"0")+IFERROR(Y119/H119,"0")</f>
        <v>31</v>
      </c>
      <c r="Z120" s="43">
        <f>IFERROR(IF(Z116="",0,Z116),"0")+IFERROR(IF(Z117="",0,Z117),"0")+IFERROR(IF(Z118="",0,Z118),"0")+IFERROR(IF(Z119="",0,Z119),"0")</f>
        <v>0.58838000000000001</v>
      </c>
      <c r="AA120" s="67"/>
      <c r="AB120" s="67"/>
      <c r="AC120" s="67"/>
    </row>
    <row r="121" spans="1:68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42" t="s">
        <v>40</v>
      </c>
      <c r="Q121" s="643"/>
      <c r="R121" s="643"/>
      <c r="S121" s="643"/>
      <c r="T121" s="643"/>
      <c r="U121" s="643"/>
      <c r="V121" s="644"/>
      <c r="W121" s="42" t="s">
        <v>0</v>
      </c>
      <c r="X121" s="43">
        <f>IFERROR(SUM(X116:X119),"0")</f>
        <v>250</v>
      </c>
      <c r="Y121" s="43">
        <f>IFERROR(SUM(Y116:Y119),"0")</f>
        <v>251.1</v>
      </c>
      <c r="Z121" s="42"/>
      <c r="AA121" s="67"/>
      <c r="AB121" s="67"/>
      <c r="AC121" s="67"/>
    </row>
    <row r="122" spans="1:68" ht="14.25" hidden="1" customHeight="1" x14ac:dyDescent="0.25">
      <c r="A122" s="656" t="s">
        <v>173</v>
      </c>
      <c r="B122" s="656"/>
      <c r="C122" s="656"/>
      <c r="D122" s="656"/>
      <c r="E122" s="656"/>
      <c r="F122" s="656"/>
      <c r="G122" s="656"/>
      <c r="H122" s="656"/>
      <c r="I122" s="656"/>
      <c r="J122" s="656"/>
      <c r="K122" s="656"/>
      <c r="L122" s="656"/>
      <c r="M122" s="656"/>
      <c r="N122" s="656"/>
      <c r="O122" s="656"/>
      <c r="P122" s="656"/>
      <c r="Q122" s="656"/>
      <c r="R122" s="656"/>
      <c r="S122" s="656"/>
      <c r="T122" s="656"/>
      <c r="U122" s="656"/>
      <c r="V122" s="656"/>
      <c r="W122" s="656"/>
      <c r="X122" s="656"/>
      <c r="Y122" s="656"/>
      <c r="Z122" s="656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651">
        <v>4680115880238</v>
      </c>
      <c r="E123" s="651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8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655" t="s">
        <v>241</v>
      </c>
      <c r="B126" s="655"/>
      <c r="C126" s="655"/>
      <c r="D126" s="655"/>
      <c r="E126" s="655"/>
      <c r="F126" s="655"/>
      <c r="G126" s="655"/>
      <c r="H126" s="655"/>
      <c r="I126" s="655"/>
      <c r="J126" s="655"/>
      <c r="K126" s="655"/>
      <c r="L126" s="655"/>
      <c r="M126" s="655"/>
      <c r="N126" s="655"/>
      <c r="O126" s="655"/>
      <c r="P126" s="655"/>
      <c r="Q126" s="655"/>
      <c r="R126" s="655"/>
      <c r="S126" s="655"/>
      <c r="T126" s="655"/>
      <c r="U126" s="655"/>
      <c r="V126" s="655"/>
      <c r="W126" s="655"/>
      <c r="X126" s="655"/>
      <c r="Y126" s="655"/>
      <c r="Z126" s="655"/>
      <c r="AA126" s="65"/>
      <c r="AB126" s="65"/>
      <c r="AC126" s="79"/>
    </row>
    <row r="127" spans="1:68" ht="14.25" hidden="1" customHeight="1" x14ac:dyDescent="0.25">
      <c r="A127" s="656" t="s">
        <v>123</v>
      </c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6"/>
      <c r="P127" s="656"/>
      <c r="Q127" s="656"/>
      <c r="R127" s="656"/>
      <c r="S127" s="656"/>
      <c r="T127" s="656"/>
      <c r="U127" s="656"/>
      <c r="V127" s="656"/>
      <c r="W127" s="656"/>
      <c r="X127" s="656"/>
      <c r="Y127" s="656"/>
      <c r="Z127" s="656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651">
        <v>4680115888784</v>
      </c>
      <c r="E128" s="651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87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53"/>
      <c r="R128" s="653"/>
      <c r="S128" s="653"/>
      <c r="T128" s="654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651">
        <v>4680115882577</v>
      </c>
      <c r="E129" s="651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8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53"/>
      <c r="R129" s="653"/>
      <c r="S129" s="653"/>
      <c r="T129" s="65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651">
        <v>4680115882577</v>
      </c>
      <c r="E130" s="651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8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53"/>
      <c r="R130" s="653"/>
      <c r="S130" s="653"/>
      <c r="T130" s="65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5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42" t="s">
        <v>40</v>
      </c>
      <c r="Q131" s="643"/>
      <c r="R131" s="643"/>
      <c r="S131" s="643"/>
      <c r="T131" s="643"/>
      <c r="U131" s="643"/>
      <c r="V131" s="644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42" t="s">
        <v>40</v>
      </c>
      <c r="Q132" s="643"/>
      <c r="R132" s="643"/>
      <c r="S132" s="643"/>
      <c r="T132" s="643"/>
      <c r="U132" s="643"/>
      <c r="V132" s="644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56" t="s">
        <v>76</v>
      </c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6"/>
      <c r="P133" s="656"/>
      <c r="Q133" s="656"/>
      <c r="R133" s="656"/>
      <c r="S133" s="656"/>
      <c r="T133" s="656"/>
      <c r="U133" s="656"/>
      <c r="V133" s="656"/>
      <c r="W133" s="656"/>
      <c r="X133" s="656"/>
      <c r="Y133" s="656"/>
      <c r="Z133" s="656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651">
        <v>4680115888913</v>
      </c>
      <c r="E134" s="651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87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255</v>
      </c>
      <c r="C135" s="36">
        <v>4301031234</v>
      </c>
      <c r="D135" s="651">
        <v>4680115883444</v>
      </c>
      <c r="E135" s="651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87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651">
        <v>4680115883444</v>
      </c>
      <c r="E136" s="65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86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3"/>
      <c r="R136" s="653"/>
      <c r="S136" s="653"/>
      <c r="T136" s="65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651">
        <v>4680115888920</v>
      </c>
      <c r="E137" s="651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53"/>
      <c r="R137" s="653"/>
      <c r="S137" s="653"/>
      <c r="T137" s="65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42" t="s">
        <v>40</v>
      </c>
      <c r="Q138" s="643"/>
      <c r="R138" s="643"/>
      <c r="S138" s="643"/>
      <c r="T138" s="643"/>
      <c r="U138" s="643"/>
      <c r="V138" s="644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645"/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6"/>
      <c r="P139" s="642" t="s">
        <v>40</v>
      </c>
      <c r="Q139" s="643"/>
      <c r="R139" s="643"/>
      <c r="S139" s="643"/>
      <c r="T139" s="643"/>
      <c r="U139" s="643"/>
      <c r="V139" s="644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6" t="s">
        <v>85</v>
      </c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6"/>
      <c r="P140" s="656"/>
      <c r="Q140" s="656"/>
      <c r="R140" s="656"/>
      <c r="S140" s="656"/>
      <c r="T140" s="656"/>
      <c r="U140" s="656"/>
      <c r="V140" s="656"/>
      <c r="W140" s="656"/>
      <c r="X140" s="656"/>
      <c r="Y140" s="656"/>
      <c r="Z140" s="656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651">
        <v>4680115888944</v>
      </c>
      <c r="E141" s="651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871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262</v>
      </c>
      <c r="B142" s="63" t="s">
        <v>263</v>
      </c>
      <c r="C142" s="36">
        <v>4301051476</v>
      </c>
      <c r="D142" s="651">
        <v>4680115882584</v>
      </c>
      <c r="E142" s="65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86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651">
        <v>4680115882584</v>
      </c>
      <c r="E143" s="65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86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3"/>
      <c r="R143" s="653"/>
      <c r="S143" s="653"/>
      <c r="T143" s="65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645"/>
      <c r="B145" s="645"/>
      <c r="C145" s="645"/>
      <c r="D145" s="645"/>
      <c r="E145" s="645"/>
      <c r="F145" s="645"/>
      <c r="G145" s="645"/>
      <c r="H145" s="645"/>
      <c r="I145" s="645"/>
      <c r="J145" s="645"/>
      <c r="K145" s="645"/>
      <c r="L145" s="645"/>
      <c r="M145" s="645"/>
      <c r="N145" s="645"/>
      <c r="O145" s="646"/>
      <c r="P145" s="642" t="s">
        <v>40</v>
      </c>
      <c r="Q145" s="643"/>
      <c r="R145" s="643"/>
      <c r="S145" s="643"/>
      <c r="T145" s="643"/>
      <c r="U145" s="643"/>
      <c r="V145" s="644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5" t="s">
        <v>265</v>
      </c>
      <c r="B146" s="655"/>
      <c r="C146" s="655"/>
      <c r="D146" s="655"/>
      <c r="E146" s="655"/>
      <c r="F146" s="655"/>
      <c r="G146" s="655"/>
      <c r="H146" s="655"/>
      <c r="I146" s="655"/>
      <c r="J146" s="655"/>
      <c r="K146" s="655"/>
      <c r="L146" s="655"/>
      <c r="M146" s="655"/>
      <c r="N146" s="655"/>
      <c r="O146" s="655"/>
      <c r="P146" s="655"/>
      <c r="Q146" s="655"/>
      <c r="R146" s="655"/>
      <c r="S146" s="655"/>
      <c r="T146" s="655"/>
      <c r="U146" s="655"/>
      <c r="V146" s="655"/>
      <c r="W146" s="655"/>
      <c r="X146" s="655"/>
      <c r="Y146" s="655"/>
      <c r="Z146" s="655"/>
      <c r="AA146" s="65"/>
      <c r="AB146" s="65"/>
      <c r="AC146" s="79"/>
    </row>
    <row r="147" spans="1:68" ht="14.25" hidden="1" customHeight="1" x14ac:dyDescent="0.25">
      <c r="A147" s="656" t="s">
        <v>85</v>
      </c>
      <c r="B147" s="656"/>
      <c r="C147" s="656"/>
      <c r="D147" s="656"/>
      <c r="E147" s="656"/>
      <c r="F147" s="656"/>
      <c r="G147" s="656"/>
      <c r="H147" s="656"/>
      <c r="I147" s="656"/>
      <c r="J147" s="656"/>
      <c r="K147" s="656"/>
      <c r="L147" s="656"/>
      <c r="M147" s="656"/>
      <c r="N147" s="656"/>
      <c r="O147" s="656"/>
      <c r="P147" s="656"/>
      <c r="Q147" s="656"/>
      <c r="R147" s="656"/>
      <c r="S147" s="656"/>
      <c r="T147" s="656"/>
      <c r="U147" s="656"/>
      <c r="V147" s="656"/>
      <c r="W147" s="656"/>
      <c r="X147" s="656"/>
      <c r="Y147" s="656"/>
      <c r="Z147" s="656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651">
        <v>4680115888203</v>
      </c>
      <c r="E148" s="651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6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651">
        <v>4680115888180</v>
      </c>
      <c r="E149" s="65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6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651">
        <v>4680115888180</v>
      </c>
      <c r="E150" s="65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6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3"/>
      <c r="R150" s="653"/>
      <c r="S150" s="653"/>
      <c r="T150" s="65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651">
        <v>4680115888197</v>
      </c>
      <c r="E151" s="65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6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3"/>
      <c r="R151" s="653"/>
      <c r="S151" s="653"/>
      <c r="T151" s="65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651">
        <v>4680115888197</v>
      </c>
      <c r="E152" s="65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6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3"/>
      <c r="R152" s="653"/>
      <c r="S152" s="653"/>
      <c r="T152" s="65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651">
        <v>4680115888210</v>
      </c>
      <c r="E153" s="65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5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3"/>
      <c r="R153" s="653"/>
      <c r="S153" s="653"/>
      <c r="T153" s="654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651">
        <v>4680115888210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645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42" t="s">
        <v>40</v>
      </c>
      <c r="Q155" s="643"/>
      <c r="R155" s="643"/>
      <c r="S155" s="643"/>
      <c r="T155" s="643"/>
      <c r="U155" s="643"/>
      <c r="V155" s="644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42" t="s">
        <v>40</v>
      </c>
      <c r="Q156" s="643"/>
      <c r="R156" s="643"/>
      <c r="S156" s="643"/>
      <c r="T156" s="643"/>
      <c r="U156" s="643"/>
      <c r="V156" s="644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6" t="s">
        <v>281</v>
      </c>
      <c r="B157" s="656"/>
      <c r="C157" s="656"/>
      <c r="D157" s="656"/>
      <c r="E157" s="656"/>
      <c r="F157" s="656"/>
      <c r="G157" s="656"/>
      <c r="H157" s="656"/>
      <c r="I157" s="656"/>
      <c r="J157" s="656"/>
      <c r="K157" s="656"/>
      <c r="L157" s="656"/>
      <c r="M157" s="656"/>
      <c r="N157" s="656"/>
      <c r="O157" s="656"/>
      <c r="P157" s="656"/>
      <c r="Q157" s="656"/>
      <c r="R157" s="656"/>
      <c r="S157" s="656"/>
      <c r="T157" s="656"/>
      <c r="U157" s="656"/>
      <c r="V157" s="656"/>
      <c r="W157" s="656"/>
      <c r="X157" s="656"/>
      <c r="Y157" s="656"/>
      <c r="Z157" s="656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651">
        <v>4680115889132</v>
      </c>
      <c r="E158" s="651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3"/>
      <c r="R158" s="653"/>
      <c r="S158" s="653"/>
      <c r="T158" s="65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42" t="s">
        <v>40</v>
      </c>
      <c r="Q160" s="643"/>
      <c r="R160" s="643"/>
      <c r="S160" s="643"/>
      <c r="T160" s="643"/>
      <c r="U160" s="643"/>
      <c r="V160" s="644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5" t="s">
        <v>121</v>
      </c>
      <c r="B161" s="655"/>
      <c r="C161" s="655"/>
      <c r="D161" s="655"/>
      <c r="E161" s="655"/>
      <c r="F161" s="655"/>
      <c r="G161" s="655"/>
      <c r="H161" s="655"/>
      <c r="I161" s="655"/>
      <c r="J161" s="655"/>
      <c r="K161" s="655"/>
      <c r="L161" s="655"/>
      <c r="M161" s="655"/>
      <c r="N161" s="655"/>
      <c r="O161" s="655"/>
      <c r="P161" s="655"/>
      <c r="Q161" s="655"/>
      <c r="R161" s="655"/>
      <c r="S161" s="655"/>
      <c r="T161" s="655"/>
      <c r="U161" s="655"/>
      <c r="V161" s="655"/>
      <c r="W161" s="655"/>
      <c r="X161" s="655"/>
      <c r="Y161" s="655"/>
      <c r="Z161" s="655"/>
      <c r="AA161" s="65"/>
      <c r="AB161" s="65"/>
      <c r="AC161" s="79"/>
    </row>
    <row r="162" spans="1:68" ht="14.25" hidden="1" customHeight="1" x14ac:dyDescent="0.25">
      <c r="A162" s="656" t="s">
        <v>123</v>
      </c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6"/>
      <c r="P162" s="656"/>
      <c r="Q162" s="656"/>
      <c r="R162" s="656"/>
      <c r="S162" s="656"/>
      <c r="T162" s="656"/>
      <c r="U162" s="656"/>
      <c r="V162" s="656"/>
      <c r="W162" s="656"/>
      <c r="X162" s="656"/>
      <c r="Y162" s="656"/>
      <c r="Z162" s="656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651">
        <v>4680115887374</v>
      </c>
      <c r="E163" s="651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85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3"/>
      <c r="R163" s="653"/>
      <c r="S163" s="653"/>
      <c r="T163" s="65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651">
        <v>4607091384604</v>
      </c>
      <c r="E164" s="651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8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3"/>
      <c r="R164" s="653"/>
      <c r="S164" s="653"/>
      <c r="T164" s="65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651">
        <v>4680115888876</v>
      </c>
      <c r="E165" s="651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85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53"/>
      <c r="R165" s="653"/>
      <c r="S165" s="653"/>
      <c r="T165" s="654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645"/>
      <c r="B166" s="645"/>
      <c r="C166" s="645"/>
      <c r="D166" s="645"/>
      <c r="E166" s="645"/>
      <c r="F166" s="645"/>
      <c r="G166" s="645"/>
      <c r="H166" s="645"/>
      <c r="I166" s="645"/>
      <c r="J166" s="645"/>
      <c r="K166" s="645"/>
      <c r="L166" s="645"/>
      <c r="M166" s="645"/>
      <c r="N166" s="645"/>
      <c r="O166" s="646"/>
      <c r="P166" s="642" t="s">
        <v>40</v>
      </c>
      <c r="Q166" s="643"/>
      <c r="R166" s="643"/>
      <c r="S166" s="643"/>
      <c r="T166" s="643"/>
      <c r="U166" s="643"/>
      <c r="V166" s="644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645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42" t="s">
        <v>40</v>
      </c>
      <c r="Q167" s="643"/>
      <c r="R167" s="643"/>
      <c r="S167" s="643"/>
      <c r="T167" s="643"/>
      <c r="U167" s="643"/>
      <c r="V167" s="644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656" t="s">
        <v>156</v>
      </c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6"/>
      <c r="P168" s="656"/>
      <c r="Q168" s="656"/>
      <c r="R168" s="656"/>
      <c r="S168" s="656"/>
      <c r="T168" s="656"/>
      <c r="U168" s="656"/>
      <c r="V168" s="656"/>
      <c r="W168" s="656"/>
      <c r="X168" s="656"/>
      <c r="Y168" s="656"/>
      <c r="Z168" s="656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651">
        <v>4680115887695</v>
      </c>
      <c r="E169" s="651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85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53"/>
      <c r="R169" s="653"/>
      <c r="S169" s="653"/>
      <c r="T169" s="654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651">
        <v>4680115889491</v>
      </c>
      <c r="E170" s="651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85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53"/>
      <c r="R170" s="653"/>
      <c r="S170" s="653"/>
      <c r="T170" s="654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645"/>
      <c r="B171" s="645"/>
      <c r="C171" s="645"/>
      <c r="D171" s="645"/>
      <c r="E171" s="645"/>
      <c r="F171" s="645"/>
      <c r="G171" s="645"/>
      <c r="H171" s="645"/>
      <c r="I171" s="645"/>
      <c r="J171" s="645"/>
      <c r="K171" s="645"/>
      <c r="L171" s="645"/>
      <c r="M171" s="645"/>
      <c r="N171" s="645"/>
      <c r="O171" s="646"/>
      <c r="P171" s="642" t="s">
        <v>40</v>
      </c>
      <c r="Q171" s="643"/>
      <c r="R171" s="643"/>
      <c r="S171" s="643"/>
      <c r="T171" s="643"/>
      <c r="U171" s="643"/>
      <c r="V171" s="644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645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42" t="s">
        <v>40</v>
      </c>
      <c r="Q172" s="643"/>
      <c r="R172" s="643"/>
      <c r="S172" s="643"/>
      <c r="T172" s="643"/>
      <c r="U172" s="643"/>
      <c r="V172" s="644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656" t="s">
        <v>76</v>
      </c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6"/>
      <c r="P173" s="656"/>
      <c r="Q173" s="656"/>
      <c r="R173" s="656"/>
      <c r="S173" s="656"/>
      <c r="T173" s="656"/>
      <c r="U173" s="656"/>
      <c r="V173" s="656"/>
      <c r="W173" s="656"/>
      <c r="X173" s="656"/>
      <c r="Y173" s="656"/>
      <c r="Z173" s="656"/>
      <c r="AA173" s="66"/>
      <c r="AB173" s="66"/>
      <c r="AC173" s="80"/>
    </row>
    <row r="174" spans="1:68" ht="27" hidden="1" customHeight="1" x14ac:dyDescent="0.25">
      <c r="A174" s="63" t="s">
        <v>303</v>
      </c>
      <c r="B174" s="63" t="s">
        <v>304</v>
      </c>
      <c r="C174" s="36">
        <v>4301031496</v>
      </c>
      <c r="D174" s="651">
        <v>4680115887428</v>
      </c>
      <c r="E174" s="65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85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53"/>
      <c r="R174" s="653"/>
      <c r="S174" s="653"/>
      <c r="T174" s="65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651">
        <v>4680115889170</v>
      </c>
      <c r="E175" s="651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85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53"/>
      <c r="R175" s="653"/>
      <c r="S175" s="653"/>
      <c r="T175" s="65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4301031498</v>
      </c>
      <c r="D176" s="651">
        <v>4680115887398</v>
      </c>
      <c r="E176" s="65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5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3"/>
      <c r="R176" s="653"/>
      <c r="S176" s="653"/>
      <c r="T176" s="65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4301031497</v>
      </c>
      <c r="D177" s="651">
        <v>4680115887336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4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651">
        <v>4680115887787</v>
      </c>
      <c r="E178" s="65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4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4301031448</v>
      </c>
      <c r="D179" s="651">
        <v>4680115887503</v>
      </c>
      <c r="E179" s="65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4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651">
        <v>4680115887763</v>
      </c>
      <c r="E180" s="65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651">
        <v>4680115887763</v>
      </c>
      <c r="E181" s="651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5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4301031454</v>
      </c>
      <c r="D182" s="651">
        <v>4680115887480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4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651">
        <v>4680115888067</v>
      </c>
      <c r="E183" s="651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4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329</v>
      </c>
      <c r="B184" s="63" t="s">
        <v>330</v>
      </c>
      <c r="C184" s="36">
        <v>4301031519</v>
      </c>
      <c r="D184" s="651">
        <v>4680115887435</v>
      </c>
      <c r="E184" s="651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4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hidden="1" x14ac:dyDescent="0.2">
      <c r="A185" s="645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42" t="s">
        <v>40</v>
      </c>
      <c r="Q185" s="643"/>
      <c r="R185" s="643"/>
      <c r="S185" s="643"/>
      <c r="T185" s="643"/>
      <c r="U185" s="643"/>
      <c r="V185" s="644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42" t="s">
        <v>40</v>
      </c>
      <c r="Q186" s="643"/>
      <c r="R186" s="643"/>
      <c r="S186" s="643"/>
      <c r="T186" s="643"/>
      <c r="U186" s="643"/>
      <c r="V186" s="644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6" t="s">
        <v>85</v>
      </c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6"/>
      <c r="P187" s="656"/>
      <c r="Q187" s="656"/>
      <c r="R187" s="656"/>
      <c r="S187" s="656"/>
      <c r="T187" s="656"/>
      <c r="U187" s="656"/>
      <c r="V187" s="656"/>
      <c r="W187" s="656"/>
      <c r="X187" s="656"/>
      <c r="Y187" s="656"/>
      <c r="Z187" s="656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651">
        <v>4680115888395</v>
      </c>
      <c r="E188" s="65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3"/>
      <c r="R188" s="653"/>
      <c r="S188" s="653"/>
      <c r="T188" s="65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651">
        <v>4680115888371</v>
      </c>
      <c r="E189" s="651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3"/>
      <c r="R189" s="653"/>
      <c r="S189" s="653"/>
      <c r="T189" s="65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651">
        <v>4680115887459</v>
      </c>
      <c r="E190" s="651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3"/>
      <c r="R190" s="653"/>
      <c r="S190" s="653"/>
      <c r="T190" s="654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42" t="s">
        <v>40</v>
      </c>
      <c r="Q191" s="643"/>
      <c r="R191" s="643"/>
      <c r="S191" s="643"/>
      <c r="T191" s="643"/>
      <c r="U191" s="643"/>
      <c r="V191" s="644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45"/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6"/>
      <c r="P192" s="642" t="s">
        <v>40</v>
      </c>
      <c r="Q192" s="643"/>
      <c r="R192" s="643"/>
      <c r="S192" s="643"/>
      <c r="T192" s="643"/>
      <c r="U192" s="643"/>
      <c r="V192" s="644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6" t="s">
        <v>281</v>
      </c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6"/>
      <c r="P193" s="656"/>
      <c r="Q193" s="656"/>
      <c r="R193" s="656"/>
      <c r="S193" s="656"/>
      <c r="T193" s="656"/>
      <c r="U193" s="656"/>
      <c r="V193" s="656"/>
      <c r="W193" s="656"/>
      <c r="X193" s="656"/>
      <c r="Y193" s="656"/>
      <c r="Z193" s="656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651">
        <v>4680115889026</v>
      </c>
      <c r="E194" s="651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53"/>
      <c r="R194" s="653"/>
      <c r="S194" s="653"/>
      <c r="T194" s="654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45"/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6"/>
      <c r="P196" s="642" t="s">
        <v>40</v>
      </c>
      <c r="Q196" s="643"/>
      <c r="R196" s="643"/>
      <c r="S196" s="643"/>
      <c r="T196" s="643"/>
      <c r="U196" s="643"/>
      <c r="V196" s="644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656" t="s">
        <v>345</v>
      </c>
      <c r="B197" s="656"/>
      <c r="C197" s="656"/>
      <c r="D197" s="656"/>
      <c r="E197" s="656"/>
      <c r="F197" s="656"/>
      <c r="G197" s="656"/>
      <c r="H197" s="656"/>
      <c r="I197" s="656"/>
      <c r="J197" s="656"/>
      <c r="K197" s="656"/>
      <c r="L197" s="656"/>
      <c r="M197" s="656"/>
      <c r="N197" s="656"/>
      <c r="O197" s="656"/>
      <c r="P197" s="656"/>
      <c r="Q197" s="656"/>
      <c r="R197" s="656"/>
      <c r="S197" s="656"/>
      <c r="T197" s="656"/>
      <c r="U197" s="656"/>
      <c r="V197" s="656"/>
      <c r="W197" s="656"/>
      <c r="X197" s="656"/>
      <c r="Y197" s="656"/>
      <c r="Z197" s="656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651">
        <v>4680115889033</v>
      </c>
      <c r="E198" s="651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3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662" t="s">
        <v>349</v>
      </c>
      <c r="B201" s="662"/>
      <c r="C201" s="662"/>
      <c r="D201" s="662"/>
      <c r="E201" s="662"/>
      <c r="F201" s="662"/>
      <c r="G201" s="662"/>
      <c r="H201" s="662"/>
      <c r="I201" s="662"/>
      <c r="J201" s="662"/>
      <c r="K201" s="662"/>
      <c r="L201" s="662"/>
      <c r="M201" s="662"/>
      <c r="N201" s="662"/>
      <c r="O201" s="662"/>
      <c r="P201" s="662"/>
      <c r="Q201" s="662"/>
      <c r="R201" s="662"/>
      <c r="S201" s="662"/>
      <c r="T201" s="662"/>
      <c r="U201" s="662"/>
      <c r="V201" s="662"/>
      <c r="W201" s="662"/>
      <c r="X201" s="662"/>
      <c r="Y201" s="662"/>
      <c r="Z201" s="662"/>
      <c r="AA201" s="54"/>
      <c r="AB201" s="54"/>
      <c r="AC201" s="54"/>
    </row>
    <row r="202" spans="1:68" ht="16.5" hidden="1" customHeight="1" x14ac:dyDescent="0.25">
      <c r="A202" s="655" t="s">
        <v>350</v>
      </c>
      <c r="B202" s="655"/>
      <c r="C202" s="655"/>
      <c r="D202" s="655"/>
      <c r="E202" s="655"/>
      <c r="F202" s="655"/>
      <c r="G202" s="655"/>
      <c r="H202" s="655"/>
      <c r="I202" s="655"/>
      <c r="J202" s="655"/>
      <c r="K202" s="655"/>
      <c r="L202" s="655"/>
      <c r="M202" s="655"/>
      <c r="N202" s="655"/>
      <c r="O202" s="655"/>
      <c r="P202" s="655"/>
      <c r="Q202" s="655"/>
      <c r="R202" s="655"/>
      <c r="S202" s="655"/>
      <c r="T202" s="655"/>
      <c r="U202" s="655"/>
      <c r="V202" s="655"/>
      <c r="W202" s="655"/>
      <c r="X202" s="655"/>
      <c r="Y202" s="655"/>
      <c r="Z202" s="655"/>
      <c r="AA202" s="65"/>
      <c r="AB202" s="65"/>
      <c r="AC202" s="79"/>
    </row>
    <row r="203" spans="1:68" ht="14.25" hidden="1" customHeight="1" x14ac:dyDescent="0.25">
      <c r="A203" s="656" t="s">
        <v>123</v>
      </c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6"/>
      <c r="P203" s="656"/>
      <c r="Q203" s="656"/>
      <c r="R203" s="656"/>
      <c r="S203" s="656"/>
      <c r="T203" s="656"/>
      <c r="U203" s="656"/>
      <c r="V203" s="656"/>
      <c r="W203" s="656"/>
      <c r="X203" s="656"/>
      <c r="Y203" s="656"/>
      <c r="Z203" s="656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651">
        <v>4607091383423</v>
      </c>
      <c r="E204" s="651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3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53"/>
      <c r="R204" s="653"/>
      <c r="S204" s="653"/>
      <c r="T204" s="65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651">
        <v>4680115888760</v>
      </c>
      <c r="E205" s="65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3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53"/>
      <c r="R205" s="653"/>
      <c r="S205" s="653"/>
      <c r="T205" s="65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651">
        <v>4680115888807</v>
      </c>
      <c r="E206" s="651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3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53"/>
      <c r="R206" s="653"/>
      <c r="S206" s="653"/>
      <c r="T206" s="65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651">
        <v>4680115888852</v>
      </c>
      <c r="E207" s="651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3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53"/>
      <c r="R207" s="653"/>
      <c r="S207" s="653"/>
      <c r="T207" s="65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651">
        <v>4680115886957</v>
      </c>
      <c r="E208" s="651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3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651">
        <v>4680115885660</v>
      </c>
      <c r="E209" s="651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3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651">
        <v>4680115886773</v>
      </c>
      <c r="E210" s="651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3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42" t="s">
        <v>40</v>
      </c>
      <c r="Q211" s="643"/>
      <c r="R211" s="643"/>
      <c r="S211" s="643"/>
      <c r="T211" s="643"/>
      <c r="U211" s="643"/>
      <c r="V211" s="644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645"/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6"/>
      <c r="P212" s="642" t="s">
        <v>40</v>
      </c>
      <c r="Q212" s="643"/>
      <c r="R212" s="643"/>
      <c r="S212" s="643"/>
      <c r="T212" s="643"/>
      <c r="U212" s="643"/>
      <c r="V212" s="644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655" t="s">
        <v>371</v>
      </c>
      <c r="B213" s="655"/>
      <c r="C213" s="655"/>
      <c r="D213" s="655"/>
      <c r="E213" s="655"/>
      <c r="F213" s="655"/>
      <c r="G213" s="655"/>
      <c r="H213" s="655"/>
      <c r="I213" s="655"/>
      <c r="J213" s="655"/>
      <c r="K213" s="655"/>
      <c r="L213" s="655"/>
      <c r="M213" s="655"/>
      <c r="N213" s="655"/>
      <c r="O213" s="655"/>
      <c r="P213" s="655"/>
      <c r="Q213" s="655"/>
      <c r="R213" s="655"/>
      <c r="S213" s="655"/>
      <c r="T213" s="655"/>
      <c r="U213" s="655"/>
      <c r="V213" s="655"/>
      <c r="W213" s="655"/>
      <c r="X213" s="655"/>
      <c r="Y213" s="655"/>
      <c r="Z213" s="655"/>
      <c r="AA213" s="65"/>
      <c r="AB213" s="65"/>
      <c r="AC213" s="79"/>
    </row>
    <row r="214" spans="1:68" ht="14.25" hidden="1" customHeight="1" x14ac:dyDescent="0.25">
      <c r="A214" s="656" t="s">
        <v>156</v>
      </c>
      <c r="B214" s="656"/>
      <c r="C214" s="656"/>
      <c r="D214" s="656"/>
      <c r="E214" s="656"/>
      <c r="F214" s="656"/>
      <c r="G214" s="656"/>
      <c r="H214" s="656"/>
      <c r="I214" s="656"/>
      <c r="J214" s="656"/>
      <c r="K214" s="656"/>
      <c r="L214" s="656"/>
      <c r="M214" s="656"/>
      <c r="N214" s="656"/>
      <c r="O214" s="656"/>
      <c r="P214" s="656"/>
      <c r="Q214" s="656"/>
      <c r="R214" s="656"/>
      <c r="S214" s="656"/>
      <c r="T214" s="656"/>
      <c r="U214" s="656"/>
      <c r="V214" s="656"/>
      <c r="W214" s="656"/>
      <c r="X214" s="656"/>
      <c r="Y214" s="656"/>
      <c r="Z214" s="656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651">
        <v>4680115886223</v>
      </c>
      <c r="E215" s="651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53"/>
      <c r="R215" s="653"/>
      <c r="S215" s="653"/>
      <c r="T215" s="654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645"/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6"/>
      <c r="P217" s="642" t="s">
        <v>40</v>
      </c>
      <c r="Q217" s="643"/>
      <c r="R217" s="643"/>
      <c r="S217" s="643"/>
      <c r="T217" s="643"/>
      <c r="U217" s="643"/>
      <c r="V217" s="644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656" t="s">
        <v>76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375</v>
      </c>
      <c r="B219" s="63" t="s">
        <v>376</v>
      </c>
      <c r="C219" s="36">
        <v>4301031191</v>
      </c>
      <c r="D219" s="651">
        <v>4680115880993</v>
      </c>
      <c r="E219" s="65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651">
        <v>4680115881761</v>
      </c>
      <c r="E220" s="651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53"/>
      <c r="R220" s="653"/>
      <c r="S220" s="653"/>
      <c r="T220" s="65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381</v>
      </c>
      <c r="B221" s="63" t="s">
        <v>382</v>
      </c>
      <c r="C221" s="36">
        <v>4301031201</v>
      </c>
      <c r="D221" s="651">
        <v>4680115881563</v>
      </c>
      <c r="E221" s="651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53"/>
      <c r="R221" s="653"/>
      <c r="S221" s="653"/>
      <c r="T221" s="65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384</v>
      </c>
      <c r="B222" s="63" t="s">
        <v>385</v>
      </c>
      <c r="C222" s="36">
        <v>4301031447</v>
      </c>
      <c r="D222" s="651">
        <v>4680115887565</v>
      </c>
      <c r="E222" s="651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3"/>
      <c r="R222" s="653"/>
      <c r="S222" s="653"/>
      <c r="T222" s="65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4301031199</v>
      </c>
      <c r="D223" s="651">
        <v>4680115880986</v>
      </c>
      <c r="E223" s="651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651">
        <v>4680115887213</v>
      </c>
      <c r="E224" s="651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392</v>
      </c>
      <c r="B225" s="63" t="s">
        <v>393</v>
      </c>
      <c r="C225" s="36">
        <v>4301031205</v>
      </c>
      <c r="D225" s="651">
        <v>4680115881785</v>
      </c>
      <c r="E225" s="651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651">
        <v>4680115888432</v>
      </c>
      <c r="E226" s="651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651">
        <v>4680115888104</v>
      </c>
      <c r="E227" s="651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2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651">
        <v>4680115886537</v>
      </c>
      <c r="E228" s="651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403</v>
      </c>
      <c r="B229" s="63" t="s">
        <v>404</v>
      </c>
      <c r="C229" s="36">
        <v>4301031279</v>
      </c>
      <c r="D229" s="651">
        <v>4680115887596</v>
      </c>
      <c r="E229" s="651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1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406</v>
      </c>
      <c r="B230" s="63" t="s">
        <v>407</v>
      </c>
      <c r="C230" s="36">
        <v>4301031202</v>
      </c>
      <c r="D230" s="651">
        <v>4680115881679</v>
      </c>
      <c r="E230" s="651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1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651">
        <v>4680115880191</v>
      </c>
      <c r="E231" s="65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1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651">
        <v>4680115883963</v>
      </c>
      <c r="E232" s="65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hidden="1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42" t="s">
        <v>40</v>
      </c>
      <c r="Q233" s="643"/>
      <c r="R233" s="643"/>
      <c r="S233" s="643"/>
      <c r="T233" s="643"/>
      <c r="U233" s="643"/>
      <c r="V233" s="644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645"/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6"/>
      <c r="P234" s="642" t="s">
        <v>40</v>
      </c>
      <c r="Q234" s="643"/>
      <c r="R234" s="643"/>
      <c r="S234" s="643"/>
      <c r="T234" s="643"/>
      <c r="U234" s="643"/>
      <c r="V234" s="644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656" t="s">
        <v>85</v>
      </c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6"/>
      <c r="P235" s="656"/>
      <c r="Q235" s="656"/>
      <c r="R235" s="656"/>
      <c r="S235" s="656"/>
      <c r="T235" s="656"/>
      <c r="U235" s="656"/>
      <c r="V235" s="656"/>
      <c r="W235" s="656"/>
      <c r="X235" s="656"/>
      <c r="Y235" s="656"/>
      <c r="Z235" s="656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651">
        <v>4680115888692</v>
      </c>
      <c r="E236" s="65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651">
        <v>4680115888722</v>
      </c>
      <c r="E237" s="65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1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53"/>
      <c r="R237" s="653"/>
      <c r="S237" s="653"/>
      <c r="T237" s="654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651">
        <v>4680115888951</v>
      </c>
      <c r="E238" s="651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1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53"/>
      <c r="R238" s="653"/>
      <c r="S238" s="653"/>
      <c r="T238" s="65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651">
        <v>4680115888975</v>
      </c>
      <c r="E239" s="651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1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3"/>
      <c r="R239" s="653"/>
      <c r="S239" s="653"/>
      <c r="T239" s="65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651">
        <v>4680115888982</v>
      </c>
      <c r="E240" s="65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1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42" t="s">
        <v>40</v>
      </c>
      <c r="Q241" s="643"/>
      <c r="R241" s="643"/>
      <c r="S241" s="643"/>
      <c r="T241" s="643"/>
      <c r="U241" s="643"/>
      <c r="V241" s="644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5"/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6"/>
      <c r="P242" s="642" t="s">
        <v>40</v>
      </c>
      <c r="Q242" s="643"/>
      <c r="R242" s="643"/>
      <c r="S242" s="643"/>
      <c r="T242" s="643"/>
      <c r="U242" s="643"/>
      <c r="V242" s="644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6" t="s">
        <v>281</v>
      </c>
      <c r="B243" s="656"/>
      <c r="C243" s="656"/>
      <c r="D243" s="656"/>
      <c r="E243" s="656"/>
      <c r="F243" s="656"/>
      <c r="G243" s="656"/>
      <c r="H243" s="656"/>
      <c r="I243" s="656"/>
      <c r="J243" s="656"/>
      <c r="K243" s="656"/>
      <c r="L243" s="656"/>
      <c r="M243" s="656"/>
      <c r="N243" s="656"/>
      <c r="O243" s="656"/>
      <c r="P243" s="656"/>
      <c r="Q243" s="656"/>
      <c r="R243" s="656"/>
      <c r="S243" s="656"/>
      <c r="T243" s="656"/>
      <c r="U243" s="656"/>
      <c r="V243" s="656"/>
      <c r="W243" s="656"/>
      <c r="X243" s="656"/>
      <c r="Y243" s="656"/>
      <c r="Z243" s="656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651">
        <v>4680115886780</v>
      </c>
      <c r="E244" s="65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651">
        <v>4680115886742</v>
      </c>
      <c r="E245" s="651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3"/>
      <c r="R245" s="653"/>
      <c r="S245" s="653"/>
      <c r="T245" s="654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651">
        <v>4680115886766</v>
      </c>
      <c r="E246" s="651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0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3"/>
      <c r="R246" s="653"/>
      <c r="S246" s="653"/>
      <c r="T246" s="654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42" t="s">
        <v>40</v>
      </c>
      <c r="Q247" s="643"/>
      <c r="R247" s="643"/>
      <c r="S247" s="643"/>
      <c r="T247" s="643"/>
      <c r="U247" s="643"/>
      <c r="V247" s="644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5"/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6"/>
      <c r="P248" s="642" t="s">
        <v>40</v>
      </c>
      <c r="Q248" s="643"/>
      <c r="R248" s="643"/>
      <c r="S248" s="643"/>
      <c r="T248" s="643"/>
      <c r="U248" s="643"/>
      <c r="V248" s="644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6" t="s">
        <v>435</v>
      </c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6"/>
      <c r="P249" s="656"/>
      <c r="Q249" s="656"/>
      <c r="R249" s="656"/>
      <c r="S249" s="656"/>
      <c r="T249" s="656"/>
      <c r="U249" s="656"/>
      <c r="V249" s="656"/>
      <c r="W249" s="656"/>
      <c r="X249" s="656"/>
      <c r="Y249" s="656"/>
      <c r="Z249" s="656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651">
        <v>4680115886797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0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55" t="s">
        <v>438</v>
      </c>
      <c r="B253" s="655"/>
      <c r="C253" s="655"/>
      <c r="D253" s="655"/>
      <c r="E253" s="655"/>
      <c r="F253" s="655"/>
      <c r="G253" s="655"/>
      <c r="H253" s="655"/>
      <c r="I253" s="655"/>
      <c r="J253" s="655"/>
      <c r="K253" s="655"/>
      <c r="L253" s="655"/>
      <c r="M253" s="655"/>
      <c r="N253" s="655"/>
      <c r="O253" s="655"/>
      <c r="P253" s="655"/>
      <c r="Q253" s="655"/>
      <c r="R253" s="655"/>
      <c r="S253" s="655"/>
      <c r="T253" s="655"/>
      <c r="U253" s="655"/>
      <c r="V253" s="655"/>
      <c r="W253" s="655"/>
      <c r="X253" s="655"/>
      <c r="Y253" s="655"/>
      <c r="Z253" s="655"/>
      <c r="AA253" s="65"/>
      <c r="AB253" s="65"/>
      <c r="AC253" s="79"/>
    </row>
    <row r="254" spans="1:68" ht="14.25" hidden="1" customHeight="1" x14ac:dyDescent="0.25">
      <c r="A254" s="656" t="s">
        <v>123</v>
      </c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6"/>
      <c r="P254" s="656"/>
      <c r="Q254" s="656"/>
      <c r="R254" s="656"/>
      <c r="S254" s="656"/>
      <c r="T254" s="656"/>
      <c r="U254" s="656"/>
      <c r="V254" s="656"/>
      <c r="W254" s="656"/>
      <c r="X254" s="656"/>
      <c r="Y254" s="656"/>
      <c r="Z254" s="656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651">
        <v>4680115881402</v>
      </c>
      <c r="E255" s="65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0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3"/>
      <c r="R255" s="653"/>
      <c r="S255" s="653"/>
      <c r="T255" s="65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651">
        <v>4680115881396</v>
      </c>
      <c r="E256" s="651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0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3"/>
      <c r="R256" s="653"/>
      <c r="S256" s="653"/>
      <c r="T256" s="65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42" t="s">
        <v>40</v>
      </c>
      <c r="Q257" s="643"/>
      <c r="R257" s="643"/>
      <c r="S257" s="643"/>
      <c r="T257" s="643"/>
      <c r="U257" s="643"/>
      <c r="V257" s="644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5"/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6"/>
      <c r="P258" s="642" t="s">
        <v>40</v>
      </c>
      <c r="Q258" s="643"/>
      <c r="R258" s="643"/>
      <c r="S258" s="643"/>
      <c r="T258" s="643"/>
      <c r="U258" s="643"/>
      <c r="V258" s="644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6" t="s">
        <v>156</v>
      </c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6"/>
      <c r="P259" s="656"/>
      <c r="Q259" s="656"/>
      <c r="R259" s="656"/>
      <c r="S259" s="656"/>
      <c r="T259" s="656"/>
      <c r="U259" s="656"/>
      <c r="V259" s="656"/>
      <c r="W259" s="656"/>
      <c r="X259" s="656"/>
      <c r="Y259" s="656"/>
      <c r="Z259" s="656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651">
        <v>4680115882935</v>
      </c>
      <c r="E260" s="65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651">
        <v>4680115880764</v>
      </c>
      <c r="E261" s="651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3"/>
      <c r="R261" s="653"/>
      <c r="S261" s="653"/>
      <c r="T261" s="65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5"/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6"/>
      <c r="P263" s="642" t="s">
        <v>40</v>
      </c>
      <c r="Q263" s="643"/>
      <c r="R263" s="643"/>
      <c r="S263" s="643"/>
      <c r="T263" s="643"/>
      <c r="U263" s="643"/>
      <c r="V263" s="644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6" t="s">
        <v>76</v>
      </c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6"/>
      <c r="P264" s="656"/>
      <c r="Q264" s="656"/>
      <c r="R264" s="656"/>
      <c r="S264" s="656"/>
      <c r="T264" s="656"/>
      <c r="U264" s="656"/>
      <c r="V264" s="656"/>
      <c r="W264" s="656"/>
      <c r="X264" s="656"/>
      <c r="Y264" s="656"/>
      <c r="Z264" s="656"/>
      <c r="AA264" s="66"/>
      <c r="AB264" s="66"/>
      <c r="AC264" s="80"/>
    </row>
    <row r="265" spans="1:68" ht="27" hidden="1" customHeight="1" x14ac:dyDescent="0.25">
      <c r="A265" s="63" t="s">
        <v>449</v>
      </c>
      <c r="B265" s="63" t="s">
        <v>450</v>
      </c>
      <c r="C265" s="36">
        <v>4301031224</v>
      </c>
      <c r="D265" s="651">
        <v>4680115882683</v>
      </c>
      <c r="E265" s="651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4301031230</v>
      </c>
      <c r="D266" s="651">
        <v>4680115882690</v>
      </c>
      <c r="E266" s="651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3"/>
      <c r="R266" s="653"/>
      <c r="S266" s="653"/>
      <c r="T266" s="65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hidden="1" customHeight="1" x14ac:dyDescent="0.25">
      <c r="A267" s="63" t="s">
        <v>455</v>
      </c>
      <c r="B267" s="63" t="s">
        <v>456</v>
      </c>
      <c r="C267" s="36">
        <v>4301031220</v>
      </c>
      <c r="D267" s="651">
        <v>4680115882669</v>
      </c>
      <c r="E267" s="651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3"/>
      <c r="R267" s="653"/>
      <c r="S267" s="653"/>
      <c r="T267" s="654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hidden="1" customHeight="1" x14ac:dyDescent="0.25">
      <c r="A268" s="63" t="s">
        <v>458</v>
      </c>
      <c r="B268" s="63" t="s">
        <v>459</v>
      </c>
      <c r="C268" s="36">
        <v>4301031221</v>
      </c>
      <c r="D268" s="651">
        <v>4680115882676</v>
      </c>
      <c r="E268" s="651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3"/>
      <c r="R268" s="653"/>
      <c r="S268" s="653"/>
      <c r="T268" s="654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hidden="1" customHeight="1" x14ac:dyDescent="0.25">
      <c r="A269" s="63" t="s">
        <v>461</v>
      </c>
      <c r="B269" s="63" t="s">
        <v>462</v>
      </c>
      <c r="C269" s="36">
        <v>4301031223</v>
      </c>
      <c r="D269" s="651">
        <v>4680115884014</v>
      </c>
      <c r="E269" s="651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4301031222</v>
      </c>
      <c r="D270" s="651">
        <v>4680115884007</v>
      </c>
      <c r="E270" s="651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4301031229</v>
      </c>
      <c r="D271" s="651">
        <v>4680115884038</v>
      </c>
      <c r="E271" s="651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4301031225</v>
      </c>
      <c r="D272" s="651">
        <v>4680115884021</v>
      </c>
      <c r="E272" s="651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hidden="1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42" t="s">
        <v>40</v>
      </c>
      <c r="Q273" s="643"/>
      <c r="R273" s="643"/>
      <c r="S273" s="643"/>
      <c r="T273" s="643"/>
      <c r="U273" s="643"/>
      <c r="V273" s="644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645"/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6"/>
      <c r="P274" s="642" t="s">
        <v>40</v>
      </c>
      <c r="Q274" s="643"/>
      <c r="R274" s="643"/>
      <c r="S274" s="643"/>
      <c r="T274" s="643"/>
      <c r="U274" s="643"/>
      <c r="V274" s="644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56" t="s">
        <v>85</v>
      </c>
      <c r="B275" s="656"/>
      <c r="C275" s="656"/>
      <c r="D275" s="656"/>
      <c r="E275" s="656"/>
      <c r="F275" s="656"/>
      <c r="G275" s="656"/>
      <c r="H275" s="656"/>
      <c r="I275" s="656"/>
      <c r="J275" s="656"/>
      <c r="K275" s="656"/>
      <c r="L275" s="656"/>
      <c r="M275" s="656"/>
      <c r="N275" s="656"/>
      <c r="O275" s="656"/>
      <c r="P275" s="656"/>
      <c r="Q275" s="656"/>
      <c r="R275" s="656"/>
      <c r="S275" s="656"/>
      <c r="T275" s="656"/>
      <c r="U275" s="656"/>
      <c r="V275" s="656"/>
      <c r="W275" s="656"/>
      <c r="X275" s="656"/>
      <c r="Y275" s="656"/>
      <c r="Z275" s="656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651">
        <v>4680115881594</v>
      </c>
      <c r="E276" s="651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651">
        <v>4680115881617</v>
      </c>
      <c r="E277" s="651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53"/>
      <c r="R277" s="653"/>
      <c r="S277" s="653"/>
      <c r="T277" s="65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4301051656</v>
      </c>
      <c r="D278" s="651">
        <v>4680115880573</v>
      </c>
      <c r="E278" s="651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53"/>
      <c r="R278" s="653"/>
      <c r="S278" s="653"/>
      <c r="T278" s="65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4301051407</v>
      </c>
      <c r="D279" s="651">
        <v>4680115882195</v>
      </c>
      <c r="E279" s="651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53"/>
      <c r="R279" s="653"/>
      <c r="S279" s="653"/>
      <c r="T279" s="65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651">
        <v>4680115882607</v>
      </c>
      <c r="E280" s="651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78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651">
        <v>4680115882607</v>
      </c>
      <c r="E281" s="651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78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hidden="1" customHeight="1" x14ac:dyDescent="0.25">
      <c r="A282" s="63" t="s">
        <v>485</v>
      </c>
      <c r="B282" s="63" t="s">
        <v>486</v>
      </c>
      <c r="C282" s="36">
        <v>4301051666</v>
      </c>
      <c r="D282" s="651">
        <v>4680115880092</v>
      </c>
      <c r="E282" s="651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78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651">
        <v>4680115889064</v>
      </c>
      <c r="E283" s="651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78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651">
        <v>4680115880221</v>
      </c>
      <c r="E284" s="651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4301051945</v>
      </c>
      <c r="D285" s="651">
        <v>4680115880504</v>
      </c>
      <c r="E285" s="65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4301051410</v>
      </c>
      <c r="D286" s="651">
        <v>4680115882164</v>
      </c>
      <c r="E286" s="651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651">
        <v>4680115888340</v>
      </c>
      <c r="E287" s="651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hidden="1" x14ac:dyDescent="0.2">
      <c r="A288" s="645"/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6"/>
      <c r="P288" s="642" t="s">
        <v>40</v>
      </c>
      <c r="Q288" s="643"/>
      <c r="R288" s="643"/>
      <c r="S288" s="643"/>
      <c r="T288" s="643"/>
      <c r="U288" s="643"/>
      <c r="V288" s="644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645"/>
      <c r="B289" s="645"/>
      <c r="C289" s="645"/>
      <c r="D289" s="645"/>
      <c r="E289" s="645"/>
      <c r="F289" s="645"/>
      <c r="G289" s="645"/>
      <c r="H289" s="645"/>
      <c r="I289" s="645"/>
      <c r="J289" s="645"/>
      <c r="K289" s="645"/>
      <c r="L289" s="645"/>
      <c r="M289" s="645"/>
      <c r="N289" s="645"/>
      <c r="O289" s="646"/>
      <c r="P289" s="642" t="s">
        <v>40</v>
      </c>
      <c r="Q289" s="643"/>
      <c r="R289" s="643"/>
      <c r="S289" s="643"/>
      <c r="T289" s="643"/>
      <c r="U289" s="643"/>
      <c r="V289" s="644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656" t="s">
        <v>173</v>
      </c>
      <c r="B290" s="656"/>
      <c r="C290" s="656"/>
      <c r="D290" s="656"/>
      <c r="E290" s="656"/>
      <c r="F290" s="656"/>
      <c r="G290" s="656"/>
      <c r="H290" s="656"/>
      <c r="I290" s="656"/>
      <c r="J290" s="656"/>
      <c r="K290" s="656"/>
      <c r="L290" s="656"/>
      <c r="M290" s="656"/>
      <c r="N290" s="656"/>
      <c r="O290" s="656"/>
      <c r="P290" s="656"/>
      <c r="Q290" s="656"/>
      <c r="R290" s="656"/>
      <c r="S290" s="656"/>
      <c r="T290" s="656"/>
      <c r="U290" s="656"/>
      <c r="V290" s="656"/>
      <c r="W290" s="656"/>
      <c r="X290" s="656"/>
      <c r="Y290" s="656"/>
      <c r="Z290" s="656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651">
        <v>4680115880818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7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4301060389</v>
      </c>
      <c r="D292" s="651">
        <v>4680115880801</v>
      </c>
      <c r="E292" s="651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78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3"/>
      <c r="R292" s="653"/>
      <c r="S292" s="653"/>
      <c r="T292" s="654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5"/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6"/>
      <c r="P294" s="642" t="s">
        <v>40</v>
      </c>
      <c r="Q294" s="643"/>
      <c r="R294" s="643"/>
      <c r="S294" s="643"/>
      <c r="T294" s="643"/>
      <c r="U294" s="643"/>
      <c r="V294" s="644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55" t="s">
        <v>506</v>
      </c>
      <c r="B295" s="655"/>
      <c r="C295" s="655"/>
      <c r="D295" s="655"/>
      <c r="E295" s="655"/>
      <c r="F295" s="655"/>
      <c r="G295" s="655"/>
      <c r="H295" s="655"/>
      <c r="I295" s="655"/>
      <c r="J295" s="655"/>
      <c r="K295" s="655"/>
      <c r="L295" s="655"/>
      <c r="M295" s="655"/>
      <c r="N295" s="655"/>
      <c r="O295" s="655"/>
      <c r="P295" s="655"/>
      <c r="Q295" s="655"/>
      <c r="R295" s="655"/>
      <c r="S295" s="655"/>
      <c r="T295" s="655"/>
      <c r="U295" s="655"/>
      <c r="V295" s="655"/>
      <c r="W295" s="655"/>
      <c r="X295" s="655"/>
      <c r="Y295" s="655"/>
      <c r="Z295" s="655"/>
      <c r="AA295" s="65"/>
      <c r="AB295" s="65"/>
      <c r="AC295" s="79"/>
    </row>
    <row r="296" spans="1:68" ht="14.25" hidden="1" customHeight="1" x14ac:dyDescent="0.25">
      <c r="A296" s="656" t="s">
        <v>123</v>
      </c>
      <c r="B296" s="656"/>
      <c r="C296" s="656"/>
      <c r="D296" s="656"/>
      <c r="E296" s="656"/>
      <c r="F296" s="656"/>
      <c r="G296" s="656"/>
      <c r="H296" s="656"/>
      <c r="I296" s="656"/>
      <c r="J296" s="656"/>
      <c r="K296" s="656"/>
      <c r="L296" s="656"/>
      <c r="M296" s="656"/>
      <c r="N296" s="656"/>
      <c r="O296" s="656"/>
      <c r="P296" s="656"/>
      <c r="Q296" s="656"/>
      <c r="R296" s="656"/>
      <c r="S296" s="656"/>
      <c r="T296" s="656"/>
      <c r="U296" s="656"/>
      <c r="V296" s="656"/>
      <c r="W296" s="656"/>
      <c r="X296" s="656"/>
      <c r="Y296" s="656"/>
      <c r="Z296" s="656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651">
        <v>4680115884137</v>
      </c>
      <c r="E297" s="651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7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3"/>
      <c r="R297" s="653"/>
      <c r="S297" s="653"/>
      <c r="T297" s="65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651">
        <v>4680115884236</v>
      </c>
      <c r="E298" s="651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7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3"/>
      <c r="R298" s="653"/>
      <c r="S298" s="653"/>
      <c r="T298" s="65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651">
        <v>4680115884175</v>
      </c>
      <c r="E299" s="651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7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3"/>
      <c r="R299" s="653"/>
      <c r="S299" s="653"/>
      <c r="T299" s="654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651">
        <v>4680115884144</v>
      </c>
      <c r="E300" s="651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7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3"/>
      <c r="R300" s="653"/>
      <c r="S300" s="653"/>
      <c r="T300" s="654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651">
        <v>4680115886551</v>
      </c>
      <c r="E301" s="651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7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651">
        <v>4680115887282</v>
      </c>
      <c r="E302" s="651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7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651">
        <v>4680115884205</v>
      </c>
      <c r="E303" s="651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7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645"/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6"/>
      <c r="P304" s="642" t="s">
        <v>40</v>
      </c>
      <c r="Q304" s="643"/>
      <c r="R304" s="643"/>
      <c r="S304" s="643"/>
      <c r="T304" s="643"/>
      <c r="U304" s="643"/>
      <c r="V304" s="644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5"/>
      <c r="B305" s="645"/>
      <c r="C305" s="645"/>
      <c r="D305" s="645"/>
      <c r="E305" s="645"/>
      <c r="F305" s="645"/>
      <c r="G305" s="645"/>
      <c r="H305" s="645"/>
      <c r="I305" s="645"/>
      <c r="J305" s="645"/>
      <c r="K305" s="645"/>
      <c r="L305" s="645"/>
      <c r="M305" s="645"/>
      <c r="N305" s="645"/>
      <c r="O305" s="646"/>
      <c r="P305" s="642" t="s">
        <v>40</v>
      </c>
      <c r="Q305" s="643"/>
      <c r="R305" s="643"/>
      <c r="S305" s="643"/>
      <c r="T305" s="643"/>
      <c r="U305" s="643"/>
      <c r="V305" s="644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6" t="s">
        <v>156</v>
      </c>
      <c r="B306" s="656"/>
      <c r="C306" s="656"/>
      <c r="D306" s="656"/>
      <c r="E306" s="656"/>
      <c r="F306" s="656"/>
      <c r="G306" s="656"/>
      <c r="H306" s="656"/>
      <c r="I306" s="656"/>
      <c r="J306" s="656"/>
      <c r="K306" s="656"/>
      <c r="L306" s="656"/>
      <c r="M306" s="656"/>
      <c r="N306" s="656"/>
      <c r="O306" s="656"/>
      <c r="P306" s="656"/>
      <c r="Q306" s="656"/>
      <c r="R306" s="656"/>
      <c r="S306" s="656"/>
      <c r="T306" s="656"/>
      <c r="U306" s="656"/>
      <c r="V306" s="656"/>
      <c r="W306" s="656"/>
      <c r="X306" s="656"/>
      <c r="Y306" s="656"/>
      <c r="Z306" s="656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651">
        <v>4680115885981</v>
      </c>
      <c r="E307" s="651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7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6" t="s">
        <v>528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hidden="1" customHeight="1" x14ac:dyDescent="0.25">
      <c r="A311" s="63" t="s">
        <v>529</v>
      </c>
      <c r="B311" s="63" t="s">
        <v>530</v>
      </c>
      <c r="C311" s="36">
        <v>4301040362</v>
      </c>
      <c r="D311" s="651">
        <v>4680115886803</v>
      </c>
      <c r="E311" s="651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7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6" t="s">
        <v>345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651">
        <v>4680115886704</v>
      </c>
      <c r="E315" s="651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7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651">
        <v>4680115886681</v>
      </c>
      <c r="E316" s="651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77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3"/>
      <c r="R316" s="653"/>
      <c r="S316" s="653"/>
      <c r="T316" s="65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651">
        <v>4680115886735</v>
      </c>
      <c r="E317" s="651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77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53"/>
      <c r="R317" s="653"/>
      <c r="S317" s="653"/>
      <c r="T317" s="65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42" t="s">
        <v>40</v>
      </c>
      <c r="Q318" s="643"/>
      <c r="R318" s="643"/>
      <c r="S318" s="643"/>
      <c r="T318" s="643"/>
      <c r="U318" s="643"/>
      <c r="V318" s="644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645"/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6"/>
      <c r="P319" s="642" t="s">
        <v>40</v>
      </c>
      <c r="Q319" s="643"/>
      <c r="R319" s="643"/>
      <c r="S319" s="643"/>
      <c r="T319" s="643"/>
      <c r="U319" s="643"/>
      <c r="V319" s="644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655" t="s">
        <v>539</v>
      </c>
      <c r="B320" s="655"/>
      <c r="C320" s="655"/>
      <c r="D320" s="655"/>
      <c r="E320" s="655"/>
      <c r="F320" s="655"/>
      <c r="G320" s="655"/>
      <c r="H320" s="655"/>
      <c r="I320" s="655"/>
      <c r="J320" s="655"/>
      <c r="K320" s="655"/>
      <c r="L320" s="655"/>
      <c r="M320" s="655"/>
      <c r="N320" s="655"/>
      <c r="O320" s="655"/>
      <c r="P320" s="655"/>
      <c r="Q320" s="655"/>
      <c r="R320" s="655"/>
      <c r="S320" s="655"/>
      <c r="T320" s="655"/>
      <c r="U320" s="655"/>
      <c r="V320" s="655"/>
      <c r="W320" s="655"/>
      <c r="X320" s="655"/>
      <c r="Y320" s="655"/>
      <c r="Z320" s="655"/>
      <c r="AA320" s="65"/>
      <c r="AB320" s="65"/>
      <c r="AC320" s="79"/>
    </row>
    <row r="321" spans="1:68" ht="14.25" hidden="1" customHeight="1" x14ac:dyDescent="0.25">
      <c r="A321" s="656" t="s">
        <v>123</v>
      </c>
      <c r="B321" s="656"/>
      <c r="C321" s="656"/>
      <c r="D321" s="656"/>
      <c r="E321" s="656"/>
      <c r="F321" s="656"/>
      <c r="G321" s="656"/>
      <c r="H321" s="656"/>
      <c r="I321" s="656"/>
      <c r="J321" s="656"/>
      <c r="K321" s="656"/>
      <c r="L321" s="656"/>
      <c r="M321" s="656"/>
      <c r="N321" s="656"/>
      <c r="O321" s="656"/>
      <c r="P321" s="656"/>
      <c r="Q321" s="656"/>
      <c r="R321" s="656"/>
      <c r="S321" s="656"/>
      <c r="T321" s="656"/>
      <c r="U321" s="656"/>
      <c r="V321" s="656"/>
      <c r="W321" s="656"/>
      <c r="X321" s="656"/>
      <c r="Y321" s="656"/>
      <c r="Z321" s="656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651">
        <v>4680115885837</v>
      </c>
      <c r="E322" s="651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3"/>
      <c r="R322" s="653"/>
      <c r="S322" s="653"/>
      <c r="T322" s="65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651">
        <v>4680115887237</v>
      </c>
      <c r="E323" s="651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76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3"/>
      <c r="R323" s="653"/>
      <c r="S323" s="653"/>
      <c r="T323" s="654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546</v>
      </c>
      <c r="B324" s="63" t="s">
        <v>547</v>
      </c>
      <c r="C324" s="36">
        <v>4301011850</v>
      </c>
      <c r="D324" s="651">
        <v>4680115885806</v>
      </c>
      <c r="E324" s="651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3"/>
      <c r="R324" s="653"/>
      <c r="S324" s="653"/>
      <c r="T324" s="654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651">
        <v>4680115885844</v>
      </c>
      <c r="E325" s="651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7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3"/>
      <c r="R325" s="653"/>
      <c r="S325" s="653"/>
      <c r="T325" s="65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651">
        <v>4680115885820</v>
      </c>
      <c r="E326" s="651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645"/>
      <c r="B327" s="645"/>
      <c r="C327" s="645"/>
      <c r="D327" s="645"/>
      <c r="E327" s="645"/>
      <c r="F327" s="645"/>
      <c r="G327" s="645"/>
      <c r="H327" s="645"/>
      <c r="I327" s="645"/>
      <c r="J327" s="645"/>
      <c r="K327" s="645"/>
      <c r="L327" s="645"/>
      <c r="M327" s="645"/>
      <c r="N327" s="645"/>
      <c r="O327" s="646"/>
      <c r="P327" s="642" t="s">
        <v>40</v>
      </c>
      <c r="Q327" s="643"/>
      <c r="R327" s="643"/>
      <c r="S327" s="643"/>
      <c r="T327" s="643"/>
      <c r="U327" s="643"/>
      <c r="V327" s="644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45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42" t="s">
        <v>40</v>
      </c>
      <c r="Q328" s="643"/>
      <c r="R328" s="643"/>
      <c r="S328" s="643"/>
      <c r="T328" s="643"/>
      <c r="U328" s="643"/>
      <c r="V328" s="644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5" t="s">
        <v>555</v>
      </c>
      <c r="B329" s="655"/>
      <c r="C329" s="655"/>
      <c r="D329" s="655"/>
      <c r="E329" s="655"/>
      <c r="F329" s="655"/>
      <c r="G329" s="655"/>
      <c r="H329" s="655"/>
      <c r="I329" s="655"/>
      <c r="J329" s="655"/>
      <c r="K329" s="655"/>
      <c r="L329" s="655"/>
      <c r="M329" s="655"/>
      <c r="N329" s="655"/>
      <c r="O329" s="655"/>
      <c r="P329" s="655"/>
      <c r="Q329" s="655"/>
      <c r="R329" s="655"/>
      <c r="S329" s="655"/>
      <c r="T329" s="655"/>
      <c r="U329" s="655"/>
      <c r="V329" s="655"/>
      <c r="W329" s="655"/>
      <c r="X329" s="655"/>
      <c r="Y329" s="655"/>
      <c r="Z329" s="655"/>
      <c r="AA329" s="65"/>
      <c r="AB329" s="65"/>
      <c r="AC329" s="79"/>
    </row>
    <row r="330" spans="1:68" ht="14.25" hidden="1" customHeight="1" x14ac:dyDescent="0.25">
      <c r="A330" s="656" t="s">
        <v>85</v>
      </c>
      <c r="B330" s="656"/>
      <c r="C330" s="656"/>
      <c r="D330" s="656"/>
      <c r="E330" s="656"/>
      <c r="F330" s="656"/>
      <c r="G330" s="656"/>
      <c r="H330" s="656"/>
      <c r="I330" s="656"/>
      <c r="J330" s="656"/>
      <c r="K330" s="656"/>
      <c r="L330" s="656"/>
      <c r="M330" s="656"/>
      <c r="N330" s="656"/>
      <c r="O330" s="656"/>
      <c r="P330" s="656"/>
      <c r="Q330" s="656"/>
      <c r="R330" s="656"/>
      <c r="S330" s="656"/>
      <c r="T330" s="656"/>
      <c r="U330" s="656"/>
      <c r="V330" s="656"/>
      <c r="W330" s="656"/>
      <c r="X330" s="656"/>
      <c r="Y330" s="656"/>
      <c r="Z330" s="656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651">
        <v>4680115886186</v>
      </c>
      <c r="E331" s="651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76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3"/>
      <c r="R331" s="653"/>
      <c r="S331" s="653"/>
      <c r="T331" s="654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651">
        <v>4680115881228</v>
      </c>
      <c r="E332" s="651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76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3"/>
      <c r="R332" s="653"/>
      <c r="S332" s="653"/>
      <c r="T332" s="65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562</v>
      </c>
      <c r="B333" s="63" t="s">
        <v>563</v>
      </c>
      <c r="C333" s="36">
        <v>4301051388</v>
      </c>
      <c r="D333" s="651">
        <v>4680115881211</v>
      </c>
      <c r="E333" s="651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3"/>
      <c r="R333" s="653"/>
      <c r="S333" s="653"/>
      <c r="T333" s="65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45"/>
      <c r="B334" s="645"/>
      <c r="C334" s="645"/>
      <c r="D334" s="645"/>
      <c r="E334" s="645"/>
      <c r="F334" s="645"/>
      <c r="G334" s="645"/>
      <c r="H334" s="645"/>
      <c r="I334" s="645"/>
      <c r="J334" s="645"/>
      <c r="K334" s="645"/>
      <c r="L334" s="645"/>
      <c r="M334" s="645"/>
      <c r="N334" s="645"/>
      <c r="O334" s="646"/>
      <c r="P334" s="642" t="s">
        <v>40</v>
      </c>
      <c r="Q334" s="643"/>
      <c r="R334" s="643"/>
      <c r="S334" s="643"/>
      <c r="T334" s="643"/>
      <c r="U334" s="643"/>
      <c r="V334" s="644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45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42" t="s">
        <v>40</v>
      </c>
      <c r="Q335" s="643"/>
      <c r="R335" s="643"/>
      <c r="S335" s="643"/>
      <c r="T335" s="643"/>
      <c r="U335" s="643"/>
      <c r="V335" s="644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5" t="s">
        <v>564</v>
      </c>
      <c r="B336" s="655"/>
      <c r="C336" s="655"/>
      <c r="D336" s="655"/>
      <c r="E336" s="655"/>
      <c r="F336" s="655"/>
      <c r="G336" s="655"/>
      <c r="H336" s="655"/>
      <c r="I336" s="655"/>
      <c r="J336" s="655"/>
      <c r="K336" s="655"/>
      <c r="L336" s="655"/>
      <c r="M336" s="655"/>
      <c r="N336" s="655"/>
      <c r="O336" s="655"/>
      <c r="P336" s="655"/>
      <c r="Q336" s="655"/>
      <c r="R336" s="655"/>
      <c r="S336" s="655"/>
      <c r="T336" s="655"/>
      <c r="U336" s="655"/>
      <c r="V336" s="655"/>
      <c r="W336" s="655"/>
      <c r="X336" s="655"/>
      <c r="Y336" s="655"/>
      <c r="Z336" s="655"/>
      <c r="AA336" s="65"/>
      <c r="AB336" s="65"/>
      <c r="AC336" s="79"/>
    </row>
    <row r="337" spans="1:68" ht="14.25" hidden="1" customHeight="1" x14ac:dyDescent="0.25">
      <c r="A337" s="656" t="s">
        <v>76</v>
      </c>
      <c r="B337" s="656"/>
      <c r="C337" s="656"/>
      <c r="D337" s="656"/>
      <c r="E337" s="656"/>
      <c r="F337" s="656"/>
      <c r="G337" s="656"/>
      <c r="H337" s="656"/>
      <c r="I337" s="656"/>
      <c r="J337" s="656"/>
      <c r="K337" s="656"/>
      <c r="L337" s="656"/>
      <c r="M337" s="656"/>
      <c r="N337" s="656"/>
      <c r="O337" s="656"/>
      <c r="P337" s="656"/>
      <c r="Q337" s="656"/>
      <c r="R337" s="656"/>
      <c r="S337" s="656"/>
      <c r="T337" s="656"/>
      <c r="U337" s="656"/>
      <c r="V337" s="656"/>
      <c r="W337" s="656"/>
      <c r="X337" s="656"/>
      <c r="Y337" s="656"/>
      <c r="Z337" s="656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651">
        <v>4680115888319</v>
      </c>
      <c r="E338" s="651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75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3"/>
      <c r="R338" s="653"/>
      <c r="S338" s="653"/>
      <c r="T338" s="654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651">
        <v>4680115884700</v>
      </c>
      <c r="E339" s="651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75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3"/>
      <c r="R339" s="653"/>
      <c r="S339" s="653"/>
      <c r="T339" s="654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651">
        <v>4680115880344</v>
      </c>
      <c r="E340" s="651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3"/>
      <c r="R340" s="653"/>
      <c r="S340" s="653"/>
      <c r="T340" s="65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651">
        <v>4680115886919</v>
      </c>
      <c r="E341" s="651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76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3"/>
      <c r="R341" s="653"/>
      <c r="S341" s="653"/>
      <c r="T341" s="65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651">
        <v>4680115883970</v>
      </c>
      <c r="E342" s="651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5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5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42" t="s">
        <v>40</v>
      </c>
      <c r="Q343" s="643"/>
      <c r="R343" s="643"/>
      <c r="S343" s="643"/>
      <c r="T343" s="643"/>
      <c r="U343" s="643"/>
      <c r="V343" s="644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42" t="s">
        <v>40</v>
      </c>
      <c r="Q344" s="643"/>
      <c r="R344" s="643"/>
      <c r="S344" s="643"/>
      <c r="T344" s="643"/>
      <c r="U344" s="643"/>
      <c r="V344" s="644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6" t="s">
        <v>85</v>
      </c>
      <c r="B345" s="656"/>
      <c r="C345" s="656"/>
      <c r="D345" s="656"/>
      <c r="E345" s="656"/>
      <c r="F345" s="656"/>
      <c r="G345" s="656"/>
      <c r="H345" s="656"/>
      <c r="I345" s="656"/>
      <c r="J345" s="656"/>
      <c r="K345" s="656"/>
      <c r="L345" s="656"/>
      <c r="M345" s="656"/>
      <c r="N345" s="656"/>
      <c r="O345" s="656"/>
      <c r="P345" s="656"/>
      <c r="Q345" s="656"/>
      <c r="R345" s="656"/>
      <c r="S345" s="656"/>
      <c r="T345" s="656"/>
      <c r="U345" s="656"/>
      <c r="V345" s="656"/>
      <c r="W345" s="656"/>
      <c r="X345" s="656"/>
      <c r="Y345" s="656"/>
      <c r="Z345" s="656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651">
        <v>4680115884618</v>
      </c>
      <c r="E346" s="651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75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651">
        <v>4680115887114</v>
      </c>
      <c r="E347" s="651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75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3"/>
      <c r="R347" s="653"/>
      <c r="S347" s="653"/>
      <c r="T347" s="65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45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42" t="s">
        <v>40</v>
      </c>
      <c r="Q349" s="643"/>
      <c r="R349" s="643"/>
      <c r="S349" s="643"/>
      <c r="T349" s="643"/>
      <c r="U349" s="643"/>
      <c r="V349" s="644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5" t="s">
        <v>585</v>
      </c>
      <c r="B350" s="655"/>
      <c r="C350" s="655"/>
      <c r="D350" s="655"/>
      <c r="E350" s="655"/>
      <c r="F350" s="655"/>
      <c r="G350" s="655"/>
      <c r="H350" s="655"/>
      <c r="I350" s="655"/>
      <c r="J350" s="655"/>
      <c r="K350" s="655"/>
      <c r="L350" s="655"/>
      <c r="M350" s="655"/>
      <c r="N350" s="655"/>
      <c r="O350" s="655"/>
      <c r="P350" s="655"/>
      <c r="Q350" s="655"/>
      <c r="R350" s="655"/>
      <c r="S350" s="655"/>
      <c r="T350" s="655"/>
      <c r="U350" s="655"/>
      <c r="V350" s="655"/>
      <c r="W350" s="655"/>
      <c r="X350" s="655"/>
      <c r="Y350" s="655"/>
      <c r="Z350" s="655"/>
      <c r="AA350" s="65"/>
      <c r="AB350" s="65"/>
      <c r="AC350" s="79"/>
    </row>
    <row r="351" spans="1:68" ht="14.25" hidden="1" customHeight="1" x14ac:dyDescent="0.25">
      <c r="A351" s="656" t="s">
        <v>123</v>
      </c>
      <c r="B351" s="656"/>
      <c r="C351" s="656"/>
      <c r="D351" s="656"/>
      <c r="E351" s="656"/>
      <c r="F351" s="656"/>
      <c r="G351" s="656"/>
      <c r="H351" s="656"/>
      <c r="I351" s="656"/>
      <c r="J351" s="656"/>
      <c r="K351" s="656"/>
      <c r="L351" s="656"/>
      <c r="M351" s="656"/>
      <c r="N351" s="656"/>
      <c r="O351" s="656"/>
      <c r="P351" s="656"/>
      <c r="Q351" s="656"/>
      <c r="R351" s="656"/>
      <c r="S351" s="656"/>
      <c r="T351" s="656"/>
      <c r="U351" s="656"/>
      <c r="V351" s="656"/>
      <c r="W351" s="656"/>
      <c r="X351" s="656"/>
      <c r="Y351" s="656"/>
      <c r="Z351" s="656"/>
      <c r="AA351" s="66"/>
      <c r="AB351" s="66"/>
      <c r="AC351" s="80"/>
    </row>
    <row r="352" spans="1:68" ht="27" hidden="1" customHeight="1" x14ac:dyDescent="0.25">
      <c r="A352" s="63" t="s">
        <v>586</v>
      </c>
      <c r="B352" s="63" t="s">
        <v>587</v>
      </c>
      <c r="C352" s="36">
        <v>4301012324</v>
      </c>
      <c r="D352" s="651">
        <v>4680115887947</v>
      </c>
      <c r="E352" s="651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75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3"/>
      <c r="R352" s="653"/>
      <c r="S352" s="653"/>
      <c r="T352" s="654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588</v>
      </c>
      <c r="B353" s="63" t="s">
        <v>589</v>
      </c>
      <c r="C353" s="36">
        <v>4301012325</v>
      </c>
      <c r="D353" s="651">
        <v>4680115887978</v>
      </c>
      <c r="E353" s="651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75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3"/>
      <c r="R353" s="653"/>
      <c r="S353" s="653"/>
      <c r="T353" s="654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651">
        <v>4680115887992</v>
      </c>
      <c r="E354" s="651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75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3"/>
      <c r="R354" s="653"/>
      <c r="S354" s="653"/>
      <c r="T354" s="654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42" t="s">
        <v>40</v>
      </c>
      <c r="Q355" s="643"/>
      <c r="R355" s="643"/>
      <c r="S355" s="643"/>
      <c r="T355" s="643"/>
      <c r="U355" s="643"/>
      <c r="V355" s="644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45"/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6"/>
      <c r="P356" s="642" t="s">
        <v>40</v>
      </c>
      <c r="Q356" s="643"/>
      <c r="R356" s="643"/>
      <c r="S356" s="643"/>
      <c r="T356" s="643"/>
      <c r="U356" s="643"/>
      <c r="V356" s="644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5" t="s">
        <v>594</v>
      </c>
      <c r="B357" s="655"/>
      <c r="C357" s="655"/>
      <c r="D357" s="655"/>
      <c r="E357" s="655"/>
      <c r="F357" s="655"/>
      <c r="G357" s="655"/>
      <c r="H357" s="655"/>
      <c r="I357" s="655"/>
      <c r="J357" s="655"/>
      <c r="K357" s="655"/>
      <c r="L357" s="655"/>
      <c r="M357" s="655"/>
      <c r="N357" s="655"/>
      <c r="O357" s="655"/>
      <c r="P357" s="655"/>
      <c r="Q357" s="655"/>
      <c r="R357" s="655"/>
      <c r="S357" s="655"/>
      <c r="T357" s="655"/>
      <c r="U357" s="655"/>
      <c r="V357" s="655"/>
      <c r="W357" s="655"/>
      <c r="X357" s="655"/>
      <c r="Y357" s="655"/>
      <c r="Z357" s="655"/>
      <c r="AA357" s="65"/>
      <c r="AB357" s="65"/>
      <c r="AC357" s="79"/>
    </row>
    <row r="358" spans="1:68" ht="14.25" hidden="1" customHeight="1" x14ac:dyDescent="0.25">
      <c r="A358" s="656" t="s">
        <v>123</v>
      </c>
      <c r="B358" s="656"/>
      <c r="C358" s="656"/>
      <c r="D358" s="656"/>
      <c r="E358" s="656"/>
      <c r="F358" s="656"/>
      <c r="G358" s="656"/>
      <c r="H358" s="656"/>
      <c r="I358" s="656"/>
      <c r="J358" s="656"/>
      <c r="K358" s="656"/>
      <c r="L358" s="656"/>
      <c r="M358" s="656"/>
      <c r="N358" s="656"/>
      <c r="O358" s="656"/>
      <c r="P358" s="656"/>
      <c r="Q358" s="656"/>
      <c r="R358" s="656"/>
      <c r="S358" s="656"/>
      <c r="T358" s="656"/>
      <c r="U358" s="656"/>
      <c r="V358" s="656"/>
      <c r="W358" s="656"/>
      <c r="X358" s="656"/>
      <c r="Y358" s="656"/>
      <c r="Z358" s="656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4301012235</v>
      </c>
      <c r="D359" s="651">
        <v>4680115887190</v>
      </c>
      <c r="E359" s="651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75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53"/>
      <c r="R359" s="653"/>
      <c r="S359" s="653"/>
      <c r="T359" s="654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37.5" hidden="1" customHeight="1" x14ac:dyDescent="0.25">
      <c r="A360" s="63" t="s">
        <v>598</v>
      </c>
      <c r="B360" s="63" t="s">
        <v>599</v>
      </c>
      <c r="C360" s="36">
        <v>4301012233</v>
      </c>
      <c r="D360" s="651">
        <v>4680115887138</v>
      </c>
      <c r="E360" s="651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74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53"/>
      <c r="R360" s="653"/>
      <c r="S360" s="653"/>
      <c r="T360" s="654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4301012016</v>
      </c>
      <c r="D361" s="651">
        <v>4680115885554</v>
      </c>
      <c r="E361" s="651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89</v>
      </c>
      <c r="N361" s="38"/>
      <c r="O361" s="37">
        <v>55</v>
      </c>
      <c r="P361" s="74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53"/>
      <c r="R361" s="653"/>
      <c r="S361" s="653"/>
      <c r="T361" s="654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4301012236</v>
      </c>
      <c r="D362" s="651">
        <v>4680115887220</v>
      </c>
      <c r="E362" s="651"/>
      <c r="F362" s="62">
        <v>0.4</v>
      </c>
      <c r="G362" s="37">
        <v>10</v>
      </c>
      <c r="H362" s="62">
        <v>4</v>
      </c>
      <c r="I362" s="62">
        <v>4.1900000000000004</v>
      </c>
      <c r="J362" s="37">
        <v>132</v>
      </c>
      <c r="K362" s="37" t="s">
        <v>135</v>
      </c>
      <c r="L362" s="37" t="s">
        <v>46</v>
      </c>
      <c r="M362" s="38" t="s">
        <v>127</v>
      </c>
      <c r="N362" s="38"/>
      <c r="O362" s="37">
        <v>55</v>
      </c>
      <c r="P362" s="74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53"/>
      <c r="R362" s="653"/>
      <c r="S362" s="653"/>
      <c r="T362" s="654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6" t="s">
        <v>597</v>
      </c>
      <c r="AG362" s="78"/>
      <c r="AJ362" s="84" t="s">
        <v>46</v>
      </c>
      <c r="AK362" s="84">
        <v>0</v>
      </c>
      <c r="BB362" s="457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606</v>
      </c>
      <c r="B363" s="63" t="s">
        <v>607</v>
      </c>
      <c r="C363" s="36">
        <v>4301011859</v>
      </c>
      <c r="D363" s="651">
        <v>4680115885608</v>
      </c>
      <c r="E363" s="651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7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608</v>
      </c>
      <c r="AG363" s="78"/>
      <c r="AJ363" s="84" t="s">
        <v>46</v>
      </c>
      <c r="AK363" s="84">
        <v>0</v>
      </c>
      <c r="BB363" s="459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idden="1" x14ac:dyDescent="0.2">
      <c r="A364" s="645"/>
      <c r="B364" s="645"/>
      <c r="C364" s="645"/>
      <c r="D364" s="645"/>
      <c r="E364" s="645"/>
      <c r="F364" s="645"/>
      <c r="G364" s="645"/>
      <c r="H364" s="645"/>
      <c r="I364" s="645"/>
      <c r="J364" s="645"/>
      <c r="K364" s="645"/>
      <c r="L364" s="645"/>
      <c r="M364" s="645"/>
      <c r="N364" s="645"/>
      <c r="O364" s="646"/>
      <c r="P364" s="642" t="s">
        <v>40</v>
      </c>
      <c r="Q364" s="643"/>
      <c r="R364" s="643"/>
      <c r="S364" s="643"/>
      <c r="T364" s="643"/>
      <c r="U364" s="643"/>
      <c r="V364" s="644"/>
      <c r="W364" s="42" t="s">
        <v>39</v>
      </c>
      <c r="X364" s="43">
        <f>IFERROR(X359/H359,"0")+IFERROR(X360/H360,"0")+IFERROR(X361/H361,"0")+IFERROR(X362/H362,"0")+IFERROR(X363/H363,"0")</f>
        <v>0</v>
      </c>
      <c r="Y364" s="43">
        <f>IFERROR(Y359/H359,"0")+IFERROR(Y360/H360,"0")+IFERROR(Y361/H361,"0")+IFERROR(Y362/H362,"0")+IFERROR(Y363/H363,"0")</f>
        <v>0</v>
      </c>
      <c r="Z364" s="43">
        <f>IFERROR(IF(Z359="",0,Z359),"0")+IFERROR(IF(Z360="",0,Z360),"0")+IFERROR(IF(Z361="",0,Z361),"0")+IFERROR(IF(Z362="",0,Z362),"0")+IFERROR(IF(Z363="",0,Z363),"0")</f>
        <v>0</v>
      </c>
      <c r="AA364" s="67"/>
      <c r="AB364" s="67"/>
      <c r="AC364" s="67"/>
    </row>
    <row r="365" spans="1:68" hidden="1" x14ac:dyDescent="0.2">
      <c r="A365" s="645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42" t="s">
        <v>40</v>
      </c>
      <c r="Q365" s="643"/>
      <c r="R365" s="643"/>
      <c r="S365" s="643"/>
      <c r="T365" s="643"/>
      <c r="U365" s="643"/>
      <c r="V365" s="644"/>
      <c r="W365" s="42" t="s">
        <v>0</v>
      </c>
      <c r="X365" s="43">
        <f>IFERROR(SUM(X359:X363),"0")</f>
        <v>0</v>
      </c>
      <c r="Y365" s="43">
        <f>IFERROR(SUM(Y359:Y363),"0")</f>
        <v>0</v>
      </c>
      <c r="Z365" s="42"/>
      <c r="AA365" s="67"/>
      <c r="AB365" s="67"/>
      <c r="AC365" s="67"/>
    </row>
    <row r="366" spans="1:68" ht="14.25" hidden="1" customHeight="1" x14ac:dyDescent="0.25">
      <c r="A366" s="656" t="s">
        <v>76</v>
      </c>
      <c r="B366" s="656"/>
      <c r="C366" s="656"/>
      <c r="D366" s="656"/>
      <c r="E366" s="656"/>
      <c r="F366" s="656"/>
      <c r="G366" s="656"/>
      <c r="H366" s="656"/>
      <c r="I366" s="656"/>
      <c r="J366" s="656"/>
      <c r="K366" s="656"/>
      <c r="L366" s="656"/>
      <c r="M366" s="656"/>
      <c r="N366" s="656"/>
      <c r="O366" s="656"/>
      <c r="P366" s="656"/>
      <c r="Q366" s="656"/>
      <c r="R366" s="656"/>
      <c r="S366" s="656"/>
      <c r="T366" s="656"/>
      <c r="U366" s="656"/>
      <c r="V366" s="656"/>
      <c r="W366" s="656"/>
      <c r="X366" s="656"/>
      <c r="Y366" s="656"/>
      <c r="Z366" s="656"/>
      <c r="AA366" s="66"/>
      <c r="AB366" s="66"/>
      <c r="AC366" s="80"/>
    </row>
    <row r="367" spans="1:68" ht="27" hidden="1" customHeight="1" x14ac:dyDescent="0.25">
      <c r="A367" s="63" t="s">
        <v>609</v>
      </c>
      <c r="B367" s="63" t="s">
        <v>610</v>
      </c>
      <c r="C367" s="36">
        <v>4301030878</v>
      </c>
      <c r="D367" s="651">
        <v>4607091387193</v>
      </c>
      <c r="E367" s="651"/>
      <c r="F367" s="62">
        <v>0.7</v>
      </c>
      <c r="G367" s="37">
        <v>6</v>
      </c>
      <c r="H367" s="62">
        <v>4.2</v>
      </c>
      <c r="I367" s="62">
        <v>4.45</v>
      </c>
      <c r="J367" s="37">
        <v>132</v>
      </c>
      <c r="K367" s="37" t="s">
        <v>135</v>
      </c>
      <c r="L367" s="37" t="s">
        <v>46</v>
      </c>
      <c r="M367" s="38" t="s">
        <v>80</v>
      </c>
      <c r="N367" s="38"/>
      <c r="O367" s="37">
        <v>35</v>
      </c>
      <c r="P367" s="74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ref="Y367:Y373" si="54">IFERROR(IF(X367="",0,CEILING((X367/$H367),1)*$H367),"")</f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611</v>
      </c>
      <c r="AG367" s="78"/>
      <c r="AJ367" s="84" t="s">
        <v>46</v>
      </c>
      <c r="AK367" s="84">
        <v>0</v>
      </c>
      <c r="BB367" s="461" t="s">
        <v>67</v>
      </c>
      <c r="BM367" s="78">
        <f t="shared" ref="BM367:BM373" si="55">IFERROR(X367*I367/H367,"0")</f>
        <v>0</v>
      </c>
      <c r="BN367" s="78">
        <f t="shared" ref="BN367:BN373" si="56">IFERROR(Y367*I367/H367,"0")</f>
        <v>0</v>
      </c>
      <c r="BO367" s="78">
        <f t="shared" ref="BO367:BO373" si="57">IFERROR(1/J367*(X367/H367),"0")</f>
        <v>0</v>
      </c>
      <c r="BP367" s="78">
        <f t="shared" ref="BP367:BP373" si="58">IFERROR(1/J367*(Y367/H367),"0")</f>
        <v>0</v>
      </c>
    </row>
    <row r="368" spans="1:68" ht="27" hidden="1" customHeight="1" x14ac:dyDescent="0.25">
      <c r="A368" s="63" t="s">
        <v>612</v>
      </c>
      <c r="B368" s="63" t="s">
        <v>613</v>
      </c>
      <c r="C368" s="36">
        <v>4301031153</v>
      </c>
      <c r="D368" s="651">
        <v>4607091387230</v>
      </c>
      <c r="E368" s="651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40</v>
      </c>
      <c r="P368" s="74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4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si="55"/>
        <v>0</v>
      </c>
      <c r="BN368" s="78">
        <f t="shared" si="56"/>
        <v>0</v>
      </c>
      <c r="BO368" s="78">
        <f t="shared" si="57"/>
        <v>0</v>
      </c>
      <c r="BP368" s="78">
        <f t="shared" si="58"/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4301031154</v>
      </c>
      <c r="D369" s="651">
        <v>4607091387292</v>
      </c>
      <c r="E369" s="651"/>
      <c r="F369" s="62">
        <v>0.73</v>
      </c>
      <c r="G369" s="37">
        <v>6</v>
      </c>
      <c r="H369" s="62">
        <v>4.38</v>
      </c>
      <c r="I369" s="62">
        <v>4.63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45</v>
      </c>
      <c r="P369" s="74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53"/>
      <c r="R369" s="653"/>
      <c r="S369" s="653"/>
      <c r="T369" s="654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4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55"/>
        <v>0</v>
      </c>
      <c r="BN369" s="78">
        <f t="shared" si="56"/>
        <v>0</v>
      </c>
      <c r="BO369" s="78">
        <f t="shared" si="57"/>
        <v>0</v>
      </c>
      <c r="BP369" s="78">
        <f t="shared" si="58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4301031152</v>
      </c>
      <c r="D370" s="651">
        <v>4607091387285</v>
      </c>
      <c r="E370" s="651"/>
      <c r="F370" s="62">
        <v>0.35</v>
      </c>
      <c r="G370" s="37">
        <v>6</v>
      </c>
      <c r="H370" s="62">
        <v>2.1</v>
      </c>
      <c r="I370" s="62">
        <v>2.23</v>
      </c>
      <c r="J370" s="37">
        <v>234</v>
      </c>
      <c r="K370" s="37" t="s">
        <v>81</v>
      </c>
      <c r="L370" s="37" t="s">
        <v>46</v>
      </c>
      <c r="M370" s="38" t="s">
        <v>80</v>
      </c>
      <c r="N370" s="38"/>
      <c r="O370" s="37">
        <v>40</v>
      </c>
      <c r="P370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53"/>
      <c r="R370" s="653"/>
      <c r="S370" s="653"/>
      <c r="T370" s="654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4"/>
        <v>0</v>
      </c>
      <c r="Z370" s="41" t="str">
        <f>IFERROR(IF(Y370=0,"",ROUNDUP(Y370/H370,0)*0.00502),"")</f>
        <v/>
      </c>
      <c r="AA370" s="68" t="s">
        <v>46</v>
      </c>
      <c r="AB370" s="69" t="s">
        <v>46</v>
      </c>
      <c r="AC370" s="466" t="s">
        <v>614</v>
      </c>
      <c r="AG370" s="78"/>
      <c r="AJ370" s="84" t="s">
        <v>46</v>
      </c>
      <c r="AK370" s="84">
        <v>0</v>
      </c>
      <c r="BB370" s="467" t="s">
        <v>67</v>
      </c>
      <c r="BM370" s="78">
        <f t="shared" si="55"/>
        <v>0</v>
      </c>
      <c r="BN370" s="78">
        <f t="shared" si="56"/>
        <v>0</v>
      </c>
      <c r="BO370" s="78">
        <f t="shared" si="57"/>
        <v>0</v>
      </c>
      <c r="BP370" s="78">
        <f t="shared" si="58"/>
        <v>0</v>
      </c>
    </row>
    <row r="371" spans="1:68" ht="27" hidden="1" customHeight="1" x14ac:dyDescent="0.25">
      <c r="A371" s="63" t="s">
        <v>620</v>
      </c>
      <c r="B371" s="63" t="s">
        <v>621</v>
      </c>
      <c r="C371" s="36">
        <v>4301031305</v>
      </c>
      <c r="D371" s="651">
        <v>4607091389845</v>
      </c>
      <c r="E371" s="651"/>
      <c r="F371" s="62">
        <v>0.35</v>
      </c>
      <c r="G371" s="37">
        <v>6</v>
      </c>
      <c r="H371" s="62">
        <v>2.1</v>
      </c>
      <c r="I371" s="62">
        <v>2.2000000000000002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7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53"/>
      <c r="R371" s="653"/>
      <c r="S371" s="653"/>
      <c r="T371" s="654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4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622</v>
      </c>
      <c r="AG371" s="78"/>
      <c r="AJ371" s="84" t="s">
        <v>46</v>
      </c>
      <c r="AK371" s="84">
        <v>0</v>
      </c>
      <c r="BB371" s="469" t="s">
        <v>67</v>
      </c>
      <c r="BM371" s="78">
        <f t="shared" si="55"/>
        <v>0</v>
      </c>
      <c r="BN371" s="78">
        <f t="shared" si="56"/>
        <v>0</v>
      </c>
      <c r="BO371" s="78">
        <f t="shared" si="57"/>
        <v>0</v>
      </c>
      <c r="BP371" s="78">
        <f t="shared" si="58"/>
        <v>0</v>
      </c>
    </row>
    <row r="372" spans="1:68" ht="27" hidden="1" customHeight="1" x14ac:dyDescent="0.25">
      <c r="A372" s="63" t="s">
        <v>623</v>
      </c>
      <c r="B372" s="63" t="s">
        <v>624</v>
      </c>
      <c r="C372" s="36">
        <v>4301031460</v>
      </c>
      <c r="D372" s="651">
        <v>4680115887442</v>
      </c>
      <c r="E372" s="651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135</v>
      </c>
      <c r="L372" s="37" t="s">
        <v>46</v>
      </c>
      <c r="M372" s="38" t="s">
        <v>80</v>
      </c>
      <c r="N372" s="38"/>
      <c r="O372" s="37">
        <v>45</v>
      </c>
      <c r="P372" s="7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4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617</v>
      </c>
      <c r="AG372" s="78"/>
      <c r="AJ372" s="84" t="s">
        <v>46</v>
      </c>
      <c r="AK372" s="84">
        <v>0</v>
      </c>
      <c r="BB372" s="471" t="s">
        <v>67</v>
      </c>
      <c r="BM372" s="78">
        <f t="shared" si="55"/>
        <v>0</v>
      </c>
      <c r="BN372" s="78">
        <f t="shared" si="56"/>
        <v>0</v>
      </c>
      <c r="BO372" s="78">
        <f t="shared" si="57"/>
        <v>0</v>
      </c>
      <c r="BP372" s="78">
        <f t="shared" si="58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4301031066</v>
      </c>
      <c r="D373" s="651">
        <v>4607091383836</v>
      </c>
      <c r="E373" s="651"/>
      <c r="F373" s="62">
        <v>0.3</v>
      </c>
      <c r="G373" s="37">
        <v>6</v>
      </c>
      <c r="H373" s="62">
        <v>1.8</v>
      </c>
      <c r="I373" s="62">
        <v>2.028</v>
      </c>
      <c r="J373" s="37">
        <v>182</v>
      </c>
      <c r="K373" s="37" t="s">
        <v>90</v>
      </c>
      <c r="L373" s="37" t="s">
        <v>46</v>
      </c>
      <c r="M373" s="38" t="s">
        <v>80</v>
      </c>
      <c r="N373" s="38"/>
      <c r="O373" s="37">
        <v>40</v>
      </c>
      <c r="P373" s="74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4"/>
        <v>0</v>
      </c>
      <c r="Z373" s="41" t="str">
        <f>IFERROR(IF(Y373=0,"",ROUNDUP(Y373/H373,0)*0.00651),"")</f>
        <v/>
      </c>
      <c r="AA373" s="68" t="s">
        <v>46</v>
      </c>
      <c r="AB373" s="69" t="s">
        <v>46</v>
      </c>
      <c r="AC373" s="472" t="s">
        <v>627</v>
      </c>
      <c r="AG373" s="78"/>
      <c r="AJ373" s="84" t="s">
        <v>46</v>
      </c>
      <c r="AK373" s="84">
        <v>0</v>
      </c>
      <c r="BB373" s="473" t="s">
        <v>67</v>
      </c>
      <c r="BM373" s="78">
        <f t="shared" si="55"/>
        <v>0</v>
      </c>
      <c r="BN373" s="78">
        <f t="shared" si="56"/>
        <v>0</v>
      </c>
      <c r="BO373" s="78">
        <f t="shared" si="57"/>
        <v>0</v>
      </c>
      <c r="BP373" s="78">
        <f t="shared" si="58"/>
        <v>0</v>
      </c>
    </row>
    <row r="374" spans="1:68" hidden="1" x14ac:dyDescent="0.2">
      <c r="A374" s="645"/>
      <c r="B374" s="645"/>
      <c r="C374" s="645"/>
      <c r="D374" s="645"/>
      <c r="E374" s="645"/>
      <c r="F374" s="645"/>
      <c r="G374" s="645"/>
      <c r="H374" s="645"/>
      <c r="I374" s="645"/>
      <c r="J374" s="645"/>
      <c r="K374" s="645"/>
      <c r="L374" s="645"/>
      <c r="M374" s="645"/>
      <c r="N374" s="645"/>
      <c r="O374" s="646"/>
      <c r="P374" s="642" t="s">
        <v>40</v>
      </c>
      <c r="Q374" s="643"/>
      <c r="R374" s="643"/>
      <c r="S374" s="643"/>
      <c r="T374" s="643"/>
      <c r="U374" s="643"/>
      <c r="V374" s="644"/>
      <c r="W374" s="42" t="s">
        <v>39</v>
      </c>
      <c r="X374" s="43">
        <f>IFERROR(X367/H367,"0")+IFERROR(X368/H368,"0")+IFERROR(X369/H369,"0")+IFERROR(X370/H370,"0")+IFERROR(X371/H371,"0")+IFERROR(X372/H372,"0")+IFERROR(X373/H373,"0")</f>
        <v>0</v>
      </c>
      <c r="Y374" s="43">
        <f>IFERROR(Y367/H367,"0")+IFERROR(Y368/H368,"0")+IFERROR(Y369/H369,"0")+IFERROR(Y370/H370,"0")+IFERROR(Y371/H371,"0")+IFERROR(Y372/H372,"0")+IFERROR(Y373/H373,"0")</f>
        <v>0</v>
      </c>
      <c r="Z374" s="43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7"/>
      <c r="AB374" s="67"/>
      <c r="AC374" s="67"/>
    </row>
    <row r="375" spans="1:68" hidden="1" x14ac:dyDescent="0.2">
      <c r="A375" s="645"/>
      <c r="B375" s="645"/>
      <c r="C375" s="645"/>
      <c r="D375" s="645"/>
      <c r="E375" s="645"/>
      <c r="F375" s="645"/>
      <c r="G375" s="645"/>
      <c r="H375" s="645"/>
      <c r="I375" s="645"/>
      <c r="J375" s="645"/>
      <c r="K375" s="645"/>
      <c r="L375" s="645"/>
      <c r="M375" s="645"/>
      <c r="N375" s="645"/>
      <c r="O375" s="646"/>
      <c r="P375" s="642" t="s">
        <v>40</v>
      </c>
      <c r="Q375" s="643"/>
      <c r="R375" s="643"/>
      <c r="S375" s="643"/>
      <c r="T375" s="643"/>
      <c r="U375" s="643"/>
      <c r="V375" s="644"/>
      <c r="W375" s="42" t="s">
        <v>0</v>
      </c>
      <c r="X375" s="43">
        <f>IFERROR(SUM(X367:X373),"0")</f>
        <v>0</v>
      </c>
      <c r="Y375" s="43">
        <f>IFERROR(SUM(Y367:Y373),"0")</f>
        <v>0</v>
      </c>
      <c r="Z375" s="42"/>
      <c r="AA375" s="67"/>
      <c r="AB375" s="67"/>
      <c r="AC375" s="67"/>
    </row>
    <row r="376" spans="1:68" ht="14.25" hidden="1" customHeight="1" x14ac:dyDescent="0.25">
      <c r="A376" s="656" t="s">
        <v>85</v>
      </c>
      <c r="B376" s="656"/>
      <c r="C376" s="656"/>
      <c r="D376" s="656"/>
      <c r="E376" s="656"/>
      <c r="F376" s="656"/>
      <c r="G376" s="656"/>
      <c r="H376" s="656"/>
      <c r="I376" s="656"/>
      <c r="J376" s="656"/>
      <c r="K376" s="656"/>
      <c r="L376" s="656"/>
      <c r="M376" s="656"/>
      <c r="N376" s="656"/>
      <c r="O376" s="656"/>
      <c r="P376" s="656"/>
      <c r="Q376" s="656"/>
      <c r="R376" s="656"/>
      <c r="S376" s="656"/>
      <c r="T376" s="656"/>
      <c r="U376" s="656"/>
      <c r="V376" s="656"/>
      <c r="W376" s="656"/>
      <c r="X376" s="656"/>
      <c r="Y376" s="656"/>
      <c r="Z376" s="656"/>
      <c r="AA376" s="66"/>
      <c r="AB376" s="66"/>
      <c r="AC376" s="80"/>
    </row>
    <row r="377" spans="1:68" ht="27" hidden="1" customHeight="1" x14ac:dyDescent="0.25">
      <c r="A377" s="63" t="s">
        <v>628</v>
      </c>
      <c r="B377" s="63" t="s">
        <v>629</v>
      </c>
      <c r="C377" s="36">
        <v>4301051100</v>
      </c>
      <c r="D377" s="651">
        <v>4607091387766</v>
      </c>
      <c r="E377" s="651"/>
      <c r="F377" s="62">
        <v>1.3</v>
      </c>
      <c r="G377" s="37">
        <v>6</v>
      </c>
      <c r="H377" s="62">
        <v>7.8</v>
      </c>
      <c r="I377" s="62">
        <v>8.2880000000000003</v>
      </c>
      <c r="J377" s="37">
        <v>64</v>
      </c>
      <c r="K377" s="37" t="s">
        <v>128</v>
      </c>
      <c r="L377" s="37" t="s">
        <v>46</v>
      </c>
      <c r="M377" s="38" t="s">
        <v>89</v>
      </c>
      <c r="N377" s="38"/>
      <c r="O377" s="37">
        <v>40</v>
      </c>
      <c r="P377" s="7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46</v>
      </c>
      <c r="AB377" s="69" t="s">
        <v>46</v>
      </c>
      <c r="AC377" s="474" t="s">
        <v>630</v>
      </c>
      <c r="AG377" s="78"/>
      <c r="AJ377" s="84" t="s">
        <v>46</v>
      </c>
      <c r="AK377" s="84">
        <v>0</v>
      </c>
      <c r="BB377" s="475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4301051818</v>
      </c>
      <c r="D378" s="651">
        <v>4607091387957</v>
      </c>
      <c r="E378" s="651"/>
      <c r="F378" s="62">
        <v>1.3</v>
      </c>
      <c r="G378" s="37">
        <v>6</v>
      </c>
      <c r="H378" s="62">
        <v>7.8</v>
      </c>
      <c r="I378" s="62">
        <v>8.2940000000000005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7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4301051819</v>
      </c>
      <c r="D379" s="651">
        <v>4607091387964</v>
      </c>
      <c r="E379" s="651"/>
      <c r="F379" s="62">
        <v>1.35</v>
      </c>
      <c r="G379" s="37">
        <v>6</v>
      </c>
      <c r="H379" s="62">
        <v>8.1</v>
      </c>
      <c r="I379" s="62">
        <v>8.5760000000000005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7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53"/>
      <c r="R379" s="653"/>
      <c r="S379" s="653"/>
      <c r="T379" s="65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4301051734</v>
      </c>
      <c r="D380" s="651">
        <v>4680115884588</v>
      </c>
      <c r="E380" s="651"/>
      <c r="F380" s="62">
        <v>0.5</v>
      </c>
      <c r="G380" s="37">
        <v>6</v>
      </c>
      <c r="H380" s="62">
        <v>3</v>
      </c>
      <c r="I380" s="62">
        <v>3.246</v>
      </c>
      <c r="J380" s="37">
        <v>182</v>
      </c>
      <c r="K380" s="37" t="s">
        <v>90</v>
      </c>
      <c r="L380" s="37" t="s">
        <v>46</v>
      </c>
      <c r="M380" s="38" t="s">
        <v>89</v>
      </c>
      <c r="N380" s="38"/>
      <c r="O380" s="37">
        <v>40</v>
      </c>
      <c r="P380" s="7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53"/>
      <c r="R380" s="653"/>
      <c r="S380" s="653"/>
      <c r="T380" s="65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0" t="s">
        <v>630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idden="1" x14ac:dyDescent="0.2">
      <c r="A381" s="645"/>
      <c r="B381" s="645"/>
      <c r="C381" s="645"/>
      <c r="D381" s="645"/>
      <c r="E381" s="645"/>
      <c r="F381" s="645"/>
      <c r="G381" s="645"/>
      <c r="H381" s="645"/>
      <c r="I381" s="645"/>
      <c r="J381" s="645"/>
      <c r="K381" s="645"/>
      <c r="L381" s="645"/>
      <c r="M381" s="645"/>
      <c r="N381" s="645"/>
      <c r="O381" s="646"/>
      <c r="P381" s="642" t="s">
        <v>40</v>
      </c>
      <c r="Q381" s="643"/>
      <c r="R381" s="643"/>
      <c r="S381" s="643"/>
      <c r="T381" s="643"/>
      <c r="U381" s="643"/>
      <c r="V381" s="644"/>
      <c r="W381" s="42" t="s">
        <v>39</v>
      </c>
      <c r="X381" s="43">
        <f>IFERROR(X377/H377,"0")+IFERROR(X378/H378,"0")+IFERROR(X379/H379,"0")+IFERROR(X380/H380,"0")</f>
        <v>0</v>
      </c>
      <c r="Y381" s="43">
        <f>IFERROR(Y377/H377,"0")+IFERROR(Y378/H378,"0")+IFERROR(Y379/H379,"0")+IFERROR(Y380/H380,"0")</f>
        <v>0</v>
      </c>
      <c r="Z381" s="43">
        <f>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hidden="1" x14ac:dyDescent="0.2">
      <c r="A382" s="645"/>
      <c r="B382" s="645"/>
      <c r="C382" s="645"/>
      <c r="D382" s="645"/>
      <c r="E382" s="645"/>
      <c r="F382" s="645"/>
      <c r="G382" s="645"/>
      <c r="H382" s="645"/>
      <c r="I382" s="645"/>
      <c r="J382" s="645"/>
      <c r="K382" s="645"/>
      <c r="L382" s="645"/>
      <c r="M382" s="645"/>
      <c r="N382" s="645"/>
      <c r="O382" s="646"/>
      <c r="P382" s="642" t="s">
        <v>40</v>
      </c>
      <c r="Q382" s="643"/>
      <c r="R382" s="643"/>
      <c r="S382" s="643"/>
      <c r="T382" s="643"/>
      <c r="U382" s="643"/>
      <c r="V382" s="644"/>
      <c r="W382" s="42" t="s">
        <v>0</v>
      </c>
      <c r="X382" s="43">
        <f>IFERROR(SUM(X377:X380),"0")</f>
        <v>0</v>
      </c>
      <c r="Y382" s="43">
        <f>IFERROR(SUM(Y377:Y380),"0")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656" t="s">
        <v>173</v>
      </c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6"/>
      <c r="P383" s="656"/>
      <c r="Q383" s="656"/>
      <c r="R383" s="656"/>
      <c r="S383" s="656"/>
      <c r="T383" s="656"/>
      <c r="U383" s="656"/>
      <c r="V383" s="656"/>
      <c r="W383" s="656"/>
      <c r="X383" s="656"/>
      <c r="Y383" s="656"/>
      <c r="Z383" s="656"/>
      <c r="AA383" s="66"/>
      <c r="AB383" s="66"/>
      <c r="AC383" s="80"/>
    </row>
    <row r="384" spans="1:68" ht="27" hidden="1" customHeight="1" x14ac:dyDescent="0.25">
      <c r="A384" s="63" t="s">
        <v>639</v>
      </c>
      <c r="B384" s="63" t="s">
        <v>640</v>
      </c>
      <c r="C384" s="36">
        <v>4301060387</v>
      </c>
      <c r="D384" s="651">
        <v>4607091380880</v>
      </c>
      <c r="E384" s="651"/>
      <c r="F384" s="62">
        <v>1.4</v>
      </c>
      <c r="G384" s="37">
        <v>6</v>
      </c>
      <c r="H384" s="62">
        <v>8.4</v>
      </c>
      <c r="I384" s="62">
        <v>8.8940000000000001</v>
      </c>
      <c r="J384" s="37">
        <v>64</v>
      </c>
      <c r="K384" s="37" t="s">
        <v>128</v>
      </c>
      <c r="L384" s="37" t="s">
        <v>46</v>
      </c>
      <c r="M384" s="38" t="s">
        <v>89</v>
      </c>
      <c r="N384" s="38"/>
      <c r="O384" s="37">
        <v>30</v>
      </c>
      <c r="P384" s="73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641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4301060406</v>
      </c>
      <c r="D385" s="651">
        <v>4607091384482</v>
      </c>
      <c r="E385" s="651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7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4301060484</v>
      </c>
      <c r="D386" s="651">
        <v>4607091380897</v>
      </c>
      <c r="E386" s="651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128</v>
      </c>
      <c r="L386" s="37" t="s">
        <v>46</v>
      </c>
      <c r="M386" s="38" t="s">
        <v>96</v>
      </c>
      <c r="N386" s="38"/>
      <c r="O386" s="37">
        <v>30</v>
      </c>
      <c r="P386" s="7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53"/>
      <c r="R386" s="653"/>
      <c r="S386" s="653"/>
      <c r="T386" s="65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hidden="1" x14ac:dyDescent="0.2">
      <c r="A388" s="645"/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6"/>
      <c r="P388" s="642" t="s">
        <v>40</v>
      </c>
      <c r="Q388" s="643"/>
      <c r="R388" s="643"/>
      <c r="S388" s="643"/>
      <c r="T388" s="643"/>
      <c r="U388" s="643"/>
      <c r="V388" s="644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14.25" hidden="1" customHeight="1" x14ac:dyDescent="0.25">
      <c r="A389" s="656" t="s">
        <v>281</v>
      </c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6"/>
      <c r="P389" s="656"/>
      <c r="Q389" s="656"/>
      <c r="R389" s="656"/>
      <c r="S389" s="656"/>
      <c r="T389" s="656"/>
      <c r="U389" s="656"/>
      <c r="V389" s="656"/>
      <c r="W389" s="656"/>
      <c r="X389" s="656"/>
      <c r="Y389" s="656"/>
      <c r="Z389" s="656"/>
      <c r="AA389" s="66"/>
      <c r="AB389" s="66"/>
      <c r="AC389" s="80"/>
    </row>
    <row r="390" spans="1:68" ht="27" hidden="1" customHeight="1" x14ac:dyDescent="0.25">
      <c r="A390" s="63" t="s">
        <v>648</v>
      </c>
      <c r="B390" s="63" t="s">
        <v>649</v>
      </c>
      <c r="C390" s="36">
        <v>4301030235</v>
      </c>
      <c r="D390" s="651">
        <v>4607091388381</v>
      </c>
      <c r="E390" s="651"/>
      <c r="F390" s="62">
        <v>0.38</v>
      </c>
      <c r="G390" s="37">
        <v>8</v>
      </c>
      <c r="H390" s="62">
        <v>3.04</v>
      </c>
      <c r="I390" s="62">
        <v>3.31</v>
      </c>
      <c r="J390" s="37">
        <v>132</v>
      </c>
      <c r="K390" s="37" t="s">
        <v>135</v>
      </c>
      <c r="L390" s="37" t="s">
        <v>46</v>
      </c>
      <c r="M390" s="38" t="s">
        <v>249</v>
      </c>
      <c r="N390" s="38"/>
      <c r="O390" s="37">
        <v>180</v>
      </c>
      <c r="P390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IFERROR(IF(Y390=0,"",ROUNDUP(Y390/H390,0)*0.00902),"")</f>
        <v/>
      </c>
      <c r="AA390" s="68" t="s">
        <v>46</v>
      </c>
      <c r="AB390" s="69" t="s">
        <v>46</v>
      </c>
      <c r="AC390" s="488" t="s">
        <v>650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651</v>
      </c>
      <c r="B391" s="63" t="s">
        <v>652</v>
      </c>
      <c r="C391" s="36">
        <v>4301030232</v>
      </c>
      <c r="D391" s="651">
        <v>4607091388374</v>
      </c>
      <c r="E391" s="651"/>
      <c r="F391" s="62">
        <v>0.38</v>
      </c>
      <c r="G391" s="37">
        <v>8</v>
      </c>
      <c r="H391" s="62">
        <v>3.04</v>
      </c>
      <c r="I391" s="62">
        <v>3.27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73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650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653</v>
      </c>
      <c r="B392" s="63" t="s">
        <v>654</v>
      </c>
      <c r="C392" s="36">
        <v>4301032015</v>
      </c>
      <c r="D392" s="651">
        <v>4607091383102</v>
      </c>
      <c r="E392" s="651"/>
      <c r="F392" s="62">
        <v>0.17</v>
      </c>
      <c r="G392" s="37">
        <v>15</v>
      </c>
      <c r="H392" s="62">
        <v>2.5499999999999998</v>
      </c>
      <c r="I392" s="62">
        <v>2.9550000000000001</v>
      </c>
      <c r="J392" s="37">
        <v>182</v>
      </c>
      <c r="K392" s="37" t="s">
        <v>90</v>
      </c>
      <c r="L392" s="37" t="s">
        <v>46</v>
      </c>
      <c r="M392" s="38" t="s">
        <v>249</v>
      </c>
      <c r="N392" s="38"/>
      <c r="O392" s="37">
        <v>180</v>
      </c>
      <c r="P392" s="7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53"/>
      <c r="R392" s="653"/>
      <c r="S392" s="653"/>
      <c r="T392" s="65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92" t="s">
        <v>650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4301030233</v>
      </c>
      <c r="D393" s="651">
        <v>4607091388404</v>
      </c>
      <c r="E393" s="651"/>
      <c r="F393" s="62">
        <v>0.17</v>
      </c>
      <c r="G393" s="37">
        <v>15</v>
      </c>
      <c r="H393" s="62">
        <v>2.5499999999999998</v>
      </c>
      <c r="I393" s="62">
        <v>2.88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7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53"/>
      <c r="R393" s="653"/>
      <c r="S393" s="653"/>
      <c r="T393" s="65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650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idden="1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42" t="s">
        <v>40</v>
      </c>
      <c r="Q394" s="643"/>
      <c r="R394" s="643"/>
      <c r="S394" s="643"/>
      <c r="T394" s="643"/>
      <c r="U394" s="643"/>
      <c r="V394" s="644"/>
      <c r="W394" s="42" t="s">
        <v>39</v>
      </c>
      <c r="X394" s="43">
        <f>IFERROR(X390/H390,"0")+IFERROR(X391/H391,"0")+IFERROR(X392/H392,"0")+IFERROR(X393/H393,"0")</f>
        <v>0</v>
      </c>
      <c r="Y394" s="43">
        <f>IFERROR(Y390/H390,"0")+IFERROR(Y391/H391,"0")+IFERROR(Y392/H392,"0")+IFERROR(Y393/H393,"0")</f>
        <v>0</v>
      </c>
      <c r="Z394" s="43">
        <f>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hidden="1" x14ac:dyDescent="0.2">
      <c r="A395" s="645"/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6"/>
      <c r="P395" s="642" t="s">
        <v>40</v>
      </c>
      <c r="Q395" s="643"/>
      <c r="R395" s="643"/>
      <c r="S395" s="643"/>
      <c r="T395" s="643"/>
      <c r="U395" s="643"/>
      <c r="V395" s="644"/>
      <c r="W395" s="42" t="s">
        <v>0</v>
      </c>
      <c r="X395" s="43">
        <f>IFERROR(SUM(X390:X393),"0")</f>
        <v>0</v>
      </c>
      <c r="Y395" s="43">
        <f>IFERROR(SUM(Y390:Y393),"0")</f>
        <v>0</v>
      </c>
      <c r="Z395" s="42"/>
      <c r="AA395" s="67"/>
      <c r="AB395" s="67"/>
      <c r="AC395" s="67"/>
    </row>
    <row r="396" spans="1:68" ht="14.25" hidden="1" customHeight="1" x14ac:dyDescent="0.25">
      <c r="A396" s="656" t="s">
        <v>657</v>
      </c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6"/>
      <c r="P396" s="656"/>
      <c r="Q396" s="656"/>
      <c r="R396" s="656"/>
      <c r="S396" s="656"/>
      <c r="T396" s="656"/>
      <c r="U396" s="656"/>
      <c r="V396" s="656"/>
      <c r="W396" s="656"/>
      <c r="X396" s="656"/>
      <c r="Y396" s="656"/>
      <c r="Z396" s="656"/>
      <c r="AA396" s="66"/>
      <c r="AB396" s="66"/>
      <c r="AC396" s="80"/>
    </row>
    <row r="397" spans="1:68" ht="16.5" hidden="1" customHeight="1" x14ac:dyDescent="0.25">
      <c r="A397" s="63" t="s">
        <v>658</v>
      </c>
      <c r="B397" s="63" t="s">
        <v>659</v>
      </c>
      <c r="C397" s="36">
        <v>4301180007</v>
      </c>
      <c r="D397" s="651">
        <v>4680115881808</v>
      </c>
      <c r="E397" s="651"/>
      <c r="F397" s="62">
        <v>0.1</v>
      </c>
      <c r="G397" s="37">
        <v>20</v>
      </c>
      <c r="H397" s="62">
        <v>2</v>
      </c>
      <c r="I397" s="62">
        <v>2.2400000000000002</v>
      </c>
      <c r="J397" s="37">
        <v>238</v>
      </c>
      <c r="K397" s="37" t="s">
        <v>90</v>
      </c>
      <c r="L397" s="37" t="s">
        <v>46</v>
      </c>
      <c r="M397" s="38" t="s">
        <v>661</v>
      </c>
      <c r="N397" s="38"/>
      <c r="O397" s="37">
        <v>731</v>
      </c>
      <c r="P397" s="72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IFERROR(IF(Y397=0,"",ROUNDUP(Y397/H397,0)*0.00474),"")</f>
        <v/>
      </c>
      <c r="AA397" s="68" t="s">
        <v>46</v>
      </c>
      <c r="AB397" s="69" t="s">
        <v>46</v>
      </c>
      <c r="AC397" s="496" t="s">
        <v>660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662</v>
      </c>
      <c r="B398" s="63" t="s">
        <v>663</v>
      </c>
      <c r="C398" s="36">
        <v>4301180006</v>
      </c>
      <c r="D398" s="651">
        <v>4680115881822</v>
      </c>
      <c r="E398" s="651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661</v>
      </c>
      <c r="N398" s="38"/>
      <c r="O398" s="37">
        <v>731</v>
      </c>
      <c r="P398" s="7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660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4301180001</v>
      </c>
      <c r="D399" s="651">
        <v>4680115880016</v>
      </c>
      <c r="E399" s="651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661</v>
      </c>
      <c r="N399" s="38"/>
      <c r="O399" s="37">
        <v>731</v>
      </c>
      <c r="P399" s="72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53"/>
      <c r="R399" s="653"/>
      <c r="S399" s="653"/>
      <c r="T399" s="65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660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39</v>
      </c>
      <c r="X400" s="43">
        <f>IFERROR(X397/H397,"0")+IFERROR(X398/H398,"0")+IFERROR(X399/H399,"0")</f>
        <v>0</v>
      </c>
      <c r="Y400" s="43">
        <f>IFERROR(Y397/H397,"0")+IFERROR(Y398/H398,"0")+IFERROR(Y399/H399,"0")</f>
        <v>0</v>
      </c>
      <c r="Z400" s="43">
        <f>IFERROR(IF(Z397="",0,Z397),"0")+IFERROR(IF(Z398="",0,Z398),"0")+IFERROR(IF(Z399="",0,Z399),"0")</f>
        <v>0</v>
      </c>
      <c r="AA400" s="67"/>
      <c r="AB400" s="67"/>
      <c r="AC400" s="67"/>
    </row>
    <row r="401" spans="1:68" hidden="1" x14ac:dyDescent="0.2">
      <c r="A401" s="645"/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6"/>
      <c r="P401" s="642" t="s">
        <v>40</v>
      </c>
      <c r="Q401" s="643"/>
      <c r="R401" s="643"/>
      <c r="S401" s="643"/>
      <c r="T401" s="643"/>
      <c r="U401" s="643"/>
      <c r="V401" s="644"/>
      <c r="W401" s="42" t="s">
        <v>0</v>
      </c>
      <c r="X401" s="43">
        <f>IFERROR(SUM(X397:X399),"0")</f>
        <v>0</v>
      </c>
      <c r="Y401" s="43">
        <f>IFERROR(SUM(Y397:Y399),"0")</f>
        <v>0</v>
      </c>
      <c r="Z401" s="42"/>
      <c r="AA401" s="67"/>
      <c r="AB401" s="67"/>
      <c r="AC401" s="67"/>
    </row>
    <row r="402" spans="1:68" ht="14.25" hidden="1" customHeight="1" x14ac:dyDescent="0.25">
      <c r="A402" s="656" t="s">
        <v>666</v>
      </c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6"/>
      <c r="P402" s="656"/>
      <c r="Q402" s="656"/>
      <c r="R402" s="656"/>
      <c r="S402" s="656"/>
      <c r="T402" s="656"/>
      <c r="U402" s="656"/>
      <c r="V402" s="656"/>
      <c r="W402" s="656"/>
      <c r="X402" s="656"/>
      <c r="Y402" s="656"/>
      <c r="Z402" s="656"/>
      <c r="AA402" s="66"/>
      <c r="AB402" s="66"/>
      <c r="AC402" s="80"/>
    </row>
    <row r="403" spans="1:68" ht="27" hidden="1" customHeight="1" x14ac:dyDescent="0.25">
      <c r="A403" s="63" t="s">
        <v>667</v>
      </c>
      <c r="B403" s="63" t="s">
        <v>668</v>
      </c>
      <c r="C403" s="36">
        <v>4301220003</v>
      </c>
      <c r="D403" s="651">
        <v>4680115888678</v>
      </c>
      <c r="E403" s="651"/>
      <c r="F403" s="62">
        <v>0.25</v>
      </c>
      <c r="G403" s="37">
        <v>12</v>
      </c>
      <c r="H403" s="62">
        <v>3</v>
      </c>
      <c r="I403" s="62">
        <v>3.22</v>
      </c>
      <c r="J403" s="37">
        <v>224</v>
      </c>
      <c r="K403" s="37" t="s">
        <v>90</v>
      </c>
      <c r="L403" s="37" t="s">
        <v>46</v>
      </c>
      <c r="M403" s="38" t="s">
        <v>661</v>
      </c>
      <c r="N403" s="38"/>
      <c r="O403" s="37">
        <v>1096</v>
      </c>
      <c r="P403" s="72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IFERROR(IF(Y403=0,"",ROUNDUP(Y403/H403,0)*0.0045),"")</f>
        <v/>
      </c>
      <c r="AA403" s="68" t="s">
        <v>46</v>
      </c>
      <c r="AB403" s="69" t="s">
        <v>46</v>
      </c>
      <c r="AC403" s="502" t="s">
        <v>669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670</v>
      </c>
      <c r="B404" s="63" t="s">
        <v>671</v>
      </c>
      <c r="C404" s="36">
        <v>4301220001</v>
      </c>
      <c r="D404" s="651">
        <v>4680115888654</v>
      </c>
      <c r="E404" s="651"/>
      <c r="F404" s="62">
        <v>0.32500000000000001</v>
      </c>
      <c r="G404" s="37">
        <v>12</v>
      </c>
      <c r="H404" s="62">
        <v>3.9</v>
      </c>
      <c r="I404" s="62">
        <v>4.17</v>
      </c>
      <c r="J404" s="37">
        <v>144</v>
      </c>
      <c r="K404" s="37" t="s">
        <v>135</v>
      </c>
      <c r="L404" s="37" t="s">
        <v>46</v>
      </c>
      <c r="M404" s="38" t="s">
        <v>661</v>
      </c>
      <c r="N404" s="38"/>
      <c r="O404" s="37">
        <v>1096</v>
      </c>
      <c r="P404" s="72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4301220002</v>
      </c>
      <c r="D405" s="651">
        <v>4680115888753</v>
      </c>
      <c r="E405" s="651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90</v>
      </c>
      <c r="L405" s="37" t="s">
        <v>46</v>
      </c>
      <c r="M405" s="38" t="s">
        <v>661</v>
      </c>
      <c r="N405" s="38"/>
      <c r="O405" s="37">
        <v>1096</v>
      </c>
      <c r="P405" s="72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53"/>
      <c r="R405" s="653"/>
      <c r="S405" s="653"/>
      <c r="T405" s="65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669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39</v>
      </c>
      <c r="X406" s="43">
        <f>IFERROR(X403/H403,"0")+IFERROR(X404/H404,"0")+IFERROR(X405/H405,"0")</f>
        <v>0</v>
      </c>
      <c r="Y406" s="43">
        <f>IFERROR(Y403/H403,"0")+IFERROR(Y404/H404,"0")+IFERROR(Y405/H405,"0")</f>
        <v>0</v>
      </c>
      <c r="Z406" s="43">
        <f>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42" t="s">
        <v>40</v>
      </c>
      <c r="Q407" s="643"/>
      <c r="R407" s="643"/>
      <c r="S407" s="643"/>
      <c r="T407" s="643"/>
      <c r="U407" s="643"/>
      <c r="V407" s="644"/>
      <c r="W407" s="42" t="s">
        <v>0</v>
      </c>
      <c r="X407" s="43">
        <f>IFERROR(SUM(X403:X405),"0")</f>
        <v>0</v>
      </c>
      <c r="Y407" s="43">
        <f>IFERROR(SUM(Y403:Y405),"0")</f>
        <v>0</v>
      </c>
      <c r="Z407" s="42"/>
      <c r="AA407" s="67"/>
      <c r="AB407" s="67"/>
      <c r="AC407" s="67"/>
    </row>
    <row r="408" spans="1:68" ht="16.5" hidden="1" customHeight="1" x14ac:dyDescent="0.25">
      <c r="A408" s="655" t="s">
        <v>675</v>
      </c>
      <c r="B408" s="655"/>
      <c r="C408" s="655"/>
      <c r="D408" s="655"/>
      <c r="E408" s="655"/>
      <c r="F408" s="655"/>
      <c r="G408" s="655"/>
      <c r="H408" s="655"/>
      <c r="I408" s="655"/>
      <c r="J408" s="655"/>
      <c r="K408" s="655"/>
      <c r="L408" s="655"/>
      <c r="M408" s="655"/>
      <c r="N408" s="655"/>
      <c r="O408" s="655"/>
      <c r="P408" s="655"/>
      <c r="Q408" s="655"/>
      <c r="R408" s="655"/>
      <c r="S408" s="655"/>
      <c r="T408" s="655"/>
      <c r="U408" s="655"/>
      <c r="V408" s="655"/>
      <c r="W408" s="655"/>
      <c r="X408" s="655"/>
      <c r="Y408" s="655"/>
      <c r="Z408" s="655"/>
      <c r="AA408" s="65"/>
      <c r="AB408" s="65"/>
      <c r="AC408" s="79"/>
    </row>
    <row r="409" spans="1:68" ht="14.25" hidden="1" customHeight="1" x14ac:dyDescent="0.25">
      <c r="A409" s="656" t="s">
        <v>85</v>
      </c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6"/>
      <c r="P409" s="656"/>
      <c r="Q409" s="656"/>
      <c r="R409" s="656"/>
      <c r="S409" s="656"/>
      <c r="T409" s="656"/>
      <c r="U409" s="656"/>
      <c r="V409" s="656"/>
      <c r="W409" s="656"/>
      <c r="X409" s="656"/>
      <c r="Y409" s="656"/>
      <c r="Z409" s="656"/>
      <c r="AA409" s="66"/>
      <c r="AB409" s="66"/>
      <c r="AC409" s="80"/>
    </row>
    <row r="410" spans="1:68" ht="16.5" hidden="1" customHeight="1" x14ac:dyDescent="0.25">
      <c r="A410" s="63" t="s">
        <v>676</v>
      </c>
      <c r="B410" s="63" t="s">
        <v>677</v>
      </c>
      <c r="C410" s="36">
        <v>4301052235</v>
      </c>
      <c r="D410" s="651">
        <v>4680115889415</v>
      </c>
      <c r="E410" s="651"/>
      <c r="F410" s="62">
        <v>1.3</v>
      </c>
      <c r="G410" s="37">
        <v>6</v>
      </c>
      <c r="H410" s="62">
        <v>7.8</v>
      </c>
      <c r="I410" s="62">
        <v>8.2100000000000009</v>
      </c>
      <c r="J410" s="37">
        <v>64</v>
      </c>
      <c r="K410" s="37" t="s">
        <v>128</v>
      </c>
      <c r="L410" s="37" t="s">
        <v>46</v>
      </c>
      <c r="M410" s="38" t="s">
        <v>89</v>
      </c>
      <c r="N410" s="38"/>
      <c r="O410" s="37">
        <v>40</v>
      </c>
      <c r="P410" s="72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IFERROR(IF(Y410=0,"",ROUNDUP(Y410/H410,0)*0.01898),"")</f>
        <v/>
      </c>
      <c r="AA410" s="68" t="s">
        <v>46</v>
      </c>
      <c r="AB410" s="69" t="s">
        <v>46</v>
      </c>
      <c r="AC410" s="508" t="s">
        <v>678</v>
      </c>
      <c r="AG410" s="78"/>
      <c r="AJ410" s="84" t="s">
        <v>46</v>
      </c>
      <c r="AK410" s="84">
        <v>0</v>
      </c>
      <c r="BB410" s="509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16.5" hidden="1" customHeight="1" x14ac:dyDescent="0.25">
      <c r="A411" s="63" t="s">
        <v>679</v>
      </c>
      <c r="B411" s="63" t="s">
        <v>680</v>
      </c>
      <c r="C411" s="36">
        <v>4301052236</v>
      </c>
      <c r="D411" s="651">
        <v>4680115889422</v>
      </c>
      <c r="E411" s="651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71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53"/>
      <c r="R411" s="653"/>
      <c r="S411" s="653"/>
      <c r="T411" s="654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39</v>
      </c>
      <c r="X412" s="43">
        <f>IFERROR(X410/H410,"0")+IFERROR(X411/H411,"0")</f>
        <v>0</v>
      </c>
      <c r="Y412" s="43">
        <f>IFERROR(Y410/H410,"0")+IFERROR(Y411/H411,"0")</f>
        <v>0</v>
      </c>
      <c r="Z412" s="43">
        <f>IFERROR(IF(Z410="",0,Z410),"0")+IFERROR(IF(Z411="",0,Z411),"0")</f>
        <v>0</v>
      </c>
      <c r="AA412" s="67"/>
      <c r="AB412" s="67"/>
      <c r="AC412" s="67"/>
    </row>
    <row r="413" spans="1:68" hidden="1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42" t="s">
        <v>40</v>
      </c>
      <c r="Q413" s="643"/>
      <c r="R413" s="643"/>
      <c r="S413" s="643"/>
      <c r="T413" s="643"/>
      <c r="U413" s="643"/>
      <c r="V413" s="644"/>
      <c r="W413" s="42" t="s">
        <v>0</v>
      </c>
      <c r="X413" s="43">
        <f>IFERROR(SUM(X410:X411),"0")</f>
        <v>0</v>
      </c>
      <c r="Y413" s="43">
        <f>IFERROR(SUM(Y410:Y411),"0")</f>
        <v>0</v>
      </c>
      <c r="Z413" s="42"/>
      <c r="AA413" s="67"/>
      <c r="AB413" s="67"/>
      <c r="AC413" s="67"/>
    </row>
    <row r="414" spans="1:68" ht="16.5" hidden="1" customHeight="1" x14ac:dyDescent="0.25">
      <c r="A414" s="655" t="s">
        <v>682</v>
      </c>
      <c r="B414" s="655"/>
      <c r="C414" s="655"/>
      <c r="D414" s="655"/>
      <c r="E414" s="655"/>
      <c r="F414" s="655"/>
      <c r="G414" s="655"/>
      <c r="H414" s="655"/>
      <c r="I414" s="655"/>
      <c r="J414" s="655"/>
      <c r="K414" s="655"/>
      <c r="L414" s="655"/>
      <c r="M414" s="655"/>
      <c r="N414" s="655"/>
      <c r="O414" s="655"/>
      <c r="P414" s="655"/>
      <c r="Q414" s="655"/>
      <c r="R414" s="655"/>
      <c r="S414" s="655"/>
      <c r="T414" s="655"/>
      <c r="U414" s="655"/>
      <c r="V414" s="655"/>
      <c r="W414" s="655"/>
      <c r="X414" s="655"/>
      <c r="Y414" s="655"/>
      <c r="Z414" s="655"/>
      <c r="AA414" s="65"/>
      <c r="AB414" s="65"/>
      <c r="AC414" s="79"/>
    </row>
    <row r="415" spans="1:68" ht="14.25" hidden="1" customHeight="1" x14ac:dyDescent="0.25">
      <c r="A415" s="656" t="s">
        <v>85</v>
      </c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6"/>
      <c r="P415" s="656"/>
      <c r="Q415" s="656"/>
      <c r="R415" s="656"/>
      <c r="S415" s="656"/>
      <c r="T415" s="656"/>
      <c r="U415" s="656"/>
      <c r="V415" s="656"/>
      <c r="W415" s="656"/>
      <c r="X415" s="656"/>
      <c r="Y415" s="656"/>
      <c r="Z415" s="656"/>
      <c r="AA415" s="66"/>
      <c r="AB415" s="66"/>
      <c r="AC415" s="80"/>
    </row>
    <row r="416" spans="1:68" ht="27" hidden="1" customHeight="1" x14ac:dyDescent="0.25">
      <c r="A416" s="63" t="s">
        <v>683</v>
      </c>
      <c r="B416" s="63" t="s">
        <v>684</v>
      </c>
      <c r="C416" s="36">
        <v>4301051489</v>
      </c>
      <c r="D416" s="651">
        <v>4607091387919</v>
      </c>
      <c r="E416" s="651"/>
      <c r="F416" s="62">
        <v>1.35</v>
      </c>
      <c r="G416" s="37">
        <v>6</v>
      </c>
      <c r="H416" s="62">
        <v>8.1</v>
      </c>
      <c r="I416" s="62">
        <v>8.5939999999999994</v>
      </c>
      <c r="J416" s="37">
        <v>64</v>
      </c>
      <c r="K416" s="37" t="s">
        <v>128</v>
      </c>
      <c r="L416" s="37" t="s">
        <v>46</v>
      </c>
      <c r="M416" s="38" t="s">
        <v>96</v>
      </c>
      <c r="N416" s="38"/>
      <c r="O416" s="37">
        <v>45</v>
      </c>
      <c r="P416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12" t="s">
        <v>685</v>
      </c>
      <c r="AG416" s="78"/>
      <c r="AJ416" s="84" t="s">
        <v>46</v>
      </c>
      <c r="AK416" s="84">
        <v>0</v>
      </c>
      <c r="BB416" s="513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686</v>
      </c>
      <c r="B417" s="63" t="s">
        <v>687</v>
      </c>
      <c r="C417" s="36">
        <v>4301051461</v>
      </c>
      <c r="D417" s="651">
        <v>4680115883604</v>
      </c>
      <c r="E417" s="651"/>
      <c r="F417" s="62">
        <v>0.35</v>
      </c>
      <c r="G417" s="37">
        <v>6</v>
      </c>
      <c r="H417" s="62">
        <v>2.1</v>
      </c>
      <c r="I417" s="62">
        <v>2.3519999999999999</v>
      </c>
      <c r="J417" s="37">
        <v>182</v>
      </c>
      <c r="K417" s="37" t="s">
        <v>90</v>
      </c>
      <c r="L417" s="37" t="s">
        <v>46</v>
      </c>
      <c r="M417" s="38" t="s">
        <v>89</v>
      </c>
      <c r="N417" s="38"/>
      <c r="O417" s="37">
        <v>45</v>
      </c>
      <c r="P417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689</v>
      </c>
      <c r="B418" s="63" t="s">
        <v>690</v>
      </c>
      <c r="C418" s="36">
        <v>4301051864</v>
      </c>
      <c r="D418" s="651">
        <v>4680115883567</v>
      </c>
      <c r="E418" s="651"/>
      <c r="F418" s="62">
        <v>0.35</v>
      </c>
      <c r="G418" s="37">
        <v>6</v>
      </c>
      <c r="H418" s="62">
        <v>2.1</v>
      </c>
      <c r="I418" s="62">
        <v>2.34</v>
      </c>
      <c r="J418" s="37">
        <v>182</v>
      </c>
      <c r="K418" s="37" t="s">
        <v>90</v>
      </c>
      <c r="L418" s="37" t="s">
        <v>46</v>
      </c>
      <c r="M418" s="38" t="s">
        <v>96</v>
      </c>
      <c r="N418" s="38"/>
      <c r="O418" s="37">
        <v>40</v>
      </c>
      <c r="P418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53"/>
      <c r="R418" s="653"/>
      <c r="S418" s="653"/>
      <c r="T418" s="654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39</v>
      </c>
      <c r="X419" s="43">
        <f>IFERROR(X416/H416,"0")+IFERROR(X417/H417,"0")+IFERROR(X418/H418,"0")</f>
        <v>0</v>
      </c>
      <c r="Y419" s="43">
        <f>IFERROR(Y416/H416,"0")+IFERROR(Y417/H417,"0")+IFERROR(Y418/H418,"0")</f>
        <v>0</v>
      </c>
      <c r="Z419" s="43">
        <f>IFERROR(IF(Z416="",0,Z416),"0")+IFERROR(IF(Z417="",0,Z417),"0")+IFERROR(IF(Z418="",0,Z418),"0")</f>
        <v>0</v>
      </c>
      <c r="AA419" s="67"/>
      <c r="AB419" s="67"/>
      <c r="AC419" s="67"/>
    </row>
    <row r="420" spans="1:68" hidden="1" x14ac:dyDescent="0.2">
      <c r="A420" s="645"/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6"/>
      <c r="P420" s="642" t="s">
        <v>40</v>
      </c>
      <c r="Q420" s="643"/>
      <c r="R420" s="643"/>
      <c r="S420" s="643"/>
      <c r="T420" s="643"/>
      <c r="U420" s="643"/>
      <c r="V420" s="644"/>
      <c r="W420" s="42" t="s">
        <v>0</v>
      </c>
      <c r="X420" s="43">
        <f>IFERROR(SUM(X416:X418),"0")</f>
        <v>0</v>
      </c>
      <c r="Y420" s="43">
        <f>IFERROR(SUM(Y416:Y418),"0")</f>
        <v>0</v>
      </c>
      <c r="Z420" s="42"/>
      <c r="AA420" s="67"/>
      <c r="AB420" s="67"/>
      <c r="AC420" s="67"/>
    </row>
    <row r="421" spans="1:68" ht="27.75" hidden="1" customHeight="1" x14ac:dyDescent="0.2">
      <c r="A421" s="662" t="s">
        <v>692</v>
      </c>
      <c r="B421" s="662"/>
      <c r="C421" s="662"/>
      <c r="D421" s="662"/>
      <c r="E421" s="662"/>
      <c r="F421" s="662"/>
      <c r="G421" s="662"/>
      <c r="H421" s="662"/>
      <c r="I421" s="662"/>
      <c r="J421" s="662"/>
      <c r="K421" s="662"/>
      <c r="L421" s="662"/>
      <c r="M421" s="662"/>
      <c r="N421" s="662"/>
      <c r="O421" s="662"/>
      <c r="P421" s="662"/>
      <c r="Q421" s="662"/>
      <c r="R421" s="662"/>
      <c r="S421" s="662"/>
      <c r="T421" s="662"/>
      <c r="U421" s="662"/>
      <c r="V421" s="662"/>
      <c r="W421" s="662"/>
      <c r="X421" s="662"/>
      <c r="Y421" s="662"/>
      <c r="Z421" s="662"/>
      <c r="AA421" s="54"/>
      <c r="AB421" s="54"/>
      <c r="AC421" s="54"/>
    </row>
    <row r="422" spans="1:68" ht="16.5" hidden="1" customHeight="1" x14ac:dyDescent="0.25">
      <c r="A422" s="655" t="s">
        <v>693</v>
      </c>
      <c r="B422" s="655"/>
      <c r="C422" s="655"/>
      <c r="D422" s="655"/>
      <c r="E422" s="655"/>
      <c r="F422" s="655"/>
      <c r="G422" s="655"/>
      <c r="H422" s="655"/>
      <c r="I422" s="655"/>
      <c r="J422" s="655"/>
      <c r="K422" s="655"/>
      <c r="L422" s="655"/>
      <c r="M422" s="655"/>
      <c r="N422" s="655"/>
      <c r="O422" s="655"/>
      <c r="P422" s="655"/>
      <c r="Q422" s="655"/>
      <c r="R422" s="655"/>
      <c r="S422" s="655"/>
      <c r="T422" s="655"/>
      <c r="U422" s="655"/>
      <c r="V422" s="655"/>
      <c r="W422" s="655"/>
      <c r="X422" s="655"/>
      <c r="Y422" s="655"/>
      <c r="Z422" s="655"/>
      <c r="AA422" s="65"/>
      <c r="AB422" s="65"/>
      <c r="AC422" s="79"/>
    </row>
    <row r="423" spans="1:68" ht="14.25" hidden="1" customHeight="1" x14ac:dyDescent="0.25">
      <c r="A423" s="656" t="s">
        <v>123</v>
      </c>
      <c r="B423" s="656"/>
      <c r="C423" s="656"/>
      <c r="D423" s="656"/>
      <c r="E423" s="656"/>
      <c r="F423" s="656"/>
      <c r="G423" s="656"/>
      <c r="H423" s="656"/>
      <c r="I423" s="656"/>
      <c r="J423" s="656"/>
      <c r="K423" s="656"/>
      <c r="L423" s="656"/>
      <c r="M423" s="656"/>
      <c r="N423" s="656"/>
      <c r="O423" s="656"/>
      <c r="P423" s="656"/>
      <c r="Q423" s="656"/>
      <c r="R423" s="656"/>
      <c r="S423" s="656"/>
      <c r="T423" s="656"/>
      <c r="U423" s="656"/>
      <c r="V423" s="656"/>
      <c r="W423" s="656"/>
      <c r="X423" s="656"/>
      <c r="Y423" s="656"/>
      <c r="Z423" s="656"/>
      <c r="AA423" s="66"/>
      <c r="AB423" s="66"/>
      <c r="AC423" s="80"/>
    </row>
    <row r="424" spans="1:68" ht="27" hidden="1" customHeight="1" x14ac:dyDescent="0.25">
      <c r="A424" s="63" t="s">
        <v>694</v>
      </c>
      <c r="B424" s="63" t="s">
        <v>695</v>
      </c>
      <c r="C424" s="36">
        <v>4301012332</v>
      </c>
      <c r="D424" s="651">
        <v>4680115888401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128</v>
      </c>
      <c r="L424" s="37" t="s">
        <v>46</v>
      </c>
      <c r="M424" s="38" t="s">
        <v>96</v>
      </c>
      <c r="N424" s="38"/>
      <c r="O424" s="37">
        <v>60</v>
      </c>
      <c r="P424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ref="Y424:Y431" si="59">IFERROR(IF(X424="",0,CEILING((X424/$H424),1)*$H424),"")</f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18" t="s">
        <v>696</v>
      </c>
      <c r="AG424" s="78"/>
      <c r="AJ424" s="84" t="s">
        <v>46</v>
      </c>
      <c r="AK424" s="84">
        <v>0</v>
      </c>
      <c r="BB424" s="519" t="s">
        <v>67</v>
      </c>
      <c r="BM424" s="78">
        <f t="shared" ref="BM424:BM431" si="60">IFERROR(X424*I424/H424,"0")</f>
        <v>0</v>
      </c>
      <c r="BN424" s="78">
        <f t="shared" ref="BN424:BN431" si="61">IFERROR(Y424*I424/H424,"0")</f>
        <v>0</v>
      </c>
      <c r="BO424" s="78">
        <f t="shared" ref="BO424:BO431" si="62">IFERROR(1/J424*(X424/H424),"0")</f>
        <v>0</v>
      </c>
      <c r="BP424" s="78">
        <f t="shared" ref="BP424:BP431" si="63">IFERROR(1/J424*(Y424/H424),"0")</f>
        <v>0</v>
      </c>
    </row>
    <row r="425" spans="1:68" ht="37.5" customHeight="1" x14ac:dyDescent="0.25">
      <c r="A425" s="63" t="s">
        <v>697</v>
      </c>
      <c r="B425" s="63" t="s">
        <v>698</v>
      </c>
      <c r="C425" s="36">
        <v>4301011869</v>
      </c>
      <c r="D425" s="651">
        <v>4680115884847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80</v>
      </c>
      <c r="N425" s="38"/>
      <c r="O425" s="37">
        <v>60</v>
      </c>
      <c r="P425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300</v>
      </c>
      <c r="Y425" s="55">
        <f t="shared" si="59"/>
        <v>300</v>
      </c>
      <c r="Z425" s="41">
        <f>IFERROR(IF(Y425=0,"",ROUNDUP(Y425/H425,0)*0.02175),"")</f>
        <v>0.43499999999999994</v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si="60"/>
        <v>309.39999999999998</v>
      </c>
      <c r="BN425" s="78">
        <f t="shared" si="61"/>
        <v>309.39999999999998</v>
      </c>
      <c r="BO425" s="78">
        <f t="shared" si="62"/>
        <v>0.41666666666666663</v>
      </c>
      <c r="BP425" s="78">
        <f t="shared" si="63"/>
        <v>0.41666666666666663</v>
      </c>
    </row>
    <row r="426" spans="1:68" ht="27" hidden="1" customHeight="1" x14ac:dyDescent="0.25">
      <c r="A426" s="63" t="s">
        <v>700</v>
      </c>
      <c r="B426" s="63" t="s">
        <v>701</v>
      </c>
      <c r="C426" s="36">
        <v>4301012083</v>
      </c>
      <c r="D426" s="651">
        <v>4680115884854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127</v>
      </c>
      <c r="N426" s="38"/>
      <c r="O426" s="37">
        <v>60</v>
      </c>
      <c r="P426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9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0"/>
        <v>0</v>
      </c>
      <c r="BN426" s="78">
        <f t="shared" si="61"/>
        <v>0</v>
      </c>
      <c r="BO426" s="78">
        <f t="shared" si="62"/>
        <v>0</v>
      </c>
      <c r="BP426" s="78">
        <f t="shared" si="63"/>
        <v>0</v>
      </c>
    </row>
    <row r="427" spans="1:68" ht="27" hidden="1" customHeight="1" x14ac:dyDescent="0.25">
      <c r="A427" s="63" t="s">
        <v>703</v>
      </c>
      <c r="B427" s="63" t="s">
        <v>704</v>
      </c>
      <c r="C427" s="36">
        <v>4301011867</v>
      </c>
      <c r="D427" s="651">
        <v>4680115884830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80</v>
      </c>
      <c r="N427" s="38"/>
      <c r="O427" s="37">
        <v>60</v>
      </c>
      <c r="P427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9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0"/>
        <v>0</v>
      </c>
      <c r="BN427" s="78">
        <f t="shared" si="61"/>
        <v>0</v>
      </c>
      <c r="BO427" s="78">
        <f t="shared" si="62"/>
        <v>0</v>
      </c>
      <c r="BP427" s="78">
        <f t="shared" si="63"/>
        <v>0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4301012356</v>
      </c>
      <c r="D428" s="651">
        <v>4680115889231</v>
      </c>
      <c r="E428" s="651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96</v>
      </c>
      <c r="N428" s="38"/>
      <c r="O428" s="37">
        <v>60</v>
      </c>
      <c r="P428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9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0"/>
        <v>0</v>
      </c>
      <c r="BN428" s="78">
        <f t="shared" si="61"/>
        <v>0</v>
      </c>
      <c r="BO428" s="78">
        <f t="shared" si="62"/>
        <v>0</v>
      </c>
      <c r="BP428" s="78">
        <f t="shared" si="63"/>
        <v>0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4301011433</v>
      </c>
      <c r="D429" s="651">
        <v>4680115882638</v>
      </c>
      <c r="E429" s="651"/>
      <c r="F429" s="62">
        <v>0.4</v>
      </c>
      <c r="G429" s="37">
        <v>10</v>
      </c>
      <c r="H429" s="62">
        <v>4</v>
      </c>
      <c r="I429" s="62">
        <v>4.1900000000000004</v>
      </c>
      <c r="J429" s="37">
        <v>132</v>
      </c>
      <c r="K429" s="37" t="s">
        <v>135</v>
      </c>
      <c r="L429" s="37" t="s">
        <v>46</v>
      </c>
      <c r="M429" s="38" t="s">
        <v>127</v>
      </c>
      <c r="N429" s="38"/>
      <c r="O429" s="37">
        <v>90</v>
      </c>
      <c r="P429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9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0"/>
        <v>0</v>
      </c>
      <c r="BN429" s="78">
        <f t="shared" si="61"/>
        <v>0</v>
      </c>
      <c r="BO429" s="78">
        <f t="shared" si="62"/>
        <v>0</v>
      </c>
      <c r="BP429" s="78">
        <f t="shared" si="63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4301011952</v>
      </c>
      <c r="D430" s="651">
        <v>4680115884922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135</v>
      </c>
      <c r="L430" s="37" t="s">
        <v>46</v>
      </c>
      <c r="M430" s="38" t="s">
        <v>80</v>
      </c>
      <c r="N430" s="38"/>
      <c r="O430" s="37">
        <v>60</v>
      </c>
      <c r="P430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9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0"/>
        <v>0</v>
      </c>
      <c r="BN430" s="78">
        <f t="shared" si="61"/>
        <v>0</v>
      </c>
      <c r="BO430" s="78">
        <f t="shared" si="62"/>
        <v>0</v>
      </c>
      <c r="BP430" s="78">
        <f t="shared" si="63"/>
        <v>0</v>
      </c>
    </row>
    <row r="431" spans="1:68" ht="37.5" hidden="1" customHeight="1" x14ac:dyDescent="0.25">
      <c r="A431" s="63" t="s">
        <v>715</v>
      </c>
      <c r="B431" s="63" t="s">
        <v>716</v>
      </c>
      <c r="C431" s="36">
        <v>4301011868</v>
      </c>
      <c r="D431" s="651">
        <v>4680115884861</v>
      </c>
      <c r="E431" s="651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53"/>
      <c r="R431" s="653"/>
      <c r="S431" s="653"/>
      <c r="T431" s="654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9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0"/>
        <v>0</v>
      </c>
      <c r="BN431" s="78">
        <f t="shared" si="61"/>
        <v>0</v>
      </c>
      <c r="BO431" s="78">
        <f t="shared" si="62"/>
        <v>0</v>
      </c>
      <c r="BP431" s="78">
        <f t="shared" si="63"/>
        <v>0</v>
      </c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39</v>
      </c>
      <c r="X432" s="43">
        <f>IFERROR(X424/H424,"0")+IFERROR(X425/H425,"0")+IFERROR(X426/H426,"0")+IFERROR(X427/H427,"0")+IFERROR(X428/H428,"0")+IFERROR(X429/H429,"0")+IFERROR(X430/H430,"0")+IFERROR(X431/H431,"0")</f>
        <v>20</v>
      </c>
      <c r="Y432" s="43">
        <f>IFERROR(Y424/H424,"0")+IFERROR(Y425/H425,"0")+IFERROR(Y426/H426,"0")+IFERROR(Y427/H427,"0")+IFERROR(Y428/H428,"0")+IFERROR(Y429/H429,"0")+IFERROR(Y430/H430,"0")+IFERROR(Y431/H431,"0")</f>
        <v>20</v>
      </c>
      <c r="Z432" s="43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0.43499999999999994</v>
      </c>
      <c r="AA432" s="67"/>
      <c r="AB432" s="67"/>
      <c r="AC432" s="67"/>
    </row>
    <row r="433" spans="1:68" x14ac:dyDescent="0.2">
      <c r="A433" s="645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42" t="s">
        <v>40</v>
      </c>
      <c r="Q433" s="643"/>
      <c r="R433" s="643"/>
      <c r="S433" s="643"/>
      <c r="T433" s="643"/>
      <c r="U433" s="643"/>
      <c r="V433" s="644"/>
      <c r="W433" s="42" t="s">
        <v>0</v>
      </c>
      <c r="X433" s="43">
        <f>IFERROR(SUM(X424:X431),"0")</f>
        <v>300</v>
      </c>
      <c r="Y433" s="43">
        <f>IFERROR(SUM(Y424:Y431),"0")</f>
        <v>300</v>
      </c>
      <c r="Z433" s="42"/>
      <c r="AA433" s="67"/>
      <c r="AB433" s="67"/>
      <c r="AC433" s="67"/>
    </row>
    <row r="434" spans="1:68" ht="14.25" hidden="1" customHeight="1" x14ac:dyDescent="0.25">
      <c r="A434" s="656" t="s">
        <v>156</v>
      </c>
      <c r="B434" s="656"/>
      <c r="C434" s="656"/>
      <c r="D434" s="656"/>
      <c r="E434" s="656"/>
      <c r="F434" s="656"/>
      <c r="G434" s="656"/>
      <c r="H434" s="656"/>
      <c r="I434" s="656"/>
      <c r="J434" s="656"/>
      <c r="K434" s="656"/>
      <c r="L434" s="656"/>
      <c r="M434" s="656"/>
      <c r="N434" s="656"/>
      <c r="O434" s="656"/>
      <c r="P434" s="656"/>
      <c r="Q434" s="656"/>
      <c r="R434" s="656"/>
      <c r="S434" s="656"/>
      <c r="T434" s="656"/>
      <c r="U434" s="656"/>
      <c r="V434" s="656"/>
      <c r="W434" s="656"/>
      <c r="X434" s="656"/>
      <c r="Y434" s="656"/>
      <c r="Z434" s="656"/>
      <c r="AA434" s="66"/>
      <c r="AB434" s="66"/>
      <c r="AC434" s="80"/>
    </row>
    <row r="435" spans="1:68" ht="27" customHeight="1" x14ac:dyDescent="0.25">
      <c r="A435" s="63" t="s">
        <v>718</v>
      </c>
      <c r="B435" s="63" t="s">
        <v>719</v>
      </c>
      <c r="C435" s="36">
        <v>4301020178</v>
      </c>
      <c r="D435" s="651">
        <v>4607091383980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128</v>
      </c>
      <c r="L435" s="37" t="s">
        <v>46</v>
      </c>
      <c r="M435" s="38" t="s">
        <v>127</v>
      </c>
      <c r="N435" s="38"/>
      <c r="O435" s="37">
        <v>50</v>
      </c>
      <c r="P435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290</v>
      </c>
      <c r="Y435" s="55">
        <f>IFERROR(IF(X435="",0,CEILING((X435/$H435),1)*$H435),"")</f>
        <v>300</v>
      </c>
      <c r="Z435" s="41">
        <f>IFERROR(IF(Y435=0,"",ROUNDUP(Y435/H435,0)*0.02175),"")</f>
        <v>0.43499999999999994</v>
      </c>
      <c r="AA435" s="68" t="s">
        <v>46</v>
      </c>
      <c r="AB435" s="69" t="s">
        <v>46</v>
      </c>
      <c r="AC435" s="534" t="s">
        <v>720</v>
      </c>
      <c r="AG435" s="78"/>
      <c r="AJ435" s="84" t="s">
        <v>46</v>
      </c>
      <c r="AK435" s="84">
        <v>0</v>
      </c>
      <c r="BB435" s="535" t="s">
        <v>67</v>
      </c>
      <c r="BM435" s="78">
        <f>IFERROR(X435*I435/H435,"0")</f>
        <v>299.0866666666667</v>
      </c>
      <c r="BN435" s="78">
        <f>IFERROR(Y435*I435/H435,"0")</f>
        <v>309.39999999999998</v>
      </c>
      <c r="BO435" s="78">
        <f>IFERROR(1/J435*(X435/H435),"0")</f>
        <v>0.40277777777777773</v>
      </c>
      <c r="BP435" s="78">
        <f>IFERROR(1/J435*(Y435/H435),"0")</f>
        <v>0.41666666666666663</v>
      </c>
    </row>
    <row r="436" spans="1:68" ht="27" hidden="1" customHeight="1" x14ac:dyDescent="0.25">
      <c r="A436" s="63" t="s">
        <v>721</v>
      </c>
      <c r="B436" s="63" t="s">
        <v>722</v>
      </c>
      <c r="C436" s="36">
        <v>4301020355</v>
      </c>
      <c r="D436" s="651">
        <v>4680115888425</v>
      </c>
      <c r="E436" s="65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4301020179</v>
      </c>
      <c r="D437" s="651">
        <v>4607091384178</v>
      </c>
      <c r="E437" s="651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135</v>
      </c>
      <c r="L437" s="37" t="s">
        <v>46</v>
      </c>
      <c r="M437" s="38" t="s">
        <v>127</v>
      </c>
      <c r="N437" s="38"/>
      <c r="O437" s="37">
        <v>50</v>
      </c>
      <c r="P437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53"/>
      <c r="R437" s="653"/>
      <c r="S437" s="653"/>
      <c r="T437" s="65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39</v>
      </c>
      <c r="X438" s="43">
        <f>IFERROR(X435/H435,"0")+IFERROR(X436/H436,"0")+IFERROR(X437/H437,"0")</f>
        <v>19.333333333333332</v>
      </c>
      <c r="Y438" s="43">
        <f>IFERROR(Y435/H435,"0")+IFERROR(Y436/H436,"0")+IFERROR(Y437/H437,"0")</f>
        <v>20</v>
      </c>
      <c r="Z438" s="43">
        <f>IFERROR(IF(Z435="",0,Z435),"0")+IFERROR(IF(Z436="",0,Z436),"0")+IFERROR(IF(Z437="",0,Z437),"0")</f>
        <v>0.43499999999999994</v>
      </c>
      <c r="AA438" s="67"/>
      <c r="AB438" s="67"/>
      <c r="AC438" s="67"/>
    </row>
    <row r="439" spans="1:68" x14ac:dyDescent="0.2">
      <c r="A439" s="645"/>
      <c r="B439" s="645"/>
      <c r="C439" s="645"/>
      <c r="D439" s="645"/>
      <c r="E439" s="645"/>
      <c r="F439" s="645"/>
      <c r="G439" s="645"/>
      <c r="H439" s="645"/>
      <c r="I439" s="645"/>
      <c r="J439" s="645"/>
      <c r="K439" s="645"/>
      <c r="L439" s="645"/>
      <c r="M439" s="645"/>
      <c r="N439" s="645"/>
      <c r="O439" s="646"/>
      <c r="P439" s="642" t="s">
        <v>40</v>
      </c>
      <c r="Q439" s="643"/>
      <c r="R439" s="643"/>
      <c r="S439" s="643"/>
      <c r="T439" s="643"/>
      <c r="U439" s="643"/>
      <c r="V439" s="644"/>
      <c r="W439" s="42" t="s">
        <v>0</v>
      </c>
      <c r="X439" s="43">
        <f>IFERROR(SUM(X435:X437),"0")</f>
        <v>290</v>
      </c>
      <c r="Y439" s="43">
        <f>IFERROR(SUM(Y435:Y437),"0")</f>
        <v>300</v>
      </c>
      <c r="Z439" s="42"/>
      <c r="AA439" s="67"/>
      <c r="AB439" s="67"/>
      <c r="AC439" s="67"/>
    </row>
    <row r="440" spans="1:68" ht="14.25" hidden="1" customHeight="1" x14ac:dyDescent="0.25">
      <c r="A440" s="656" t="s">
        <v>85</v>
      </c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6"/>
      <c r="P440" s="656"/>
      <c r="Q440" s="656"/>
      <c r="R440" s="656"/>
      <c r="S440" s="656"/>
      <c r="T440" s="656"/>
      <c r="U440" s="656"/>
      <c r="V440" s="656"/>
      <c r="W440" s="656"/>
      <c r="X440" s="656"/>
      <c r="Y440" s="656"/>
      <c r="Z440" s="656"/>
      <c r="AA440" s="66"/>
      <c r="AB440" s="66"/>
      <c r="AC440" s="80"/>
    </row>
    <row r="441" spans="1:68" ht="27" hidden="1" customHeight="1" x14ac:dyDescent="0.25">
      <c r="A441" s="63" t="s">
        <v>727</v>
      </c>
      <c r="B441" s="63" t="s">
        <v>728</v>
      </c>
      <c r="C441" s="36">
        <v>4301051903</v>
      </c>
      <c r="D441" s="651">
        <v>4607091383928</v>
      </c>
      <c r="E441" s="651"/>
      <c r="F441" s="62">
        <v>1.5</v>
      </c>
      <c r="G441" s="37">
        <v>6</v>
      </c>
      <c r="H441" s="62">
        <v>9</v>
      </c>
      <c r="I441" s="62">
        <v>9.5</v>
      </c>
      <c r="J441" s="37">
        <v>64</v>
      </c>
      <c r="K441" s="37" t="s">
        <v>128</v>
      </c>
      <c r="L441" s="37" t="s">
        <v>46</v>
      </c>
      <c r="M441" s="38" t="s">
        <v>89</v>
      </c>
      <c r="N441" s="38"/>
      <c r="O441" s="37">
        <v>40</v>
      </c>
      <c r="P441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0" t="s">
        <v>729</v>
      </c>
      <c r="AG441" s="78"/>
      <c r="AJ441" s="84" t="s">
        <v>46</v>
      </c>
      <c r="AK441" s="84">
        <v>0</v>
      </c>
      <c r="BB441" s="541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hidden="1" customHeight="1" x14ac:dyDescent="0.25">
      <c r="A442" s="63" t="s">
        <v>730</v>
      </c>
      <c r="B442" s="63" t="s">
        <v>731</v>
      </c>
      <c r="C442" s="36">
        <v>4301051897</v>
      </c>
      <c r="D442" s="651">
        <v>4607091384260</v>
      </c>
      <c r="E442" s="651"/>
      <c r="F442" s="62">
        <v>1.5</v>
      </c>
      <c r="G442" s="37">
        <v>6</v>
      </c>
      <c r="H442" s="62">
        <v>9</v>
      </c>
      <c r="I442" s="62">
        <v>9.4939999999999998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733</v>
      </c>
      <c r="B443" s="63" t="s">
        <v>734</v>
      </c>
      <c r="C443" s="36">
        <v>4301052220</v>
      </c>
      <c r="D443" s="651">
        <v>4680115889538</v>
      </c>
      <c r="E443" s="651"/>
      <c r="F443" s="62">
        <v>0.8</v>
      </c>
      <c r="G443" s="37">
        <v>6</v>
      </c>
      <c r="H443" s="62">
        <v>4.8</v>
      </c>
      <c r="I443" s="62">
        <v>5.2160000000000002</v>
      </c>
      <c r="J443" s="37">
        <v>104</v>
      </c>
      <c r="K443" s="37" t="s">
        <v>128</v>
      </c>
      <c r="L443" s="37" t="s">
        <v>46</v>
      </c>
      <c r="M443" s="38" t="s">
        <v>89</v>
      </c>
      <c r="N443" s="38"/>
      <c r="O443" s="37">
        <v>45</v>
      </c>
      <c r="P443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53"/>
      <c r="R443" s="653"/>
      <c r="S443" s="653"/>
      <c r="T443" s="65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idden="1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39</v>
      </c>
      <c r="X444" s="43">
        <f>IFERROR(X441/H441,"0")+IFERROR(X442/H442,"0")+IFERROR(X443/H443,"0")</f>
        <v>0</v>
      </c>
      <c r="Y444" s="43">
        <f>IFERROR(Y441/H441,"0")+IFERROR(Y442/H442,"0")+IFERROR(Y443/H443,"0")</f>
        <v>0</v>
      </c>
      <c r="Z444" s="43">
        <f>IFERROR(IF(Z441="",0,Z441),"0")+IFERROR(IF(Z442="",0,Z442),"0")+IFERROR(IF(Z443="",0,Z443),"0")</f>
        <v>0</v>
      </c>
      <c r="AA444" s="67"/>
      <c r="AB444" s="67"/>
      <c r="AC444" s="67"/>
    </row>
    <row r="445" spans="1:68" hidden="1" x14ac:dyDescent="0.2">
      <c r="A445" s="645"/>
      <c r="B445" s="645"/>
      <c r="C445" s="645"/>
      <c r="D445" s="645"/>
      <c r="E445" s="645"/>
      <c r="F445" s="645"/>
      <c r="G445" s="645"/>
      <c r="H445" s="645"/>
      <c r="I445" s="645"/>
      <c r="J445" s="645"/>
      <c r="K445" s="645"/>
      <c r="L445" s="645"/>
      <c r="M445" s="645"/>
      <c r="N445" s="645"/>
      <c r="O445" s="646"/>
      <c r="P445" s="642" t="s">
        <v>40</v>
      </c>
      <c r="Q445" s="643"/>
      <c r="R445" s="643"/>
      <c r="S445" s="643"/>
      <c r="T445" s="643"/>
      <c r="U445" s="643"/>
      <c r="V445" s="644"/>
      <c r="W445" s="42" t="s">
        <v>0</v>
      </c>
      <c r="X445" s="43">
        <f>IFERROR(SUM(X441:X443),"0")</f>
        <v>0</v>
      </c>
      <c r="Y445" s="43">
        <f>IFERROR(SUM(Y441:Y443),"0")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656" t="s">
        <v>173</v>
      </c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6"/>
      <c r="P446" s="656"/>
      <c r="Q446" s="656"/>
      <c r="R446" s="656"/>
      <c r="S446" s="656"/>
      <c r="T446" s="656"/>
      <c r="U446" s="656"/>
      <c r="V446" s="656"/>
      <c r="W446" s="656"/>
      <c r="X446" s="656"/>
      <c r="Y446" s="656"/>
      <c r="Z446" s="656"/>
      <c r="AA446" s="66"/>
      <c r="AB446" s="66"/>
      <c r="AC446" s="80"/>
    </row>
    <row r="447" spans="1:68" ht="27" hidden="1" customHeight="1" x14ac:dyDescent="0.25">
      <c r="A447" s="63" t="s">
        <v>736</v>
      </c>
      <c r="B447" s="63" t="s">
        <v>737</v>
      </c>
      <c r="C447" s="36">
        <v>4301060537</v>
      </c>
      <c r="D447" s="651">
        <v>4680115889545</v>
      </c>
      <c r="E447" s="651"/>
      <c r="F447" s="62">
        <v>0.7</v>
      </c>
      <c r="G447" s="37">
        <v>6</v>
      </c>
      <c r="H447" s="62">
        <v>4.2</v>
      </c>
      <c r="I447" s="62">
        <v>4.6159999999999997</v>
      </c>
      <c r="J447" s="37">
        <v>104</v>
      </c>
      <c r="K447" s="37" t="s">
        <v>128</v>
      </c>
      <c r="L447" s="37" t="s">
        <v>46</v>
      </c>
      <c r="M447" s="38" t="s">
        <v>89</v>
      </c>
      <c r="N447" s="38"/>
      <c r="O447" s="37">
        <v>30</v>
      </c>
      <c r="P447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IFERROR(IF(Y447=0,"",ROUNDUP(Y447/H447,0)*0.01196),"")</f>
        <v/>
      </c>
      <c r="AA447" s="68" t="s">
        <v>46</v>
      </c>
      <c r="AB447" s="69" t="s">
        <v>46</v>
      </c>
      <c r="AC447" s="546" t="s">
        <v>738</v>
      </c>
      <c r="AG447" s="78"/>
      <c r="AJ447" s="84" t="s">
        <v>46</v>
      </c>
      <c r="AK447" s="84">
        <v>0</v>
      </c>
      <c r="BB447" s="547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16.5" hidden="1" customHeight="1" x14ac:dyDescent="0.25">
      <c r="A448" s="63" t="s">
        <v>739</v>
      </c>
      <c r="B448" s="63" t="s">
        <v>740</v>
      </c>
      <c r="C448" s="36">
        <v>4301060524</v>
      </c>
      <c r="D448" s="651">
        <v>4607091384673</v>
      </c>
      <c r="E448" s="651"/>
      <c r="F448" s="62">
        <v>1.5</v>
      </c>
      <c r="G448" s="37">
        <v>6</v>
      </c>
      <c r="H448" s="62">
        <v>9</v>
      </c>
      <c r="I448" s="62">
        <v>9.4939999999999998</v>
      </c>
      <c r="J448" s="37">
        <v>64</v>
      </c>
      <c r="K448" s="37" t="s">
        <v>128</v>
      </c>
      <c r="L448" s="37" t="s">
        <v>46</v>
      </c>
      <c r="M448" s="38" t="s">
        <v>89</v>
      </c>
      <c r="N448" s="38"/>
      <c r="O448" s="37">
        <v>40</v>
      </c>
      <c r="P448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53"/>
      <c r="R448" s="653"/>
      <c r="S448" s="653"/>
      <c r="T448" s="65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idden="1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39</v>
      </c>
      <c r="X449" s="43">
        <f>IFERROR(X447/H447,"0")+IFERROR(X448/H448,"0")</f>
        <v>0</v>
      </c>
      <c r="Y449" s="43">
        <f>IFERROR(Y447/H447,"0")+IFERROR(Y448/H448,"0")</f>
        <v>0</v>
      </c>
      <c r="Z449" s="43">
        <f>IFERROR(IF(Z447="",0,Z447),"0")+IFERROR(IF(Z448="",0,Z448),"0")</f>
        <v>0</v>
      </c>
      <c r="AA449" s="67"/>
      <c r="AB449" s="67"/>
      <c r="AC449" s="67"/>
    </row>
    <row r="450" spans="1:68" hidden="1" x14ac:dyDescent="0.2">
      <c r="A450" s="645"/>
      <c r="B450" s="645"/>
      <c r="C450" s="645"/>
      <c r="D450" s="645"/>
      <c r="E450" s="645"/>
      <c r="F450" s="645"/>
      <c r="G450" s="645"/>
      <c r="H450" s="645"/>
      <c r="I450" s="645"/>
      <c r="J450" s="645"/>
      <c r="K450" s="645"/>
      <c r="L450" s="645"/>
      <c r="M450" s="645"/>
      <c r="N450" s="645"/>
      <c r="O450" s="646"/>
      <c r="P450" s="642" t="s">
        <v>40</v>
      </c>
      <c r="Q450" s="643"/>
      <c r="R450" s="643"/>
      <c r="S450" s="643"/>
      <c r="T450" s="643"/>
      <c r="U450" s="643"/>
      <c r="V450" s="644"/>
      <c r="W450" s="42" t="s">
        <v>0</v>
      </c>
      <c r="X450" s="43">
        <f>IFERROR(SUM(X447:X448),"0")</f>
        <v>0</v>
      </c>
      <c r="Y450" s="43">
        <f>IFERROR(SUM(Y447:Y448),"0")</f>
        <v>0</v>
      </c>
      <c r="Z450" s="42"/>
      <c r="AA450" s="67"/>
      <c r="AB450" s="67"/>
      <c r="AC450" s="67"/>
    </row>
    <row r="451" spans="1:68" ht="16.5" hidden="1" customHeight="1" x14ac:dyDescent="0.25">
      <c r="A451" s="655" t="s">
        <v>742</v>
      </c>
      <c r="B451" s="655"/>
      <c r="C451" s="655"/>
      <c r="D451" s="655"/>
      <c r="E451" s="655"/>
      <c r="F451" s="655"/>
      <c r="G451" s="655"/>
      <c r="H451" s="655"/>
      <c r="I451" s="655"/>
      <c r="J451" s="655"/>
      <c r="K451" s="655"/>
      <c r="L451" s="655"/>
      <c r="M451" s="655"/>
      <c r="N451" s="655"/>
      <c r="O451" s="655"/>
      <c r="P451" s="655"/>
      <c r="Q451" s="655"/>
      <c r="R451" s="655"/>
      <c r="S451" s="655"/>
      <c r="T451" s="655"/>
      <c r="U451" s="655"/>
      <c r="V451" s="655"/>
      <c r="W451" s="655"/>
      <c r="X451" s="655"/>
      <c r="Y451" s="655"/>
      <c r="Z451" s="655"/>
      <c r="AA451" s="65"/>
      <c r="AB451" s="65"/>
      <c r="AC451" s="79"/>
    </row>
    <row r="452" spans="1:68" ht="14.25" hidden="1" customHeight="1" x14ac:dyDescent="0.25">
      <c r="A452" s="656" t="s">
        <v>123</v>
      </c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6"/>
      <c r="P452" s="656"/>
      <c r="Q452" s="656"/>
      <c r="R452" s="656"/>
      <c r="S452" s="656"/>
      <c r="T452" s="656"/>
      <c r="U452" s="656"/>
      <c r="V452" s="656"/>
      <c r="W452" s="656"/>
      <c r="X452" s="656"/>
      <c r="Y452" s="656"/>
      <c r="Z452" s="656"/>
      <c r="AA452" s="66"/>
      <c r="AB452" s="66"/>
      <c r="AC452" s="80"/>
    </row>
    <row r="453" spans="1:68" ht="27" hidden="1" customHeight="1" x14ac:dyDescent="0.25">
      <c r="A453" s="63" t="s">
        <v>743</v>
      </c>
      <c r="B453" s="63" t="s">
        <v>744</v>
      </c>
      <c r="C453" s="36">
        <v>4301011875</v>
      </c>
      <c r="D453" s="651">
        <v>4680115884885</v>
      </c>
      <c r="E453" s="651"/>
      <c r="F453" s="62">
        <v>0.8</v>
      </c>
      <c r="G453" s="37">
        <v>15</v>
      </c>
      <c r="H453" s="62">
        <v>12</v>
      </c>
      <c r="I453" s="62">
        <v>12.41</v>
      </c>
      <c r="J453" s="37">
        <v>64</v>
      </c>
      <c r="K453" s="37" t="s">
        <v>128</v>
      </c>
      <c r="L453" s="37" t="s">
        <v>46</v>
      </c>
      <c r="M453" s="38" t="s">
        <v>80</v>
      </c>
      <c r="N453" s="38"/>
      <c r="O453" s="37">
        <v>60</v>
      </c>
      <c r="P453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0" t="s">
        <v>745</v>
      </c>
      <c r="AG453" s="78"/>
      <c r="AJ453" s="84" t="s">
        <v>46</v>
      </c>
      <c r="AK453" s="84">
        <v>0</v>
      </c>
      <c r="BB453" s="551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37.5" hidden="1" customHeight="1" x14ac:dyDescent="0.25">
      <c r="A454" s="63" t="s">
        <v>746</v>
      </c>
      <c r="B454" s="63" t="s">
        <v>747</v>
      </c>
      <c r="C454" s="36">
        <v>4301011871</v>
      </c>
      <c r="D454" s="651">
        <v>4680115884908</v>
      </c>
      <c r="E454" s="651"/>
      <c r="F454" s="62">
        <v>0.4</v>
      </c>
      <c r="G454" s="37">
        <v>10</v>
      </c>
      <c r="H454" s="62">
        <v>4</v>
      </c>
      <c r="I454" s="62">
        <v>4.1900000000000004</v>
      </c>
      <c r="J454" s="37">
        <v>132</v>
      </c>
      <c r="K454" s="37" t="s">
        <v>135</v>
      </c>
      <c r="L454" s="37" t="s">
        <v>46</v>
      </c>
      <c r="M454" s="38" t="s">
        <v>80</v>
      </c>
      <c r="N454" s="38"/>
      <c r="O454" s="37">
        <v>60</v>
      </c>
      <c r="P454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53"/>
      <c r="R454" s="653"/>
      <c r="S454" s="653"/>
      <c r="T454" s="654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52" t="s">
        <v>745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39</v>
      </c>
      <c r="X455" s="43">
        <f>IFERROR(X453/H453,"0")+IFERROR(X454/H454,"0")</f>
        <v>0</v>
      </c>
      <c r="Y455" s="43">
        <f>IFERROR(Y453/H453,"0")+IFERROR(Y454/H454,"0")</f>
        <v>0</v>
      </c>
      <c r="Z455" s="43">
        <f>IFERROR(IF(Z453="",0,Z453),"0")+IFERROR(IF(Z454="",0,Z454),"0")</f>
        <v>0</v>
      </c>
      <c r="AA455" s="67"/>
      <c r="AB455" s="67"/>
      <c r="AC455" s="67"/>
    </row>
    <row r="456" spans="1:68" hidden="1" x14ac:dyDescent="0.2">
      <c r="A456" s="645"/>
      <c r="B456" s="645"/>
      <c r="C456" s="645"/>
      <c r="D456" s="645"/>
      <c r="E456" s="645"/>
      <c r="F456" s="645"/>
      <c r="G456" s="645"/>
      <c r="H456" s="645"/>
      <c r="I456" s="645"/>
      <c r="J456" s="645"/>
      <c r="K456" s="645"/>
      <c r="L456" s="645"/>
      <c r="M456" s="645"/>
      <c r="N456" s="645"/>
      <c r="O456" s="646"/>
      <c r="P456" s="642" t="s">
        <v>40</v>
      </c>
      <c r="Q456" s="643"/>
      <c r="R456" s="643"/>
      <c r="S456" s="643"/>
      <c r="T456" s="643"/>
      <c r="U456" s="643"/>
      <c r="V456" s="644"/>
      <c r="W456" s="42" t="s">
        <v>0</v>
      </c>
      <c r="X456" s="43">
        <f>IFERROR(SUM(X453:X454),"0")</f>
        <v>0</v>
      </c>
      <c r="Y456" s="43">
        <f>IFERROR(SUM(Y453:Y454),"0")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656" t="s">
        <v>76</v>
      </c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6"/>
      <c r="P457" s="656"/>
      <c r="Q457" s="656"/>
      <c r="R457" s="656"/>
      <c r="S457" s="656"/>
      <c r="T457" s="656"/>
      <c r="U457" s="656"/>
      <c r="V457" s="656"/>
      <c r="W457" s="656"/>
      <c r="X457" s="656"/>
      <c r="Y457" s="656"/>
      <c r="Z457" s="656"/>
      <c r="AA457" s="66"/>
      <c r="AB457" s="66"/>
      <c r="AC457" s="80"/>
    </row>
    <row r="458" spans="1:68" ht="27" hidden="1" customHeight="1" x14ac:dyDescent="0.25">
      <c r="A458" s="63" t="s">
        <v>748</v>
      </c>
      <c r="B458" s="63" t="s">
        <v>749</v>
      </c>
      <c r="C458" s="36">
        <v>4301031457</v>
      </c>
      <c r="D458" s="651">
        <v>4607091384802</v>
      </c>
      <c r="E458" s="651"/>
      <c r="F458" s="62">
        <v>0.7</v>
      </c>
      <c r="G458" s="37">
        <v>6</v>
      </c>
      <c r="H458" s="62">
        <v>4.2</v>
      </c>
      <c r="I458" s="62">
        <v>4.45</v>
      </c>
      <c r="J458" s="37">
        <v>132</v>
      </c>
      <c r="K458" s="37" t="s">
        <v>135</v>
      </c>
      <c r="L458" s="37" t="s">
        <v>46</v>
      </c>
      <c r="M458" s="38" t="s">
        <v>80</v>
      </c>
      <c r="N458" s="38"/>
      <c r="O458" s="37">
        <v>50</v>
      </c>
      <c r="P458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53"/>
      <c r="R458" s="653"/>
      <c r="S458" s="653"/>
      <c r="T458" s="654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IFERROR(IF(Y458=0,"",ROUNDUP(Y458/H458,0)*0.00902),"")</f>
        <v/>
      </c>
      <c r="AA458" s="68" t="s">
        <v>46</v>
      </c>
      <c r="AB458" s="69" t="s">
        <v>46</v>
      </c>
      <c r="AC458" s="554" t="s">
        <v>750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39</v>
      </c>
      <c r="X459" s="43">
        <f>IFERROR(X458/H458,"0")</f>
        <v>0</v>
      </c>
      <c r="Y459" s="43">
        <f>IFERROR(Y458/H458,"0")</f>
        <v>0</v>
      </c>
      <c r="Z459" s="43">
        <f>IFERROR(IF(Z458="",0,Z458),"0")</f>
        <v>0</v>
      </c>
      <c r="AA459" s="67"/>
      <c r="AB459" s="67"/>
      <c r="AC459" s="67"/>
    </row>
    <row r="460" spans="1:68" hidden="1" x14ac:dyDescent="0.2">
      <c r="A460" s="645"/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6"/>
      <c r="P460" s="642" t="s">
        <v>40</v>
      </c>
      <c r="Q460" s="643"/>
      <c r="R460" s="643"/>
      <c r="S460" s="643"/>
      <c r="T460" s="643"/>
      <c r="U460" s="643"/>
      <c r="V460" s="644"/>
      <c r="W460" s="42" t="s">
        <v>0</v>
      </c>
      <c r="X460" s="43">
        <f>IFERROR(SUM(X458:X458),"0")</f>
        <v>0</v>
      </c>
      <c r="Y460" s="43">
        <f>IFERROR(SUM(Y458:Y458),"0")</f>
        <v>0</v>
      </c>
      <c r="Z460" s="42"/>
      <c r="AA460" s="67"/>
      <c r="AB460" s="67"/>
      <c r="AC460" s="67"/>
    </row>
    <row r="461" spans="1:68" ht="14.25" hidden="1" customHeight="1" x14ac:dyDescent="0.25">
      <c r="A461" s="656" t="s">
        <v>85</v>
      </c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6"/>
      <c r="P461" s="656"/>
      <c r="Q461" s="656"/>
      <c r="R461" s="656"/>
      <c r="S461" s="656"/>
      <c r="T461" s="656"/>
      <c r="U461" s="656"/>
      <c r="V461" s="656"/>
      <c r="W461" s="656"/>
      <c r="X461" s="656"/>
      <c r="Y461" s="656"/>
      <c r="Z461" s="656"/>
      <c r="AA461" s="66"/>
      <c r="AB461" s="66"/>
      <c r="AC461" s="80"/>
    </row>
    <row r="462" spans="1:68" ht="27" hidden="1" customHeight="1" x14ac:dyDescent="0.25">
      <c r="A462" s="63" t="s">
        <v>751</v>
      </c>
      <c r="B462" s="63" t="s">
        <v>752</v>
      </c>
      <c r="C462" s="36">
        <v>4301051899</v>
      </c>
      <c r="D462" s="651">
        <v>4607091384246</v>
      </c>
      <c r="E462" s="651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128</v>
      </c>
      <c r="L462" s="37" t="s">
        <v>46</v>
      </c>
      <c r="M462" s="38" t="s">
        <v>89</v>
      </c>
      <c r="N462" s="38"/>
      <c r="O462" s="37">
        <v>40</v>
      </c>
      <c r="P462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753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754</v>
      </c>
      <c r="B463" s="63" t="s">
        <v>755</v>
      </c>
      <c r="C463" s="36">
        <v>4301051660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58" t="s">
        <v>753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hidden="1" customHeight="1" x14ac:dyDescent="0.25">
      <c r="A464" s="63" t="s">
        <v>754</v>
      </c>
      <c r="B464" s="63" t="s">
        <v>756</v>
      </c>
      <c r="C464" s="36">
        <v>4301052069</v>
      </c>
      <c r="D464" s="651">
        <v>4607091384253</v>
      </c>
      <c r="E464" s="651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53"/>
      <c r="R464" s="653"/>
      <c r="S464" s="653"/>
      <c r="T464" s="65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757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idden="1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39</v>
      </c>
      <c r="X465" s="43">
        <f>IFERROR(X462/H462,"0")+IFERROR(X463/H463,"0")+IFERROR(X464/H464,"0")</f>
        <v>0</v>
      </c>
      <c r="Y465" s="43">
        <f>IFERROR(Y462/H462,"0")+IFERROR(Y463/H463,"0")+IFERROR(Y464/H464,"0")</f>
        <v>0</v>
      </c>
      <c r="Z465" s="43">
        <f>IFERROR(IF(Z462="",0,Z462),"0")+IFERROR(IF(Z463="",0,Z463),"0")+IFERROR(IF(Z464="",0,Z464),"0")</f>
        <v>0</v>
      </c>
      <c r="AA465" s="67"/>
      <c r="AB465" s="67"/>
      <c r="AC465" s="67"/>
    </row>
    <row r="466" spans="1:68" hidden="1" x14ac:dyDescent="0.2">
      <c r="A466" s="645"/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6"/>
      <c r="P466" s="642" t="s">
        <v>40</v>
      </c>
      <c r="Q466" s="643"/>
      <c r="R466" s="643"/>
      <c r="S466" s="643"/>
      <c r="T466" s="643"/>
      <c r="U466" s="643"/>
      <c r="V466" s="644"/>
      <c r="W466" s="42" t="s">
        <v>0</v>
      </c>
      <c r="X466" s="43">
        <f>IFERROR(SUM(X462:X464),"0")</f>
        <v>0</v>
      </c>
      <c r="Y466" s="43">
        <f>IFERROR(SUM(Y462:Y464),"0")</f>
        <v>0</v>
      </c>
      <c r="Z466" s="42"/>
      <c r="AA466" s="67"/>
      <c r="AB466" s="67"/>
      <c r="AC466" s="67"/>
    </row>
    <row r="467" spans="1:68" ht="27.75" hidden="1" customHeight="1" x14ac:dyDescent="0.2">
      <c r="A467" s="662" t="s">
        <v>758</v>
      </c>
      <c r="B467" s="662"/>
      <c r="C467" s="662"/>
      <c r="D467" s="662"/>
      <c r="E467" s="662"/>
      <c r="F467" s="662"/>
      <c r="G467" s="662"/>
      <c r="H467" s="662"/>
      <c r="I467" s="662"/>
      <c r="J467" s="662"/>
      <c r="K467" s="662"/>
      <c r="L467" s="662"/>
      <c r="M467" s="662"/>
      <c r="N467" s="662"/>
      <c r="O467" s="662"/>
      <c r="P467" s="662"/>
      <c r="Q467" s="662"/>
      <c r="R467" s="662"/>
      <c r="S467" s="662"/>
      <c r="T467" s="662"/>
      <c r="U467" s="662"/>
      <c r="V467" s="662"/>
      <c r="W467" s="662"/>
      <c r="X467" s="662"/>
      <c r="Y467" s="662"/>
      <c r="Z467" s="662"/>
      <c r="AA467" s="54"/>
      <c r="AB467" s="54"/>
      <c r="AC467" s="54"/>
    </row>
    <row r="468" spans="1:68" ht="16.5" hidden="1" customHeight="1" x14ac:dyDescent="0.25">
      <c r="A468" s="655" t="s">
        <v>759</v>
      </c>
      <c r="B468" s="655"/>
      <c r="C468" s="655"/>
      <c r="D468" s="655"/>
      <c r="E468" s="655"/>
      <c r="F468" s="655"/>
      <c r="G468" s="655"/>
      <c r="H468" s="655"/>
      <c r="I468" s="655"/>
      <c r="J468" s="655"/>
      <c r="K468" s="655"/>
      <c r="L468" s="655"/>
      <c r="M468" s="655"/>
      <c r="N468" s="655"/>
      <c r="O468" s="655"/>
      <c r="P468" s="655"/>
      <c r="Q468" s="655"/>
      <c r="R468" s="655"/>
      <c r="S468" s="655"/>
      <c r="T468" s="655"/>
      <c r="U468" s="655"/>
      <c r="V468" s="655"/>
      <c r="W468" s="655"/>
      <c r="X468" s="655"/>
      <c r="Y468" s="655"/>
      <c r="Z468" s="655"/>
      <c r="AA468" s="65"/>
      <c r="AB468" s="65"/>
      <c r="AC468" s="79"/>
    </row>
    <row r="469" spans="1:68" ht="14.25" hidden="1" customHeight="1" x14ac:dyDescent="0.25">
      <c r="A469" s="656" t="s">
        <v>76</v>
      </c>
      <c r="B469" s="656"/>
      <c r="C469" s="656"/>
      <c r="D469" s="656"/>
      <c r="E469" s="656"/>
      <c r="F469" s="656"/>
      <c r="G469" s="656"/>
      <c r="H469" s="656"/>
      <c r="I469" s="656"/>
      <c r="J469" s="656"/>
      <c r="K469" s="656"/>
      <c r="L469" s="656"/>
      <c r="M469" s="656"/>
      <c r="N469" s="656"/>
      <c r="O469" s="656"/>
      <c r="P469" s="656"/>
      <c r="Q469" s="656"/>
      <c r="R469" s="656"/>
      <c r="S469" s="656"/>
      <c r="T469" s="656"/>
      <c r="U469" s="656"/>
      <c r="V469" s="656"/>
      <c r="W469" s="656"/>
      <c r="X469" s="656"/>
      <c r="Y469" s="656"/>
      <c r="Z469" s="656"/>
      <c r="AA469" s="66"/>
      <c r="AB469" s="66"/>
      <c r="AC469" s="80"/>
    </row>
    <row r="470" spans="1:68" ht="27" hidden="1" customHeight="1" x14ac:dyDescent="0.25">
      <c r="A470" s="63" t="s">
        <v>760</v>
      </c>
      <c r="B470" s="63" t="s">
        <v>761</v>
      </c>
      <c r="C470" s="36">
        <v>4301031405</v>
      </c>
      <c r="D470" s="651">
        <v>4680115886100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135</v>
      </c>
      <c r="L470" s="37" t="s">
        <v>46</v>
      </c>
      <c r="M470" s="38" t="s">
        <v>80</v>
      </c>
      <c r="N470" s="38"/>
      <c r="O470" s="37">
        <v>50</v>
      </c>
      <c r="P470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ref="Y470:Y475" si="64"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2" t="s">
        <v>762</v>
      </c>
      <c r="AG470" s="78"/>
      <c r="AJ470" s="84" t="s">
        <v>46</v>
      </c>
      <c r="AK470" s="84">
        <v>0</v>
      </c>
      <c r="BB470" s="563" t="s">
        <v>67</v>
      </c>
      <c r="BM470" s="78">
        <f t="shared" ref="BM470:BM475" si="65">IFERROR(X470*I470/H470,"0")</f>
        <v>0</v>
      </c>
      <c r="BN470" s="78">
        <f t="shared" ref="BN470:BN475" si="66">IFERROR(Y470*I470/H470,"0")</f>
        <v>0</v>
      </c>
      <c r="BO470" s="78">
        <f t="shared" ref="BO470:BO475" si="67">IFERROR(1/J470*(X470/H470),"0")</f>
        <v>0</v>
      </c>
      <c r="BP470" s="78">
        <f t="shared" ref="BP470:BP475" si="68">IFERROR(1/J470*(Y470/H470),"0")</f>
        <v>0</v>
      </c>
    </row>
    <row r="471" spans="1:68" ht="27" hidden="1" customHeight="1" x14ac:dyDescent="0.25">
      <c r="A471" s="63" t="s">
        <v>763</v>
      </c>
      <c r="B471" s="63" t="s">
        <v>764</v>
      </c>
      <c r="C471" s="36">
        <v>4301031402</v>
      </c>
      <c r="D471" s="651">
        <v>4680115886124</v>
      </c>
      <c r="E471" s="651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4"/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si="65"/>
        <v>0</v>
      </c>
      <c r="BN471" s="78">
        <f t="shared" si="66"/>
        <v>0</v>
      </c>
      <c r="BO471" s="78">
        <f t="shared" si="67"/>
        <v>0</v>
      </c>
      <c r="BP471" s="78">
        <f t="shared" si="68"/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4301031362</v>
      </c>
      <c r="D472" s="651">
        <v>4607091384338</v>
      </c>
      <c r="E472" s="65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4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6" t="s">
        <v>762</v>
      </c>
      <c r="AG472" s="78"/>
      <c r="AJ472" s="84" t="s">
        <v>46</v>
      </c>
      <c r="AK472" s="84">
        <v>0</v>
      </c>
      <c r="BB472" s="567" t="s">
        <v>67</v>
      </c>
      <c r="BM472" s="78">
        <f t="shared" si="65"/>
        <v>0</v>
      </c>
      <c r="BN472" s="78">
        <f t="shared" si="66"/>
        <v>0</v>
      </c>
      <c r="BO472" s="78">
        <f t="shared" si="67"/>
        <v>0</v>
      </c>
      <c r="BP472" s="78">
        <f t="shared" si="68"/>
        <v>0</v>
      </c>
    </row>
    <row r="473" spans="1:68" ht="27" hidden="1" customHeight="1" x14ac:dyDescent="0.25">
      <c r="A473" s="63" t="s">
        <v>768</v>
      </c>
      <c r="B473" s="63" t="s">
        <v>769</v>
      </c>
      <c r="C473" s="36">
        <v>4301031364</v>
      </c>
      <c r="D473" s="651">
        <v>4680115883161</v>
      </c>
      <c r="E473" s="651"/>
      <c r="F473" s="62">
        <v>0.28000000000000003</v>
      </c>
      <c r="G473" s="37">
        <v>6</v>
      </c>
      <c r="H473" s="62">
        <v>1.68</v>
      </c>
      <c r="I473" s="62">
        <v>1.81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4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770</v>
      </c>
      <c r="AG473" s="78"/>
      <c r="AJ473" s="84" t="s">
        <v>46</v>
      </c>
      <c r="AK473" s="84">
        <v>0</v>
      </c>
      <c r="BB473" s="569" t="s">
        <v>67</v>
      </c>
      <c r="BM473" s="78">
        <f t="shared" si="65"/>
        <v>0</v>
      </c>
      <c r="BN473" s="78">
        <f t="shared" si="66"/>
        <v>0</v>
      </c>
      <c r="BO473" s="78">
        <f t="shared" si="67"/>
        <v>0</v>
      </c>
      <c r="BP473" s="78">
        <f t="shared" si="68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4301031358</v>
      </c>
      <c r="D474" s="651">
        <v>4607091389531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4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65"/>
        <v>0</v>
      </c>
      <c r="BN474" s="78">
        <f t="shared" si="66"/>
        <v>0</v>
      </c>
      <c r="BO474" s="78">
        <f t="shared" si="67"/>
        <v>0</v>
      </c>
      <c r="BP474" s="78">
        <f t="shared" si="68"/>
        <v>0</v>
      </c>
    </row>
    <row r="475" spans="1:68" ht="37.5" hidden="1" customHeight="1" x14ac:dyDescent="0.25">
      <c r="A475" s="63" t="s">
        <v>774</v>
      </c>
      <c r="B475" s="63" t="s">
        <v>775</v>
      </c>
      <c r="C475" s="36">
        <v>4301031360</v>
      </c>
      <c r="D475" s="651">
        <v>4607091384345</v>
      </c>
      <c r="E475" s="651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53"/>
      <c r="R475" s="653"/>
      <c r="S475" s="653"/>
      <c r="T475" s="65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4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770</v>
      </c>
      <c r="AG475" s="78"/>
      <c r="AJ475" s="84" t="s">
        <v>46</v>
      </c>
      <c r="AK475" s="84">
        <v>0</v>
      </c>
      <c r="BB475" s="573" t="s">
        <v>67</v>
      </c>
      <c r="BM475" s="78">
        <f t="shared" si="65"/>
        <v>0</v>
      </c>
      <c r="BN475" s="78">
        <f t="shared" si="66"/>
        <v>0</v>
      </c>
      <c r="BO475" s="78">
        <f t="shared" si="67"/>
        <v>0</v>
      </c>
      <c r="BP475" s="78">
        <f t="shared" si="68"/>
        <v>0</v>
      </c>
    </row>
    <row r="476" spans="1:68" hidden="1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39</v>
      </c>
      <c r="X476" s="43">
        <f>IFERROR(X470/H470,"0")+IFERROR(X471/H471,"0")+IFERROR(X472/H472,"0")+IFERROR(X473/H473,"0")+IFERROR(X474/H474,"0")+IFERROR(X475/H475,"0")</f>
        <v>0</v>
      </c>
      <c r="Y476" s="43">
        <f>IFERROR(Y470/H470,"0")+IFERROR(Y471/H471,"0")+IFERROR(Y472/H472,"0")+IFERROR(Y473/H473,"0")+IFERROR(Y474/H474,"0")+IFERROR(Y475/H475,"0")</f>
        <v>0</v>
      </c>
      <c r="Z476" s="43">
        <f>IFERROR(IF(Z470="",0,Z470),"0")+IFERROR(IF(Z471="",0,Z471),"0")+IFERROR(IF(Z472="",0,Z472),"0")+IFERROR(IF(Z473="",0,Z473),"0")+IFERROR(IF(Z474="",0,Z474),"0")+IFERROR(IF(Z475="",0,Z475),"0")</f>
        <v>0</v>
      </c>
      <c r="AA476" s="67"/>
      <c r="AB476" s="67"/>
      <c r="AC476" s="67"/>
    </row>
    <row r="477" spans="1:68" hidden="1" x14ac:dyDescent="0.2">
      <c r="A477" s="645"/>
      <c r="B477" s="645"/>
      <c r="C477" s="645"/>
      <c r="D477" s="645"/>
      <c r="E477" s="645"/>
      <c r="F477" s="645"/>
      <c r="G477" s="645"/>
      <c r="H477" s="645"/>
      <c r="I477" s="645"/>
      <c r="J477" s="645"/>
      <c r="K477" s="645"/>
      <c r="L477" s="645"/>
      <c r="M477" s="645"/>
      <c r="N477" s="645"/>
      <c r="O477" s="646"/>
      <c r="P477" s="642" t="s">
        <v>40</v>
      </c>
      <c r="Q477" s="643"/>
      <c r="R477" s="643"/>
      <c r="S477" s="643"/>
      <c r="T477" s="643"/>
      <c r="U477" s="643"/>
      <c r="V477" s="644"/>
      <c r="W477" s="42" t="s">
        <v>0</v>
      </c>
      <c r="X477" s="43">
        <f>IFERROR(SUM(X470:X475),"0")</f>
        <v>0</v>
      </c>
      <c r="Y477" s="43">
        <f>IFERROR(SUM(Y470:Y475),"0")</f>
        <v>0</v>
      </c>
      <c r="Z477" s="42"/>
      <c r="AA477" s="67"/>
      <c r="AB477" s="67"/>
      <c r="AC477" s="67"/>
    </row>
    <row r="478" spans="1:68" ht="14.25" hidden="1" customHeight="1" x14ac:dyDescent="0.25">
      <c r="A478" s="656" t="s">
        <v>85</v>
      </c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6"/>
      <c r="P478" s="656"/>
      <c r="Q478" s="656"/>
      <c r="R478" s="656"/>
      <c r="S478" s="656"/>
      <c r="T478" s="656"/>
      <c r="U478" s="656"/>
      <c r="V478" s="656"/>
      <c r="W478" s="656"/>
      <c r="X478" s="656"/>
      <c r="Y478" s="656"/>
      <c r="Z478" s="656"/>
      <c r="AA478" s="66"/>
      <c r="AB478" s="66"/>
      <c r="AC478" s="80"/>
    </row>
    <row r="479" spans="1:68" ht="27" hidden="1" customHeight="1" x14ac:dyDescent="0.25">
      <c r="A479" s="63" t="s">
        <v>776</v>
      </c>
      <c r="B479" s="63" t="s">
        <v>777</v>
      </c>
      <c r="C479" s="36">
        <v>4301051284</v>
      </c>
      <c r="D479" s="651">
        <v>4607091384352</v>
      </c>
      <c r="E479" s="651"/>
      <c r="F479" s="62">
        <v>0.6</v>
      </c>
      <c r="G479" s="37">
        <v>4</v>
      </c>
      <c r="H479" s="62">
        <v>2.4</v>
      </c>
      <c r="I479" s="62">
        <v>2.6259999999999999</v>
      </c>
      <c r="J479" s="37">
        <v>132</v>
      </c>
      <c r="K479" s="37" t="s">
        <v>135</v>
      </c>
      <c r="L479" s="37" t="s">
        <v>46</v>
      </c>
      <c r="M479" s="38" t="s">
        <v>89</v>
      </c>
      <c r="N479" s="38"/>
      <c r="O479" s="37">
        <v>45</v>
      </c>
      <c r="P479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74" t="s">
        <v>778</v>
      </c>
      <c r="AG479" s="78"/>
      <c r="AJ479" s="84" t="s">
        <v>46</v>
      </c>
      <c r="AK479" s="84">
        <v>0</v>
      </c>
      <c r="BB479" s="575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4301051431</v>
      </c>
      <c r="D480" s="651">
        <v>4607091389654</v>
      </c>
      <c r="E480" s="651"/>
      <c r="F480" s="62">
        <v>0.33</v>
      </c>
      <c r="G480" s="37">
        <v>6</v>
      </c>
      <c r="H480" s="62">
        <v>1.98</v>
      </c>
      <c r="I480" s="62">
        <v>2.238</v>
      </c>
      <c r="J480" s="37">
        <v>182</v>
      </c>
      <c r="K480" s="37" t="s">
        <v>90</v>
      </c>
      <c r="L480" s="37" t="s">
        <v>46</v>
      </c>
      <c r="M480" s="38" t="s">
        <v>89</v>
      </c>
      <c r="N480" s="38"/>
      <c r="O480" s="37">
        <v>45</v>
      </c>
      <c r="P480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53"/>
      <c r="R480" s="653"/>
      <c r="S480" s="653"/>
      <c r="T480" s="65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hidden="1" x14ac:dyDescent="0.2">
      <c r="A482" s="645"/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6"/>
      <c r="P482" s="642" t="s">
        <v>40</v>
      </c>
      <c r="Q482" s="643"/>
      <c r="R482" s="643"/>
      <c r="S482" s="643"/>
      <c r="T482" s="643"/>
      <c r="U482" s="643"/>
      <c r="V482" s="644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hidden="1" customHeight="1" x14ac:dyDescent="0.25">
      <c r="A483" s="655" t="s">
        <v>782</v>
      </c>
      <c r="B483" s="655"/>
      <c r="C483" s="655"/>
      <c r="D483" s="655"/>
      <c r="E483" s="655"/>
      <c r="F483" s="655"/>
      <c r="G483" s="655"/>
      <c r="H483" s="655"/>
      <c r="I483" s="655"/>
      <c r="J483" s="655"/>
      <c r="K483" s="655"/>
      <c r="L483" s="655"/>
      <c r="M483" s="655"/>
      <c r="N483" s="655"/>
      <c r="O483" s="655"/>
      <c r="P483" s="655"/>
      <c r="Q483" s="655"/>
      <c r="R483" s="655"/>
      <c r="S483" s="655"/>
      <c r="T483" s="655"/>
      <c r="U483" s="655"/>
      <c r="V483" s="655"/>
      <c r="W483" s="655"/>
      <c r="X483" s="655"/>
      <c r="Y483" s="655"/>
      <c r="Z483" s="655"/>
      <c r="AA483" s="65"/>
      <c r="AB483" s="65"/>
      <c r="AC483" s="79"/>
    </row>
    <row r="484" spans="1:68" ht="14.25" hidden="1" customHeight="1" x14ac:dyDescent="0.25">
      <c r="A484" s="656" t="s">
        <v>156</v>
      </c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6"/>
      <c r="P484" s="656"/>
      <c r="Q484" s="656"/>
      <c r="R484" s="656"/>
      <c r="S484" s="656"/>
      <c r="T484" s="656"/>
      <c r="U484" s="656"/>
      <c r="V484" s="656"/>
      <c r="W484" s="656"/>
      <c r="X484" s="656"/>
      <c r="Y484" s="656"/>
      <c r="Z484" s="656"/>
      <c r="AA484" s="66"/>
      <c r="AB484" s="66"/>
      <c r="AC484" s="80"/>
    </row>
    <row r="485" spans="1:68" ht="27" hidden="1" customHeight="1" x14ac:dyDescent="0.25">
      <c r="A485" s="63" t="s">
        <v>783</v>
      </c>
      <c r="B485" s="63" t="s">
        <v>784</v>
      </c>
      <c r="C485" s="36">
        <v>4301020416</v>
      </c>
      <c r="D485" s="651">
        <v>4680115885240</v>
      </c>
      <c r="E485" s="651"/>
      <c r="F485" s="62">
        <v>0.35</v>
      </c>
      <c r="G485" s="37">
        <v>6</v>
      </c>
      <c r="H485" s="62">
        <v>2.1</v>
      </c>
      <c r="I485" s="62">
        <v>2.31</v>
      </c>
      <c r="J485" s="37">
        <v>182</v>
      </c>
      <c r="K485" s="37" t="s">
        <v>90</v>
      </c>
      <c r="L485" s="37" t="s">
        <v>46</v>
      </c>
      <c r="M485" s="38" t="s">
        <v>80</v>
      </c>
      <c r="N485" s="38"/>
      <c r="O485" s="37">
        <v>40</v>
      </c>
      <c r="P485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53"/>
      <c r="R485" s="653"/>
      <c r="S485" s="653"/>
      <c r="T485" s="654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78" t="s">
        <v>785</v>
      </c>
      <c r="AG485" s="78"/>
      <c r="AJ485" s="84" t="s">
        <v>46</v>
      </c>
      <c r="AK485" s="84">
        <v>0</v>
      </c>
      <c r="BB485" s="579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hidden="1" x14ac:dyDescent="0.2">
      <c r="A487" s="645"/>
      <c r="B487" s="645"/>
      <c r="C487" s="645"/>
      <c r="D487" s="645"/>
      <c r="E487" s="645"/>
      <c r="F487" s="645"/>
      <c r="G487" s="645"/>
      <c r="H487" s="645"/>
      <c r="I487" s="645"/>
      <c r="J487" s="645"/>
      <c r="K487" s="645"/>
      <c r="L487" s="645"/>
      <c r="M487" s="645"/>
      <c r="N487" s="645"/>
      <c r="O487" s="646"/>
      <c r="P487" s="642" t="s">
        <v>40</v>
      </c>
      <c r="Q487" s="643"/>
      <c r="R487" s="643"/>
      <c r="S487" s="643"/>
      <c r="T487" s="643"/>
      <c r="U487" s="643"/>
      <c r="V487" s="644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4.25" hidden="1" customHeight="1" x14ac:dyDescent="0.25">
      <c r="A488" s="656" t="s">
        <v>76</v>
      </c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6"/>
      <c r="P488" s="656"/>
      <c r="Q488" s="656"/>
      <c r="R488" s="656"/>
      <c r="S488" s="656"/>
      <c r="T488" s="656"/>
      <c r="U488" s="656"/>
      <c r="V488" s="656"/>
      <c r="W488" s="656"/>
      <c r="X488" s="656"/>
      <c r="Y488" s="656"/>
      <c r="Z488" s="656"/>
      <c r="AA488" s="66"/>
      <c r="AB488" s="66"/>
      <c r="AC488" s="80"/>
    </row>
    <row r="489" spans="1:68" ht="27" hidden="1" customHeight="1" x14ac:dyDescent="0.25">
      <c r="A489" s="63" t="s">
        <v>786</v>
      </c>
      <c r="B489" s="63" t="s">
        <v>787</v>
      </c>
      <c r="C489" s="36">
        <v>4301031407</v>
      </c>
      <c r="D489" s="651">
        <v>4680115886094</v>
      </c>
      <c r="E489" s="651"/>
      <c r="F489" s="62">
        <v>0.9</v>
      </c>
      <c r="G489" s="37">
        <v>6</v>
      </c>
      <c r="H489" s="62">
        <v>5.4</v>
      </c>
      <c r="I489" s="62">
        <v>5.59</v>
      </c>
      <c r="J489" s="37">
        <v>132</v>
      </c>
      <c r="K489" s="37" t="s">
        <v>135</v>
      </c>
      <c r="L489" s="37" t="s">
        <v>46</v>
      </c>
      <c r="M489" s="38" t="s">
        <v>80</v>
      </c>
      <c r="N489" s="38"/>
      <c r="O489" s="37">
        <v>50</v>
      </c>
      <c r="P489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IFERROR(IF(Y489=0,"",ROUNDUP(Y489/H489,0)*0.00902),"")</f>
        <v/>
      </c>
      <c r="AA489" s="68" t="s">
        <v>46</v>
      </c>
      <c r="AB489" s="69" t="s">
        <v>46</v>
      </c>
      <c r="AC489" s="580" t="s">
        <v>788</v>
      </c>
      <c r="AG489" s="78"/>
      <c r="AJ489" s="84" t="s">
        <v>46</v>
      </c>
      <c r="AK489" s="84">
        <v>0</v>
      </c>
      <c r="BB489" s="581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789</v>
      </c>
      <c r="B490" s="63" t="s">
        <v>790</v>
      </c>
      <c r="C490" s="36">
        <v>4301031373</v>
      </c>
      <c r="D490" s="651">
        <v>4680115880771</v>
      </c>
      <c r="E490" s="651"/>
      <c r="F490" s="62">
        <v>0.28000000000000003</v>
      </c>
      <c r="G490" s="37">
        <v>6</v>
      </c>
      <c r="H490" s="62">
        <v>1.68</v>
      </c>
      <c r="I490" s="62">
        <v>1.81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4301031359</v>
      </c>
      <c r="D491" s="651">
        <v>4607091389500</v>
      </c>
      <c r="E491" s="651"/>
      <c r="F491" s="62">
        <v>0.35</v>
      </c>
      <c r="G491" s="37">
        <v>6</v>
      </c>
      <c r="H491" s="62">
        <v>2.1</v>
      </c>
      <c r="I491" s="62">
        <v>2.23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53"/>
      <c r="R491" s="653"/>
      <c r="S491" s="653"/>
      <c r="T491" s="65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791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idden="1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39</v>
      </c>
      <c r="X492" s="43">
        <f>IFERROR(X489/H489,"0")+IFERROR(X490/H490,"0")+IFERROR(X491/H491,"0")</f>
        <v>0</v>
      </c>
      <c r="Y492" s="43">
        <f>IFERROR(Y489/H489,"0")+IFERROR(Y490/H490,"0")+IFERROR(Y491/H491,"0")</f>
        <v>0</v>
      </c>
      <c r="Z492" s="43">
        <f>IFERROR(IF(Z489="",0,Z489),"0")+IFERROR(IF(Z490="",0,Z490),"0")+IFERROR(IF(Z491="",0,Z491),"0")</f>
        <v>0</v>
      </c>
      <c r="AA492" s="67"/>
      <c r="AB492" s="67"/>
      <c r="AC492" s="67"/>
    </row>
    <row r="493" spans="1:68" hidden="1" x14ac:dyDescent="0.2">
      <c r="A493" s="645"/>
      <c r="B493" s="645"/>
      <c r="C493" s="645"/>
      <c r="D493" s="645"/>
      <c r="E493" s="645"/>
      <c r="F493" s="645"/>
      <c r="G493" s="645"/>
      <c r="H493" s="645"/>
      <c r="I493" s="645"/>
      <c r="J493" s="645"/>
      <c r="K493" s="645"/>
      <c r="L493" s="645"/>
      <c r="M493" s="645"/>
      <c r="N493" s="645"/>
      <c r="O493" s="646"/>
      <c r="P493" s="642" t="s">
        <v>40</v>
      </c>
      <c r="Q493" s="643"/>
      <c r="R493" s="643"/>
      <c r="S493" s="643"/>
      <c r="T493" s="643"/>
      <c r="U493" s="643"/>
      <c r="V493" s="644"/>
      <c r="W493" s="42" t="s">
        <v>0</v>
      </c>
      <c r="X493" s="43">
        <f>IFERROR(SUM(X489:X491),"0")</f>
        <v>0</v>
      </c>
      <c r="Y493" s="43">
        <f>IFERROR(SUM(Y489:Y491),"0")</f>
        <v>0</v>
      </c>
      <c r="Z493" s="42"/>
      <c r="AA493" s="67"/>
      <c r="AB493" s="67"/>
      <c r="AC493" s="67"/>
    </row>
    <row r="494" spans="1:68" ht="27.75" hidden="1" customHeight="1" x14ac:dyDescent="0.2">
      <c r="A494" s="662" t="s">
        <v>794</v>
      </c>
      <c r="B494" s="662"/>
      <c r="C494" s="662"/>
      <c r="D494" s="662"/>
      <c r="E494" s="662"/>
      <c r="F494" s="662"/>
      <c r="G494" s="662"/>
      <c r="H494" s="662"/>
      <c r="I494" s="662"/>
      <c r="J494" s="662"/>
      <c r="K494" s="662"/>
      <c r="L494" s="662"/>
      <c r="M494" s="662"/>
      <c r="N494" s="662"/>
      <c r="O494" s="662"/>
      <c r="P494" s="662"/>
      <c r="Q494" s="662"/>
      <c r="R494" s="662"/>
      <c r="S494" s="662"/>
      <c r="T494" s="662"/>
      <c r="U494" s="662"/>
      <c r="V494" s="662"/>
      <c r="W494" s="662"/>
      <c r="X494" s="662"/>
      <c r="Y494" s="662"/>
      <c r="Z494" s="662"/>
      <c r="AA494" s="54"/>
      <c r="AB494" s="54"/>
      <c r="AC494" s="54"/>
    </row>
    <row r="495" spans="1:68" ht="16.5" hidden="1" customHeight="1" x14ac:dyDescent="0.25">
      <c r="A495" s="655" t="s">
        <v>794</v>
      </c>
      <c r="B495" s="655"/>
      <c r="C495" s="655"/>
      <c r="D495" s="655"/>
      <c r="E495" s="655"/>
      <c r="F495" s="655"/>
      <c r="G495" s="655"/>
      <c r="H495" s="655"/>
      <c r="I495" s="655"/>
      <c r="J495" s="655"/>
      <c r="K495" s="655"/>
      <c r="L495" s="655"/>
      <c r="M495" s="655"/>
      <c r="N495" s="655"/>
      <c r="O495" s="655"/>
      <c r="P495" s="655"/>
      <c r="Q495" s="655"/>
      <c r="R495" s="655"/>
      <c r="S495" s="655"/>
      <c r="T495" s="655"/>
      <c r="U495" s="655"/>
      <c r="V495" s="655"/>
      <c r="W495" s="655"/>
      <c r="X495" s="655"/>
      <c r="Y495" s="655"/>
      <c r="Z495" s="655"/>
      <c r="AA495" s="65"/>
      <c r="AB495" s="65"/>
      <c r="AC495" s="79"/>
    </row>
    <row r="496" spans="1:68" ht="14.25" hidden="1" customHeight="1" x14ac:dyDescent="0.25">
      <c r="A496" s="656" t="s">
        <v>123</v>
      </c>
      <c r="B496" s="656"/>
      <c r="C496" s="656"/>
      <c r="D496" s="656"/>
      <c r="E496" s="656"/>
      <c r="F496" s="656"/>
      <c r="G496" s="656"/>
      <c r="H496" s="656"/>
      <c r="I496" s="656"/>
      <c r="J496" s="656"/>
      <c r="K496" s="656"/>
      <c r="L496" s="656"/>
      <c r="M496" s="656"/>
      <c r="N496" s="656"/>
      <c r="O496" s="656"/>
      <c r="P496" s="656"/>
      <c r="Q496" s="656"/>
      <c r="R496" s="656"/>
      <c r="S496" s="656"/>
      <c r="T496" s="656"/>
      <c r="U496" s="656"/>
      <c r="V496" s="656"/>
      <c r="W496" s="656"/>
      <c r="X496" s="656"/>
      <c r="Y496" s="656"/>
      <c r="Z496" s="656"/>
      <c r="AA496" s="66"/>
      <c r="AB496" s="66"/>
      <c r="AC496" s="80"/>
    </row>
    <row r="497" spans="1:68" ht="27" hidden="1" customHeight="1" x14ac:dyDescent="0.25">
      <c r="A497" s="63" t="s">
        <v>795</v>
      </c>
      <c r="B497" s="63" t="s">
        <v>796</v>
      </c>
      <c r="C497" s="36">
        <v>4301011769</v>
      </c>
      <c r="D497" s="651">
        <v>4607091389067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128</v>
      </c>
      <c r="L497" s="37" t="s">
        <v>46</v>
      </c>
      <c r="M497" s="38" t="s">
        <v>89</v>
      </c>
      <c r="N497" s="38"/>
      <c r="O497" s="37">
        <v>60</v>
      </c>
      <c r="P497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ref="Y497:Y505" si="69">IFERROR(IF(X497="",0,CEILING((X497/$H497),1)*$H497),"")</f>
        <v>0</v>
      </c>
      <c r="Z497" s="41" t="str">
        <f t="shared" ref="Z497:Z502" si="70">IFERROR(IF(Y497=0,"",ROUNDUP(Y497/H497,0)*0.01196),"")</f>
        <v/>
      </c>
      <c r="AA497" s="68" t="s">
        <v>46</v>
      </c>
      <c r="AB497" s="69" t="s">
        <v>46</v>
      </c>
      <c r="AC497" s="586" t="s">
        <v>126</v>
      </c>
      <c r="AG497" s="78"/>
      <c r="AJ497" s="84" t="s">
        <v>46</v>
      </c>
      <c r="AK497" s="84">
        <v>0</v>
      </c>
      <c r="BB497" s="587" t="s">
        <v>67</v>
      </c>
      <c r="BM497" s="78">
        <f t="shared" ref="BM497:BM505" si="71">IFERROR(X497*I497/H497,"0")</f>
        <v>0</v>
      </c>
      <c r="BN497" s="78">
        <f t="shared" ref="BN497:BN505" si="72">IFERROR(Y497*I497/H497,"0")</f>
        <v>0</v>
      </c>
      <c r="BO497" s="78">
        <f t="shared" ref="BO497:BO505" si="73">IFERROR(1/J497*(X497/H497),"0")</f>
        <v>0</v>
      </c>
      <c r="BP497" s="78">
        <f t="shared" ref="BP497:BP505" si="74">IFERROR(1/J497*(Y497/H497),"0")</f>
        <v>0</v>
      </c>
    </row>
    <row r="498" spans="1:68" ht="16.5" hidden="1" customHeight="1" x14ac:dyDescent="0.25">
      <c r="A498" s="63" t="s">
        <v>797</v>
      </c>
      <c r="B498" s="63" t="s">
        <v>798</v>
      </c>
      <c r="C498" s="36">
        <v>4301012380</v>
      </c>
      <c r="D498" s="651">
        <v>4680115889576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127</v>
      </c>
      <c r="N498" s="38"/>
      <c r="O498" s="37">
        <v>60</v>
      </c>
      <c r="P498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9"/>
        <v>0</v>
      </c>
      <c r="Z498" s="41" t="str">
        <f t="shared" si="70"/>
        <v/>
      </c>
      <c r="AA498" s="68" t="s">
        <v>46</v>
      </c>
      <c r="AB498" s="69" t="s">
        <v>46</v>
      </c>
      <c r="AC498" s="588" t="s">
        <v>799</v>
      </c>
      <c r="AG498" s="78"/>
      <c r="AJ498" s="84" t="s">
        <v>46</v>
      </c>
      <c r="AK498" s="84">
        <v>0</v>
      </c>
      <c r="BB498" s="589" t="s">
        <v>67</v>
      </c>
      <c r="BM498" s="78">
        <f t="shared" si="71"/>
        <v>0</v>
      </c>
      <c r="BN498" s="78">
        <f t="shared" si="72"/>
        <v>0</v>
      </c>
      <c r="BO498" s="78">
        <f t="shared" si="73"/>
        <v>0</v>
      </c>
      <c r="BP498" s="78">
        <f t="shared" si="74"/>
        <v>0</v>
      </c>
    </row>
    <row r="499" spans="1:68" ht="27" hidden="1" customHeight="1" x14ac:dyDescent="0.25">
      <c r="A499" s="63" t="s">
        <v>800</v>
      </c>
      <c r="B499" s="63" t="s">
        <v>801</v>
      </c>
      <c r="C499" s="36">
        <v>4301011961</v>
      </c>
      <c r="D499" s="651">
        <v>4680115885271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9"/>
        <v>0</v>
      </c>
      <c r="Z499" s="41" t="str">
        <f t="shared" si="70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1"/>
        <v>0</v>
      </c>
      <c r="BN499" s="78">
        <f t="shared" si="72"/>
        <v>0</v>
      </c>
      <c r="BO499" s="78">
        <f t="shared" si="73"/>
        <v>0</v>
      </c>
      <c r="BP499" s="78">
        <f t="shared" si="74"/>
        <v>0</v>
      </c>
    </row>
    <row r="500" spans="1:68" ht="27" customHeight="1" x14ac:dyDescent="0.25">
      <c r="A500" s="63" t="s">
        <v>803</v>
      </c>
      <c r="B500" s="63" t="s">
        <v>804</v>
      </c>
      <c r="C500" s="36">
        <v>4301011369</v>
      </c>
      <c r="D500" s="651">
        <v>4680115885226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400</v>
      </c>
      <c r="Y500" s="55">
        <f t="shared" si="69"/>
        <v>401.28000000000003</v>
      </c>
      <c r="Z500" s="41">
        <f t="shared" si="70"/>
        <v>0.90895999999999999</v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1"/>
        <v>426.5151515151515</v>
      </c>
      <c r="BN500" s="78">
        <f t="shared" si="72"/>
        <v>427.88</v>
      </c>
      <c r="BO500" s="78">
        <f t="shared" si="73"/>
        <v>0.72843822843822836</v>
      </c>
      <c r="BP500" s="78">
        <f t="shared" si="74"/>
        <v>0.73076923076923084</v>
      </c>
    </row>
    <row r="501" spans="1:68" ht="16.5" hidden="1" customHeight="1" x14ac:dyDescent="0.25">
      <c r="A501" s="63" t="s">
        <v>806</v>
      </c>
      <c r="B501" s="63" t="s">
        <v>807</v>
      </c>
      <c r="C501" s="36">
        <v>4301011797</v>
      </c>
      <c r="D501" s="651">
        <v>4680115884502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89</v>
      </c>
      <c r="N501" s="38"/>
      <c r="O501" s="37">
        <v>60</v>
      </c>
      <c r="P501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9"/>
        <v>0</v>
      </c>
      <c r="Z501" s="41" t="str">
        <f t="shared" si="70"/>
        <v/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1"/>
        <v>0</v>
      </c>
      <c r="BN501" s="78">
        <f t="shared" si="72"/>
        <v>0</v>
      </c>
      <c r="BO501" s="78">
        <f t="shared" si="73"/>
        <v>0</v>
      </c>
      <c r="BP501" s="78">
        <f t="shared" si="74"/>
        <v>0</v>
      </c>
    </row>
    <row r="502" spans="1:68" ht="27" hidden="1" customHeight="1" x14ac:dyDescent="0.25">
      <c r="A502" s="63" t="s">
        <v>809</v>
      </c>
      <c r="B502" s="63" t="s">
        <v>810</v>
      </c>
      <c r="C502" s="36">
        <v>4301011771</v>
      </c>
      <c r="D502" s="651">
        <v>4607091389104</v>
      </c>
      <c r="E502" s="65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127</v>
      </c>
      <c r="N502" s="38"/>
      <c r="O502" s="37">
        <v>60</v>
      </c>
      <c r="P502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9"/>
        <v>0</v>
      </c>
      <c r="Z502" s="41" t="str">
        <f t="shared" si="70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1"/>
        <v>0</v>
      </c>
      <c r="BN502" s="78">
        <f t="shared" si="72"/>
        <v>0</v>
      </c>
      <c r="BO502" s="78">
        <f t="shared" si="73"/>
        <v>0</v>
      </c>
      <c r="BP502" s="78">
        <f t="shared" si="74"/>
        <v>0</v>
      </c>
    </row>
    <row r="503" spans="1:68" ht="27" hidden="1" customHeight="1" x14ac:dyDescent="0.25">
      <c r="A503" s="63" t="s">
        <v>812</v>
      </c>
      <c r="B503" s="63" t="s">
        <v>813</v>
      </c>
      <c r="C503" s="36">
        <v>4301012125</v>
      </c>
      <c r="D503" s="651">
        <v>4680115886391</v>
      </c>
      <c r="E503" s="651"/>
      <c r="F503" s="62">
        <v>0.4</v>
      </c>
      <c r="G503" s="37">
        <v>6</v>
      </c>
      <c r="H503" s="62">
        <v>2.4</v>
      </c>
      <c r="I503" s="62">
        <v>2.58</v>
      </c>
      <c r="J503" s="37">
        <v>182</v>
      </c>
      <c r="K503" s="37" t="s">
        <v>90</v>
      </c>
      <c r="L503" s="37" t="s">
        <v>46</v>
      </c>
      <c r="M503" s="38" t="s">
        <v>89</v>
      </c>
      <c r="N503" s="38"/>
      <c r="O503" s="37">
        <v>60</v>
      </c>
      <c r="P503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9"/>
        <v>0</v>
      </c>
      <c r="Z503" s="41" t="str">
        <f>IFERROR(IF(Y503=0,"",ROUNDUP(Y503/H503,0)*0.00651),"")</f>
        <v/>
      </c>
      <c r="AA503" s="68" t="s">
        <v>46</v>
      </c>
      <c r="AB503" s="69" t="s">
        <v>46</v>
      </c>
      <c r="AC503" s="598" t="s">
        <v>126</v>
      </c>
      <c r="AG503" s="78"/>
      <c r="AJ503" s="84" t="s">
        <v>46</v>
      </c>
      <c r="AK503" s="84">
        <v>0</v>
      </c>
      <c r="BB503" s="599" t="s">
        <v>67</v>
      </c>
      <c r="BM503" s="78">
        <f t="shared" si="71"/>
        <v>0</v>
      </c>
      <c r="BN503" s="78">
        <f t="shared" si="72"/>
        <v>0</v>
      </c>
      <c r="BO503" s="78">
        <f t="shared" si="73"/>
        <v>0</v>
      </c>
      <c r="BP503" s="78">
        <f t="shared" si="74"/>
        <v>0</v>
      </c>
    </row>
    <row r="504" spans="1:68" ht="27" hidden="1" customHeight="1" x14ac:dyDescent="0.25">
      <c r="A504" s="63" t="s">
        <v>814</v>
      </c>
      <c r="B504" s="63" t="s">
        <v>815</v>
      </c>
      <c r="C504" s="36">
        <v>4301012048</v>
      </c>
      <c r="D504" s="651">
        <v>4680115880603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135</v>
      </c>
      <c r="L504" s="37" t="s">
        <v>46</v>
      </c>
      <c r="M504" s="38" t="s">
        <v>89</v>
      </c>
      <c r="N504" s="38"/>
      <c r="O504" s="37">
        <v>60</v>
      </c>
      <c r="P504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9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1"/>
        <v>0</v>
      </c>
      <c r="BN504" s="78">
        <f t="shared" si="72"/>
        <v>0</v>
      </c>
      <c r="BO504" s="78">
        <f t="shared" si="73"/>
        <v>0</v>
      </c>
      <c r="BP504" s="78">
        <f t="shared" si="74"/>
        <v>0</v>
      </c>
    </row>
    <row r="505" spans="1:68" ht="27" hidden="1" customHeight="1" x14ac:dyDescent="0.25">
      <c r="A505" s="63" t="s">
        <v>816</v>
      </c>
      <c r="B505" s="63" t="s">
        <v>817</v>
      </c>
      <c r="C505" s="36">
        <v>4301012034</v>
      </c>
      <c r="D505" s="651">
        <v>4607091389982</v>
      </c>
      <c r="E505" s="651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127</v>
      </c>
      <c r="N505" s="38"/>
      <c r="O505" s="37">
        <v>60</v>
      </c>
      <c r="P505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53"/>
      <c r="R505" s="653"/>
      <c r="S505" s="653"/>
      <c r="T505" s="65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9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811</v>
      </c>
      <c r="AG505" s="78"/>
      <c r="AJ505" s="84" t="s">
        <v>46</v>
      </c>
      <c r="AK505" s="84">
        <v>0</v>
      </c>
      <c r="BB505" s="603" t="s">
        <v>67</v>
      </c>
      <c r="BM505" s="78">
        <f t="shared" si="71"/>
        <v>0</v>
      </c>
      <c r="BN505" s="78">
        <f t="shared" si="72"/>
        <v>0</v>
      </c>
      <c r="BO505" s="78">
        <f t="shared" si="73"/>
        <v>0</v>
      </c>
      <c r="BP505" s="78">
        <f t="shared" si="74"/>
        <v>0</v>
      </c>
    </row>
    <row r="506" spans="1:68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39</v>
      </c>
      <c r="X506" s="43">
        <f>IFERROR(X497/H497,"0")+IFERROR(X498/H498,"0")+IFERROR(X499/H499,"0")+IFERROR(X500/H500,"0")+IFERROR(X501/H501,"0")+IFERROR(X502/H502,"0")+IFERROR(X503/H503,"0")+IFERROR(X504/H504,"0")+IFERROR(X505/H505,"0")</f>
        <v>75.757575757575751</v>
      </c>
      <c r="Y506" s="43">
        <f>IFERROR(Y497/H497,"0")+IFERROR(Y498/H498,"0")+IFERROR(Y499/H499,"0")+IFERROR(Y500/H500,"0")+IFERROR(Y501/H501,"0")+IFERROR(Y502/H502,"0")+IFERROR(Y503/H503,"0")+IFERROR(Y504/H504,"0")+IFERROR(Y505/H505,"0")</f>
        <v>76</v>
      </c>
      <c r="Z506" s="43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0.90895999999999999</v>
      </c>
      <c r="AA506" s="67"/>
      <c r="AB506" s="67"/>
      <c r="AC506" s="67"/>
    </row>
    <row r="507" spans="1:68" x14ac:dyDescent="0.2">
      <c r="A507" s="645"/>
      <c r="B507" s="645"/>
      <c r="C507" s="645"/>
      <c r="D507" s="645"/>
      <c r="E507" s="645"/>
      <c r="F507" s="645"/>
      <c r="G507" s="645"/>
      <c r="H507" s="645"/>
      <c r="I507" s="645"/>
      <c r="J507" s="645"/>
      <c r="K507" s="645"/>
      <c r="L507" s="645"/>
      <c r="M507" s="645"/>
      <c r="N507" s="645"/>
      <c r="O507" s="646"/>
      <c r="P507" s="642" t="s">
        <v>40</v>
      </c>
      <c r="Q507" s="643"/>
      <c r="R507" s="643"/>
      <c r="S507" s="643"/>
      <c r="T507" s="643"/>
      <c r="U507" s="643"/>
      <c r="V507" s="644"/>
      <c r="W507" s="42" t="s">
        <v>0</v>
      </c>
      <c r="X507" s="43">
        <f>IFERROR(SUM(X497:X505),"0")</f>
        <v>400</v>
      </c>
      <c r="Y507" s="43">
        <f>IFERROR(SUM(Y497:Y505),"0")</f>
        <v>401.28000000000003</v>
      </c>
      <c r="Z507" s="42"/>
      <c r="AA507" s="67"/>
      <c r="AB507" s="67"/>
      <c r="AC507" s="67"/>
    </row>
    <row r="508" spans="1:68" ht="14.25" hidden="1" customHeight="1" x14ac:dyDescent="0.25">
      <c r="A508" s="656" t="s">
        <v>156</v>
      </c>
      <c r="B508" s="656"/>
      <c r="C508" s="656"/>
      <c r="D508" s="656"/>
      <c r="E508" s="656"/>
      <c r="F508" s="656"/>
      <c r="G508" s="656"/>
      <c r="H508" s="656"/>
      <c r="I508" s="656"/>
      <c r="J508" s="656"/>
      <c r="K508" s="656"/>
      <c r="L508" s="656"/>
      <c r="M508" s="656"/>
      <c r="N508" s="656"/>
      <c r="O508" s="656"/>
      <c r="P508" s="656"/>
      <c r="Q508" s="656"/>
      <c r="R508" s="656"/>
      <c r="S508" s="656"/>
      <c r="T508" s="656"/>
      <c r="U508" s="656"/>
      <c r="V508" s="656"/>
      <c r="W508" s="656"/>
      <c r="X508" s="656"/>
      <c r="Y508" s="656"/>
      <c r="Z508" s="656"/>
      <c r="AA508" s="66"/>
      <c r="AB508" s="66"/>
      <c r="AC508" s="80"/>
    </row>
    <row r="509" spans="1:68" ht="16.5" customHeight="1" x14ac:dyDescent="0.25">
      <c r="A509" s="63" t="s">
        <v>818</v>
      </c>
      <c r="B509" s="63" t="s">
        <v>819</v>
      </c>
      <c r="C509" s="36">
        <v>4301020334</v>
      </c>
      <c r="D509" s="651">
        <v>4607091388930</v>
      </c>
      <c r="E509" s="651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128</v>
      </c>
      <c r="L509" s="37" t="s">
        <v>46</v>
      </c>
      <c r="M509" s="38" t="s">
        <v>89</v>
      </c>
      <c r="N509" s="38"/>
      <c r="O509" s="37">
        <v>70</v>
      </c>
      <c r="P509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280</v>
      </c>
      <c r="Y509" s="55">
        <f>IFERROR(IF(X509="",0,CEILING((X509/$H509),1)*$H509),"")</f>
        <v>285.12</v>
      </c>
      <c r="Z509" s="41">
        <f>IFERROR(IF(Y509=0,"",ROUNDUP(Y509/H509,0)*0.01196),"")</f>
        <v>0.64583999999999997</v>
      </c>
      <c r="AA509" s="68" t="s">
        <v>46</v>
      </c>
      <c r="AB509" s="69" t="s">
        <v>46</v>
      </c>
      <c r="AC509" s="604" t="s">
        <v>820</v>
      </c>
      <c r="AG509" s="78"/>
      <c r="AJ509" s="84" t="s">
        <v>46</v>
      </c>
      <c r="AK509" s="84">
        <v>0</v>
      </c>
      <c r="BB509" s="605" t="s">
        <v>67</v>
      </c>
      <c r="BM509" s="78">
        <f>IFERROR(X509*I509/H509,"0")</f>
        <v>298.56060606060601</v>
      </c>
      <c r="BN509" s="78">
        <f>IFERROR(Y509*I509/H509,"0")</f>
        <v>304.02</v>
      </c>
      <c r="BO509" s="78">
        <f>IFERROR(1/J509*(X509/H509),"0")</f>
        <v>0.50990675990675993</v>
      </c>
      <c r="BP509" s="78">
        <f>IFERROR(1/J509*(Y509/H509),"0")</f>
        <v>0.51923076923076927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4301020374</v>
      </c>
      <c r="D510" s="651">
        <v>4680115886407</v>
      </c>
      <c r="E510" s="651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90</v>
      </c>
      <c r="L510" s="37" t="s">
        <v>46</v>
      </c>
      <c r="M510" s="38" t="s">
        <v>127</v>
      </c>
      <c r="N510" s="38"/>
      <c r="O510" s="37">
        <v>70</v>
      </c>
      <c r="P510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06" t="s">
        <v>820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6.5" hidden="1" customHeight="1" x14ac:dyDescent="0.25">
      <c r="A511" s="63" t="s">
        <v>823</v>
      </c>
      <c r="B511" s="63" t="s">
        <v>824</v>
      </c>
      <c r="C511" s="36">
        <v>4301020385</v>
      </c>
      <c r="D511" s="651">
        <v>4680115880054</v>
      </c>
      <c r="E511" s="651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135</v>
      </c>
      <c r="L511" s="37" t="s">
        <v>46</v>
      </c>
      <c r="M511" s="38" t="s">
        <v>127</v>
      </c>
      <c r="N511" s="38"/>
      <c r="O511" s="37">
        <v>70</v>
      </c>
      <c r="P511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53"/>
      <c r="R511" s="653"/>
      <c r="S511" s="653"/>
      <c r="T511" s="654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08" t="s">
        <v>820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39</v>
      </c>
      <c r="X512" s="43">
        <f>IFERROR(X509/H509,"0")+IFERROR(X510/H510,"0")+IFERROR(X511/H511,"0")</f>
        <v>53.030303030303031</v>
      </c>
      <c r="Y512" s="43">
        <f>IFERROR(Y509/H509,"0")+IFERROR(Y510/H510,"0")+IFERROR(Y511/H511,"0")</f>
        <v>54</v>
      </c>
      <c r="Z512" s="43">
        <f>IFERROR(IF(Z509="",0,Z509),"0")+IFERROR(IF(Z510="",0,Z510),"0")+IFERROR(IF(Z511="",0,Z511),"0")</f>
        <v>0.64583999999999997</v>
      </c>
      <c r="AA512" s="67"/>
      <c r="AB512" s="67"/>
      <c r="AC512" s="67"/>
    </row>
    <row r="513" spans="1:68" x14ac:dyDescent="0.2">
      <c r="A513" s="645"/>
      <c r="B513" s="645"/>
      <c r="C513" s="645"/>
      <c r="D513" s="645"/>
      <c r="E513" s="645"/>
      <c r="F513" s="645"/>
      <c r="G513" s="645"/>
      <c r="H513" s="645"/>
      <c r="I513" s="645"/>
      <c r="J513" s="645"/>
      <c r="K513" s="645"/>
      <c r="L513" s="645"/>
      <c r="M513" s="645"/>
      <c r="N513" s="645"/>
      <c r="O513" s="646"/>
      <c r="P513" s="642" t="s">
        <v>40</v>
      </c>
      <c r="Q513" s="643"/>
      <c r="R513" s="643"/>
      <c r="S513" s="643"/>
      <c r="T513" s="643"/>
      <c r="U513" s="643"/>
      <c r="V513" s="644"/>
      <c r="W513" s="42" t="s">
        <v>0</v>
      </c>
      <c r="X513" s="43">
        <f>IFERROR(SUM(X509:X511),"0")</f>
        <v>280</v>
      </c>
      <c r="Y513" s="43">
        <f>IFERROR(SUM(Y509:Y511),"0")</f>
        <v>285.12</v>
      </c>
      <c r="Z513" s="42"/>
      <c r="AA513" s="67"/>
      <c r="AB513" s="67"/>
      <c r="AC513" s="67"/>
    </row>
    <row r="514" spans="1:68" ht="14.25" hidden="1" customHeight="1" x14ac:dyDescent="0.25">
      <c r="A514" s="656" t="s">
        <v>76</v>
      </c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6"/>
      <c r="P514" s="656"/>
      <c r="Q514" s="656"/>
      <c r="R514" s="656"/>
      <c r="S514" s="656"/>
      <c r="T514" s="656"/>
      <c r="U514" s="656"/>
      <c r="V514" s="656"/>
      <c r="W514" s="656"/>
      <c r="X514" s="656"/>
      <c r="Y514" s="656"/>
      <c r="Z514" s="656"/>
      <c r="AA514" s="66"/>
      <c r="AB514" s="66"/>
      <c r="AC514" s="80"/>
    </row>
    <row r="515" spans="1:68" ht="27" hidden="1" customHeight="1" x14ac:dyDescent="0.25">
      <c r="A515" s="63" t="s">
        <v>825</v>
      </c>
      <c r="B515" s="63" t="s">
        <v>826</v>
      </c>
      <c r="C515" s="36">
        <v>4301031349</v>
      </c>
      <c r="D515" s="651">
        <v>4680115883116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128</v>
      </c>
      <c r="L515" s="37" t="s">
        <v>46</v>
      </c>
      <c r="M515" s="38" t="s">
        <v>127</v>
      </c>
      <c r="N515" s="38"/>
      <c r="O515" s="37">
        <v>70</v>
      </c>
      <c r="P515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ref="Y515:Y521" si="75">IFERROR(IF(X515="",0,CEILING((X515/$H515),1)*$H515),"")</f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0" t="s">
        <v>827</v>
      </c>
      <c r="AG515" s="78"/>
      <c r="AJ515" s="84" t="s">
        <v>46</v>
      </c>
      <c r="AK515" s="84">
        <v>0</v>
      </c>
      <c r="BB515" s="611" t="s">
        <v>67</v>
      </c>
      <c r="BM515" s="78">
        <f t="shared" ref="BM515:BM521" si="76">IFERROR(X515*I515/H515,"0")</f>
        <v>0</v>
      </c>
      <c r="BN515" s="78">
        <f t="shared" ref="BN515:BN521" si="77">IFERROR(Y515*I515/H515,"0")</f>
        <v>0</v>
      </c>
      <c r="BO515" s="78">
        <f t="shared" ref="BO515:BO521" si="78">IFERROR(1/J515*(X515/H515),"0")</f>
        <v>0</v>
      </c>
      <c r="BP515" s="78">
        <f t="shared" ref="BP515:BP521" si="79">IFERROR(1/J515*(Y515/H515),"0")</f>
        <v>0</v>
      </c>
    </row>
    <row r="516" spans="1:68" ht="27" hidden="1" customHeight="1" x14ac:dyDescent="0.25">
      <c r="A516" s="63" t="s">
        <v>828</v>
      </c>
      <c r="B516" s="63" t="s">
        <v>829</v>
      </c>
      <c r="C516" s="36">
        <v>4301031350</v>
      </c>
      <c r="D516" s="651">
        <v>4680115883093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80</v>
      </c>
      <c r="N516" s="38"/>
      <c r="O516" s="37">
        <v>70</v>
      </c>
      <c r="P516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5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si="76"/>
        <v>0</v>
      </c>
      <c r="BN516" s="78">
        <f t="shared" si="77"/>
        <v>0</v>
      </c>
      <c r="BO516" s="78">
        <f t="shared" si="78"/>
        <v>0</v>
      </c>
      <c r="BP516" s="78">
        <f t="shared" si="79"/>
        <v>0</v>
      </c>
    </row>
    <row r="517" spans="1:68" ht="27" hidden="1" customHeight="1" x14ac:dyDescent="0.25">
      <c r="A517" s="63" t="s">
        <v>831</v>
      </c>
      <c r="B517" s="63" t="s">
        <v>832</v>
      </c>
      <c r="C517" s="36">
        <v>4301031353</v>
      </c>
      <c r="D517" s="651">
        <v>4680115883109</v>
      </c>
      <c r="E517" s="651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5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76"/>
        <v>0</v>
      </c>
      <c r="BN517" s="78">
        <f t="shared" si="77"/>
        <v>0</v>
      </c>
      <c r="BO517" s="78">
        <f t="shared" si="78"/>
        <v>0</v>
      </c>
      <c r="BP517" s="78">
        <f t="shared" si="79"/>
        <v>0</v>
      </c>
    </row>
    <row r="518" spans="1:68" ht="27" hidden="1" customHeight="1" x14ac:dyDescent="0.25">
      <c r="A518" s="63" t="s">
        <v>834</v>
      </c>
      <c r="B518" s="63" t="s">
        <v>835</v>
      </c>
      <c r="C518" s="36">
        <v>4301031419</v>
      </c>
      <c r="D518" s="651">
        <v>4680115882072</v>
      </c>
      <c r="E518" s="651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135</v>
      </c>
      <c r="L518" s="37" t="s">
        <v>46</v>
      </c>
      <c r="M518" s="38" t="s">
        <v>127</v>
      </c>
      <c r="N518" s="38"/>
      <c r="O518" s="37">
        <v>70</v>
      </c>
      <c r="P518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5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6" t="s">
        <v>827</v>
      </c>
      <c r="AG518" s="78"/>
      <c r="AJ518" s="84" t="s">
        <v>46</v>
      </c>
      <c r="AK518" s="84">
        <v>0</v>
      </c>
      <c r="BB518" s="617" t="s">
        <v>67</v>
      </c>
      <c r="BM518" s="78">
        <f t="shared" si="76"/>
        <v>0</v>
      </c>
      <c r="BN518" s="78">
        <f t="shared" si="77"/>
        <v>0</v>
      </c>
      <c r="BO518" s="78">
        <f t="shared" si="78"/>
        <v>0</v>
      </c>
      <c r="BP518" s="78">
        <f t="shared" si="79"/>
        <v>0</v>
      </c>
    </row>
    <row r="519" spans="1:68" ht="27" hidden="1" customHeight="1" x14ac:dyDescent="0.25">
      <c r="A519" s="63" t="s">
        <v>836</v>
      </c>
      <c r="B519" s="63" t="s">
        <v>837</v>
      </c>
      <c r="C519" s="36">
        <v>4301031352</v>
      </c>
      <c r="D519" s="651">
        <v>4680115882102</v>
      </c>
      <c r="E519" s="651"/>
      <c r="F519" s="62">
        <v>0.6</v>
      </c>
      <c r="G519" s="37">
        <v>6</v>
      </c>
      <c r="H519" s="62">
        <v>3.6</v>
      </c>
      <c r="I519" s="62">
        <v>3.79</v>
      </c>
      <c r="J519" s="37">
        <v>132</v>
      </c>
      <c r="K519" s="37" t="s">
        <v>135</v>
      </c>
      <c r="L519" s="37" t="s">
        <v>46</v>
      </c>
      <c r="M519" s="38" t="s">
        <v>80</v>
      </c>
      <c r="N519" s="38"/>
      <c r="O519" s="37">
        <v>70</v>
      </c>
      <c r="P519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5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76"/>
        <v>0</v>
      </c>
      <c r="BN519" s="78">
        <f t="shared" si="77"/>
        <v>0</v>
      </c>
      <c r="BO519" s="78">
        <f t="shared" si="78"/>
        <v>0</v>
      </c>
      <c r="BP519" s="78">
        <f t="shared" si="79"/>
        <v>0</v>
      </c>
    </row>
    <row r="520" spans="1:68" ht="27" hidden="1" customHeight="1" x14ac:dyDescent="0.25">
      <c r="A520" s="63" t="s">
        <v>836</v>
      </c>
      <c r="B520" s="63" t="s">
        <v>838</v>
      </c>
      <c r="C520" s="36">
        <v>4301031418</v>
      </c>
      <c r="D520" s="651">
        <v>4680115882102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5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830</v>
      </c>
      <c r="AG520" s="78"/>
      <c r="AJ520" s="84" t="s">
        <v>46</v>
      </c>
      <c r="AK520" s="84">
        <v>0</v>
      </c>
      <c r="BB520" s="621" t="s">
        <v>67</v>
      </c>
      <c r="BM520" s="78">
        <f t="shared" si="76"/>
        <v>0</v>
      </c>
      <c r="BN520" s="78">
        <f t="shared" si="77"/>
        <v>0</v>
      </c>
      <c r="BO520" s="78">
        <f t="shared" si="78"/>
        <v>0</v>
      </c>
      <c r="BP520" s="78">
        <f t="shared" si="79"/>
        <v>0</v>
      </c>
    </row>
    <row r="521" spans="1:68" ht="27" hidden="1" customHeight="1" x14ac:dyDescent="0.25">
      <c r="A521" s="63" t="s">
        <v>839</v>
      </c>
      <c r="B521" s="63" t="s">
        <v>840</v>
      </c>
      <c r="C521" s="36">
        <v>4301031417</v>
      </c>
      <c r="D521" s="651">
        <v>4680115882096</v>
      </c>
      <c r="E521" s="651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53"/>
      <c r="R521" s="653"/>
      <c r="S521" s="653"/>
      <c r="T521" s="654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5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76"/>
        <v>0</v>
      </c>
      <c r="BN521" s="78">
        <f t="shared" si="77"/>
        <v>0</v>
      </c>
      <c r="BO521" s="78">
        <f t="shared" si="78"/>
        <v>0</v>
      </c>
      <c r="BP521" s="78">
        <f t="shared" si="79"/>
        <v>0</v>
      </c>
    </row>
    <row r="522" spans="1:68" hidden="1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39</v>
      </c>
      <c r="X522" s="43">
        <f>IFERROR(X515/H515,"0")+IFERROR(X516/H516,"0")+IFERROR(X517/H517,"0")+IFERROR(X518/H518,"0")+IFERROR(X519/H519,"0")+IFERROR(X520/H520,"0")+IFERROR(X521/H521,"0")</f>
        <v>0</v>
      </c>
      <c r="Y522" s="43">
        <f>IFERROR(Y515/H515,"0")+IFERROR(Y516/H516,"0")+IFERROR(Y517/H517,"0")+IFERROR(Y518/H518,"0")+IFERROR(Y519/H519,"0")+IFERROR(Y520/H520,"0")+IFERROR(Y521/H521,"0")</f>
        <v>0</v>
      </c>
      <c r="Z522" s="43">
        <f>IFERROR(IF(Z515="",0,Z515),"0")+IFERROR(IF(Z516="",0,Z516),"0")+IFERROR(IF(Z517="",0,Z517),"0")+IFERROR(IF(Z518="",0,Z518),"0")+IFERROR(IF(Z519="",0,Z519),"0")+IFERROR(IF(Z520="",0,Z520),"0")+IFERROR(IF(Z521="",0,Z521),"0")</f>
        <v>0</v>
      </c>
      <c r="AA522" s="67"/>
      <c r="AB522" s="67"/>
      <c r="AC522" s="67"/>
    </row>
    <row r="523" spans="1:68" hidden="1" x14ac:dyDescent="0.2">
      <c r="A523" s="645"/>
      <c r="B523" s="645"/>
      <c r="C523" s="645"/>
      <c r="D523" s="645"/>
      <c r="E523" s="645"/>
      <c r="F523" s="645"/>
      <c r="G523" s="645"/>
      <c r="H523" s="645"/>
      <c r="I523" s="645"/>
      <c r="J523" s="645"/>
      <c r="K523" s="645"/>
      <c r="L523" s="645"/>
      <c r="M523" s="645"/>
      <c r="N523" s="645"/>
      <c r="O523" s="646"/>
      <c r="P523" s="642" t="s">
        <v>40</v>
      </c>
      <c r="Q523" s="643"/>
      <c r="R523" s="643"/>
      <c r="S523" s="643"/>
      <c r="T523" s="643"/>
      <c r="U523" s="643"/>
      <c r="V523" s="644"/>
      <c r="W523" s="42" t="s">
        <v>0</v>
      </c>
      <c r="X523" s="43">
        <f>IFERROR(SUM(X515:X521),"0")</f>
        <v>0</v>
      </c>
      <c r="Y523" s="43">
        <f>IFERROR(SUM(Y515:Y521),"0")</f>
        <v>0</v>
      </c>
      <c r="Z523" s="42"/>
      <c r="AA523" s="67"/>
      <c r="AB523" s="67"/>
      <c r="AC523" s="67"/>
    </row>
    <row r="524" spans="1:68" ht="27.75" hidden="1" customHeight="1" x14ac:dyDescent="0.2">
      <c r="A524" s="662" t="s">
        <v>841</v>
      </c>
      <c r="B524" s="662"/>
      <c r="C524" s="662"/>
      <c r="D524" s="662"/>
      <c r="E524" s="662"/>
      <c r="F524" s="662"/>
      <c r="G524" s="662"/>
      <c r="H524" s="662"/>
      <c r="I524" s="662"/>
      <c r="J524" s="662"/>
      <c r="K524" s="662"/>
      <c r="L524" s="662"/>
      <c r="M524" s="662"/>
      <c r="N524" s="662"/>
      <c r="O524" s="662"/>
      <c r="P524" s="662"/>
      <c r="Q524" s="662"/>
      <c r="R524" s="662"/>
      <c r="S524" s="662"/>
      <c r="T524" s="662"/>
      <c r="U524" s="662"/>
      <c r="V524" s="662"/>
      <c r="W524" s="662"/>
      <c r="X524" s="662"/>
      <c r="Y524" s="662"/>
      <c r="Z524" s="662"/>
      <c r="AA524" s="54"/>
      <c r="AB524" s="54"/>
      <c r="AC524" s="54"/>
    </row>
    <row r="525" spans="1:68" ht="16.5" hidden="1" customHeight="1" x14ac:dyDescent="0.25">
      <c r="A525" s="655" t="s">
        <v>841</v>
      </c>
      <c r="B525" s="655"/>
      <c r="C525" s="655"/>
      <c r="D525" s="655"/>
      <c r="E525" s="655"/>
      <c r="F525" s="655"/>
      <c r="G525" s="655"/>
      <c r="H525" s="655"/>
      <c r="I525" s="655"/>
      <c r="J525" s="655"/>
      <c r="K525" s="655"/>
      <c r="L525" s="655"/>
      <c r="M525" s="655"/>
      <c r="N525" s="655"/>
      <c r="O525" s="655"/>
      <c r="P525" s="655"/>
      <c r="Q525" s="655"/>
      <c r="R525" s="655"/>
      <c r="S525" s="655"/>
      <c r="T525" s="655"/>
      <c r="U525" s="655"/>
      <c r="V525" s="655"/>
      <c r="W525" s="655"/>
      <c r="X525" s="655"/>
      <c r="Y525" s="655"/>
      <c r="Z525" s="655"/>
      <c r="AA525" s="65"/>
      <c r="AB525" s="65"/>
      <c r="AC525" s="79"/>
    </row>
    <row r="526" spans="1:68" ht="14.25" hidden="1" customHeight="1" x14ac:dyDescent="0.25">
      <c r="A526" s="656" t="s">
        <v>123</v>
      </c>
      <c r="B526" s="656"/>
      <c r="C526" s="656"/>
      <c r="D526" s="656"/>
      <c r="E526" s="656"/>
      <c r="F526" s="656"/>
      <c r="G526" s="656"/>
      <c r="H526" s="656"/>
      <c r="I526" s="656"/>
      <c r="J526" s="656"/>
      <c r="K526" s="656"/>
      <c r="L526" s="656"/>
      <c r="M526" s="656"/>
      <c r="N526" s="656"/>
      <c r="O526" s="656"/>
      <c r="P526" s="656"/>
      <c r="Q526" s="656"/>
      <c r="R526" s="656"/>
      <c r="S526" s="656"/>
      <c r="T526" s="656"/>
      <c r="U526" s="656"/>
      <c r="V526" s="656"/>
      <c r="W526" s="656"/>
      <c r="X526" s="656"/>
      <c r="Y526" s="656"/>
      <c r="Z526" s="656"/>
      <c r="AA526" s="66"/>
      <c r="AB526" s="66"/>
      <c r="AC526" s="80"/>
    </row>
    <row r="527" spans="1:68" ht="27" hidden="1" customHeight="1" x14ac:dyDescent="0.25">
      <c r="A527" s="63" t="s">
        <v>842</v>
      </c>
      <c r="B527" s="63" t="s">
        <v>843</v>
      </c>
      <c r="C527" s="36">
        <v>4301011584</v>
      </c>
      <c r="D527" s="651">
        <v>4640242180564</v>
      </c>
      <c r="E527" s="651"/>
      <c r="F527" s="62">
        <v>1.5</v>
      </c>
      <c r="G527" s="37">
        <v>8</v>
      </c>
      <c r="H527" s="62">
        <v>12</v>
      </c>
      <c r="I527" s="62">
        <v>12.41</v>
      </c>
      <c r="J527" s="37">
        <v>64</v>
      </c>
      <c r="K527" s="37" t="s">
        <v>128</v>
      </c>
      <c r="L527" s="37" t="s">
        <v>46</v>
      </c>
      <c r="M527" s="38" t="s">
        <v>127</v>
      </c>
      <c r="N527" s="38"/>
      <c r="O527" s="37">
        <v>50</v>
      </c>
      <c r="P527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53"/>
      <c r="R527" s="653"/>
      <c r="S527" s="653"/>
      <c r="T527" s="654"/>
      <c r="U527" s="39" t="s">
        <v>46</v>
      </c>
      <c r="V527" s="39" t="s">
        <v>46</v>
      </c>
      <c r="W527" s="40" t="s">
        <v>0</v>
      </c>
      <c r="X527" s="58">
        <v>0</v>
      </c>
      <c r="Y527" s="55">
        <f>IFERROR(IF(X527="",0,CEILING((X527/$H527),1)*$H527),"")</f>
        <v>0</v>
      </c>
      <c r="Z527" s="41" t="str">
        <f>IFERROR(IF(Y527=0,"",ROUNDUP(Y527/H527,0)*0.01898),"")</f>
        <v/>
      </c>
      <c r="AA527" s="68" t="s">
        <v>46</v>
      </c>
      <c r="AB527" s="69" t="s">
        <v>46</v>
      </c>
      <c r="AC527" s="624" t="s">
        <v>844</v>
      </c>
      <c r="AG527" s="78"/>
      <c r="AJ527" s="84" t="s">
        <v>46</v>
      </c>
      <c r="AK527" s="84">
        <v>0</v>
      </c>
      <c r="BB527" s="625" t="s">
        <v>67</v>
      </c>
      <c r="BM527" s="78">
        <f>IFERROR(X527*I527/H527,"0")</f>
        <v>0</v>
      </c>
      <c r="BN527" s="78">
        <f>IFERROR(Y527*I527/H527,"0")</f>
        <v>0</v>
      </c>
      <c r="BO527" s="78">
        <f>IFERROR(1/J527*(X527/H527),"0")</f>
        <v>0</v>
      </c>
      <c r="BP527" s="78">
        <f>IFERROR(1/J527*(Y527/H527),"0")</f>
        <v>0</v>
      </c>
    </row>
    <row r="528" spans="1:68" hidden="1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39</v>
      </c>
      <c r="X528" s="43">
        <f>IFERROR(X527/H527,"0")</f>
        <v>0</v>
      </c>
      <c r="Y528" s="43">
        <f>IFERROR(Y527/H527,"0")</f>
        <v>0</v>
      </c>
      <c r="Z528" s="43">
        <f>IFERROR(IF(Z527="",0,Z527),"0")</f>
        <v>0</v>
      </c>
      <c r="AA528" s="67"/>
      <c r="AB528" s="67"/>
      <c r="AC528" s="67"/>
    </row>
    <row r="529" spans="1:68" hidden="1" x14ac:dyDescent="0.2">
      <c r="A529" s="645"/>
      <c r="B529" s="645"/>
      <c r="C529" s="645"/>
      <c r="D529" s="645"/>
      <c r="E529" s="645"/>
      <c r="F529" s="645"/>
      <c r="G529" s="645"/>
      <c r="H529" s="645"/>
      <c r="I529" s="645"/>
      <c r="J529" s="645"/>
      <c r="K529" s="645"/>
      <c r="L529" s="645"/>
      <c r="M529" s="645"/>
      <c r="N529" s="645"/>
      <c r="O529" s="646"/>
      <c r="P529" s="642" t="s">
        <v>40</v>
      </c>
      <c r="Q529" s="643"/>
      <c r="R529" s="643"/>
      <c r="S529" s="643"/>
      <c r="T529" s="643"/>
      <c r="U529" s="643"/>
      <c r="V529" s="644"/>
      <c r="W529" s="42" t="s">
        <v>0</v>
      </c>
      <c r="X529" s="43">
        <f>IFERROR(SUM(X527:X527),"0")</f>
        <v>0</v>
      </c>
      <c r="Y529" s="43">
        <f>IFERROR(SUM(Y527:Y527),"0")</f>
        <v>0</v>
      </c>
      <c r="Z529" s="42"/>
      <c r="AA529" s="67"/>
      <c r="AB529" s="67"/>
      <c r="AC529" s="67"/>
    </row>
    <row r="530" spans="1:68" ht="14.25" hidden="1" customHeight="1" x14ac:dyDescent="0.25">
      <c r="A530" s="656" t="s">
        <v>156</v>
      </c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6"/>
      <c r="P530" s="656"/>
      <c r="Q530" s="656"/>
      <c r="R530" s="656"/>
      <c r="S530" s="656"/>
      <c r="T530" s="656"/>
      <c r="U530" s="656"/>
      <c r="V530" s="656"/>
      <c r="W530" s="656"/>
      <c r="X530" s="656"/>
      <c r="Y530" s="656"/>
      <c r="Z530" s="656"/>
      <c r="AA530" s="66"/>
      <c r="AB530" s="66"/>
      <c r="AC530" s="80"/>
    </row>
    <row r="531" spans="1:68" ht="27" hidden="1" customHeight="1" x14ac:dyDescent="0.25">
      <c r="A531" s="63" t="s">
        <v>845</v>
      </c>
      <c r="B531" s="63" t="s">
        <v>846</v>
      </c>
      <c r="C531" s="36">
        <v>4301020400</v>
      </c>
      <c r="D531" s="651">
        <v>4640242180519</v>
      </c>
      <c r="E531" s="65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128</v>
      </c>
      <c r="L531" s="37" t="s">
        <v>46</v>
      </c>
      <c r="M531" s="38" t="s">
        <v>127</v>
      </c>
      <c r="N531" s="38"/>
      <c r="O531" s="37">
        <v>50</v>
      </c>
      <c r="P531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53"/>
      <c r="R531" s="653"/>
      <c r="S531" s="653"/>
      <c r="T531" s="65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26" t="s">
        <v>847</v>
      </c>
      <c r="AG531" s="78"/>
      <c r="AJ531" s="84" t="s">
        <v>46</v>
      </c>
      <c r="AK531" s="84">
        <v>0</v>
      </c>
      <c r="BB531" s="627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45"/>
      <c r="B533" s="645"/>
      <c r="C533" s="645"/>
      <c r="D533" s="645"/>
      <c r="E533" s="645"/>
      <c r="F533" s="645"/>
      <c r="G533" s="645"/>
      <c r="H533" s="645"/>
      <c r="I533" s="645"/>
      <c r="J533" s="645"/>
      <c r="K533" s="645"/>
      <c r="L533" s="645"/>
      <c r="M533" s="645"/>
      <c r="N533" s="645"/>
      <c r="O533" s="646"/>
      <c r="P533" s="642" t="s">
        <v>40</v>
      </c>
      <c r="Q533" s="643"/>
      <c r="R533" s="643"/>
      <c r="S533" s="643"/>
      <c r="T533" s="643"/>
      <c r="U533" s="643"/>
      <c r="V533" s="644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4.25" hidden="1" customHeight="1" x14ac:dyDescent="0.25">
      <c r="A534" s="656" t="s">
        <v>76</v>
      </c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6"/>
      <c r="P534" s="656"/>
      <c r="Q534" s="656"/>
      <c r="R534" s="656"/>
      <c r="S534" s="656"/>
      <c r="T534" s="656"/>
      <c r="U534" s="656"/>
      <c r="V534" s="656"/>
      <c r="W534" s="656"/>
      <c r="X534" s="656"/>
      <c r="Y534" s="656"/>
      <c r="Z534" s="656"/>
      <c r="AA534" s="66"/>
      <c r="AB534" s="66"/>
      <c r="AC534" s="80"/>
    </row>
    <row r="535" spans="1:68" ht="27" hidden="1" customHeight="1" x14ac:dyDescent="0.25">
      <c r="A535" s="63" t="s">
        <v>848</v>
      </c>
      <c r="B535" s="63" t="s">
        <v>849</v>
      </c>
      <c r="C535" s="36">
        <v>4301031500</v>
      </c>
      <c r="D535" s="651">
        <v>4640242180595</v>
      </c>
      <c r="E535" s="651"/>
      <c r="F535" s="62">
        <v>0.7</v>
      </c>
      <c r="G535" s="37">
        <v>6</v>
      </c>
      <c r="H535" s="62">
        <v>4.2</v>
      </c>
      <c r="I535" s="62">
        <v>4.45</v>
      </c>
      <c r="J535" s="37">
        <v>132</v>
      </c>
      <c r="K535" s="37" t="s">
        <v>135</v>
      </c>
      <c r="L535" s="37" t="s">
        <v>46</v>
      </c>
      <c r="M535" s="38" t="s">
        <v>80</v>
      </c>
      <c r="N535" s="38"/>
      <c r="O535" s="37">
        <v>40</v>
      </c>
      <c r="P535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53"/>
      <c r="R535" s="653"/>
      <c r="S535" s="653"/>
      <c r="T535" s="654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IFERROR(IF(Y535=0,"",ROUNDUP(Y535/H535,0)*0.00902),"")</f>
        <v/>
      </c>
      <c r="AA535" s="68" t="s">
        <v>46</v>
      </c>
      <c r="AB535" s="69" t="s">
        <v>46</v>
      </c>
      <c r="AC535" s="628" t="s">
        <v>850</v>
      </c>
      <c r="AG535" s="78"/>
      <c r="AJ535" s="84" t="s">
        <v>46</v>
      </c>
      <c r="AK535" s="84">
        <v>0</v>
      </c>
      <c r="BB535" s="629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45"/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6"/>
      <c r="P537" s="642" t="s">
        <v>40</v>
      </c>
      <c r="Q537" s="643"/>
      <c r="R537" s="643"/>
      <c r="S537" s="643"/>
      <c r="T537" s="643"/>
      <c r="U537" s="643"/>
      <c r="V537" s="644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56" t="s">
        <v>85</v>
      </c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6"/>
      <c r="P538" s="656"/>
      <c r="Q538" s="656"/>
      <c r="R538" s="656"/>
      <c r="S538" s="656"/>
      <c r="T538" s="656"/>
      <c r="U538" s="656"/>
      <c r="V538" s="656"/>
      <c r="W538" s="656"/>
      <c r="X538" s="656"/>
      <c r="Y538" s="656"/>
      <c r="Z538" s="656"/>
      <c r="AA538" s="66"/>
      <c r="AB538" s="66"/>
      <c r="AC538" s="80"/>
    </row>
    <row r="539" spans="1:68" ht="27" hidden="1" customHeight="1" x14ac:dyDescent="0.25">
      <c r="A539" s="63" t="s">
        <v>851</v>
      </c>
      <c r="B539" s="63" t="s">
        <v>852</v>
      </c>
      <c r="C539" s="36">
        <v>4301052043</v>
      </c>
      <c r="D539" s="651">
        <v>4640242180533</v>
      </c>
      <c r="E539" s="651"/>
      <c r="F539" s="62">
        <v>1.5</v>
      </c>
      <c r="G539" s="37">
        <v>6</v>
      </c>
      <c r="H539" s="62">
        <v>9</v>
      </c>
      <c r="I539" s="62">
        <v>9.4939999999999998</v>
      </c>
      <c r="J539" s="37">
        <v>64</v>
      </c>
      <c r="K539" s="37" t="s">
        <v>128</v>
      </c>
      <c r="L539" s="37" t="s">
        <v>46</v>
      </c>
      <c r="M539" s="38" t="s">
        <v>89</v>
      </c>
      <c r="N539" s="38"/>
      <c r="O539" s="37">
        <v>45</v>
      </c>
      <c r="P539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53"/>
      <c r="R539" s="653"/>
      <c r="S539" s="653"/>
      <c r="T539" s="654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30" t="s">
        <v>853</v>
      </c>
      <c r="AG539" s="78"/>
      <c r="AJ539" s="84" t="s">
        <v>46</v>
      </c>
      <c r="AK539" s="84">
        <v>0</v>
      </c>
      <c r="BB539" s="631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42" t="s">
        <v>40</v>
      </c>
      <c r="Q541" s="643"/>
      <c r="R541" s="643"/>
      <c r="S541" s="643"/>
      <c r="T541" s="643"/>
      <c r="U541" s="643"/>
      <c r="V541" s="644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56" t="s">
        <v>173</v>
      </c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6"/>
      <c r="P542" s="656"/>
      <c r="Q542" s="656"/>
      <c r="R542" s="656"/>
      <c r="S542" s="656"/>
      <c r="T542" s="656"/>
      <c r="U542" s="656"/>
      <c r="V542" s="656"/>
      <c r="W542" s="656"/>
      <c r="X542" s="656"/>
      <c r="Y542" s="656"/>
      <c r="Z542" s="656"/>
      <c r="AA542" s="66"/>
      <c r="AB542" s="66"/>
      <c r="AC542" s="80"/>
    </row>
    <row r="543" spans="1:68" ht="27" hidden="1" customHeight="1" x14ac:dyDescent="0.25">
      <c r="A543" s="63" t="s">
        <v>854</v>
      </c>
      <c r="B543" s="63" t="s">
        <v>855</v>
      </c>
      <c r="C543" s="36">
        <v>4301060535</v>
      </c>
      <c r="D543" s="651">
        <v>4640242180120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128</v>
      </c>
      <c r="L543" s="37" t="s">
        <v>46</v>
      </c>
      <c r="M543" s="38" t="s">
        <v>89</v>
      </c>
      <c r="N543" s="38"/>
      <c r="O543" s="37">
        <v>40</v>
      </c>
      <c r="P543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2" t="s">
        <v>856</v>
      </c>
      <c r="AG543" s="78"/>
      <c r="AJ543" s="84" t="s">
        <v>46</v>
      </c>
      <c r="AK543" s="84">
        <v>0</v>
      </c>
      <c r="BB543" s="633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t="27" hidden="1" customHeight="1" x14ac:dyDescent="0.25">
      <c r="A544" s="63" t="s">
        <v>857</v>
      </c>
      <c r="B544" s="63" t="s">
        <v>858</v>
      </c>
      <c r="C544" s="36">
        <v>4301060536</v>
      </c>
      <c r="D544" s="651">
        <v>4640242180137</v>
      </c>
      <c r="E544" s="651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53"/>
      <c r="R544" s="653"/>
      <c r="S544" s="653"/>
      <c r="T544" s="65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39</v>
      </c>
      <c r="X545" s="43">
        <f>IFERROR(X543/H543,"0")+IFERROR(X544/H544,"0")</f>
        <v>0</v>
      </c>
      <c r="Y545" s="43">
        <f>IFERROR(Y543/H543,"0")+IFERROR(Y544/H544,"0")</f>
        <v>0</v>
      </c>
      <c r="Z545" s="43">
        <f>IFERROR(IF(Z543="",0,Z543),"0")+IFERROR(IF(Z544="",0,Z544),"0")</f>
        <v>0</v>
      </c>
      <c r="AA545" s="67"/>
      <c r="AB545" s="67"/>
      <c r="AC545" s="67"/>
    </row>
    <row r="546" spans="1:68" hidden="1" x14ac:dyDescent="0.2">
      <c r="A546" s="645"/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6"/>
      <c r="P546" s="642" t="s">
        <v>40</v>
      </c>
      <c r="Q546" s="643"/>
      <c r="R546" s="643"/>
      <c r="S546" s="643"/>
      <c r="T546" s="643"/>
      <c r="U546" s="643"/>
      <c r="V546" s="644"/>
      <c r="W546" s="42" t="s">
        <v>0</v>
      </c>
      <c r="X546" s="43">
        <f>IFERROR(SUM(X543:X544),"0")</f>
        <v>0</v>
      </c>
      <c r="Y546" s="43">
        <f>IFERROR(SUM(Y543:Y544),"0")</f>
        <v>0</v>
      </c>
      <c r="Z546" s="42"/>
      <c r="AA546" s="67"/>
      <c r="AB546" s="67"/>
      <c r="AC546" s="67"/>
    </row>
    <row r="547" spans="1:68" ht="16.5" hidden="1" customHeight="1" x14ac:dyDescent="0.25">
      <c r="A547" s="655" t="s">
        <v>860</v>
      </c>
      <c r="B547" s="655"/>
      <c r="C547" s="655"/>
      <c r="D547" s="655"/>
      <c r="E547" s="655"/>
      <c r="F547" s="655"/>
      <c r="G547" s="655"/>
      <c r="H547" s="655"/>
      <c r="I547" s="655"/>
      <c r="J547" s="655"/>
      <c r="K547" s="655"/>
      <c r="L547" s="655"/>
      <c r="M547" s="655"/>
      <c r="N547" s="655"/>
      <c r="O547" s="655"/>
      <c r="P547" s="655"/>
      <c r="Q547" s="655"/>
      <c r="R547" s="655"/>
      <c r="S547" s="655"/>
      <c r="T547" s="655"/>
      <c r="U547" s="655"/>
      <c r="V547" s="655"/>
      <c r="W547" s="655"/>
      <c r="X547" s="655"/>
      <c r="Y547" s="655"/>
      <c r="Z547" s="655"/>
      <c r="AA547" s="65"/>
      <c r="AB547" s="65"/>
      <c r="AC547" s="79"/>
    </row>
    <row r="548" spans="1:68" ht="14.25" hidden="1" customHeight="1" x14ac:dyDescent="0.25">
      <c r="A548" s="656" t="s">
        <v>156</v>
      </c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6"/>
      <c r="P548" s="656"/>
      <c r="Q548" s="656"/>
      <c r="R548" s="656"/>
      <c r="S548" s="656"/>
      <c r="T548" s="656"/>
      <c r="U548" s="656"/>
      <c r="V548" s="656"/>
      <c r="W548" s="656"/>
      <c r="X548" s="656"/>
      <c r="Y548" s="656"/>
      <c r="Z548" s="656"/>
      <c r="AA548" s="66"/>
      <c r="AB548" s="66"/>
      <c r="AC548" s="80"/>
    </row>
    <row r="549" spans="1:68" ht="27" hidden="1" customHeight="1" x14ac:dyDescent="0.25">
      <c r="A549" s="63" t="s">
        <v>861</v>
      </c>
      <c r="B549" s="63" t="s">
        <v>862</v>
      </c>
      <c r="C549" s="36">
        <v>4301020428</v>
      </c>
      <c r="D549" s="651">
        <v>4640242180090</v>
      </c>
      <c r="E549" s="651"/>
      <c r="F549" s="62">
        <v>1.5</v>
      </c>
      <c r="G549" s="37">
        <v>8</v>
      </c>
      <c r="H549" s="62">
        <v>12</v>
      </c>
      <c r="I549" s="62">
        <v>12.41</v>
      </c>
      <c r="J549" s="37">
        <v>64</v>
      </c>
      <c r="K549" s="37" t="s">
        <v>128</v>
      </c>
      <c r="L549" s="37" t="s">
        <v>46</v>
      </c>
      <c r="M549" s="38" t="s">
        <v>127</v>
      </c>
      <c r="N549" s="38"/>
      <c r="O549" s="37">
        <v>50</v>
      </c>
      <c r="P549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53"/>
      <c r="R549" s="653"/>
      <c r="S549" s="653"/>
      <c r="T549" s="654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36" t="s">
        <v>863</v>
      </c>
      <c r="AG549" s="78"/>
      <c r="AJ549" s="84" t="s">
        <v>46</v>
      </c>
      <c r="AK549" s="84">
        <v>0</v>
      </c>
      <c r="BB549" s="637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39</v>
      </c>
      <c r="X550" s="43">
        <f>IFERROR(X549/H549,"0")</f>
        <v>0</v>
      </c>
      <c r="Y550" s="43">
        <f>IFERROR(Y549/H549,"0")</f>
        <v>0</v>
      </c>
      <c r="Z550" s="43">
        <f>IFERROR(IF(Z549="",0,Z549),"0")</f>
        <v>0</v>
      </c>
      <c r="AA550" s="67"/>
      <c r="AB550" s="67"/>
      <c r="AC550" s="67"/>
    </row>
    <row r="551" spans="1:68" hidden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46"/>
      <c r="P551" s="642" t="s">
        <v>40</v>
      </c>
      <c r="Q551" s="643"/>
      <c r="R551" s="643"/>
      <c r="S551" s="643"/>
      <c r="T551" s="643"/>
      <c r="U551" s="643"/>
      <c r="V551" s="644"/>
      <c r="W551" s="42" t="s">
        <v>0</v>
      </c>
      <c r="X551" s="43">
        <f>IFERROR(SUM(X549:X549),"0")</f>
        <v>0</v>
      </c>
      <c r="Y551" s="43">
        <f>IFERROR(SUM(Y549:Y549),"0")</f>
        <v>0</v>
      </c>
      <c r="Z551" s="42"/>
      <c r="AA551" s="67"/>
      <c r="AB551" s="67"/>
      <c r="AC551" s="67"/>
    </row>
    <row r="552" spans="1:68" ht="15" customHeight="1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33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1520</v>
      </c>
      <c r="Y552" s="43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1537.5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34</v>
      </c>
      <c r="Q553" s="648"/>
      <c r="R553" s="648"/>
      <c r="S553" s="648"/>
      <c r="T553" s="648"/>
      <c r="U553" s="648"/>
      <c r="V553" s="649"/>
      <c r="W553" s="42" t="s">
        <v>0</v>
      </c>
      <c r="X553" s="43">
        <f>IFERROR(SUM(BM22:BM549),"0")</f>
        <v>1598.6241526374861</v>
      </c>
      <c r="Y553" s="43">
        <f>IFERROR(SUM(BN22:BN549),"0")</f>
        <v>1616.9279999999999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35</v>
      </c>
      <c r="Q554" s="648"/>
      <c r="R554" s="648"/>
      <c r="S554" s="648"/>
      <c r="T554" s="648"/>
      <c r="U554" s="648"/>
      <c r="V554" s="649"/>
      <c r="W554" s="42" t="s">
        <v>20</v>
      </c>
      <c r="X554" s="44">
        <f>ROUNDUP(SUM(BO22:BO549),0)</f>
        <v>3</v>
      </c>
      <c r="Y554" s="44">
        <f>ROUNDUP(SUM(BP22:BP549),0)</f>
        <v>3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36</v>
      </c>
      <c r="Q555" s="648"/>
      <c r="R555" s="648"/>
      <c r="S555" s="648"/>
      <c r="T555" s="648"/>
      <c r="U555" s="648"/>
      <c r="V555" s="649"/>
      <c r="W555" s="42" t="s">
        <v>0</v>
      </c>
      <c r="X555" s="43">
        <f>GrossWeightTotal+PalletQtyTotal*25</f>
        <v>1673.6241526374861</v>
      </c>
      <c r="Y555" s="43">
        <f>GrossWeightTotalR+PalletQtyTotalR*25</f>
        <v>1691.9279999999999</v>
      </c>
      <c r="Z555" s="42"/>
      <c r="AA555" s="67"/>
      <c r="AB555" s="67"/>
      <c r="AC555" s="67"/>
    </row>
    <row r="556" spans="1:68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37</v>
      </c>
      <c r="Q556" s="648"/>
      <c r="R556" s="648"/>
      <c r="S556" s="648"/>
      <c r="T556" s="648"/>
      <c r="U556" s="648"/>
      <c r="V556" s="649"/>
      <c r="W556" s="42" t="s">
        <v>20</v>
      </c>
      <c r="X556" s="43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198.9854096520763</v>
      </c>
      <c r="Y556" s="43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201</v>
      </c>
      <c r="Z556" s="42"/>
      <c r="AA556" s="67"/>
      <c r="AB556" s="67"/>
      <c r="AC556" s="67"/>
    </row>
    <row r="557" spans="1:68" ht="14.25" hidden="1" x14ac:dyDescent="0.2">
      <c r="A557" s="645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50"/>
      <c r="P557" s="647" t="s">
        <v>38</v>
      </c>
      <c r="Q557" s="648"/>
      <c r="R557" s="648"/>
      <c r="S557" s="648"/>
      <c r="T557" s="648"/>
      <c r="U557" s="648"/>
      <c r="V557" s="649"/>
      <c r="W557" s="45" t="s">
        <v>52</v>
      </c>
      <c r="X557" s="42"/>
      <c r="Y557" s="42"/>
      <c r="Z557" s="42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3.0131800000000002</v>
      </c>
      <c r="AA557" s="67"/>
      <c r="AB557" s="67"/>
      <c r="AC557" s="67"/>
    </row>
    <row r="558" spans="1:68" ht="13.5" thickBot="1" x14ac:dyDescent="0.25"/>
    <row r="559" spans="1:68" ht="27" thickTop="1" thickBot="1" x14ac:dyDescent="0.25">
      <c r="A559" s="46" t="s">
        <v>9</v>
      </c>
      <c r="B559" s="85" t="s">
        <v>75</v>
      </c>
      <c r="C559" s="85" t="s">
        <v>45</v>
      </c>
      <c r="D559" s="638" t="s">
        <v>121</v>
      </c>
      <c r="E559" s="638" t="s">
        <v>121</v>
      </c>
      <c r="F559" s="638" t="s">
        <v>121</v>
      </c>
      <c r="G559" s="638" t="s">
        <v>121</v>
      </c>
      <c r="H559" s="638" t="s">
        <v>121</v>
      </c>
      <c r="I559" s="638" t="s">
        <v>121</v>
      </c>
      <c r="J559" s="638" t="s">
        <v>121</v>
      </c>
      <c r="K559" s="638" t="s">
        <v>349</v>
      </c>
      <c r="L559" s="638" t="s">
        <v>349</v>
      </c>
      <c r="M559" s="638" t="s">
        <v>349</v>
      </c>
      <c r="N559" s="639"/>
      <c r="O559" s="638" t="s">
        <v>349</v>
      </c>
      <c r="P559" s="638" t="s">
        <v>349</v>
      </c>
      <c r="Q559" s="638" t="s">
        <v>349</v>
      </c>
      <c r="R559" s="638" t="s">
        <v>349</v>
      </c>
      <c r="S559" s="638" t="s">
        <v>349</v>
      </c>
      <c r="T559" s="638" t="s">
        <v>349</v>
      </c>
      <c r="U559" s="638" t="s">
        <v>349</v>
      </c>
      <c r="V559" s="638" t="s">
        <v>349</v>
      </c>
      <c r="W559" s="638" t="s">
        <v>692</v>
      </c>
      <c r="X559" s="638" t="s">
        <v>692</v>
      </c>
      <c r="Y559" s="638" t="s">
        <v>758</v>
      </c>
      <c r="Z559" s="638" t="s">
        <v>758</v>
      </c>
      <c r="AA559" s="85" t="s">
        <v>794</v>
      </c>
      <c r="AB559" s="638" t="s">
        <v>841</v>
      </c>
      <c r="AC559" s="638" t="s">
        <v>841</v>
      </c>
      <c r="AF559" s="1"/>
    </row>
    <row r="560" spans="1:68" ht="14.25" customHeight="1" thickTop="1" x14ac:dyDescent="0.2">
      <c r="A560" s="640" t="s">
        <v>10</v>
      </c>
      <c r="B560" s="638" t="s">
        <v>75</v>
      </c>
      <c r="C560" s="638" t="s">
        <v>103</v>
      </c>
      <c r="D560" s="638" t="s">
        <v>122</v>
      </c>
      <c r="E560" s="638" t="s">
        <v>138</v>
      </c>
      <c r="F560" s="638" t="s">
        <v>180</v>
      </c>
      <c r="G560" s="638" t="s">
        <v>201</v>
      </c>
      <c r="H560" s="638" t="s">
        <v>241</v>
      </c>
      <c r="I560" s="638" t="s">
        <v>265</v>
      </c>
      <c r="J560" s="638" t="s">
        <v>121</v>
      </c>
      <c r="K560" s="638" t="s">
        <v>350</v>
      </c>
      <c r="L560" s="638" t="s">
        <v>371</v>
      </c>
      <c r="M560" s="638" t="s">
        <v>438</v>
      </c>
      <c r="N560" s="1"/>
      <c r="O560" s="638" t="s">
        <v>506</v>
      </c>
      <c r="P560" s="638" t="s">
        <v>539</v>
      </c>
      <c r="Q560" s="638" t="s">
        <v>555</v>
      </c>
      <c r="R560" s="638" t="s">
        <v>564</v>
      </c>
      <c r="S560" s="638" t="s">
        <v>585</v>
      </c>
      <c r="T560" s="638" t="s">
        <v>594</v>
      </c>
      <c r="U560" s="638" t="s">
        <v>675</v>
      </c>
      <c r="V560" s="638" t="s">
        <v>682</v>
      </c>
      <c r="W560" s="638" t="s">
        <v>693</v>
      </c>
      <c r="X560" s="638" t="s">
        <v>742</v>
      </c>
      <c r="Y560" s="638" t="s">
        <v>759</v>
      </c>
      <c r="Z560" s="638" t="s">
        <v>782</v>
      </c>
      <c r="AA560" s="638" t="s">
        <v>794</v>
      </c>
      <c r="AB560" s="638" t="s">
        <v>841</v>
      </c>
      <c r="AC560" s="638" t="s">
        <v>860</v>
      </c>
      <c r="AF560" s="1"/>
    </row>
    <row r="561" spans="1:32" ht="13.5" thickBot="1" x14ac:dyDescent="0.25">
      <c r="A561" s="641"/>
      <c r="B561" s="638"/>
      <c r="C561" s="638"/>
      <c r="D561" s="638"/>
      <c r="E561" s="638"/>
      <c r="F561" s="638"/>
      <c r="G561" s="638"/>
      <c r="H561" s="638"/>
      <c r="I561" s="638"/>
      <c r="J561" s="638"/>
      <c r="K561" s="638"/>
      <c r="L561" s="638"/>
      <c r="M561" s="638"/>
      <c r="N561" s="1"/>
      <c r="O561" s="638"/>
      <c r="P561" s="638"/>
      <c r="Q561" s="638"/>
      <c r="R561" s="638"/>
      <c r="S561" s="638"/>
      <c r="T561" s="638"/>
      <c r="U561" s="638"/>
      <c r="V561" s="638"/>
      <c r="W561" s="638"/>
      <c r="X561" s="638"/>
      <c r="Y561" s="638"/>
      <c r="Z561" s="638"/>
      <c r="AA561" s="638"/>
      <c r="AB561" s="638"/>
      <c r="AC561" s="638"/>
      <c r="AF561" s="1"/>
    </row>
    <row r="562" spans="1:32" ht="18" thickTop="1" thickBot="1" x14ac:dyDescent="0.25">
      <c r="A562" s="46" t="s">
        <v>13</v>
      </c>
      <c r="B562" s="52">
        <f>IFERROR(Y22*1,"0")+IFERROR(Y23*1,"0")+IFERROR(Y27*1,"0")+IFERROR(Y28*1,"0")+IFERROR(Y29*1,"0")+IFERROR(Y30*1,"0")+IFERROR(Y31*1,"0")</f>
        <v>0</v>
      </c>
      <c r="C562" s="52">
        <f>IFERROR(Y37*1,"0")+IFERROR(Y38*1,"0")+IFERROR(Y39*1,"0")+IFERROR(Y40*1,"0")+IFERROR(Y41*1,"0")+IFERROR(Y42*1,"0")</f>
        <v>0</v>
      </c>
      <c r="D562" s="52">
        <f>IFERROR(Y48*1,"0")+IFERROR(Y49*1,"0")+IFERROR(Y50*1,"0")+IFERROR(Y51*1,"0")</f>
        <v>0</v>
      </c>
      <c r="E562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2" s="52">
        <f>IFERROR(Y83*1,"0")+IFERROR(Y84*1,"0")+IFERROR(Y85*1,"0")+IFERROR(Y86*1,"0")+IFERROR(Y90*1,"0")+IFERROR(Y91*1,"0")+IFERROR(Y92*1,"0")+IFERROR(Y93*1,"0")</f>
        <v>0</v>
      </c>
      <c r="G562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251.1</v>
      </c>
      <c r="H562" s="52">
        <f>IFERROR(Y128*1,"0")+IFERROR(Y129*1,"0")+IFERROR(Y130*1,"0")+IFERROR(Y134*1,"0")+IFERROR(Y135*1,"0")+IFERROR(Y136*1,"0")+IFERROR(Y137*1,"0")+IFERROR(Y141*1,"0")+IFERROR(Y142*1,"0")+IFERROR(Y143*1,"0")</f>
        <v>0</v>
      </c>
      <c r="I562" s="52">
        <f>IFERROR(Y148*1,"0")+IFERROR(Y149*1,"0")+IFERROR(Y150*1,"0")+IFERROR(Y151*1,"0")+IFERROR(Y152*1,"0")+IFERROR(Y153*1,"0")+IFERROR(Y154*1,"0")+IFERROR(Y158*1,"0")</f>
        <v>0</v>
      </c>
      <c r="J562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2" s="52">
        <f>IFERROR(Y204*1,"0")+IFERROR(Y205*1,"0")+IFERROR(Y206*1,"0")+IFERROR(Y207*1,"0")+IFERROR(Y208*1,"0")+IFERROR(Y209*1,"0")+IFERROR(Y210*1,"0")</f>
        <v>0</v>
      </c>
      <c r="L562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2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2" s="1"/>
      <c r="O562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2" s="52">
        <f>IFERROR(Y322*1,"0")+IFERROR(Y323*1,"0")+IFERROR(Y324*1,"0")+IFERROR(Y325*1,"0")+IFERROR(Y326*1,"0")</f>
        <v>0</v>
      </c>
      <c r="Q562" s="52">
        <f>IFERROR(Y331*1,"0")+IFERROR(Y332*1,"0")+IFERROR(Y333*1,"0")</f>
        <v>0</v>
      </c>
      <c r="R562" s="52">
        <f>IFERROR(Y338*1,"0")+IFERROR(Y339*1,"0")+IFERROR(Y340*1,"0")+IFERROR(Y341*1,"0")+IFERROR(Y342*1,"0")+IFERROR(Y346*1,"0")+IFERROR(Y347*1,"0")</f>
        <v>0</v>
      </c>
      <c r="S562" s="52">
        <f>IFERROR(Y352*1,"0")+IFERROR(Y353*1,"0")+IFERROR(Y354*1,"0")</f>
        <v>0</v>
      </c>
      <c r="T562" s="52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0</v>
      </c>
      <c r="U562" s="52">
        <f>IFERROR(Y410*1,"0")+IFERROR(Y411*1,"0")</f>
        <v>0</v>
      </c>
      <c r="V562" s="52">
        <f>IFERROR(Y416*1,"0")+IFERROR(Y417*1,"0")+IFERROR(Y418*1,"0")</f>
        <v>0</v>
      </c>
      <c r="W562" s="52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600</v>
      </c>
      <c r="X562" s="52">
        <f>IFERROR(Y453*1,"0")+IFERROR(Y454*1,"0")+IFERROR(Y458*1,"0")+IFERROR(Y462*1,"0")+IFERROR(Y463*1,"0")+IFERROR(Y464*1,"0")</f>
        <v>0</v>
      </c>
      <c r="Y562" s="52">
        <f>IFERROR(Y470*1,"0")+IFERROR(Y471*1,"0")+IFERROR(Y472*1,"0")+IFERROR(Y473*1,"0")+IFERROR(Y474*1,"0")+IFERROR(Y475*1,"0")+IFERROR(Y479*1,"0")+IFERROR(Y480*1,"0")</f>
        <v>0</v>
      </c>
      <c r="Z562" s="52">
        <f>IFERROR(Y485*1,"0")+IFERROR(Y489*1,"0")+IFERROR(Y490*1,"0")+IFERROR(Y491*1,"0")</f>
        <v>0</v>
      </c>
      <c r="AA562" s="52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686.40000000000009</v>
      </c>
      <c r="AB562" s="52">
        <f>IFERROR(Y527*1,"0")+IFERROR(Y531*1,"0")+IFERROR(Y535*1,"0")+IFERROR(Y539*1,"0")+IFERROR(Y543*1,"0")+IFERROR(Y544*1,"0")</f>
        <v>0</v>
      </c>
      <c r="AC562" s="52">
        <f>IFERROR(Y549*1,"0")</f>
        <v>0</v>
      </c>
      <c r="AF562" s="1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20,00"/>
        <filter val="1 598,62"/>
        <filter val="1 673,62"/>
        <filter val="19,33"/>
        <filter val="198,99"/>
        <filter val="20,00"/>
        <filter val="250,00"/>
        <filter val="280,00"/>
        <filter val="290,00"/>
        <filter val="3"/>
        <filter val="30,86"/>
        <filter val="300,00"/>
        <filter val="400,00"/>
        <filter val="53,03"/>
        <filter val="75,76"/>
      </filters>
    </filterColumn>
    <filterColumn colId="29" showButton="0"/>
    <filterColumn colId="30" showButton="0"/>
  </autoFilter>
  <dataConsolidate/>
  <mergeCells count="98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P364:V364"/>
    <mergeCell ref="A364:O365"/>
    <mergeCell ref="P365:V36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A415:Z415"/>
    <mergeCell ref="D416:E416"/>
    <mergeCell ref="P416:T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A495:Z495"/>
    <mergeCell ref="A496:Z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P512:V512"/>
    <mergeCell ref="A512:O513"/>
    <mergeCell ref="P513:V513"/>
    <mergeCell ref="A514:Z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A524:Z524"/>
    <mergeCell ref="A525:Z525"/>
    <mergeCell ref="A526:Z526"/>
    <mergeCell ref="D527:E527"/>
    <mergeCell ref="P527:T527"/>
    <mergeCell ref="P528:V528"/>
    <mergeCell ref="A528:O529"/>
    <mergeCell ref="P529:V529"/>
    <mergeCell ref="A530:Z530"/>
    <mergeCell ref="D531:E531"/>
    <mergeCell ref="P531:T531"/>
    <mergeCell ref="P532:V532"/>
    <mergeCell ref="A532:O533"/>
    <mergeCell ref="P533:V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44:E544"/>
    <mergeCell ref="P544:T544"/>
    <mergeCell ref="P545:V545"/>
    <mergeCell ref="A545:O546"/>
    <mergeCell ref="P546:V546"/>
    <mergeCell ref="A547:Z547"/>
    <mergeCell ref="A548:Z548"/>
    <mergeCell ref="D549:E549"/>
    <mergeCell ref="P549:T549"/>
    <mergeCell ref="P550:V550"/>
    <mergeCell ref="A550:O551"/>
    <mergeCell ref="P551:V551"/>
    <mergeCell ref="P552:V552"/>
    <mergeCell ref="A552:O557"/>
    <mergeCell ref="P553:V553"/>
    <mergeCell ref="P554:V554"/>
    <mergeCell ref="P555:V555"/>
    <mergeCell ref="P556:V556"/>
    <mergeCell ref="P557:V557"/>
    <mergeCell ref="D559:J559"/>
    <mergeCell ref="K559:V559"/>
    <mergeCell ref="W559:X559"/>
    <mergeCell ref="Y559:Z559"/>
    <mergeCell ref="AB559:AC559"/>
    <mergeCell ref="A560:A561"/>
    <mergeCell ref="B560:B561"/>
    <mergeCell ref="C560:C561"/>
    <mergeCell ref="D560:D561"/>
    <mergeCell ref="E560:E561"/>
    <mergeCell ref="F560:F561"/>
    <mergeCell ref="G560:G561"/>
    <mergeCell ref="H560:H561"/>
    <mergeCell ref="I560:I561"/>
    <mergeCell ref="J560:J561"/>
    <mergeCell ref="K560:K561"/>
    <mergeCell ref="L560:L561"/>
    <mergeCell ref="M560:M561"/>
    <mergeCell ref="O560:O561"/>
    <mergeCell ref="P560:P561"/>
    <mergeCell ref="Q560:Q561"/>
    <mergeCell ref="R560:R561"/>
    <mergeCell ref="S560:S561"/>
    <mergeCell ref="T560:T561"/>
    <mergeCell ref="U560:U561"/>
    <mergeCell ref="V560:V561"/>
    <mergeCell ref="W560:W561"/>
    <mergeCell ref="X560:X561"/>
    <mergeCell ref="Y560:Y561"/>
    <mergeCell ref="Z560:Z561"/>
    <mergeCell ref="AA560:AA561"/>
    <mergeCell ref="AB560:AB561"/>
    <mergeCell ref="AC560:AC56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9"/>
    </row>
    <row r="3" spans="2:8" x14ac:dyDescent="0.2">
      <c r="B3" s="53" t="s">
        <v>865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867</v>
      </c>
      <c r="C6" s="53" t="s">
        <v>868</v>
      </c>
      <c r="D6" s="53" t="s">
        <v>869</v>
      </c>
      <c r="E6" s="53" t="s">
        <v>46</v>
      </c>
    </row>
    <row r="7" spans="2:8" x14ac:dyDescent="0.2">
      <c r="B7" s="53" t="s">
        <v>870</v>
      </c>
      <c r="C7" s="53" t="s">
        <v>871</v>
      </c>
      <c r="D7" s="53" t="s">
        <v>872</v>
      </c>
      <c r="E7" s="53" t="s">
        <v>46</v>
      </c>
    </row>
    <row r="8" spans="2:8" x14ac:dyDescent="0.2">
      <c r="B8" s="53" t="s">
        <v>873</v>
      </c>
      <c r="C8" s="53" t="s">
        <v>874</v>
      </c>
      <c r="D8" s="53" t="s">
        <v>875</v>
      </c>
      <c r="E8" s="53" t="s">
        <v>46</v>
      </c>
    </row>
    <row r="9" spans="2:8" x14ac:dyDescent="0.2">
      <c r="B9" s="53" t="s">
        <v>876</v>
      </c>
      <c r="C9" s="53" t="s">
        <v>877</v>
      </c>
      <c r="D9" s="53" t="s">
        <v>878</v>
      </c>
      <c r="E9" s="53" t="s">
        <v>46</v>
      </c>
    </row>
    <row r="10" spans="2:8" x14ac:dyDescent="0.2">
      <c r="B10" s="53" t="s">
        <v>879</v>
      </c>
      <c r="C10" s="53" t="s">
        <v>880</v>
      </c>
      <c r="D10" s="53" t="s">
        <v>881</v>
      </c>
      <c r="E10" s="53" t="s">
        <v>46</v>
      </c>
    </row>
    <row r="11" spans="2:8" x14ac:dyDescent="0.2">
      <c r="B11" s="53" t="s">
        <v>882</v>
      </c>
      <c r="C11" s="53" t="s">
        <v>883</v>
      </c>
      <c r="D11" s="53" t="s">
        <v>884</v>
      </c>
      <c r="E11" s="53" t="s">
        <v>46</v>
      </c>
    </row>
    <row r="12" spans="2:8" x14ac:dyDescent="0.2">
      <c r="B12" s="53" t="s">
        <v>885</v>
      </c>
      <c r="C12" s="53" t="s">
        <v>886</v>
      </c>
      <c r="D12" s="53" t="s">
        <v>887</v>
      </c>
      <c r="E12" s="53" t="s">
        <v>46</v>
      </c>
    </row>
    <row r="14" spans="2:8" x14ac:dyDescent="0.2">
      <c r="B14" s="53" t="s">
        <v>888</v>
      </c>
      <c r="C14" s="53" t="s">
        <v>868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871</v>
      </c>
      <c r="D16" s="53" t="s">
        <v>46</v>
      </c>
      <c r="E16" s="53" t="s">
        <v>46</v>
      </c>
    </row>
    <row r="18" spans="2:5" x14ac:dyDescent="0.2">
      <c r="B18" s="53" t="s">
        <v>890</v>
      </c>
      <c r="C18" s="53" t="s">
        <v>874</v>
      </c>
      <c r="D18" s="53" t="s">
        <v>46</v>
      </c>
      <c r="E18" s="53" t="s">
        <v>46</v>
      </c>
    </row>
    <row r="20" spans="2:5" x14ac:dyDescent="0.2">
      <c r="B20" s="53" t="s">
        <v>891</v>
      </c>
      <c r="C20" s="53" t="s">
        <v>877</v>
      </c>
      <c r="D20" s="53" t="s">
        <v>46</v>
      </c>
      <c r="E20" s="53" t="s">
        <v>46</v>
      </c>
    </row>
    <row r="22" spans="2:5" x14ac:dyDescent="0.2">
      <c r="B22" s="53" t="s">
        <v>892</v>
      </c>
      <c r="C22" s="53" t="s">
        <v>880</v>
      </c>
      <c r="D22" s="53" t="s">
        <v>46</v>
      </c>
      <c r="E22" s="53" t="s">
        <v>46</v>
      </c>
    </row>
    <row r="24" spans="2:5" x14ac:dyDescent="0.2">
      <c r="B24" s="53" t="s">
        <v>893</v>
      </c>
      <c r="C24" s="53" t="s">
        <v>883</v>
      </c>
      <c r="D24" s="53" t="s">
        <v>46</v>
      </c>
      <c r="E24" s="53" t="s">
        <v>46</v>
      </c>
    </row>
    <row r="26" spans="2:5" x14ac:dyDescent="0.2">
      <c r="B26" s="53" t="s">
        <v>894</v>
      </c>
      <c r="C26" s="53" t="s">
        <v>886</v>
      </c>
      <c r="D26" s="53" t="s">
        <v>46</v>
      </c>
      <c r="E26" s="53" t="s">
        <v>46</v>
      </c>
    </row>
    <row r="28" spans="2:5" x14ac:dyDescent="0.2">
      <c r="B28" s="53" t="s">
        <v>895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896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897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898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899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900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901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902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903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904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905</v>
      </c>
      <c r="C38" s="53" t="s">
        <v>46</v>
      </c>
      <c r="D38" s="53" t="s">
        <v>46</v>
      </c>
      <c r="E38" s="53" t="s">
        <v>46</v>
      </c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2026-08-24T12:55:48Z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