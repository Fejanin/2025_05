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FBAFFE4-5888-4E71-88ED-4589E6EDC0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2,08" sheetId="2" r:id="rId2"/>
    <sheet name="недогруз 24,08" sheetId="3" r:id="rId3"/>
  </sheets>
  <externalReferences>
    <externalReference r:id="rId4"/>
    <externalReference r:id="rId5"/>
  </externalReferences>
  <definedNames>
    <definedName name="_xlnm._FilterDatabase" localSheetId="0" hidden="1">Sheet!$A$3:$AR$137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5" i="1" l="1"/>
  <c r="V5" i="1" l="1"/>
  <c r="U5" i="1"/>
  <c r="S54" i="1"/>
  <c r="S5" i="1" l="1"/>
  <c r="R5" i="1"/>
  <c r="AR10" i="1"/>
  <c r="AR16" i="1"/>
  <c r="AR17" i="1"/>
  <c r="AR19" i="1"/>
  <c r="AR23" i="1"/>
  <c r="AR54" i="1"/>
  <c r="AR58" i="1"/>
  <c r="AR90" i="1"/>
  <c r="AR92" i="1"/>
  <c r="AR93" i="1"/>
  <c r="AR94" i="1"/>
  <c r="AR128" i="1"/>
  <c r="AP137" i="1"/>
  <c r="Y137" i="1"/>
  <c r="Z137" i="1" s="1"/>
  <c r="M137" i="1"/>
  <c r="W137" i="1" s="1"/>
  <c r="AE137" i="1" s="1"/>
  <c r="L137" i="1"/>
  <c r="AP136" i="1"/>
  <c r="M136" i="1"/>
  <c r="W136" i="1" s="1"/>
  <c r="AE136" i="1" s="1"/>
  <c r="L136" i="1"/>
  <c r="Y135" i="1"/>
  <c r="AB135" i="1" s="1"/>
  <c r="AP135" i="1" s="1"/>
  <c r="M135" i="1"/>
  <c r="W135" i="1" s="1"/>
  <c r="AE135" i="1" s="1"/>
  <c r="L135" i="1"/>
  <c r="AP134" i="1"/>
  <c r="M134" i="1"/>
  <c r="W134" i="1" s="1"/>
  <c r="AE134" i="1" s="1"/>
  <c r="L134" i="1"/>
  <c r="Y133" i="1"/>
  <c r="AB133" i="1" s="1"/>
  <c r="AP133" i="1" s="1"/>
  <c r="M133" i="1"/>
  <c r="W133" i="1" s="1"/>
  <c r="AE133" i="1" s="1"/>
  <c r="L133" i="1"/>
  <c r="Y132" i="1"/>
  <c r="AB132" i="1" s="1"/>
  <c r="AP132" i="1" s="1"/>
  <c r="M132" i="1"/>
  <c r="W132" i="1" s="1"/>
  <c r="AE132" i="1" s="1"/>
  <c r="L132" i="1"/>
  <c r="AP131" i="1"/>
  <c r="Y131" i="1"/>
  <c r="Z131" i="1" s="1"/>
  <c r="M131" i="1"/>
  <c r="W131" i="1" s="1"/>
  <c r="AE131" i="1" s="1"/>
  <c r="L131" i="1"/>
  <c r="AP130" i="1"/>
  <c r="Y130" i="1"/>
  <c r="Z130" i="1" s="1"/>
  <c r="AO130" i="1" s="1"/>
  <c r="F130" i="1"/>
  <c r="E130" i="1"/>
  <c r="M130" i="1" s="1"/>
  <c r="W130" i="1" s="1"/>
  <c r="Y129" i="1"/>
  <c r="AB129" i="1" s="1"/>
  <c r="AP129" i="1" s="1"/>
  <c r="M129" i="1"/>
  <c r="W129" i="1" s="1"/>
  <c r="AE129" i="1" s="1"/>
  <c r="L129" i="1"/>
  <c r="AP128" i="1"/>
  <c r="F128" i="1"/>
  <c r="E128" i="1"/>
  <c r="M128" i="1" s="1"/>
  <c r="W128" i="1" s="1"/>
  <c r="AP127" i="1"/>
  <c r="Y127" i="1"/>
  <c r="Z127" i="1" s="1"/>
  <c r="M127" i="1"/>
  <c r="W127" i="1" s="1"/>
  <c r="AE127" i="1" s="1"/>
  <c r="L127" i="1"/>
  <c r="AP126" i="1"/>
  <c r="Z126" i="1"/>
  <c r="M126" i="1"/>
  <c r="W126" i="1" s="1"/>
  <c r="AE126" i="1" s="1"/>
  <c r="L126" i="1"/>
  <c r="AP125" i="1"/>
  <c r="Y125" i="1"/>
  <c r="Z125" i="1" s="1"/>
  <c r="M125" i="1"/>
  <c r="W125" i="1" s="1"/>
  <c r="AE125" i="1" s="1"/>
  <c r="L125" i="1"/>
  <c r="AP124" i="1"/>
  <c r="AC124" i="1"/>
  <c r="Y124" i="1"/>
  <c r="Z124" i="1" s="1"/>
  <c r="M124" i="1"/>
  <c r="W124" i="1" s="1"/>
  <c r="AE124" i="1" s="1"/>
  <c r="L124" i="1"/>
  <c r="AP123" i="1"/>
  <c r="AC123" i="1"/>
  <c r="Y123" i="1"/>
  <c r="Z123" i="1" s="1"/>
  <c r="M123" i="1"/>
  <c r="W123" i="1" s="1"/>
  <c r="AE123" i="1" s="1"/>
  <c r="L123" i="1"/>
  <c r="AP122" i="1"/>
  <c r="Y122" i="1"/>
  <c r="Z122" i="1" s="1"/>
  <c r="M122" i="1"/>
  <c r="W122" i="1" s="1"/>
  <c r="AE122" i="1" s="1"/>
  <c r="L122" i="1"/>
  <c r="AP121" i="1"/>
  <c r="Y121" i="1"/>
  <c r="Z121" i="1" s="1"/>
  <c r="M121" i="1"/>
  <c r="W121" i="1" s="1"/>
  <c r="AE121" i="1" s="1"/>
  <c r="L121" i="1"/>
  <c r="AP120" i="1"/>
  <c r="Y120" i="1"/>
  <c r="Z120" i="1" s="1"/>
  <c r="M120" i="1"/>
  <c r="W120" i="1" s="1"/>
  <c r="AE120" i="1" s="1"/>
  <c r="L120" i="1"/>
  <c r="AP119" i="1"/>
  <c r="AC119" i="1"/>
  <c r="M119" i="1"/>
  <c r="W119" i="1" s="1"/>
  <c r="L119" i="1"/>
  <c r="Y118" i="1"/>
  <c r="AB118" i="1" s="1"/>
  <c r="AP118" i="1" s="1"/>
  <c r="M118" i="1"/>
  <c r="W118" i="1" s="1"/>
  <c r="AE118" i="1" s="1"/>
  <c r="L118" i="1"/>
  <c r="Y117" i="1"/>
  <c r="AB117" i="1" s="1"/>
  <c r="AP117" i="1" s="1"/>
  <c r="M117" i="1"/>
  <c r="W117" i="1" s="1"/>
  <c r="AE117" i="1" s="1"/>
  <c r="L117" i="1"/>
  <c r="M116" i="1"/>
  <c r="W116" i="1" s="1"/>
  <c r="L116" i="1"/>
  <c r="AP115" i="1"/>
  <c r="Y115" i="1"/>
  <c r="Z115" i="1" s="1"/>
  <c r="M115" i="1"/>
  <c r="W115" i="1" s="1"/>
  <c r="AE115" i="1" s="1"/>
  <c r="L115" i="1"/>
  <c r="AP114" i="1"/>
  <c r="M114" i="1"/>
  <c r="W114" i="1" s="1"/>
  <c r="L114" i="1"/>
  <c r="Y113" i="1"/>
  <c r="AB113" i="1" s="1"/>
  <c r="AP113" i="1" s="1"/>
  <c r="M113" i="1"/>
  <c r="W113" i="1" s="1"/>
  <c r="AE113" i="1" s="1"/>
  <c r="L113" i="1"/>
  <c r="M112" i="1"/>
  <c r="W112" i="1" s="1"/>
  <c r="L112" i="1"/>
  <c r="M111" i="1"/>
  <c r="W111" i="1" s="1"/>
  <c r="L111" i="1"/>
  <c r="AP110" i="1"/>
  <c r="AC110" i="1"/>
  <c r="M110" i="1"/>
  <c r="W110" i="1" s="1"/>
  <c r="X110" i="1" s="1"/>
  <c r="Y110" i="1" s="1"/>
  <c r="Z110" i="1" s="1"/>
  <c r="AD110" i="1" s="1"/>
  <c r="L110" i="1"/>
  <c r="AP109" i="1"/>
  <c r="AC109" i="1"/>
  <c r="M109" i="1"/>
  <c r="W109" i="1" s="1"/>
  <c r="L109" i="1"/>
  <c r="AP108" i="1"/>
  <c r="AC108" i="1"/>
  <c r="Y108" i="1"/>
  <c r="Z108" i="1" s="1"/>
  <c r="M108" i="1"/>
  <c r="W108" i="1" s="1"/>
  <c r="AE108" i="1" s="1"/>
  <c r="L108" i="1"/>
  <c r="AP107" i="1"/>
  <c r="Y107" i="1"/>
  <c r="Z107" i="1" s="1"/>
  <c r="M107" i="1"/>
  <c r="W107" i="1" s="1"/>
  <c r="AE107" i="1" s="1"/>
  <c r="L107" i="1"/>
  <c r="AP106" i="1"/>
  <c r="AC106" i="1"/>
  <c r="M106" i="1"/>
  <c r="W106" i="1" s="1"/>
  <c r="L106" i="1"/>
  <c r="AP105" i="1"/>
  <c r="M105" i="1"/>
  <c r="W105" i="1" s="1"/>
  <c r="L105" i="1"/>
  <c r="AP104" i="1"/>
  <c r="M104" i="1"/>
  <c r="W104" i="1" s="1"/>
  <c r="L104" i="1"/>
  <c r="AP103" i="1"/>
  <c r="Y103" i="1"/>
  <c r="Z103" i="1" s="1"/>
  <c r="M103" i="1"/>
  <c r="W103" i="1" s="1"/>
  <c r="AE103" i="1" s="1"/>
  <c r="L103" i="1"/>
  <c r="AP102" i="1"/>
  <c r="AC102" i="1"/>
  <c r="Y102" i="1"/>
  <c r="Z102" i="1" s="1"/>
  <c r="M102" i="1"/>
  <c r="W102" i="1" s="1"/>
  <c r="AE102" i="1" s="1"/>
  <c r="L102" i="1"/>
  <c r="AP101" i="1"/>
  <c r="AC101" i="1"/>
  <c r="M101" i="1"/>
  <c r="W101" i="1" s="1"/>
  <c r="AE101" i="1" s="1"/>
  <c r="L101" i="1"/>
  <c r="AP100" i="1"/>
  <c r="AC100" i="1"/>
  <c r="Y100" i="1"/>
  <c r="Z100" i="1" s="1"/>
  <c r="M100" i="1"/>
  <c r="W100" i="1" s="1"/>
  <c r="AE100" i="1" s="1"/>
  <c r="L100" i="1"/>
  <c r="AP99" i="1"/>
  <c r="Y99" i="1"/>
  <c r="Z99" i="1" s="1"/>
  <c r="M99" i="1"/>
  <c r="W99" i="1" s="1"/>
  <c r="AE99" i="1" s="1"/>
  <c r="L99" i="1"/>
  <c r="Y98" i="1"/>
  <c r="AB98" i="1" s="1"/>
  <c r="AP98" i="1" s="1"/>
  <c r="M98" i="1"/>
  <c r="W98" i="1" s="1"/>
  <c r="AE98" i="1" s="1"/>
  <c r="L98" i="1"/>
  <c r="AP97" i="1"/>
  <c r="Y97" i="1"/>
  <c r="Z97" i="1" s="1"/>
  <c r="M97" i="1"/>
  <c r="W97" i="1" s="1"/>
  <c r="L97" i="1"/>
  <c r="AP96" i="1"/>
  <c r="Y96" i="1"/>
  <c r="Z96" i="1" s="1"/>
  <c r="M96" i="1"/>
  <c r="W96" i="1" s="1"/>
  <c r="AE96" i="1" s="1"/>
  <c r="L96" i="1"/>
  <c r="AP95" i="1"/>
  <c r="M95" i="1"/>
  <c r="W95" i="1" s="1"/>
  <c r="L95" i="1"/>
  <c r="AP94" i="1"/>
  <c r="Y94" i="1"/>
  <c r="Z94" i="1" s="1"/>
  <c r="AO94" i="1" s="1"/>
  <c r="F94" i="1"/>
  <c r="E94" i="1"/>
  <c r="M94" i="1" s="1"/>
  <c r="W94" i="1" s="1"/>
  <c r="AP93" i="1"/>
  <c r="Y93" i="1"/>
  <c r="Z93" i="1" s="1"/>
  <c r="M93" i="1"/>
  <c r="W93" i="1" s="1"/>
  <c r="AE93" i="1" s="1"/>
  <c r="L93" i="1"/>
  <c r="AP92" i="1"/>
  <c r="Y92" i="1"/>
  <c r="Z92" i="1" s="1"/>
  <c r="M92" i="1"/>
  <c r="W92" i="1" s="1"/>
  <c r="AE92" i="1" s="1"/>
  <c r="L92" i="1"/>
  <c r="AP91" i="1"/>
  <c r="M91" i="1"/>
  <c r="W91" i="1" s="1"/>
  <c r="L91" i="1"/>
  <c r="AP90" i="1"/>
  <c r="Z90" i="1"/>
  <c r="M90" i="1"/>
  <c r="W90" i="1" s="1"/>
  <c r="L90" i="1"/>
  <c r="AP89" i="1"/>
  <c r="Y89" i="1"/>
  <c r="Z89" i="1" s="1"/>
  <c r="M89" i="1"/>
  <c r="W89" i="1" s="1"/>
  <c r="AE89" i="1" s="1"/>
  <c r="L89" i="1"/>
  <c r="AP88" i="1"/>
  <c r="Y88" i="1"/>
  <c r="Z88" i="1" s="1"/>
  <c r="M88" i="1"/>
  <c r="W88" i="1" s="1"/>
  <c r="AE88" i="1" s="1"/>
  <c r="L88" i="1"/>
  <c r="AP87" i="1"/>
  <c r="Y87" i="1"/>
  <c r="Z87" i="1" s="1"/>
  <c r="M87" i="1"/>
  <c r="W87" i="1" s="1"/>
  <c r="AE87" i="1" s="1"/>
  <c r="L87" i="1"/>
  <c r="AP86" i="1"/>
  <c r="Y86" i="1"/>
  <c r="Z86" i="1" s="1"/>
  <c r="M86" i="1"/>
  <c r="W86" i="1" s="1"/>
  <c r="AE86" i="1" s="1"/>
  <c r="L86" i="1"/>
  <c r="Y85" i="1"/>
  <c r="AB85" i="1" s="1"/>
  <c r="AP85" i="1" s="1"/>
  <c r="M85" i="1"/>
  <c r="W85" i="1" s="1"/>
  <c r="AE85" i="1" s="1"/>
  <c r="L85" i="1"/>
  <c r="Y84" i="1"/>
  <c r="AB84" i="1" s="1"/>
  <c r="AP84" i="1" s="1"/>
  <c r="M84" i="1"/>
  <c r="W84" i="1" s="1"/>
  <c r="AE84" i="1" s="1"/>
  <c r="L84" i="1"/>
  <c r="AP83" i="1"/>
  <c r="M83" i="1"/>
  <c r="W83" i="1" s="1"/>
  <c r="L83" i="1"/>
  <c r="AP82" i="1"/>
  <c r="M82" i="1"/>
  <c r="W82" i="1" s="1"/>
  <c r="L82" i="1"/>
  <c r="AP81" i="1"/>
  <c r="M81" i="1"/>
  <c r="W81" i="1" s="1"/>
  <c r="L81" i="1"/>
  <c r="AP80" i="1"/>
  <c r="M80" i="1"/>
  <c r="W80" i="1" s="1"/>
  <c r="L80" i="1"/>
  <c r="AP79" i="1"/>
  <c r="Y79" i="1"/>
  <c r="Z79" i="1" s="1"/>
  <c r="M79" i="1"/>
  <c r="W79" i="1" s="1"/>
  <c r="AE79" i="1" s="1"/>
  <c r="L79" i="1"/>
  <c r="AP78" i="1"/>
  <c r="Y78" i="1"/>
  <c r="Z78" i="1" s="1"/>
  <c r="M78" i="1"/>
  <c r="W78" i="1" s="1"/>
  <c r="AE78" i="1" s="1"/>
  <c r="L78" i="1"/>
  <c r="AP77" i="1"/>
  <c r="Y77" i="1"/>
  <c r="Z77" i="1" s="1"/>
  <c r="M77" i="1"/>
  <c r="W77" i="1" s="1"/>
  <c r="AE77" i="1" s="1"/>
  <c r="L77" i="1"/>
  <c r="AP76" i="1"/>
  <c r="M76" i="1"/>
  <c r="W76" i="1" s="1"/>
  <c r="L76" i="1"/>
  <c r="AP75" i="1"/>
  <c r="M75" i="1"/>
  <c r="W75" i="1" s="1"/>
  <c r="L75" i="1"/>
  <c r="AP74" i="1"/>
  <c r="Y74" i="1"/>
  <c r="Z74" i="1" s="1"/>
  <c r="M74" i="1"/>
  <c r="W74" i="1" s="1"/>
  <c r="AE74" i="1" s="1"/>
  <c r="L74" i="1"/>
  <c r="AP73" i="1"/>
  <c r="M73" i="1"/>
  <c r="W73" i="1" s="1"/>
  <c r="L73" i="1"/>
  <c r="AP72" i="1"/>
  <c r="Y72" i="1"/>
  <c r="Z72" i="1" s="1"/>
  <c r="M72" i="1"/>
  <c r="W72" i="1" s="1"/>
  <c r="AE72" i="1" s="1"/>
  <c r="L72" i="1"/>
  <c r="AP71" i="1"/>
  <c r="M71" i="1"/>
  <c r="W71" i="1" s="1"/>
  <c r="L71" i="1"/>
  <c r="AP70" i="1"/>
  <c r="M70" i="1"/>
  <c r="W70" i="1" s="1"/>
  <c r="L70" i="1"/>
  <c r="AP69" i="1"/>
  <c r="Y69" i="1"/>
  <c r="Z69" i="1" s="1"/>
  <c r="M69" i="1"/>
  <c r="W69" i="1" s="1"/>
  <c r="AE69" i="1" s="1"/>
  <c r="L69" i="1"/>
  <c r="AP68" i="1"/>
  <c r="M68" i="1"/>
  <c r="W68" i="1" s="1"/>
  <c r="X68" i="1" s="1"/>
  <c r="Y68" i="1" s="1"/>
  <c r="Z68" i="1" s="1"/>
  <c r="AD68" i="1" s="1"/>
  <c r="L68" i="1"/>
  <c r="Y67" i="1"/>
  <c r="Z67" i="1" s="1"/>
  <c r="M67" i="1"/>
  <c r="W67" i="1" s="1"/>
  <c r="AE67" i="1" s="1"/>
  <c r="L67" i="1"/>
  <c r="AP66" i="1"/>
  <c r="M66" i="1"/>
  <c r="W66" i="1" s="1"/>
  <c r="X66" i="1" s="1"/>
  <c r="Y66" i="1" s="1"/>
  <c r="Z66" i="1" s="1"/>
  <c r="AD66" i="1" s="1"/>
  <c r="L66" i="1"/>
  <c r="Y65" i="1"/>
  <c r="Z65" i="1" s="1"/>
  <c r="M65" i="1"/>
  <c r="W65" i="1" s="1"/>
  <c r="AE65" i="1" s="1"/>
  <c r="L65" i="1"/>
  <c r="Y64" i="1"/>
  <c r="AB64" i="1" s="1"/>
  <c r="AP64" i="1" s="1"/>
  <c r="M64" i="1"/>
  <c r="W64" i="1" s="1"/>
  <c r="AE64" i="1" s="1"/>
  <c r="L64" i="1"/>
  <c r="AP63" i="1"/>
  <c r="Y63" i="1"/>
  <c r="Z63" i="1" s="1"/>
  <c r="M63" i="1"/>
  <c r="W63" i="1" s="1"/>
  <c r="AE63" i="1" s="1"/>
  <c r="L63" i="1"/>
  <c r="AP62" i="1"/>
  <c r="M62" i="1"/>
  <c r="W62" i="1" s="1"/>
  <c r="L62" i="1"/>
  <c r="AP61" i="1"/>
  <c r="Y61" i="1"/>
  <c r="Z61" i="1" s="1"/>
  <c r="M61" i="1"/>
  <c r="W61" i="1" s="1"/>
  <c r="AE61" i="1" s="1"/>
  <c r="L61" i="1"/>
  <c r="AP60" i="1"/>
  <c r="M60" i="1"/>
  <c r="W60" i="1" s="1"/>
  <c r="L60" i="1"/>
  <c r="AP59" i="1"/>
  <c r="M59" i="1"/>
  <c r="W59" i="1" s="1"/>
  <c r="L59" i="1"/>
  <c r="AP58" i="1"/>
  <c r="M58" i="1"/>
  <c r="W58" i="1" s="1"/>
  <c r="L58" i="1"/>
  <c r="AP57" i="1"/>
  <c r="Y57" i="1"/>
  <c r="Z57" i="1" s="1"/>
  <c r="M57" i="1"/>
  <c r="W57" i="1" s="1"/>
  <c r="AE57" i="1" s="1"/>
  <c r="L57" i="1"/>
  <c r="AP56" i="1"/>
  <c r="Y56" i="1"/>
  <c r="Z56" i="1" s="1"/>
  <c r="M56" i="1"/>
  <c r="W56" i="1" s="1"/>
  <c r="AE56" i="1" s="1"/>
  <c r="L56" i="1"/>
  <c r="AP55" i="1"/>
  <c r="M55" i="1"/>
  <c r="W55" i="1" s="1"/>
  <c r="L55" i="1"/>
  <c r="AP54" i="1"/>
  <c r="Y54" i="1"/>
  <c r="Z54" i="1" s="1"/>
  <c r="M54" i="1"/>
  <c r="W54" i="1" s="1"/>
  <c r="AE54" i="1" s="1"/>
  <c r="L54" i="1"/>
  <c r="AP53" i="1"/>
  <c r="Y53" i="1"/>
  <c r="Z53" i="1" s="1"/>
  <c r="M53" i="1"/>
  <c r="W53" i="1" s="1"/>
  <c r="AE53" i="1" s="1"/>
  <c r="L53" i="1"/>
  <c r="AP52" i="1"/>
  <c r="Y52" i="1"/>
  <c r="Z52" i="1" s="1"/>
  <c r="M52" i="1"/>
  <c r="W52" i="1" s="1"/>
  <c r="AE52" i="1" s="1"/>
  <c r="L52" i="1"/>
  <c r="AP51" i="1"/>
  <c r="Y51" i="1"/>
  <c r="Z51" i="1" s="1"/>
  <c r="M51" i="1"/>
  <c r="W51" i="1" s="1"/>
  <c r="AE51" i="1" s="1"/>
  <c r="L51" i="1"/>
  <c r="Y50" i="1"/>
  <c r="Z50" i="1" s="1"/>
  <c r="M50" i="1"/>
  <c r="W50" i="1" s="1"/>
  <c r="AE50" i="1" s="1"/>
  <c r="L50" i="1"/>
  <c r="AC49" i="1"/>
  <c r="X49" i="1"/>
  <c r="Y49" i="1" s="1"/>
  <c r="M49" i="1"/>
  <c r="W49" i="1" s="1"/>
  <c r="AE49" i="1" s="1"/>
  <c r="L49" i="1"/>
  <c r="AP48" i="1"/>
  <c r="M48" i="1"/>
  <c r="W48" i="1" s="1"/>
  <c r="X48" i="1" s="1"/>
  <c r="Y48" i="1" s="1"/>
  <c r="Z48" i="1" s="1"/>
  <c r="AD48" i="1" s="1"/>
  <c r="L48" i="1"/>
  <c r="Y47" i="1"/>
  <c r="Z47" i="1" s="1"/>
  <c r="M47" i="1"/>
  <c r="W47" i="1" s="1"/>
  <c r="AE47" i="1" s="1"/>
  <c r="L47" i="1"/>
  <c r="Y46" i="1"/>
  <c r="Z46" i="1" s="1"/>
  <c r="M46" i="1"/>
  <c r="W46" i="1" s="1"/>
  <c r="AE46" i="1" s="1"/>
  <c r="L46" i="1"/>
  <c r="AP45" i="1"/>
  <c r="M45" i="1"/>
  <c r="W45" i="1" s="1"/>
  <c r="AE45" i="1" s="1"/>
  <c r="L45" i="1"/>
  <c r="Y44" i="1"/>
  <c r="AB44" i="1" s="1"/>
  <c r="AP44" i="1" s="1"/>
  <c r="M44" i="1"/>
  <c r="W44" i="1" s="1"/>
  <c r="AE44" i="1" s="1"/>
  <c r="L44" i="1"/>
  <c r="AP43" i="1"/>
  <c r="M43" i="1"/>
  <c r="W43" i="1" s="1"/>
  <c r="AE43" i="1" s="1"/>
  <c r="L43" i="1"/>
  <c r="Y42" i="1"/>
  <c r="AB42" i="1" s="1"/>
  <c r="AP42" i="1" s="1"/>
  <c r="M42" i="1"/>
  <c r="W42" i="1" s="1"/>
  <c r="AE42" i="1" s="1"/>
  <c r="L42" i="1"/>
  <c r="Y41" i="1"/>
  <c r="Z41" i="1" s="1"/>
  <c r="M41" i="1"/>
  <c r="W41" i="1" s="1"/>
  <c r="AE41" i="1" s="1"/>
  <c r="L41" i="1"/>
  <c r="Y40" i="1"/>
  <c r="AB40" i="1" s="1"/>
  <c r="AP40" i="1" s="1"/>
  <c r="M40" i="1"/>
  <c r="W40" i="1" s="1"/>
  <c r="AE40" i="1" s="1"/>
  <c r="L40" i="1"/>
  <c r="AP39" i="1"/>
  <c r="AC39" i="1"/>
  <c r="M39" i="1"/>
  <c r="W39" i="1" s="1"/>
  <c r="L39" i="1"/>
  <c r="AP38" i="1"/>
  <c r="AO38" i="1"/>
  <c r="AC38" i="1"/>
  <c r="M38" i="1"/>
  <c r="W38" i="1" s="1"/>
  <c r="AD38" i="1" s="1"/>
  <c r="L38" i="1"/>
  <c r="AP37" i="1"/>
  <c r="Y37" i="1"/>
  <c r="Z37" i="1" s="1"/>
  <c r="M37" i="1"/>
  <c r="W37" i="1" s="1"/>
  <c r="AE37" i="1" s="1"/>
  <c r="L37" i="1"/>
  <c r="AP36" i="1"/>
  <c r="Y36" i="1"/>
  <c r="Z36" i="1" s="1"/>
  <c r="M36" i="1"/>
  <c r="W36" i="1" s="1"/>
  <c r="AE36" i="1" s="1"/>
  <c r="L36" i="1"/>
  <c r="AP35" i="1"/>
  <c r="Y35" i="1"/>
  <c r="Z35" i="1" s="1"/>
  <c r="M35" i="1"/>
  <c r="W35" i="1" s="1"/>
  <c r="AE35" i="1" s="1"/>
  <c r="L35" i="1"/>
  <c r="AP34" i="1"/>
  <c r="Y34" i="1"/>
  <c r="Z34" i="1" s="1"/>
  <c r="M34" i="1"/>
  <c r="W34" i="1" s="1"/>
  <c r="AE34" i="1" s="1"/>
  <c r="L34" i="1"/>
  <c r="Y33" i="1"/>
  <c r="AB33" i="1" s="1"/>
  <c r="AP33" i="1" s="1"/>
  <c r="M33" i="1"/>
  <c r="W33" i="1" s="1"/>
  <c r="AE33" i="1" s="1"/>
  <c r="L33" i="1"/>
  <c r="AP32" i="1"/>
  <c r="Y32" i="1"/>
  <c r="Z32" i="1" s="1"/>
  <c r="M32" i="1"/>
  <c r="W32" i="1" s="1"/>
  <c r="AE32" i="1" s="1"/>
  <c r="L32" i="1"/>
  <c r="AO31" i="1"/>
  <c r="M31" i="1"/>
  <c r="W31" i="1" s="1"/>
  <c r="X31" i="1" s="1"/>
  <c r="Y31" i="1" s="1"/>
  <c r="AB31" i="1" s="1"/>
  <c r="AD31" i="1" s="1"/>
  <c r="L31" i="1"/>
  <c r="AP30" i="1"/>
  <c r="Y30" i="1"/>
  <c r="Z30" i="1" s="1"/>
  <c r="M30" i="1"/>
  <c r="W30" i="1" s="1"/>
  <c r="AE30" i="1" s="1"/>
  <c r="L30" i="1"/>
  <c r="AP29" i="1"/>
  <c r="Y29" i="1"/>
  <c r="Z29" i="1" s="1"/>
  <c r="M29" i="1"/>
  <c r="W29" i="1" s="1"/>
  <c r="AE29" i="1" s="1"/>
  <c r="L29" i="1"/>
  <c r="AP28" i="1"/>
  <c r="Y28" i="1"/>
  <c r="Z28" i="1" s="1"/>
  <c r="M28" i="1"/>
  <c r="W28" i="1" s="1"/>
  <c r="AE28" i="1" s="1"/>
  <c r="L28" i="1"/>
  <c r="AP27" i="1"/>
  <c r="M27" i="1"/>
  <c r="W27" i="1" s="1"/>
  <c r="AE27" i="1" s="1"/>
  <c r="L27" i="1"/>
  <c r="AP26" i="1"/>
  <c r="Y26" i="1"/>
  <c r="Z26" i="1" s="1"/>
  <c r="M26" i="1"/>
  <c r="W26" i="1" s="1"/>
  <c r="AE26" i="1" s="1"/>
  <c r="L26" i="1"/>
  <c r="AP25" i="1"/>
  <c r="M25" i="1"/>
  <c r="W25" i="1" s="1"/>
  <c r="L25" i="1"/>
  <c r="AP24" i="1"/>
  <c r="Y24" i="1"/>
  <c r="Z24" i="1" s="1"/>
  <c r="M24" i="1"/>
  <c r="W24" i="1" s="1"/>
  <c r="AE24" i="1" s="1"/>
  <c r="L24" i="1"/>
  <c r="AP23" i="1"/>
  <c r="Y23" i="1"/>
  <c r="Z23" i="1" s="1"/>
  <c r="M23" i="1"/>
  <c r="W23" i="1" s="1"/>
  <c r="AE23" i="1" s="1"/>
  <c r="L23" i="1"/>
  <c r="AP22" i="1"/>
  <c r="Z22" i="1"/>
  <c r="M22" i="1"/>
  <c r="W22" i="1" s="1"/>
  <c r="L22" i="1"/>
  <c r="AP21" i="1"/>
  <c r="Y21" i="1"/>
  <c r="Z21" i="1" s="1"/>
  <c r="M21" i="1"/>
  <c r="W21" i="1" s="1"/>
  <c r="AE21" i="1" s="1"/>
  <c r="L21" i="1"/>
  <c r="AP20" i="1"/>
  <c r="Y20" i="1"/>
  <c r="Z20" i="1" s="1"/>
  <c r="M20" i="1"/>
  <c r="W20" i="1" s="1"/>
  <c r="AE20" i="1" s="1"/>
  <c r="L20" i="1"/>
  <c r="AP19" i="1"/>
  <c r="Y19" i="1"/>
  <c r="Z19" i="1" s="1"/>
  <c r="M19" i="1"/>
  <c r="W19" i="1" s="1"/>
  <c r="AE19" i="1" s="1"/>
  <c r="L19" i="1"/>
  <c r="AP18" i="1"/>
  <c r="M18" i="1"/>
  <c r="W18" i="1" s="1"/>
  <c r="X18" i="1" s="1"/>
  <c r="Y18" i="1" s="1"/>
  <c r="Z18" i="1" s="1"/>
  <c r="AD18" i="1" s="1"/>
  <c r="L18" i="1"/>
  <c r="AP17" i="1"/>
  <c r="Y17" i="1"/>
  <c r="Z17" i="1" s="1"/>
  <c r="M17" i="1"/>
  <c r="W17" i="1" s="1"/>
  <c r="AE17" i="1" s="1"/>
  <c r="L17" i="1"/>
  <c r="AP16" i="1"/>
  <c r="M16" i="1"/>
  <c r="W16" i="1" s="1"/>
  <c r="L16" i="1"/>
  <c r="AP15" i="1"/>
  <c r="Y15" i="1"/>
  <c r="Z15" i="1" s="1"/>
  <c r="M15" i="1"/>
  <c r="W15" i="1" s="1"/>
  <c r="AE15" i="1" s="1"/>
  <c r="L15" i="1"/>
  <c r="AP14" i="1"/>
  <c r="M14" i="1"/>
  <c r="W14" i="1" s="1"/>
  <c r="L14" i="1"/>
  <c r="AP13" i="1"/>
  <c r="M13" i="1"/>
  <c r="W13" i="1" s="1"/>
  <c r="L13" i="1"/>
  <c r="AP12" i="1"/>
  <c r="M12" i="1"/>
  <c r="W12" i="1" s="1"/>
  <c r="L12" i="1"/>
  <c r="AP11" i="1"/>
  <c r="M11" i="1"/>
  <c r="W11" i="1" s="1"/>
  <c r="L11" i="1"/>
  <c r="AP10" i="1"/>
  <c r="Y10" i="1"/>
  <c r="Z10" i="1" s="1"/>
  <c r="M10" i="1"/>
  <c r="W10" i="1" s="1"/>
  <c r="AE10" i="1" s="1"/>
  <c r="L10" i="1"/>
  <c r="AP9" i="1"/>
  <c r="Y9" i="1"/>
  <c r="Z9" i="1" s="1"/>
  <c r="M9" i="1"/>
  <c r="W9" i="1" s="1"/>
  <c r="AE9" i="1" s="1"/>
  <c r="L9" i="1"/>
  <c r="AP8" i="1"/>
  <c r="M8" i="1"/>
  <c r="W8" i="1" s="1"/>
  <c r="L8" i="1"/>
  <c r="F8" i="1"/>
  <c r="AP7" i="1"/>
  <c r="M7" i="1"/>
  <c r="W7" i="1" s="1"/>
  <c r="AE7" i="1" s="1"/>
  <c r="L7" i="1"/>
  <c r="AP6" i="1"/>
  <c r="Z6" i="1"/>
  <c r="M6" i="1"/>
  <c r="L6" i="1"/>
  <c r="AM5" i="1"/>
  <c r="AL5" i="1"/>
  <c r="AK5" i="1"/>
  <c r="AJ5" i="1"/>
  <c r="AI5" i="1"/>
  <c r="AH5" i="1"/>
  <c r="AG5" i="1"/>
  <c r="AF5" i="1"/>
  <c r="T5" i="1"/>
  <c r="Q5" i="1"/>
  <c r="P5" i="1"/>
  <c r="O5" i="1"/>
  <c r="N5" i="1"/>
  <c r="K5" i="1"/>
  <c r="AD15" i="1" l="1"/>
  <c r="AD20" i="1"/>
  <c r="AD23" i="1"/>
  <c r="AD29" i="1"/>
  <c r="AD34" i="1"/>
  <c r="AD36" i="1"/>
  <c r="AD57" i="1"/>
  <c r="AD87" i="1"/>
  <c r="AD88" i="1"/>
  <c r="AD102" i="1"/>
  <c r="AD17" i="1"/>
  <c r="AD32" i="1"/>
  <c r="AD96" i="1"/>
  <c r="AD130" i="1"/>
  <c r="AD52" i="1"/>
  <c r="AD100" i="1"/>
  <c r="AD19" i="1"/>
  <c r="AD120" i="1"/>
  <c r="AD108" i="1"/>
  <c r="AD53" i="1"/>
  <c r="AD103" i="1"/>
  <c r="AD137" i="1"/>
  <c r="AO30" i="1"/>
  <c r="AD30" i="1"/>
  <c r="AD77" i="1"/>
  <c r="AD99" i="1"/>
  <c r="AD115" i="1"/>
  <c r="AD121" i="1"/>
  <c r="AO131" i="1"/>
  <c r="AD131" i="1"/>
  <c r="AO93" i="1"/>
  <c r="AD93" i="1"/>
  <c r="AO125" i="1"/>
  <c r="AD125" i="1"/>
  <c r="AD94" i="1"/>
  <c r="AO35" i="1"/>
  <c r="AD35" i="1"/>
  <c r="AO126" i="1"/>
  <c r="AD126" i="1"/>
  <c r="AO9" i="1"/>
  <c r="AD9" i="1"/>
  <c r="AO26" i="1"/>
  <c r="AD26" i="1"/>
  <c r="AD54" i="1"/>
  <c r="AD72" i="1"/>
  <c r="AD24" i="1"/>
  <c r="AO89" i="1"/>
  <c r="AD89" i="1"/>
  <c r="AD21" i="1"/>
  <c r="AD37" i="1"/>
  <c r="AD78" i="1"/>
  <c r="AO122" i="1"/>
  <c r="AD122" i="1"/>
  <c r="AD127" i="1"/>
  <c r="AD10" i="1"/>
  <c r="AO90" i="1"/>
  <c r="AD90" i="1"/>
  <c r="AD61" i="1"/>
  <c r="AO22" i="1"/>
  <c r="AD22" i="1"/>
  <c r="AD79" i="1"/>
  <c r="AO123" i="1"/>
  <c r="AD123" i="1"/>
  <c r="AO28" i="1"/>
  <c r="AD28" i="1"/>
  <c r="AO56" i="1"/>
  <c r="AD56" i="1"/>
  <c r="AO74" i="1"/>
  <c r="AD74" i="1"/>
  <c r="AO86" i="1"/>
  <c r="AD86" i="1"/>
  <c r="AD51" i="1"/>
  <c r="AD69" i="1"/>
  <c r="AD92" i="1"/>
  <c r="AO97" i="1"/>
  <c r="AD97" i="1"/>
  <c r="AD107" i="1"/>
  <c r="AD124" i="1"/>
  <c r="AO63" i="1"/>
  <c r="AD63" i="1"/>
  <c r="AE128" i="1"/>
  <c r="Z64" i="1"/>
  <c r="AD64" i="1" s="1"/>
  <c r="AO57" i="1"/>
  <c r="AE91" i="1"/>
  <c r="X91" i="1"/>
  <c r="Y91" i="1" s="1"/>
  <c r="Z91" i="1" s="1"/>
  <c r="AD91" i="1" s="1"/>
  <c r="AE105" i="1"/>
  <c r="X105" i="1"/>
  <c r="Y105" i="1" s="1"/>
  <c r="Z105" i="1" s="1"/>
  <c r="AD105" i="1" s="1"/>
  <c r="AE58" i="1"/>
  <c r="X58" i="1"/>
  <c r="Y58" i="1" s="1"/>
  <c r="Z58" i="1" s="1"/>
  <c r="AD58" i="1" s="1"/>
  <c r="AE70" i="1"/>
  <c r="X70" i="1"/>
  <c r="Y70" i="1" s="1"/>
  <c r="Z70" i="1" s="1"/>
  <c r="AD70" i="1" s="1"/>
  <c r="AE119" i="1"/>
  <c r="X119" i="1"/>
  <c r="Y119" i="1" s="1"/>
  <c r="Z119" i="1" s="1"/>
  <c r="AD119" i="1" s="1"/>
  <c r="X60" i="1"/>
  <c r="Y60" i="1" s="1"/>
  <c r="Z60" i="1" s="1"/>
  <c r="AD60" i="1" s="1"/>
  <c r="AE60" i="1"/>
  <c r="AE39" i="1"/>
  <c r="X39" i="1"/>
  <c r="Y39" i="1" s="1"/>
  <c r="Z39" i="1" s="1"/>
  <c r="AD39" i="1" s="1"/>
  <c r="AE109" i="1"/>
  <c r="X109" i="1"/>
  <c r="Y109" i="1" s="1"/>
  <c r="Z109" i="1" s="1"/>
  <c r="AD109" i="1" s="1"/>
  <c r="AO51" i="1"/>
  <c r="E5" i="1"/>
  <c r="AO17" i="1"/>
  <c r="AB47" i="1"/>
  <c r="AP47" i="1" s="1"/>
  <c r="L130" i="1"/>
  <c r="Z84" i="1"/>
  <c r="AD84" i="1" s="1"/>
  <c r="X101" i="1"/>
  <c r="Y101" i="1" s="1"/>
  <c r="Z101" i="1" s="1"/>
  <c r="AD101" i="1" s="1"/>
  <c r="AB65" i="1"/>
  <c r="AP65" i="1" s="1"/>
  <c r="Z85" i="1"/>
  <c r="AD85" i="1" s="1"/>
  <c r="F5" i="1"/>
  <c r="L94" i="1"/>
  <c r="X128" i="1"/>
  <c r="Y128" i="1" s="1"/>
  <c r="Z128" i="1" s="1"/>
  <c r="AO128" i="1" s="1"/>
  <c r="M5" i="1"/>
  <c r="AB41" i="1"/>
  <c r="AP41" i="1" s="1"/>
  <c r="AB67" i="1"/>
  <c r="AP67" i="1" s="1"/>
  <c r="AO103" i="1"/>
  <c r="AO121" i="1"/>
  <c r="AE83" i="1"/>
  <c r="X83" i="1"/>
  <c r="Y83" i="1" s="1"/>
  <c r="Z83" i="1" s="1"/>
  <c r="AD83" i="1" s="1"/>
  <c r="AO87" i="1"/>
  <c r="AE112" i="1"/>
  <c r="X112" i="1"/>
  <c r="Y112" i="1" s="1"/>
  <c r="AO47" i="1"/>
  <c r="AO100" i="1"/>
  <c r="X73" i="1"/>
  <c r="Y73" i="1" s="1"/>
  <c r="Z73" i="1" s="1"/>
  <c r="AD73" i="1" s="1"/>
  <c r="AE73" i="1"/>
  <c r="AO96" i="1"/>
  <c r="AO68" i="1"/>
  <c r="AO78" i="1"/>
  <c r="AO92" i="1"/>
  <c r="AE104" i="1"/>
  <c r="X104" i="1"/>
  <c r="Y104" i="1" s="1"/>
  <c r="Z104" i="1" s="1"/>
  <c r="AD104" i="1" s="1"/>
  <c r="AO108" i="1"/>
  <c r="AE130" i="1"/>
  <c r="AO18" i="1"/>
  <c r="AO88" i="1"/>
  <c r="AO52" i="1"/>
  <c r="AO69" i="1"/>
  <c r="AE97" i="1"/>
  <c r="X14" i="1"/>
  <c r="Y14" i="1" s="1"/>
  <c r="Z14" i="1" s="1"/>
  <c r="AD14" i="1" s="1"/>
  <c r="AE14" i="1"/>
  <c r="AO23" i="1"/>
  <c r="AE114" i="1"/>
  <c r="X114" i="1"/>
  <c r="Y114" i="1" s="1"/>
  <c r="Z114" i="1" s="1"/>
  <c r="AD114" i="1" s="1"/>
  <c r="AP31" i="1"/>
  <c r="AO19" i="1"/>
  <c r="AO10" i="1"/>
  <c r="AE59" i="1"/>
  <c r="X59" i="1"/>
  <c r="Y59" i="1" s="1"/>
  <c r="Z59" i="1" s="1"/>
  <c r="AD59" i="1" s="1"/>
  <c r="AO36" i="1"/>
  <c r="AO61" i="1"/>
  <c r="AO65" i="1"/>
  <c r="AO79" i="1"/>
  <c r="AO32" i="1"/>
  <c r="AO53" i="1"/>
  <c r="AE22" i="1"/>
  <c r="X22" i="1"/>
  <c r="AO15" i="1"/>
  <c r="AB49" i="1"/>
  <c r="AP49" i="1" s="1"/>
  <c r="Z49" i="1"/>
  <c r="X75" i="1"/>
  <c r="Y75" i="1" s="1"/>
  <c r="Z75" i="1" s="1"/>
  <c r="AD75" i="1" s="1"/>
  <c r="AE75" i="1"/>
  <c r="AE80" i="1"/>
  <c r="X80" i="1"/>
  <c r="Y80" i="1" s="1"/>
  <c r="Z80" i="1" s="1"/>
  <c r="AD80" i="1" s="1"/>
  <c r="AO41" i="1"/>
  <c r="X62" i="1"/>
  <c r="Y62" i="1" s="1"/>
  <c r="Z62" i="1" s="1"/>
  <c r="AD62" i="1" s="1"/>
  <c r="AE62" i="1"/>
  <c r="AE90" i="1"/>
  <c r="X90" i="1"/>
  <c r="X106" i="1"/>
  <c r="Y106" i="1" s="1"/>
  <c r="Z106" i="1" s="1"/>
  <c r="AD106" i="1" s="1"/>
  <c r="AE106" i="1"/>
  <c r="AO115" i="1"/>
  <c r="AE13" i="1"/>
  <c r="X13" i="1"/>
  <c r="Y13" i="1" s="1"/>
  <c r="Z13" i="1" s="1"/>
  <c r="AD13" i="1" s="1"/>
  <c r="AO20" i="1"/>
  <c r="AO37" i="1"/>
  <c r="AO66" i="1"/>
  <c r="AE71" i="1"/>
  <c r="X71" i="1"/>
  <c r="Y71" i="1" s="1"/>
  <c r="Z71" i="1" s="1"/>
  <c r="AD71" i="1" s="1"/>
  <c r="AO102" i="1"/>
  <c r="AO127" i="1"/>
  <c r="X12" i="1"/>
  <c r="Y12" i="1" s="1"/>
  <c r="Z12" i="1" s="1"/>
  <c r="AD12" i="1" s="1"/>
  <c r="AE12" i="1"/>
  <c r="AE8" i="1"/>
  <c r="X8" i="1"/>
  <c r="Y8" i="1" s="1"/>
  <c r="Z8" i="1" s="1"/>
  <c r="AD8" i="1" s="1"/>
  <c r="AO48" i="1"/>
  <c r="AO24" i="1"/>
  <c r="X16" i="1"/>
  <c r="Y16" i="1" s="1"/>
  <c r="Z16" i="1" s="1"/>
  <c r="AD16" i="1" s="1"/>
  <c r="AE16" i="1"/>
  <c r="AE76" i="1"/>
  <c r="X76" i="1"/>
  <c r="Y76" i="1" s="1"/>
  <c r="Z76" i="1" s="1"/>
  <c r="AD76" i="1" s="1"/>
  <c r="AE81" i="1"/>
  <c r="X81" i="1"/>
  <c r="Y81" i="1" s="1"/>
  <c r="Z81" i="1" s="1"/>
  <c r="AD81" i="1" s="1"/>
  <c r="AO110" i="1"/>
  <c r="AO120" i="1"/>
  <c r="AO54" i="1"/>
  <c r="AE25" i="1"/>
  <c r="X25" i="1"/>
  <c r="Y25" i="1" s="1"/>
  <c r="Z25" i="1" s="1"/>
  <c r="AD25" i="1" s="1"/>
  <c r="AO29" i="1"/>
  <c r="AO50" i="1"/>
  <c r="AO99" i="1"/>
  <c r="AE116" i="1"/>
  <c r="X116" i="1"/>
  <c r="Y116" i="1" s="1"/>
  <c r="AO124" i="1"/>
  <c r="X38" i="1"/>
  <c r="Y38" i="1" s="1"/>
  <c r="AE38" i="1"/>
  <c r="AO46" i="1"/>
  <c r="AO67" i="1"/>
  <c r="AE82" i="1"/>
  <c r="X82" i="1"/>
  <c r="Y82" i="1" s="1"/>
  <c r="Z82" i="1" s="1"/>
  <c r="AD82" i="1" s="1"/>
  <c r="AO137" i="1"/>
  <c r="AE11" i="1"/>
  <c r="X11" i="1"/>
  <c r="Y11" i="1" s="1"/>
  <c r="Z11" i="1" s="1"/>
  <c r="AD11" i="1" s="1"/>
  <c r="AO21" i="1"/>
  <c r="AO34" i="1"/>
  <c r="AE55" i="1"/>
  <c r="X55" i="1"/>
  <c r="Y55" i="1" s="1"/>
  <c r="Z55" i="1" s="1"/>
  <c r="AD55" i="1" s="1"/>
  <c r="AO72" i="1"/>
  <c r="AO77" i="1"/>
  <c r="AE95" i="1"/>
  <c r="X95" i="1"/>
  <c r="Y95" i="1" s="1"/>
  <c r="Z95" i="1" s="1"/>
  <c r="AD95" i="1" s="1"/>
  <c r="AO107" i="1"/>
  <c r="X111" i="1"/>
  <c r="Y111" i="1" s="1"/>
  <c r="AE111" i="1"/>
  <c r="W6" i="1"/>
  <c r="AD6" i="1" s="1"/>
  <c r="X27" i="1"/>
  <c r="Y27" i="1" s="1"/>
  <c r="Z27" i="1" s="1"/>
  <c r="AD27" i="1" s="1"/>
  <c r="L128" i="1"/>
  <c r="AE18" i="1"/>
  <c r="AE31" i="1"/>
  <c r="AE66" i="1"/>
  <c r="AE68" i="1"/>
  <c r="X126" i="1"/>
  <c r="X134" i="1"/>
  <c r="Y134" i="1" s="1"/>
  <c r="Z134" i="1" s="1"/>
  <c r="AD134" i="1" s="1"/>
  <c r="X136" i="1"/>
  <c r="Y136" i="1" s="1"/>
  <c r="Z136" i="1" s="1"/>
  <c r="AD136" i="1" s="1"/>
  <c r="Z132" i="1"/>
  <c r="AD132" i="1" s="1"/>
  <c r="Z44" i="1"/>
  <c r="AD44" i="1" s="1"/>
  <c r="AO6" i="1"/>
  <c r="AB46" i="1"/>
  <c r="AP46" i="1" s="1"/>
  <c r="AE48" i="1"/>
  <c r="AB50" i="1"/>
  <c r="AP50" i="1" s="1"/>
  <c r="Z118" i="1"/>
  <c r="AD118" i="1" s="1"/>
  <c r="AE110" i="1"/>
  <c r="Z40" i="1"/>
  <c r="AD40" i="1" s="1"/>
  <c r="AE94" i="1"/>
  <c r="X7" i="1"/>
  <c r="Y7" i="1" s="1"/>
  <c r="Z42" i="1"/>
  <c r="AD42" i="1" s="1"/>
  <c r="Z98" i="1"/>
  <c r="AD98" i="1" s="1"/>
  <c r="X43" i="1"/>
  <c r="Y43" i="1" s="1"/>
  <c r="Z43" i="1" s="1"/>
  <c r="AD43" i="1" s="1"/>
  <c r="X45" i="1"/>
  <c r="Y45" i="1" s="1"/>
  <c r="Z45" i="1" s="1"/>
  <c r="AD45" i="1" s="1"/>
  <c r="Z129" i="1"/>
  <c r="AD129" i="1" s="1"/>
  <c r="Z133" i="1"/>
  <c r="AD133" i="1" s="1"/>
  <c r="Z135" i="1"/>
  <c r="AD135" i="1" s="1"/>
  <c r="Z113" i="1"/>
  <c r="AD113" i="1" s="1"/>
  <c r="Z117" i="1"/>
  <c r="AD117" i="1" s="1"/>
  <c r="Z33" i="1"/>
  <c r="AD33" i="1" s="1"/>
  <c r="AD49" i="1" l="1"/>
  <c r="AD128" i="1"/>
  <c r="L5" i="1"/>
  <c r="AD46" i="1"/>
  <c r="AD50" i="1"/>
  <c r="AD41" i="1"/>
  <c r="AD47" i="1"/>
  <c r="AD67" i="1"/>
  <c r="AD65" i="1"/>
  <c r="AO85" i="1"/>
  <c r="AO105" i="1"/>
  <c r="AO70" i="1"/>
  <c r="AO58" i="1"/>
  <c r="AO101" i="1"/>
  <c r="AO91" i="1"/>
  <c r="AO109" i="1"/>
  <c r="AO39" i="1"/>
  <c r="AO60" i="1"/>
  <c r="AO64" i="1"/>
  <c r="AO119" i="1"/>
  <c r="AO84" i="1"/>
  <c r="AO80" i="1"/>
  <c r="AO114" i="1"/>
  <c r="AO16" i="1"/>
  <c r="AO49" i="1"/>
  <c r="AO76" i="1"/>
  <c r="AO33" i="1"/>
  <c r="AO13" i="1"/>
  <c r="AO73" i="1"/>
  <c r="Z111" i="1"/>
  <c r="AB111" i="1"/>
  <c r="AB112" i="1"/>
  <c r="AP112" i="1" s="1"/>
  <c r="Z112" i="1"/>
  <c r="AO113" i="1"/>
  <c r="AO82" i="1"/>
  <c r="AO8" i="1"/>
  <c r="AO59" i="1"/>
  <c r="AO104" i="1"/>
  <c r="AO117" i="1"/>
  <c r="AO95" i="1"/>
  <c r="AO135" i="1"/>
  <c r="AO129" i="1"/>
  <c r="AO106" i="1"/>
  <c r="AO14" i="1"/>
  <c r="AO83" i="1"/>
  <c r="AO81" i="1"/>
  <c r="AO40" i="1"/>
  <c r="AO75" i="1"/>
  <c r="AO12" i="1"/>
  <c r="AO27" i="1"/>
  <c r="AO118" i="1"/>
  <c r="AO133" i="1"/>
  <c r="AO43" i="1"/>
  <c r="AO44" i="1"/>
  <c r="AO132" i="1"/>
  <c r="AO11" i="1"/>
  <c r="AO25" i="1"/>
  <c r="AO136" i="1"/>
  <c r="AE6" i="1"/>
  <c r="W5" i="1"/>
  <c r="X6" i="1"/>
  <c r="X5" i="1" s="1"/>
  <c r="AO98" i="1"/>
  <c r="AO42" i="1"/>
  <c r="AO134" i="1"/>
  <c r="AO55" i="1"/>
  <c r="AO62" i="1"/>
  <c r="AB116" i="1"/>
  <c r="AP116" i="1" s="1"/>
  <c r="Z116" i="1"/>
  <c r="AO45" i="1"/>
  <c r="AO71" i="1"/>
  <c r="Z7" i="1"/>
  <c r="AD7" i="1" s="1"/>
  <c r="Y5" i="1"/>
  <c r="AD112" i="1" l="1"/>
  <c r="AD116" i="1"/>
  <c r="AD111" i="1"/>
  <c r="AP111" i="1"/>
  <c r="AP5" i="1" s="1"/>
  <c r="AB5" i="1"/>
  <c r="AO111" i="1"/>
  <c r="AO7" i="1"/>
  <c r="Z5" i="1"/>
  <c r="AO116" i="1"/>
  <c r="AO112" i="1"/>
  <c r="AO5" i="1" l="1"/>
</calcChain>
</file>

<file path=xl/sharedStrings.xml><?xml version="1.0" encoding="utf-8"?>
<sst xmlns="http://schemas.openxmlformats.org/spreadsheetml/2006/main" count="729" uniqueCount="364">
  <si>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</si>
  <si>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</si>
  <si>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</si>
  <si>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</si>
  <si>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</si>
  <si>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</si>
  <si>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</si>
  <si>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</si>
  <si>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</si>
  <si>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</si>
  <si>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</si>
  <si>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</si>
  <si>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</si>
  <si>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</si>
  <si>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</si>
  <si>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</si>
  <si>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</si>
  <si>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</si>
  <si>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</si>
  <si>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</si>
  <si>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</si>
  <si>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</si>
  <si>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</si>
  <si>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</si>
  <si>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</si>
  <si>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</si>
  <si>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18,08,</t>
  </si>
  <si>
    <t>18,08,недогр</t>
  </si>
  <si>
    <t>22,08,</t>
  </si>
  <si>
    <t>23,08,</t>
  </si>
  <si>
    <t>20,08,</t>
  </si>
  <si>
    <t>25,08,</t>
  </si>
  <si>
    <t>24,08,</t>
  </si>
  <si>
    <t>Хмель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</si>
  <si>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</si>
  <si>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</si>
  <si>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</si>
  <si>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</si>
  <si>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</si>
  <si>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</si>
  <si>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</si>
  <si>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</si>
  <si>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</si>
  <si>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</si>
  <si>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</si>
  <si>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</si>
  <si>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</si>
  <si>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</si>
  <si>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</si>
  <si>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</si>
  <si>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</si>
  <si>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</si>
  <si>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</si>
  <si>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</si>
  <si>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</si>
  <si>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</si>
  <si>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</si>
  <si>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</si>
  <si>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</si>
  <si>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</si>
  <si>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</si>
  <si>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</si>
  <si>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</si>
  <si>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</si>
  <si>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</si>
  <si>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</si>
  <si>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</si>
  <si>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</si>
  <si>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</si>
  <si>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</si>
  <si>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</si>
  <si>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</si>
  <si>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</si>
  <si>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</si>
  <si>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</si>
  <si>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</si>
  <si>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</si>
  <si>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</si>
  <si>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</si>
  <si>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</si>
  <si>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</si>
  <si>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</si>
  <si>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</si>
  <si>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</si>
  <si>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</si>
  <si>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</si>
  <si>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</si>
  <si>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</si>
  <si>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</si>
  <si>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</si>
  <si>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</si>
  <si>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</si>
  <si>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</si>
  <si>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</si>
  <si>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</si>
  <si>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</si>
  <si>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</si>
  <si>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</si>
  <si>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</si>
  <si>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</si>
  <si>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</si>
  <si>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</si>
  <si>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</si>
  <si>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</si>
  <si>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</si>
  <si>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</si>
  <si>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НЕДОГРУЗ / матрица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</si>
  <si>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</si>
  <si>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</si>
  <si>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</si>
  <si>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</si>
  <si>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</si>
  <si>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</si>
  <si>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</si>
  <si>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</si>
  <si>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</si>
  <si>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</si>
  <si>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</si>
  <si>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</si>
  <si>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</si>
  <si>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</si>
  <si>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</si>
  <si>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</si>
  <si>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</si>
  <si>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</si>
  <si>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</si>
  <si>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</si>
  <si>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</si>
  <si>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</si>
  <si>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</si>
  <si>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</si>
  <si>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</si>
  <si>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</si>
  <si>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</si>
  <si>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</si>
  <si>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</si>
  <si>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</si>
  <si>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</si>
  <si>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</si>
  <si>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</si>
  <si>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</si>
  <si>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</si>
  <si>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</si>
  <si>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</si>
  <si>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</si>
  <si>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</si>
  <si>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</si>
  <si>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</si>
  <si>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</si>
  <si>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</si>
  <si>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</si>
  <si>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</si>
  <si>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</si>
  <si>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</si>
  <si>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</si>
  <si>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</si>
  <si>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</si>
  <si>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</si>
  <si>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</si>
  <si>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</si>
  <si>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</si>
  <si>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</si>
  <si>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</si>
  <si>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</si>
  <si>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</si>
  <si>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</si>
  <si>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</si>
  <si>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</si>
  <si>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</si>
  <si>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</si>
  <si>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</si>
  <si>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</si>
  <si>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</si>
  <si>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</si>
  <si>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</si>
  <si>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</si>
  <si>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</si>
  <si>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</si>
  <si>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</si>
  <si>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</si>
  <si>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</si>
  <si>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</si>
  <si>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</si>
  <si>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</si>
  <si>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</si>
  <si>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</si>
  <si>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</si>
  <si>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</si>
  <si>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</si>
  <si>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</si>
  <si>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</si>
  <si>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</si>
  <si>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</si>
  <si>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</si>
  <si>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</si>
  <si>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</si>
  <si>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</si>
  <si>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</si>
  <si>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</si>
  <si>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</si>
  <si>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</si>
  <si>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</si>
  <si>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</si>
  <si>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</si>
  <si>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</si>
  <si>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</si>
  <si>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</si>
  <si>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</si>
  <si>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</si>
  <si>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</si>
  <si>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</si>
  <si>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</si>
  <si>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</si>
  <si>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</si>
  <si>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</si>
  <si>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</si>
  <si>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</si>
  <si>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</si>
  <si>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</si>
  <si>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</si>
  <si>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</si>
  <si>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</si>
  <si>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</si>
  <si>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</si>
  <si>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</si>
  <si>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</si>
  <si>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</si>
  <si>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</si>
  <si>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</si>
  <si>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</si>
  <si>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</si>
  <si>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</si>
  <si>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</si>
  <si>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</si>
  <si>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</si>
  <si>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</si>
  <si>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</si>
  <si>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</si>
  <si>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</si>
  <si>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</si>
  <si>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</si>
  <si>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</si>
  <si>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</si>
  <si>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</si>
  <si>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</si>
  <si>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</si>
  <si>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</si>
  <si>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</si>
  <si>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</si>
  <si>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</si>
  <si>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</si>
  <si>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</si>
  <si>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</si>
  <si>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</si>
  <si>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</si>
  <si>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</si>
  <si>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</si>
  <si>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</si>
  <si>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</si>
  <si>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</si>
  <si>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</si>
  <si>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</si>
  <si>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</si>
  <si>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</si>
  <si>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</si>
  <si>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</si>
  <si>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</si>
  <si>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</si>
  <si>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</si>
  <si>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</si>
  <si>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</si>
  <si>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</si>
  <si>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</si>
  <si>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</si>
  <si>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</si>
  <si>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</si>
  <si>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</si>
  <si>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</si>
  <si>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</si>
  <si>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</si>
  <si>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</si>
  <si>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</si>
  <si>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</si>
  <si>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</si>
  <si>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</si>
  <si>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</si>
  <si>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</si>
  <si>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</si>
  <si>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</si>
  <si>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</si>
  <si>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</si>
  <si>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</si>
  <si>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</si>
  <si>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</si>
  <si>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</si>
  <si>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нужно увеличить продажи / плюсом 400шт сеть Молоко (21,08,26) / плюсом 300шт сеть Молоко (05,08,26)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</si>
  <si>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</si>
  <si>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</si>
  <si>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</si>
  <si>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</si>
  <si>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нужно увеличить продажи / 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</si>
  <si>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</si>
  <si>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</si>
  <si>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</si>
  <si>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</si>
  <si>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</si>
  <si>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</si>
  <si>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</si>
  <si>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</si>
  <si>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</si>
  <si>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</si>
  <si>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</si>
  <si>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</si>
  <si>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</si>
  <si>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</si>
  <si>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</si>
  <si>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</si>
  <si>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</si>
  <si>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</si>
  <si>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</si>
  <si>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</si>
  <si>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</si>
  <si>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</si>
  <si>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</si>
  <si>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</si>
  <si>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</si>
  <si>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22,08,недогр</t>
  </si>
  <si>
    <t>22,08,доз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</si>
  <si>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</si>
  <si>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</si>
  <si>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Сосиски «Сочинки с сочным окороком» Фикс.вес 0,4 П/а мгс ТМ «Стародворье»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</si>
  <si>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</si>
  <si>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</si>
  <si>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</si>
  <si>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по-фински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</si>
  <si>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</si>
  <si>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</si>
  <si>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</si>
  <si>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Копченые колбасы «Балыковая» Весовой фиброуз ТМ «Вязанка»</t>
  </si>
  <si>
    <t>Копченые колбасы «Сервелат Финский» Фикс.вес 0,28 фиброуз срез ТМ «Вязанка»</t>
  </si>
  <si>
    <t>23,08,недогр</t>
  </si>
  <si>
    <t>23,08,доз</t>
  </si>
  <si>
    <t>24,08,недогр</t>
  </si>
  <si>
    <t>Сардельки «Стародворские с говядиной» Весовые NDX ТМ «Стародворье»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</si>
  <si>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</si>
  <si>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</si>
  <si>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</si>
  <si>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Ветчины Дугушка Дугушка Вес б/о Дугушка</t>
  </si>
  <si>
    <t>Сосиски «Молочные для завтрака» Весовой п/а ТМ «Особый рецепт»</t>
  </si>
  <si>
    <t>Сосиски «Сочинки с сочной грудинкой» Фикс.вес 0,4 П/а мгс ТМ «Стародворье»</t>
  </si>
  <si>
    <t>Сосиски Сочинки с сыром Бордо ф/в 0,4 кг п/а Стародворье</t>
  </si>
  <si>
    <t>Вареные колбасы Сливушка Вязанка Фикс.вес 0,45 П/а Вязанка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</si>
  <si>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</si>
  <si>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</si>
  <si>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</si>
  <si>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Весовые ТМ «Стародворье» 1,35 кг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</si>
  <si>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</si>
  <si>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</si>
  <si>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 Делюкс» Фикс.вес 0,3 фиброуз ТМ «Стародворье»</t>
  </si>
  <si>
    <t>Копченые колбасы «Балыковая» Фикс.вес 0,28 фиброуз срез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</si>
  <si>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</si>
  <si>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</si>
  <si>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</si>
  <si>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Консервы «Буженина в пряном маринаде» Фикс.вес 0,25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</si>
</sst>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0" fontId="0" fillId="0" borderId="1" xfId="0"/>
    <xf numFmtId="164" fontId="1" fillId="9" borderId="2" xfId="1" applyNumberFormat="1" applyFill="1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4" fontId="1" fillId="10" borderId="1" xfId="1" applyNumberFormat="1" applyFill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5" borderId="1" xfId="1" applyNumberFormat="1" applyFont="1" applyFill="1"/>
    <xf numFmtId="0" fontId="8" fillId="0" borderId="1" xfId="0" applyFont="1"/>
    <xf numFmtId="0" fontId="0" fillId="0" borderId="3" xfId="0" applyBorder="1"/>
    <xf numFmtId="0" fontId="0" fillId="4" borderId="3" xfId="0" applyFill="1" applyBorder="1"/>
    <xf numFmtId="0" fontId="0" fillId="0" borderId="1" xfId="0" applyBorder="1"/>
    <xf numFmtId="0" fontId="8" fillId="0" borderId="1" xfId="0" applyFont="1" applyBorder="1"/>
    <xf numFmtId="0" fontId="11" fillId="4" borderId="3" xfId="0" applyFont="1" applyFill="1" applyBorder="1"/>
    <xf numFmtId="166" fontId="0" fillId="4" borderId="3" xfId="0" applyNumberFormat="1" applyFill="1" applyBorder="1"/>
    <xf numFmtId="0" fontId="11" fillId="0" borderId="3" xfId="0" applyFont="1" applyBorder="1"/>
    <xf numFmtId="166" fontId="0" fillId="0" borderId="3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0,08,26%20&#1055;&#1054;&#1050;&#1054;&#1052;%20&#1050;&#1048;/&#1076;&#1083;&#1103;%20&#1076;&#1086;&#1079;&#1072;&#1082;&#1072;&#1079;&#1072;%2022,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20,08,26%20&#1055;&#1054;&#1050;&#1054;&#1052;%20&#1050;&#1048;/&#1050;&#1086;&#1087;&#1080;&#1103;%20&#1076;&#1074;%20200826%20&#1076;&#1085;&#1088;&#1089;&#1095;%20&#1087;&#1086;&#1082;%20&#1082;&#1080;%20&#1079;&#1072;&#1082;&#1072;&#1079;%20(&#1086;&#1090;%20&#1061;&#1084;&#1077;&#1083;&#11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SU003423</v>
          </cell>
        </row>
        <row r="2">
          <cell r="A2" t="str">
            <v>SU003422</v>
          </cell>
        </row>
        <row r="3">
          <cell r="A3" t="str">
            <v>SU003420</v>
          </cell>
        </row>
        <row r="4">
          <cell r="A4" t="str">
            <v>SU004238</v>
          </cell>
        </row>
        <row r="5">
          <cell r="A5" t="str">
            <v>SU002035</v>
          </cell>
        </row>
        <row r="6">
          <cell r="A6" t="str">
            <v>SU003689</v>
          </cell>
        </row>
        <row r="7">
          <cell r="A7" t="str">
            <v>SU001718</v>
          </cell>
        </row>
        <row r="8">
          <cell r="A8" t="str">
            <v>SU002634</v>
          </cell>
        </row>
        <row r="9">
          <cell r="A9" t="str">
            <v>SU002814</v>
          </cell>
        </row>
        <row r="10">
          <cell r="A10" t="str">
            <v>SU002815</v>
          </cell>
        </row>
        <row r="11">
          <cell r="A11" t="str">
            <v>SU002829</v>
          </cell>
        </row>
        <row r="12">
          <cell r="A12" t="str">
            <v>SU000126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  <cell r="U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 t="str">
            <v>18,08,</v>
          </cell>
          <cell r="P4" t="str">
            <v>18,08,недогр</v>
          </cell>
          <cell r="Q4" t="str">
            <v>22,08,</v>
          </cell>
          <cell r="R4" t="str">
            <v>23,08,</v>
          </cell>
          <cell r="S4" t="str">
            <v>20,08,</v>
          </cell>
          <cell r="T4"/>
          <cell r="U4"/>
        </row>
        <row r="5">
          <cell r="A5"/>
          <cell r="B5"/>
          <cell r="C5"/>
          <cell r="D5"/>
          <cell r="E5">
            <v>73581.433000000019</v>
          </cell>
          <cell r="F5">
            <v>46657.596999999994</v>
          </cell>
          <cell r="G5"/>
          <cell r="H5"/>
          <cell r="I5"/>
          <cell r="J5"/>
          <cell r="K5">
            <v>92199.357999999949</v>
          </cell>
          <cell r="L5">
            <v>-18617.925000000003</v>
          </cell>
          <cell r="M5">
            <v>58637.696000000018</v>
          </cell>
          <cell r="N5">
            <v>14943.736999999999</v>
          </cell>
          <cell r="O5">
            <v>19603.011368952004</v>
          </cell>
          <cell r="P5">
            <v>-1273.5</v>
          </cell>
          <cell r="Q5">
            <v>22586.476596293371</v>
          </cell>
          <cell r="R5">
            <v>20743.400047946052</v>
          </cell>
          <cell r="S5">
            <v>11727.539200000003</v>
          </cell>
          <cell r="T5">
            <v>30243.415234286313</v>
          </cell>
          <cell r="U5"/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2019.1469999999999</v>
          </cell>
          <cell r="D6">
            <v>3887.194</v>
          </cell>
          <cell r="E6">
            <v>2033.1679999999999</v>
          </cell>
          <cell r="F6">
            <v>2734.6849999999999</v>
          </cell>
          <cell r="G6">
            <v>1</v>
          </cell>
          <cell r="H6">
            <v>50</v>
          </cell>
          <cell r="I6" t="str">
            <v>матрица</v>
          </cell>
          <cell r="J6"/>
          <cell r="K6">
            <v>2268.741</v>
          </cell>
          <cell r="L6">
            <v>-235.57300000000009</v>
          </cell>
          <cell r="M6">
            <v>1628.1079999999999</v>
          </cell>
          <cell r="N6">
            <v>405.06</v>
          </cell>
          <cell r="O6">
            <v>571.67824957775997</v>
          </cell>
          <cell r="P6"/>
          <cell r="Q6">
            <v>215.47622976</v>
          </cell>
          <cell r="R6">
            <v>267.65433023999998</v>
          </cell>
          <cell r="S6">
            <v>325.6216</v>
          </cell>
          <cell r="T6">
            <v>117.96539042224003</v>
          </cell>
          <cell r="U6"/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473.78399999999999</v>
          </cell>
          <cell r="D7">
            <v>2893.569</v>
          </cell>
          <cell r="E7">
            <v>1688.492</v>
          </cell>
          <cell r="F7">
            <v>1204.04</v>
          </cell>
          <cell r="G7">
            <v>1</v>
          </cell>
          <cell r="H7">
            <v>45</v>
          </cell>
          <cell r="I7" t="str">
            <v>матрица</v>
          </cell>
          <cell r="J7"/>
          <cell r="K7">
            <v>1499.1020000000001</v>
          </cell>
          <cell r="L7">
            <v>189.38999999999987</v>
          </cell>
          <cell r="M7">
            <v>1081.529</v>
          </cell>
          <cell r="N7">
            <v>606.96299999999997</v>
          </cell>
          <cell r="O7">
            <v>753.70391199999995</v>
          </cell>
          <cell r="P7"/>
          <cell r="Q7">
            <v>200.7</v>
          </cell>
          <cell r="R7">
            <v>249.3</v>
          </cell>
          <cell r="S7">
            <v>216.3058</v>
          </cell>
          <cell r="T7">
            <v>187.92568800000026</v>
          </cell>
          <cell r="U7"/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2754.893</v>
          </cell>
          <cell r="D8">
            <v>6282.7259999999997</v>
          </cell>
          <cell r="E8">
            <v>4646.4849999999997</v>
          </cell>
          <cell r="F8">
            <v>2260.8630000000003</v>
          </cell>
          <cell r="G8">
            <v>1</v>
          </cell>
          <cell r="H8">
            <v>45</v>
          </cell>
          <cell r="I8" t="str">
            <v>матрица</v>
          </cell>
          <cell r="J8"/>
          <cell r="K8">
            <v>4805.0240000000003</v>
          </cell>
          <cell r="L8">
            <v>-158.53900000000067</v>
          </cell>
          <cell r="M8">
            <v>2732.1219999999994</v>
          </cell>
          <cell r="N8">
            <v>1914.3630000000001</v>
          </cell>
          <cell r="O8">
            <v>976.73630996240047</v>
          </cell>
          <cell r="P8"/>
          <cell r="Q8">
            <v>1024.615398301479</v>
          </cell>
          <cell r="R8">
            <v>1272.728544078519</v>
          </cell>
          <cell r="S8">
            <v>546.42439999999988</v>
          </cell>
          <cell r="T8">
            <v>1022.1495476575997</v>
          </cell>
          <cell r="U8"/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23</v>
          </cell>
          <cell r="D9">
            <v>10</v>
          </cell>
          <cell r="E9">
            <v>7</v>
          </cell>
          <cell r="F9">
            <v>18</v>
          </cell>
          <cell r="G9">
            <v>0.4</v>
          </cell>
          <cell r="H9">
            <v>50</v>
          </cell>
          <cell r="I9" t="str">
            <v>матрица</v>
          </cell>
          <cell r="J9"/>
          <cell r="K9">
            <v>14</v>
          </cell>
          <cell r="L9">
            <v>-7</v>
          </cell>
          <cell r="M9">
            <v>7</v>
          </cell>
          <cell r="N9"/>
          <cell r="O9"/>
          <cell r="P9"/>
          <cell r="Q9">
            <v>0</v>
          </cell>
          <cell r="R9"/>
          <cell r="S9">
            <v>1.4</v>
          </cell>
          <cell r="T9"/>
          <cell r="U9"/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1956.55</v>
          </cell>
          <cell r="D10">
            <v>2792</v>
          </cell>
          <cell r="E10">
            <v>2608.174</v>
          </cell>
          <cell r="F10">
            <v>615.37599999999998</v>
          </cell>
          <cell r="G10">
            <v>0.45</v>
          </cell>
          <cell r="H10">
            <v>45</v>
          </cell>
          <cell r="I10" t="str">
            <v>ВНИМАНИЕ / матрица</v>
          </cell>
          <cell r="J10"/>
          <cell r="K10">
            <v>3201</v>
          </cell>
          <cell r="L10">
            <v>-592.82600000000002</v>
          </cell>
          <cell r="M10">
            <v>2464.174</v>
          </cell>
          <cell r="N10">
            <v>144</v>
          </cell>
          <cell r="O10">
            <v>907.60799999999995</v>
          </cell>
          <cell r="P10"/>
          <cell r="Q10">
            <v>535.19999999999993</v>
          </cell>
          <cell r="R10">
            <v>664.80000000000007</v>
          </cell>
          <cell r="S10">
            <v>492.83479999999997</v>
          </cell>
          <cell r="T10">
            <v>2000</v>
          </cell>
          <cell r="U10"/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5853.0209999999997</v>
          </cell>
          <cell r="D11">
            <v>2392</v>
          </cell>
          <cell r="E11">
            <v>4360.366</v>
          </cell>
          <cell r="F11">
            <v>1646.655</v>
          </cell>
          <cell r="G11">
            <v>0.45</v>
          </cell>
          <cell r="H11">
            <v>45</v>
          </cell>
          <cell r="I11" t="str">
            <v>ВНИМАНИЕ / матрица</v>
          </cell>
          <cell r="J11"/>
          <cell r="K11">
            <v>4886</v>
          </cell>
          <cell r="L11">
            <v>-525.63400000000001</v>
          </cell>
          <cell r="M11">
            <v>3424.366</v>
          </cell>
          <cell r="N11">
            <v>936</v>
          </cell>
          <cell r="O11">
            <v>260</v>
          </cell>
          <cell r="P11"/>
          <cell r="Q11">
            <v>356.8</v>
          </cell>
          <cell r="R11">
            <v>443.2</v>
          </cell>
          <cell r="S11">
            <v>684.8732</v>
          </cell>
          <cell r="T11">
            <v>4826.9502000000002</v>
          </cell>
          <cell r="U11"/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282</v>
          </cell>
          <cell r="D12">
            <v>37</v>
          </cell>
          <cell r="E12">
            <v>119</v>
          </cell>
          <cell r="F12">
            <v>126</v>
          </cell>
          <cell r="G12">
            <v>0.17</v>
          </cell>
          <cell r="H12">
            <v>180</v>
          </cell>
          <cell r="I12" t="str">
            <v>матрица</v>
          </cell>
          <cell r="J12"/>
          <cell r="K12">
            <v>149</v>
          </cell>
          <cell r="L12">
            <v>-30</v>
          </cell>
          <cell r="M12">
            <v>89</v>
          </cell>
          <cell r="N12">
            <v>30</v>
          </cell>
          <cell r="O12"/>
          <cell r="P12"/>
          <cell r="Q12">
            <v>0</v>
          </cell>
          <cell r="R12"/>
          <cell r="S12">
            <v>17.8</v>
          </cell>
          <cell r="T12">
            <v>87.600000000000023</v>
          </cell>
          <cell r="U12"/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96</v>
          </cell>
          <cell r="D13">
            <v>9</v>
          </cell>
          <cell r="E13">
            <v>60</v>
          </cell>
          <cell r="F13">
            <v>19</v>
          </cell>
          <cell r="G13">
            <v>0.3</v>
          </cell>
          <cell r="H13">
            <v>40</v>
          </cell>
          <cell r="I13" t="str">
            <v>матрица</v>
          </cell>
          <cell r="J13"/>
          <cell r="K13">
            <v>80</v>
          </cell>
          <cell r="L13">
            <v>-20</v>
          </cell>
          <cell r="M13">
            <v>60</v>
          </cell>
          <cell r="N13"/>
          <cell r="O13"/>
          <cell r="P13"/>
          <cell r="Q13">
            <v>75</v>
          </cell>
          <cell r="R13"/>
          <cell r="S13">
            <v>12</v>
          </cell>
          <cell r="T13">
            <v>50</v>
          </cell>
          <cell r="U13"/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383</v>
          </cell>
          <cell r="D14">
            <v>103</v>
          </cell>
          <cell r="E14">
            <v>297</v>
          </cell>
          <cell r="F14">
            <v>6</v>
          </cell>
          <cell r="G14">
            <v>0.17</v>
          </cell>
          <cell r="H14">
            <v>180</v>
          </cell>
          <cell r="I14" t="str">
            <v>матрица</v>
          </cell>
          <cell r="J14"/>
          <cell r="K14">
            <v>397</v>
          </cell>
          <cell r="L14">
            <v>-100</v>
          </cell>
          <cell r="M14">
            <v>87</v>
          </cell>
          <cell r="N14">
            <v>210</v>
          </cell>
          <cell r="O14"/>
          <cell r="P14"/>
          <cell r="Q14">
            <v>151.99999999999989</v>
          </cell>
          <cell r="R14"/>
          <cell r="S14">
            <v>17.399999999999999</v>
          </cell>
          <cell r="T14">
            <v>50.800000000000097</v>
          </cell>
          <cell r="U14"/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336</v>
          </cell>
          <cell r="D15">
            <v>2</v>
          </cell>
          <cell r="E15">
            <v>5</v>
          </cell>
          <cell r="F15">
            <v>272</v>
          </cell>
          <cell r="G15">
            <v>0</v>
          </cell>
          <cell r="H15"/>
          <cell r="I15" t="str">
            <v>не в матрице</v>
          </cell>
          <cell r="J15"/>
          <cell r="K15">
            <v>53</v>
          </cell>
          <cell r="L15">
            <v>-48</v>
          </cell>
          <cell r="M15">
            <v>5</v>
          </cell>
          <cell r="N15"/>
          <cell r="O15"/>
          <cell r="P15"/>
          <cell r="Q15">
            <v>0</v>
          </cell>
          <cell r="R15"/>
          <cell r="S15">
            <v>1</v>
          </cell>
          <cell r="T15"/>
          <cell r="U15"/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3949.2420000000002</v>
          </cell>
          <cell r="D16">
            <v>5740.3339999999998</v>
          </cell>
          <cell r="E16">
            <v>4270.7960000000003</v>
          </cell>
          <cell r="F16">
            <v>3018.5230000000001</v>
          </cell>
          <cell r="G16">
            <v>1</v>
          </cell>
          <cell r="H16">
            <v>70</v>
          </cell>
          <cell r="I16" t="str">
            <v>матрица</v>
          </cell>
          <cell r="J16"/>
          <cell r="K16">
            <v>4821.759</v>
          </cell>
          <cell r="L16">
            <v>-550.96299999999974</v>
          </cell>
          <cell r="M16">
            <v>2883.3020000000006</v>
          </cell>
          <cell r="N16">
            <v>1387.4939999999999</v>
          </cell>
          <cell r="O16">
            <v>1598.80850351872</v>
          </cell>
          <cell r="P16"/>
          <cell r="Q16">
            <v>267.60000000000002</v>
          </cell>
          <cell r="R16">
            <v>332.4</v>
          </cell>
          <cell r="S16">
            <v>576.6604000000001</v>
          </cell>
          <cell r="T16">
            <v>1702.593296481281</v>
          </cell>
          <cell r="U16"/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3045.259</v>
          </cell>
          <cell r="D17">
            <v>3464.7330000000002</v>
          </cell>
          <cell r="E17">
            <v>3118.3069999999998</v>
          </cell>
          <cell r="F17">
            <v>1311.933</v>
          </cell>
          <cell r="G17">
            <v>1</v>
          </cell>
          <cell r="H17">
            <v>50</v>
          </cell>
          <cell r="I17" t="str">
            <v>матрица</v>
          </cell>
          <cell r="J17"/>
          <cell r="K17">
            <v>4089.0889999999999</v>
          </cell>
          <cell r="L17">
            <v>-970.78200000000015</v>
          </cell>
          <cell r="M17">
            <v>1418.0369999999998</v>
          </cell>
          <cell r="N17">
            <v>1700.27</v>
          </cell>
          <cell r="O17">
            <v>270.40264458688011</v>
          </cell>
          <cell r="P17"/>
          <cell r="Q17">
            <v>888.46132639817574</v>
          </cell>
          <cell r="R17">
            <v>1103.604427857824</v>
          </cell>
          <cell r="S17">
            <v>283.60739999999998</v>
          </cell>
          <cell r="T17"/>
          <cell r="U17"/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328.6</v>
          </cell>
          <cell r="D18">
            <v>310.21800000000002</v>
          </cell>
          <cell r="E18">
            <v>448.40499999999997</v>
          </cell>
          <cell r="F18">
            <v>-10.763999999999999</v>
          </cell>
          <cell r="G18">
            <v>1</v>
          </cell>
          <cell r="H18">
            <v>60</v>
          </cell>
          <cell r="I18" t="str">
            <v>матрица</v>
          </cell>
          <cell r="J18"/>
          <cell r="K18">
            <v>523.84400000000005</v>
          </cell>
          <cell r="L18">
            <v>-75.439000000000078</v>
          </cell>
          <cell r="M18">
            <v>146.16099999999994</v>
          </cell>
          <cell r="N18">
            <v>302.24400000000003</v>
          </cell>
          <cell r="O18"/>
          <cell r="P18"/>
          <cell r="Q18">
            <v>211.8583999999999</v>
          </cell>
          <cell r="R18"/>
          <cell r="S18">
            <v>29.232199999999988</v>
          </cell>
          <cell r="T18">
            <v>149.69199999999995</v>
          </cell>
          <cell r="U18"/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D19"/>
          <cell r="E19">
            <v>1.7549999999999999</v>
          </cell>
          <cell r="F19">
            <v>-27.492999999999999</v>
          </cell>
          <cell r="G19">
            <v>0</v>
          </cell>
          <cell r="H19"/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K19">
            <v>22.5</v>
          </cell>
          <cell r="L19">
            <v>-20.745000000000001</v>
          </cell>
          <cell r="M19">
            <v>1.7549999999999999</v>
          </cell>
          <cell r="N19"/>
          <cell r="O19"/>
          <cell r="P19"/>
          <cell r="Q19">
            <v>0</v>
          </cell>
          <cell r="R19"/>
          <cell r="S19">
            <v>0.35099999999999998</v>
          </cell>
          <cell r="T19"/>
          <cell r="U19"/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C20"/>
          <cell r="D20"/>
          <cell r="E20"/>
          <cell r="F20"/>
          <cell r="G20">
            <v>0</v>
          </cell>
          <cell r="H20"/>
          <cell r="I20" t="str">
            <v>матрица</v>
          </cell>
          <cell r="J20"/>
          <cell r="K20"/>
          <cell r="L20">
            <v>0</v>
          </cell>
          <cell r="M20">
            <v>0</v>
          </cell>
          <cell r="N20"/>
          <cell r="O20"/>
          <cell r="P20"/>
          <cell r="Q20">
            <v>0</v>
          </cell>
          <cell r="R20"/>
          <cell r="S20">
            <v>0</v>
          </cell>
          <cell r="T20"/>
          <cell r="U20"/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4.0739999999999998</v>
          </cell>
          <cell r="D21">
            <v>20.452000000000002</v>
          </cell>
          <cell r="E21">
            <v>4.4169999999999998</v>
          </cell>
          <cell r="F21">
            <v>21.475999999999999</v>
          </cell>
          <cell r="G21">
            <v>1</v>
          </cell>
          <cell r="H21">
            <v>180</v>
          </cell>
          <cell r="I21" t="str">
            <v>матрица</v>
          </cell>
          <cell r="J21"/>
          <cell r="K21">
            <v>3.2</v>
          </cell>
          <cell r="L21">
            <v>1.2169999999999996</v>
          </cell>
          <cell r="M21">
            <v>4.4169999999999998</v>
          </cell>
          <cell r="N21"/>
          <cell r="O21"/>
          <cell r="P21"/>
          <cell r="Q21">
            <v>0</v>
          </cell>
          <cell r="R21"/>
          <cell r="S21">
            <v>0.88339999999999996</v>
          </cell>
          <cell r="T21"/>
          <cell r="U21"/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4132.4440000000004</v>
          </cell>
          <cell r="D22">
            <v>9744.6650000000009</v>
          </cell>
          <cell r="E22">
            <v>5972.8879999999999</v>
          </cell>
          <cell r="F22">
            <v>5774.89</v>
          </cell>
          <cell r="G22">
            <v>1</v>
          </cell>
          <cell r="H22">
            <v>60</v>
          </cell>
          <cell r="I22" t="str">
            <v>матрица</v>
          </cell>
          <cell r="J22"/>
          <cell r="K22">
            <v>5380.9189999999999</v>
          </cell>
          <cell r="L22">
            <v>591.96900000000005</v>
          </cell>
          <cell r="M22">
            <v>5972.8879999999999</v>
          </cell>
          <cell r="N22"/>
          <cell r="O22">
            <v>3489.2332883200011</v>
          </cell>
          <cell r="P22"/>
          <cell r="Q22">
            <v>1826.1224807039989</v>
          </cell>
          <cell r="R22">
            <v>2268.3225432959989</v>
          </cell>
          <cell r="S22">
            <v>1194.5776000000001</v>
          </cell>
          <cell r="T22">
            <v>976.36288768000031</v>
          </cell>
          <cell r="U22"/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D23"/>
          <cell r="E23">
            <v>4.97</v>
          </cell>
          <cell r="F23">
            <v>-12.462999999999999</v>
          </cell>
          <cell r="G23">
            <v>0</v>
          </cell>
          <cell r="H23"/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5</v>
          </cell>
          <cell r="L23">
            <v>-3.0000000000000249E-2</v>
          </cell>
          <cell r="M23">
            <v>4.97</v>
          </cell>
          <cell r="N23"/>
          <cell r="O23"/>
          <cell r="P23"/>
          <cell r="Q23">
            <v>0</v>
          </cell>
          <cell r="R23"/>
          <cell r="S23">
            <v>0.99399999999999999</v>
          </cell>
          <cell r="T23"/>
          <cell r="U23"/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335.72899999999998</v>
          </cell>
          <cell r="D24">
            <v>1254.8689999999999</v>
          </cell>
          <cell r="E24">
            <v>209.511</v>
          </cell>
          <cell r="F24">
            <v>583.08699999999999</v>
          </cell>
          <cell r="G24">
            <v>1</v>
          </cell>
          <cell r="H24">
            <v>70</v>
          </cell>
          <cell r="I24" t="str">
            <v>матрица</v>
          </cell>
          <cell r="J24"/>
          <cell r="K24">
            <v>1037.5450000000001</v>
          </cell>
          <cell r="L24">
            <v>-828.03400000000011</v>
          </cell>
          <cell r="M24">
            <v>108.401</v>
          </cell>
          <cell r="N24">
            <v>101.11</v>
          </cell>
          <cell r="O24"/>
          <cell r="P24"/>
          <cell r="Q24">
            <v>0</v>
          </cell>
          <cell r="R24"/>
          <cell r="S24">
            <v>21.680199999999999</v>
          </cell>
          <cell r="T24"/>
          <cell r="U24"/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1316.174</v>
          </cell>
          <cell r="D25">
            <v>1676.538</v>
          </cell>
          <cell r="E25">
            <v>1398.375</v>
          </cell>
          <cell r="F25">
            <v>990.20899999999995</v>
          </cell>
          <cell r="G25">
            <v>1</v>
          </cell>
          <cell r="H25">
            <v>70</v>
          </cell>
          <cell r="I25" t="str">
            <v>матрица</v>
          </cell>
          <cell r="J25"/>
          <cell r="K25">
            <v>1519.923</v>
          </cell>
          <cell r="L25">
            <v>-121.548</v>
          </cell>
          <cell r="M25">
            <v>1063.414</v>
          </cell>
          <cell r="N25">
            <v>334.96100000000001</v>
          </cell>
          <cell r="O25">
            <v>457.30278177584012</v>
          </cell>
          <cell r="P25"/>
          <cell r="Q25">
            <v>322.91478138456802</v>
          </cell>
          <cell r="R25">
            <v>401.10939212343197</v>
          </cell>
          <cell r="S25">
            <v>212.68279999999999</v>
          </cell>
          <cell r="T25">
            <v>380.65764471615955</v>
          </cell>
          <cell r="U25"/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C26"/>
          <cell r="D26"/>
          <cell r="E26"/>
          <cell r="F26"/>
          <cell r="G26">
            <v>0</v>
          </cell>
          <cell r="H26"/>
          <cell r="I26" t="str">
            <v>матрица</v>
          </cell>
          <cell r="J26"/>
          <cell r="K26"/>
          <cell r="L26">
            <v>0</v>
          </cell>
          <cell r="M26">
            <v>0</v>
          </cell>
          <cell r="N26"/>
          <cell r="O26"/>
          <cell r="P26"/>
          <cell r="Q26">
            <v>0</v>
          </cell>
          <cell r="R26"/>
          <cell r="S26">
            <v>0</v>
          </cell>
          <cell r="T26"/>
          <cell r="U26"/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2323.6109999999999</v>
          </cell>
          <cell r="D27">
            <v>2015.317</v>
          </cell>
          <cell r="E27">
            <v>2505.23</v>
          </cell>
          <cell r="F27">
            <v>633.43299999999999</v>
          </cell>
          <cell r="G27">
            <v>1</v>
          </cell>
          <cell r="H27">
            <v>70</v>
          </cell>
          <cell r="I27" t="str">
            <v>матрица</v>
          </cell>
          <cell r="J27"/>
          <cell r="K27">
            <v>2693.62</v>
          </cell>
          <cell r="L27">
            <v>-188.38999999999987</v>
          </cell>
          <cell r="M27">
            <v>1782.2339999999999</v>
          </cell>
          <cell r="N27">
            <v>722.99599999999998</v>
          </cell>
          <cell r="O27">
            <v>416</v>
          </cell>
          <cell r="P27"/>
          <cell r="Q27">
            <v>1084.23770304</v>
          </cell>
          <cell r="R27">
            <v>1346.7885369600001</v>
          </cell>
          <cell r="S27">
            <v>356.4468</v>
          </cell>
          <cell r="T27">
            <v>796.90236000000027</v>
          </cell>
          <cell r="U27"/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81.498000000000005</v>
          </cell>
          <cell r="D28"/>
          <cell r="E28">
            <v>6.5110000000000001</v>
          </cell>
          <cell r="F28">
            <v>69.201999999999998</v>
          </cell>
          <cell r="G28">
            <v>1</v>
          </cell>
          <cell r="H28">
            <v>40</v>
          </cell>
          <cell r="I28" t="str">
            <v>матрица</v>
          </cell>
          <cell r="J28"/>
          <cell r="K28">
            <v>7.2</v>
          </cell>
          <cell r="L28">
            <v>-0.68900000000000006</v>
          </cell>
          <cell r="M28">
            <v>6.5110000000000001</v>
          </cell>
          <cell r="N28"/>
          <cell r="O28"/>
          <cell r="P28"/>
          <cell r="Q28">
            <v>0</v>
          </cell>
          <cell r="R28"/>
          <cell r="S28">
            <v>1.3022</v>
          </cell>
          <cell r="T28"/>
          <cell r="U28"/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/>
          <cell r="D29"/>
          <cell r="E29"/>
          <cell r="F29"/>
          <cell r="G29">
            <v>0</v>
          </cell>
          <cell r="H29"/>
          <cell r="I29" t="str">
            <v>матрица</v>
          </cell>
          <cell r="J29"/>
          <cell r="K29"/>
          <cell r="L29">
            <v>0</v>
          </cell>
          <cell r="M29">
            <v>0</v>
          </cell>
          <cell r="N29"/>
          <cell r="O29"/>
          <cell r="P29"/>
          <cell r="Q29">
            <v>0</v>
          </cell>
          <cell r="R29"/>
          <cell r="S29">
            <v>0</v>
          </cell>
          <cell r="T29"/>
          <cell r="U29"/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/>
          <cell r="D30"/>
          <cell r="E30"/>
          <cell r="F30"/>
          <cell r="G30">
            <v>0</v>
          </cell>
          <cell r="H30"/>
          <cell r="I30" t="str">
            <v>матрица</v>
          </cell>
          <cell r="J30"/>
          <cell r="K30"/>
          <cell r="L30">
            <v>0</v>
          </cell>
          <cell r="M30">
            <v>0</v>
          </cell>
          <cell r="N30"/>
          <cell r="O30"/>
          <cell r="P30"/>
          <cell r="Q30">
            <v>0</v>
          </cell>
          <cell r="R30"/>
          <cell r="S30">
            <v>0</v>
          </cell>
          <cell r="T30"/>
          <cell r="U30"/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1400.299</v>
          </cell>
          <cell r="D31">
            <v>2826.5219999999999</v>
          </cell>
          <cell r="E31">
            <v>3172.8249999999998</v>
          </cell>
          <cell r="F31">
            <v>187.90199999999999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J31"/>
          <cell r="K31">
            <v>2490.0369999999998</v>
          </cell>
          <cell r="L31">
            <v>682.78800000000001</v>
          </cell>
          <cell r="M31">
            <v>2203.2379999999998</v>
          </cell>
          <cell r="N31">
            <v>969.58699999999999</v>
          </cell>
          <cell r="O31">
            <v>416</v>
          </cell>
          <cell r="P31"/>
          <cell r="Q31">
            <v>668.99999999999989</v>
          </cell>
          <cell r="R31">
            <v>831.00000000000011</v>
          </cell>
          <cell r="S31">
            <v>440.64759999999995</v>
          </cell>
          <cell r="T31">
            <v>2743.2215999999999</v>
          </cell>
          <cell r="U31"/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D32"/>
          <cell r="E32"/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J32"/>
          <cell r="K32"/>
          <cell r="L32">
            <v>0</v>
          </cell>
          <cell r="M32">
            <v>0</v>
          </cell>
          <cell r="N32"/>
          <cell r="O32"/>
          <cell r="P32"/>
          <cell r="Q32">
            <v>0</v>
          </cell>
          <cell r="R32"/>
          <cell r="S32">
            <v>0</v>
          </cell>
          <cell r="T32"/>
          <cell r="U32"/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1148.73</v>
          </cell>
          <cell r="D33">
            <v>431.798</v>
          </cell>
          <cell r="E33">
            <v>3281.402</v>
          </cell>
          <cell r="F33">
            <v>-114.405</v>
          </cell>
          <cell r="G33">
            <v>1</v>
          </cell>
          <cell r="H33">
            <v>40</v>
          </cell>
          <cell r="I33" t="str">
            <v>НЕДОГРУЗ / матрица</v>
          </cell>
          <cell r="J33"/>
          <cell r="K33">
            <v>3984.6759999999999</v>
          </cell>
          <cell r="L33">
            <v>-703.27399999999989</v>
          </cell>
          <cell r="M33">
            <v>3281.402</v>
          </cell>
          <cell r="N33"/>
          <cell r="O33">
            <v>520</v>
          </cell>
          <cell r="P33">
            <v>-522</v>
          </cell>
          <cell r="Q33">
            <v>892</v>
          </cell>
          <cell r="R33">
            <v>1208</v>
          </cell>
          <cell r="S33">
            <v>656.28039999999999</v>
          </cell>
          <cell r="T33">
            <v>2200</v>
          </cell>
          <cell r="U33"/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/>
          <cell r="D34"/>
          <cell r="E34"/>
          <cell r="F34"/>
          <cell r="G34">
            <v>0</v>
          </cell>
          <cell r="H34"/>
          <cell r="I34" t="str">
            <v>матрица</v>
          </cell>
          <cell r="J34"/>
          <cell r="K34"/>
          <cell r="L34">
            <v>0</v>
          </cell>
          <cell r="M34">
            <v>0</v>
          </cell>
          <cell r="N34"/>
          <cell r="O34"/>
          <cell r="P34"/>
          <cell r="Q34">
            <v>0</v>
          </cell>
          <cell r="R34"/>
          <cell r="S34">
            <v>0</v>
          </cell>
          <cell r="T34"/>
          <cell r="U34"/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/>
          <cell r="D35"/>
          <cell r="E35"/>
          <cell r="F35"/>
          <cell r="G35">
            <v>0</v>
          </cell>
          <cell r="H35"/>
          <cell r="I35" t="str">
            <v>матрица</v>
          </cell>
          <cell r="J35"/>
          <cell r="K35"/>
          <cell r="L35">
            <v>0</v>
          </cell>
          <cell r="M35">
            <v>0</v>
          </cell>
          <cell r="N35"/>
          <cell r="O35"/>
          <cell r="P35"/>
          <cell r="Q35">
            <v>0</v>
          </cell>
          <cell r="R35"/>
          <cell r="S35">
            <v>0</v>
          </cell>
          <cell r="T35"/>
          <cell r="U35"/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C36"/>
          <cell r="D36"/>
          <cell r="E36"/>
          <cell r="F36"/>
          <cell r="G36">
            <v>0</v>
          </cell>
          <cell r="H36"/>
          <cell r="I36" t="str">
            <v>матрица</v>
          </cell>
          <cell r="J36"/>
          <cell r="K36"/>
          <cell r="L36">
            <v>0</v>
          </cell>
          <cell r="M36">
            <v>0</v>
          </cell>
          <cell r="N36"/>
          <cell r="O36"/>
          <cell r="P36"/>
          <cell r="Q36">
            <v>0</v>
          </cell>
          <cell r="R36"/>
          <cell r="S36">
            <v>0</v>
          </cell>
          <cell r="T36"/>
          <cell r="U36"/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/>
          <cell r="D37"/>
          <cell r="E37"/>
          <cell r="F37"/>
          <cell r="G37">
            <v>0</v>
          </cell>
          <cell r="H37"/>
          <cell r="I37" t="str">
            <v>матрица</v>
          </cell>
          <cell r="J37"/>
          <cell r="K37"/>
          <cell r="L37">
            <v>0</v>
          </cell>
          <cell r="M37">
            <v>0</v>
          </cell>
          <cell r="N37"/>
          <cell r="O37"/>
          <cell r="P37"/>
          <cell r="Q37">
            <v>0</v>
          </cell>
          <cell r="R37"/>
          <cell r="S37">
            <v>0</v>
          </cell>
          <cell r="T37"/>
          <cell r="U37"/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1008</v>
          </cell>
          <cell r="D38">
            <v>4256</v>
          </cell>
          <cell r="E38">
            <v>5155</v>
          </cell>
          <cell r="F38">
            <v>-322</v>
          </cell>
          <cell r="G38">
            <v>0.4</v>
          </cell>
          <cell r="H38">
            <v>45</v>
          </cell>
          <cell r="I38" t="str">
            <v>НЕДОГРУЗ / матрица</v>
          </cell>
          <cell r="J38"/>
          <cell r="K38">
            <v>4558</v>
          </cell>
          <cell r="L38">
            <v>597</v>
          </cell>
          <cell r="M38">
            <v>4075</v>
          </cell>
          <cell r="N38">
            <v>1080</v>
          </cell>
          <cell r="O38">
            <v>780</v>
          </cell>
          <cell r="P38"/>
          <cell r="Q38">
            <v>1767.944</v>
          </cell>
          <cell r="R38">
            <v>2196.056</v>
          </cell>
          <cell r="S38">
            <v>815</v>
          </cell>
          <cell r="T38">
            <v>4543</v>
          </cell>
          <cell r="U38" t="str">
            <v>ОЧЕНЬ НУЖНА ЭТА ПОЗИЦИЯ !!!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839.75</v>
          </cell>
          <cell r="D39">
            <v>263</v>
          </cell>
          <cell r="E39">
            <v>735</v>
          </cell>
          <cell r="F39">
            <v>253.75</v>
          </cell>
          <cell r="G39">
            <v>0.45</v>
          </cell>
          <cell r="H39">
            <v>50</v>
          </cell>
          <cell r="I39" t="str">
            <v>матрица</v>
          </cell>
          <cell r="J39"/>
          <cell r="K39">
            <v>1175</v>
          </cell>
          <cell r="L39">
            <v>-440</v>
          </cell>
          <cell r="M39">
            <v>735</v>
          </cell>
          <cell r="N39"/>
          <cell r="O39"/>
          <cell r="P39"/>
          <cell r="Q39">
            <v>200</v>
          </cell>
          <cell r="R39"/>
          <cell r="S39">
            <v>147</v>
          </cell>
          <cell r="T39">
            <v>1016.25</v>
          </cell>
          <cell r="U39" t="str">
            <v xml:space="preserve">еще плюс 500 сеть ютл 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-5</v>
          </cell>
          <cell r="D40">
            <v>832</v>
          </cell>
          <cell r="E40">
            <v>742</v>
          </cell>
          <cell r="F40">
            <v>43</v>
          </cell>
          <cell r="G40">
            <v>0.4</v>
          </cell>
          <cell r="H40">
            <v>45</v>
          </cell>
          <cell r="I40" t="str">
            <v>НЕДОГРУЗ / матрица</v>
          </cell>
          <cell r="J40"/>
          <cell r="K40">
            <v>2165</v>
          </cell>
          <cell r="L40">
            <v>-1423</v>
          </cell>
          <cell r="M40">
            <v>742</v>
          </cell>
          <cell r="N40"/>
          <cell r="O40">
            <v>208</v>
          </cell>
          <cell r="P40"/>
          <cell r="Q40">
            <v>400</v>
          </cell>
          <cell r="R40"/>
          <cell r="S40">
            <v>148.4</v>
          </cell>
          <cell r="T40">
            <v>500</v>
          </cell>
          <cell r="U40"/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-33</v>
          </cell>
          <cell r="D41">
            <v>30</v>
          </cell>
          <cell r="E41">
            <v>13</v>
          </cell>
          <cell r="F41">
            <v>-13</v>
          </cell>
          <cell r="G41">
            <v>0.4</v>
          </cell>
          <cell r="H41">
            <v>40</v>
          </cell>
          <cell r="I41" t="str">
            <v>НЕДОГРУЗ / матрица</v>
          </cell>
          <cell r="J41"/>
          <cell r="K41">
            <v>569</v>
          </cell>
          <cell r="L41">
            <v>-556</v>
          </cell>
          <cell r="M41">
            <v>13</v>
          </cell>
          <cell r="N41"/>
          <cell r="O41">
            <v>100</v>
          </cell>
          <cell r="P41">
            <v>-102</v>
          </cell>
          <cell r="Q41">
            <v>200</v>
          </cell>
          <cell r="R41"/>
          <cell r="S41">
            <v>2.6</v>
          </cell>
          <cell r="T41">
            <v>200</v>
          </cell>
          <cell r="U41"/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/>
          <cell r="D42">
            <v>52.552</v>
          </cell>
          <cell r="E42"/>
          <cell r="F42">
            <v>48.122999999999998</v>
          </cell>
          <cell r="G42">
            <v>1</v>
          </cell>
          <cell r="H42"/>
          <cell r="I42" t="str">
            <v>НЕДОГРУЗ / матрица</v>
          </cell>
          <cell r="J42"/>
          <cell r="K42">
            <v>82.6</v>
          </cell>
          <cell r="L42">
            <v>-82.6</v>
          </cell>
          <cell r="M42">
            <v>0</v>
          </cell>
          <cell r="N42"/>
          <cell r="O42">
            <v>20</v>
          </cell>
          <cell r="P42"/>
          <cell r="Q42">
            <v>0</v>
          </cell>
          <cell r="R42"/>
          <cell r="S42">
            <v>0</v>
          </cell>
          <cell r="T42"/>
          <cell r="U42"/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327</v>
          </cell>
          <cell r="D43">
            <v>220</v>
          </cell>
          <cell r="E43">
            <v>212</v>
          </cell>
          <cell r="F43">
            <v>276</v>
          </cell>
          <cell r="G43">
            <v>0.1</v>
          </cell>
          <cell r="H43">
            <v>731</v>
          </cell>
          <cell r="I43" t="str">
            <v>матрица</v>
          </cell>
          <cell r="J43"/>
          <cell r="K43">
            <v>270</v>
          </cell>
          <cell r="L43">
            <v>-58</v>
          </cell>
          <cell r="M43">
            <v>212</v>
          </cell>
          <cell r="N43"/>
          <cell r="O43"/>
          <cell r="P43"/>
          <cell r="Q43">
            <v>102.6</v>
          </cell>
          <cell r="R43"/>
          <cell r="S43">
            <v>42.4</v>
          </cell>
          <cell r="T43">
            <v>130.19999999999993</v>
          </cell>
          <cell r="U43"/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/>
          <cell r="D44">
            <v>2</v>
          </cell>
          <cell r="E44">
            <v>21</v>
          </cell>
          <cell r="F44">
            <v>-2</v>
          </cell>
          <cell r="G44">
            <v>0.35</v>
          </cell>
          <cell r="H44">
            <v>40</v>
          </cell>
          <cell r="I44" t="str">
            <v>НЕДОГРУЗ / матрица</v>
          </cell>
          <cell r="J44"/>
          <cell r="K44">
            <v>125</v>
          </cell>
          <cell r="L44">
            <v>-104</v>
          </cell>
          <cell r="M44">
            <v>21</v>
          </cell>
          <cell r="N44"/>
          <cell r="O44">
            <v>50</v>
          </cell>
          <cell r="P44">
            <v>-54</v>
          </cell>
          <cell r="Q44">
            <v>50</v>
          </cell>
          <cell r="R44"/>
          <cell r="S44">
            <v>4.2</v>
          </cell>
          <cell r="T44">
            <v>50</v>
          </cell>
          <cell r="U44"/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18.667999999999999</v>
          </cell>
          <cell r="D45">
            <v>27.004999999999999</v>
          </cell>
          <cell r="E45">
            <v>14.656000000000001</v>
          </cell>
          <cell r="F45">
            <v>23.622</v>
          </cell>
          <cell r="G45">
            <v>1</v>
          </cell>
          <cell r="H45">
            <v>40</v>
          </cell>
          <cell r="I45" t="str">
            <v>матрица</v>
          </cell>
          <cell r="J45"/>
          <cell r="K45">
            <v>21.2</v>
          </cell>
          <cell r="L45">
            <v>-6.5439999999999987</v>
          </cell>
          <cell r="M45">
            <v>14.656000000000001</v>
          </cell>
          <cell r="N45"/>
          <cell r="O45"/>
          <cell r="P45"/>
          <cell r="Q45">
            <v>4</v>
          </cell>
          <cell r="R45"/>
          <cell r="S45">
            <v>2.9312</v>
          </cell>
          <cell r="T45">
            <v>7.5523999999999987</v>
          </cell>
          <cell r="U45"/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-32</v>
          </cell>
          <cell r="D46">
            <v>268</v>
          </cell>
          <cell r="E46">
            <v>154</v>
          </cell>
          <cell r="F46">
            <v>-31</v>
          </cell>
          <cell r="G46">
            <v>0.4</v>
          </cell>
          <cell r="H46">
            <v>40</v>
          </cell>
          <cell r="I46" t="str">
            <v>НЕДОГРУЗ / матрица</v>
          </cell>
          <cell r="J46"/>
          <cell r="K46">
            <v>348</v>
          </cell>
          <cell r="L46">
            <v>-194</v>
          </cell>
          <cell r="M46">
            <v>154</v>
          </cell>
          <cell r="N46"/>
          <cell r="O46"/>
          <cell r="P46"/>
          <cell r="Q46">
            <v>100</v>
          </cell>
          <cell r="R46"/>
          <cell r="S46">
            <v>30.8</v>
          </cell>
          <cell r="T46">
            <v>100</v>
          </cell>
          <cell r="U46"/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9</v>
          </cell>
          <cell r="D47">
            <v>326</v>
          </cell>
          <cell r="E47">
            <v>146</v>
          </cell>
          <cell r="F47">
            <v>87</v>
          </cell>
          <cell r="G47">
            <v>0.4</v>
          </cell>
          <cell r="H47">
            <v>45</v>
          </cell>
          <cell r="I47" t="str">
            <v>НЕДОГРУЗ / матрица</v>
          </cell>
          <cell r="J47"/>
          <cell r="K47">
            <v>525</v>
          </cell>
          <cell r="L47">
            <v>-379</v>
          </cell>
          <cell r="M47">
            <v>146</v>
          </cell>
          <cell r="N47"/>
          <cell r="O47">
            <v>50</v>
          </cell>
          <cell r="P47"/>
          <cell r="Q47">
            <v>60.199999999999989</v>
          </cell>
          <cell r="R47"/>
          <cell r="S47">
            <v>29.2</v>
          </cell>
          <cell r="T47">
            <v>100</v>
          </cell>
          <cell r="U47"/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35.881</v>
          </cell>
          <cell r="D48">
            <v>18.788</v>
          </cell>
          <cell r="E48">
            <v>29.079000000000001</v>
          </cell>
          <cell r="F48">
            <v>24.257000000000001</v>
          </cell>
          <cell r="G48">
            <v>1</v>
          </cell>
          <cell r="H48">
            <v>40</v>
          </cell>
          <cell r="I48" t="str">
            <v>НЕДОГРУЗ / матрица</v>
          </cell>
          <cell r="J48"/>
          <cell r="K48">
            <v>33.121000000000002</v>
          </cell>
          <cell r="L48">
            <v>-4.0420000000000016</v>
          </cell>
          <cell r="M48">
            <v>29.079000000000001</v>
          </cell>
          <cell r="N48"/>
          <cell r="O48"/>
          <cell r="P48"/>
          <cell r="Q48">
            <v>34.781200000000013</v>
          </cell>
          <cell r="R48"/>
          <cell r="S48">
            <v>5.8158000000000003</v>
          </cell>
          <cell r="T48">
            <v>10.751399999999993</v>
          </cell>
          <cell r="U48"/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508</v>
          </cell>
          <cell r="D49">
            <v>351</v>
          </cell>
          <cell r="E49">
            <v>644</v>
          </cell>
          <cell r="F49">
            <v>-55</v>
          </cell>
          <cell r="G49">
            <v>0.35</v>
          </cell>
          <cell r="H49">
            <v>40</v>
          </cell>
          <cell r="I49" t="str">
            <v>НЕДОГРУЗ / матрица</v>
          </cell>
          <cell r="J49"/>
          <cell r="K49">
            <v>886</v>
          </cell>
          <cell r="L49">
            <v>-242</v>
          </cell>
          <cell r="M49">
            <v>494</v>
          </cell>
          <cell r="N49">
            <v>150</v>
          </cell>
          <cell r="O49">
            <v>158.80799999999991</v>
          </cell>
          <cell r="P49">
            <v>-162</v>
          </cell>
          <cell r="Q49">
            <v>200</v>
          </cell>
          <cell r="R49"/>
          <cell r="S49">
            <v>98.8</v>
          </cell>
          <cell r="T49">
            <v>200</v>
          </cell>
          <cell r="U49" t="str">
            <v xml:space="preserve">1500 нужно в сеть ютл 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61</v>
          </cell>
          <cell r="D50">
            <v>511</v>
          </cell>
          <cell r="E50">
            <v>154</v>
          </cell>
          <cell r="F50">
            <v>222</v>
          </cell>
          <cell r="G50">
            <v>0.4</v>
          </cell>
          <cell r="H50">
            <v>40</v>
          </cell>
          <cell r="I50" t="str">
            <v>НЕДОГРУЗ / матрица</v>
          </cell>
          <cell r="J50"/>
          <cell r="K50">
            <v>640</v>
          </cell>
          <cell r="L50">
            <v>-486</v>
          </cell>
          <cell r="M50">
            <v>154</v>
          </cell>
          <cell r="N50"/>
          <cell r="O50">
            <v>100</v>
          </cell>
          <cell r="P50"/>
          <cell r="Q50">
            <v>150</v>
          </cell>
          <cell r="R50"/>
          <cell r="S50">
            <v>30.8</v>
          </cell>
          <cell r="T50">
            <v>50</v>
          </cell>
          <cell r="U50"/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71.088999999999999</v>
          </cell>
          <cell r="D51">
            <v>229.054</v>
          </cell>
          <cell r="E51">
            <v>87.635999999999996</v>
          </cell>
          <cell r="F51">
            <v>19.741</v>
          </cell>
          <cell r="G51">
            <v>1</v>
          </cell>
          <cell r="H51">
            <v>50</v>
          </cell>
          <cell r="I51" t="str">
            <v>матрица</v>
          </cell>
          <cell r="J51"/>
          <cell r="K51">
            <v>260.08999999999997</v>
          </cell>
          <cell r="L51">
            <v>-172.45399999999998</v>
          </cell>
          <cell r="M51">
            <v>-53.712999999999994</v>
          </cell>
          <cell r="N51">
            <v>141.34899999999999</v>
          </cell>
          <cell r="O51"/>
          <cell r="P51"/>
          <cell r="Q51">
            <v>54.571199999999983</v>
          </cell>
          <cell r="R51"/>
          <cell r="S51">
            <v>-10.742599999999999</v>
          </cell>
          <cell r="T51">
            <v>60</v>
          </cell>
          <cell r="U51"/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909.63800000000003</v>
          </cell>
          <cell r="D52">
            <v>1210.748</v>
          </cell>
          <cell r="E52">
            <v>841.53599999999994</v>
          </cell>
          <cell r="F52">
            <v>386.55599999999998</v>
          </cell>
          <cell r="G52">
            <v>1</v>
          </cell>
          <cell r="H52">
            <v>50</v>
          </cell>
          <cell r="I52" t="str">
            <v>матрица</v>
          </cell>
          <cell r="J52"/>
          <cell r="K52">
            <v>1224.2149999999999</v>
          </cell>
          <cell r="L52">
            <v>-382.67899999999997</v>
          </cell>
          <cell r="M52">
            <v>517.01900000000001</v>
          </cell>
          <cell r="N52">
            <v>324.517</v>
          </cell>
          <cell r="O52"/>
          <cell r="P52"/>
          <cell r="Q52">
            <v>414.87601488000001</v>
          </cell>
          <cell r="R52">
            <v>515.33926512000005</v>
          </cell>
          <cell r="S52">
            <v>103.4038</v>
          </cell>
          <cell r="T52"/>
          <cell r="U52"/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/>
          <cell r="D53"/>
          <cell r="E53"/>
          <cell r="F53"/>
          <cell r="G53">
            <v>0</v>
          </cell>
          <cell r="H53"/>
          <cell r="I53" t="str">
            <v>матрица</v>
          </cell>
          <cell r="J53"/>
          <cell r="K53"/>
          <cell r="L53">
            <v>0</v>
          </cell>
          <cell r="M53">
            <v>0</v>
          </cell>
          <cell r="N53"/>
          <cell r="O53"/>
          <cell r="P53"/>
          <cell r="Q53">
            <v>0</v>
          </cell>
          <cell r="R53"/>
          <cell r="S53">
            <v>0</v>
          </cell>
          <cell r="T53"/>
          <cell r="U53"/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366</v>
          </cell>
          <cell r="D54">
            <v>644</v>
          </cell>
          <cell r="E54">
            <v>496</v>
          </cell>
          <cell r="F54">
            <v>335</v>
          </cell>
          <cell r="G54">
            <v>0.45</v>
          </cell>
          <cell r="H54">
            <v>50</v>
          </cell>
          <cell r="I54" t="str">
            <v>матрица</v>
          </cell>
          <cell r="J54"/>
          <cell r="K54">
            <v>627</v>
          </cell>
          <cell r="L54">
            <v>-131</v>
          </cell>
          <cell r="M54">
            <v>346</v>
          </cell>
          <cell r="N54">
            <v>150</v>
          </cell>
          <cell r="O54">
            <v>124.983456</v>
          </cell>
          <cell r="P54"/>
          <cell r="Q54">
            <v>180.29425119999991</v>
          </cell>
          <cell r="R54">
            <v>223.9529488</v>
          </cell>
          <cell r="S54">
            <v>69.2</v>
          </cell>
          <cell r="T54"/>
          <cell r="U54"/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677</v>
          </cell>
          <cell r="D55">
            <v>675</v>
          </cell>
          <cell r="E55">
            <v>694</v>
          </cell>
          <cell r="F55">
            <v>691</v>
          </cell>
          <cell r="G55">
            <v>0.45</v>
          </cell>
          <cell r="H55">
            <v>50</v>
          </cell>
          <cell r="I55" t="str">
            <v>матрица</v>
          </cell>
          <cell r="J55"/>
          <cell r="K55">
            <v>641</v>
          </cell>
          <cell r="L55">
            <v>53</v>
          </cell>
          <cell r="M55">
            <v>694</v>
          </cell>
          <cell r="N55"/>
          <cell r="O55">
            <v>166.32128239999989</v>
          </cell>
          <cell r="P55"/>
          <cell r="Q55">
            <v>295.51575548</v>
          </cell>
          <cell r="R55">
            <v>367.07562452000008</v>
          </cell>
          <cell r="S55">
            <v>138.80000000000001</v>
          </cell>
          <cell r="T55">
            <v>145.68733760000021</v>
          </cell>
          <cell r="U55"/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/>
          <cell r="D56"/>
          <cell r="E56"/>
          <cell r="F56"/>
          <cell r="G56">
            <v>0</v>
          </cell>
          <cell r="H56"/>
          <cell r="I56" t="str">
            <v>матрица</v>
          </cell>
          <cell r="J56"/>
          <cell r="K56"/>
          <cell r="L56">
            <v>0</v>
          </cell>
          <cell r="M56">
            <v>0</v>
          </cell>
          <cell r="N56"/>
          <cell r="O56"/>
          <cell r="P56"/>
          <cell r="Q56">
            <v>0</v>
          </cell>
          <cell r="R56"/>
          <cell r="S56">
            <v>0</v>
          </cell>
          <cell r="T56"/>
          <cell r="U56"/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/>
          <cell r="D57">
            <v>50</v>
          </cell>
          <cell r="E57">
            <v>12</v>
          </cell>
          <cell r="F57">
            <v>19</v>
          </cell>
          <cell r="G57">
            <v>0.4</v>
          </cell>
          <cell r="H57">
            <v>40</v>
          </cell>
          <cell r="I57" t="str">
            <v>НЕДОГРУЗ / матрица</v>
          </cell>
          <cell r="J57"/>
          <cell r="K57">
            <v>30</v>
          </cell>
          <cell r="L57">
            <v>-18</v>
          </cell>
          <cell r="M57">
            <v>12</v>
          </cell>
          <cell r="N57"/>
          <cell r="O57"/>
          <cell r="P57"/>
          <cell r="Q57">
            <v>10</v>
          </cell>
          <cell r="R57"/>
          <cell r="S57">
            <v>2.4</v>
          </cell>
          <cell r="T57">
            <v>10</v>
          </cell>
          <cell r="U57"/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237.38200000000001</v>
          </cell>
          <cell r="D58">
            <v>761.19600000000003</v>
          </cell>
          <cell r="E58">
            <v>397.166</v>
          </cell>
          <cell r="F58">
            <v>313.839</v>
          </cell>
          <cell r="G58">
            <v>1</v>
          </cell>
          <cell r="H58">
            <v>50</v>
          </cell>
          <cell r="I58" t="str">
            <v>матрица</v>
          </cell>
          <cell r="J58"/>
          <cell r="K58">
            <v>623.72699999999998</v>
          </cell>
          <cell r="L58">
            <v>-226.56099999999998</v>
          </cell>
          <cell r="M58">
            <v>290.13900000000001</v>
          </cell>
          <cell r="N58">
            <v>107.027</v>
          </cell>
          <cell r="O58">
            <v>231.74273485791991</v>
          </cell>
          <cell r="P58"/>
          <cell r="Q58">
            <v>0</v>
          </cell>
          <cell r="R58"/>
          <cell r="S58">
            <v>58.027799999999999</v>
          </cell>
          <cell r="T58">
            <v>150.75186514208002</v>
          </cell>
          <cell r="U58"/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104</v>
          </cell>
          <cell r="D59">
            <v>232</v>
          </cell>
          <cell r="E59">
            <v>136</v>
          </cell>
          <cell r="F59">
            <v>160</v>
          </cell>
          <cell r="G59">
            <v>0.1</v>
          </cell>
          <cell r="H59">
            <v>731</v>
          </cell>
          <cell r="I59" t="str">
            <v>матрица</v>
          </cell>
          <cell r="J59"/>
          <cell r="K59">
            <v>175</v>
          </cell>
          <cell r="L59">
            <v>-39</v>
          </cell>
          <cell r="M59">
            <v>136</v>
          </cell>
          <cell r="N59"/>
          <cell r="O59"/>
          <cell r="P59"/>
          <cell r="Q59">
            <v>77.600000000000023</v>
          </cell>
          <cell r="R59"/>
          <cell r="S59">
            <v>27.2</v>
          </cell>
          <cell r="T59">
            <v>88.799999999999955</v>
          </cell>
          <cell r="U59"/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491.87299999999999</v>
          </cell>
          <cell r="D60">
            <v>782.45100000000002</v>
          </cell>
          <cell r="E60">
            <v>492.62299999999999</v>
          </cell>
          <cell r="F60">
            <v>426.03100000000001</v>
          </cell>
          <cell r="G60">
            <v>1</v>
          </cell>
          <cell r="H60">
            <v>50</v>
          </cell>
          <cell r="I60" t="str">
            <v>матрица</v>
          </cell>
          <cell r="J60"/>
          <cell r="K60">
            <v>654.69799999999998</v>
          </cell>
          <cell r="L60">
            <v>-162.07499999999999</v>
          </cell>
          <cell r="M60">
            <v>364.81599999999997</v>
          </cell>
          <cell r="N60">
            <v>127.807</v>
          </cell>
          <cell r="O60"/>
          <cell r="P60"/>
          <cell r="Q60">
            <v>133.80848404799971</v>
          </cell>
          <cell r="R60"/>
          <cell r="S60">
            <v>72.963200000000001</v>
          </cell>
          <cell r="T60">
            <v>315.71891595200026</v>
          </cell>
          <cell r="U60"/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48.067999999999998</v>
          </cell>
          <cell r="D61">
            <v>53.972999999999999</v>
          </cell>
          <cell r="E61">
            <v>24.356999999999999</v>
          </cell>
          <cell r="F61">
            <v>77.317999999999998</v>
          </cell>
          <cell r="G61">
            <v>1</v>
          </cell>
          <cell r="H61">
            <v>55</v>
          </cell>
          <cell r="I61" t="str">
            <v>матрица</v>
          </cell>
          <cell r="J61"/>
          <cell r="K61">
            <v>22.2</v>
          </cell>
          <cell r="L61">
            <v>2.157</v>
          </cell>
          <cell r="M61">
            <v>24.356999999999999</v>
          </cell>
          <cell r="N61"/>
          <cell r="O61"/>
          <cell r="P61"/>
          <cell r="Q61">
            <v>0</v>
          </cell>
          <cell r="R61"/>
          <cell r="S61">
            <v>4.8713999999999995</v>
          </cell>
          <cell r="T61"/>
          <cell r="U61"/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105</v>
          </cell>
          <cell r="D62">
            <v>147</v>
          </cell>
          <cell r="E62">
            <v>118</v>
          </cell>
          <cell r="F62">
            <v>119</v>
          </cell>
          <cell r="G62">
            <v>0.1</v>
          </cell>
          <cell r="H62">
            <v>731</v>
          </cell>
          <cell r="I62" t="str">
            <v>матрица</v>
          </cell>
          <cell r="J62"/>
          <cell r="K62">
            <v>132</v>
          </cell>
          <cell r="L62">
            <v>-14</v>
          </cell>
          <cell r="M62">
            <v>118</v>
          </cell>
          <cell r="N62"/>
          <cell r="O62"/>
          <cell r="P62"/>
          <cell r="Q62">
            <v>100.2</v>
          </cell>
          <cell r="R62"/>
          <cell r="S62">
            <v>23.6</v>
          </cell>
          <cell r="T62">
            <v>64.000000000000057</v>
          </cell>
          <cell r="U62"/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18</v>
          </cell>
          <cell r="D63">
            <v>10</v>
          </cell>
          <cell r="E63">
            <v>1</v>
          </cell>
          <cell r="F63">
            <v>27</v>
          </cell>
          <cell r="G63">
            <v>0.4</v>
          </cell>
          <cell r="H63">
            <v>50</v>
          </cell>
          <cell r="I63" t="str">
            <v>матрица</v>
          </cell>
          <cell r="J63"/>
          <cell r="K63">
            <v>3</v>
          </cell>
          <cell r="L63">
            <v>-2</v>
          </cell>
          <cell r="M63">
            <v>1</v>
          </cell>
          <cell r="N63"/>
          <cell r="O63"/>
          <cell r="P63"/>
          <cell r="Q63">
            <v>0</v>
          </cell>
          <cell r="R63"/>
          <cell r="S63">
            <v>0.2</v>
          </cell>
          <cell r="T63"/>
          <cell r="U63"/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-26.584</v>
          </cell>
          <cell r="D64">
            <v>296.51600000000002</v>
          </cell>
          <cell r="E64">
            <v>9.8889999999999993</v>
          </cell>
          <cell r="F64">
            <v>71.605000000000004</v>
          </cell>
          <cell r="G64">
            <v>1</v>
          </cell>
          <cell r="H64">
            <v>40</v>
          </cell>
          <cell r="I64" t="str">
            <v>НЕДОГРУЗ / матрица</v>
          </cell>
          <cell r="J64"/>
          <cell r="K64">
            <v>168.8</v>
          </cell>
          <cell r="L64">
            <v>-158.911</v>
          </cell>
          <cell r="M64">
            <v>9.8889999999999993</v>
          </cell>
          <cell r="N64"/>
          <cell r="O64"/>
          <cell r="P64"/>
          <cell r="Q64">
            <v>0</v>
          </cell>
          <cell r="R64"/>
          <cell r="S64">
            <v>1.9777999999999998</v>
          </cell>
          <cell r="T64">
            <v>50</v>
          </cell>
          <cell r="U64"/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-40.819000000000003</v>
          </cell>
          <cell r="D65">
            <v>261.31700000000001</v>
          </cell>
          <cell r="E65">
            <v>98.992000000000004</v>
          </cell>
          <cell r="F65">
            <v>-53.939</v>
          </cell>
          <cell r="G65">
            <v>1</v>
          </cell>
          <cell r="H65">
            <v>40</v>
          </cell>
          <cell r="I65" t="str">
            <v>НЕДОГРУЗ / матрица</v>
          </cell>
          <cell r="J65"/>
          <cell r="K65">
            <v>233.49700000000001</v>
          </cell>
          <cell r="L65">
            <v>-134.505</v>
          </cell>
          <cell r="M65">
            <v>98.992000000000004</v>
          </cell>
          <cell r="N65"/>
          <cell r="O65"/>
          <cell r="P65"/>
          <cell r="Q65">
            <v>50</v>
          </cell>
          <cell r="R65"/>
          <cell r="S65">
            <v>19.798400000000001</v>
          </cell>
          <cell r="T65">
            <v>60</v>
          </cell>
          <cell r="U65"/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878</v>
          </cell>
          <cell r="D66">
            <v>1011</v>
          </cell>
          <cell r="E66">
            <v>940</v>
          </cell>
          <cell r="F66">
            <v>124</v>
          </cell>
          <cell r="G66">
            <v>0.4</v>
          </cell>
          <cell r="H66">
            <v>40</v>
          </cell>
          <cell r="I66" t="str">
            <v>матрица</v>
          </cell>
          <cell r="J66"/>
          <cell r="K66">
            <v>1435</v>
          </cell>
          <cell r="L66">
            <v>-495</v>
          </cell>
          <cell r="M66">
            <v>820</v>
          </cell>
          <cell r="N66">
            <v>120</v>
          </cell>
          <cell r="O66"/>
          <cell r="P66"/>
          <cell r="Q66">
            <v>551.05975999999987</v>
          </cell>
          <cell r="R66">
            <v>684.50024000000008</v>
          </cell>
          <cell r="S66">
            <v>164</v>
          </cell>
          <cell r="T66">
            <v>608.44000000000005</v>
          </cell>
          <cell r="U66"/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79</v>
          </cell>
          <cell r="D67">
            <v>315</v>
          </cell>
          <cell r="E67">
            <v>193</v>
          </cell>
          <cell r="F67"/>
          <cell r="G67">
            <v>0.4</v>
          </cell>
          <cell r="H67">
            <v>40</v>
          </cell>
          <cell r="I67" t="str">
            <v>НЕДОГРУЗ / матрица</v>
          </cell>
          <cell r="J67"/>
          <cell r="K67">
            <v>667</v>
          </cell>
          <cell r="L67">
            <v>-474</v>
          </cell>
          <cell r="M67">
            <v>133</v>
          </cell>
          <cell r="N67">
            <v>60</v>
          </cell>
          <cell r="O67">
            <v>50</v>
          </cell>
          <cell r="P67"/>
          <cell r="Q67">
            <v>187.4</v>
          </cell>
          <cell r="R67"/>
          <cell r="S67">
            <v>26.6</v>
          </cell>
          <cell r="T67">
            <v>200</v>
          </cell>
          <cell r="U67"/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131.67500000000001</v>
          </cell>
          <cell r="D68">
            <v>182.43899999999999</v>
          </cell>
          <cell r="E68">
            <v>131.47399999999999</v>
          </cell>
          <cell r="F68">
            <v>90.784000000000006</v>
          </cell>
          <cell r="G68">
            <v>1</v>
          </cell>
          <cell r="H68">
            <v>40</v>
          </cell>
          <cell r="I68" t="str">
            <v>матрица</v>
          </cell>
          <cell r="J68"/>
          <cell r="K68">
            <v>130.68799999999999</v>
          </cell>
          <cell r="L68">
            <v>0.78600000000000136</v>
          </cell>
          <cell r="M68">
            <v>55.727999999999994</v>
          </cell>
          <cell r="N68">
            <v>75.745999999999995</v>
          </cell>
          <cell r="O68"/>
          <cell r="P68"/>
          <cell r="Q68">
            <v>0</v>
          </cell>
          <cell r="R68"/>
          <cell r="S68">
            <v>11.145599999999998</v>
          </cell>
          <cell r="T68">
            <v>42.963199999999958</v>
          </cell>
          <cell r="U68"/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59.363</v>
          </cell>
          <cell r="D69">
            <v>389.28</v>
          </cell>
          <cell r="E69">
            <v>48.875999999999998</v>
          </cell>
          <cell r="F69">
            <v>191.06299999999999</v>
          </cell>
          <cell r="G69">
            <v>1</v>
          </cell>
          <cell r="H69">
            <v>40</v>
          </cell>
          <cell r="I69" t="str">
            <v>матрица</v>
          </cell>
          <cell r="J69"/>
          <cell r="K69">
            <v>237.13200000000001</v>
          </cell>
          <cell r="L69">
            <v>-188.256</v>
          </cell>
          <cell r="M69">
            <v>16.555999999999997</v>
          </cell>
          <cell r="N69">
            <v>32.32</v>
          </cell>
          <cell r="O69"/>
          <cell r="P69"/>
          <cell r="Q69">
            <v>0</v>
          </cell>
          <cell r="R69"/>
          <cell r="S69">
            <v>3.3111999999999995</v>
          </cell>
          <cell r="T69"/>
          <cell r="U69"/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764.34199999999998</v>
          </cell>
          <cell r="D70">
            <v>374.04199999999997</v>
          </cell>
          <cell r="E70">
            <v>525.47400000000005</v>
          </cell>
          <cell r="F70">
            <v>354.42099999999999</v>
          </cell>
          <cell r="G70">
            <v>1</v>
          </cell>
          <cell r="H70">
            <v>40</v>
          </cell>
          <cell r="I70" t="str">
            <v>матрица</v>
          </cell>
          <cell r="J70"/>
          <cell r="K70">
            <v>631.66800000000001</v>
          </cell>
          <cell r="L70">
            <v>-106.19399999999996</v>
          </cell>
          <cell r="M70">
            <v>417.27700000000004</v>
          </cell>
          <cell r="N70">
            <v>108.197</v>
          </cell>
          <cell r="O70"/>
          <cell r="P70"/>
          <cell r="Q70">
            <v>378.85399999999993</v>
          </cell>
          <cell r="R70"/>
          <cell r="S70">
            <v>83.455400000000012</v>
          </cell>
          <cell r="T70">
            <v>268.18980000000028</v>
          </cell>
          <cell r="U70"/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115.339</v>
          </cell>
          <cell r="D71">
            <v>182.22200000000001</v>
          </cell>
          <cell r="E71">
            <v>117.982</v>
          </cell>
          <cell r="F71">
            <v>-28.298999999999999</v>
          </cell>
          <cell r="G71">
            <v>1</v>
          </cell>
          <cell r="H71">
            <v>40</v>
          </cell>
          <cell r="I71" t="str">
            <v>матрица</v>
          </cell>
          <cell r="J71"/>
          <cell r="K71">
            <v>235.834</v>
          </cell>
          <cell r="L71">
            <v>-117.852</v>
          </cell>
          <cell r="M71">
            <v>85.561999999999998</v>
          </cell>
          <cell r="N71">
            <v>32.42</v>
          </cell>
          <cell r="O71"/>
          <cell r="P71"/>
          <cell r="Q71">
            <v>186.3614</v>
          </cell>
          <cell r="R71"/>
          <cell r="S71">
            <v>17.112400000000001</v>
          </cell>
          <cell r="T71">
            <v>47.286400000000008</v>
          </cell>
          <cell r="U71"/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/>
          <cell r="D72"/>
          <cell r="E72"/>
          <cell r="F72"/>
          <cell r="G72">
            <v>0</v>
          </cell>
          <cell r="H72"/>
          <cell r="I72" t="str">
            <v>матрица</v>
          </cell>
          <cell r="J72"/>
          <cell r="K72"/>
          <cell r="L72">
            <v>0</v>
          </cell>
          <cell r="M72">
            <v>0</v>
          </cell>
          <cell r="N72"/>
          <cell r="O72"/>
          <cell r="P72"/>
          <cell r="Q72">
            <v>0</v>
          </cell>
          <cell r="R72"/>
          <cell r="S72">
            <v>0</v>
          </cell>
          <cell r="T72"/>
          <cell r="U72"/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709.1</v>
          </cell>
          <cell r="D73">
            <v>204.63800000000001</v>
          </cell>
          <cell r="E73">
            <v>230.79599999999999</v>
          </cell>
          <cell r="F73">
            <v>484.81400000000002</v>
          </cell>
          <cell r="G73">
            <v>1</v>
          </cell>
          <cell r="H73">
            <v>30</v>
          </cell>
          <cell r="I73" t="str">
            <v>матрица</v>
          </cell>
          <cell r="J73"/>
          <cell r="K73">
            <v>378.4</v>
          </cell>
          <cell r="L73">
            <v>-147.60399999999998</v>
          </cell>
          <cell r="M73">
            <v>230.79599999999999</v>
          </cell>
          <cell r="N73"/>
          <cell r="O73"/>
          <cell r="P73"/>
          <cell r="Q73">
            <v>0</v>
          </cell>
          <cell r="R73"/>
          <cell r="S73">
            <v>46.159199999999998</v>
          </cell>
          <cell r="T73">
            <v>69.09639999999996</v>
          </cell>
          <cell r="U73"/>
        </row>
        <row r="74">
          <cell r="A74" t="str">
            <v xml:space="preserve"> 365  Колбаса Салями Филейбургская зернистая, 0,28 кг срез ТМ Баварушка ПОКОМ</v>
          </cell>
          <cell r="B74" t="str">
            <v>шт</v>
          </cell>
          <cell r="C74"/>
          <cell r="D74"/>
          <cell r="E74">
            <v>1</v>
          </cell>
          <cell r="F74">
            <v>-1</v>
          </cell>
          <cell r="G74">
            <v>0</v>
          </cell>
          <cell r="H74"/>
          <cell r="I74" t="str">
            <v>не в матрице</v>
          </cell>
          <cell r="J74"/>
          <cell r="K74">
            <v>1</v>
          </cell>
          <cell r="L74">
            <v>0</v>
          </cell>
          <cell r="M74">
            <v>1</v>
          </cell>
          <cell r="N74"/>
          <cell r="O74"/>
          <cell r="P74"/>
          <cell r="Q74">
            <v>0</v>
          </cell>
          <cell r="R74"/>
          <cell r="S74">
            <v>0.2</v>
          </cell>
          <cell r="T74"/>
          <cell r="U74"/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1155</v>
          </cell>
          <cell r="D75">
            <v>212</v>
          </cell>
          <cell r="E75">
            <v>639</v>
          </cell>
          <cell r="F75">
            <v>482</v>
          </cell>
          <cell r="G75">
            <v>0.6</v>
          </cell>
          <cell r="H75">
            <v>60</v>
          </cell>
          <cell r="I75" t="str">
            <v>матрица</v>
          </cell>
          <cell r="J75"/>
          <cell r="K75">
            <v>739</v>
          </cell>
          <cell r="L75">
            <v>-100</v>
          </cell>
          <cell r="M75">
            <v>639</v>
          </cell>
          <cell r="N75"/>
          <cell r="O75"/>
          <cell r="P75"/>
          <cell r="Q75">
            <v>317.08816000000002</v>
          </cell>
          <cell r="R75">
            <v>393.87184000000008</v>
          </cell>
          <cell r="S75">
            <v>127.8</v>
          </cell>
          <cell r="T75">
            <v>340.63999999999987</v>
          </cell>
          <cell r="U75"/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831</v>
          </cell>
          <cell r="D76">
            <v>520</v>
          </cell>
          <cell r="E76">
            <v>646</v>
          </cell>
          <cell r="F76">
            <v>503</v>
          </cell>
          <cell r="G76">
            <v>0.6</v>
          </cell>
          <cell r="H76">
            <v>60</v>
          </cell>
          <cell r="I76" t="str">
            <v>матрица</v>
          </cell>
          <cell r="J76"/>
          <cell r="K76">
            <v>720</v>
          </cell>
          <cell r="L76">
            <v>-74</v>
          </cell>
          <cell r="M76">
            <v>646</v>
          </cell>
          <cell r="N76"/>
          <cell r="O76">
            <v>347.88</v>
          </cell>
          <cell r="P76"/>
          <cell r="Q76">
            <v>354.23999999999972</v>
          </cell>
          <cell r="R76"/>
          <cell r="S76">
            <v>129.19999999999999</v>
          </cell>
          <cell r="T76">
            <v>345.28000000000009</v>
          </cell>
          <cell r="U76"/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C77"/>
          <cell r="D77">
            <v>40</v>
          </cell>
          <cell r="E77"/>
          <cell r="F77">
            <v>40</v>
          </cell>
          <cell r="G77">
            <v>0.4</v>
          </cell>
          <cell r="H77"/>
          <cell r="I77" t="str">
            <v>матрица</v>
          </cell>
          <cell r="J77"/>
          <cell r="K77"/>
          <cell r="L77">
            <v>0</v>
          </cell>
          <cell r="M77">
            <v>0</v>
          </cell>
          <cell r="N77"/>
          <cell r="O77"/>
          <cell r="P77"/>
          <cell r="Q77">
            <v>10</v>
          </cell>
          <cell r="R77"/>
          <cell r="S77">
            <v>0</v>
          </cell>
          <cell r="T77"/>
          <cell r="U77"/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1</v>
          </cell>
          <cell r="D78"/>
          <cell r="E78"/>
          <cell r="F78">
            <v>1</v>
          </cell>
          <cell r="G78">
            <v>0</v>
          </cell>
          <cell r="H78"/>
          <cell r="I78" t="str">
            <v>матрица</v>
          </cell>
          <cell r="J78"/>
          <cell r="K78"/>
          <cell r="L78">
            <v>0</v>
          </cell>
          <cell r="M78">
            <v>0</v>
          </cell>
          <cell r="N78"/>
          <cell r="O78"/>
          <cell r="P78"/>
          <cell r="Q78">
            <v>0</v>
          </cell>
          <cell r="R78"/>
          <cell r="S78">
            <v>0</v>
          </cell>
          <cell r="T78"/>
          <cell r="U78"/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14</v>
          </cell>
          <cell r="D79">
            <v>66</v>
          </cell>
          <cell r="E79">
            <v>20</v>
          </cell>
          <cell r="F79">
            <v>64</v>
          </cell>
          <cell r="G79">
            <v>0.35</v>
          </cell>
          <cell r="H79">
            <v>90</v>
          </cell>
          <cell r="I79" t="str">
            <v>матрица</v>
          </cell>
          <cell r="J79"/>
          <cell r="K79">
            <v>57</v>
          </cell>
          <cell r="L79">
            <v>-37</v>
          </cell>
          <cell r="M79">
            <v>20</v>
          </cell>
          <cell r="N79"/>
          <cell r="O79"/>
          <cell r="P79"/>
          <cell r="Q79">
            <v>0</v>
          </cell>
          <cell r="R79"/>
          <cell r="S79">
            <v>4</v>
          </cell>
          <cell r="T79"/>
          <cell r="U79"/>
        </row>
        <row r="80">
          <cell r="A80" t="str">
            <v xml:space="preserve"> 395  Колбаса Докторская ГОСТ ТМ Вязанка в оболочке полиамид 0,37 кг. ПОКОМ</v>
          </cell>
          <cell r="B80" t="str">
            <v>шт</v>
          </cell>
          <cell r="C80">
            <v>88</v>
          </cell>
          <cell r="D80">
            <v>275</v>
          </cell>
          <cell r="E80">
            <v>153</v>
          </cell>
          <cell r="F80">
            <v>195</v>
          </cell>
          <cell r="G80">
            <v>0.37</v>
          </cell>
          <cell r="H80">
            <v>50</v>
          </cell>
          <cell r="I80" t="str">
            <v>матрица</v>
          </cell>
          <cell r="J80"/>
          <cell r="K80">
            <v>175</v>
          </cell>
          <cell r="L80">
            <v>-22</v>
          </cell>
          <cell r="M80">
            <v>153</v>
          </cell>
          <cell r="N80"/>
          <cell r="O80"/>
          <cell r="P80"/>
          <cell r="Q80">
            <v>85.600000000000023</v>
          </cell>
          <cell r="R80"/>
          <cell r="S80">
            <v>30.6</v>
          </cell>
          <cell r="T80">
            <v>86.600000000000023</v>
          </cell>
          <cell r="U80"/>
        </row>
        <row r="81">
          <cell r="A81" t="str">
            <v xml:space="preserve"> 397  Ветчина Дугушка ТМ Стародворье ТС Дугушка в полиамидной оболочке 0,6 кг. ПОКОМ</v>
          </cell>
          <cell r="B81" t="str">
            <v>шт</v>
          </cell>
          <cell r="C81">
            <v>722</v>
          </cell>
          <cell r="D81">
            <v>13</v>
          </cell>
          <cell r="E81">
            <v>309</v>
          </cell>
          <cell r="F81">
            <v>389</v>
          </cell>
          <cell r="G81">
            <v>0.6</v>
          </cell>
          <cell r="H81">
            <v>70</v>
          </cell>
          <cell r="I81" t="str">
            <v>ВНИМАНИЕ / матрица</v>
          </cell>
          <cell r="J81"/>
          <cell r="K81">
            <v>331</v>
          </cell>
          <cell r="L81">
            <v>-22</v>
          </cell>
          <cell r="M81">
            <v>309</v>
          </cell>
          <cell r="N81"/>
          <cell r="O81"/>
          <cell r="P81"/>
          <cell r="Q81">
            <v>127</v>
          </cell>
          <cell r="R81"/>
          <cell r="S81">
            <v>61.8</v>
          </cell>
          <cell r="T81">
            <v>163.79999999999995</v>
          </cell>
          <cell r="U81"/>
        </row>
        <row r="82">
          <cell r="A82" t="str">
            <v xml:space="preserve"> 405  Сардельки Сливушки ТМ Вязанка в оболочке айпил 0,33 кг. ПОКОМ</v>
          </cell>
          <cell r="B82" t="str">
            <v>шт</v>
          </cell>
          <cell r="C82">
            <v>84</v>
          </cell>
          <cell r="D82">
            <v>372</v>
          </cell>
          <cell r="E82">
            <v>206</v>
          </cell>
          <cell r="F82">
            <v>55</v>
          </cell>
          <cell r="G82">
            <v>0.33</v>
          </cell>
          <cell r="H82">
            <v>40</v>
          </cell>
          <cell r="I82" t="str">
            <v>матрица</v>
          </cell>
          <cell r="J82"/>
          <cell r="K82">
            <v>342</v>
          </cell>
          <cell r="L82">
            <v>-136</v>
          </cell>
          <cell r="M82">
            <v>206</v>
          </cell>
          <cell r="N82"/>
          <cell r="O82">
            <v>144.0712</v>
          </cell>
          <cell r="P82"/>
          <cell r="Q82">
            <v>156.54000000000011</v>
          </cell>
          <cell r="R82"/>
          <cell r="S82">
            <v>41.2</v>
          </cell>
          <cell r="T82">
            <v>138.7887999999999</v>
          </cell>
          <cell r="U82"/>
        </row>
        <row r="83">
          <cell r="A83" t="str">
            <v xml:space="preserve"> 408  Ветчина Сливушка с индейкой ТМ Вязанка, 0,4кг  ПОКОМ</v>
          </cell>
          <cell r="B83" t="str">
            <v>шт</v>
          </cell>
          <cell r="C83">
            <v>50</v>
          </cell>
          <cell r="D83">
            <v>114</v>
          </cell>
          <cell r="E83">
            <v>66</v>
          </cell>
          <cell r="F83">
            <v>113</v>
          </cell>
          <cell r="G83">
            <v>0.4</v>
          </cell>
          <cell r="H83">
            <v>55</v>
          </cell>
          <cell r="I83" t="str">
            <v>матрица</v>
          </cell>
          <cell r="J83"/>
          <cell r="K83">
            <v>58</v>
          </cell>
          <cell r="L83">
            <v>8</v>
          </cell>
          <cell r="M83">
            <v>66</v>
          </cell>
          <cell r="N83"/>
          <cell r="O83"/>
          <cell r="P83"/>
          <cell r="Q83">
            <v>19.19999999999996</v>
          </cell>
          <cell r="R83"/>
          <cell r="S83">
            <v>13.2</v>
          </cell>
          <cell r="T83">
            <v>26.200000000000017</v>
          </cell>
          <cell r="U83"/>
        </row>
        <row r="84">
          <cell r="A84" t="str">
            <v xml:space="preserve"> 410  Сосиски Баварские с сыром ТМ Стародворье 0,35 кг. ПОКОМ</v>
          </cell>
          <cell r="B84" t="str">
            <v>шт</v>
          </cell>
          <cell r="C84">
            <v>-8</v>
          </cell>
          <cell r="D84">
            <v>375</v>
          </cell>
          <cell r="E84">
            <v>98</v>
          </cell>
          <cell r="F84">
            <v>262</v>
          </cell>
          <cell r="G84">
            <v>0.35</v>
          </cell>
          <cell r="H84">
            <v>40</v>
          </cell>
          <cell r="I84" t="str">
            <v>НЕДОГРУЗ / матрица</v>
          </cell>
          <cell r="J84"/>
          <cell r="K84">
            <v>70</v>
          </cell>
          <cell r="L84">
            <v>28</v>
          </cell>
          <cell r="M84">
            <v>98</v>
          </cell>
          <cell r="N84"/>
          <cell r="O84">
            <v>50</v>
          </cell>
          <cell r="P84"/>
          <cell r="Q84">
            <v>0</v>
          </cell>
          <cell r="R84"/>
          <cell r="S84">
            <v>19.600000000000001</v>
          </cell>
          <cell r="T84">
            <v>50</v>
          </cell>
          <cell r="U84"/>
        </row>
        <row r="85">
          <cell r="A85" t="str">
            <v xml:space="preserve"> 412  Сосиски Баварские ТМ Стародворье 0,35 кг ПОКОМ</v>
          </cell>
          <cell r="B85" t="str">
            <v>шт</v>
          </cell>
          <cell r="C85">
            <v>-1</v>
          </cell>
          <cell r="D85">
            <v>315</v>
          </cell>
          <cell r="E85">
            <v>-3</v>
          </cell>
          <cell r="F85">
            <v>10</v>
          </cell>
          <cell r="G85">
            <v>0.35</v>
          </cell>
          <cell r="H85">
            <v>45</v>
          </cell>
          <cell r="I85" t="str">
            <v>НЕДОГРУЗ / матрица</v>
          </cell>
          <cell r="J85"/>
          <cell r="K85">
            <v>269</v>
          </cell>
          <cell r="L85">
            <v>-272</v>
          </cell>
          <cell r="M85">
            <v>-153</v>
          </cell>
          <cell r="N85">
            <v>150</v>
          </cell>
          <cell r="O85">
            <v>50</v>
          </cell>
          <cell r="P85"/>
          <cell r="Q85">
            <v>100</v>
          </cell>
          <cell r="R85"/>
          <cell r="S85">
            <v>-30.6</v>
          </cell>
          <cell r="T85">
            <v>100</v>
          </cell>
          <cell r="U85"/>
        </row>
        <row r="86">
          <cell r="A86" t="str">
            <v xml:space="preserve"> 425 Сосиски Сливочные Вязанка Сливушки Весовые П/а мгс Вязанка  Поком</v>
          </cell>
          <cell r="B86" t="str">
            <v>кг</v>
          </cell>
          <cell r="C86">
            <v>-5.4409999999999998</v>
          </cell>
          <cell r="D86"/>
          <cell r="E86"/>
          <cell r="F86">
            <v>-5.4409999999999998</v>
          </cell>
          <cell r="G86">
            <v>0</v>
          </cell>
          <cell r="H86"/>
          <cell r="I86" t="str">
            <v>не в матрице</v>
          </cell>
          <cell r="J86" t="str">
            <v xml:space="preserve"> 017  Сосиски Вязанка Сливочные, Вязанка амицел ВЕС.ПОКОМ</v>
          </cell>
          <cell r="K86"/>
          <cell r="L86">
            <v>0</v>
          </cell>
          <cell r="M86">
            <v>0</v>
          </cell>
          <cell r="N86"/>
          <cell r="O86"/>
          <cell r="P86"/>
          <cell r="Q86">
            <v>0</v>
          </cell>
          <cell r="R86"/>
          <cell r="S86">
            <v>0</v>
          </cell>
          <cell r="T86"/>
          <cell r="U86"/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53</v>
          </cell>
          <cell r="D87">
            <v>50</v>
          </cell>
          <cell r="E87">
            <v>2</v>
          </cell>
          <cell r="F87">
            <v>103</v>
          </cell>
          <cell r="G87">
            <v>0.4</v>
          </cell>
          <cell r="H87">
            <v>55</v>
          </cell>
          <cell r="I87" t="str">
            <v>матрица</v>
          </cell>
          <cell r="J87"/>
          <cell r="K87"/>
          <cell r="L87">
            <v>2</v>
          </cell>
          <cell r="M87">
            <v>2</v>
          </cell>
          <cell r="N87"/>
          <cell r="O87"/>
          <cell r="P87"/>
          <cell r="Q87">
            <v>0</v>
          </cell>
          <cell r="R87"/>
          <cell r="S87">
            <v>0.4</v>
          </cell>
          <cell r="T87"/>
          <cell r="U87"/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33.728999999999999</v>
          </cell>
          <cell r="D88"/>
          <cell r="E88">
            <v>4.0910000000000002</v>
          </cell>
          <cell r="F88">
            <v>16.384</v>
          </cell>
          <cell r="G88">
            <v>1</v>
          </cell>
          <cell r="H88">
            <v>55</v>
          </cell>
          <cell r="I88" t="str">
            <v>матрица</v>
          </cell>
          <cell r="J88"/>
          <cell r="K88">
            <v>15.3</v>
          </cell>
          <cell r="L88">
            <v>-11.209</v>
          </cell>
          <cell r="M88">
            <v>4.0910000000000002</v>
          </cell>
          <cell r="N88"/>
          <cell r="O88"/>
          <cell r="P88"/>
          <cell r="Q88">
            <v>0</v>
          </cell>
          <cell r="R88"/>
          <cell r="S88">
            <v>0.81820000000000004</v>
          </cell>
          <cell r="T88"/>
          <cell r="U88"/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C89"/>
          <cell r="D89"/>
          <cell r="E89"/>
          <cell r="F89"/>
          <cell r="G89">
            <v>0</v>
          </cell>
          <cell r="H89"/>
          <cell r="I89" t="str">
            <v>матрица</v>
          </cell>
          <cell r="J89"/>
          <cell r="K89"/>
          <cell r="L89">
            <v>0</v>
          </cell>
          <cell r="M89">
            <v>0</v>
          </cell>
          <cell r="N89"/>
          <cell r="O89"/>
          <cell r="P89"/>
          <cell r="Q89">
            <v>0</v>
          </cell>
          <cell r="R89"/>
          <cell r="S89">
            <v>0</v>
          </cell>
          <cell r="T89"/>
          <cell r="U89"/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3866.12</v>
          </cell>
          <cell r="D90">
            <v>5962.2690000000002</v>
          </cell>
          <cell r="E90">
            <v>4315.1090000000004</v>
          </cell>
          <cell r="F90">
            <v>3348.8519999999999</v>
          </cell>
          <cell r="G90">
            <v>1</v>
          </cell>
          <cell r="H90">
            <v>60</v>
          </cell>
          <cell r="I90" t="str">
            <v>матрица</v>
          </cell>
          <cell r="J90"/>
          <cell r="K90">
            <v>4583.6000000000004</v>
          </cell>
          <cell r="L90">
            <v>-268.49099999999999</v>
          </cell>
          <cell r="M90">
            <v>4213.1590000000006</v>
          </cell>
          <cell r="N90">
            <v>101.95</v>
          </cell>
          <cell r="O90">
            <v>1377.1870138935999</v>
          </cell>
          <cell r="P90"/>
          <cell r="Q90">
            <v>2305.7990356897199</v>
          </cell>
          <cell r="R90">
            <v>2864.1539591302808</v>
          </cell>
          <cell r="S90">
            <v>842.63180000000011</v>
          </cell>
          <cell r="T90">
            <v>215.58959128640072</v>
          </cell>
          <cell r="U90"/>
        </row>
        <row r="91">
          <cell r="A91" t="str">
            <v xml:space="preserve"> 451 Сосиски Филейские ТМ Вязанка в оболочке целлофан 0,3 кг. ПОКОМ</v>
          </cell>
          <cell r="B91" t="str">
            <v>шт</v>
          </cell>
          <cell r="C91">
            <v>146</v>
          </cell>
          <cell r="D91">
            <v>322</v>
          </cell>
          <cell r="E91">
            <v>245</v>
          </cell>
          <cell r="F91">
            <v>197</v>
          </cell>
          <cell r="G91">
            <v>0.3</v>
          </cell>
          <cell r="H91">
            <v>40</v>
          </cell>
          <cell r="I91" t="str">
            <v>матрица</v>
          </cell>
          <cell r="J91"/>
          <cell r="K91">
            <v>271</v>
          </cell>
          <cell r="L91">
            <v>-26</v>
          </cell>
          <cell r="M91">
            <v>245</v>
          </cell>
          <cell r="N91"/>
          <cell r="O91">
            <v>208.21943999999999</v>
          </cell>
          <cell r="P91"/>
          <cell r="Q91">
            <v>0</v>
          </cell>
          <cell r="R91"/>
          <cell r="S91">
            <v>49</v>
          </cell>
          <cell r="T91">
            <v>182.78056000000004</v>
          </cell>
          <cell r="U91"/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1501.596</v>
          </cell>
          <cell r="D92">
            <v>4179.04</v>
          </cell>
          <cell r="E92">
            <v>1786.174</v>
          </cell>
          <cell r="F92">
            <v>383.12700000000001</v>
          </cell>
          <cell r="G92">
            <v>1</v>
          </cell>
          <cell r="H92">
            <v>60</v>
          </cell>
          <cell r="I92" t="str">
            <v>матрица</v>
          </cell>
          <cell r="J92"/>
          <cell r="K92">
            <v>3731.7339999999999</v>
          </cell>
          <cell r="L92">
            <v>-1945.56</v>
          </cell>
          <cell r="M92">
            <v>1786.174</v>
          </cell>
          <cell r="N92"/>
          <cell r="O92">
            <v>794.34634021391992</v>
          </cell>
          <cell r="P92"/>
          <cell r="Q92">
            <v>1619.6354969949839</v>
          </cell>
          <cell r="R92">
            <v>2011.834227209016</v>
          </cell>
          <cell r="S92">
            <v>357.23480000000001</v>
          </cell>
          <cell r="T92"/>
          <cell r="U92"/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5155.0910000000003</v>
          </cell>
          <cell r="D93">
            <v>3786.1170000000002</v>
          </cell>
          <cell r="E93">
            <v>3167.6869999999999</v>
          </cell>
          <cell r="F93">
            <v>3242.4430000000002</v>
          </cell>
          <cell r="G93">
            <v>1</v>
          </cell>
          <cell r="H93">
            <v>60</v>
          </cell>
          <cell r="I93" t="str">
            <v>матрица</v>
          </cell>
          <cell r="J93"/>
          <cell r="K93">
            <v>4175.7219999999998</v>
          </cell>
          <cell r="L93">
            <v>-1008.0349999999999</v>
          </cell>
          <cell r="M93">
            <v>1522.6769999999999</v>
          </cell>
          <cell r="N93">
            <v>1645.01</v>
          </cell>
          <cell r="O93">
            <v>1039.1909161649589</v>
          </cell>
          <cell r="P93"/>
          <cell r="Q93">
            <v>398.05942898159287</v>
          </cell>
          <cell r="R93">
            <v>494.45050147040922</v>
          </cell>
          <cell r="S93">
            <v>304.53539999999998</v>
          </cell>
          <cell r="T93"/>
          <cell r="U93"/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5918.6170000000002</v>
          </cell>
          <cell r="D94">
            <v>6028.2030000000004</v>
          </cell>
          <cell r="E94">
            <v>2740.491</v>
          </cell>
          <cell r="F94">
            <v>5512.5709999999999</v>
          </cell>
          <cell r="G94">
            <v>1</v>
          </cell>
          <cell r="H94">
            <v>60</v>
          </cell>
          <cell r="I94" t="str">
            <v>матрица</v>
          </cell>
          <cell r="J94"/>
          <cell r="K94">
            <v>6008.5770000000002</v>
          </cell>
          <cell r="L94">
            <v>-3268.0860000000002</v>
          </cell>
          <cell r="M94">
            <v>1989.252</v>
          </cell>
          <cell r="N94">
            <v>751.23900000000003</v>
          </cell>
          <cell r="O94">
            <v>1317.9080096</v>
          </cell>
          <cell r="P94"/>
          <cell r="Q94">
            <v>0</v>
          </cell>
          <cell r="R94"/>
          <cell r="S94">
            <v>397.85039999999998</v>
          </cell>
          <cell r="T94"/>
          <cell r="U94"/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76.864000000000004</v>
          </cell>
          <cell r="D95">
            <v>2.67</v>
          </cell>
          <cell r="E95">
            <v>26.853999999999999</v>
          </cell>
          <cell r="F95">
            <v>48.497999999999998</v>
          </cell>
          <cell r="G95">
            <v>1</v>
          </cell>
          <cell r="H95">
            <v>55</v>
          </cell>
          <cell r="I95" t="str">
            <v>матрица</v>
          </cell>
          <cell r="J95"/>
          <cell r="K95">
            <v>27.2</v>
          </cell>
          <cell r="L95">
            <v>-0.34600000000000009</v>
          </cell>
          <cell r="M95">
            <v>26.853999999999999</v>
          </cell>
          <cell r="N95"/>
          <cell r="O95"/>
          <cell r="P95"/>
          <cell r="Q95">
            <v>0</v>
          </cell>
          <cell r="R95"/>
          <cell r="S95">
            <v>5.3708</v>
          </cell>
          <cell r="T95">
            <v>15.951600000000006</v>
          </cell>
          <cell r="U95"/>
        </row>
        <row r="96">
          <cell r="A96" t="str">
            <v xml:space="preserve"> 463  Колбаса Молочная Традиционнаяв оболочке полиамид.ТМ Стародворье. ВЕС ПОКОМ</v>
          </cell>
          <cell r="B96" t="str">
            <v>кг</v>
          </cell>
          <cell r="C96">
            <v>-1.36</v>
          </cell>
          <cell r="D96"/>
          <cell r="E96"/>
          <cell r="F96">
            <v>-1.36</v>
          </cell>
          <cell r="G96">
            <v>0</v>
          </cell>
          <cell r="H96"/>
          <cell r="I96" t="str">
            <v>не в матрице</v>
          </cell>
          <cell r="J96"/>
          <cell r="K96"/>
          <cell r="L96">
            <v>0</v>
          </cell>
          <cell r="M96">
            <v>0</v>
          </cell>
          <cell r="N96"/>
          <cell r="O96"/>
          <cell r="P96"/>
          <cell r="Q96">
            <v>0</v>
          </cell>
          <cell r="R96"/>
          <cell r="S96">
            <v>0</v>
          </cell>
          <cell r="T96"/>
          <cell r="U96"/>
        </row>
        <row r="97">
          <cell r="A97" t="str">
            <v xml:space="preserve"> 485  Колбаса Молочная по-стародворски ТМ Стародворье в оболочке полиамид. ВЕС ПОКОМ </v>
          </cell>
          <cell r="B97" t="str">
            <v>кг</v>
          </cell>
          <cell r="C97">
            <v>-2.5960000000000001</v>
          </cell>
          <cell r="D97"/>
          <cell r="E97"/>
          <cell r="F97">
            <v>-2.5960000000000001</v>
          </cell>
          <cell r="G97">
            <v>0</v>
          </cell>
          <cell r="H97"/>
          <cell r="I97" t="str">
            <v>не в матрице</v>
          </cell>
          <cell r="J97"/>
          <cell r="K97"/>
          <cell r="L97">
            <v>0</v>
          </cell>
          <cell r="M97">
            <v>0</v>
          </cell>
          <cell r="N97"/>
          <cell r="O97"/>
          <cell r="P97"/>
          <cell r="Q97">
            <v>0</v>
          </cell>
          <cell r="R97"/>
          <cell r="S97">
            <v>0</v>
          </cell>
          <cell r="T97"/>
          <cell r="U97"/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-3</v>
          </cell>
          <cell r="D98">
            <v>2</v>
          </cell>
          <cell r="E98"/>
          <cell r="F98">
            <v>-3</v>
          </cell>
          <cell r="G98">
            <v>0.3</v>
          </cell>
          <cell r="H98">
            <v>40</v>
          </cell>
          <cell r="I98" t="str">
            <v>НЕДОГРУЗ / матрица</v>
          </cell>
          <cell r="J98"/>
          <cell r="K98">
            <v>182</v>
          </cell>
          <cell r="L98">
            <v>-182</v>
          </cell>
          <cell r="M98">
            <v>0</v>
          </cell>
          <cell r="N98"/>
          <cell r="O98"/>
          <cell r="P98"/>
          <cell r="Q98">
            <v>50</v>
          </cell>
          <cell r="R98"/>
          <cell r="S98">
            <v>0</v>
          </cell>
          <cell r="T98">
            <v>50</v>
          </cell>
          <cell r="U98"/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56</v>
          </cell>
          <cell r="D99">
            <v>156</v>
          </cell>
          <cell r="E99">
            <v>39</v>
          </cell>
          <cell r="F99">
            <v>169</v>
          </cell>
          <cell r="G99">
            <v>0.3</v>
          </cell>
          <cell r="H99">
            <v>40</v>
          </cell>
          <cell r="I99" t="str">
            <v>матрица</v>
          </cell>
          <cell r="J99"/>
          <cell r="K99">
            <v>41</v>
          </cell>
          <cell r="L99">
            <v>-2</v>
          </cell>
          <cell r="M99">
            <v>39</v>
          </cell>
          <cell r="N99"/>
          <cell r="O99"/>
          <cell r="P99"/>
          <cell r="Q99">
            <v>0</v>
          </cell>
          <cell r="R99"/>
          <cell r="S99">
            <v>7.8</v>
          </cell>
          <cell r="T99"/>
          <cell r="U99"/>
        </row>
        <row r="100">
          <cell r="A100" t="str">
            <v xml:space="preserve"> 523  Колбаса Сальчичон нарезка 0,07кг ТМ Стародворье  ПОКОМ </v>
          </cell>
          <cell r="B100" t="str">
            <v>шт</v>
          </cell>
          <cell r="C100">
            <v>505</v>
          </cell>
          <cell r="D100">
            <v>23</v>
          </cell>
          <cell r="E100">
            <v>127</v>
          </cell>
          <cell r="F100">
            <v>327</v>
          </cell>
          <cell r="G100">
            <v>7.0000000000000007E-2</v>
          </cell>
          <cell r="H100">
            <v>90</v>
          </cell>
          <cell r="I100" t="str">
            <v>матрица</v>
          </cell>
          <cell r="J100"/>
          <cell r="K100">
            <v>189</v>
          </cell>
          <cell r="L100">
            <v>-62</v>
          </cell>
          <cell r="M100">
            <v>127</v>
          </cell>
          <cell r="N100"/>
          <cell r="O100"/>
          <cell r="P100"/>
          <cell r="Q100">
            <v>0</v>
          </cell>
          <cell r="R100"/>
          <cell r="S100">
            <v>25.4</v>
          </cell>
          <cell r="T100"/>
          <cell r="U100" t="str">
            <v xml:space="preserve">400 сеть молоко 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428</v>
          </cell>
          <cell r="D101">
            <v>22</v>
          </cell>
          <cell r="E101">
            <v>138</v>
          </cell>
          <cell r="F101">
            <v>248</v>
          </cell>
          <cell r="G101">
            <v>7.0000000000000007E-2</v>
          </cell>
          <cell r="H101">
            <v>90</v>
          </cell>
          <cell r="I101" t="str">
            <v>матрица</v>
          </cell>
          <cell r="J101"/>
          <cell r="K101">
            <v>192</v>
          </cell>
          <cell r="L101">
            <v>-54</v>
          </cell>
          <cell r="M101">
            <v>138</v>
          </cell>
          <cell r="N101"/>
          <cell r="O101"/>
          <cell r="P101"/>
          <cell r="Q101">
            <v>0</v>
          </cell>
          <cell r="R101"/>
          <cell r="S101">
            <v>27.6</v>
          </cell>
          <cell r="T101">
            <v>83.200000000000045</v>
          </cell>
          <cell r="U101" t="str">
            <v xml:space="preserve">500 сеть молоко 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438</v>
          </cell>
          <cell r="D102">
            <v>10</v>
          </cell>
          <cell r="E102">
            <v>93</v>
          </cell>
          <cell r="F102">
            <v>304</v>
          </cell>
          <cell r="G102">
            <v>7.0000000000000007E-2</v>
          </cell>
          <cell r="H102">
            <v>90</v>
          </cell>
          <cell r="I102" t="str">
            <v>матрица</v>
          </cell>
          <cell r="J102"/>
          <cell r="K102">
            <v>137</v>
          </cell>
          <cell r="L102">
            <v>-44</v>
          </cell>
          <cell r="M102">
            <v>93</v>
          </cell>
          <cell r="N102"/>
          <cell r="O102"/>
          <cell r="P102"/>
          <cell r="Q102">
            <v>0</v>
          </cell>
          <cell r="R102"/>
          <cell r="S102">
            <v>18.600000000000001</v>
          </cell>
          <cell r="T102"/>
          <cell r="U102" t="str">
            <v xml:space="preserve">400 сеть молоко 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4</v>
          </cell>
          <cell r="D103"/>
          <cell r="E103">
            <v>-3</v>
          </cell>
          <cell r="F103">
            <v>-11</v>
          </cell>
          <cell r="G103">
            <v>0</v>
          </cell>
          <cell r="H103">
            <v>90</v>
          </cell>
          <cell r="I103" t="str">
            <v>не в матрице</v>
          </cell>
          <cell r="J103"/>
          <cell r="K103">
            <v>107</v>
          </cell>
          <cell r="L103">
            <v>-110</v>
          </cell>
          <cell r="M103">
            <v>-3</v>
          </cell>
          <cell r="N103"/>
          <cell r="O103"/>
          <cell r="P103"/>
          <cell r="Q103">
            <v>0</v>
          </cell>
          <cell r="R103"/>
          <cell r="S103">
            <v>-0.6</v>
          </cell>
          <cell r="T103"/>
          <cell r="U103"/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31</v>
          </cell>
          <cell r="D104">
            <v>3</v>
          </cell>
          <cell r="E104">
            <v>19</v>
          </cell>
          <cell r="F104">
            <v>14</v>
          </cell>
          <cell r="G104">
            <v>0.3</v>
          </cell>
          <cell r="H104">
            <v>40</v>
          </cell>
          <cell r="I104" t="str">
            <v>матрица</v>
          </cell>
          <cell r="J104"/>
          <cell r="K104">
            <v>44</v>
          </cell>
          <cell r="L104">
            <v>-25</v>
          </cell>
          <cell r="M104">
            <v>19</v>
          </cell>
          <cell r="N104"/>
          <cell r="O104"/>
          <cell r="P104"/>
          <cell r="Q104">
            <v>20</v>
          </cell>
          <cell r="R104"/>
          <cell r="S104">
            <v>3.8</v>
          </cell>
          <cell r="T104">
            <v>11.599999999999994</v>
          </cell>
          <cell r="U104"/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30.44</v>
          </cell>
          <cell r="D105">
            <v>1.59</v>
          </cell>
          <cell r="E105">
            <v>12.779</v>
          </cell>
          <cell r="F105">
            <v>18.382000000000001</v>
          </cell>
          <cell r="G105">
            <v>1</v>
          </cell>
          <cell r="H105">
            <v>55</v>
          </cell>
          <cell r="I105" t="str">
            <v>матрица</v>
          </cell>
          <cell r="J105"/>
          <cell r="K105">
            <v>9.1999999999999993</v>
          </cell>
          <cell r="L105">
            <v>3.5790000000000006</v>
          </cell>
          <cell r="M105">
            <v>12.779</v>
          </cell>
          <cell r="N105"/>
          <cell r="O105"/>
          <cell r="P105"/>
          <cell r="Q105">
            <v>0</v>
          </cell>
          <cell r="R105"/>
          <cell r="S105">
            <v>2.5558000000000001</v>
          </cell>
          <cell r="T105">
            <v>12.287600000000001</v>
          </cell>
          <cell r="U105"/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B106" t="str">
            <v>шт</v>
          </cell>
          <cell r="C106">
            <v>245</v>
          </cell>
          <cell r="D106">
            <v>21</v>
          </cell>
          <cell r="E106">
            <v>93</v>
          </cell>
          <cell r="F106">
            <v>123</v>
          </cell>
          <cell r="G106">
            <v>0.11</v>
          </cell>
          <cell r="H106">
            <v>30</v>
          </cell>
          <cell r="I106" t="str">
            <v>матрица</v>
          </cell>
          <cell r="J106"/>
          <cell r="K106">
            <v>142</v>
          </cell>
          <cell r="L106">
            <v>-49</v>
          </cell>
          <cell r="M106">
            <v>93</v>
          </cell>
          <cell r="N106"/>
          <cell r="O106"/>
          <cell r="P106"/>
          <cell r="Q106">
            <v>22.600000000000019</v>
          </cell>
          <cell r="R106"/>
          <cell r="S106">
            <v>18.600000000000001</v>
          </cell>
          <cell r="T106">
            <v>77.599999999999994</v>
          </cell>
          <cell r="U106" t="str">
            <v xml:space="preserve">500 сеть молоко 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B107" t="str">
            <v>шт</v>
          </cell>
          <cell r="C107"/>
          <cell r="D107"/>
          <cell r="E107"/>
          <cell r="F107"/>
          <cell r="G107">
            <v>0</v>
          </cell>
          <cell r="H107"/>
          <cell r="I107" t="str">
            <v>матрица</v>
          </cell>
          <cell r="J107"/>
          <cell r="K107"/>
          <cell r="L107">
            <v>0</v>
          </cell>
          <cell r="M107">
            <v>0</v>
          </cell>
          <cell r="N107"/>
          <cell r="O107"/>
          <cell r="P107"/>
          <cell r="Q107">
            <v>0</v>
          </cell>
          <cell r="R107"/>
          <cell r="S107">
            <v>0</v>
          </cell>
          <cell r="T107"/>
          <cell r="U107"/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B108" t="str">
            <v>шт</v>
          </cell>
          <cell r="C108">
            <v>575</v>
          </cell>
          <cell r="D108">
            <v>270</v>
          </cell>
          <cell r="E108">
            <v>205</v>
          </cell>
          <cell r="F108">
            <v>576</v>
          </cell>
          <cell r="G108">
            <v>0.08</v>
          </cell>
          <cell r="H108">
            <v>45</v>
          </cell>
          <cell r="I108" t="str">
            <v>матрица</v>
          </cell>
          <cell r="J108"/>
          <cell r="K108">
            <v>257</v>
          </cell>
          <cell r="L108">
            <v>-52</v>
          </cell>
          <cell r="M108">
            <v>205</v>
          </cell>
          <cell r="N108"/>
          <cell r="O108"/>
          <cell r="P108"/>
          <cell r="Q108">
            <v>0</v>
          </cell>
          <cell r="R108"/>
          <cell r="S108">
            <v>41</v>
          </cell>
          <cell r="T108"/>
          <cell r="U108" t="str">
            <v xml:space="preserve">300 сеть молоко 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B109" t="str">
            <v>шт</v>
          </cell>
          <cell r="C109">
            <v>456</v>
          </cell>
          <cell r="D109">
            <v>57</v>
          </cell>
          <cell r="E109">
            <v>208</v>
          </cell>
          <cell r="F109">
            <v>199</v>
          </cell>
          <cell r="G109">
            <v>0.08</v>
          </cell>
          <cell r="H109">
            <v>45</v>
          </cell>
          <cell r="I109" t="str">
            <v>матрица</v>
          </cell>
          <cell r="J109"/>
          <cell r="K109">
            <v>316</v>
          </cell>
          <cell r="L109">
            <v>-108</v>
          </cell>
          <cell r="M109">
            <v>208</v>
          </cell>
          <cell r="N109"/>
          <cell r="O109"/>
          <cell r="P109"/>
          <cell r="Q109">
            <v>97.600000000000023</v>
          </cell>
          <cell r="R109"/>
          <cell r="S109">
            <v>41.6</v>
          </cell>
          <cell r="T109">
            <v>202.60000000000002</v>
          </cell>
          <cell r="U109" t="str">
            <v xml:space="preserve">600 сеть молоко </v>
          </cell>
        </row>
        <row r="110">
          <cell r="A110" t="str">
            <v xml:space="preserve"> 555  Колбаса Молокуша ТМ Вязанка в модифицированной газовой среде 0,17 кг нарезка  ПОКОМ</v>
          </cell>
          <cell r="B110" t="str">
            <v>шт</v>
          </cell>
          <cell r="C110">
            <v>135</v>
          </cell>
          <cell r="D110">
            <v>124</v>
          </cell>
          <cell r="E110">
            <v>81</v>
          </cell>
          <cell r="F110">
            <v>165</v>
          </cell>
          <cell r="G110">
            <v>0.17</v>
          </cell>
          <cell r="H110">
            <v>30</v>
          </cell>
          <cell r="I110" t="str">
            <v>матрица</v>
          </cell>
          <cell r="J110"/>
          <cell r="K110">
            <v>93</v>
          </cell>
          <cell r="L110">
            <v>-12</v>
          </cell>
          <cell r="M110">
            <v>81</v>
          </cell>
          <cell r="N110"/>
          <cell r="O110"/>
          <cell r="P110"/>
          <cell r="Q110">
            <v>0</v>
          </cell>
          <cell r="R110"/>
          <cell r="S110">
            <v>16.2</v>
          </cell>
          <cell r="T110">
            <v>29.399999999999977</v>
          </cell>
          <cell r="U110" t="str">
            <v xml:space="preserve">500 сеть молоко 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B111" t="str">
            <v>кг</v>
          </cell>
          <cell r="C111">
            <v>168.83500000000001</v>
          </cell>
          <cell r="D111">
            <v>62.28</v>
          </cell>
          <cell r="E111">
            <v>213.87100000000001</v>
          </cell>
          <cell r="F111">
            <v>-14.114000000000001</v>
          </cell>
          <cell r="G111">
            <v>1</v>
          </cell>
          <cell r="H111">
            <v>40</v>
          </cell>
          <cell r="I111" t="str">
            <v>НЕДОГРУЗ / матрица</v>
          </cell>
          <cell r="J111"/>
          <cell r="K111">
            <v>263.73399999999998</v>
          </cell>
          <cell r="L111">
            <v>-49.862999999999971</v>
          </cell>
          <cell r="M111">
            <v>213.87100000000001</v>
          </cell>
          <cell r="N111"/>
          <cell r="O111">
            <v>110.25716</v>
          </cell>
          <cell r="P111"/>
          <cell r="Q111">
            <v>236.92699999999999</v>
          </cell>
          <cell r="R111"/>
          <cell r="S111">
            <v>42.7742</v>
          </cell>
          <cell r="T111">
            <v>180.22023999999996</v>
          </cell>
          <cell r="U111"/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B112" t="str">
            <v>кг</v>
          </cell>
          <cell r="C112">
            <v>149.86500000000001</v>
          </cell>
          <cell r="D112">
            <v>2.8340000000000001</v>
          </cell>
          <cell r="E112">
            <v>85.805000000000007</v>
          </cell>
          <cell r="F112">
            <v>50.616999999999997</v>
          </cell>
          <cell r="G112">
            <v>1</v>
          </cell>
          <cell r="H112">
            <v>40</v>
          </cell>
          <cell r="I112" t="str">
            <v>НЕДОГРУЗ / матрица</v>
          </cell>
          <cell r="J112"/>
          <cell r="K112">
            <v>85.915000000000006</v>
          </cell>
          <cell r="L112">
            <v>-0.10999999999999943</v>
          </cell>
          <cell r="M112">
            <v>85.805000000000007</v>
          </cell>
          <cell r="N112"/>
          <cell r="O112"/>
          <cell r="P112"/>
          <cell r="Q112">
            <v>104.5</v>
          </cell>
          <cell r="R112"/>
          <cell r="S112">
            <v>17.161000000000001</v>
          </cell>
          <cell r="T112">
            <v>50.815000000000019</v>
          </cell>
          <cell r="U112"/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C113">
            <v>159.31</v>
          </cell>
          <cell r="D113">
            <v>158.161</v>
          </cell>
          <cell r="E113">
            <v>237.26599999999999</v>
          </cell>
          <cell r="F113">
            <v>2.621</v>
          </cell>
          <cell r="G113">
            <v>1</v>
          </cell>
          <cell r="H113">
            <v>40</v>
          </cell>
          <cell r="I113" t="str">
            <v>НЕДОГРУЗ / матрица</v>
          </cell>
          <cell r="J113"/>
          <cell r="K113">
            <v>290.21800000000002</v>
          </cell>
          <cell r="L113">
            <v>-52.952000000000027</v>
          </cell>
          <cell r="M113">
            <v>216.15899999999999</v>
          </cell>
          <cell r="N113">
            <v>21.106999999999999</v>
          </cell>
          <cell r="O113">
            <v>114.212592</v>
          </cell>
          <cell r="P113">
            <v>-115.5</v>
          </cell>
          <cell r="Q113">
            <v>100</v>
          </cell>
          <cell r="R113"/>
          <cell r="S113">
            <v>43.2318</v>
          </cell>
          <cell r="T113">
            <v>80</v>
          </cell>
          <cell r="U113"/>
        </row>
        <row r="114">
          <cell r="A114" t="str">
            <v xml:space="preserve"> 564  Сосиски Сочные 0,3 кг ТМ Вязанка  ПОКОМ</v>
          </cell>
          <cell r="B114" t="str">
            <v>шт</v>
          </cell>
          <cell r="C114">
            <v>53</v>
          </cell>
          <cell r="D114">
            <v>6</v>
          </cell>
          <cell r="E114">
            <v>10</v>
          </cell>
          <cell r="F114">
            <v>11</v>
          </cell>
          <cell r="G114">
            <v>0.3</v>
          </cell>
          <cell r="H114">
            <v>45</v>
          </cell>
          <cell r="I114" t="str">
            <v>матрица</v>
          </cell>
          <cell r="J114"/>
          <cell r="K114">
            <v>142</v>
          </cell>
          <cell r="L114">
            <v>-132</v>
          </cell>
          <cell r="M114">
            <v>10</v>
          </cell>
          <cell r="N114"/>
          <cell r="O114"/>
          <cell r="P114"/>
          <cell r="Q114">
            <v>0</v>
          </cell>
          <cell r="R114"/>
          <cell r="S114">
            <v>2</v>
          </cell>
          <cell r="T114">
            <v>13</v>
          </cell>
          <cell r="U114"/>
        </row>
        <row r="115">
          <cell r="A115" t="str">
            <v xml:space="preserve"> 567 Колбаса Со шпиком Стародворская ТМ Стародворье в оболочке полиамид ВЕС  ПОКОМ</v>
          </cell>
          <cell r="B115" t="str">
            <v>кг</v>
          </cell>
          <cell r="C115">
            <v>22.251000000000001</v>
          </cell>
          <cell r="D115">
            <v>14.807</v>
          </cell>
          <cell r="E115">
            <v>2.76</v>
          </cell>
          <cell r="F115">
            <v>16.754999999999999</v>
          </cell>
          <cell r="G115">
            <v>1</v>
          </cell>
          <cell r="H115">
            <v>55</v>
          </cell>
          <cell r="I115" t="str">
            <v>матрица</v>
          </cell>
          <cell r="J115"/>
          <cell r="K115">
            <v>18.899999999999999</v>
          </cell>
          <cell r="L115">
            <v>-16.14</v>
          </cell>
          <cell r="M115">
            <v>2.76</v>
          </cell>
          <cell r="N115"/>
          <cell r="O115"/>
          <cell r="P115"/>
          <cell r="Q115">
            <v>0</v>
          </cell>
          <cell r="R115"/>
          <cell r="S115">
            <v>0.55199999999999994</v>
          </cell>
          <cell r="T115"/>
          <cell r="U115"/>
        </row>
        <row r="116">
          <cell r="A116" t="str">
            <v xml:space="preserve"> 569  Колбаса Балыковая ТМ Вязанка в оболочке фиброуз в вакуумной упаковке 0,28 кг срез.  ПОКОМ</v>
          </cell>
          <cell r="B116" t="str">
            <v>шт</v>
          </cell>
          <cell r="C116">
            <v>309</v>
          </cell>
          <cell r="D116">
            <v>408</v>
          </cell>
          <cell r="E116">
            <v>383</v>
          </cell>
          <cell r="F116">
            <v>176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J116"/>
          <cell r="K116">
            <v>497</v>
          </cell>
          <cell r="L116">
            <v>-114</v>
          </cell>
          <cell r="M116">
            <v>383</v>
          </cell>
          <cell r="N116"/>
          <cell r="O116"/>
          <cell r="P116"/>
          <cell r="Q116">
            <v>193.82813751085709</v>
          </cell>
          <cell r="R116">
            <v>240.76409906057151</v>
          </cell>
          <cell r="S116">
            <v>76.599999999999994</v>
          </cell>
          <cell r="T116">
            <v>308.60776342857127</v>
          </cell>
          <cell r="U116"/>
        </row>
        <row r="117">
          <cell r="A117" t="str">
            <v xml:space="preserve"> 570  Колбаса Сервелат Финский ТМ Вязанка в оболочке фиброуз в вак. упаковке 0,28 кг срез  ПОКОМ</v>
          </cell>
          <cell r="B117" t="str">
            <v>шт</v>
          </cell>
          <cell r="C117">
            <v>-15.273999999999999</v>
          </cell>
          <cell r="D117">
            <v>44</v>
          </cell>
          <cell r="E117">
            <v>114</v>
          </cell>
          <cell r="F117">
            <v>-3.274</v>
          </cell>
          <cell r="G117">
            <v>0.28000000000000003</v>
          </cell>
          <cell r="H117">
            <v>40</v>
          </cell>
          <cell r="I117" t="str">
            <v>НЕДОГРУЗ / матрица</v>
          </cell>
          <cell r="J117"/>
          <cell r="K117">
            <v>213</v>
          </cell>
          <cell r="L117">
            <v>-99</v>
          </cell>
          <cell r="M117">
            <v>114</v>
          </cell>
          <cell r="N117"/>
          <cell r="O117">
            <v>185.01599999999999</v>
          </cell>
          <cell r="P117">
            <v>-186</v>
          </cell>
          <cell r="Q117">
            <v>200</v>
          </cell>
          <cell r="R117"/>
          <cell r="S117">
            <v>22.8</v>
          </cell>
          <cell r="T117">
            <v>150</v>
          </cell>
          <cell r="U117"/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534.5</v>
          </cell>
          <cell r="D118">
            <v>355</v>
          </cell>
          <cell r="E118">
            <v>546</v>
          </cell>
          <cell r="F118">
            <v>25.5</v>
          </cell>
          <cell r="G118">
            <v>0.28000000000000003</v>
          </cell>
          <cell r="H118">
            <v>40</v>
          </cell>
          <cell r="I118" t="str">
            <v>НЕДОГРУЗ / матрица</v>
          </cell>
          <cell r="J118"/>
          <cell r="K118">
            <v>780</v>
          </cell>
          <cell r="L118">
            <v>-234</v>
          </cell>
          <cell r="M118">
            <v>546</v>
          </cell>
          <cell r="N118"/>
          <cell r="O118">
            <v>130</v>
          </cell>
          <cell r="P118">
            <v>-132</v>
          </cell>
          <cell r="Q118">
            <v>250</v>
          </cell>
          <cell r="R118"/>
          <cell r="S118">
            <v>109.2</v>
          </cell>
          <cell r="T118">
            <v>250</v>
          </cell>
          <cell r="U118"/>
        </row>
        <row r="119">
          <cell r="A119" t="str">
            <v xml:space="preserve"> 574  Колбаса Сервелат Финский ТМ Вязанка в упаковке скин 0,09 кг нарезка  ПОКОМ</v>
          </cell>
          <cell r="B119" t="str">
            <v>шт</v>
          </cell>
          <cell r="C119">
            <v>67</v>
          </cell>
          <cell r="D119">
            <v>182</v>
          </cell>
          <cell r="E119">
            <v>101</v>
          </cell>
          <cell r="F119">
            <v>22</v>
          </cell>
          <cell r="G119">
            <v>0.09</v>
          </cell>
          <cell r="H119">
            <v>45</v>
          </cell>
          <cell r="I119" t="str">
            <v>матрица</v>
          </cell>
          <cell r="J119"/>
          <cell r="K119">
            <v>218</v>
          </cell>
          <cell r="L119">
            <v>-117</v>
          </cell>
          <cell r="M119">
            <v>101</v>
          </cell>
          <cell r="N119"/>
          <cell r="O119"/>
          <cell r="P119"/>
          <cell r="Q119">
            <v>126.18</v>
          </cell>
          <cell r="R119"/>
          <cell r="S119">
            <v>20.2</v>
          </cell>
          <cell r="T119">
            <v>94.21999999999997</v>
          </cell>
          <cell r="U119" t="str">
            <v xml:space="preserve">700 сеть молоко </v>
          </cell>
        </row>
        <row r="120">
          <cell r="A120" t="str">
            <v xml:space="preserve"> 577  Колбаса Молочная Стародворская ТМ Стародворье в оболочке полиамид НД ВЕС.  ПОКОМ</v>
          </cell>
          <cell r="B120" t="str">
            <v>кг</v>
          </cell>
          <cell r="C120">
            <v>-0.09</v>
          </cell>
          <cell r="D120"/>
          <cell r="E120"/>
          <cell r="F120">
            <v>-0.09</v>
          </cell>
          <cell r="G120">
            <v>0</v>
          </cell>
          <cell r="H120">
            <v>55</v>
          </cell>
          <cell r="I120" t="str">
            <v>не в матрице</v>
          </cell>
          <cell r="J120"/>
          <cell r="K120"/>
          <cell r="L120">
            <v>0</v>
          </cell>
          <cell r="M120">
            <v>0</v>
          </cell>
          <cell r="N120"/>
          <cell r="O120"/>
          <cell r="P120"/>
          <cell r="Q120">
            <v>0</v>
          </cell>
          <cell r="R120"/>
          <cell r="S120">
            <v>0</v>
          </cell>
          <cell r="T120"/>
          <cell r="U120"/>
        </row>
        <row r="121">
          <cell r="A121" t="str">
            <v xml:space="preserve"> 579  Колбаса Ветчинно-рубленая ТМ Особый рецепт в оболочке полиамид.ВЕС  ПОКОМ</v>
          </cell>
          <cell r="B121" t="str">
            <v>кг</v>
          </cell>
          <cell r="C121">
            <v>125.17700000000001</v>
          </cell>
          <cell r="D121"/>
          <cell r="E121">
            <v>27.283999999999999</v>
          </cell>
          <cell r="F121">
            <v>75.736000000000004</v>
          </cell>
          <cell r="G121">
            <v>1</v>
          </cell>
          <cell r="H121">
            <v>60</v>
          </cell>
          <cell r="I121" t="str">
            <v>матрица</v>
          </cell>
          <cell r="J121"/>
          <cell r="K121">
            <v>42.5</v>
          </cell>
          <cell r="L121">
            <v>-15.216000000000001</v>
          </cell>
          <cell r="M121">
            <v>27.283999999999999</v>
          </cell>
          <cell r="N121"/>
          <cell r="O121"/>
          <cell r="P121"/>
          <cell r="Q121">
            <v>0</v>
          </cell>
          <cell r="R121"/>
          <cell r="S121">
            <v>5.4567999999999994</v>
          </cell>
          <cell r="T121"/>
          <cell r="U121"/>
        </row>
        <row r="122">
          <cell r="A122" t="str">
            <v xml:space="preserve"> 580  Ветчина Нежная с индейкой ТМ Особый рецепт в оболочке полиамид.ВЕС  ПОКОМ</v>
          </cell>
          <cell r="B122" t="str">
            <v>кг</v>
          </cell>
          <cell r="C122">
            <v>41.155999999999999</v>
          </cell>
          <cell r="D122"/>
          <cell r="E122">
            <v>12.425000000000001</v>
          </cell>
          <cell r="F122">
            <v>33.710999999999999</v>
          </cell>
          <cell r="G122">
            <v>1</v>
          </cell>
          <cell r="H122">
            <v>50</v>
          </cell>
          <cell r="I122" t="str">
            <v>матрица</v>
          </cell>
          <cell r="J122"/>
          <cell r="K122">
            <v>2.5</v>
          </cell>
          <cell r="L122">
            <v>9.9250000000000007</v>
          </cell>
          <cell r="M122">
            <v>12.425000000000001</v>
          </cell>
          <cell r="N122"/>
          <cell r="O122"/>
          <cell r="P122"/>
          <cell r="Q122">
            <v>0</v>
          </cell>
          <cell r="R122"/>
          <cell r="S122">
            <v>2.4850000000000003</v>
          </cell>
          <cell r="T122"/>
          <cell r="U122"/>
        </row>
        <row r="123">
          <cell r="A123" t="str">
            <v xml:space="preserve"> 583  Колбаса Балыковая ТМ Вязанка в упаковке скин 0,09 кг нарезка  ПОКОМ</v>
          </cell>
          <cell r="B123" t="str">
            <v>шт</v>
          </cell>
          <cell r="C123">
            <v>352</v>
          </cell>
          <cell r="D123">
            <v>15</v>
          </cell>
          <cell r="E123">
            <v>55</v>
          </cell>
          <cell r="F123">
            <v>250</v>
          </cell>
          <cell r="G123">
            <v>0.09</v>
          </cell>
          <cell r="H123">
            <v>45</v>
          </cell>
          <cell r="I123" t="str">
            <v>матрица</v>
          </cell>
          <cell r="J123"/>
          <cell r="K123">
            <v>120</v>
          </cell>
          <cell r="L123">
            <v>-65</v>
          </cell>
          <cell r="M123">
            <v>55</v>
          </cell>
          <cell r="N123"/>
          <cell r="O123"/>
          <cell r="P123"/>
          <cell r="Q123">
            <v>0</v>
          </cell>
          <cell r="R123"/>
          <cell r="S123">
            <v>11</v>
          </cell>
          <cell r="T123"/>
          <cell r="U123" t="str">
            <v xml:space="preserve">500 сеть молоко </v>
          </cell>
        </row>
        <row r="124">
          <cell r="A124" t="str">
            <v xml:space="preserve"> 584  Колбаса Сервелат Ореховый ТМ Вязанка в упаковке скин 0,09 кг нарезка  ПОКОМ</v>
          </cell>
          <cell r="B124" t="str">
            <v>шт</v>
          </cell>
          <cell r="C124">
            <v>298</v>
          </cell>
          <cell r="D124">
            <v>59</v>
          </cell>
          <cell r="E124">
            <v>82</v>
          </cell>
          <cell r="F124">
            <v>239</v>
          </cell>
          <cell r="G124">
            <v>0.09</v>
          </cell>
          <cell r="H124">
            <v>45</v>
          </cell>
          <cell r="I124" t="str">
            <v>матрица</v>
          </cell>
          <cell r="J124"/>
          <cell r="K124">
            <v>110</v>
          </cell>
          <cell r="L124">
            <v>-28</v>
          </cell>
          <cell r="M124">
            <v>82</v>
          </cell>
          <cell r="N124"/>
          <cell r="O124"/>
          <cell r="P124"/>
          <cell r="Q124">
            <v>0</v>
          </cell>
          <cell r="R124"/>
          <cell r="S124">
            <v>16.399999999999999</v>
          </cell>
          <cell r="T124"/>
          <cell r="U124" t="str">
            <v xml:space="preserve">500 сеть молоко </v>
          </cell>
        </row>
        <row r="125">
          <cell r="A125" t="str">
            <v xml:space="preserve"> 585  Колбаса Молочная ТМ Стародворье в оболочке вектор НД ВЕС.  ПОКОМ</v>
          </cell>
          <cell r="B125" t="str">
            <v>кг</v>
          </cell>
          <cell r="C125">
            <v>32.576000000000001</v>
          </cell>
          <cell r="D125">
            <v>244.29300000000001</v>
          </cell>
          <cell r="E125">
            <v>77.186999999999998</v>
          </cell>
          <cell r="F125">
            <v>169.49</v>
          </cell>
          <cell r="G125">
            <v>1</v>
          </cell>
          <cell r="H125">
            <v>60</v>
          </cell>
          <cell r="I125" t="str">
            <v>матрица</v>
          </cell>
          <cell r="J125"/>
          <cell r="K125">
            <v>98.882000000000005</v>
          </cell>
          <cell r="L125">
            <v>-21.695000000000007</v>
          </cell>
          <cell r="M125">
            <v>77.186999999999998</v>
          </cell>
          <cell r="N125"/>
          <cell r="O125"/>
          <cell r="P125"/>
          <cell r="Q125">
            <v>150</v>
          </cell>
          <cell r="R125"/>
          <cell r="S125">
            <v>15.4374</v>
          </cell>
          <cell r="T125"/>
          <cell r="U125"/>
        </row>
        <row r="126">
          <cell r="A126" t="str">
            <v xml:space="preserve"> 586  Колбаса Мясная ТМ Стародворье в оболочке вектор НД ВЕС.  ПОКОМ</v>
          </cell>
          <cell r="B126" t="str">
            <v>кг</v>
          </cell>
          <cell r="C126">
            <v>434.37</v>
          </cell>
          <cell r="D126">
            <v>1002.655</v>
          </cell>
          <cell r="E126">
            <v>648.61900000000003</v>
          </cell>
          <cell r="F126">
            <v>766.62599999999998</v>
          </cell>
          <cell r="G126">
            <v>1</v>
          </cell>
          <cell r="H126">
            <v>60</v>
          </cell>
          <cell r="I126" t="str">
            <v>матрица</v>
          </cell>
          <cell r="J126"/>
          <cell r="K126">
            <v>701.15800000000002</v>
          </cell>
          <cell r="L126">
            <v>-52.538999999999987</v>
          </cell>
          <cell r="M126">
            <v>648.61900000000003</v>
          </cell>
          <cell r="N126"/>
          <cell r="O126">
            <v>359.30493247999999</v>
          </cell>
          <cell r="P126"/>
          <cell r="Q126">
            <v>400</v>
          </cell>
          <cell r="R126"/>
          <cell r="S126">
            <v>129.72380000000001</v>
          </cell>
          <cell r="T126">
            <v>30.754667520000339</v>
          </cell>
          <cell r="U126"/>
        </row>
        <row r="127">
          <cell r="A127" t="str">
            <v xml:space="preserve"> 588 Колбаса Со шпиком ТМ Стародворье в оболочке вектор ВЕС  ПОКОМ</v>
          </cell>
          <cell r="B127" t="str">
            <v>кг</v>
          </cell>
          <cell r="C127">
            <v>193.464</v>
          </cell>
          <cell r="D127">
            <v>2.73</v>
          </cell>
          <cell r="E127">
            <v>46.12</v>
          </cell>
          <cell r="F127">
            <v>132.01900000000001</v>
          </cell>
          <cell r="G127">
            <v>1</v>
          </cell>
          <cell r="H127">
            <v>60</v>
          </cell>
          <cell r="I127" t="str">
            <v>матрица</v>
          </cell>
          <cell r="J127"/>
          <cell r="K127">
            <v>54.67</v>
          </cell>
          <cell r="L127">
            <v>-8.5500000000000043</v>
          </cell>
          <cell r="M127">
            <v>46.12</v>
          </cell>
          <cell r="N127"/>
          <cell r="O127"/>
          <cell r="P127"/>
          <cell r="Q127">
            <v>0</v>
          </cell>
          <cell r="R127"/>
          <cell r="S127">
            <v>9.2240000000000002</v>
          </cell>
          <cell r="T127"/>
          <cell r="U127"/>
        </row>
        <row r="128">
          <cell r="A128" t="str">
            <v xml:space="preserve"> 597  Колбаса Классическая ТМ Особый рецепт в оболочке полиамид ВЕС. ПОКОМ</v>
          </cell>
          <cell r="B128" t="str">
            <v>кг</v>
          </cell>
          <cell r="C128">
            <v>1845.1659999999999</v>
          </cell>
          <cell r="D128">
            <v>996.54700000000003</v>
          </cell>
          <cell r="E128">
            <v>1308.2850000000001</v>
          </cell>
          <cell r="F128">
            <v>1413.9570000000001</v>
          </cell>
          <cell r="G128">
            <v>1</v>
          </cell>
          <cell r="H128">
            <v>60</v>
          </cell>
          <cell r="I128" t="str">
            <v>матрица</v>
          </cell>
          <cell r="J128"/>
          <cell r="K128">
            <v>1006.999</v>
          </cell>
          <cell r="L128">
            <v>301.28600000000006</v>
          </cell>
          <cell r="M128">
            <v>1308.2850000000001</v>
          </cell>
          <cell r="N128"/>
          <cell r="O128">
            <v>698.08860160000006</v>
          </cell>
          <cell r="P128"/>
          <cell r="Q128">
            <v>291.82695192000011</v>
          </cell>
          <cell r="R128">
            <v>362.49356808000022</v>
          </cell>
          <cell r="S128">
            <v>261.65700000000004</v>
          </cell>
          <cell r="T128">
            <v>373.51787839999974</v>
          </cell>
          <cell r="U128"/>
        </row>
        <row r="129">
          <cell r="A129" t="str">
            <v xml:space="preserve"> 614  Буженина в пряном маринаде 0,25 кг консервы из мяса индейки ТМ Стародворье  ПОКОМ</v>
          </cell>
          <cell r="B129" t="str">
            <v>шт</v>
          </cell>
          <cell r="C129">
            <v>59</v>
          </cell>
          <cell r="D129">
            <v>2</v>
          </cell>
          <cell r="E129">
            <v>31</v>
          </cell>
          <cell r="F129">
            <v>39</v>
          </cell>
          <cell r="G129">
            <v>0.25</v>
          </cell>
          <cell r="H129"/>
          <cell r="I129" t="str">
            <v>НЕДОГРУЗ / матрица</v>
          </cell>
          <cell r="J129"/>
          <cell r="K129">
            <v>19</v>
          </cell>
          <cell r="L129">
            <v>12</v>
          </cell>
          <cell r="M129">
            <v>31</v>
          </cell>
          <cell r="N129"/>
          <cell r="O129"/>
          <cell r="P129"/>
          <cell r="Q129">
            <v>28.2</v>
          </cell>
          <cell r="R129"/>
          <cell r="S129">
            <v>6.2</v>
          </cell>
          <cell r="T129">
            <v>20</v>
          </cell>
          <cell r="U129"/>
        </row>
        <row r="130">
          <cell r="A130" t="str">
            <v xml:space="preserve"> 615  Гречка по-купечески с говядиной и овощами 0,325кг ТМ Стародворье  ПОКОМ</v>
          </cell>
          <cell r="B130" t="str">
            <v>шт</v>
          </cell>
          <cell r="C130">
            <v>52</v>
          </cell>
          <cell r="D130">
            <v>12</v>
          </cell>
          <cell r="E130">
            <v>38</v>
          </cell>
          <cell r="F130">
            <v>95</v>
          </cell>
          <cell r="G130">
            <v>0.32500000000000001</v>
          </cell>
          <cell r="H130"/>
          <cell r="I130" t="str">
            <v>матрица</v>
          </cell>
          <cell r="J130"/>
          <cell r="K130">
            <v>9</v>
          </cell>
          <cell r="L130">
            <v>29</v>
          </cell>
          <cell r="M130">
            <v>38</v>
          </cell>
          <cell r="N130"/>
          <cell r="O130"/>
          <cell r="P130"/>
          <cell r="Q130">
            <v>0</v>
          </cell>
          <cell r="R130"/>
          <cell r="S130">
            <v>7.6</v>
          </cell>
          <cell r="T130"/>
          <cell r="U130"/>
        </row>
        <row r="131">
          <cell r="A131" t="str">
            <v xml:space="preserve"> 616  Индейка томлёная в собственном соку 0,25кг ТМ Стародлворье Консервый из мяс.птицы  ПОКОМ</v>
          </cell>
          <cell r="B131" t="str">
            <v>шт</v>
          </cell>
          <cell r="C131">
            <v>95</v>
          </cell>
          <cell r="D131">
            <v>36</v>
          </cell>
          <cell r="E131">
            <v>31</v>
          </cell>
          <cell r="F131">
            <v>103</v>
          </cell>
          <cell r="G131">
            <v>0.25</v>
          </cell>
          <cell r="H131"/>
          <cell r="I131" t="str">
            <v>матрица</v>
          </cell>
          <cell r="J131"/>
          <cell r="K131">
            <v>20</v>
          </cell>
          <cell r="L131">
            <v>11</v>
          </cell>
          <cell r="M131">
            <v>31</v>
          </cell>
          <cell r="N131"/>
          <cell r="O131"/>
          <cell r="P131"/>
          <cell r="Q131">
            <v>0</v>
          </cell>
          <cell r="R131"/>
          <cell r="S131">
            <v>6.2</v>
          </cell>
          <cell r="T131"/>
          <cell r="U131"/>
        </row>
        <row r="132">
          <cell r="A132" t="str">
            <v>495  Колбаса Сочинка по-европейски с сочной грудинкой 0,3кг ТМ Стародворье  ПОКОМ</v>
          </cell>
          <cell r="B132" t="str">
            <v>шт</v>
          </cell>
          <cell r="C132">
            <v>42</v>
          </cell>
          <cell r="D132">
            <v>14</v>
          </cell>
          <cell r="E132">
            <v>66</v>
          </cell>
          <cell r="F132">
            <v>35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J132"/>
          <cell r="K132">
            <v>201</v>
          </cell>
          <cell r="L132">
            <v>-135</v>
          </cell>
          <cell r="M132">
            <v>66</v>
          </cell>
          <cell r="N132"/>
          <cell r="O132"/>
          <cell r="P132"/>
          <cell r="Q132">
            <v>100</v>
          </cell>
          <cell r="R132"/>
          <cell r="S132">
            <v>13.2</v>
          </cell>
          <cell r="T132">
            <v>50</v>
          </cell>
          <cell r="U132"/>
        </row>
        <row r="133">
          <cell r="A133" t="str">
            <v>496  Колбаса Сочинка по-фински с сочным окроком 0,3кг ТМ Стародворье  ПОКОМ</v>
          </cell>
          <cell r="B133" t="str">
            <v>шт</v>
          </cell>
          <cell r="C133">
            <v>-10</v>
          </cell>
          <cell r="D133">
            <v>1</v>
          </cell>
          <cell r="E133">
            <v>2</v>
          </cell>
          <cell r="F133">
            <v>-12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J133"/>
          <cell r="K133">
            <v>3</v>
          </cell>
          <cell r="L133">
            <v>-1</v>
          </cell>
          <cell r="M133">
            <v>2</v>
          </cell>
          <cell r="N133"/>
          <cell r="O133"/>
          <cell r="P133"/>
          <cell r="Q133">
            <v>50</v>
          </cell>
          <cell r="R133"/>
          <cell r="S133">
            <v>0.4</v>
          </cell>
          <cell r="T133">
            <v>50</v>
          </cell>
          <cell r="U133"/>
        </row>
        <row r="134">
          <cell r="A134" t="str">
            <v>503 Колбаса Филейская со шпиком ТМ Вязанка в оболочке полиамид.ПОКОМ</v>
          </cell>
          <cell r="B134" t="str">
            <v>кг</v>
          </cell>
          <cell r="C134">
            <v>107.208</v>
          </cell>
          <cell r="D134">
            <v>73.757999999999996</v>
          </cell>
          <cell r="E134">
            <v>55.012999999999998</v>
          </cell>
          <cell r="F134">
            <v>116.578</v>
          </cell>
          <cell r="G134">
            <v>1</v>
          </cell>
          <cell r="H134">
            <v>50</v>
          </cell>
          <cell r="I134" t="str">
            <v>матрица</v>
          </cell>
          <cell r="J134"/>
          <cell r="K134">
            <v>56.5</v>
          </cell>
          <cell r="L134">
            <v>-1.4870000000000019</v>
          </cell>
          <cell r="M134">
            <v>55.012999999999998</v>
          </cell>
          <cell r="N134"/>
          <cell r="O134"/>
          <cell r="P134"/>
          <cell r="Q134">
            <v>0</v>
          </cell>
          <cell r="R134"/>
          <cell r="S134">
            <v>11.002599999999999</v>
          </cell>
          <cell r="T134">
            <v>15.453199999999981</v>
          </cell>
          <cell r="U134"/>
        </row>
        <row r="135">
          <cell r="A135" t="str">
            <v>515  Колбаса Сервелат Мясорубский Делюкс 0,3кг ТМ Стародворье  ПОКОМ</v>
          </cell>
          <cell r="B135" t="str">
            <v>шт</v>
          </cell>
          <cell r="C135">
            <v>7</v>
          </cell>
          <cell r="D135">
            <v>32</v>
          </cell>
          <cell r="E135">
            <v>49</v>
          </cell>
          <cell r="F135">
            <v>4</v>
          </cell>
          <cell r="G135">
            <v>0.3</v>
          </cell>
          <cell r="H135">
            <v>40</v>
          </cell>
          <cell r="I135" t="str">
            <v>НЕДОГРУЗ / матрица</v>
          </cell>
          <cell r="J135"/>
          <cell r="K135">
            <v>59</v>
          </cell>
          <cell r="L135">
            <v>-10</v>
          </cell>
          <cell r="M135">
            <v>49</v>
          </cell>
          <cell r="N135"/>
          <cell r="O135"/>
          <cell r="P135"/>
          <cell r="Q135">
            <v>20</v>
          </cell>
          <cell r="R135"/>
          <cell r="S135">
            <v>9.8000000000000007</v>
          </cell>
          <cell r="T135">
            <v>30</v>
          </cell>
          <cell r="U135"/>
        </row>
        <row r="136">
          <cell r="A136" t="str">
            <v>519  Грудинка 0,12 кг нарезка ТМ Стародворье  ПОКОМ</v>
          </cell>
          <cell r="B136" t="str">
            <v>шт</v>
          </cell>
          <cell r="C136">
            <v>34</v>
          </cell>
          <cell r="D136">
            <v>122</v>
          </cell>
          <cell r="E136">
            <v>69</v>
          </cell>
          <cell r="F136">
            <v>93</v>
          </cell>
          <cell r="G136">
            <v>0.12</v>
          </cell>
          <cell r="H136">
            <v>45</v>
          </cell>
          <cell r="I136" t="str">
            <v>матрица</v>
          </cell>
          <cell r="J136"/>
          <cell r="K136">
            <v>53</v>
          </cell>
          <cell r="L136">
            <v>16</v>
          </cell>
          <cell r="M136">
            <v>69</v>
          </cell>
          <cell r="N136"/>
          <cell r="O136"/>
          <cell r="P136"/>
          <cell r="Q136">
            <v>39.59999999999998</v>
          </cell>
          <cell r="R136"/>
          <cell r="S136">
            <v>13.8</v>
          </cell>
          <cell r="T136">
            <v>33.000000000000043</v>
          </cell>
          <cell r="U136"/>
        </row>
        <row r="137">
          <cell r="A137" t="str">
            <v>БОНУС_615  Гречка по-купечески с говядиной и овощами 0,325кг ТМ Стародворье  ПОКОМ</v>
          </cell>
          <cell r="B137" t="str">
            <v>шт</v>
          </cell>
          <cell r="C137">
            <v>51</v>
          </cell>
          <cell r="D137"/>
          <cell r="E137">
            <v>18</v>
          </cell>
          <cell r="F137">
            <v>40</v>
          </cell>
          <cell r="G137">
            <v>0</v>
          </cell>
          <cell r="H137"/>
          <cell r="I137" t="str">
            <v>бонус</v>
          </cell>
          <cell r="J137" t="str">
            <v xml:space="preserve"> 615  Гречка по-купечески с говядиной и овощами 0,325кг ТМ Стародворье  ПОКОМ</v>
          </cell>
          <cell r="K137">
            <v>8</v>
          </cell>
          <cell r="L137">
            <v>10</v>
          </cell>
          <cell r="M137">
            <v>18</v>
          </cell>
          <cell r="N137"/>
          <cell r="O137"/>
          <cell r="P137"/>
          <cell r="Q137">
            <v>0</v>
          </cell>
          <cell r="R137"/>
          <cell r="S137">
            <v>3.6</v>
          </cell>
          <cell r="T137"/>
          <cell r="U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Q4" sqref="AQ4"/>
    </sheetView>
  </sheetViews>
  <sheetFormatPr defaultRowHeight="15" x14ac:dyDescent="0.25"/>
  <cols>
    <col min="1" max="1" width="37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5" width="7" customWidth="1"/>
    <col min="16" max="16" width="6" customWidth="1"/>
    <col min="17" max="17" width="7" customWidth="1"/>
    <col min="18" max="18" width="5.85546875" style="18" customWidth="1"/>
    <col min="19" max="19" width="7" style="28" customWidth="1"/>
    <col min="20" max="20" width="7" customWidth="1"/>
    <col min="21" max="21" width="7" style="31" customWidth="1"/>
    <col min="22" max="22" width="7" style="32" customWidth="1"/>
    <col min="23" max="26" width="7" customWidth="1"/>
    <col min="27" max="27" width="7" style="31" customWidth="1"/>
    <col min="28" max="28" width="7" customWidth="1"/>
    <col min="29" max="29" width="2.7109375" style="18" customWidth="1"/>
    <col min="30" max="31" width="5" customWidth="1"/>
    <col min="32" max="39" width="6.7109375" customWidth="1"/>
    <col min="40" max="40" width="2.42578125" customWidth="1"/>
    <col min="41" max="42" width="7" customWidth="1"/>
    <col min="43" max="43" width="7.28515625" customWidth="1"/>
    <col min="44" max="44" width="5.140625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4"/>
      <c r="T1" s="1"/>
      <c r="U1" s="1"/>
      <c r="V1" s="24"/>
      <c r="W1" s="1"/>
      <c r="X1" s="1"/>
      <c r="Y1" s="20">
        <v>0.98</v>
      </c>
      <c r="Z1" s="20"/>
      <c r="AA1" s="20"/>
      <c r="AB1" s="20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4"/>
      <c r="T2" s="1"/>
      <c r="U2" s="1"/>
      <c r="V2" s="24"/>
      <c r="W2" s="1"/>
      <c r="X2" s="1"/>
      <c r="Y2" s="1" t="s">
        <v>0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>
        <v>17000</v>
      </c>
      <c r="AP2" s="1"/>
    </row>
    <row r="3" spans="1:4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5" t="s">
        <v>15</v>
      </c>
      <c r="T3" s="2" t="s">
        <v>15</v>
      </c>
      <c r="U3" s="2" t="s">
        <v>15</v>
      </c>
      <c r="V3" s="25" t="s">
        <v>15</v>
      </c>
      <c r="W3" s="2" t="s">
        <v>16</v>
      </c>
      <c r="X3" s="3" t="s">
        <v>17</v>
      </c>
      <c r="Y3" s="3" t="s">
        <v>18</v>
      </c>
      <c r="Z3" s="21" t="s">
        <v>19</v>
      </c>
      <c r="AA3" s="21" t="s">
        <v>19</v>
      </c>
      <c r="AB3" s="21" t="s">
        <v>19</v>
      </c>
      <c r="AC3" s="3" t="s">
        <v>20</v>
      </c>
      <c r="AD3" s="2" t="s">
        <v>21</v>
      </c>
      <c r="AE3" s="2" t="s">
        <v>22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23</v>
      </c>
      <c r="AL3" s="2" t="s">
        <v>23</v>
      </c>
      <c r="AM3" s="2" t="s">
        <v>23</v>
      </c>
      <c r="AN3" s="2" t="s">
        <v>24</v>
      </c>
      <c r="AO3" s="2" t="s">
        <v>25</v>
      </c>
      <c r="AP3" s="2" t="s">
        <v>25</v>
      </c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326</v>
      </c>
      <c r="S4" s="24" t="s">
        <v>327</v>
      </c>
      <c r="T4" s="1" t="s">
        <v>29</v>
      </c>
      <c r="U4" s="1" t="s">
        <v>340</v>
      </c>
      <c r="V4" s="24" t="s">
        <v>341</v>
      </c>
      <c r="W4" s="1" t="s">
        <v>30</v>
      </c>
      <c r="X4" s="1"/>
      <c r="Y4" s="1"/>
      <c r="Z4" s="22" t="s">
        <v>31</v>
      </c>
      <c r="AA4" s="22" t="s">
        <v>342</v>
      </c>
      <c r="AB4" s="22" t="s">
        <v>32</v>
      </c>
      <c r="AC4" s="1" t="s">
        <v>33</v>
      </c>
      <c r="AD4" s="1"/>
      <c r="AE4" s="1"/>
      <c r="AF4" s="1" t="s">
        <v>26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/>
      <c r="AO4" s="22" t="s">
        <v>31</v>
      </c>
      <c r="AP4" s="22" t="s">
        <v>32</v>
      </c>
      <c r="AR4">
        <v>1</v>
      </c>
    </row>
    <row r="5" spans="1:44" x14ac:dyDescent="0.25">
      <c r="A5" s="1"/>
      <c r="B5" s="1"/>
      <c r="C5" s="1"/>
      <c r="D5" s="1"/>
      <c r="E5" s="4">
        <f>SUM(E6:E500)</f>
        <v>73581.433000000019</v>
      </c>
      <c r="F5" s="4">
        <f>SUM(F6:F500)</f>
        <v>46657.596999999994</v>
      </c>
      <c r="G5" s="7"/>
      <c r="H5" s="1"/>
      <c r="I5" s="1"/>
      <c r="J5" s="1"/>
      <c r="K5" s="4">
        <f t="shared" ref="K5:AB5" si="0">SUM(K6:K500)</f>
        <v>92199.357999999949</v>
      </c>
      <c r="L5" s="4">
        <f t="shared" si="0"/>
        <v>-18617.925000000003</v>
      </c>
      <c r="M5" s="4">
        <f t="shared" si="0"/>
        <v>58637.696000000018</v>
      </c>
      <c r="N5" s="4">
        <f t="shared" si="0"/>
        <v>14943.736999999999</v>
      </c>
      <c r="O5" s="4">
        <f t="shared" si="0"/>
        <v>19603.011368952004</v>
      </c>
      <c r="P5" s="4">
        <f t="shared" si="0"/>
        <v>-1273.5</v>
      </c>
      <c r="Q5" s="4">
        <f t="shared" si="0"/>
        <v>22586.476596293371</v>
      </c>
      <c r="R5" s="4">
        <f t="shared" ref="R5:S5" si="1">SUM(R6:R500)</f>
        <v>-2032.9</v>
      </c>
      <c r="S5" s="26">
        <f t="shared" si="1"/>
        <v>1855.5555555555557</v>
      </c>
      <c r="T5" s="4">
        <f t="shared" si="0"/>
        <v>20743.400047946052</v>
      </c>
      <c r="U5" s="4">
        <f t="shared" ref="U5:V5" si="2">SUM(U6:U500)</f>
        <v>-1449</v>
      </c>
      <c r="V5" s="26">
        <f t="shared" si="2"/>
        <v>1200</v>
      </c>
      <c r="W5" s="4">
        <f t="shared" si="0"/>
        <v>11727.539200000003</v>
      </c>
      <c r="X5" s="4">
        <f t="shared" si="0"/>
        <v>30243.415234286313</v>
      </c>
      <c r="Y5" s="4">
        <f t="shared" si="0"/>
        <v>37578.120353377686</v>
      </c>
      <c r="Z5" s="4">
        <f t="shared" si="0"/>
        <v>29236.898753377685</v>
      </c>
      <c r="AA5" s="4">
        <f t="shared" ref="AA5" si="3">SUM(AA6:AA500)</f>
        <v>-1971.8</v>
      </c>
      <c r="AB5" s="4">
        <f t="shared" si="0"/>
        <v>13146.432301714285</v>
      </c>
      <c r="AC5" s="4"/>
      <c r="AD5" s="1"/>
      <c r="AE5" s="1"/>
      <c r="AF5" s="4">
        <f t="shared" ref="AF5:AM5" si="4">SUM(AF6:AF500)</f>
        <v>13329.492600000001</v>
      </c>
      <c r="AG5" s="4">
        <f t="shared" si="4"/>
        <v>12669.461800000005</v>
      </c>
      <c r="AH5" s="4">
        <f t="shared" si="4"/>
        <v>10646.113600000001</v>
      </c>
      <c r="AI5" s="4">
        <f t="shared" si="4"/>
        <v>10433.826400000007</v>
      </c>
      <c r="AJ5" s="4">
        <f t="shared" si="4"/>
        <v>11173.737200000001</v>
      </c>
      <c r="AK5" s="4">
        <f t="shared" si="4"/>
        <v>12763.749600000005</v>
      </c>
      <c r="AL5" s="4">
        <f t="shared" si="4"/>
        <v>14118.473</v>
      </c>
      <c r="AM5" s="4">
        <f t="shared" si="4"/>
        <v>10392.847799999996</v>
      </c>
      <c r="AN5" s="1"/>
      <c r="AO5" s="4">
        <f>SUM(AO6:AO500)</f>
        <v>16997</v>
      </c>
      <c r="AP5" s="4">
        <f>SUM(AP6:AP500)</f>
        <v>7985</v>
      </c>
      <c r="AR5">
        <v>1</v>
      </c>
    </row>
    <row r="6" spans="1:44" x14ac:dyDescent="0.25">
      <c r="A6" s="1" t="s">
        <v>41</v>
      </c>
      <c r="B6" s="1" t="s">
        <v>42</v>
      </c>
      <c r="C6" s="1">
        <v>2019.1469999999999</v>
      </c>
      <c r="D6" s="1">
        <v>3887.194</v>
      </c>
      <c r="E6" s="1">
        <v>2033.1679999999999</v>
      </c>
      <c r="F6" s="1">
        <v>2734.6849999999999</v>
      </c>
      <c r="G6" s="7">
        <v>1</v>
      </c>
      <c r="H6" s="1">
        <v>50</v>
      </c>
      <c r="I6" s="1" t="s">
        <v>43</v>
      </c>
      <c r="J6" s="1"/>
      <c r="K6" s="1">
        <v>2268.741</v>
      </c>
      <c r="L6" s="1">
        <f t="shared" ref="L6:L37" si="5">E6-K6</f>
        <v>-235.57300000000009</v>
      </c>
      <c r="M6" s="1">
        <f t="shared" ref="M6:M37" si="6">E6-N6</f>
        <v>1628.1079999999999</v>
      </c>
      <c r="N6" s="1">
        <v>405.06</v>
      </c>
      <c r="O6" s="1">
        <v>571.67824957775997</v>
      </c>
      <c r="P6" s="1"/>
      <c r="Q6" s="1">
        <v>215.47622976</v>
      </c>
      <c r="R6" s="1"/>
      <c r="S6" s="24"/>
      <c r="T6" s="1">
        <v>267.65433023999998</v>
      </c>
      <c r="U6" s="1"/>
      <c r="V6" s="24"/>
      <c r="W6" s="1">
        <f t="shared" ref="W6:W37" si="7">M6/5</f>
        <v>325.6216</v>
      </c>
      <c r="X6" s="5">
        <f>12*W6-T6-Q6-P6-O6-F6</f>
        <v>117.96539042224003</v>
      </c>
      <c r="Y6" s="5">
        <v>0</v>
      </c>
      <c r="Z6" s="5">
        <f>Y6-AB6</f>
        <v>0</v>
      </c>
      <c r="AA6" s="5"/>
      <c r="AB6" s="5"/>
      <c r="AC6" s="1"/>
      <c r="AD6" s="1">
        <f>(F6+O6+P6+Q6+T6+Z6+AB6+R6+S6+U6+V6)/W6</f>
        <v>11.637722465517522</v>
      </c>
      <c r="AE6" s="1">
        <f>(F6+O6+P6+Q6+T6)/W6</f>
        <v>11.637722465517522</v>
      </c>
      <c r="AF6" s="1">
        <v>402.60879999999997</v>
      </c>
      <c r="AG6" s="1">
        <v>419.20679999999999</v>
      </c>
      <c r="AH6" s="1">
        <v>402.01659999999998</v>
      </c>
      <c r="AI6" s="1">
        <v>337.73419999999999</v>
      </c>
      <c r="AJ6" s="1">
        <v>348.79259999999999</v>
      </c>
      <c r="AK6" s="1">
        <v>383.91660000000002</v>
      </c>
      <c r="AL6" s="1">
        <v>414.53539999999992</v>
      </c>
      <c r="AM6" s="1">
        <v>309.1234</v>
      </c>
      <c r="AN6" s="1"/>
      <c r="AO6" s="1">
        <f>ROUND(G6*Z6,0)</f>
        <v>0</v>
      </c>
      <c r="AP6" s="1">
        <f>ROUND(G6*AB6,0)</f>
        <v>0</v>
      </c>
      <c r="AQ6" t="s">
        <v>44</v>
      </c>
    </row>
    <row r="7" spans="1:44" x14ac:dyDescent="0.25">
      <c r="A7" s="1" t="s">
        <v>45</v>
      </c>
      <c r="B7" s="1" t="s">
        <v>42</v>
      </c>
      <c r="C7" s="1">
        <v>473.78399999999999</v>
      </c>
      <c r="D7" s="1">
        <v>2893.569</v>
      </c>
      <c r="E7" s="1">
        <v>1688.492</v>
      </c>
      <c r="F7" s="1">
        <v>1204.04</v>
      </c>
      <c r="G7" s="7">
        <v>1</v>
      </c>
      <c r="H7" s="1">
        <v>45</v>
      </c>
      <c r="I7" s="1" t="s">
        <v>43</v>
      </c>
      <c r="J7" s="1"/>
      <c r="K7" s="1">
        <v>1499.1020000000001</v>
      </c>
      <c r="L7" s="1">
        <f t="shared" si="5"/>
        <v>189.38999999999987</v>
      </c>
      <c r="M7" s="1">
        <f t="shared" si="6"/>
        <v>1081.529</v>
      </c>
      <c r="N7" s="1">
        <v>606.96299999999997</v>
      </c>
      <c r="O7" s="1">
        <v>753.70391199999995</v>
      </c>
      <c r="P7" s="1"/>
      <c r="Q7" s="1">
        <v>200.7</v>
      </c>
      <c r="R7" s="1"/>
      <c r="S7" s="24"/>
      <c r="T7" s="1">
        <v>249.3</v>
      </c>
      <c r="U7" s="1"/>
      <c r="V7" s="24"/>
      <c r="W7" s="1">
        <f t="shared" si="7"/>
        <v>216.3058</v>
      </c>
      <c r="X7" s="5">
        <f>12*W7-T7-Q7-P7-O7-F7</f>
        <v>187.92568800000026</v>
      </c>
      <c r="Y7" s="5">
        <f>X7+$Y$1*W7</f>
        <v>399.90537200000028</v>
      </c>
      <c r="Z7" s="5">
        <f>Y7-AB7</f>
        <v>399.90537200000028</v>
      </c>
      <c r="AA7" s="5"/>
      <c r="AB7" s="5"/>
      <c r="AC7" s="1"/>
      <c r="AD7" s="1">
        <f>(F7+O7+P7+Q7+T7+Z7+AB7+R7+S7+U7+V7)/W7</f>
        <v>12.98</v>
      </c>
      <c r="AE7" s="1">
        <f>(F7+O7+P7+Q7+T7)/W7</f>
        <v>11.131203657044795</v>
      </c>
      <c r="AF7" s="1">
        <v>223.072</v>
      </c>
      <c r="AG7" s="1">
        <v>285.97500000000002</v>
      </c>
      <c r="AH7" s="1">
        <v>246.8064</v>
      </c>
      <c r="AI7" s="1">
        <v>136.39259999999999</v>
      </c>
      <c r="AJ7" s="1">
        <v>175.6748</v>
      </c>
      <c r="AK7" s="1">
        <v>232.39340000000001</v>
      </c>
      <c r="AL7" s="1">
        <v>194.2758</v>
      </c>
      <c r="AM7" s="1">
        <v>139.5838</v>
      </c>
      <c r="AN7" s="1"/>
      <c r="AO7" s="1">
        <f>ROUND(G7*Z7,0)</f>
        <v>400</v>
      </c>
      <c r="AP7" s="1">
        <f>ROUND(G7*AB7,0)</f>
        <v>0</v>
      </c>
      <c r="AQ7" t="s">
        <v>46</v>
      </c>
    </row>
    <row r="8" spans="1:44" x14ac:dyDescent="0.25">
      <c r="A8" s="1" t="s">
        <v>47</v>
      </c>
      <c r="B8" s="1" t="s">
        <v>42</v>
      </c>
      <c r="C8" s="1">
        <v>2754.893</v>
      </c>
      <c r="D8" s="1">
        <v>6282.7259999999997</v>
      </c>
      <c r="E8" s="1">
        <v>4646.4849999999997</v>
      </c>
      <c r="F8" s="13">
        <f>2266.304+F86</f>
        <v>2260.8630000000003</v>
      </c>
      <c r="G8" s="7">
        <v>1</v>
      </c>
      <c r="H8" s="1">
        <v>45</v>
      </c>
      <c r="I8" s="1" t="s">
        <v>43</v>
      </c>
      <c r="J8" s="1"/>
      <c r="K8" s="1">
        <v>4805.0240000000003</v>
      </c>
      <c r="L8" s="1">
        <f t="shared" si="5"/>
        <v>-158.53900000000067</v>
      </c>
      <c r="M8" s="1">
        <f t="shared" si="6"/>
        <v>2732.1219999999994</v>
      </c>
      <c r="N8" s="1">
        <v>1914.3630000000001</v>
      </c>
      <c r="O8" s="1">
        <v>976.73630996240047</v>
      </c>
      <c r="P8" s="1"/>
      <c r="Q8" s="1">
        <v>1024.615398301479</v>
      </c>
      <c r="R8" s="1"/>
      <c r="S8" s="24"/>
      <c r="T8" s="1">
        <v>1272.728544078519</v>
      </c>
      <c r="U8" s="1"/>
      <c r="V8" s="24"/>
      <c r="W8" s="1">
        <f t="shared" si="7"/>
        <v>546.42439999999988</v>
      </c>
      <c r="X8" s="5">
        <f>12*W8-T8-Q8-P8-O8-F8</f>
        <v>1022.1495476575997</v>
      </c>
      <c r="Y8" s="5">
        <f>X8+$Y$1*W8</f>
        <v>1557.6454596575995</v>
      </c>
      <c r="Z8" s="5">
        <f>Y8-AB8</f>
        <v>857.64545965759953</v>
      </c>
      <c r="AA8" s="5"/>
      <c r="AB8" s="5">
        <v>700</v>
      </c>
      <c r="AC8" s="1"/>
      <c r="AD8" s="1">
        <f>(F8+O8+P8+Q8+T8+Z8+AB8+R8+S8+U8+V8)/W8</f>
        <v>12.979999999999999</v>
      </c>
      <c r="AE8" s="1">
        <f>(F8+O8+P8+Q8+T8)/W8</f>
        <v>10.12938524037799</v>
      </c>
      <c r="AF8" s="1">
        <v>608.08999999999992</v>
      </c>
      <c r="AG8" s="1">
        <v>673.42660000000001</v>
      </c>
      <c r="AH8" s="1">
        <v>716.37299999999993</v>
      </c>
      <c r="AI8" s="1">
        <v>543.649</v>
      </c>
      <c r="AJ8" s="1">
        <v>613.56360000000006</v>
      </c>
      <c r="AK8" s="1">
        <v>603.60799999999995</v>
      </c>
      <c r="AL8" s="1">
        <v>601.60220000000004</v>
      </c>
      <c r="AM8" s="1">
        <v>449.45300000000009</v>
      </c>
      <c r="AN8" s="1"/>
      <c r="AO8" s="1">
        <f>ROUND(G8*Z8,0)</f>
        <v>858</v>
      </c>
      <c r="AP8" s="1">
        <f>ROUND(G8*AB8,0)</f>
        <v>700</v>
      </c>
      <c r="AQ8" t="s">
        <v>48</v>
      </c>
    </row>
    <row r="9" spans="1:44" x14ac:dyDescent="0.25">
      <c r="A9" s="1" t="s">
        <v>49</v>
      </c>
      <c r="B9" s="1" t="s">
        <v>50</v>
      </c>
      <c r="C9" s="1">
        <v>23</v>
      </c>
      <c r="D9" s="1">
        <v>10</v>
      </c>
      <c r="E9" s="1">
        <v>7</v>
      </c>
      <c r="F9" s="1">
        <v>18</v>
      </c>
      <c r="G9" s="7">
        <v>0.4</v>
      </c>
      <c r="H9" s="1">
        <v>50</v>
      </c>
      <c r="I9" s="1" t="s">
        <v>43</v>
      </c>
      <c r="J9" s="1"/>
      <c r="K9" s="1">
        <v>14</v>
      </c>
      <c r="L9" s="1">
        <f t="shared" si="5"/>
        <v>-7</v>
      </c>
      <c r="M9" s="1">
        <f t="shared" si="6"/>
        <v>7</v>
      </c>
      <c r="N9" s="1"/>
      <c r="O9" s="1"/>
      <c r="P9" s="1"/>
      <c r="Q9" s="1">
        <v>0</v>
      </c>
      <c r="R9" s="1"/>
      <c r="S9" s="24"/>
      <c r="T9" s="1"/>
      <c r="U9" s="1"/>
      <c r="V9" s="24"/>
      <c r="W9" s="1">
        <f t="shared" si="7"/>
        <v>1.4</v>
      </c>
      <c r="X9" s="5"/>
      <c r="Y9" s="5">
        <f t="shared" ref="Y9:Y15" si="8">X9</f>
        <v>0</v>
      </c>
      <c r="Z9" s="5">
        <f>Y9-AB9</f>
        <v>0</v>
      </c>
      <c r="AA9" s="5"/>
      <c r="AB9" s="5"/>
      <c r="AC9" s="1"/>
      <c r="AD9" s="1">
        <f>(F9+O9+P9+Q9+T9+Z9+AB9+R9+S9+U9+V9)/W9</f>
        <v>12.857142857142858</v>
      </c>
      <c r="AE9" s="1">
        <f>(F9+O9+P9+Q9+T9)/W9</f>
        <v>12.857142857142858</v>
      </c>
      <c r="AF9" s="1">
        <v>1.4</v>
      </c>
      <c r="AG9" s="1">
        <v>1.8</v>
      </c>
      <c r="AH9" s="1">
        <v>2.4</v>
      </c>
      <c r="AI9" s="1">
        <v>1</v>
      </c>
      <c r="AJ9" s="1">
        <v>1.2</v>
      </c>
      <c r="AK9" s="1">
        <v>2.6</v>
      </c>
      <c r="AL9" s="1">
        <v>2.2000000000000002</v>
      </c>
      <c r="AM9" s="1">
        <v>0</v>
      </c>
      <c r="AN9" s="1" t="s">
        <v>51</v>
      </c>
      <c r="AO9" s="1">
        <f>ROUND(G9*Z9,0)</f>
        <v>0</v>
      </c>
      <c r="AP9" s="1">
        <f>ROUND(G9*AB9,0)</f>
        <v>0</v>
      </c>
      <c r="AQ9" t="s">
        <v>52</v>
      </c>
    </row>
    <row r="10" spans="1:44" x14ac:dyDescent="0.25">
      <c r="A10" s="23" t="s">
        <v>53</v>
      </c>
      <c r="B10" s="1" t="s">
        <v>50</v>
      </c>
      <c r="C10" s="1">
        <v>1956.55</v>
      </c>
      <c r="D10" s="1">
        <v>2792</v>
      </c>
      <c r="E10" s="1">
        <v>2608.174</v>
      </c>
      <c r="F10" s="1">
        <v>615.37599999999998</v>
      </c>
      <c r="G10" s="7">
        <v>0.45</v>
      </c>
      <c r="H10" s="1">
        <v>45</v>
      </c>
      <c r="I10" s="14" t="s">
        <v>54</v>
      </c>
      <c r="J10" s="1"/>
      <c r="K10" s="1">
        <v>3201</v>
      </c>
      <c r="L10" s="1">
        <f t="shared" si="5"/>
        <v>-592.82600000000002</v>
      </c>
      <c r="M10" s="1">
        <f t="shared" si="6"/>
        <v>2464.174</v>
      </c>
      <c r="N10" s="1">
        <v>144</v>
      </c>
      <c r="O10" s="1">
        <v>907.60799999999995</v>
      </c>
      <c r="P10" s="1"/>
      <c r="Q10" s="1">
        <v>535.19999999999993</v>
      </c>
      <c r="R10" s="1"/>
      <c r="S10" s="24">
        <v>1000</v>
      </c>
      <c r="T10" s="1">
        <v>664.80000000000007</v>
      </c>
      <c r="U10" s="1"/>
      <c r="V10" s="24"/>
      <c r="W10" s="1">
        <f t="shared" si="7"/>
        <v>492.83479999999997</v>
      </c>
      <c r="X10" s="5">
        <v>2000</v>
      </c>
      <c r="Y10" s="5">
        <f t="shared" si="8"/>
        <v>2000</v>
      </c>
      <c r="Z10" s="5">
        <f>Y10-AB10</f>
        <v>700</v>
      </c>
      <c r="AA10" s="5"/>
      <c r="AB10" s="5">
        <v>1300</v>
      </c>
      <c r="AC10" s="1"/>
      <c r="AD10" s="1">
        <f>(F10+O10+P10+Q10+T10+Z10+AB10+R10+S10+U10+V10)/W10</f>
        <v>11.612378022006565</v>
      </c>
      <c r="AE10" s="1">
        <f>(F10+O10+P10+Q10+T10)/W10</f>
        <v>5.5251455457285079</v>
      </c>
      <c r="AF10" s="1">
        <v>540.4348</v>
      </c>
      <c r="AG10" s="1">
        <v>426.41899999999998</v>
      </c>
      <c r="AH10" s="1">
        <v>373.01900000000001</v>
      </c>
      <c r="AI10" s="1">
        <v>298</v>
      </c>
      <c r="AJ10" s="1">
        <v>339</v>
      </c>
      <c r="AK10" s="1">
        <v>705.87099999999998</v>
      </c>
      <c r="AL10" s="1">
        <v>624.67100000000005</v>
      </c>
      <c r="AM10" s="1">
        <v>265.39999999999998</v>
      </c>
      <c r="AN10" s="1" t="s">
        <v>55</v>
      </c>
      <c r="AO10" s="1">
        <f>ROUND(G10*Z10,0)</f>
        <v>315</v>
      </c>
      <c r="AP10" s="1">
        <f>ROUND(G10*AB10,0)</f>
        <v>585</v>
      </c>
      <c r="AQ10" t="s">
        <v>56</v>
      </c>
      <c r="AR10" t="str">
        <f>VLOOKUP(AQ10,[1]Лист1!$A:$A,1,0)</f>
        <v>SU001718</v>
      </c>
    </row>
    <row r="11" spans="1:44" x14ac:dyDescent="0.25">
      <c r="A11" s="1" t="s">
        <v>57</v>
      </c>
      <c r="B11" s="1" t="s">
        <v>50</v>
      </c>
      <c r="C11" s="1">
        <v>5853.0209999999997</v>
      </c>
      <c r="D11" s="1">
        <v>2392</v>
      </c>
      <c r="E11" s="1">
        <v>4360.366</v>
      </c>
      <c r="F11" s="1">
        <v>1646.655</v>
      </c>
      <c r="G11" s="7">
        <v>0.45</v>
      </c>
      <c r="H11" s="1">
        <v>45</v>
      </c>
      <c r="I11" s="14" t="s">
        <v>54</v>
      </c>
      <c r="J11" s="1"/>
      <c r="K11" s="1">
        <v>4886</v>
      </c>
      <c r="L11" s="1">
        <f t="shared" si="5"/>
        <v>-525.63400000000001</v>
      </c>
      <c r="M11" s="1">
        <f t="shared" si="6"/>
        <v>3424.366</v>
      </c>
      <c r="N11" s="1">
        <v>936</v>
      </c>
      <c r="O11" s="1">
        <v>260</v>
      </c>
      <c r="P11" s="1"/>
      <c r="Q11" s="1">
        <v>356.8</v>
      </c>
      <c r="R11" s="1"/>
      <c r="S11" s="24"/>
      <c r="T11" s="1">
        <v>443.2</v>
      </c>
      <c r="U11" s="1"/>
      <c r="V11" s="24"/>
      <c r="W11" s="1">
        <f t="shared" si="7"/>
        <v>684.8732</v>
      </c>
      <c r="X11" s="5">
        <f>11*W11-T11-Q11-P11-O11-F11</f>
        <v>4826.9502000000002</v>
      </c>
      <c r="Y11" s="5">
        <f t="shared" si="8"/>
        <v>4826.9502000000002</v>
      </c>
      <c r="Z11" s="5">
        <f>Y11-AB11</f>
        <v>1826.9502000000002</v>
      </c>
      <c r="AA11" s="5"/>
      <c r="AB11" s="5">
        <v>3000</v>
      </c>
      <c r="AC11" s="1"/>
      <c r="AD11" s="1">
        <f>(F11+O11+P11+Q11+T11+Z11+AB11+R11+S11+U11+V11)/W11</f>
        <v>11</v>
      </c>
      <c r="AE11" s="1">
        <f>(F11+O11+P11+Q11+T11)/W11</f>
        <v>3.9520527303448283</v>
      </c>
      <c r="AF11" s="1">
        <v>689.67319999999995</v>
      </c>
      <c r="AG11" s="1">
        <v>718.03</v>
      </c>
      <c r="AH11" s="1">
        <v>763.07439999999997</v>
      </c>
      <c r="AI11" s="1">
        <v>683.4</v>
      </c>
      <c r="AJ11" s="1">
        <v>536.79999999999995</v>
      </c>
      <c r="AK11" s="1">
        <v>707.36580000000004</v>
      </c>
      <c r="AL11" s="1">
        <v>771.7657999999999</v>
      </c>
      <c r="AM11" s="1">
        <v>431.2</v>
      </c>
      <c r="AN11" s="1" t="s">
        <v>58</v>
      </c>
      <c r="AO11" s="1">
        <f>ROUND(G11*Z11,0)</f>
        <v>822</v>
      </c>
      <c r="AP11" s="1">
        <f>ROUND(G11*AB11,0)</f>
        <v>1350</v>
      </c>
      <c r="AQ11" t="s">
        <v>59</v>
      </c>
    </row>
    <row r="12" spans="1:44" x14ac:dyDescent="0.25">
      <c r="A12" s="1" t="s">
        <v>60</v>
      </c>
      <c r="B12" s="1" t="s">
        <v>50</v>
      </c>
      <c r="C12" s="1">
        <v>282</v>
      </c>
      <c r="D12" s="1">
        <v>37</v>
      </c>
      <c r="E12" s="1">
        <v>119</v>
      </c>
      <c r="F12" s="1">
        <v>126</v>
      </c>
      <c r="G12" s="7">
        <v>0.17</v>
      </c>
      <c r="H12" s="1">
        <v>180</v>
      </c>
      <c r="I12" s="1" t="s">
        <v>43</v>
      </c>
      <c r="J12" s="1"/>
      <c r="K12" s="1">
        <v>149</v>
      </c>
      <c r="L12" s="1">
        <f t="shared" si="5"/>
        <v>-30</v>
      </c>
      <c r="M12" s="1">
        <f t="shared" si="6"/>
        <v>89</v>
      </c>
      <c r="N12" s="1">
        <v>30</v>
      </c>
      <c r="O12" s="1"/>
      <c r="P12" s="1"/>
      <c r="Q12" s="1">
        <v>0</v>
      </c>
      <c r="R12" s="1"/>
      <c r="S12" s="24"/>
      <c r="T12" s="1"/>
      <c r="U12" s="1"/>
      <c r="V12" s="24"/>
      <c r="W12" s="1">
        <f t="shared" si="7"/>
        <v>17.8</v>
      </c>
      <c r="X12" s="5">
        <f>12*W12-T12-Q12-P12-O12-F12</f>
        <v>87.600000000000023</v>
      </c>
      <c r="Y12" s="5">
        <f t="shared" si="8"/>
        <v>87.600000000000023</v>
      </c>
      <c r="Z12" s="5">
        <f>Y12-AB12</f>
        <v>87.600000000000023</v>
      </c>
      <c r="AA12" s="5"/>
      <c r="AB12" s="5"/>
      <c r="AC12" s="1"/>
      <c r="AD12" s="1">
        <f>(F12+O12+P12+Q12+T12+Z12+AB12+R12+S12+U12+V12)/W12</f>
        <v>12</v>
      </c>
      <c r="AE12" s="1">
        <f>(F12+O12+P12+Q12+T12)/W12</f>
        <v>7.0786516853932584</v>
      </c>
      <c r="AF12" s="1">
        <v>17.8</v>
      </c>
      <c r="AG12" s="1">
        <v>13.2</v>
      </c>
      <c r="AH12" s="1">
        <v>20</v>
      </c>
      <c r="AI12" s="1">
        <v>19.234000000000002</v>
      </c>
      <c r="AJ12" s="1">
        <v>23.6</v>
      </c>
      <c r="AK12" s="1">
        <v>35</v>
      </c>
      <c r="AL12" s="1">
        <v>24.6</v>
      </c>
      <c r="AM12" s="1">
        <v>9</v>
      </c>
      <c r="AN12" s="1"/>
      <c r="AO12" s="1">
        <f>ROUND(G12*Z12,0)</f>
        <v>15</v>
      </c>
      <c r="AP12" s="1">
        <f>ROUND(G12*AB12,0)</f>
        <v>0</v>
      </c>
      <c r="AQ12" t="s">
        <v>61</v>
      </c>
    </row>
    <row r="13" spans="1:44" x14ac:dyDescent="0.25">
      <c r="A13" s="1" t="s">
        <v>62</v>
      </c>
      <c r="B13" s="1" t="s">
        <v>50</v>
      </c>
      <c r="C13" s="1">
        <v>96</v>
      </c>
      <c r="D13" s="1">
        <v>9</v>
      </c>
      <c r="E13" s="1">
        <v>60</v>
      </c>
      <c r="F13" s="1">
        <v>19</v>
      </c>
      <c r="G13" s="7">
        <v>0.3</v>
      </c>
      <c r="H13" s="1">
        <v>40</v>
      </c>
      <c r="I13" s="1" t="s">
        <v>43</v>
      </c>
      <c r="J13" s="1"/>
      <c r="K13" s="1">
        <v>80</v>
      </c>
      <c r="L13" s="1">
        <f t="shared" si="5"/>
        <v>-20</v>
      </c>
      <c r="M13" s="1">
        <f t="shared" si="6"/>
        <v>60</v>
      </c>
      <c r="N13" s="1"/>
      <c r="O13" s="1"/>
      <c r="P13" s="1"/>
      <c r="Q13" s="1">
        <v>75</v>
      </c>
      <c r="R13" s="1">
        <v>-78</v>
      </c>
      <c r="S13" s="24"/>
      <c r="T13" s="1"/>
      <c r="U13" s="1"/>
      <c r="V13" s="24"/>
      <c r="W13" s="1">
        <f t="shared" si="7"/>
        <v>12</v>
      </c>
      <c r="X13" s="5">
        <f>12*W13-T13-Q13-P13-O13-F13</f>
        <v>50</v>
      </c>
      <c r="Y13" s="5">
        <f t="shared" si="8"/>
        <v>50</v>
      </c>
      <c r="Z13" s="5">
        <f>Y13-AB13</f>
        <v>50</v>
      </c>
      <c r="AA13" s="5"/>
      <c r="AB13" s="5"/>
      <c r="AC13" s="1"/>
      <c r="AD13" s="1">
        <f>(F13+O13+P13+Q13+T13+Z13+AB13+R13+S13+U13+V13)/W13</f>
        <v>5.5</v>
      </c>
      <c r="AE13" s="1">
        <f>(F13+O13+P13+Q13+T13)/W13</f>
        <v>7.833333333333333</v>
      </c>
      <c r="AF13" s="1">
        <v>12.6</v>
      </c>
      <c r="AG13" s="1">
        <v>7.2</v>
      </c>
      <c r="AH13" s="1">
        <v>4.2</v>
      </c>
      <c r="AI13" s="1">
        <v>8.1999999999999993</v>
      </c>
      <c r="AJ13" s="1">
        <v>11.8</v>
      </c>
      <c r="AK13" s="1">
        <v>8.4</v>
      </c>
      <c r="AL13" s="1">
        <v>3.2</v>
      </c>
      <c r="AM13" s="1">
        <v>1</v>
      </c>
      <c r="AN13" s="1"/>
      <c r="AO13" s="1">
        <f>ROUND(G13*Z13,0)</f>
        <v>15</v>
      </c>
      <c r="AP13" s="1">
        <f>ROUND(G13*AB13,0)</f>
        <v>0</v>
      </c>
      <c r="AQ13" t="s">
        <v>63</v>
      </c>
    </row>
    <row r="14" spans="1:44" x14ac:dyDescent="0.25">
      <c r="A14" s="1" t="s">
        <v>64</v>
      </c>
      <c r="B14" s="1" t="s">
        <v>50</v>
      </c>
      <c r="C14" s="1">
        <v>383</v>
      </c>
      <c r="D14" s="1">
        <v>103</v>
      </c>
      <c r="E14" s="1">
        <v>297</v>
      </c>
      <c r="F14" s="1">
        <v>6</v>
      </c>
      <c r="G14" s="7">
        <v>0.17</v>
      </c>
      <c r="H14" s="1">
        <v>180</v>
      </c>
      <c r="I14" s="1" t="s">
        <v>43</v>
      </c>
      <c r="J14" s="1"/>
      <c r="K14" s="1">
        <v>397</v>
      </c>
      <c r="L14" s="1">
        <f t="shared" si="5"/>
        <v>-100</v>
      </c>
      <c r="M14" s="1">
        <f t="shared" si="6"/>
        <v>87</v>
      </c>
      <c r="N14" s="1">
        <v>210</v>
      </c>
      <c r="O14" s="1"/>
      <c r="P14" s="1"/>
      <c r="Q14" s="1">
        <v>151.99999999999989</v>
      </c>
      <c r="R14" s="1"/>
      <c r="S14" s="24"/>
      <c r="T14" s="1"/>
      <c r="U14" s="1"/>
      <c r="V14" s="24"/>
      <c r="W14" s="1">
        <f t="shared" si="7"/>
        <v>17.399999999999999</v>
      </c>
      <c r="X14" s="5">
        <f>12*W14-T14-Q14-P14-O14-F14</f>
        <v>50.800000000000097</v>
      </c>
      <c r="Y14" s="5">
        <f t="shared" si="8"/>
        <v>50.800000000000097</v>
      </c>
      <c r="Z14" s="5">
        <f>Y14-AB14</f>
        <v>50.800000000000097</v>
      </c>
      <c r="AA14" s="5"/>
      <c r="AB14" s="5"/>
      <c r="AC14" s="1"/>
      <c r="AD14" s="1">
        <f>(F14+O14+P14+Q14+T14+Z14+AB14+R14+S14+U14+V14)/W14</f>
        <v>12</v>
      </c>
      <c r="AE14" s="1">
        <f>(F14+O14+P14+Q14+T14)/W14</f>
        <v>9.0804597701149365</v>
      </c>
      <c r="AF14" s="1">
        <v>35.4</v>
      </c>
      <c r="AG14" s="1">
        <v>34.200000000000003</v>
      </c>
      <c r="AH14" s="1">
        <v>26</v>
      </c>
      <c r="AI14" s="1">
        <v>27.634</v>
      </c>
      <c r="AJ14" s="1">
        <v>36.799999999999997</v>
      </c>
      <c r="AK14" s="1">
        <v>60.2</v>
      </c>
      <c r="AL14" s="1">
        <v>65.2</v>
      </c>
      <c r="AM14" s="1">
        <v>36.6</v>
      </c>
      <c r="AN14" s="1"/>
      <c r="AO14" s="1">
        <f>ROUND(G14*Z14,0)</f>
        <v>9</v>
      </c>
      <c r="AP14" s="1">
        <f>ROUND(G14*AB14,0)</f>
        <v>0</v>
      </c>
      <c r="AQ14" t="s">
        <v>65</v>
      </c>
    </row>
    <row r="15" spans="1:44" x14ac:dyDescent="0.25">
      <c r="A15" s="9" t="s">
        <v>66</v>
      </c>
      <c r="B15" s="9" t="s">
        <v>50</v>
      </c>
      <c r="C15" s="9">
        <v>336</v>
      </c>
      <c r="D15" s="9">
        <v>2</v>
      </c>
      <c r="E15" s="9">
        <v>5</v>
      </c>
      <c r="F15" s="9">
        <v>272</v>
      </c>
      <c r="G15" s="10">
        <v>0</v>
      </c>
      <c r="H15" s="9"/>
      <c r="I15" s="9" t="s">
        <v>67</v>
      </c>
      <c r="J15" s="9"/>
      <c r="K15" s="9">
        <v>53</v>
      </c>
      <c r="L15" s="9">
        <f t="shared" si="5"/>
        <v>-48</v>
      </c>
      <c r="M15" s="9">
        <f t="shared" si="6"/>
        <v>5</v>
      </c>
      <c r="N15" s="9"/>
      <c r="O15" s="9"/>
      <c r="P15" s="9"/>
      <c r="Q15" s="9">
        <v>0</v>
      </c>
      <c r="R15" s="9"/>
      <c r="S15" s="27"/>
      <c r="T15" s="9"/>
      <c r="U15" s="9"/>
      <c r="V15" s="27"/>
      <c r="W15" s="9">
        <f t="shared" si="7"/>
        <v>1</v>
      </c>
      <c r="X15" s="11"/>
      <c r="Y15" s="5">
        <f t="shared" si="8"/>
        <v>0</v>
      </c>
      <c r="Z15" s="5">
        <f>Y15-AB15</f>
        <v>0</v>
      </c>
      <c r="AA15" s="5"/>
      <c r="AB15" s="5"/>
      <c r="AC15" s="1"/>
      <c r="AD15" s="1">
        <f>(F15+O15+P15+Q15+T15+Z15+AB15+R15+S15+U15+V15)/W15</f>
        <v>272</v>
      </c>
      <c r="AE15" s="9">
        <f>(F15+O15+P15+Q15+T15)/W15</f>
        <v>272</v>
      </c>
      <c r="AF15" s="9">
        <v>1</v>
      </c>
      <c r="AG15" s="9">
        <v>5.2</v>
      </c>
      <c r="AH15" s="9">
        <v>4.4000000000000004</v>
      </c>
      <c r="AI15" s="9">
        <v>0.2</v>
      </c>
      <c r="AJ15" s="9">
        <v>4.4000000000000004</v>
      </c>
      <c r="AK15" s="9">
        <v>4.2</v>
      </c>
      <c r="AL15" s="9">
        <v>0</v>
      </c>
      <c r="AM15" s="9">
        <v>0</v>
      </c>
      <c r="AN15" s="12" t="s">
        <v>68</v>
      </c>
      <c r="AO15" s="1">
        <f>ROUND(G15*Z15,0)</f>
        <v>0</v>
      </c>
      <c r="AP15" s="1">
        <f>ROUND(G15*AB15,0)</f>
        <v>0</v>
      </c>
      <c r="AQ15" t="s">
        <v>69</v>
      </c>
    </row>
    <row r="16" spans="1:44" x14ac:dyDescent="0.25">
      <c r="A16" s="23" t="s">
        <v>70</v>
      </c>
      <c r="B16" s="1" t="s">
        <v>42</v>
      </c>
      <c r="C16" s="1">
        <v>3949.2420000000002</v>
      </c>
      <c r="D16" s="1">
        <v>5740.3339999999998</v>
      </c>
      <c r="E16" s="1">
        <v>4270.7960000000003</v>
      </c>
      <c r="F16" s="1">
        <v>3018.5230000000001</v>
      </c>
      <c r="G16" s="7">
        <v>1</v>
      </c>
      <c r="H16" s="1">
        <v>70</v>
      </c>
      <c r="I16" s="1" t="s">
        <v>43</v>
      </c>
      <c r="J16" s="1"/>
      <c r="K16" s="1">
        <v>4821.759</v>
      </c>
      <c r="L16" s="1">
        <f t="shared" si="5"/>
        <v>-550.96299999999974</v>
      </c>
      <c r="M16" s="1">
        <f t="shared" si="6"/>
        <v>2883.3020000000006</v>
      </c>
      <c r="N16" s="1">
        <v>1387.4939999999999</v>
      </c>
      <c r="O16" s="1">
        <v>1598.80850351872</v>
      </c>
      <c r="P16" s="1"/>
      <c r="Q16" s="1">
        <v>267.60000000000002</v>
      </c>
      <c r="R16" s="1"/>
      <c r="S16" s="24"/>
      <c r="T16" s="1">
        <v>332.4</v>
      </c>
      <c r="U16" s="1"/>
      <c r="V16" s="24"/>
      <c r="W16" s="1">
        <f t="shared" si="7"/>
        <v>576.6604000000001</v>
      </c>
      <c r="X16" s="5">
        <f>12*W16-T16-Q16-P16-O16-F16</f>
        <v>1702.593296481281</v>
      </c>
      <c r="Y16" s="5">
        <f>X16+$Y$1*W16</f>
        <v>2267.7204884812809</v>
      </c>
      <c r="Z16" s="5">
        <f>Y16-AB16</f>
        <v>1402.7204884812809</v>
      </c>
      <c r="AA16" s="5"/>
      <c r="AB16" s="5">
        <v>865</v>
      </c>
      <c r="AC16" s="1"/>
      <c r="AD16" s="1">
        <f>(F16+O16+P16+Q16+T16+Z16+AB16+R16+S16+U16+V16)/W16</f>
        <v>12.98</v>
      </c>
      <c r="AE16" s="1">
        <f>(F16+O16+P16+Q16+T16)/W16</f>
        <v>9.047493990429583</v>
      </c>
      <c r="AF16" s="1">
        <v>628.17099999999994</v>
      </c>
      <c r="AG16" s="1">
        <v>726.94060000000002</v>
      </c>
      <c r="AH16" s="1">
        <v>643.96600000000001</v>
      </c>
      <c r="AI16" s="1">
        <v>609.90919999999994</v>
      </c>
      <c r="AJ16" s="1">
        <v>693.11580000000004</v>
      </c>
      <c r="AK16" s="1">
        <v>746.79539999999997</v>
      </c>
      <c r="AL16" s="1">
        <v>794.77139999999997</v>
      </c>
      <c r="AM16" s="1">
        <v>554.79759999999999</v>
      </c>
      <c r="AN16" s="1"/>
      <c r="AO16" s="1">
        <f>ROUND(G16*Z16,0)</f>
        <v>1403</v>
      </c>
      <c r="AP16" s="1">
        <f>ROUND(G16*AB16,0)</f>
        <v>865</v>
      </c>
      <c r="AQ16" t="s">
        <v>71</v>
      </c>
      <c r="AR16" t="str">
        <f>VLOOKUP(AQ16,[1]Лист1!$A:$A,1,0)</f>
        <v>SU002035</v>
      </c>
    </row>
    <row r="17" spans="1:44" x14ac:dyDescent="0.25">
      <c r="A17" s="23" t="s">
        <v>72</v>
      </c>
      <c r="B17" s="1" t="s">
        <v>42</v>
      </c>
      <c r="C17" s="1">
        <v>3045.259</v>
      </c>
      <c r="D17" s="1">
        <v>3464.7330000000002</v>
      </c>
      <c r="E17" s="1">
        <v>3118.3069999999998</v>
      </c>
      <c r="F17" s="1">
        <v>1311.933</v>
      </c>
      <c r="G17" s="7">
        <v>1</v>
      </c>
      <c r="H17" s="1">
        <v>50</v>
      </c>
      <c r="I17" s="1" t="s">
        <v>43</v>
      </c>
      <c r="J17" s="1"/>
      <c r="K17" s="1">
        <v>4089.0889999999999</v>
      </c>
      <c r="L17" s="1">
        <f t="shared" si="5"/>
        <v>-970.78200000000015</v>
      </c>
      <c r="M17" s="1">
        <f t="shared" si="6"/>
        <v>1418.0369999999998</v>
      </c>
      <c r="N17" s="1">
        <v>1700.27</v>
      </c>
      <c r="O17" s="1">
        <v>270.40264458688011</v>
      </c>
      <c r="P17" s="1"/>
      <c r="Q17" s="1">
        <v>888.46132639817574</v>
      </c>
      <c r="R17" s="1"/>
      <c r="S17" s="24"/>
      <c r="T17" s="1">
        <v>1103.604427857824</v>
      </c>
      <c r="U17" s="1"/>
      <c r="V17" s="24">
        <v>300</v>
      </c>
      <c r="W17" s="1">
        <f t="shared" si="7"/>
        <v>283.60739999999998</v>
      </c>
      <c r="X17" s="5"/>
      <c r="Y17" s="5">
        <f>X17</f>
        <v>0</v>
      </c>
      <c r="Z17" s="5">
        <f>Y17-AB17</f>
        <v>0</v>
      </c>
      <c r="AA17" s="5"/>
      <c r="AB17" s="5"/>
      <c r="AC17" s="1"/>
      <c r="AD17" s="1">
        <f>(F17+O17+P17+Q17+T17+Z17+AB17+R17+S17+U17+V17)/W17</f>
        <v>13.661143534487746</v>
      </c>
      <c r="AE17" s="1">
        <f>(F17+O17+P17+Q17+T17)/W17</f>
        <v>12.603343209108365</v>
      </c>
      <c r="AF17" s="1">
        <v>445.85719999999998</v>
      </c>
      <c r="AG17" s="1">
        <v>436.47500000000002</v>
      </c>
      <c r="AH17" s="1">
        <v>435.79059999999993</v>
      </c>
      <c r="AI17" s="1">
        <v>509.04079999999999</v>
      </c>
      <c r="AJ17" s="1">
        <v>530.1232</v>
      </c>
      <c r="AK17" s="1">
        <v>537.54300000000001</v>
      </c>
      <c r="AL17" s="1">
        <v>623.73239999999998</v>
      </c>
      <c r="AM17" s="1">
        <v>623.553</v>
      </c>
      <c r="AN17" s="1"/>
      <c r="AO17" s="1">
        <f>ROUND(G17*Z17,0)</f>
        <v>0</v>
      </c>
      <c r="AP17" s="1">
        <f>ROUND(G17*AB17,0)</f>
        <v>0</v>
      </c>
      <c r="AQ17" t="s">
        <v>73</v>
      </c>
      <c r="AR17" t="str">
        <f>VLOOKUP(AQ17,[1]Лист1!$A:$A,1,0)</f>
        <v>SU000126</v>
      </c>
    </row>
    <row r="18" spans="1:44" x14ac:dyDescent="0.25">
      <c r="A18" s="1" t="s">
        <v>74</v>
      </c>
      <c r="B18" s="1" t="s">
        <v>42</v>
      </c>
      <c r="C18" s="1">
        <v>328.6</v>
      </c>
      <c r="D18" s="1">
        <v>310.21800000000002</v>
      </c>
      <c r="E18" s="1">
        <v>448.40499999999997</v>
      </c>
      <c r="F18" s="1">
        <v>-10.763999999999999</v>
      </c>
      <c r="G18" s="7">
        <v>1</v>
      </c>
      <c r="H18" s="1">
        <v>60</v>
      </c>
      <c r="I18" s="1" t="s">
        <v>43</v>
      </c>
      <c r="J18" s="1"/>
      <c r="K18" s="1">
        <v>523.84400000000005</v>
      </c>
      <c r="L18" s="1">
        <f t="shared" si="5"/>
        <v>-75.439000000000078</v>
      </c>
      <c r="M18" s="1">
        <f t="shared" si="6"/>
        <v>146.16099999999994</v>
      </c>
      <c r="N18" s="1">
        <v>302.24400000000003</v>
      </c>
      <c r="O18" s="1"/>
      <c r="P18" s="1"/>
      <c r="Q18" s="1">
        <v>211.8583999999999</v>
      </c>
      <c r="R18" s="1"/>
      <c r="S18" s="24"/>
      <c r="T18" s="1"/>
      <c r="U18" s="1"/>
      <c r="V18" s="24"/>
      <c r="W18" s="1">
        <f t="shared" si="7"/>
        <v>29.232199999999988</v>
      </c>
      <c r="X18" s="5">
        <f>12*W18-T18-Q18-P18-O18-F18</f>
        <v>149.69199999999995</v>
      </c>
      <c r="Y18" s="5">
        <f>X18</f>
        <v>149.69199999999995</v>
      </c>
      <c r="Z18" s="5">
        <f>Y18-AB18</f>
        <v>149.69199999999995</v>
      </c>
      <c r="AA18" s="5"/>
      <c r="AB18" s="5"/>
      <c r="AC18" s="1"/>
      <c r="AD18" s="1">
        <f>(F18+O18+P18+Q18+T18+Z18+AB18+R18+S18+U18+V18)/W18</f>
        <v>12</v>
      </c>
      <c r="AE18" s="1">
        <f>(F18+O18+P18+Q18+T18)/W18</f>
        <v>6.8792085440028456</v>
      </c>
      <c r="AF18" s="1">
        <v>29.232199999999992</v>
      </c>
      <c r="AG18" s="1">
        <v>22.357199999999999</v>
      </c>
      <c r="AH18" s="1">
        <v>-0.251</v>
      </c>
      <c r="AI18" s="1">
        <v>23.059200000000001</v>
      </c>
      <c r="AJ18" s="1">
        <v>27.917000000000002</v>
      </c>
      <c r="AK18" s="1">
        <v>18.902000000000001</v>
      </c>
      <c r="AL18" s="1">
        <v>36.507800000000003</v>
      </c>
      <c r="AM18" s="1">
        <v>45.231999999999992</v>
      </c>
      <c r="AN18" s="1"/>
      <c r="AO18" s="1">
        <f>ROUND(G18*Z18,0)</f>
        <v>150</v>
      </c>
      <c r="AP18" s="1">
        <f>ROUND(G18*AB18,0)</f>
        <v>0</v>
      </c>
      <c r="AQ18" t="s">
        <v>75</v>
      </c>
    </row>
    <row r="19" spans="1:44" x14ac:dyDescent="0.25">
      <c r="A19" s="9" t="s">
        <v>76</v>
      </c>
      <c r="B19" s="9" t="s">
        <v>42</v>
      </c>
      <c r="C19" s="9">
        <v>-4.9740000000000002</v>
      </c>
      <c r="D19" s="9"/>
      <c r="E19" s="13">
        <v>1.7549999999999999</v>
      </c>
      <c r="F19" s="13">
        <v>-27.492999999999999</v>
      </c>
      <c r="G19" s="10">
        <v>0</v>
      </c>
      <c r="H19" s="9"/>
      <c r="I19" s="9" t="s">
        <v>67</v>
      </c>
      <c r="J19" s="9" t="s">
        <v>77</v>
      </c>
      <c r="K19" s="9">
        <v>22.5</v>
      </c>
      <c r="L19" s="9">
        <f t="shared" si="5"/>
        <v>-20.745000000000001</v>
      </c>
      <c r="M19" s="9">
        <f t="shared" si="6"/>
        <v>1.7549999999999999</v>
      </c>
      <c r="N19" s="9"/>
      <c r="O19" s="9"/>
      <c r="P19" s="9"/>
      <c r="Q19" s="9">
        <v>0</v>
      </c>
      <c r="R19" s="9"/>
      <c r="S19" s="27"/>
      <c r="T19" s="9"/>
      <c r="U19" s="9"/>
      <c r="V19" s="27"/>
      <c r="W19" s="9">
        <f t="shared" si="7"/>
        <v>0.35099999999999998</v>
      </c>
      <c r="X19" s="11"/>
      <c r="Y19" s="5">
        <f>X19</f>
        <v>0</v>
      </c>
      <c r="Z19" s="5">
        <f>Y19-AB19</f>
        <v>0</v>
      </c>
      <c r="AA19" s="5"/>
      <c r="AB19" s="5"/>
      <c r="AC19" s="1"/>
      <c r="AD19" s="1">
        <f>(F19+O19+P19+Q19+T19+Z19+AB19+R19+S19+U19+V19)/W19</f>
        <v>-78.327635327635335</v>
      </c>
      <c r="AE19" s="9">
        <f>(F19+O19+P19+Q19+T19)/W19</f>
        <v>-78.327635327635335</v>
      </c>
      <c r="AF19" s="9">
        <v>0.35099999999999998</v>
      </c>
      <c r="AG19" s="9">
        <v>-0.36499999999999999</v>
      </c>
      <c r="AH19" s="9">
        <v>-0.51300000000000001</v>
      </c>
      <c r="AI19" s="9">
        <v>-0.14799999999999999</v>
      </c>
      <c r="AJ19" s="9">
        <v>0</v>
      </c>
      <c r="AK19" s="9">
        <v>0.49480000000000002</v>
      </c>
      <c r="AL19" s="9">
        <v>0.49480000000000002</v>
      </c>
      <c r="AM19" s="9">
        <v>0</v>
      </c>
      <c r="AN19" s="9"/>
      <c r="AO19" s="1">
        <f>ROUND(G19*Z19,0)</f>
        <v>0</v>
      </c>
      <c r="AP19" s="1">
        <f>ROUND(G19*AB19,0)</f>
        <v>0</v>
      </c>
      <c r="AQ19" t="s">
        <v>78</v>
      </c>
      <c r="AR19" t="str">
        <f>VLOOKUP(AQ19,[1]Лист1!$A:$A,1,0)</f>
        <v>SU004238</v>
      </c>
    </row>
    <row r="20" spans="1:44" x14ac:dyDescent="0.25">
      <c r="A20" s="9" t="s">
        <v>79</v>
      </c>
      <c r="B20" s="9" t="s">
        <v>42</v>
      </c>
      <c r="C20" s="9"/>
      <c r="D20" s="9"/>
      <c r="E20" s="9"/>
      <c r="F20" s="9"/>
      <c r="G20" s="10">
        <v>0</v>
      </c>
      <c r="H20" s="9"/>
      <c r="I20" s="9" t="s">
        <v>43</v>
      </c>
      <c r="J20" s="9"/>
      <c r="K20" s="9"/>
      <c r="L20" s="9">
        <f t="shared" si="5"/>
        <v>0</v>
      </c>
      <c r="M20" s="9">
        <f t="shared" si="6"/>
        <v>0</v>
      </c>
      <c r="N20" s="9"/>
      <c r="O20" s="9"/>
      <c r="P20" s="9"/>
      <c r="Q20" s="9">
        <v>0</v>
      </c>
      <c r="R20" s="9"/>
      <c r="S20" s="27"/>
      <c r="T20" s="9"/>
      <c r="U20" s="9"/>
      <c r="V20" s="27"/>
      <c r="W20" s="9">
        <f t="shared" si="7"/>
        <v>0</v>
      </c>
      <c r="X20" s="11"/>
      <c r="Y20" s="5">
        <f>X20</f>
        <v>0</v>
      </c>
      <c r="Z20" s="5">
        <f>Y20-AB20</f>
        <v>0</v>
      </c>
      <c r="AA20" s="5"/>
      <c r="AB20" s="5"/>
      <c r="AC20" s="1"/>
      <c r="AD20" s="1" t="e">
        <f>(F20+O20+P20+Q20+T20+Z20+AB20+R20+S20+U20+V20)/W20</f>
        <v>#DIV/0!</v>
      </c>
      <c r="AE20" s="9" t="e">
        <f>(F20+O20+P20+Q20+T20)/W20</f>
        <v>#DIV/0!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 t="s">
        <v>80</v>
      </c>
      <c r="AO20" s="1">
        <f>ROUND(G20*Z20,0)</f>
        <v>0</v>
      </c>
      <c r="AP20" s="1">
        <f>ROUND(G20*AB20,0)</f>
        <v>0</v>
      </c>
      <c r="AQ20" t="s">
        <v>81</v>
      </c>
    </row>
    <row r="21" spans="1:44" x14ac:dyDescent="0.25">
      <c r="A21" s="1" t="s">
        <v>82</v>
      </c>
      <c r="B21" s="1" t="s">
        <v>42</v>
      </c>
      <c r="C21" s="1">
        <v>4.0739999999999998</v>
      </c>
      <c r="D21" s="1">
        <v>20.452000000000002</v>
      </c>
      <c r="E21" s="1">
        <v>4.4169999999999998</v>
      </c>
      <c r="F21" s="1">
        <v>21.475999999999999</v>
      </c>
      <c r="G21" s="7">
        <v>1</v>
      </c>
      <c r="H21" s="1">
        <v>180</v>
      </c>
      <c r="I21" s="1" t="s">
        <v>43</v>
      </c>
      <c r="J21" s="1"/>
      <c r="K21" s="1">
        <v>3.2</v>
      </c>
      <c r="L21" s="1">
        <f t="shared" si="5"/>
        <v>1.2169999999999996</v>
      </c>
      <c r="M21" s="1">
        <f t="shared" si="6"/>
        <v>4.4169999999999998</v>
      </c>
      <c r="N21" s="1"/>
      <c r="O21" s="1"/>
      <c r="P21" s="1"/>
      <c r="Q21" s="1">
        <v>0</v>
      </c>
      <c r="R21" s="1"/>
      <c r="S21" s="24"/>
      <c r="T21" s="1"/>
      <c r="U21" s="1"/>
      <c r="V21" s="24"/>
      <c r="W21" s="1">
        <f t="shared" si="7"/>
        <v>0.88339999999999996</v>
      </c>
      <c r="X21" s="5"/>
      <c r="Y21" s="5">
        <f>X21</f>
        <v>0</v>
      </c>
      <c r="Z21" s="5">
        <f>Y21-AB21</f>
        <v>0</v>
      </c>
      <c r="AA21" s="5"/>
      <c r="AB21" s="5"/>
      <c r="AC21" s="1"/>
      <c r="AD21" s="1">
        <f>(F21+O21+P21+Q21+T21+Z21+AB21+R21+S21+U21+V21)/W21</f>
        <v>24.310618066561013</v>
      </c>
      <c r="AE21" s="1">
        <f>(F21+O21+P21+Q21+T21)/W21</f>
        <v>24.310618066561013</v>
      </c>
      <c r="AF21" s="1">
        <v>0.88339999999999996</v>
      </c>
      <c r="AG21" s="1">
        <v>1.4618</v>
      </c>
      <c r="AH21" s="1">
        <v>1.1292</v>
      </c>
      <c r="AI21" s="1">
        <v>0.64200000000000002</v>
      </c>
      <c r="AJ21" s="1">
        <v>0.42899999999999999</v>
      </c>
      <c r="AK21" s="1">
        <v>1.0448</v>
      </c>
      <c r="AL21" s="1">
        <v>1.1863999999999999</v>
      </c>
      <c r="AM21" s="1">
        <v>0.42980000000000002</v>
      </c>
      <c r="AN21" s="16" t="s">
        <v>83</v>
      </c>
      <c r="AO21" s="1">
        <f>ROUND(G21*Z21,0)</f>
        <v>0</v>
      </c>
      <c r="AP21" s="1">
        <f>ROUND(G21*AB21,0)</f>
        <v>0</v>
      </c>
      <c r="AQ21" t="s">
        <v>84</v>
      </c>
    </row>
    <row r="22" spans="1:44" x14ac:dyDescent="0.25">
      <c r="A22" s="1" t="s">
        <v>85</v>
      </c>
      <c r="B22" s="1" t="s">
        <v>42</v>
      </c>
      <c r="C22" s="1">
        <v>4132.4440000000004</v>
      </c>
      <c r="D22" s="1">
        <v>9744.6650000000009</v>
      </c>
      <c r="E22" s="1">
        <v>5972.8879999999999</v>
      </c>
      <c r="F22" s="1">
        <v>5774.89</v>
      </c>
      <c r="G22" s="7">
        <v>1</v>
      </c>
      <c r="H22" s="1">
        <v>60</v>
      </c>
      <c r="I22" s="1" t="s">
        <v>43</v>
      </c>
      <c r="J22" s="1"/>
      <c r="K22" s="1">
        <v>5380.9189999999999</v>
      </c>
      <c r="L22" s="1">
        <f t="shared" si="5"/>
        <v>591.96900000000005</v>
      </c>
      <c r="M22" s="1">
        <f t="shared" si="6"/>
        <v>5972.8879999999999</v>
      </c>
      <c r="N22" s="1"/>
      <c r="O22" s="1">
        <v>3489.2332883200011</v>
      </c>
      <c r="P22" s="1"/>
      <c r="Q22" s="1">
        <v>1826.1224807039989</v>
      </c>
      <c r="R22" s="1"/>
      <c r="S22" s="24"/>
      <c r="T22" s="1">
        <v>2268.3225432959989</v>
      </c>
      <c r="U22" s="1"/>
      <c r="V22" s="24"/>
      <c r="W22" s="1">
        <f t="shared" si="7"/>
        <v>1194.5776000000001</v>
      </c>
      <c r="X22" s="5">
        <f>12*W22-T22-Q22-P22-O22-F22</f>
        <v>976.36288768000031</v>
      </c>
      <c r="Y22" s="5">
        <v>0</v>
      </c>
      <c r="Z22" s="5">
        <f>Y22-AB22</f>
        <v>0</v>
      </c>
      <c r="AA22" s="5"/>
      <c r="AB22" s="5"/>
      <c r="AC22" s="1"/>
      <c r="AD22" s="1">
        <f>(F22+O22+P22+Q22+T22+Z22+AB22+R22+S22+U22+V22)/W22</f>
        <v>11.182671023062879</v>
      </c>
      <c r="AE22" s="1">
        <f>(F22+O22+P22+Q22+T22)/W22</f>
        <v>11.182671023062879</v>
      </c>
      <c r="AF22" s="1">
        <v>1235.5082</v>
      </c>
      <c r="AG22" s="1">
        <v>1204.5540000000001</v>
      </c>
      <c r="AH22" s="1">
        <v>901.40879999999993</v>
      </c>
      <c r="AI22" s="1">
        <v>763.35619999999994</v>
      </c>
      <c r="AJ22" s="1">
        <v>859.37340000000006</v>
      </c>
      <c r="AK22" s="1">
        <v>796.55060000000003</v>
      </c>
      <c r="AL22" s="1">
        <v>870.48359999999991</v>
      </c>
      <c r="AM22" s="1">
        <v>625.42460000000005</v>
      </c>
      <c r="AN22" s="1"/>
      <c r="AO22" s="1">
        <f>ROUND(G22*Z22,0)</f>
        <v>0</v>
      </c>
      <c r="AP22" s="1">
        <f>ROUND(G22*AB22,0)</f>
        <v>0</v>
      </c>
      <c r="AQ22" t="s">
        <v>86</v>
      </c>
    </row>
    <row r="23" spans="1:44" x14ac:dyDescent="0.25">
      <c r="A23" s="9" t="s">
        <v>87</v>
      </c>
      <c r="B23" s="9" t="s">
        <v>42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67</v>
      </c>
      <c r="J23" s="9" t="s">
        <v>88</v>
      </c>
      <c r="K23" s="9">
        <v>5</v>
      </c>
      <c r="L23" s="9">
        <f t="shared" si="5"/>
        <v>-3.0000000000000249E-2</v>
      </c>
      <c r="M23" s="9">
        <f t="shared" si="6"/>
        <v>4.97</v>
      </c>
      <c r="N23" s="9"/>
      <c r="O23" s="9"/>
      <c r="P23" s="9"/>
      <c r="Q23" s="9">
        <v>0</v>
      </c>
      <c r="R23" s="9"/>
      <c r="S23" s="27"/>
      <c r="T23" s="9"/>
      <c r="U23" s="9"/>
      <c r="V23" s="27"/>
      <c r="W23" s="9">
        <f t="shared" si="7"/>
        <v>0.99399999999999999</v>
      </c>
      <c r="X23" s="11"/>
      <c r="Y23" s="5">
        <f>X23</f>
        <v>0</v>
      </c>
      <c r="Z23" s="5">
        <f>Y23-AB23</f>
        <v>0</v>
      </c>
      <c r="AA23" s="5"/>
      <c r="AB23" s="5"/>
      <c r="AC23" s="1"/>
      <c r="AD23" s="1">
        <f>(F23+O23+P23+Q23+T23+Z23+AB23+R23+S23+U23+V23)/W23</f>
        <v>-12.538229376257545</v>
      </c>
      <c r="AE23" s="9">
        <f>(F23+O23+P23+Q23+T23)/W23</f>
        <v>-12.538229376257545</v>
      </c>
      <c r="AF23" s="9">
        <v>0.99399999999999999</v>
      </c>
      <c r="AG23" s="9">
        <v>0</v>
      </c>
      <c r="AH23" s="9">
        <v>0</v>
      </c>
      <c r="AI23" s="9">
        <v>0</v>
      </c>
      <c r="AJ23" s="9">
        <v>0</v>
      </c>
      <c r="AK23" s="9">
        <v>1.4985999999999999</v>
      </c>
      <c r="AL23" s="9">
        <v>1.4985999999999999</v>
      </c>
      <c r="AM23" s="9">
        <v>0</v>
      </c>
      <c r="AN23" s="9"/>
      <c r="AO23" s="1">
        <f>ROUND(G23*Z23,0)</f>
        <v>0</v>
      </c>
      <c r="AP23" s="1">
        <f>ROUND(G23*AB23,0)</f>
        <v>0</v>
      </c>
      <c r="AQ23" t="s">
        <v>89</v>
      </c>
      <c r="AR23" t="str">
        <f>VLOOKUP(AQ23,[1]Лист1!$A:$A,1,0)</f>
        <v>SU003422</v>
      </c>
    </row>
    <row r="24" spans="1:44" x14ac:dyDescent="0.25">
      <c r="A24" s="1" t="s">
        <v>90</v>
      </c>
      <c r="B24" s="1" t="s">
        <v>42</v>
      </c>
      <c r="C24" s="1">
        <v>335.72899999999998</v>
      </c>
      <c r="D24" s="1">
        <v>1254.8689999999999</v>
      </c>
      <c r="E24" s="1">
        <v>209.511</v>
      </c>
      <c r="F24" s="1">
        <v>583.08699999999999</v>
      </c>
      <c r="G24" s="7">
        <v>1</v>
      </c>
      <c r="H24" s="1">
        <v>70</v>
      </c>
      <c r="I24" s="1" t="s">
        <v>43</v>
      </c>
      <c r="J24" s="1"/>
      <c r="K24" s="1">
        <v>1037.5450000000001</v>
      </c>
      <c r="L24" s="1">
        <f t="shared" si="5"/>
        <v>-828.03400000000011</v>
      </c>
      <c r="M24" s="1">
        <f t="shared" si="6"/>
        <v>108.401</v>
      </c>
      <c r="N24" s="1">
        <v>101.11</v>
      </c>
      <c r="O24" s="1"/>
      <c r="P24" s="1"/>
      <c r="Q24" s="1">
        <v>0</v>
      </c>
      <c r="R24" s="1"/>
      <c r="S24" s="24"/>
      <c r="T24" s="1"/>
      <c r="U24" s="1"/>
      <c r="V24" s="24"/>
      <c r="W24" s="1">
        <f t="shared" si="7"/>
        <v>21.680199999999999</v>
      </c>
      <c r="X24" s="5"/>
      <c r="Y24" s="5">
        <f>X24</f>
        <v>0</v>
      </c>
      <c r="Z24" s="5">
        <f>Y24-AB24</f>
        <v>0</v>
      </c>
      <c r="AA24" s="5"/>
      <c r="AB24" s="5"/>
      <c r="AC24" s="1"/>
      <c r="AD24" s="1">
        <f>(F24+O24+P24+Q24+T24+Z24+AB24+R24+S24+U24+V24)/W24</f>
        <v>26.894908718554259</v>
      </c>
      <c r="AE24" s="1">
        <f>(F24+O24+P24+Q24+T24)/W24</f>
        <v>26.894908718554259</v>
      </c>
      <c r="AF24" s="1">
        <v>72.813199999999995</v>
      </c>
      <c r="AG24" s="1">
        <v>77.070599999999999</v>
      </c>
      <c r="AH24" s="1">
        <v>121.82040000000001</v>
      </c>
      <c r="AI24" s="1">
        <v>64.7166</v>
      </c>
      <c r="AJ24" s="1">
        <v>29.255199999999999</v>
      </c>
      <c r="AK24" s="1">
        <v>86.518400000000014</v>
      </c>
      <c r="AL24" s="1">
        <v>112.26900000000001</v>
      </c>
      <c r="AM24" s="1">
        <v>80.832799999999992</v>
      </c>
      <c r="AN24" s="16" t="s">
        <v>83</v>
      </c>
      <c r="AO24" s="1">
        <f>ROUND(G24*Z24,0)</f>
        <v>0</v>
      </c>
      <c r="AP24" s="1">
        <f>ROUND(G24*AB24,0)</f>
        <v>0</v>
      </c>
      <c r="AQ24" t="s">
        <v>91</v>
      </c>
    </row>
    <row r="25" spans="1:44" x14ac:dyDescent="0.25">
      <c r="A25" s="1" t="s">
        <v>92</v>
      </c>
      <c r="B25" s="1" t="s">
        <v>42</v>
      </c>
      <c r="C25" s="1">
        <v>1316.174</v>
      </c>
      <c r="D25" s="1">
        <v>1676.538</v>
      </c>
      <c r="E25" s="1">
        <v>1398.375</v>
      </c>
      <c r="F25" s="1">
        <v>990.20899999999995</v>
      </c>
      <c r="G25" s="7">
        <v>1</v>
      </c>
      <c r="H25" s="1">
        <v>70</v>
      </c>
      <c r="I25" s="1" t="s">
        <v>43</v>
      </c>
      <c r="J25" s="1"/>
      <c r="K25" s="1">
        <v>1519.923</v>
      </c>
      <c r="L25" s="1">
        <f t="shared" si="5"/>
        <v>-121.548</v>
      </c>
      <c r="M25" s="1">
        <f t="shared" si="6"/>
        <v>1063.414</v>
      </c>
      <c r="N25" s="1">
        <v>334.96100000000001</v>
      </c>
      <c r="O25" s="1">
        <v>457.30278177584012</v>
      </c>
      <c r="P25" s="1"/>
      <c r="Q25" s="1">
        <v>322.91478138456802</v>
      </c>
      <c r="R25" s="1"/>
      <c r="S25" s="24"/>
      <c r="T25" s="1">
        <v>401.10939212343197</v>
      </c>
      <c r="U25" s="1"/>
      <c r="V25" s="24"/>
      <c r="W25" s="1">
        <f t="shared" si="7"/>
        <v>212.68279999999999</v>
      </c>
      <c r="X25" s="5">
        <f>12*W25-T25-Q25-P25-O25-F25</f>
        <v>380.65764471615955</v>
      </c>
      <c r="Y25" s="5">
        <f>X25+$Y$1*W25</f>
        <v>589.0867887161595</v>
      </c>
      <c r="Z25" s="5">
        <f>Y25-AB25</f>
        <v>589.0867887161595</v>
      </c>
      <c r="AA25" s="5"/>
      <c r="AB25" s="5"/>
      <c r="AC25" s="1"/>
      <c r="AD25" s="1">
        <f>(F25+O25+P25+Q25+T25+Z25+AB25+R25+S25+U25+V25)/W25</f>
        <v>12.979999999999997</v>
      </c>
      <c r="AE25" s="1">
        <f>(F25+O25+P25+Q25+T25)/W25</f>
        <v>10.210209548133841</v>
      </c>
      <c r="AF25" s="1">
        <v>230.36799999999999</v>
      </c>
      <c r="AG25" s="1">
        <v>244.7884</v>
      </c>
      <c r="AH25" s="1">
        <v>233.47839999999999</v>
      </c>
      <c r="AI25" s="1">
        <v>197.40940000000001</v>
      </c>
      <c r="AJ25" s="1">
        <v>248.37119999999999</v>
      </c>
      <c r="AK25" s="1">
        <v>254.24639999999999</v>
      </c>
      <c r="AL25" s="1">
        <v>255.9778</v>
      </c>
      <c r="AM25" s="1">
        <v>183.00020000000001</v>
      </c>
      <c r="AN25" s="1"/>
      <c r="AO25" s="1">
        <f>ROUND(G25*Z25,0)</f>
        <v>589</v>
      </c>
      <c r="AP25" s="1">
        <f>ROUND(G25*AB25,0)</f>
        <v>0</v>
      </c>
      <c r="AQ25" t="s">
        <v>93</v>
      </c>
    </row>
    <row r="26" spans="1:44" x14ac:dyDescent="0.25">
      <c r="A26" s="9" t="s">
        <v>94</v>
      </c>
      <c r="B26" s="9" t="s">
        <v>42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5"/>
        <v>0</v>
      </c>
      <c r="M26" s="9">
        <f t="shared" si="6"/>
        <v>0</v>
      </c>
      <c r="N26" s="9"/>
      <c r="O26" s="9"/>
      <c r="P26" s="9"/>
      <c r="Q26" s="9">
        <v>0</v>
      </c>
      <c r="R26" s="9"/>
      <c r="S26" s="27"/>
      <c r="T26" s="9"/>
      <c r="U26" s="9"/>
      <c r="V26" s="27"/>
      <c r="W26" s="9">
        <f t="shared" si="7"/>
        <v>0</v>
      </c>
      <c r="X26" s="11"/>
      <c r="Y26" s="5">
        <f>X26</f>
        <v>0</v>
      </c>
      <c r="Z26" s="5">
        <f>Y26-AB26</f>
        <v>0</v>
      </c>
      <c r="AA26" s="5"/>
      <c r="AB26" s="5"/>
      <c r="AC26" s="1"/>
      <c r="AD26" s="1" t="e">
        <f>(F26+O26+P26+Q26+T26+Z26+AB26+R26+S26+U26+V26)/W26</f>
        <v>#DIV/0!</v>
      </c>
      <c r="AE26" s="9" t="e">
        <f>(F26+O26+P26+Q26+T26)/W26</f>
        <v>#DIV/0!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 t="s">
        <v>80</v>
      </c>
      <c r="AO26" s="1">
        <f>ROUND(G26*Z26,0)</f>
        <v>0</v>
      </c>
      <c r="AP26" s="1">
        <f>ROUND(G26*AB26,0)</f>
        <v>0</v>
      </c>
      <c r="AQ26" t="s">
        <v>95</v>
      </c>
    </row>
    <row r="27" spans="1:44" x14ac:dyDescent="0.25">
      <c r="A27" s="1" t="s">
        <v>96</v>
      </c>
      <c r="B27" s="1" t="s">
        <v>42</v>
      </c>
      <c r="C27" s="1">
        <v>2323.6109999999999</v>
      </c>
      <c r="D27" s="1">
        <v>2015.317</v>
      </c>
      <c r="E27" s="1">
        <v>2505.23</v>
      </c>
      <c r="F27" s="1">
        <v>633.43299999999999</v>
      </c>
      <c r="G27" s="7">
        <v>1</v>
      </c>
      <c r="H27" s="1">
        <v>70</v>
      </c>
      <c r="I27" s="1" t="s">
        <v>43</v>
      </c>
      <c r="J27" s="1"/>
      <c r="K27" s="1">
        <v>2693.62</v>
      </c>
      <c r="L27" s="1">
        <f t="shared" si="5"/>
        <v>-188.38999999999987</v>
      </c>
      <c r="M27" s="1">
        <f t="shared" si="6"/>
        <v>1782.2339999999999</v>
      </c>
      <c r="N27" s="1">
        <v>722.99599999999998</v>
      </c>
      <c r="O27" s="1">
        <v>416</v>
      </c>
      <c r="P27" s="1"/>
      <c r="Q27" s="1">
        <v>1084.23770304</v>
      </c>
      <c r="R27" s="1"/>
      <c r="S27" s="24"/>
      <c r="T27" s="1">
        <v>1346.7885369600001</v>
      </c>
      <c r="U27" s="1"/>
      <c r="V27" s="24"/>
      <c r="W27" s="1">
        <f t="shared" si="7"/>
        <v>356.4468</v>
      </c>
      <c r="X27" s="5">
        <f>12*W27-T27-Q27-P27-O27-F27</f>
        <v>796.90236000000027</v>
      </c>
      <c r="Y27" s="5">
        <f>X27+$Y$1*W27</f>
        <v>1146.2202240000001</v>
      </c>
      <c r="Z27" s="5">
        <f>Y27-AB27</f>
        <v>1146.2202240000001</v>
      </c>
      <c r="AA27" s="5"/>
      <c r="AB27" s="5"/>
      <c r="AC27" s="1"/>
      <c r="AD27" s="1">
        <f>(F27+O27+P27+Q27+T27+Z27+AB27+R27+S27+U27+V27)/W27</f>
        <v>12.980000000000002</v>
      </c>
      <c r="AE27" s="1">
        <f>(F27+O27+P27+Q27+T27)/W27</f>
        <v>9.7643161335716862</v>
      </c>
      <c r="AF27" s="1">
        <v>377.3442</v>
      </c>
      <c r="AG27" s="1">
        <v>436.64600000000002</v>
      </c>
      <c r="AH27" s="1">
        <v>375.16520000000003</v>
      </c>
      <c r="AI27" s="1">
        <v>497.58879999999999</v>
      </c>
      <c r="AJ27" s="1">
        <v>453.67960000000011</v>
      </c>
      <c r="AK27" s="1">
        <v>417.40320000000003</v>
      </c>
      <c r="AL27" s="1">
        <v>457.06279999999998</v>
      </c>
      <c r="AM27" s="1">
        <v>304.71480000000003</v>
      </c>
      <c r="AN27" s="1"/>
      <c r="AO27" s="1">
        <f>ROUND(G27*Z27,0)</f>
        <v>1146</v>
      </c>
      <c r="AP27" s="1">
        <f>ROUND(G27*AB27,0)</f>
        <v>0</v>
      </c>
      <c r="AQ27" t="s">
        <v>97</v>
      </c>
    </row>
    <row r="28" spans="1:44" x14ac:dyDescent="0.25">
      <c r="A28" s="1" t="s">
        <v>98</v>
      </c>
      <c r="B28" s="1" t="s">
        <v>42</v>
      </c>
      <c r="C28" s="1">
        <v>81.498000000000005</v>
      </c>
      <c r="D28" s="1"/>
      <c r="E28" s="1">
        <v>6.5110000000000001</v>
      </c>
      <c r="F28" s="1">
        <v>69.201999999999998</v>
      </c>
      <c r="G28" s="7">
        <v>1</v>
      </c>
      <c r="H28" s="1">
        <v>40</v>
      </c>
      <c r="I28" s="1" t="s">
        <v>43</v>
      </c>
      <c r="J28" s="1"/>
      <c r="K28" s="1">
        <v>7.2</v>
      </c>
      <c r="L28" s="1">
        <f t="shared" si="5"/>
        <v>-0.68900000000000006</v>
      </c>
      <c r="M28" s="1">
        <f t="shared" si="6"/>
        <v>6.5110000000000001</v>
      </c>
      <c r="N28" s="1"/>
      <c r="O28" s="1"/>
      <c r="P28" s="1"/>
      <c r="Q28" s="1">
        <v>0</v>
      </c>
      <c r="R28" s="1"/>
      <c r="S28" s="24"/>
      <c r="T28" s="1"/>
      <c r="U28" s="1"/>
      <c r="V28" s="24"/>
      <c r="W28" s="1">
        <f t="shared" si="7"/>
        <v>1.3022</v>
      </c>
      <c r="X28" s="5"/>
      <c r="Y28" s="5">
        <f t="shared" ref="Y28:Y38" si="9">X28</f>
        <v>0</v>
      </c>
      <c r="Z28" s="5">
        <f>Y28-AB28</f>
        <v>0</v>
      </c>
      <c r="AA28" s="5"/>
      <c r="AB28" s="5"/>
      <c r="AC28" s="1"/>
      <c r="AD28" s="1">
        <f>(F28+O28+P28+Q28+T28+Z28+AB28+R28+S28+U28+V28)/W28</f>
        <v>53.142374443249885</v>
      </c>
      <c r="AE28" s="1">
        <f>(F28+O28+P28+Q28+T28)/W28</f>
        <v>53.142374443249885</v>
      </c>
      <c r="AF28" s="1">
        <v>1.3022</v>
      </c>
      <c r="AG28" s="1">
        <v>1.9805999999999999</v>
      </c>
      <c r="AH28" s="1">
        <v>1.2582</v>
      </c>
      <c r="AI28" s="1">
        <v>0.73199999999999998</v>
      </c>
      <c r="AJ28" s="1">
        <v>1.3146</v>
      </c>
      <c r="AK28" s="1">
        <v>7.8512000000000004</v>
      </c>
      <c r="AL28" s="1">
        <v>8.7356000000000016</v>
      </c>
      <c r="AM28" s="1">
        <v>3.5047999999999999</v>
      </c>
      <c r="AN28" s="12" t="s">
        <v>99</v>
      </c>
      <c r="AO28" s="1">
        <f>ROUND(G28*Z28,0)</f>
        <v>0</v>
      </c>
      <c r="AP28" s="1">
        <f>ROUND(G28*AB28,0)</f>
        <v>0</v>
      </c>
      <c r="AQ28" t="s">
        <v>100</v>
      </c>
    </row>
    <row r="29" spans="1:44" x14ac:dyDescent="0.25">
      <c r="A29" s="9" t="s">
        <v>101</v>
      </c>
      <c r="B29" s="9" t="s">
        <v>42</v>
      </c>
      <c r="C29" s="9"/>
      <c r="D29" s="9"/>
      <c r="E29" s="9"/>
      <c r="F29" s="9"/>
      <c r="G29" s="10">
        <v>0</v>
      </c>
      <c r="H29" s="9"/>
      <c r="I29" s="9" t="s">
        <v>43</v>
      </c>
      <c r="J29" s="9"/>
      <c r="K29" s="9"/>
      <c r="L29" s="9">
        <f t="shared" si="5"/>
        <v>0</v>
      </c>
      <c r="M29" s="9">
        <f t="shared" si="6"/>
        <v>0</v>
      </c>
      <c r="N29" s="9"/>
      <c r="O29" s="9"/>
      <c r="P29" s="9"/>
      <c r="Q29" s="9">
        <v>0</v>
      </c>
      <c r="R29" s="9"/>
      <c r="S29" s="27"/>
      <c r="T29" s="9"/>
      <c r="U29" s="9"/>
      <c r="V29" s="27"/>
      <c r="W29" s="9">
        <f t="shared" si="7"/>
        <v>0</v>
      </c>
      <c r="X29" s="11"/>
      <c r="Y29" s="5">
        <f t="shared" si="9"/>
        <v>0</v>
      </c>
      <c r="Z29" s="5">
        <f>Y29-AB29</f>
        <v>0</v>
      </c>
      <c r="AA29" s="5"/>
      <c r="AB29" s="5"/>
      <c r="AC29" s="1"/>
      <c r="AD29" s="1" t="e">
        <f>(F29+O29+P29+Q29+T29+Z29+AB29+R29+S29+U29+V29)/W29</f>
        <v>#DIV/0!</v>
      </c>
      <c r="AE29" s="9" t="e">
        <f>(F29+O29+P29+Q29+T29)/W29</f>
        <v>#DIV/0!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 t="s">
        <v>80</v>
      </c>
      <c r="AO29" s="1">
        <f>ROUND(G29*Z29,0)</f>
        <v>0</v>
      </c>
      <c r="AP29" s="1">
        <f>ROUND(G29*AB29,0)</f>
        <v>0</v>
      </c>
      <c r="AQ29" t="s">
        <v>102</v>
      </c>
    </row>
    <row r="30" spans="1:44" x14ac:dyDescent="0.25">
      <c r="A30" s="9" t="s">
        <v>103</v>
      </c>
      <c r="B30" s="9" t="s">
        <v>42</v>
      </c>
      <c r="C30" s="9"/>
      <c r="D30" s="9"/>
      <c r="E30" s="9"/>
      <c r="F30" s="9"/>
      <c r="G30" s="10">
        <v>0</v>
      </c>
      <c r="H30" s="9"/>
      <c r="I30" s="9" t="s">
        <v>43</v>
      </c>
      <c r="J30" s="9"/>
      <c r="K30" s="9"/>
      <c r="L30" s="9">
        <f t="shared" si="5"/>
        <v>0</v>
      </c>
      <c r="M30" s="9">
        <f t="shared" si="6"/>
        <v>0</v>
      </c>
      <c r="N30" s="9"/>
      <c r="O30" s="9"/>
      <c r="P30" s="9"/>
      <c r="Q30" s="9">
        <v>0</v>
      </c>
      <c r="R30" s="9"/>
      <c r="S30" s="27"/>
      <c r="T30" s="9"/>
      <c r="U30" s="9"/>
      <c r="V30" s="27"/>
      <c r="W30" s="9">
        <f t="shared" si="7"/>
        <v>0</v>
      </c>
      <c r="X30" s="11"/>
      <c r="Y30" s="5">
        <f t="shared" si="9"/>
        <v>0</v>
      </c>
      <c r="Z30" s="5">
        <f>Y30-AB30</f>
        <v>0</v>
      </c>
      <c r="AA30" s="5"/>
      <c r="AB30" s="5"/>
      <c r="AC30" s="1"/>
      <c r="AD30" s="1" t="e">
        <f>(F30+O30+P30+Q30+T30+Z30+AB30+R30+S30+U30+V30)/W30</f>
        <v>#DIV/0!</v>
      </c>
      <c r="AE30" s="9" t="e">
        <f>(F30+O30+P30+Q30+T30)/W30</f>
        <v>#DIV/0!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 t="s">
        <v>80</v>
      </c>
      <c r="AO30" s="1">
        <f>ROUND(G30*Z30,0)</f>
        <v>0</v>
      </c>
      <c r="AP30" s="1">
        <f>ROUND(G30*AB30,0)</f>
        <v>0</v>
      </c>
      <c r="AQ30" t="s">
        <v>104</v>
      </c>
    </row>
    <row r="31" spans="1:44" x14ac:dyDescent="0.25">
      <c r="A31" s="1" t="s">
        <v>105</v>
      </c>
      <c r="B31" s="1" t="s">
        <v>42</v>
      </c>
      <c r="C31" s="1">
        <v>1400.299</v>
      </c>
      <c r="D31" s="1">
        <v>2826.5219999999999</v>
      </c>
      <c r="E31" s="1">
        <v>3172.8249999999998</v>
      </c>
      <c r="F31" s="1">
        <v>187.90199999999999</v>
      </c>
      <c r="G31" s="7">
        <v>1</v>
      </c>
      <c r="H31" s="1">
        <v>30</v>
      </c>
      <c r="I31" s="15" t="s">
        <v>106</v>
      </c>
      <c r="J31" s="1"/>
      <c r="K31" s="1">
        <v>2490.0369999999998</v>
      </c>
      <c r="L31" s="1">
        <f t="shared" si="5"/>
        <v>682.78800000000001</v>
      </c>
      <c r="M31" s="1">
        <f t="shared" si="6"/>
        <v>2203.2379999999998</v>
      </c>
      <c r="N31" s="1">
        <v>969.58699999999999</v>
      </c>
      <c r="O31" s="1">
        <v>416</v>
      </c>
      <c r="P31" s="1"/>
      <c r="Q31" s="1">
        <v>668.99999999999989</v>
      </c>
      <c r="R31" s="1"/>
      <c r="S31" s="24"/>
      <c r="T31" s="1">
        <v>831.00000000000011</v>
      </c>
      <c r="U31" s="1"/>
      <c r="V31" s="24"/>
      <c r="W31" s="1">
        <f t="shared" si="7"/>
        <v>440.64759999999995</v>
      </c>
      <c r="X31" s="5">
        <f>11*W31-T31-Q31-P31-O31-F31</f>
        <v>2743.2215999999999</v>
      </c>
      <c r="Y31" s="5">
        <f t="shared" si="9"/>
        <v>2743.2215999999999</v>
      </c>
      <c r="Z31" s="5">
        <v>2610</v>
      </c>
      <c r="AA31" s="5">
        <v>-500.8</v>
      </c>
      <c r="AB31" s="5">
        <f>Y31*0.5</f>
        <v>1371.6107999999999</v>
      </c>
      <c r="AC31" s="1"/>
      <c r="AD31" s="1">
        <f>(F31+O31+P31+Q31+T31+Z31+AB31+R31+S31+U31+V31)/W31</f>
        <v>13.810384534035817</v>
      </c>
      <c r="AE31" s="1">
        <f>(F31+O31+P31+Q31+T31)/W31</f>
        <v>4.7745681583197097</v>
      </c>
      <c r="AF31" s="1">
        <v>365.18979999999999</v>
      </c>
      <c r="AG31" s="1">
        <v>310.87279999999998</v>
      </c>
      <c r="AH31" s="1">
        <v>178.89779999999999</v>
      </c>
      <c r="AI31" s="1">
        <v>437.43319999999989</v>
      </c>
      <c r="AJ31" s="1">
        <v>568.72439999999995</v>
      </c>
      <c r="AK31" s="1">
        <v>251.48259999999999</v>
      </c>
      <c r="AL31" s="1">
        <v>368.85539999999997</v>
      </c>
      <c r="AM31" s="1">
        <v>396.49419999999998</v>
      </c>
      <c r="AN31" s="1"/>
      <c r="AO31" s="1">
        <f>ROUND(G31*Z31,0)</f>
        <v>2610</v>
      </c>
      <c r="AP31" s="1">
        <f>ROUND(G31*AB31,0)</f>
        <v>1372</v>
      </c>
      <c r="AQ31" t="s">
        <v>107</v>
      </c>
    </row>
    <row r="32" spans="1:44" x14ac:dyDescent="0.25">
      <c r="A32" s="9" t="s">
        <v>108</v>
      </c>
      <c r="B32" s="9" t="s">
        <v>42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67</v>
      </c>
      <c r="J32" s="9"/>
      <c r="K32" s="9"/>
      <c r="L32" s="9">
        <f t="shared" si="5"/>
        <v>0</v>
      </c>
      <c r="M32" s="9">
        <f t="shared" si="6"/>
        <v>0</v>
      </c>
      <c r="N32" s="9"/>
      <c r="O32" s="9"/>
      <c r="P32" s="9"/>
      <c r="Q32" s="9">
        <v>0</v>
      </c>
      <c r="R32" s="9"/>
      <c r="S32" s="27"/>
      <c r="T32" s="9"/>
      <c r="U32" s="9"/>
      <c r="V32" s="27"/>
      <c r="W32" s="9">
        <f t="shared" si="7"/>
        <v>0</v>
      </c>
      <c r="X32" s="11"/>
      <c r="Y32" s="5">
        <f t="shared" si="9"/>
        <v>0</v>
      </c>
      <c r="Z32" s="5">
        <f>Y32-AB32</f>
        <v>0</v>
      </c>
      <c r="AA32" s="5"/>
      <c r="AB32" s="5"/>
      <c r="AC32" s="1"/>
      <c r="AD32" s="1" t="e">
        <f>(F32+O32+P32+Q32+T32+Z32+AB32+R32+S32+U32+V32)/W32</f>
        <v>#DIV/0!</v>
      </c>
      <c r="AE32" s="9" t="e">
        <f>(F32+O32+P32+Q32+T32)/W32</f>
        <v>#DIV/0!</v>
      </c>
      <c r="AF32" s="9">
        <v>0</v>
      </c>
      <c r="AG32" s="9">
        <v>0</v>
      </c>
      <c r="AH32" s="9">
        <v>0</v>
      </c>
      <c r="AI32" s="9">
        <v>0</v>
      </c>
      <c r="AJ32" s="9">
        <v>-9.8000000000000004E-2</v>
      </c>
      <c r="AK32" s="9">
        <v>12.5518</v>
      </c>
      <c r="AL32" s="9">
        <v>13.9894</v>
      </c>
      <c r="AM32" s="9">
        <v>4.5703999999999994</v>
      </c>
      <c r="AN32" s="9"/>
      <c r="AO32" s="1">
        <f>ROUND(G32*Z32,0)</f>
        <v>0</v>
      </c>
      <c r="AP32" s="1">
        <f>ROUND(G32*AB32,0)</f>
        <v>0</v>
      </c>
      <c r="AQ32" t="s">
        <v>109</v>
      </c>
    </row>
    <row r="33" spans="1:43" x14ac:dyDescent="0.25">
      <c r="A33" s="1" t="s">
        <v>110</v>
      </c>
      <c r="B33" s="1" t="s">
        <v>42</v>
      </c>
      <c r="C33" s="1">
        <v>1148.73</v>
      </c>
      <c r="D33" s="1">
        <v>431.798</v>
      </c>
      <c r="E33" s="1">
        <v>3281.402</v>
      </c>
      <c r="F33" s="1">
        <v>-114.405</v>
      </c>
      <c r="G33" s="7">
        <v>1</v>
      </c>
      <c r="H33" s="1">
        <v>40</v>
      </c>
      <c r="I33" s="15" t="s">
        <v>106</v>
      </c>
      <c r="J33" s="1"/>
      <c r="K33" s="1">
        <v>3984.6759999999999</v>
      </c>
      <c r="L33" s="1">
        <f t="shared" si="5"/>
        <v>-703.27399999999989</v>
      </c>
      <c r="M33" s="1">
        <f t="shared" si="6"/>
        <v>3281.402</v>
      </c>
      <c r="N33" s="1"/>
      <c r="O33" s="1">
        <v>520</v>
      </c>
      <c r="P33" s="1">
        <v>-522</v>
      </c>
      <c r="Q33" s="1">
        <v>892</v>
      </c>
      <c r="R33" s="1"/>
      <c r="S33" s="24"/>
      <c r="T33" s="1">
        <v>1208</v>
      </c>
      <c r="U33" s="1">
        <v>-1208</v>
      </c>
      <c r="V33" s="24"/>
      <c r="W33" s="1">
        <f t="shared" si="7"/>
        <v>656.28039999999999</v>
      </c>
      <c r="X33" s="5">
        <v>2200</v>
      </c>
      <c r="Y33" s="5">
        <f t="shared" si="9"/>
        <v>2200</v>
      </c>
      <c r="Z33" s="5">
        <f>Y33</f>
        <v>2200</v>
      </c>
      <c r="AA33" s="5"/>
      <c r="AB33" s="5">
        <f>Y33*0.5</f>
        <v>1100</v>
      </c>
      <c r="AC33" s="1"/>
      <c r="AD33" s="1">
        <f>(F33+O33+P33+Q33+T33+Z33+AB33+R33+S33+U33+V33)/W33</f>
        <v>6.2101427987183531</v>
      </c>
      <c r="AE33" s="1">
        <f>(F33+O33+P33+Q33+T33)/W33</f>
        <v>3.0224809395496193</v>
      </c>
      <c r="AF33" s="1">
        <v>656.84399999999994</v>
      </c>
      <c r="AG33" s="1">
        <v>328.15300000000002</v>
      </c>
      <c r="AH33" s="1">
        <v>-0.84619999999999995</v>
      </c>
      <c r="AI33" s="1">
        <v>8.5924000000000014</v>
      </c>
      <c r="AJ33" s="1">
        <v>9.855599999999999</v>
      </c>
      <c r="AK33" s="1">
        <v>688.04320000000007</v>
      </c>
      <c r="AL33" s="1">
        <v>1184.2532000000001</v>
      </c>
      <c r="AM33" s="1">
        <v>1031.4698000000001</v>
      </c>
      <c r="AN33" s="1"/>
      <c r="AO33" s="1">
        <f>ROUND(G33*Z33,0)</f>
        <v>2200</v>
      </c>
      <c r="AP33" s="1">
        <f>ROUND(G33*AB33,0)</f>
        <v>1100</v>
      </c>
      <c r="AQ33" t="s">
        <v>111</v>
      </c>
    </row>
    <row r="34" spans="1:43" x14ac:dyDescent="0.25">
      <c r="A34" s="9" t="s">
        <v>112</v>
      </c>
      <c r="B34" s="9" t="s">
        <v>42</v>
      </c>
      <c r="C34" s="9"/>
      <c r="D34" s="9"/>
      <c r="E34" s="9"/>
      <c r="F34" s="9"/>
      <c r="G34" s="10">
        <v>0</v>
      </c>
      <c r="H34" s="9"/>
      <c r="I34" s="9" t="s">
        <v>43</v>
      </c>
      <c r="J34" s="9"/>
      <c r="K34" s="9"/>
      <c r="L34" s="9">
        <f t="shared" si="5"/>
        <v>0</v>
      </c>
      <c r="M34" s="9">
        <f t="shared" si="6"/>
        <v>0</v>
      </c>
      <c r="N34" s="9"/>
      <c r="O34" s="9"/>
      <c r="P34" s="9"/>
      <c r="Q34" s="9">
        <v>0</v>
      </c>
      <c r="R34" s="9"/>
      <c r="S34" s="27"/>
      <c r="T34" s="9"/>
      <c r="U34" s="9"/>
      <c r="V34" s="27"/>
      <c r="W34" s="9">
        <f t="shared" si="7"/>
        <v>0</v>
      </c>
      <c r="X34" s="11"/>
      <c r="Y34" s="5">
        <f t="shared" si="9"/>
        <v>0</v>
      </c>
      <c r="Z34" s="5">
        <f>Y34-AB34</f>
        <v>0</v>
      </c>
      <c r="AA34" s="5"/>
      <c r="AB34" s="5"/>
      <c r="AC34" s="1"/>
      <c r="AD34" s="1" t="e">
        <f>(F34+O34+P34+Q34+T34+Z34+AB34+R34+S34+U34+V34)/W34</f>
        <v>#DIV/0!</v>
      </c>
      <c r="AE34" s="9" t="e">
        <f>(F34+O34+P34+Q34+T34)/W34</f>
        <v>#DIV/0!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 t="s">
        <v>80</v>
      </c>
      <c r="AO34" s="1">
        <f>ROUND(G34*Z34,0)</f>
        <v>0</v>
      </c>
      <c r="AP34" s="1">
        <f>ROUND(G34*AB34,0)</f>
        <v>0</v>
      </c>
      <c r="AQ34" t="s">
        <v>113</v>
      </c>
    </row>
    <row r="35" spans="1:43" x14ac:dyDescent="0.25">
      <c r="A35" s="9" t="s">
        <v>114</v>
      </c>
      <c r="B35" s="9" t="s">
        <v>42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5"/>
        <v>0</v>
      </c>
      <c r="M35" s="9">
        <f t="shared" si="6"/>
        <v>0</v>
      </c>
      <c r="N35" s="9"/>
      <c r="O35" s="9"/>
      <c r="P35" s="9"/>
      <c r="Q35" s="9">
        <v>0</v>
      </c>
      <c r="R35" s="9"/>
      <c r="S35" s="27"/>
      <c r="T35" s="9"/>
      <c r="U35" s="9"/>
      <c r="V35" s="27"/>
      <c r="W35" s="9">
        <f t="shared" si="7"/>
        <v>0</v>
      </c>
      <c r="X35" s="11"/>
      <c r="Y35" s="5">
        <f t="shared" si="9"/>
        <v>0</v>
      </c>
      <c r="Z35" s="5">
        <f>Y35-AB35</f>
        <v>0</v>
      </c>
      <c r="AA35" s="5"/>
      <c r="AB35" s="5"/>
      <c r="AC35" s="1"/>
      <c r="AD35" s="1" t="e">
        <f>(F35+O35+P35+Q35+T35+Z35+AB35+R35+S35+U35+V35)/W35</f>
        <v>#DIV/0!</v>
      </c>
      <c r="AE35" s="9" t="e">
        <f>(F35+O35+P35+Q35+T35)/W35</f>
        <v>#DIV/0!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 t="s">
        <v>80</v>
      </c>
      <c r="AO35" s="1">
        <f>ROUND(G35*Z35,0)</f>
        <v>0</v>
      </c>
      <c r="AP35" s="1">
        <f>ROUND(G35*AB35,0)</f>
        <v>0</v>
      </c>
      <c r="AQ35" t="s">
        <v>115</v>
      </c>
    </row>
    <row r="36" spans="1:43" x14ac:dyDescent="0.25">
      <c r="A36" s="9" t="s">
        <v>116</v>
      </c>
      <c r="B36" s="9" t="s">
        <v>42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5"/>
        <v>0</v>
      </c>
      <c r="M36" s="9">
        <f t="shared" si="6"/>
        <v>0</v>
      </c>
      <c r="N36" s="9"/>
      <c r="O36" s="9"/>
      <c r="P36" s="9"/>
      <c r="Q36" s="9">
        <v>0</v>
      </c>
      <c r="R36" s="9"/>
      <c r="S36" s="27"/>
      <c r="T36" s="9"/>
      <c r="U36" s="9"/>
      <c r="V36" s="27"/>
      <c r="W36" s="9">
        <f t="shared" si="7"/>
        <v>0</v>
      </c>
      <c r="X36" s="11"/>
      <c r="Y36" s="5">
        <f t="shared" si="9"/>
        <v>0</v>
      </c>
      <c r="Z36" s="5">
        <f>Y36-AB36</f>
        <v>0</v>
      </c>
      <c r="AA36" s="5"/>
      <c r="AB36" s="5"/>
      <c r="AC36" s="1"/>
      <c r="AD36" s="1" t="e">
        <f>(F36+O36+P36+Q36+T36+Z36+AB36+R36+S36+U36+V36)/W36</f>
        <v>#DIV/0!</v>
      </c>
      <c r="AE36" s="9" t="e">
        <f>(F36+O36+P36+Q36+T36)/W36</f>
        <v>#DIV/0!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 t="s">
        <v>80</v>
      </c>
      <c r="AO36" s="1">
        <f>ROUND(G36*Z36,0)</f>
        <v>0</v>
      </c>
      <c r="AP36" s="1">
        <f>ROUND(G36*AB36,0)</f>
        <v>0</v>
      </c>
      <c r="AQ36" t="s">
        <v>117</v>
      </c>
    </row>
    <row r="37" spans="1:43" x14ac:dyDescent="0.25">
      <c r="A37" s="9" t="s">
        <v>118</v>
      </c>
      <c r="B37" s="9" t="s">
        <v>42</v>
      </c>
      <c r="C37" s="9"/>
      <c r="D37" s="9"/>
      <c r="E37" s="9"/>
      <c r="F37" s="9"/>
      <c r="G37" s="10">
        <v>0</v>
      </c>
      <c r="H37" s="9"/>
      <c r="I37" s="9" t="s">
        <v>43</v>
      </c>
      <c r="J37" s="9"/>
      <c r="K37" s="9"/>
      <c r="L37" s="9">
        <f t="shared" si="5"/>
        <v>0</v>
      </c>
      <c r="M37" s="9">
        <f t="shared" si="6"/>
        <v>0</v>
      </c>
      <c r="N37" s="9"/>
      <c r="O37" s="9"/>
      <c r="P37" s="9"/>
      <c r="Q37" s="9">
        <v>0</v>
      </c>
      <c r="R37" s="9"/>
      <c r="S37" s="27"/>
      <c r="T37" s="9"/>
      <c r="U37" s="9"/>
      <c r="V37" s="27"/>
      <c r="W37" s="9">
        <f t="shared" si="7"/>
        <v>0</v>
      </c>
      <c r="X37" s="11"/>
      <c r="Y37" s="5">
        <f t="shared" si="9"/>
        <v>0</v>
      </c>
      <c r="Z37" s="5">
        <f>Y37-AB37</f>
        <v>0</v>
      </c>
      <c r="AA37" s="5"/>
      <c r="AB37" s="5"/>
      <c r="AC37" s="1"/>
      <c r="AD37" s="1" t="e">
        <f>(F37+O37+P37+Q37+T37+Z37+AB37+R37+S37+U37+V37)/W37</f>
        <v>#DIV/0!</v>
      </c>
      <c r="AE37" s="9" t="e">
        <f>(F37+O37+P37+Q37+T37)/W37</f>
        <v>#DIV/0!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 t="s">
        <v>80</v>
      </c>
      <c r="AO37" s="1">
        <f>ROUND(G37*Z37,0)</f>
        <v>0</v>
      </c>
      <c r="AP37" s="1">
        <f>ROUND(G37*AB37,0)</f>
        <v>0</v>
      </c>
      <c r="AQ37" t="s">
        <v>119</v>
      </c>
    </row>
    <row r="38" spans="1:43" x14ac:dyDescent="0.25">
      <c r="A38" s="1" t="s">
        <v>120</v>
      </c>
      <c r="B38" s="1" t="s">
        <v>50</v>
      </c>
      <c r="C38" s="1">
        <v>1008</v>
      </c>
      <c r="D38" s="1">
        <v>4256</v>
      </c>
      <c r="E38" s="1">
        <v>5155</v>
      </c>
      <c r="F38" s="1">
        <v>-322</v>
      </c>
      <c r="G38" s="7">
        <v>0.4</v>
      </c>
      <c r="H38" s="1">
        <v>45</v>
      </c>
      <c r="I38" s="15" t="s">
        <v>106</v>
      </c>
      <c r="J38" s="1"/>
      <c r="K38" s="1">
        <v>4558</v>
      </c>
      <c r="L38" s="1">
        <f t="shared" ref="L38:L69" si="10">E38-K38</f>
        <v>597</v>
      </c>
      <c r="M38" s="1">
        <f t="shared" ref="M38:M69" si="11">E38-N38</f>
        <v>4075</v>
      </c>
      <c r="N38" s="1">
        <v>1080</v>
      </c>
      <c r="O38" s="1">
        <v>780</v>
      </c>
      <c r="P38" s="1"/>
      <c r="Q38" s="1">
        <v>1767.944</v>
      </c>
      <c r="R38" s="1"/>
      <c r="S38" s="24"/>
      <c r="T38" s="1">
        <v>2196.056</v>
      </c>
      <c r="U38" s="1"/>
      <c r="V38" s="24"/>
      <c r="W38" s="1">
        <f t="shared" ref="W38:W69" si="12">M38/5</f>
        <v>815</v>
      </c>
      <c r="X38" s="5">
        <f>11*W38-T38-Q38-P38-O38-F38</f>
        <v>4543</v>
      </c>
      <c r="Y38" s="5">
        <f t="shared" si="9"/>
        <v>4543</v>
      </c>
      <c r="Z38" s="5">
        <v>3000</v>
      </c>
      <c r="AA38" s="5"/>
      <c r="AB38" s="5">
        <v>2220</v>
      </c>
      <c r="AC38" s="1" t="str">
        <f>VLOOKUP(A38,[2]Sheet!$A:$U,21,0)</f>
        <v>ОЧЕНЬ НУЖНА ЭТА ПОЗИЦИЯ !!!</v>
      </c>
      <c r="AD38" s="1">
        <f>(F38+O38+P38+Q38+T38+Z38+AB38+R38+S38+U38+V38)/W38</f>
        <v>11.830674846625767</v>
      </c>
      <c r="AE38" s="1">
        <f>(F38+O38+P38+Q38+T38)/W38</f>
        <v>5.4257668711656439</v>
      </c>
      <c r="AF38" s="1">
        <v>779</v>
      </c>
      <c r="AG38" s="1">
        <v>633.6</v>
      </c>
      <c r="AH38" s="1">
        <v>113.2</v>
      </c>
      <c r="AI38" s="1">
        <v>461.2</v>
      </c>
      <c r="AJ38" s="1">
        <v>811.2</v>
      </c>
      <c r="AK38" s="1">
        <v>861.6</v>
      </c>
      <c r="AL38" s="1">
        <v>877.4</v>
      </c>
      <c r="AM38" s="1">
        <v>623.4</v>
      </c>
      <c r="AN38" s="1"/>
      <c r="AO38" s="1">
        <f>ROUND(G38*Z38,0)</f>
        <v>1200</v>
      </c>
      <c r="AP38" s="1">
        <f>ROUND(G38*AB38,0)</f>
        <v>888</v>
      </c>
      <c r="AQ38" t="s">
        <v>121</v>
      </c>
    </row>
    <row r="39" spans="1:43" x14ac:dyDescent="0.25">
      <c r="A39" s="1" t="s">
        <v>122</v>
      </c>
      <c r="B39" s="1" t="s">
        <v>50</v>
      </c>
      <c r="C39" s="1">
        <v>839.75</v>
      </c>
      <c r="D39" s="1">
        <v>263</v>
      </c>
      <c r="E39" s="1">
        <v>735</v>
      </c>
      <c r="F39" s="1">
        <v>253.75</v>
      </c>
      <c r="G39" s="7">
        <v>0.45</v>
      </c>
      <c r="H39" s="1">
        <v>50</v>
      </c>
      <c r="I39" s="14" t="s">
        <v>54</v>
      </c>
      <c r="J39" s="1"/>
      <c r="K39" s="1">
        <v>1175</v>
      </c>
      <c r="L39" s="1">
        <f t="shared" si="10"/>
        <v>-440</v>
      </c>
      <c r="M39" s="1">
        <f t="shared" si="11"/>
        <v>735</v>
      </c>
      <c r="N39" s="1"/>
      <c r="O39" s="1"/>
      <c r="P39" s="1"/>
      <c r="Q39" s="1">
        <v>200</v>
      </c>
      <c r="R39" s="1"/>
      <c r="S39" s="24"/>
      <c r="T39" s="1"/>
      <c r="U39" s="1"/>
      <c r="V39" s="24"/>
      <c r="W39" s="1">
        <f t="shared" si="12"/>
        <v>147</v>
      </c>
      <c r="X39" s="19">
        <f>10*W39-T39-Q39-P39-O39-F39</f>
        <v>1016.25</v>
      </c>
      <c r="Y39" s="5">
        <f>X39+500</f>
        <v>1516.25</v>
      </c>
      <c r="Z39" s="5">
        <f>Y39-AB39</f>
        <v>716.25</v>
      </c>
      <c r="AA39" s="5"/>
      <c r="AB39" s="5">
        <v>800</v>
      </c>
      <c r="AC39" s="1" t="str">
        <f>VLOOKUP(A39,[2]Sheet!$A:$U,21,0)</f>
        <v xml:space="preserve">еще плюс 500 сеть ютл </v>
      </c>
      <c r="AD39" s="1">
        <f>(F39+O39+P39+Q39+T39+Z39+AB39+R39+S39+U39+V39)/W39</f>
        <v>13.401360544217686</v>
      </c>
      <c r="AE39" s="1">
        <f>(F39+O39+P39+Q39+T39)/W39</f>
        <v>3.0867346938775508</v>
      </c>
      <c r="AF39" s="1">
        <v>147.6</v>
      </c>
      <c r="AG39" s="1">
        <v>112.6</v>
      </c>
      <c r="AH39" s="1">
        <v>71</v>
      </c>
      <c r="AI39" s="1">
        <v>70.400000000000006</v>
      </c>
      <c r="AJ39" s="1">
        <v>98.4</v>
      </c>
      <c r="AK39" s="1">
        <v>126.8</v>
      </c>
      <c r="AL39" s="1">
        <v>127.8</v>
      </c>
      <c r="AM39" s="1">
        <v>67.2</v>
      </c>
      <c r="AN39" s="1" t="s">
        <v>123</v>
      </c>
      <c r="AO39" s="1">
        <f>ROUND(G39*Z39,0)</f>
        <v>322</v>
      </c>
      <c r="AP39" s="1">
        <f>ROUND(G39*AB39,0)</f>
        <v>360</v>
      </c>
      <c r="AQ39" t="s">
        <v>124</v>
      </c>
    </row>
    <row r="40" spans="1:43" x14ac:dyDescent="0.25">
      <c r="A40" s="1" t="s">
        <v>125</v>
      </c>
      <c r="B40" s="1" t="s">
        <v>50</v>
      </c>
      <c r="C40" s="1">
        <v>-5</v>
      </c>
      <c r="D40" s="1">
        <v>832</v>
      </c>
      <c r="E40" s="1">
        <v>742</v>
      </c>
      <c r="F40" s="1">
        <v>43</v>
      </c>
      <c r="G40" s="7">
        <v>0.4</v>
      </c>
      <c r="H40" s="1">
        <v>45</v>
      </c>
      <c r="I40" s="15" t="s">
        <v>106</v>
      </c>
      <c r="J40" s="1"/>
      <c r="K40" s="1">
        <v>2165</v>
      </c>
      <c r="L40" s="1">
        <f t="shared" si="10"/>
        <v>-1423</v>
      </c>
      <c r="M40" s="1">
        <f t="shared" si="11"/>
        <v>742</v>
      </c>
      <c r="N40" s="1"/>
      <c r="O40" s="1">
        <v>208</v>
      </c>
      <c r="P40" s="1"/>
      <c r="Q40" s="1">
        <v>400</v>
      </c>
      <c r="R40" s="1">
        <v>-402</v>
      </c>
      <c r="S40" s="24"/>
      <c r="T40" s="1"/>
      <c r="U40" s="1"/>
      <c r="V40" s="24"/>
      <c r="W40" s="1">
        <f t="shared" si="12"/>
        <v>148.4</v>
      </c>
      <c r="X40" s="5">
        <v>500</v>
      </c>
      <c r="Y40" s="5">
        <f t="shared" ref="Y40:Z42" si="13">X40</f>
        <v>500</v>
      </c>
      <c r="Z40" s="5">
        <f t="shared" si="13"/>
        <v>500</v>
      </c>
      <c r="AA40" s="5">
        <v>-251.99999999999997</v>
      </c>
      <c r="AB40" s="5">
        <f>Y40*0.5</f>
        <v>250</v>
      </c>
      <c r="AC40" s="1"/>
      <c r="AD40" s="1">
        <f>(F40+O40+P40+Q40+T40+Z40+AB40+R40+S40+U40+V40)/W40</f>
        <v>6.7318059299191368</v>
      </c>
      <c r="AE40" s="1">
        <f>(F40+O40+P40+Q40+T40)/W40</f>
        <v>4.3867924528301883</v>
      </c>
      <c r="AF40" s="1">
        <v>148.4</v>
      </c>
      <c r="AG40" s="1">
        <v>122.2</v>
      </c>
      <c r="AH40" s="1">
        <v>91.8</v>
      </c>
      <c r="AI40" s="1">
        <v>163.6</v>
      </c>
      <c r="AJ40" s="1">
        <v>166.8</v>
      </c>
      <c r="AK40" s="1">
        <v>188.8</v>
      </c>
      <c r="AL40" s="1">
        <v>301.60000000000002</v>
      </c>
      <c r="AM40" s="1">
        <v>192.2</v>
      </c>
      <c r="AN40" s="1"/>
      <c r="AO40" s="1">
        <f>ROUND(G40*Z40,0)</f>
        <v>200</v>
      </c>
      <c r="AP40" s="1">
        <f>ROUND(G40*AB40,0)</f>
        <v>100</v>
      </c>
      <c r="AQ40" t="s">
        <v>126</v>
      </c>
    </row>
    <row r="41" spans="1:43" x14ac:dyDescent="0.25">
      <c r="A41" s="1" t="s">
        <v>127</v>
      </c>
      <c r="B41" s="1" t="s">
        <v>50</v>
      </c>
      <c r="C41" s="1">
        <v>-33</v>
      </c>
      <c r="D41" s="1">
        <v>30</v>
      </c>
      <c r="E41" s="1">
        <v>13</v>
      </c>
      <c r="F41" s="1">
        <v>-13</v>
      </c>
      <c r="G41" s="7">
        <v>0.4</v>
      </c>
      <c r="H41" s="1">
        <v>40</v>
      </c>
      <c r="I41" s="15" t="s">
        <v>106</v>
      </c>
      <c r="J41" s="1"/>
      <c r="K41" s="1">
        <v>569</v>
      </c>
      <c r="L41" s="1">
        <f t="shared" si="10"/>
        <v>-556</v>
      </c>
      <c r="M41" s="1">
        <f t="shared" si="11"/>
        <v>13</v>
      </c>
      <c r="N41" s="1"/>
      <c r="O41" s="1">
        <v>100</v>
      </c>
      <c r="P41" s="1">
        <v>-102</v>
      </c>
      <c r="Q41" s="1">
        <v>200</v>
      </c>
      <c r="R41" s="1">
        <v>-203.99999999999997</v>
      </c>
      <c r="S41" s="24"/>
      <c r="T41" s="1"/>
      <c r="U41" s="1"/>
      <c r="V41" s="24"/>
      <c r="W41" s="1">
        <f t="shared" si="12"/>
        <v>2.6</v>
      </c>
      <c r="X41" s="5">
        <v>200</v>
      </c>
      <c r="Y41" s="5">
        <f t="shared" si="13"/>
        <v>200</v>
      </c>
      <c r="Z41" s="5">
        <f t="shared" si="13"/>
        <v>200</v>
      </c>
      <c r="AA41" s="5">
        <v>-101.99999999999999</v>
      </c>
      <c r="AB41" s="5">
        <f>Y41*0.5</f>
        <v>100</v>
      </c>
      <c r="AC41" s="1"/>
      <c r="AD41" s="1">
        <f>(F41+O41+P41+Q41+T41+Z41+AB41+R41+S41+U41+V41)/W41</f>
        <v>108.07692307692308</v>
      </c>
      <c r="AE41" s="1">
        <f>(F41+O41+P41+Q41+T41)/W41</f>
        <v>71.153846153846146</v>
      </c>
      <c r="AF41" s="1">
        <v>2.6</v>
      </c>
      <c r="AG41" s="1">
        <v>46</v>
      </c>
      <c r="AH41" s="1">
        <v>64.400000000000006</v>
      </c>
      <c r="AI41" s="1">
        <v>125</v>
      </c>
      <c r="AJ41" s="1">
        <v>116.2</v>
      </c>
      <c r="AK41" s="1">
        <v>86.8</v>
      </c>
      <c r="AL41" s="1">
        <v>126.8</v>
      </c>
      <c r="AM41" s="1">
        <v>86</v>
      </c>
      <c r="AN41" s="1"/>
      <c r="AO41" s="1">
        <f>ROUND(G41*Z41,0)</f>
        <v>80</v>
      </c>
      <c r="AP41" s="1">
        <f>ROUND(G41*AB41,0)</f>
        <v>40</v>
      </c>
      <c r="AQ41" t="s">
        <v>128</v>
      </c>
    </row>
    <row r="42" spans="1:43" x14ac:dyDescent="0.25">
      <c r="A42" s="1" t="s">
        <v>129</v>
      </c>
      <c r="B42" s="1" t="s">
        <v>42</v>
      </c>
      <c r="C42" s="1"/>
      <c r="D42" s="1">
        <v>52.552</v>
      </c>
      <c r="E42" s="1"/>
      <c r="F42" s="1">
        <v>48.122999999999998</v>
      </c>
      <c r="G42" s="7">
        <v>1</v>
      </c>
      <c r="H42" s="1"/>
      <c r="I42" s="15" t="s">
        <v>106</v>
      </c>
      <c r="J42" s="1"/>
      <c r="K42" s="1">
        <v>82.6</v>
      </c>
      <c r="L42" s="1">
        <f t="shared" si="10"/>
        <v>-82.6</v>
      </c>
      <c r="M42" s="1">
        <f t="shared" si="11"/>
        <v>0</v>
      </c>
      <c r="N42" s="1"/>
      <c r="O42" s="1">
        <v>20</v>
      </c>
      <c r="P42" s="1"/>
      <c r="Q42" s="1">
        <v>0</v>
      </c>
      <c r="R42" s="1"/>
      <c r="S42" s="24"/>
      <c r="T42" s="1"/>
      <c r="U42" s="1"/>
      <c r="V42" s="24"/>
      <c r="W42" s="1">
        <f t="shared" si="12"/>
        <v>0</v>
      </c>
      <c r="X42" s="5"/>
      <c r="Y42" s="5">
        <f t="shared" si="13"/>
        <v>0</v>
      </c>
      <c r="Z42" s="5">
        <f t="shared" si="13"/>
        <v>0</v>
      </c>
      <c r="AA42" s="5"/>
      <c r="AB42" s="5">
        <f>Y42*0.5</f>
        <v>0</v>
      </c>
      <c r="AC42" s="1"/>
      <c r="AD42" s="1" t="e">
        <f>(F42+O42+P42+Q42+T42+Z42+AB42+R42+S42+U42+V42)/W42</f>
        <v>#DIV/0!</v>
      </c>
      <c r="AE42" s="1" t="e">
        <f>(F42+O42+P42+Q42+T42)/W42</f>
        <v>#DIV/0!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 t="s">
        <v>130</v>
      </c>
      <c r="AO42" s="1">
        <f>ROUND(G42*Z42,0)</f>
        <v>0</v>
      </c>
      <c r="AP42" s="1">
        <f>ROUND(G42*AB42,0)</f>
        <v>0</v>
      </c>
      <c r="AQ42" t="s">
        <v>131</v>
      </c>
    </row>
    <row r="43" spans="1:43" x14ac:dyDescent="0.25">
      <c r="A43" s="1" t="s">
        <v>132</v>
      </c>
      <c r="B43" s="1" t="s">
        <v>50</v>
      </c>
      <c r="C43" s="1">
        <v>327</v>
      </c>
      <c r="D43" s="1">
        <v>220</v>
      </c>
      <c r="E43" s="1">
        <v>212</v>
      </c>
      <c r="F43" s="1">
        <v>276</v>
      </c>
      <c r="G43" s="7">
        <v>0.1</v>
      </c>
      <c r="H43" s="1">
        <v>731</v>
      </c>
      <c r="I43" s="1" t="s">
        <v>43</v>
      </c>
      <c r="J43" s="1"/>
      <c r="K43" s="1">
        <v>270</v>
      </c>
      <c r="L43" s="1">
        <f t="shared" si="10"/>
        <v>-58</v>
      </c>
      <c r="M43" s="1">
        <f t="shared" si="11"/>
        <v>212</v>
      </c>
      <c r="N43" s="1"/>
      <c r="O43" s="1"/>
      <c r="P43" s="1"/>
      <c r="Q43" s="1">
        <v>102.6</v>
      </c>
      <c r="R43" s="1"/>
      <c r="S43" s="24"/>
      <c r="T43" s="1"/>
      <c r="U43" s="1"/>
      <c r="V43" s="24"/>
      <c r="W43" s="1">
        <f t="shared" si="12"/>
        <v>42.4</v>
      </c>
      <c r="X43" s="5">
        <f>12*W43-T43-Q43-P43-O43-F43</f>
        <v>130.19999999999993</v>
      </c>
      <c r="Y43" s="5">
        <f t="shared" ref="Y43:Y48" si="14">X43</f>
        <v>130.19999999999993</v>
      </c>
      <c r="Z43" s="5">
        <f>Y43-AB43</f>
        <v>130.19999999999993</v>
      </c>
      <c r="AA43" s="5"/>
      <c r="AB43" s="5"/>
      <c r="AC43" s="1"/>
      <c r="AD43" s="1">
        <f>(F43+O43+P43+Q43+T43+Z43+AB43+R43+S43+U43+V43)/W43</f>
        <v>12</v>
      </c>
      <c r="AE43" s="1">
        <f>(F43+O43+P43+Q43+T43)/W43</f>
        <v>8.9292452830188687</v>
      </c>
      <c r="AF43" s="1">
        <v>42.4</v>
      </c>
      <c r="AG43" s="1">
        <v>41.4</v>
      </c>
      <c r="AH43" s="1">
        <v>35</v>
      </c>
      <c r="AI43" s="1">
        <v>35.4</v>
      </c>
      <c r="AJ43" s="1">
        <v>37.4</v>
      </c>
      <c r="AK43" s="1">
        <v>57.4</v>
      </c>
      <c r="AL43" s="1">
        <v>55.2</v>
      </c>
      <c r="AM43" s="1">
        <v>30.6</v>
      </c>
      <c r="AN43" s="1"/>
      <c r="AO43" s="1">
        <f>ROUND(G43*Z43,0)</f>
        <v>13</v>
      </c>
      <c r="AP43" s="1">
        <f>ROUND(G43*AB43,0)</f>
        <v>0</v>
      </c>
      <c r="AQ43" t="s">
        <v>133</v>
      </c>
    </row>
    <row r="44" spans="1:43" x14ac:dyDescent="0.25">
      <c r="A44" s="1" t="s">
        <v>134</v>
      </c>
      <c r="B44" s="1" t="s">
        <v>50</v>
      </c>
      <c r="C44" s="1"/>
      <c r="D44" s="1">
        <v>2</v>
      </c>
      <c r="E44" s="1">
        <v>21</v>
      </c>
      <c r="F44" s="1">
        <v>-2</v>
      </c>
      <c r="G44" s="7">
        <v>0.35</v>
      </c>
      <c r="H44" s="1">
        <v>40</v>
      </c>
      <c r="I44" s="15" t="s">
        <v>106</v>
      </c>
      <c r="J44" s="1"/>
      <c r="K44" s="1">
        <v>125</v>
      </c>
      <c r="L44" s="1">
        <f t="shared" si="10"/>
        <v>-104</v>
      </c>
      <c r="M44" s="1">
        <f t="shared" si="11"/>
        <v>21</v>
      </c>
      <c r="N44" s="1"/>
      <c r="O44" s="1">
        <v>50</v>
      </c>
      <c r="P44" s="1">
        <v>-54</v>
      </c>
      <c r="Q44" s="1">
        <v>50</v>
      </c>
      <c r="R44" s="1">
        <v>-54</v>
      </c>
      <c r="S44" s="24"/>
      <c r="T44" s="1"/>
      <c r="U44" s="1"/>
      <c r="V44" s="24"/>
      <c r="W44" s="1">
        <f t="shared" si="12"/>
        <v>4.2</v>
      </c>
      <c r="X44" s="5">
        <v>50</v>
      </c>
      <c r="Y44" s="5">
        <f t="shared" si="14"/>
        <v>50</v>
      </c>
      <c r="Z44" s="5">
        <f>Y44</f>
        <v>50</v>
      </c>
      <c r="AA44" s="5">
        <v>-30.000000000000004</v>
      </c>
      <c r="AB44" s="5">
        <f>Y44*0.5</f>
        <v>25</v>
      </c>
      <c r="AC44" s="1"/>
      <c r="AD44" s="1">
        <f>(F44+O44+P44+Q44+T44+Z44+AB44+R44+S44+U44+V44)/W44</f>
        <v>15.476190476190476</v>
      </c>
      <c r="AE44" s="1">
        <f>(F44+O44+P44+Q44+T44)/W44</f>
        <v>10.476190476190476</v>
      </c>
      <c r="AF44" s="1">
        <v>4.2</v>
      </c>
      <c r="AG44" s="1">
        <v>15.8</v>
      </c>
      <c r="AH44" s="1">
        <v>18.2</v>
      </c>
      <c r="AI44" s="1">
        <v>15.8</v>
      </c>
      <c r="AJ44" s="1">
        <v>18.8</v>
      </c>
      <c r="AK44" s="1">
        <v>28.4</v>
      </c>
      <c r="AL44" s="1">
        <v>24.4</v>
      </c>
      <c r="AM44" s="1">
        <v>10.199999999999999</v>
      </c>
      <c r="AN44" s="1"/>
      <c r="AO44" s="1">
        <f>ROUND(G44*Z44,0)</f>
        <v>18</v>
      </c>
      <c r="AP44" s="1">
        <f>ROUND(G44*AB44,0)</f>
        <v>9</v>
      </c>
      <c r="AQ44" t="s">
        <v>135</v>
      </c>
    </row>
    <row r="45" spans="1:43" x14ac:dyDescent="0.25">
      <c r="A45" s="1" t="s">
        <v>136</v>
      </c>
      <c r="B45" s="1" t="s">
        <v>42</v>
      </c>
      <c r="C45" s="1">
        <v>18.667999999999999</v>
      </c>
      <c r="D45" s="1">
        <v>27.004999999999999</v>
      </c>
      <c r="E45" s="1">
        <v>14.656000000000001</v>
      </c>
      <c r="F45" s="1">
        <v>23.622</v>
      </c>
      <c r="G45" s="7">
        <v>1</v>
      </c>
      <c r="H45" s="1">
        <v>40</v>
      </c>
      <c r="I45" s="1" t="s">
        <v>43</v>
      </c>
      <c r="J45" s="1"/>
      <c r="K45" s="1">
        <v>21.2</v>
      </c>
      <c r="L45" s="1">
        <f t="shared" si="10"/>
        <v>-6.5439999999999987</v>
      </c>
      <c r="M45" s="1">
        <f t="shared" si="11"/>
        <v>14.656000000000001</v>
      </c>
      <c r="N45" s="1"/>
      <c r="O45" s="1"/>
      <c r="P45" s="1"/>
      <c r="Q45" s="1">
        <v>4</v>
      </c>
      <c r="R45" s="1"/>
      <c r="S45" s="24"/>
      <c r="T45" s="1"/>
      <c r="U45" s="1"/>
      <c r="V45" s="24"/>
      <c r="W45" s="1">
        <f t="shared" si="12"/>
        <v>2.9312</v>
      </c>
      <c r="X45" s="5">
        <f>12*W45-T45-Q45-P45-O45-F45</f>
        <v>7.5523999999999987</v>
      </c>
      <c r="Y45" s="5">
        <f t="shared" si="14"/>
        <v>7.5523999999999987</v>
      </c>
      <c r="Z45" s="5">
        <f>Y45-AB45</f>
        <v>7.5523999999999987</v>
      </c>
      <c r="AA45" s="5"/>
      <c r="AB45" s="5"/>
      <c r="AC45" s="1"/>
      <c r="AD45" s="1">
        <f>(F45+O45+P45+Q45+T45+Z45+AB45+R45+S45+U45+V45)/W45</f>
        <v>12</v>
      </c>
      <c r="AE45" s="1">
        <f>(F45+O45+P45+Q45+T45)/W45</f>
        <v>9.4234443231441052</v>
      </c>
      <c r="AF45" s="1">
        <v>3.1116000000000001</v>
      </c>
      <c r="AG45" s="1">
        <v>2.6240000000000001</v>
      </c>
      <c r="AH45" s="1">
        <v>3.7808000000000002</v>
      </c>
      <c r="AI45" s="1">
        <v>4.3208000000000002</v>
      </c>
      <c r="AJ45" s="1">
        <v>3.3064</v>
      </c>
      <c r="AK45" s="1">
        <v>1.6506000000000001</v>
      </c>
      <c r="AL45" s="1">
        <v>2.6989999999999998</v>
      </c>
      <c r="AM45" s="1">
        <v>4.2096</v>
      </c>
      <c r="AN45" s="1"/>
      <c r="AO45" s="1">
        <f>ROUND(G45*Z45,0)</f>
        <v>8</v>
      </c>
      <c r="AP45" s="1">
        <f>ROUND(G45*AB45,0)</f>
        <v>0</v>
      </c>
      <c r="AQ45" t="s">
        <v>137</v>
      </c>
    </row>
    <row r="46" spans="1:43" x14ac:dyDescent="0.25">
      <c r="A46" s="1" t="s">
        <v>138</v>
      </c>
      <c r="B46" s="1" t="s">
        <v>50</v>
      </c>
      <c r="C46" s="1">
        <v>-32</v>
      </c>
      <c r="D46" s="1">
        <v>268</v>
      </c>
      <c r="E46" s="1">
        <v>154</v>
      </c>
      <c r="F46" s="1">
        <v>-31</v>
      </c>
      <c r="G46" s="7">
        <v>0.4</v>
      </c>
      <c r="H46" s="1">
        <v>40</v>
      </c>
      <c r="I46" s="15" t="s">
        <v>106</v>
      </c>
      <c r="J46" s="1"/>
      <c r="K46" s="1">
        <v>348</v>
      </c>
      <c r="L46" s="1">
        <f t="shared" si="10"/>
        <v>-194</v>
      </c>
      <c r="M46" s="1">
        <f t="shared" si="11"/>
        <v>154</v>
      </c>
      <c r="N46" s="1"/>
      <c r="O46" s="1"/>
      <c r="P46" s="1"/>
      <c r="Q46" s="1">
        <v>100</v>
      </c>
      <c r="R46" s="1"/>
      <c r="S46" s="24"/>
      <c r="T46" s="1"/>
      <c r="U46" s="1"/>
      <c r="V46" s="24"/>
      <c r="W46" s="1">
        <f t="shared" si="12"/>
        <v>30.8</v>
      </c>
      <c r="X46" s="5">
        <v>100</v>
      </c>
      <c r="Y46" s="5">
        <f t="shared" si="14"/>
        <v>100</v>
      </c>
      <c r="Z46" s="5">
        <f>Y46</f>
        <v>100</v>
      </c>
      <c r="AA46" s="5"/>
      <c r="AB46" s="5">
        <f>Y46*0.5</f>
        <v>50</v>
      </c>
      <c r="AC46" s="1"/>
      <c r="AD46" s="1">
        <f>(F46+O46+P46+Q46+T46+Z46+AB46+R46+S46+U46+V46)/W46</f>
        <v>7.1103896103896105</v>
      </c>
      <c r="AE46" s="1">
        <f>(F46+O46+P46+Q46+T46)/W46</f>
        <v>2.2402597402597402</v>
      </c>
      <c r="AF46" s="1">
        <v>31.8</v>
      </c>
      <c r="AG46" s="1">
        <v>4.8</v>
      </c>
      <c r="AH46" s="1">
        <v>0.4</v>
      </c>
      <c r="AI46" s="1">
        <v>-0.2</v>
      </c>
      <c r="AJ46" s="1">
        <v>-0.8</v>
      </c>
      <c r="AK46" s="1">
        <v>0.6</v>
      </c>
      <c r="AL46" s="1">
        <v>1.4</v>
      </c>
      <c r="AM46" s="1">
        <v>0.2</v>
      </c>
      <c r="AN46" s="1"/>
      <c r="AO46" s="1">
        <f>ROUND(G46*Z46,0)</f>
        <v>40</v>
      </c>
      <c r="AP46" s="1">
        <f>ROUND(G46*AB46,0)</f>
        <v>20</v>
      </c>
      <c r="AQ46" t="s">
        <v>139</v>
      </c>
    </row>
    <row r="47" spans="1:43" x14ac:dyDescent="0.25">
      <c r="A47" s="1" t="s">
        <v>140</v>
      </c>
      <c r="B47" s="1" t="s">
        <v>50</v>
      </c>
      <c r="C47" s="1">
        <v>9</v>
      </c>
      <c r="D47" s="1">
        <v>326</v>
      </c>
      <c r="E47" s="1">
        <v>146</v>
      </c>
      <c r="F47" s="1">
        <v>87</v>
      </c>
      <c r="G47" s="7">
        <v>0.4</v>
      </c>
      <c r="H47" s="1">
        <v>45</v>
      </c>
      <c r="I47" s="15" t="s">
        <v>106</v>
      </c>
      <c r="J47" s="1"/>
      <c r="K47" s="1">
        <v>525</v>
      </c>
      <c r="L47" s="1">
        <f t="shared" si="10"/>
        <v>-379</v>
      </c>
      <c r="M47" s="1">
        <f t="shared" si="11"/>
        <v>146</v>
      </c>
      <c r="N47" s="1"/>
      <c r="O47" s="1">
        <v>50</v>
      </c>
      <c r="P47" s="1"/>
      <c r="Q47" s="1">
        <v>60.199999999999989</v>
      </c>
      <c r="R47" s="1"/>
      <c r="S47" s="24"/>
      <c r="T47" s="1"/>
      <c r="U47" s="1"/>
      <c r="V47" s="24"/>
      <c r="W47" s="1">
        <f t="shared" si="12"/>
        <v>29.2</v>
      </c>
      <c r="X47" s="5">
        <v>100</v>
      </c>
      <c r="Y47" s="5">
        <f t="shared" si="14"/>
        <v>100</v>
      </c>
      <c r="Z47" s="5">
        <f>Y47</f>
        <v>100</v>
      </c>
      <c r="AA47" s="5"/>
      <c r="AB47" s="5">
        <f>Y47*0.5</f>
        <v>50</v>
      </c>
      <c r="AC47" s="1"/>
      <c r="AD47" s="1">
        <f>(F47+O47+P47+Q47+T47+Z47+AB47+R47+S47+U47+V47)/W47</f>
        <v>11.890410958904109</v>
      </c>
      <c r="AE47" s="1">
        <f>(F47+O47+P47+Q47+T47)/W47</f>
        <v>6.7534246575342465</v>
      </c>
      <c r="AF47" s="1">
        <v>29.2</v>
      </c>
      <c r="AG47" s="1">
        <v>8.8000000000000007</v>
      </c>
      <c r="AH47" s="1">
        <v>0</v>
      </c>
      <c r="AI47" s="1">
        <v>0.4</v>
      </c>
      <c r="AJ47" s="1">
        <v>26</v>
      </c>
      <c r="AK47" s="1">
        <v>58.6</v>
      </c>
      <c r="AL47" s="1">
        <v>50</v>
      </c>
      <c r="AM47" s="1">
        <v>30.6</v>
      </c>
      <c r="AN47" s="1"/>
      <c r="AO47" s="1">
        <f>ROUND(G47*Z47,0)</f>
        <v>40</v>
      </c>
      <c r="AP47" s="1">
        <f>ROUND(G47*AB47,0)</f>
        <v>20</v>
      </c>
      <c r="AQ47" t="s">
        <v>141</v>
      </c>
    </row>
    <row r="48" spans="1:43" x14ac:dyDescent="0.25">
      <c r="A48" s="1" t="s">
        <v>142</v>
      </c>
      <c r="B48" s="1" t="s">
        <v>42</v>
      </c>
      <c r="C48" s="1">
        <v>35.881</v>
      </c>
      <c r="D48" s="1">
        <v>18.788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5" t="s">
        <v>106</v>
      </c>
      <c r="J48" s="1"/>
      <c r="K48" s="1">
        <v>33.121000000000002</v>
      </c>
      <c r="L48" s="1">
        <f t="shared" si="10"/>
        <v>-4.0420000000000016</v>
      </c>
      <c r="M48" s="1">
        <f t="shared" si="11"/>
        <v>29.079000000000001</v>
      </c>
      <c r="N48" s="1"/>
      <c r="O48" s="1"/>
      <c r="P48" s="1"/>
      <c r="Q48" s="1">
        <v>34.781200000000013</v>
      </c>
      <c r="R48" s="1"/>
      <c r="S48" s="24"/>
      <c r="T48" s="1"/>
      <c r="U48" s="1"/>
      <c r="V48" s="24"/>
      <c r="W48" s="1">
        <f t="shared" si="12"/>
        <v>5.8158000000000003</v>
      </c>
      <c r="X48" s="5">
        <f>12*W48-T48-Q48-P48-O48-F48</f>
        <v>10.751399999999993</v>
      </c>
      <c r="Y48" s="5">
        <f t="shared" si="14"/>
        <v>10.751399999999993</v>
      </c>
      <c r="Z48" s="5">
        <f>Y48</f>
        <v>10.751399999999993</v>
      </c>
      <c r="AA48" s="5"/>
      <c r="AB48" s="5"/>
      <c r="AC48" s="1"/>
      <c r="AD48" s="1">
        <f>(F48+O48+P48+Q48+T48+Z48+AB48+R48+S48+U48+V48)/W48</f>
        <v>12</v>
      </c>
      <c r="AE48" s="1">
        <f>(F48+O48+P48+Q48+T48)/W48</f>
        <v>10.151346332404831</v>
      </c>
      <c r="AF48" s="1">
        <v>5.8158000000000003</v>
      </c>
      <c r="AG48" s="1">
        <v>7.0093999999999994</v>
      </c>
      <c r="AH48" s="1">
        <v>6.5449999999999999</v>
      </c>
      <c r="AI48" s="1">
        <v>3.3479999999999999</v>
      </c>
      <c r="AJ48" s="1">
        <v>1.8211999999999999</v>
      </c>
      <c r="AK48" s="1">
        <v>7.1238000000000001</v>
      </c>
      <c r="AL48" s="1">
        <v>8.9621999999999993</v>
      </c>
      <c r="AM48" s="1">
        <v>4.3483999999999998</v>
      </c>
      <c r="AN48" s="1"/>
      <c r="AO48" s="1">
        <f>ROUND(G48*Z48,0)</f>
        <v>11</v>
      </c>
      <c r="AP48" s="1">
        <f>ROUND(G48*AB48,0)</f>
        <v>0</v>
      </c>
      <c r="AQ48" t="s">
        <v>143</v>
      </c>
    </row>
    <row r="49" spans="1:44" x14ac:dyDescent="0.25">
      <c r="A49" s="1" t="s">
        <v>144</v>
      </c>
      <c r="B49" s="1" t="s">
        <v>50</v>
      </c>
      <c r="C49" s="1">
        <v>508</v>
      </c>
      <c r="D49" s="1">
        <v>351</v>
      </c>
      <c r="E49" s="1">
        <v>644</v>
      </c>
      <c r="F49" s="1">
        <v>-55</v>
      </c>
      <c r="G49" s="7">
        <v>0.35</v>
      </c>
      <c r="H49" s="1">
        <v>40</v>
      </c>
      <c r="I49" s="15" t="s">
        <v>106</v>
      </c>
      <c r="J49" s="1"/>
      <c r="K49" s="1">
        <v>886</v>
      </c>
      <c r="L49" s="1">
        <f t="shared" si="10"/>
        <v>-242</v>
      </c>
      <c r="M49" s="1">
        <f t="shared" si="11"/>
        <v>494</v>
      </c>
      <c r="N49" s="1">
        <v>150</v>
      </c>
      <c r="O49" s="1">
        <v>158.80799999999991</v>
      </c>
      <c r="P49" s="1">
        <v>-162</v>
      </c>
      <c r="Q49" s="1">
        <v>200</v>
      </c>
      <c r="R49" s="1">
        <v>-204.00000000000003</v>
      </c>
      <c r="S49" s="24"/>
      <c r="T49" s="1"/>
      <c r="U49" s="1"/>
      <c r="V49" s="24"/>
      <c r="W49" s="1">
        <f t="shared" si="12"/>
        <v>98.8</v>
      </c>
      <c r="X49" s="5">
        <f>200</f>
        <v>200</v>
      </c>
      <c r="Y49" s="5">
        <f>X49+700</f>
        <v>900</v>
      </c>
      <c r="Z49" s="5">
        <f>Y49</f>
        <v>900</v>
      </c>
      <c r="AA49" s="5">
        <v>-456</v>
      </c>
      <c r="AB49" s="5">
        <f>Y49*0.5</f>
        <v>450</v>
      </c>
      <c r="AC49" s="1" t="str">
        <f>VLOOKUP(A49,[2]Sheet!$A:$U,21,0)</f>
        <v xml:space="preserve">1500 нужно в сеть ютл </v>
      </c>
      <c r="AD49" s="1">
        <f>(F49+O49+P49+Q49+T49+Z49+AB49+R49+S49+U49+V49)/W49</f>
        <v>13.034493927125506</v>
      </c>
      <c r="AE49" s="1">
        <f>(F49+O49+P49+Q49+T49)/W49</f>
        <v>1.4353036437246955</v>
      </c>
      <c r="AF49" s="1">
        <v>122.8</v>
      </c>
      <c r="AG49" s="1">
        <v>88.6</v>
      </c>
      <c r="AH49" s="1">
        <v>86.8</v>
      </c>
      <c r="AI49" s="1">
        <v>80.2</v>
      </c>
      <c r="AJ49" s="1">
        <v>92.8</v>
      </c>
      <c r="AK49" s="1">
        <v>120.2</v>
      </c>
      <c r="AL49" s="1">
        <v>117.4</v>
      </c>
      <c r="AM49" s="1">
        <v>88</v>
      </c>
      <c r="AN49" s="1"/>
      <c r="AO49" s="1">
        <f>ROUND(G49*Z49,0)</f>
        <v>315</v>
      </c>
      <c r="AP49" s="1">
        <f>ROUND(G49*AB49,0)</f>
        <v>158</v>
      </c>
      <c r="AQ49" t="s">
        <v>145</v>
      </c>
    </row>
    <row r="50" spans="1:44" x14ac:dyDescent="0.25">
      <c r="A50" s="1" t="s">
        <v>146</v>
      </c>
      <c r="B50" s="1" t="s">
        <v>50</v>
      </c>
      <c r="C50" s="1">
        <v>61</v>
      </c>
      <c r="D50" s="1">
        <v>511</v>
      </c>
      <c r="E50" s="1">
        <v>154</v>
      </c>
      <c r="F50" s="1">
        <v>222</v>
      </c>
      <c r="G50" s="7">
        <v>0.4</v>
      </c>
      <c r="H50" s="1">
        <v>40</v>
      </c>
      <c r="I50" s="15" t="s">
        <v>106</v>
      </c>
      <c r="J50" s="1"/>
      <c r="K50" s="1">
        <v>640</v>
      </c>
      <c r="L50" s="1">
        <f t="shared" si="10"/>
        <v>-486</v>
      </c>
      <c r="M50" s="1">
        <f t="shared" si="11"/>
        <v>154</v>
      </c>
      <c r="N50" s="1"/>
      <c r="O50" s="1">
        <v>100</v>
      </c>
      <c r="P50" s="1"/>
      <c r="Q50" s="1">
        <v>150</v>
      </c>
      <c r="R50" s="1"/>
      <c r="S50" s="24"/>
      <c r="T50" s="1"/>
      <c r="U50" s="1"/>
      <c r="V50" s="24"/>
      <c r="W50" s="1">
        <f t="shared" si="12"/>
        <v>30.8</v>
      </c>
      <c r="X50" s="5">
        <v>50</v>
      </c>
      <c r="Y50" s="5">
        <f>X50</f>
        <v>50</v>
      </c>
      <c r="Z50" s="5">
        <f>Y50</f>
        <v>50</v>
      </c>
      <c r="AA50" s="5"/>
      <c r="AB50" s="5">
        <f>Y50*0.5</f>
        <v>25</v>
      </c>
      <c r="AC50" s="1"/>
      <c r="AD50" s="1">
        <f>(F50+O50+P50+Q50+T50+Z50+AB50+R50+S50+U50+V50)/W50</f>
        <v>17.759740259740258</v>
      </c>
      <c r="AE50" s="1">
        <f>(F50+O50+P50+Q50+T50)/W50</f>
        <v>15.324675324675324</v>
      </c>
      <c r="AF50" s="1">
        <v>31.2</v>
      </c>
      <c r="AG50" s="1">
        <v>27.8</v>
      </c>
      <c r="AH50" s="1">
        <v>53.4</v>
      </c>
      <c r="AI50" s="1">
        <v>47</v>
      </c>
      <c r="AJ50" s="1">
        <v>48.6</v>
      </c>
      <c r="AK50" s="1">
        <v>78.8</v>
      </c>
      <c r="AL50" s="1">
        <v>51</v>
      </c>
      <c r="AM50" s="1">
        <v>35.799999999999997</v>
      </c>
      <c r="AN50" s="1"/>
      <c r="AO50" s="1">
        <f>ROUND(G50*Z50,0)</f>
        <v>20</v>
      </c>
      <c r="AP50" s="1">
        <f>ROUND(G50*AB50,0)</f>
        <v>10</v>
      </c>
      <c r="AQ50" t="s">
        <v>147</v>
      </c>
    </row>
    <row r="51" spans="1:44" x14ac:dyDescent="0.25">
      <c r="A51" s="1" t="s">
        <v>148</v>
      </c>
      <c r="B51" s="1" t="s">
        <v>42</v>
      </c>
      <c r="C51" s="1">
        <v>71.088999999999999</v>
      </c>
      <c r="D51" s="1">
        <v>229.054</v>
      </c>
      <c r="E51" s="1">
        <v>87.635999999999996</v>
      </c>
      <c r="F51" s="1">
        <v>19.741</v>
      </c>
      <c r="G51" s="7">
        <v>1</v>
      </c>
      <c r="H51" s="1">
        <v>50</v>
      </c>
      <c r="I51" s="1" t="s">
        <v>43</v>
      </c>
      <c r="J51" s="1"/>
      <c r="K51" s="1">
        <v>260.08999999999997</v>
      </c>
      <c r="L51" s="1">
        <f t="shared" si="10"/>
        <v>-172.45399999999998</v>
      </c>
      <c r="M51" s="1">
        <f t="shared" si="11"/>
        <v>-53.712999999999994</v>
      </c>
      <c r="N51" s="1">
        <v>141.34899999999999</v>
      </c>
      <c r="O51" s="1"/>
      <c r="P51" s="1"/>
      <c r="Q51" s="1">
        <v>54.571199999999983</v>
      </c>
      <c r="R51" s="1"/>
      <c r="S51" s="24"/>
      <c r="T51" s="1"/>
      <c r="U51" s="1"/>
      <c r="V51" s="24"/>
      <c r="W51" s="1">
        <f t="shared" si="12"/>
        <v>-10.742599999999999</v>
      </c>
      <c r="X51" s="5">
        <v>60</v>
      </c>
      <c r="Y51" s="5">
        <f>X51</f>
        <v>60</v>
      </c>
      <c r="Z51" s="5">
        <f>Y51-AB51</f>
        <v>60</v>
      </c>
      <c r="AA51" s="5"/>
      <c r="AB51" s="5"/>
      <c r="AC51" s="1"/>
      <c r="AD51" s="1">
        <f>(F51+O51+P51+Q51+T51+Z51+AB51+R51+S51+U51+V51)/W51</f>
        <v>-12.502764693835756</v>
      </c>
      <c r="AE51" s="1">
        <f>(F51+O51+P51+Q51+T51)/W51</f>
        <v>-6.9175246215999842</v>
      </c>
      <c r="AF51" s="1">
        <v>17.911200000000001</v>
      </c>
      <c r="AG51" s="1">
        <v>18.7516</v>
      </c>
      <c r="AH51" s="1">
        <v>17.372199999999999</v>
      </c>
      <c r="AI51" s="1">
        <v>14.885999999999999</v>
      </c>
      <c r="AJ51" s="1">
        <v>16.802199999999999</v>
      </c>
      <c r="AK51" s="1">
        <v>14.042400000000001</v>
      </c>
      <c r="AL51" s="1">
        <v>19.11</v>
      </c>
      <c r="AM51" s="1">
        <v>17.2288</v>
      </c>
      <c r="AN51" s="1"/>
      <c r="AO51" s="1">
        <f>ROUND(G51*Z51,0)</f>
        <v>60</v>
      </c>
      <c r="AP51" s="1">
        <f>ROUND(G51*AB51,0)</f>
        <v>0</v>
      </c>
      <c r="AQ51" t="s">
        <v>149</v>
      </c>
    </row>
    <row r="52" spans="1:44" x14ac:dyDescent="0.25">
      <c r="A52" s="1" t="s">
        <v>150</v>
      </c>
      <c r="B52" s="1" t="s">
        <v>42</v>
      </c>
      <c r="C52" s="1">
        <v>909.63800000000003</v>
      </c>
      <c r="D52" s="1">
        <v>1210.748</v>
      </c>
      <c r="E52" s="1">
        <v>841.53599999999994</v>
      </c>
      <c r="F52" s="1">
        <v>386.55599999999998</v>
      </c>
      <c r="G52" s="7">
        <v>1</v>
      </c>
      <c r="H52" s="1">
        <v>50</v>
      </c>
      <c r="I52" s="1" t="s">
        <v>43</v>
      </c>
      <c r="J52" s="1"/>
      <c r="K52" s="1">
        <v>1224.2149999999999</v>
      </c>
      <c r="L52" s="1">
        <f t="shared" si="10"/>
        <v>-382.67899999999997</v>
      </c>
      <c r="M52" s="1">
        <f t="shared" si="11"/>
        <v>517.01900000000001</v>
      </c>
      <c r="N52" s="1">
        <v>324.517</v>
      </c>
      <c r="O52" s="1"/>
      <c r="P52" s="1"/>
      <c r="Q52" s="1">
        <v>414.87601488000001</v>
      </c>
      <c r="R52" s="1"/>
      <c r="S52" s="24"/>
      <c r="T52" s="1">
        <v>515.33926512000005</v>
      </c>
      <c r="U52" s="1"/>
      <c r="V52" s="24"/>
      <c r="W52" s="1">
        <f t="shared" si="12"/>
        <v>103.4038</v>
      </c>
      <c r="X52" s="5"/>
      <c r="Y52" s="5">
        <f>X52</f>
        <v>0</v>
      </c>
      <c r="Z52" s="5">
        <f>Y52-AB52</f>
        <v>0</v>
      </c>
      <c r="AA52" s="5"/>
      <c r="AB52" s="5"/>
      <c r="AC52" s="1"/>
      <c r="AD52" s="1">
        <f>(F52+O52+P52+Q52+T52+Z52+AB52+R52+S52+U52+V52)/W52</f>
        <v>12.734263924536622</v>
      </c>
      <c r="AE52" s="1">
        <f>(F52+O52+P52+Q52+T52)/W52</f>
        <v>12.734263924536622</v>
      </c>
      <c r="AF52" s="1">
        <v>157.8124</v>
      </c>
      <c r="AG52" s="1">
        <v>128.76320000000001</v>
      </c>
      <c r="AH52" s="1">
        <v>111.2424</v>
      </c>
      <c r="AI52" s="1">
        <v>138.00559999999999</v>
      </c>
      <c r="AJ52" s="1">
        <v>108.6206</v>
      </c>
      <c r="AK52" s="1">
        <v>78.2346</v>
      </c>
      <c r="AL52" s="1">
        <v>79.395399999999995</v>
      </c>
      <c r="AM52" s="1">
        <v>52.078800000000022</v>
      </c>
      <c r="AN52" s="1"/>
      <c r="AO52" s="1">
        <f>ROUND(G52*Z52,0)</f>
        <v>0</v>
      </c>
      <c r="AP52" s="1">
        <f>ROUND(G52*AB52,0)</f>
        <v>0</v>
      </c>
      <c r="AQ52" t="s">
        <v>151</v>
      </c>
    </row>
    <row r="53" spans="1:44" x14ac:dyDescent="0.25">
      <c r="A53" s="9" t="s">
        <v>152</v>
      </c>
      <c r="B53" s="9" t="s">
        <v>42</v>
      </c>
      <c r="C53" s="9"/>
      <c r="D53" s="9"/>
      <c r="E53" s="9"/>
      <c r="F53" s="9"/>
      <c r="G53" s="10">
        <v>0</v>
      </c>
      <c r="H53" s="9"/>
      <c r="I53" s="9" t="s">
        <v>43</v>
      </c>
      <c r="J53" s="9"/>
      <c r="K53" s="9"/>
      <c r="L53" s="9">
        <f t="shared" si="10"/>
        <v>0</v>
      </c>
      <c r="M53" s="9">
        <f t="shared" si="11"/>
        <v>0</v>
      </c>
      <c r="N53" s="9"/>
      <c r="O53" s="9"/>
      <c r="P53" s="9"/>
      <c r="Q53" s="9">
        <v>0</v>
      </c>
      <c r="R53" s="9"/>
      <c r="S53" s="27"/>
      <c r="T53" s="9"/>
      <c r="U53" s="9"/>
      <c r="V53" s="27"/>
      <c r="W53" s="9">
        <f t="shared" si="12"/>
        <v>0</v>
      </c>
      <c r="X53" s="11"/>
      <c r="Y53" s="5">
        <f>X53</f>
        <v>0</v>
      </c>
      <c r="Z53" s="5">
        <f>Y53-AB53</f>
        <v>0</v>
      </c>
      <c r="AA53" s="5"/>
      <c r="AB53" s="5"/>
      <c r="AC53" s="1"/>
      <c r="AD53" s="1" t="e">
        <f>(F53+O53+P53+Q53+T53+Z53+AB53+R53+S53+U53+V53)/W53</f>
        <v>#DIV/0!</v>
      </c>
      <c r="AE53" s="9" t="e">
        <f>(F53+O53+P53+Q53+T53)/W53</f>
        <v>#DIV/0!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 t="s">
        <v>80</v>
      </c>
      <c r="AO53" s="1">
        <f>ROUND(G53*Z53,0)</f>
        <v>0</v>
      </c>
      <c r="AP53" s="1">
        <f>ROUND(G53*AB53,0)</f>
        <v>0</v>
      </c>
      <c r="AQ53" t="s">
        <v>153</v>
      </c>
    </row>
    <row r="54" spans="1:44" x14ac:dyDescent="0.25">
      <c r="A54" s="23" t="s">
        <v>154</v>
      </c>
      <c r="B54" s="1" t="s">
        <v>50</v>
      </c>
      <c r="C54" s="1">
        <v>366</v>
      </c>
      <c r="D54" s="1">
        <v>644</v>
      </c>
      <c r="E54" s="1">
        <v>496</v>
      </c>
      <c r="F54" s="1">
        <v>335</v>
      </c>
      <c r="G54" s="7">
        <v>0.45</v>
      </c>
      <c r="H54" s="1">
        <v>50</v>
      </c>
      <c r="I54" s="1" t="s">
        <v>43</v>
      </c>
      <c r="J54" s="1"/>
      <c r="K54" s="1">
        <v>627</v>
      </c>
      <c r="L54" s="1">
        <f t="shared" si="10"/>
        <v>-131</v>
      </c>
      <c r="M54" s="1">
        <f t="shared" si="11"/>
        <v>346</v>
      </c>
      <c r="N54" s="1">
        <v>150</v>
      </c>
      <c r="O54" s="1">
        <v>124.983456</v>
      </c>
      <c r="P54" s="1"/>
      <c r="Q54" s="1">
        <v>180.29425119999991</v>
      </c>
      <c r="R54" s="1"/>
      <c r="S54" s="24">
        <f>250/G54</f>
        <v>555.55555555555554</v>
      </c>
      <c r="T54" s="1">
        <v>223.9529488</v>
      </c>
      <c r="U54" s="1"/>
      <c r="V54" s="24"/>
      <c r="W54" s="1">
        <f t="shared" si="12"/>
        <v>69.2</v>
      </c>
      <c r="X54" s="5"/>
      <c r="Y54" s="5">
        <f>X54</f>
        <v>0</v>
      </c>
      <c r="Z54" s="5">
        <f>Y54-AB54</f>
        <v>0</v>
      </c>
      <c r="AA54" s="5"/>
      <c r="AB54" s="5"/>
      <c r="AC54" s="1"/>
      <c r="AD54" s="1">
        <f>(F54+O54+P54+Q54+T54+Z54+AB54+R54+S54+U54+V54)/W54</f>
        <v>20.517141785484903</v>
      </c>
      <c r="AE54" s="1">
        <f>(F54+O54+P54+Q54+T54)/W54</f>
        <v>12.488882312138728</v>
      </c>
      <c r="AF54" s="1">
        <v>93.6</v>
      </c>
      <c r="AG54" s="1">
        <v>82</v>
      </c>
      <c r="AH54" s="1">
        <v>69.599999999999994</v>
      </c>
      <c r="AI54" s="1">
        <v>75.2</v>
      </c>
      <c r="AJ54" s="1">
        <v>79.400000000000006</v>
      </c>
      <c r="AK54" s="1">
        <v>86.2</v>
      </c>
      <c r="AL54" s="1">
        <v>84</v>
      </c>
      <c r="AM54" s="1">
        <v>66.400000000000006</v>
      </c>
      <c r="AN54" s="1"/>
      <c r="AO54" s="1">
        <f>ROUND(G54*Z54,0)</f>
        <v>0</v>
      </c>
      <c r="AP54" s="1">
        <f>ROUND(G54*AB54,0)</f>
        <v>0</v>
      </c>
      <c r="AQ54" t="s">
        <v>155</v>
      </c>
      <c r="AR54" t="str">
        <f>VLOOKUP(AQ54,[1]Лист1!$A:$A,1,0)</f>
        <v>SU002815</v>
      </c>
    </row>
    <row r="55" spans="1:44" x14ac:dyDescent="0.25">
      <c r="A55" s="1" t="s">
        <v>156</v>
      </c>
      <c r="B55" s="1" t="s">
        <v>50</v>
      </c>
      <c r="C55" s="1">
        <v>677</v>
      </c>
      <c r="D55" s="1">
        <v>675</v>
      </c>
      <c r="E55" s="1">
        <v>694</v>
      </c>
      <c r="F55" s="1">
        <v>691</v>
      </c>
      <c r="G55" s="7">
        <v>0.45</v>
      </c>
      <c r="H55" s="1">
        <v>50</v>
      </c>
      <c r="I55" s="1" t="s">
        <v>43</v>
      </c>
      <c r="J55" s="1"/>
      <c r="K55" s="1">
        <v>641</v>
      </c>
      <c r="L55" s="1">
        <f t="shared" si="10"/>
        <v>53</v>
      </c>
      <c r="M55" s="1">
        <f t="shared" si="11"/>
        <v>694</v>
      </c>
      <c r="N55" s="1"/>
      <c r="O55" s="1">
        <v>166.32128239999989</v>
      </c>
      <c r="P55" s="1"/>
      <c r="Q55" s="1">
        <v>295.51575548</v>
      </c>
      <c r="R55" s="1"/>
      <c r="S55" s="24"/>
      <c r="T55" s="1">
        <v>367.07562452000008</v>
      </c>
      <c r="U55" s="1"/>
      <c r="V55" s="24"/>
      <c r="W55" s="1">
        <f t="shared" si="12"/>
        <v>138.80000000000001</v>
      </c>
      <c r="X55" s="5">
        <f>12*W55-T55-Q55-P55-O55-F55</f>
        <v>145.68733760000021</v>
      </c>
      <c r="Y55" s="5">
        <f>X55+$Y$1*W55</f>
        <v>281.71133760000021</v>
      </c>
      <c r="Z55" s="5">
        <f>Y55-AB55</f>
        <v>281.71133760000021</v>
      </c>
      <c r="AA55" s="5"/>
      <c r="AB55" s="5"/>
      <c r="AC55" s="1"/>
      <c r="AD55" s="1">
        <f>(F55+O55+P55+Q55+T55+Z55+AB55+R55+S55+U55+V55)/W55</f>
        <v>12.979999999999999</v>
      </c>
      <c r="AE55" s="1">
        <f>(F55+O55+P55+Q55+T55)/W55</f>
        <v>10.950379412103745</v>
      </c>
      <c r="AF55" s="1">
        <v>140.19999999999999</v>
      </c>
      <c r="AG55" s="1">
        <v>121.6</v>
      </c>
      <c r="AH55" s="1">
        <v>115</v>
      </c>
      <c r="AI55" s="1">
        <v>109</v>
      </c>
      <c r="AJ55" s="1">
        <v>86</v>
      </c>
      <c r="AK55" s="1">
        <v>112.8</v>
      </c>
      <c r="AL55" s="1">
        <v>148.19999999999999</v>
      </c>
      <c r="AM55" s="1">
        <v>93.6</v>
      </c>
      <c r="AN55" s="1"/>
      <c r="AO55" s="1">
        <f>ROUND(G55*Z55,0)</f>
        <v>127</v>
      </c>
      <c r="AP55" s="1">
        <f>ROUND(G55*AB55,0)</f>
        <v>0</v>
      </c>
      <c r="AQ55" t="s">
        <v>157</v>
      </c>
    </row>
    <row r="56" spans="1:44" x14ac:dyDescent="0.25">
      <c r="A56" s="9" t="s">
        <v>158</v>
      </c>
      <c r="B56" s="9" t="s">
        <v>50</v>
      </c>
      <c r="C56" s="9"/>
      <c r="D56" s="9"/>
      <c r="E56" s="9"/>
      <c r="F56" s="9"/>
      <c r="G56" s="10">
        <v>0</v>
      </c>
      <c r="H56" s="9"/>
      <c r="I56" s="9" t="s">
        <v>43</v>
      </c>
      <c r="J56" s="9"/>
      <c r="K56" s="9"/>
      <c r="L56" s="9">
        <f t="shared" si="10"/>
        <v>0</v>
      </c>
      <c r="M56" s="9">
        <f t="shared" si="11"/>
        <v>0</v>
      </c>
      <c r="N56" s="9"/>
      <c r="O56" s="9"/>
      <c r="P56" s="9"/>
      <c r="Q56" s="9">
        <v>0</v>
      </c>
      <c r="R56" s="9"/>
      <c r="S56" s="27"/>
      <c r="T56" s="9"/>
      <c r="U56" s="9"/>
      <c r="V56" s="27"/>
      <c r="W56" s="9">
        <f t="shared" si="12"/>
        <v>0</v>
      </c>
      <c r="X56" s="11"/>
      <c r="Y56" s="5">
        <f t="shared" ref="Y56:Y65" si="15">X56</f>
        <v>0</v>
      </c>
      <c r="Z56" s="5">
        <f>Y56-AB56</f>
        <v>0</v>
      </c>
      <c r="AA56" s="5"/>
      <c r="AB56" s="5"/>
      <c r="AC56" s="1"/>
      <c r="AD56" s="1" t="e">
        <f>(F56+O56+P56+Q56+T56+Z56+AB56+R56+S56+U56+V56)/W56</f>
        <v>#DIV/0!</v>
      </c>
      <c r="AE56" s="9" t="e">
        <f>(F56+O56+P56+Q56+T56)/W56</f>
        <v>#DIV/0!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 t="s">
        <v>80</v>
      </c>
      <c r="AO56" s="1">
        <f>ROUND(G56*Z56,0)</f>
        <v>0</v>
      </c>
      <c r="AP56" s="1">
        <f>ROUND(G56*AB56,0)</f>
        <v>0</v>
      </c>
      <c r="AQ56" t="s">
        <v>159</v>
      </c>
    </row>
    <row r="57" spans="1:44" x14ac:dyDescent="0.25">
      <c r="A57" s="1" t="s">
        <v>160</v>
      </c>
      <c r="B57" s="1" t="s">
        <v>50</v>
      </c>
      <c r="C57" s="1"/>
      <c r="D57" s="1">
        <v>50</v>
      </c>
      <c r="E57" s="1">
        <v>12</v>
      </c>
      <c r="F57" s="1">
        <v>19</v>
      </c>
      <c r="G57" s="7">
        <v>0.4</v>
      </c>
      <c r="H57" s="1">
        <v>40</v>
      </c>
      <c r="I57" s="15" t="s">
        <v>106</v>
      </c>
      <c r="J57" s="1"/>
      <c r="K57" s="1">
        <v>30</v>
      </c>
      <c r="L57" s="1">
        <f t="shared" si="10"/>
        <v>-18</v>
      </c>
      <c r="M57" s="1">
        <f t="shared" si="11"/>
        <v>12</v>
      </c>
      <c r="N57" s="1"/>
      <c r="O57" s="1"/>
      <c r="P57" s="1"/>
      <c r="Q57" s="1">
        <v>10</v>
      </c>
      <c r="R57" s="1"/>
      <c r="S57" s="24"/>
      <c r="T57" s="1"/>
      <c r="U57" s="1"/>
      <c r="V57" s="24"/>
      <c r="W57" s="1">
        <f t="shared" si="12"/>
        <v>2.4</v>
      </c>
      <c r="X57" s="5">
        <v>10</v>
      </c>
      <c r="Y57" s="5">
        <f t="shared" si="15"/>
        <v>10</v>
      </c>
      <c r="Z57" s="5">
        <f>Y57</f>
        <v>10</v>
      </c>
      <c r="AA57" s="5"/>
      <c r="AB57" s="5"/>
      <c r="AC57" s="1"/>
      <c r="AD57" s="1">
        <f>(F57+O57+P57+Q57+T57+Z57+AB57+R57+S57+U57+V57)/W57</f>
        <v>16.25</v>
      </c>
      <c r="AE57" s="1">
        <f>(F57+O57+P57+Q57+T57)/W57</f>
        <v>12.083333333333334</v>
      </c>
      <c r="AF57" s="1">
        <v>2.4</v>
      </c>
      <c r="AG57" s="1">
        <v>-0.4</v>
      </c>
      <c r="AH57" s="1">
        <v>0.2</v>
      </c>
      <c r="AI57" s="1">
        <v>2.4</v>
      </c>
      <c r="AJ57" s="1">
        <v>2.8</v>
      </c>
      <c r="AK57" s="1">
        <v>4.8</v>
      </c>
      <c r="AL57" s="1">
        <v>5.6</v>
      </c>
      <c r="AM57" s="1">
        <v>3</v>
      </c>
      <c r="AN57" s="1"/>
      <c r="AO57" s="1">
        <f>ROUND(G57*Z57,0)</f>
        <v>4</v>
      </c>
      <c r="AP57" s="1">
        <f>ROUND(G57*AB57,0)</f>
        <v>0</v>
      </c>
      <c r="AQ57" t="s">
        <v>161</v>
      </c>
    </row>
    <row r="58" spans="1:44" x14ac:dyDescent="0.25">
      <c r="A58" s="23" t="s">
        <v>162</v>
      </c>
      <c r="B58" s="1" t="s">
        <v>42</v>
      </c>
      <c r="C58" s="1">
        <v>237.38200000000001</v>
      </c>
      <c r="D58" s="1">
        <v>761.19600000000003</v>
      </c>
      <c r="E58" s="1">
        <v>397.166</v>
      </c>
      <c r="F58" s="1">
        <v>313.839</v>
      </c>
      <c r="G58" s="7">
        <v>1</v>
      </c>
      <c r="H58" s="1">
        <v>50</v>
      </c>
      <c r="I58" s="1" t="s">
        <v>43</v>
      </c>
      <c r="J58" s="1"/>
      <c r="K58" s="1">
        <v>623.72699999999998</v>
      </c>
      <c r="L58" s="1">
        <f t="shared" si="10"/>
        <v>-226.56099999999998</v>
      </c>
      <c r="M58" s="1">
        <f t="shared" si="11"/>
        <v>290.13900000000001</v>
      </c>
      <c r="N58" s="1">
        <v>107.027</v>
      </c>
      <c r="O58" s="1">
        <v>231.74273485791991</v>
      </c>
      <c r="P58" s="1"/>
      <c r="Q58" s="1">
        <v>0</v>
      </c>
      <c r="R58" s="1"/>
      <c r="S58" s="24">
        <v>100</v>
      </c>
      <c r="T58" s="1"/>
      <c r="U58" s="1"/>
      <c r="V58" s="24"/>
      <c r="W58" s="1">
        <f t="shared" si="12"/>
        <v>58.027799999999999</v>
      </c>
      <c r="X58" s="5">
        <f>12*W58-T58-Q58-P58-O58-F58</f>
        <v>150.75186514208002</v>
      </c>
      <c r="Y58" s="5">
        <f t="shared" si="15"/>
        <v>150.75186514208002</v>
      </c>
      <c r="Z58" s="5">
        <f>Y58-AB58</f>
        <v>150.75186514208002</v>
      </c>
      <c r="AA58" s="5"/>
      <c r="AB58" s="5"/>
      <c r="AC58" s="1"/>
      <c r="AD58" s="1">
        <f>(F58+O58+P58+Q58+T58+Z58+AB58+R58+S58+U58+V58)/W58</f>
        <v>13.723311929799165</v>
      </c>
      <c r="AE58" s="1">
        <f>(F58+O58+P58+Q58+T58)/W58</f>
        <v>9.4020751236117839</v>
      </c>
      <c r="AF58" s="1">
        <v>74.771800000000013</v>
      </c>
      <c r="AG58" s="1">
        <v>94.477599999999981</v>
      </c>
      <c r="AH58" s="1">
        <v>78.927799999999991</v>
      </c>
      <c r="AI58" s="1">
        <v>65.617199999999997</v>
      </c>
      <c r="AJ58" s="1">
        <v>68.840999999999994</v>
      </c>
      <c r="AK58" s="1">
        <v>74.638599999999997</v>
      </c>
      <c r="AL58" s="1">
        <v>99.823999999999998</v>
      </c>
      <c r="AM58" s="1">
        <v>124.6264</v>
      </c>
      <c r="AN58" s="1"/>
      <c r="AO58" s="1">
        <f>ROUND(G58*Z58,0)</f>
        <v>151</v>
      </c>
      <c r="AP58" s="1">
        <f>ROUND(G58*AB58,0)</f>
        <v>0</v>
      </c>
      <c r="AQ58" t="s">
        <v>163</v>
      </c>
      <c r="AR58" t="str">
        <f>VLOOKUP(AQ58,[1]Лист1!$A:$A,1,0)</f>
        <v>SU002829</v>
      </c>
    </row>
    <row r="59" spans="1:44" x14ac:dyDescent="0.25">
      <c r="A59" s="1" t="s">
        <v>164</v>
      </c>
      <c r="B59" s="1" t="s">
        <v>50</v>
      </c>
      <c r="C59" s="1">
        <v>104</v>
      </c>
      <c r="D59" s="1">
        <v>232</v>
      </c>
      <c r="E59" s="1">
        <v>136</v>
      </c>
      <c r="F59" s="1">
        <v>160</v>
      </c>
      <c r="G59" s="7">
        <v>0.1</v>
      </c>
      <c r="H59" s="1">
        <v>731</v>
      </c>
      <c r="I59" s="1" t="s">
        <v>43</v>
      </c>
      <c r="J59" s="1"/>
      <c r="K59" s="1">
        <v>175</v>
      </c>
      <c r="L59" s="1">
        <f t="shared" si="10"/>
        <v>-39</v>
      </c>
      <c r="M59" s="1">
        <f t="shared" si="11"/>
        <v>136</v>
      </c>
      <c r="N59" s="1"/>
      <c r="O59" s="1"/>
      <c r="P59" s="1"/>
      <c r="Q59" s="1">
        <v>77.600000000000023</v>
      </c>
      <c r="R59" s="1"/>
      <c r="S59" s="24"/>
      <c r="T59" s="1"/>
      <c r="U59" s="1"/>
      <c r="V59" s="24"/>
      <c r="W59" s="1">
        <f t="shared" si="12"/>
        <v>27.2</v>
      </c>
      <c r="X59" s="5">
        <f>12*W59-T59-Q59-P59-O59-F59</f>
        <v>88.799999999999955</v>
      </c>
      <c r="Y59" s="5">
        <f t="shared" si="15"/>
        <v>88.799999999999955</v>
      </c>
      <c r="Z59" s="5">
        <f>Y59-AB59</f>
        <v>88.799999999999955</v>
      </c>
      <c r="AA59" s="5"/>
      <c r="AB59" s="5"/>
      <c r="AC59" s="1"/>
      <c r="AD59" s="1">
        <f>(F59+O59+P59+Q59+T59+Z59+AB59+R59+S59+U59+V59)/W59</f>
        <v>12</v>
      </c>
      <c r="AE59" s="1">
        <f>(F59+O59+P59+Q59+T59)/W59</f>
        <v>8.7352941176470598</v>
      </c>
      <c r="AF59" s="1">
        <v>27.2</v>
      </c>
      <c r="AG59" s="1">
        <v>26.2</v>
      </c>
      <c r="AH59" s="1">
        <v>26.8</v>
      </c>
      <c r="AI59" s="1">
        <v>27.6</v>
      </c>
      <c r="AJ59" s="1">
        <v>24.4</v>
      </c>
      <c r="AK59" s="1">
        <v>26.4</v>
      </c>
      <c r="AL59" s="1">
        <v>26.6</v>
      </c>
      <c r="AM59" s="1">
        <v>17.600000000000001</v>
      </c>
      <c r="AN59" s="1"/>
      <c r="AO59" s="1">
        <f>ROUND(G59*Z59,0)</f>
        <v>9</v>
      </c>
      <c r="AP59" s="1">
        <f>ROUND(G59*AB59,0)</f>
        <v>0</v>
      </c>
      <c r="AQ59" t="s">
        <v>165</v>
      </c>
    </row>
    <row r="60" spans="1:44" x14ac:dyDescent="0.25">
      <c r="A60" s="1" t="s">
        <v>166</v>
      </c>
      <c r="B60" s="1" t="s">
        <v>42</v>
      </c>
      <c r="C60" s="1">
        <v>491.87299999999999</v>
      </c>
      <c r="D60" s="1">
        <v>782.45100000000002</v>
      </c>
      <c r="E60" s="1">
        <v>492.62299999999999</v>
      </c>
      <c r="F60" s="1">
        <v>426.03100000000001</v>
      </c>
      <c r="G60" s="7">
        <v>1</v>
      </c>
      <c r="H60" s="1">
        <v>50</v>
      </c>
      <c r="I60" s="1" t="s">
        <v>43</v>
      </c>
      <c r="J60" s="1"/>
      <c r="K60" s="1">
        <v>654.69799999999998</v>
      </c>
      <c r="L60" s="1">
        <f t="shared" si="10"/>
        <v>-162.07499999999999</v>
      </c>
      <c r="M60" s="1">
        <f t="shared" si="11"/>
        <v>364.81599999999997</v>
      </c>
      <c r="N60" s="1">
        <v>127.807</v>
      </c>
      <c r="O60" s="1"/>
      <c r="P60" s="1"/>
      <c r="Q60" s="1">
        <v>133.80848404799971</v>
      </c>
      <c r="R60" s="1"/>
      <c r="S60" s="24"/>
      <c r="T60" s="1"/>
      <c r="U60" s="1"/>
      <c r="V60" s="24"/>
      <c r="W60" s="1">
        <f t="shared" si="12"/>
        <v>72.963200000000001</v>
      </c>
      <c r="X60" s="5">
        <f>12*W60-T60-Q60-P60-O60-F60</f>
        <v>315.71891595200026</v>
      </c>
      <c r="Y60" s="5">
        <f t="shared" si="15"/>
        <v>315.71891595200026</v>
      </c>
      <c r="Z60" s="5">
        <f>Y60-AB60</f>
        <v>315.71891595200026</v>
      </c>
      <c r="AA60" s="5"/>
      <c r="AB60" s="5"/>
      <c r="AC60" s="1"/>
      <c r="AD60" s="1">
        <f>(F60+O60+P60+Q60+T60+Z60+AB60+R60+S60+U60+V60)/W60</f>
        <v>11.999999999999998</v>
      </c>
      <c r="AE60" s="1">
        <f>(F60+O60+P60+Q60+T60)/W60</f>
        <v>7.6729020115345774</v>
      </c>
      <c r="AF60" s="1">
        <v>88.772199999999998</v>
      </c>
      <c r="AG60" s="1">
        <v>93.292600000000007</v>
      </c>
      <c r="AH60" s="1">
        <v>105.92659999999999</v>
      </c>
      <c r="AI60" s="1">
        <v>80.308399999999992</v>
      </c>
      <c r="AJ60" s="1">
        <v>57.7956</v>
      </c>
      <c r="AK60" s="1">
        <v>86.590799999999987</v>
      </c>
      <c r="AL60" s="1">
        <v>102.032</v>
      </c>
      <c r="AM60" s="1">
        <v>70.132199999999997</v>
      </c>
      <c r="AN60" s="1"/>
      <c r="AO60" s="1">
        <f>ROUND(G60*Z60,0)</f>
        <v>316</v>
      </c>
      <c r="AP60" s="1">
        <f>ROUND(G60*AB60,0)</f>
        <v>0</v>
      </c>
      <c r="AQ60" t="s">
        <v>167</v>
      </c>
    </row>
    <row r="61" spans="1:44" x14ac:dyDescent="0.25">
      <c r="A61" s="1" t="s">
        <v>168</v>
      </c>
      <c r="B61" s="1" t="s">
        <v>42</v>
      </c>
      <c r="C61" s="1">
        <v>48.067999999999998</v>
      </c>
      <c r="D61" s="1">
        <v>53.972999999999999</v>
      </c>
      <c r="E61" s="1">
        <v>24.356999999999999</v>
      </c>
      <c r="F61" s="1">
        <v>77.317999999999998</v>
      </c>
      <c r="G61" s="7">
        <v>1</v>
      </c>
      <c r="H61" s="1">
        <v>55</v>
      </c>
      <c r="I61" s="1" t="s">
        <v>43</v>
      </c>
      <c r="J61" s="1"/>
      <c r="K61" s="1">
        <v>22.2</v>
      </c>
      <c r="L61" s="1">
        <f t="shared" si="10"/>
        <v>2.157</v>
      </c>
      <c r="M61" s="1">
        <f t="shared" si="11"/>
        <v>24.356999999999999</v>
      </c>
      <c r="N61" s="1"/>
      <c r="O61" s="1"/>
      <c r="P61" s="1"/>
      <c r="Q61" s="1">
        <v>0</v>
      </c>
      <c r="R61" s="1"/>
      <c r="S61" s="24"/>
      <c r="T61" s="1"/>
      <c r="U61" s="1"/>
      <c r="V61" s="24"/>
      <c r="W61" s="1">
        <f t="shared" si="12"/>
        <v>4.8713999999999995</v>
      </c>
      <c r="X61" s="5"/>
      <c r="Y61" s="5">
        <f t="shared" si="15"/>
        <v>0</v>
      </c>
      <c r="Z61" s="5">
        <f>Y61-AB61</f>
        <v>0</v>
      </c>
      <c r="AA61" s="5"/>
      <c r="AB61" s="5"/>
      <c r="AC61" s="1"/>
      <c r="AD61" s="1">
        <f>(F61+O61+P61+Q61+T61+Z61+AB61+R61+S61+U61+V61)/W61</f>
        <v>15.871823295151293</v>
      </c>
      <c r="AE61" s="1">
        <f>(F61+O61+P61+Q61+T61)/W61</f>
        <v>15.871823295151293</v>
      </c>
      <c r="AF61" s="1">
        <v>4.8714000000000004</v>
      </c>
      <c r="AG61" s="1">
        <v>8.2176000000000009</v>
      </c>
      <c r="AH61" s="1">
        <v>6.5724</v>
      </c>
      <c r="AI61" s="1">
        <v>2.7147999999999999</v>
      </c>
      <c r="AJ61" s="1">
        <v>3.7801999999999998</v>
      </c>
      <c r="AK61" s="1">
        <v>7.5739999999999998</v>
      </c>
      <c r="AL61" s="1">
        <v>8.3827999999999996</v>
      </c>
      <c r="AM61" s="1">
        <v>3.4996</v>
      </c>
      <c r="AN61" s="1"/>
      <c r="AO61" s="1">
        <f>ROUND(G61*Z61,0)</f>
        <v>0</v>
      </c>
      <c r="AP61" s="1">
        <f>ROUND(G61*AB61,0)</f>
        <v>0</v>
      </c>
      <c r="AQ61" t="s">
        <v>169</v>
      </c>
    </row>
    <row r="62" spans="1:44" x14ac:dyDescent="0.25">
      <c r="A62" s="1" t="s">
        <v>170</v>
      </c>
      <c r="B62" s="1" t="s">
        <v>50</v>
      </c>
      <c r="C62" s="1">
        <v>105</v>
      </c>
      <c r="D62" s="1">
        <v>147</v>
      </c>
      <c r="E62" s="1">
        <v>118</v>
      </c>
      <c r="F62" s="1">
        <v>119</v>
      </c>
      <c r="G62" s="7">
        <v>0.1</v>
      </c>
      <c r="H62" s="1">
        <v>731</v>
      </c>
      <c r="I62" s="1" t="s">
        <v>43</v>
      </c>
      <c r="J62" s="1"/>
      <c r="K62" s="1">
        <v>132</v>
      </c>
      <c r="L62" s="1">
        <f t="shared" si="10"/>
        <v>-14</v>
      </c>
      <c r="M62" s="1">
        <f t="shared" si="11"/>
        <v>118</v>
      </c>
      <c r="N62" s="1"/>
      <c r="O62" s="1"/>
      <c r="P62" s="1"/>
      <c r="Q62" s="1">
        <v>100.2</v>
      </c>
      <c r="R62" s="1"/>
      <c r="S62" s="24"/>
      <c r="T62" s="1"/>
      <c r="U62" s="1"/>
      <c r="V62" s="24"/>
      <c r="W62" s="1">
        <f t="shared" si="12"/>
        <v>23.6</v>
      </c>
      <c r="X62" s="5">
        <f>12*W62-T62-Q62-P62-O62-F62</f>
        <v>64.000000000000057</v>
      </c>
      <c r="Y62" s="5">
        <f t="shared" si="15"/>
        <v>64.000000000000057</v>
      </c>
      <c r="Z62" s="5">
        <f>Y62-AB62</f>
        <v>64.000000000000057</v>
      </c>
      <c r="AA62" s="5"/>
      <c r="AB62" s="5"/>
      <c r="AC62" s="1"/>
      <c r="AD62" s="1">
        <f>(F62+O62+P62+Q62+T62+Z62+AB62+R62+S62+U62+V62)/W62</f>
        <v>12.000000000000002</v>
      </c>
      <c r="AE62" s="1">
        <f>(F62+O62+P62+Q62+T62)/W62</f>
        <v>9.2881355932203373</v>
      </c>
      <c r="AF62" s="1">
        <v>23.6</v>
      </c>
      <c r="AG62" s="1">
        <v>20.2</v>
      </c>
      <c r="AH62" s="1">
        <v>24</v>
      </c>
      <c r="AI62" s="1">
        <v>23</v>
      </c>
      <c r="AJ62" s="1">
        <v>23.6</v>
      </c>
      <c r="AK62" s="1">
        <v>23</v>
      </c>
      <c r="AL62" s="1">
        <v>24.2</v>
      </c>
      <c r="AM62" s="1">
        <v>17.600000000000001</v>
      </c>
      <c r="AN62" s="1"/>
      <c r="AO62" s="1">
        <f>ROUND(G62*Z62,0)</f>
        <v>6</v>
      </c>
      <c r="AP62" s="1">
        <f>ROUND(G62*AB62,0)</f>
        <v>0</v>
      </c>
      <c r="AQ62" t="s">
        <v>171</v>
      </c>
    </row>
    <row r="63" spans="1:44" x14ac:dyDescent="0.25">
      <c r="A63" s="1" t="s">
        <v>172</v>
      </c>
      <c r="B63" s="1" t="s">
        <v>50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43</v>
      </c>
      <c r="J63" s="1"/>
      <c r="K63" s="1">
        <v>3</v>
      </c>
      <c r="L63" s="1">
        <f t="shared" si="10"/>
        <v>-2</v>
      </c>
      <c r="M63" s="1">
        <f t="shared" si="11"/>
        <v>1</v>
      </c>
      <c r="N63" s="1"/>
      <c r="O63" s="1"/>
      <c r="P63" s="1"/>
      <c r="Q63" s="1">
        <v>0</v>
      </c>
      <c r="R63" s="1"/>
      <c r="S63" s="24"/>
      <c r="T63" s="1"/>
      <c r="U63" s="1"/>
      <c r="V63" s="24"/>
      <c r="W63" s="1">
        <f t="shared" si="12"/>
        <v>0.2</v>
      </c>
      <c r="X63" s="5"/>
      <c r="Y63" s="5">
        <f t="shared" si="15"/>
        <v>0</v>
      </c>
      <c r="Z63" s="5">
        <f>Y63-AB63</f>
        <v>0</v>
      </c>
      <c r="AA63" s="5"/>
      <c r="AB63" s="5"/>
      <c r="AC63" s="1"/>
      <c r="AD63" s="1">
        <f>(F63+O63+P63+Q63+T63+Z63+AB63+R63+S63+U63+V63)/W63</f>
        <v>135</v>
      </c>
      <c r="AE63" s="1">
        <f>(F63+O63+P63+Q63+T63)/W63</f>
        <v>135</v>
      </c>
      <c r="AF63" s="1">
        <v>0.2</v>
      </c>
      <c r="AG63" s="1">
        <v>0.8</v>
      </c>
      <c r="AH63" s="1">
        <v>1.4</v>
      </c>
      <c r="AI63" s="1">
        <v>2.2000000000000002</v>
      </c>
      <c r="AJ63" s="1">
        <v>2.2000000000000002</v>
      </c>
      <c r="AK63" s="1">
        <v>1</v>
      </c>
      <c r="AL63" s="1">
        <v>1.6</v>
      </c>
      <c r="AM63" s="1">
        <v>2.8</v>
      </c>
      <c r="AN63" s="12" t="s">
        <v>99</v>
      </c>
      <c r="AO63" s="1">
        <f>ROUND(G63*Z63,0)</f>
        <v>0</v>
      </c>
      <c r="AP63" s="1">
        <f>ROUND(G63*AB63,0)</f>
        <v>0</v>
      </c>
      <c r="AQ63" t="s">
        <v>173</v>
      </c>
    </row>
    <row r="64" spans="1:44" x14ac:dyDescent="0.25">
      <c r="A64" s="1" t="s">
        <v>174</v>
      </c>
      <c r="B64" s="1" t="s">
        <v>42</v>
      </c>
      <c r="C64" s="1">
        <v>-26.584</v>
      </c>
      <c r="D64" s="1">
        <v>296.51600000000002</v>
      </c>
      <c r="E64" s="1">
        <v>9.8889999999999993</v>
      </c>
      <c r="F64" s="1">
        <v>71.605000000000004</v>
      </c>
      <c r="G64" s="7">
        <v>1</v>
      </c>
      <c r="H64" s="1">
        <v>40</v>
      </c>
      <c r="I64" s="15" t="s">
        <v>106</v>
      </c>
      <c r="J64" s="1"/>
      <c r="K64" s="1">
        <v>168.8</v>
      </c>
      <c r="L64" s="1">
        <f t="shared" si="10"/>
        <v>-158.911</v>
      </c>
      <c r="M64" s="1">
        <f t="shared" si="11"/>
        <v>9.8889999999999993</v>
      </c>
      <c r="N64" s="1"/>
      <c r="O64" s="1"/>
      <c r="P64" s="1"/>
      <c r="Q64" s="1">
        <v>0</v>
      </c>
      <c r="R64" s="1"/>
      <c r="S64" s="24"/>
      <c r="T64" s="1"/>
      <c r="U64" s="1"/>
      <c r="V64" s="24"/>
      <c r="W64" s="1">
        <f t="shared" si="12"/>
        <v>1.9777999999999998</v>
      </c>
      <c r="X64" s="5">
        <v>50</v>
      </c>
      <c r="Y64" s="5">
        <f t="shared" si="15"/>
        <v>50</v>
      </c>
      <c r="Z64" s="5">
        <f>Y64</f>
        <v>50</v>
      </c>
      <c r="AA64" s="5"/>
      <c r="AB64" s="5">
        <f>Y64*0.5</f>
        <v>25</v>
      </c>
      <c r="AC64" s="1"/>
      <c r="AD64" s="1">
        <f>(F64+O64+P64+Q64+T64+Z64+AB64+R64+S64+U64+V64)/W64</f>
        <v>74.125290727070507</v>
      </c>
      <c r="AE64" s="1">
        <f>(F64+O64+P64+Q64+T64)/W64</f>
        <v>36.204368490241691</v>
      </c>
      <c r="AF64" s="1">
        <v>1.9778</v>
      </c>
      <c r="AG64" s="1">
        <v>35.930399999999999</v>
      </c>
      <c r="AH64" s="1">
        <v>33.767200000000003</v>
      </c>
      <c r="AI64" s="1">
        <v>5.1779999999999999</v>
      </c>
      <c r="AJ64" s="1">
        <v>12.8698</v>
      </c>
      <c r="AK64" s="1">
        <v>11.319000000000001</v>
      </c>
      <c r="AL64" s="1">
        <v>7.4388000000000014</v>
      </c>
      <c r="AM64" s="1">
        <v>8.8168000000000006</v>
      </c>
      <c r="AN64" s="1" t="s">
        <v>175</v>
      </c>
      <c r="AO64" s="1">
        <f>ROUND(G64*Z64,0)</f>
        <v>50</v>
      </c>
      <c r="AP64" s="1">
        <f>ROUND(G64*AB64,0)</f>
        <v>25</v>
      </c>
      <c r="AQ64" t="s">
        <v>176</v>
      </c>
    </row>
    <row r="65" spans="1:43" x14ac:dyDescent="0.25">
      <c r="A65" s="1" t="s">
        <v>177</v>
      </c>
      <c r="B65" s="1" t="s">
        <v>42</v>
      </c>
      <c r="C65" s="1">
        <v>-40.819000000000003</v>
      </c>
      <c r="D65" s="1">
        <v>261.31700000000001</v>
      </c>
      <c r="E65" s="1">
        <v>98.992000000000004</v>
      </c>
      <c r="F65" s="1">
        <v>-53.939</v>
      </c>
      <c r="G65" s="7">
        <v>1</v>
      </c>
      <c r="H65" s="1">
        <v>40</v>
      </c>
      <c r="I65" s="15" t="s">
        <v>106</v>
      </c>
      <c r="J65" s="1"/>
      <c r="K65" s="1">
        <v>233.49700000000001</v>
      </c>
      <c r="L65" s="1">
        <f t="shared" si="10"/>
        <v>-134.505</v>
      </c>
      <c r="M65" s="1">
        <f t="shared" si="11"/>
        <v>98.992000000000004</v>
      </c>
      <c r="N65" s="1"/>
      <c r="O65" s="1"/>
      <c r="P65" s="1"/>
      <c r="Q65" s="1">
        <v>50</v>
      </c>
      <c r="R65" s="1"/>
      <c r="S65" s="24"/>
      <c r="T65" s="1"/>
      <c r="U65" s="1"/>
      <c r="V65" s="24"/>
      <c r="W65" s="1">
        <f t="shared" si="12"/>
        <v>19.798400000000001</v>
      </c>
      <c r="X65" s="5">
        <v>60</v>
      </c>
      <c r="Y65" s="5">
        <f t="shared" si="15"/>
        <v>60</v>
      </c>
      <c r="Z65" s="5">
        <f>Y65</f>
        <v>60</v>
      </c>
      <c r="AA65" s="5"/>
      <c r="AB65" s="5">
        <f>Y65*0.5</f>
        <v>30</v>
      </c>
      <c r="AC65" s="1"/>
      <c r="AD65" s="1">
        <f>(F65+O65+P65+Q65+T65+Z65+AB65+R65+S65+U65+V65)/W65</f>
        <v>4.3468664134475512</v>
      </c>
      <c r="AE65" s="1">
        <f>(F65+O65+P65+Q65+T65)/W65</f>
        <v>-0.19895547114918377</v>
      </c>
      <c r="AF65" s="1">
        <v>10.039999999999999</v>
      </c>
      <c r="AG65" s="1">
        <v>35.883800000000001</v>
      </c>
      <c r="AH65" s="1">
        <v>36.3566</v>
      </c>
      <c r="AI65" s="1">
        <v>15.0884</v>
      </c>
      <c r="AJ65" s="1">
        <v>0.26879999999999998</v>
      </c>
      <c r="AK65" s="1">
        <v>0.55599999999999994</v>
      </c>
      <c r="AL65" s="1">
        <v>8.0599999999999987</v>
      </c>
      <c r="AM65" s="1">
        <v>8.0434000000000001</v>
      </c>
      <c r="AN65" s="1" t="s">
        <v>175</v>
      </c>
      <c r="AO65" s="1">
        <f>ROUND(G65*Z65,0)</f>
        <v>60</v>
      </c>
      <c r="AP65" s="1">
        <f>ROUND(G65*AB65,0)</f>
        <v>30</v>
      </c>
      <c r="AQ65" t="s">
        <v>178</v>
      </c>
    </row>
    <row r="66" spans="1:43" x14ac:dyDescent="0.25">
      <c r="A66" s="1" t="s">
        <v>179</v>
      </c>
      <c r="B66" s="1" t="s">
        <v>50</v>
      </c>
      <c r="C66" s="1">
        <v>878</v>
      </c>
      <c r="D66" s="1">
        <v>1011</v>
      </c>
      <c r="E66" s="1">
        <v>940</v>
      </c>
      <c r="F66" s="1">
        <v>124</v>
      </c>
      <c r="G66" s="7">
        <v>0.4</v>
      </c>
      <c r="H66" s="1">
        <v>40</v>
      </c>
      <c r="I66" s="1" t="s">
        <v>43</v>
      </c>
      <c r="J66" s="1"/>
      <c r="K66" s="1">
        <v>1435</v>
      </c>
      <c r="L66" s="1">
        <f t="shared" si="10"/>
        <v>-495</v>
      </c>
      <c r="M66" s="1">
        <f t="shared" si="11"/>
        <v>820</v>
      </c>
      <c r="N66" s="1">
        <v>120</v>
      </c>
      <c r="O66" s="1"/>
      <c r="P66" s="1"/>
      <c r="Q66" s="1">
        <v>551.05975999999987</v>
      </c>
      <c r="R66" s="1"/>
      <c r="S66" s="24"/>
      <c r="T66" s="1">
        <v>684.50024000000008</v>
      </c>
      <c r="U66" s="1"/>
      <c r="V66" s="24"/>
      <c r="W66" s="1">
        <f t="shared" si="12"/>
        <v>164</v>
      </c>
      <c r="X66" s="5">
        <f>12*W66-T66-Q66-P66-O66-F66</f>
        <v>608.44000000000005</v>
      </c>
      <c r="Y66" s="5">
        <f>X66+$Y$1*W66</f>
        <v>769.16000000000008</v>
      </c>
      <c r="Z66" s="5">
        <f>Y66-AB66</f>
        <v>769.16000000000008</v>
      </c>
      <c r="AA66" s="5"/>
      <c r="AB66" s="5"/>
      <c r="AC66" s="1"/>
      <c r="AD66" s="1">
        <f>(F66+O66+P66+Q66+T66+Z66+AB66+R66+S66+U66+V66)/W66</f>
        <v>12.980000000000002</v>
      </c>
      <c r="AE66" s="1">
        <f>(F66+O66+P66+Q66+T66)/W66</f>
        <v>8.2899999999999991</v>
      </c>
      <c r="AF66" s="1">
        <v>188.8</v>
      </c>
      <c r="AG66" s="1">
        <v>96.2</v>
      </c>
      <c r="AH66" s="1">
        <v>124.2</v>
      </c>
      <c r="AI66" s="1">
        <v>168</v>
      </c>
      <c r="AJ66" s="1">
        <v>89.6</v>
      </c>
      <c r="AK66" s="1">
        <v>26.4</v>
      </c>
      <c r="AL66" s="1">
        <v>94.8</v>
      </c>
      <c r="AM66" s="1">
        <v>113.2</v>
      </c>
      <c r="AN66" s="1"/>
      <c r="AO66" s="1">
        <f>ROUND(G66*Z66,0)</f>
        <v>308</v>
      </c>
      <c r="AP66" s="1">
        <f>ROUND(G66*AB66,0)</f>
        <v>0</v>
      </c>
      <c r="AQ66" t="s">
        <v>180</v>
      </c>
    </row>
    <row r="67" spans="1:43" x14ac:dyDescent="0.25">
      <c r="A67" s="1" t="s">
        <v>181</v>
      </c>
      <c r="B67" s="1" t="s">
        <v>50</v>
      </c>
      <c r="C67" s="1">
        <v>79</v>
      </c>
      <c r="D67" s="1">
        <v>315</v>
      </c>
      <c r="E67" s="1">
        <v>193</v>
      </c>
      <c r="F67" s="1"/>
      <c r="G67" s="7">
        <v>0.4</v>
      </c>
      <c r="H67" s="1">
        <v>40</v>
      </c>
      <c r="I67" s="15" t="s">
        <v>106</v>
      </c>
      <c r="J67" s="1"/>
      <c r="K67" s="1">
        <v>667</v>
      </c>
      <c r="L67" s="1">
        <f t="shared" si="10"/>
        <v>-474</v>
      </c>
      <c r="M67" s="1">
        <f t="shared" si="11"/>
        <v>133</v>
      </c>
      <c r="N67" s="1">
        <v>60</v>
      </c>
      <c r="O67" s="1">
        <v>50</v>
      </c>
      <c r="P67" s="1"/>
      <c r="Q67" s="1">
        <v>187.4</v>
      </c>
      <c r="R67" s="1">
        <v>-191.99999999999997</v>
      </c>
      <c r="S67" s="24"/>
      <c r="T67" s="1"/>
      <c r="U67" s="1"/>
      <c r="V67" s="24"/>
      <c r="W67" s="1">
        <f t="shared" si="12"/>
        <v>26.6</v>
      </c>
      <c r="X67" s="5">
        <v>200</v>
      </c>
      <c r="Y67" s="5">
        <f>X67</f>
        <v>200</v>
      </c>
      <c r="Z67" s="5">
        <f>Y67</f>
        <v>200</v>
      </c>
      <c r="AA67" s="5"/>
      <c r="AB67" s="5">
        <f>Y67*0.5</f>
        <v>100</v>
      </c>
      <c r="AC67" s="1"/>
      <c r="AD67" s="1">
        <f>(F67+O67+P67+Q67+T67+Z67+AB67+R67+S67+U67+V67)/W67</f>
        <v>12.984962406015036</v>
      </c>
      <c r="AE67" s="1">
        <f>(F67+O67+P67+Q67+T67)/W67</f>
        <v>8.9248120300751879</v>
      </c>
      <c r="AF67" s="1">
        <v>38.4</v>
      </c>
      <c r="AG67" s="1">
        <v>0.6</v>
      </c>
      <c r="AH67" s="1">
        <v>0</v>
      </c>
      <c r="AI67" s="1">
        <v>0.4</v>
      </c>
      <c r="AJ67" s="1">
        <v>0.8</v>
      </c>
      <c r="AK67" s="1">
        <v>45.6</v>
      </c>
      <c r="AL67" s="1">
        <v>95.8</v>
      </c>
      <c r="AM67" s="1">
        <v>80.400000000000006</v>
      </c>
      <c r="AN67" s="1"/>
      <c r="AO67" s="1">
        <f>ROUND(G67*Z67,0)</f>
        <v>80</v>
      </c>
      <c r="AP67" s="1">
        <f>ROUND(G67*AB67,0)</f>
        <v>40</v>
      </c>
      <c r="AQ67" t="s">
        <v>182</v>
      </c>
    </row>
    <row r="68" spans="1:43" x14ac:dyDescent="0.25">
      <c r="A68" s="1" t="s">
        <v>183</v>
      </c>
      <c r="B68" s="1" t="s">
        <v>42</v>
      </c>
      <c r="C68" s="1">
        <v>131.67500000000001</v>
      </c>
      <c r="D68" s="1">
        <v>182.43899999999999</v>
      </c>
      <c r="E68" s="1">
        <v>131.47399999999999</v>
      </c>
      <c r="F68" s="1">
        <v>90.784000000000006</v>
      </c>
      <c r="G68" s="7">
        <v>1</v>
      </c>
      <c r="H68" s="1">
        <v>40</v>
      </c>
      <c r="I68" s="1" t="s">
        <v>43</v>
      </c>
      <c r="J68" s="1"/>
      <c r="K68" s="1">
        <v>130.68799999999999</v>
      </c>
      <c r="L68" s="1">
        <f t="shared" si="10"/>
        <v>0.78600000000000136</v>
      </c>
      <c r="M68" s="1">
        <f t="shared" si="11"/>
        <v>55.727999999999994</v>
      </c>
      <c r="N68" s="1">
        <v>75.745999999999995</v>
      </c>
      <c r="O68" s="1"/>
      <c r="P68" s="1"/>
      <c r="Q68" s="1">
        <v>0</v>
      </c>
      <c r="R68" s="1"/>
      <c r="S68" s="24"/>
      <c r="T68" s="1"/>
      <c r="U68" s="1"/>
      <c r="V68" s="24"/>
      <c r="W68" s="1">
        <f t="shared" si="12"/>
        <v>11.145599999999998</v>
      </c>
      <c r="X68" s="5">
        <f>12*W68-T68-Q68-P68-O68-F68</f>
        <v>42.963199999999958</v>
      </c>
      <c r="Y68" s="5">
        <f t="shared" ref="Y68:Y74" si="16">X68</f>
        <v>42.963199999999958</v>
      </c>
      <c r="Z68" s="5">
        <f>Y68-AB68</f>
        <v>42.963199999999958</v>
      </c>
      <c r="AA68" s="5"/>
      <c r="AB68" s="5"/>
      <c r="AC68" s="1"/>
      <c r="AD68" s="1">
        <f>(F68+O68+P68+Q68+T68+Z68+AB68+R68+S68+U68+V68)/W68</f>
        <v>11.999999999999998</v>
      </c>
      <c r="AE68" s="1">
        <f>(F68+O68+P68+Q68+T68)/W68</f>
        <v>8.1452770600057445</v>
      </c>
      <c r="AF68" s="1">
        <v>9.0595999999999979</v>
      </c>
      <c r="AG68" s="1">
        <v>17.7364</v>
      </c>
      <c r="AH68" s="1">
        <v>6.0776000000000003</v>
      </c>
      <c r="AI68" s="1">
        <v>4.7904</v>
      </c>
      <c r="AJ68" s="1">
        <v>12.265599999999999</v>
      </c>
      <c r="AK68" s="1">
        <v>17.055599999999998</v>
      </c>
      <c r="AL68" s="1">
        <v>11.9252</v>
      </c>
      <c r="AM68" s="1">
        <v>7.8718000000000004</v>
      </c>
      <c r="AN68" s="1"/>
      <c r="AO68" s="1">
        <f>ROUND(G68*Z68,0)</f>
        <v>43</v>
      </c>
      <c r="AP68" s="1">
        <f>ROUND(G68*AB68,0)</f>
        <v>0</v>
      </c>
      <c r="AQ68" t="s">
        <v>184</v>
      </c>
    </row>
    <row r="69" spans="1:43" x14ac:dyDescent="0.25">
      <c r="A69" s="1" t="s">
        <v>185</v>
      </c>
      <c r="B69" s="1" t="s">
        <v>42</v>
      </c>
      <c r="C69" s="1">
        <v>59.363</v>
      </c>
      <c r="D69" s="1">
        <v>389.28</v>
      </c>
      <c r="E69" s="1">
        <v>48.875999999999998</v>
      </c>
      <c r="F69" s="1">
        <v>191.06299999999999</v>
      </c>
      <c r="G69" s="7">
        <v>1</v>
      </c>
      <c r="H69" s="1">
        <v>40</v>
      </c>
      <c r="I69" s="1" t="s">
        <v>43</v>
      </c>
      <c r="J69" s="1"/>
      <c r="K69" s="1">
        <v>237.13200000000001</v>
      </c>
      <c r="L69" s="1">
        <f t="shared" si="10"/>
        <v>-188.256</v>
      </c>
      <c r="M69" s="1">
        <f t="shared" si="11"/>
        <v>16.555999999999997</v>
      </c>
      <c r="N69" s="1">
        <v>32.32</v>
      </c>
      <c r="O69" s="1"/>
      <c r="P69" s="1"/>
      <c r="Q69" s="1">
        <v>0</v>
      </c>
      <c r="R69" s="1"/>
      <c r="S69" s="24"/>
      <c r="T69" s="1"/>
      <c r="U69" s="1"/>
      <c r="V69" s="24"/>
      <c r="W69" s="1">
        <f t="shared" si="12"/>
        <v>3.3111999999999995</v>
      </c>
      <c r="X69" s="5"/>
      <c r="Y69" s="5">
        <f t="shared" si="16"/>
        <v>0</v>
      </c>
      <c r="Z69" s="5">
        <f>Y69-AB69</f>
        <v>0</v>
      </c>
      <c r="AA69" s="5"/>
      <c r="AB69" s="5"/>
      <c r="AC69" s="1"/>
      <c r="AD69" s="1">
        <f>(F69+O69+P69+Q69+T69+Z69+AB69+R69+S69+U69+V69)/W69</f>
        <v>57.702041555931388</v>
      </c>
      <c r="AE69" s="1">
        <f>(F69+O69+P69+Q69+T69)/W69</f>
        <v>57.702041555931388</v>
      </c>
      <c r="AF69" s="1">
        <v>20.581600000000002</v>
      </c>
      <c r="AG69" s="1">
        <v>30.961200000000002</v>
      </c>
      <c r="AH69" s="1">
        <v>27.160799999999998</v>
      </c>
      <c r="AI69" s="1">
        <v>17.945</v>
      </c>
      <c r="AJ69" s="1">
        <v>16.682200000000002</v>
      </c>
      <c r="AK69" s="1">
        <v>20.416399999999999</v>
      </c>
      <c r="AL69" s="1">
        <v>21.869800000000001</v>
      </c>
      <c r="AM69" s="1">
        <v>14.438000000000001</v>
      </c>
      <c r="AN69" s="1"/>
      <c r="AO69" s="1">
        <f>ROUND(G69*Z69,0)</f>
        <v>0</v>
      </c>
      <c r="AP69" s="1">
        <f>ROUND(G69*AB69,0)</f>
        <v>0</v>
      </c>
      <c r="AQ69" t="s">
        <v>186</v>
      </c>
    </row>
    <row r="70" spans="1:43" x14ac:dyDescent="0.25">
      <c r="A70" s="1" t="s">
        <v>187</v>
      </c>
      <c r="B70" s="1" t="s">
        <v>42</v>
      </c>
      <c r="C70" s="1">
        <v>764.34199999999998</v>
      </c>
      <c r="D70" s="1">
        <v>374.04199999999997</v>
      </c>
      <c r="E70" s="1">
        <v>525.47400000000005</v>
      </c>
      <c r="F70" s="1">
        <v>354.42099999999999</v>
      </c>
      <c r="G70" s="7">
        <v>1</v>
      </c>
      <c r="H70" s="1">
        <v>40</v>
      </c>
      <c r="I70" s="1" t="s">
        <v>43</v>
      </c>
      <c r="J70" s="1"/>
      <c r="K70" s="1">
        <v>631.66800000000001</v>
      </c>
      <c r="L70" s="1">
        <f t="shared" ref="L70:L101" si="17">E70-K70</f>
        <v>-106.19399999999996</v>
      </c>
      <c r="M70" s="1">
        <f t="shared" ref="M70:M101" si="18">E70-N70</f>
        <v>417.27700000000004</v>
      </c>
      <c r="N70" s="1">
        <v>108.197</v>
      </c>
      <c r="O70" s="1"/>
      <c r="P70" s="1"/>
      <c r="Q70" s="1">
        <v>378.85399999999993</v>
      </c>
      <c r="R70" s="1">
        <v>-383.4</v>
      </c>
      <c r="S70" s="24"/>
      <c r="T70" s="1"/>
      <c r="U70" s="1"/>
      <c r="V70" s="24"/>
      <c r="W70" s="1">
        <f t="shared" ref="W70:W101" si="19">M70/5</f>
        <v>83.455400000000012</v>
      </c>
      <c r="X70" s="5">
        <f>12*W70-T70-Q70-P70-O70-F70</f>
        <v>268.18980000000028</v>
      </c>
      <c r="Y70" s="5">
        <f t="shared" si="16"/>
        <v>268.18980000000028</v>
      </c>
      <c r="Z70" s="5">
        <f>Y70-AB70</f>
        <v>268.18980000000028</v>
      </c>
      <c r="AA70" s="5"/>
      <c r="AB70" s="5"/>
      <c r="AC70" s="1"/>
      <c r="AD70" s="1">
        <f>(F70+O70+P70+Q70+T70+Z70+AB70+R70+S70+U70+V70)/W70</f>
        <v>7.405929394622758</v>
      </c>
      <c r="AE70" s="1">
        <f>(F70+O70+P70+Q70+T70)/W70</f>
        <v>8.7864296378664495</v>
      </c>
      <c r="AF70" s="1">
        <v>94.111999999999995</v>
      </c>
      <c r="AG70" s="1">
        <v>81.416399999999996</v>
      </c>
      <c r="AH70" s="1">
        <v>61.898000000000003</v>
      </c>
      <c r="AI70" s="1">
        <v>89.253599999999992</v>
      </c>
      <c r="AJ70" s="1">
        <v>110.14279999999999</v>
      </c>
      <c r="AK70" s="1">
        <v>106.628</v>
      </c>
      <c r="AL70" s="1">
        <v>119.44499999999999</v>
      </c>
      <c r="AM70" s="1">
        <v>150.35599999999999</v>
      </c>
      <c r="AN70" s="1"/>
      <c r="AO70" s="1">
        <f>ROUND(G70*Z70,0)</f>
        <v>268</v>
      </c>
      <c r="AP70" s="1">
        <f>ROUND(G70*AB70,0)</f>
        <v>0</v>
      </c>
      <c r="AQ70" t="s">
        <v>188</v>
      </c>
    </row>
    <row r="71" spans="1:43" x14ac:dyDescent="0.25">
      <c r="A71" s="1" t="s">
        <v>189</v>
      </c>
      <c r="B71" s="1" t="s">
        <v>42</v>
      </c>
      <c r="C71" s="1">
        <v>115.339</v>
      </c>
      <c r="D71" s="1">
        <v>182.22200000000001</v>
      </c>
      <c r="E71" s="1">
        <v>117.982</v>
      </c>
      <c r="F71" s="1">
        <v>-28.298999999999999</v>
      </c>
      <c r="G71" s="7">
        <v>1</v>
      </c>
      <c r="H71" s="1">
        <v>40</v>
      </c>
      <c r="I71" s="1" t="s">
        <v>43</v>
      </c>
      <c r="J71" s="1"/>
      <c r="K71" s="1">
        <v>235.834</v>
      </c>
      <c r="L71" s="1">
        <f t="shared" si="17"/>
        <v>-117.852</v>
      </c>
      <c r="M71" s="1">
        <f t="shared" si="18"/>
        <v>85.561999999999998</v>
      </c>
      <c r="N71" s="1">
        <v>32.42</v>
      </c>
      <c r="O71" s="1"/>
      <c r="P71" s="1"/>
      <c r="Q71" s="1">
        <v>186.3614</v>
      </c>
      <c r="R71" s="1"/>
      <c r="S71" s="24"/>
      <c r="T71" s="1"/>
      <c r="U71" s="1"/>
      <c r="V71" s="24"/>
      <c r="W71" s="1">
        <f t="shared" si="19"/>
        <v>17.112400000000001</v>
      </c>
      <c r="X71" s="5">
        <f>12*W71-T71-Q71-P71-O71-F71</f>
        <v>47.286400000000008</v>
      </c>
      <c r="Y71" s="5">
        <f t="shared" si="16"/>
        <v>47.286400000000008</v>
      </c>
      <c r="Z71" s="5">
        <f>Y71-AB71</f>
        <v>47.286400000000008</v>
      </c>
      <c r="AA71" s="5"/>
      <c r="AB71" s="5"/>
      <c r="AC71" s="1"/>
      <c r="AD71" s="1">
        <f>(F71+O71+P71+Q71+T71+Z71+AB71+R71+S71+U71+V71)/W71</f>
        <v>12</v>
      </c>
      <c r="AE71" s="1">
        <f>(F71+O71+P71+Q71+T71)/W71</f>
        <v>9.2367172342862478</v>
      </c>
      <c r="AF71" s="1">
        <v>30.803799999999999</v>
      </c>
      <c r="AG71" s="1">
        <v>13.1944</v>
      </c>
      <c r="AH71" s="1">
        <v>3.5874000000000001</v>
      </c>
      <c r="AI71" s="1">
        <v>14.342000000000001</v>
      </c>
      <c r="AJ71" s="1">
        <v>18.890999999999998</v>
      </c>
      <c r="AK71" s="1">
        <v>10.531000000000001</v>
      </c>
      <c r="AL71" s="1">
        <v>10.1662</v>
      </c>
      <c r="AM71" s="1">
        <v>7.0498000000000003</v>
      </c>
      <c r="AN71" s="1"/>
      <c r="AO71" s="1">
        <f>ROUND(G71*Z71,0)</f>
        <v>47</v>
      </c>
      <c r="AP71" s="1">
        <f>ROUND(G71*AB71,0)</f>
        <v>0</v>
      </c>
      <c r="AQ71" t="s">
        <v>190</v>
      </c>
    </row>
    <row r="72" spans="1:43" x14ac:dyDescent="0.25">
      <c r="A72" s="9" t="s">
        <v>191</v>
      </c>
      <c r="B72" s="9" t="s">
        <v>50</v>
      </c>
      <c r="C72" s="9"/>
      <c r="D72" s="9"/>
      <c r="E72" s="9"/>
      <c r="F72" s="9"/>
      <c r="G72" s="10">
        <v>0</v>
      </c>
      <c r="H72" s="9"/>
      <c r="I72" s="9" t="s">
        <v>43</v>
      </c>
      <c r="J72" s="9"/>
      <c r="K72" s="9"/>
      <c r="L72" s="9">
        <f t="shared" si="17"/>
        <v>0</v>
      </c>
      <c r="M72" s="9">
        <f t="shared" si="18"/>
        <v>0</v>
      </c>
      <c r="N72" s="9"/>
      <c r="O72" s="9"/>
      <c r="P72" s="9"/>
      <c r="Q72" s="9">
        <v>0</v>
      </c>
      <c r="R72" s="9"/>
      <c r="S72" s="27"/>
      <c r="T72" s="9"/>
      <c r="U72" s="9"/>
      <c r="V72" s="27"/>
      <c r="W72" s="9">
        <f t="shared" si="19"/>
        <v>0</v>
      </c>
      <c r="X72" s="11"/>
      <c r="Y72" s="5">
        <f t="shared" si="16"/>
        <v>0</v>
      </c>
      <c r="Z72" s="5">
        <f>Y72-AB72</f>
        <v>0</v>
      </c>
      <c r="AA72" s="5"/>
      <c r="AB72" s="5"/>
      <c r="AC72" s="1"/>
      <c r="AD72" s="1" t="e">
        <f>(F72+O72+P72+Q72+T72+Z72+AB72+R72+S72+U72+V72)/W72</f>
        <v>#DIV/0!</v>
      </c>
      <c r="AE72" s="9" t="e">
        <f>(F72+O72+P72+Q72+T72)/W72</f>
        <v>#DIV/0!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 t="s">
        <v>80</v>
      </c>
      <c r="AO72" s="1">
        <f>ROUND(G72*Z72,0)</f>
        <v>0</v>
      </c>
      <c r="AP72" s="1">
        <f>ROUND(G72*AB72,0)</f>
        <v>0</v>
      </c>
      <c r="AQ72" t="s">
        <v>192</v>
      </c>
    </row>
    <row r="73" spans="1:43" x14ac:dyDescent="0.25">
      <c r="A73" s="1" t="s">
        <v>193</v>
      </c>
      <c r="B73" s="1" t="s">
        <v>42</v>
      </c>
      <c r="C73" s="1">
        <v>709.1</v>
      </c>
      <c r="D73" s="1">
        <v>204.63800000000001</v>
      </c>
      <c r="E73" s="1">
        <v>230.79599999999999</v>
      </c>
      <c r="F73" s="1">
        <v>484.81400000000002</v>
      </c>
      <c r="G73" s="7">
        <v>1</v>
      </c>
      <c r="H73" s="1">
        <v>30</v>
      </c>
      <c r="I73" s="1" t="s">
        <v>43</v>
      </c>
      <c r="J73" s="1"/>
      <c r="K73" s="1">
        <v>378.4</v>
      </c>
      <c r="L73" s="1">
        <f t="shared" si="17"/>
        <v>-147.60399999999998</v>
      </c>
      <c r="M73" s="1">
        <f t="shared" si="18"/>
        <v>230.79599999999999</v>
      </c>
      <c r="N73" s="1"/>
      <c r="O73" s="1"/>
      <c r="P73" s="1"/>
      <c r="Q73" s="1">
        <v>0</v>
      </c>
      <c r="R73" s="1"/>
      <c r="S73" s="24"/>
      <c r="T73" s="1"/>
      <c r="U73" s="1"/>
      <c r="V73" s="24"/>
      <c r="W73" s="1">
        <f t="shared" si="19"/>
        <v>46.159199999999998</v>
      </c>
      <c r="X73" s="5">
        <f>12*W73-T73-Q73-P73-O73-F73</f>
        <v>69.09639999999996</v>
      </c>
      <c r="Y73" s="5">
        <f t="shared" si="16"/>
        <v>69.09639999999996</v>
      </c>
      <c r="Z73" s="5">
        <f>Y73-AB73</f>
        <v>69.09639999999996</v>
      </c>
      <c r="AA73" s="5"/>
      <c r="AB73" s="5"/>
      <c r="AC73" s="1"/>
      <c r="AD73" s="1">
        <f>(F73+O73+P73+Q73+T73+Z73+AB73+R73+S73+U73+V73)/W73</f>
        <v>12</v>
      </c>
      <c r="AE73" s="1">
        <f>(F73+O73+P73+Q73+T73)/W73</f>
        <v>10.503084975476179</v>
      </c>
      <c r="AF73" s="1">
        <v>46.7592</v>
      </c>
      <c r="AG73" s="1">
        <v>74.270200000000003</v>
      </c>
      <c r="AH73" s="1">
        <v>73.813599999999994</v>
      </c>
      <c r="AI73" s="1">
        <v>59.351199999999992</v>
      </c>
      <c r="AJ73" s="1">
        <v>99.834000000000003</v>
      </c>
      <c r="AK73" s="1">
        <v>113.3442</v>
      </c>
      <c r="AL73" s="1">
        <v>77.829800000000006</v>
      </c>
      <c r="AM73" s="1">
        <v>48.958399999999997</v>
      </c>
      <c r="AN73" s="1"/>
      <c r="AO73" s="1">
        <f>ROUND(G73*Z73,0)</f>
        <v>69</v>
      </c>
      <c r="AP73" s="1">
        <f>ROUND(G73*AB73,0)</f>
        <v>0</v>
      </c>
      <c r="AQ73" t="s">
        <v>194</v>
      </c>
    </row>
    <row r="74" spans="1:43" x14ac:dyDescent="0.25">
      <c r="A74" s="9" t="s">
        <v>195</v>
      </c>
      <c r="B74" s="9" t="s">
        <v>50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67</v>
      </c>
      <c r="J74" s="9"/>
      <c r="K74" s="9">
        <v>1</v>
      </c>
      <c r="L74" s="9">
        <f t="shared" si="17"/>
        <v>0</v>
      </c>
      <c r="M74" s="9">
        <f t="shared" si="18"/>
        <v>1</v>
      </c>
      <c r="N74" s="9"/>
      <c r="O74" s="9"/>
      <c r="P74" s="9"/>
      <c r="Q74" s="9">
        <v>0</v>
      </c>
      <c r="R74" s="9"/>
      <c r="S74" s="27"/>
      <c r="T74" s="9"/>
      <c r="U74" s="9"/>
      <c r="V74" s="27"/>
      <c r="W74" s="9">
        <f t="shared" si="19"/>
        <v>0.2</v>
      </c>
      <c r="X74" s="11"/>
      <c r="Y74" s="5">
        <f t="shared" si="16"/>
        <v>0</v>
      </c>
      <c r="Z74" s="5">
        <f>Y74-AB74</f>
        <v>0</v>
      </c>
      <c r="AA74" s="5"/>
      <c r="AB74" s="5"/>
      <c r="AC74" s="1"/>
      <c r="AD74" s="1">
        <f>(F74+O74+P74+Q74+T74+Z74+AB74+R74+S74+U74+V74)/W74</f>
        <v>-5</v>
      </c>
      <c r="AE74" s="9">
        <f>(F74+O74+P74+Q74+T74)/W74</f>
        <v>-5</v>
      </c>
      <c r="AF74" s="9">
        <v>0.2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/>
      <c r="AO74" s="1">
        <f>ROUND(G74*Z74,0)</f>
        <v>0</v>
      </c>
      <c r="AP74" s="1">
        <f>ROUND(G74*AB74,0)</f>
        <v>0</v>
      </c>
    </row>
    <row r="75" spans="1:43" x14ac:dyDescent="0.25">
      <c r="A75" s="1" t="s">
        <v>196</v>
      </c>
      <c r="B75" s="1" t="s">
        <v>50</v>
      </c>
      <c r="C75" s="1">
        <v>1155</v>
      </c>
      <c r="D75" s="1">
        <v>212</v>
      </c>
      <c r="E75" s="1">
        <v>639</v>
      </c>
      <c r="F75" s="1">
        <v>482</v>
      </c>
      <c r="G75" s="7">
        <v>0.6</v>
      </c>
      <c r="H75" s="1">
        <v>60</v>
      </c>
      <c r="I75" s="1" t="s">
        <v>43</v>
      </c>
      <c r="J75" s="1"/>
      <c r="K75" s="1">
        <v>739</v>
      </c>
      <c r="L75" s="1">
        <f t="shared" si="17"/>
        <v>-100</v>
      </c>
      <c r="M75" s="1">
        <f t="shared" si="18"/>
        <v>639</v>
      </c>
      <c r="N75" s="1"/>
      <c r="O75" s="1"/>
      <c r="P75" s="1"/>
      <c r="Q75" s="1">
        <v>317.08816000000002</v>
      </c>
      <c r="R75" s="1"/>
      <c r="S75" s="24"/>
      <c r="T75" s="1">
        <v>393.87184000000008</v>
      </c>
      <c r="U75" s="1"/>
      <c r="V75" s="24"/>
      <c r="W75" s="1">
        <f t="shared" si="19"/>
        <v>127.8</v>
      </c>
      <c r="X75" s="5">
        <f>12*W75-T75-Q75-P75-O75-F75</f>
        <v>340.63999999999987</v>
      </c>
      <c r="Y75" s="5">
        <f>X75+$Y$1*W75</f>
        <v>465.8839999999999</v>
      </c>
      <c r="Z75" s="5">
        <f>Y75-AB75</f>
        <v>465.8839999999999</v>
      </c>
      <c r="AA75" s="5"/>
      <c r="AB75" s="5"/>
      <c r="AC75" s="1"/>
      <c r="AD75" s="1">
        <f>(F75+O75+P75+Q75+T75+Z75+AB75+R75+S75+U75+V75)/W75</f>
        <v>12.98</v>
      </c>
      <c r="AE75" s="1">
        <f>(F75+O75+P75+Q75+T75)/W75</f>
        <v>9.3345852895148678</v>
      </c>
      <c r="AF75" s="1">
        <v>127.8</v>
      </c>
      <c r="AG75" s="1">
        <v>101.6</v>
      </c>
      <c r="AH75" s="1">
        <v>91.8</v>
      </c>
      <c r="AI75" s="1">
        <v>71.400000000000006</v>
      </c>
      <c r="AJ75" s="1">
        <v>79.400000000000006</v>
      </c>
      <c r="AK75" s="1">
        <v>144.80000000000001</v>
      </c>
      <c r="AL75" s="1">
        <v>132.19999999999999</v>
      </c>
      <c r="AM75" s="1">
        <v>65.599999999999994</v>
      </c>
      <c r="AN75" s="1"/>
      <c r="AO75" s="1">
        <f>ROUND(G75*Z75,0)</f>
        <v>280</v>
      </c>
      <c r="AP75" s="1">
        <f>ROUND(G75*AB75,0)</f>
        <v>0</v>
      </c>
      <c r="AQ75" t="s">
        <v>197</v>
      </c>
    </row>
    <row r="76" spans="1:43" x14ac:dyDescent="0.25">
      <c r="A76" s="1" t="s">
        <v>198</v>
      </c>
      <c r="B76" s="1" t="s">
        <v>50</v>
      </c>
      <c r="C76" s="1">
        <v>831</v>
      </c>
      <c r="D76" s="1">
        <v>520</v>
      </c>
      <c r="E76" s="1">
        <v>646</v>
      </c>
      <c r="F76" s="1">
        <v>503</v>
      </c>
      <c r="G76" s="7">
        <v>0.6</v>
      </c>
      <c r="H76" s="1">
        <v>60</v>
      </c>
      <c r="I76" s="1" t="s">
        <v>43</v>
      </c>
      <c r="J76" s="1"/>
      <c r="K76" s="1">
        <v>720</v>
      </c>
      <c r="L76" s="1">
        <f t="shared" si="17"/>
        <v>-74</v>
      </c>
      <c r="M76" s="1">
        <f t="shared" si="18"/>
        <v>646</v>
      </c>
      <c r="N76" s="1"/>
      <c r="O76" s="1">
        <v>347.88</v>
      </c>
      <c r="P76" s="1"/>
      <c r="Q76" s="1">
        <v>354.23999999999972</v>
      </c>
      <c r="R76" s="1"/>
      <c r="S76" s="24"/>
      <c r="T76" s="1"/>
      <c r="U76" s="1"/>
      <c r="V76" s="24"/>
      <c r="W76" s="1">
        <f t="shared" si="19"/>
        <v>129.19999999999999</v>
      </c>
      <c r="X76" s="5">
        <f>12*W76-T76-Q76-P76-O76-F76</f>
        <v>345.28000000000009</v>
      </c>
      <c r="Y76" s="5">
        <f>X76+$Y$1*W76</f>
        <v>471.89600000000007</v>
      </c>
      <c r="Z76" s="5">
        <f>Y76-AB76</f>
        <v>471.89600000000007</v>
      </c>
      <c r="AA76" s="5"/>
      <c r="AB76" s="5"/>
      <c r="AC76" s="1"/>
      <c r="AD76" s="1">
        <f>(F76+O76+P76+Q76+T76+Z76+AB76+R76+S76+U76+V76)/W76</f>
        <v>12.979999999999999</v>
      </c>
      <c r="AE76" s="1">
        <f>(F76+O76+P76+Q76+T76)/W76</f>
        <v>9.3275541795665617</v>
      </c>
      <c r="AF76" s="1">
        <v>129.19999999999999</v>
      </c>
      <c r="AG76" s="1">
        <v>126</v>
      </c>
      <c r="AH76" s="1">
        <v>88.6</v>
      </c>
      <c r="AI76" s="1">
        <v>74.400000000000006</v>
      </c>
      <c r="AJ76" s="1">
        <v>96.8</v>
      </c>
      <c r="AK76" s="1">
        <v>125.2</v>
      </c>
      <c r="AL76" s="1">
        <v>118.6</v>
      </c>
      <c r="AM76" s="1">
        <v>74.400000000000006</v>
      </c>
      <c r="AN76" s="1"/>
      <c r="AO76" s="1">
        <f>ROUND(G76*Z76,0)</f>
        <v>283</v>
      </c>
      <c r="AP76" s="1">
        <f>ROUND(G76*AB76,0)</f>
        <v>0</v>
      </c>
      <c r="AQ76" t="s">
        <v>199</v>
      </c>
    </row>
    <row r="77" spans="1:43" x14ac:dyDescent="0.25">
      <c r="A77" s="1" t="s">
        <v>200</v>
      </c>
      <c r="B77" s="1" t="s">
        <v>50</v>
      </c>
      <c r="C77" s="1"/>
      <c r="D77" s="1">
        <v>40</v>
      </c>
      <c r="E77" s="1"/>
      <c r="F77" s="1">
        <v>40</v>
      </c>
      <c r="G77" s="7">
        <v>0.4</v>
      </c>
      <c r="H77" s="1"/>
      <c r="I77" s="1" t="s">
        <v>43</v>
      </c>
      <c r="J77" s="1"/>
      <c r="K77" s="1"/>
      <c r="L77" s="1">
        <f t="shared" si="17"/>
        <v>0</v>
      </c>
      <c r="M77" s="1">
        <f t="shared" si="18"/>
        <v>0</v>
      </c>
      <c r="N77" s="1"/>
      <c r="O77" s="1"/>
      <c r="P77" s="1"/>
      <c r="Q77" s="1">
        <v>10</v>
      </c>
      <c r="R77" s="1"/>
      <c r="S77" s="24"/>
      <c r="T77" s="1"/>
      <c r="U77" s="1"/>
      <c r="V77" s="24"/>
      <c r="W77" s="1">
        <f t="shared" si="19"/>
        <v>0</v>
      </c>
      <c r="X77" s="5"/>
      <c r="Y77" s="5">
        <f t="shared" ref="Y77:Y89" si="20">X77</f>
        <v>0</v>
      </c>
      <c r="Z77" s="5">
        <f>Y77-AB77</f>
        <v>0</v>
      </c>
      <c r="AA77" s="5"/>
      <c r="AB77" s="5"/>
      <c r="AC77" s="1"/>
      <c r="AD77" s="1" t="e">
        <f>(F77+O77+P77+Q77+T77+Z77+AB77+R77+S77+U77+V77)/W77</f>
        <v>#DIV/0!</v>
      </c>
      <c r="AE77" s="1" t="e">
        <f>(F77+O77+P77+Q77+T77)/W77</f>
        <v>#DIV/0!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 t="s">
        <v>201</v>
      </c>
      <c r="AO77" s="1">
        <f>ROUND(G77*Z77,0)</f>
        <v>0</v>
      </c>
      <c r="AP77" s="1">
        <f>ROUND(G77*AB77,0)</f>
        <v>0</v>
      </c>
      <c r="AQ77" t="s">
        <v>202</v>
      </c>
    </row>
    <row r="78" spans="1:43" x14ac:dyDescent="0.25">
      <c r="A78" s="9" t="s">
        <v>203</v>
      </c>
      <c r="B78" s="9" t="s">
        <v>50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43</v>
      </c>
      <c r="J78" s="9"/>
      <c r="K78" s="9"/>
      <c r="L78" s="9">
        <f t="shared" si="17"/>
        <v>0</v>
      </c>
      <c r="M78" s="9">
        <f t="shared" si="18"/>
        <v>0</v>
      </c>
      <c r="N78" s="9"/>
      <c r="O78" s="9"/>
      <c r="P78" s="9"/>
      <c r="Q78" s="9">
        <v>0</v>
      </c>
      <c r="R78" s="9"/>
      <c r="S78" s="27"/>
      <c r="T78" s="9"/>
      <c r="U78" s="9"/>
      <c r="V78" s="27"/>
      <c r="W78" s="9">
        <f t="shared" si="19"/>
        <v>0</v>
      </c>
      <c r="X78" s="11"/>
      <c r="Y78" s="5">
        <f t="shared" si="20"/>
        <v>0</v>
      </c>
      <c r="Z78" s="5">
        <f>Y78-AB78</f>
        <v>0</v>
      </c>
      <c r="AA78" s="5"/>
      <c r="AB78" s="5"/>
      <c r="AC78" s="1"/>
      <c r="AD78" s="1" t="e">
        <f>(F78+O78+P78+Q78+T78+Z78+AB78+R78+S78+U78+V78)/W78</f>
        <v>#DIV/0!</v>
      </c>
      <c r="AE78" s="9" t="e">
        <f>(F78+O78+P78+Q78+T78)/W78</f>
        <v>#DIV/0!</v>
      </c>
      <c r="AF78" s="9">
        <v>0</v>
      </c>
      <c r="AG78" s="9">
        <v>0.2</v>
      </c>
      <c r="AH78" s="9">
        <v>0.2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 t="s">
        <v>80</v>
      </c>
      <c r="AO78" s="1">
        <f>ROUND(G78*Z78,0)</f>
        <v>0</v>
      </c>
      <c r="AP78" s="1">
        <f>ROUND(G78*AB78,0)</f>
        <v>0</v>
      </c>
      <c r="AQ78" t="s">
        <v>204</v>
      </c>
    </row>
    <row r="79" spans="1:43" x14ac:dyDescent="0.25">
      <c r="A79" s="1" t="s">
        <v>205</v>
      </c>
      <c r="B79" s="1" t="s">
        <v>50</v>
      </c>
      <c r="C79" s="1">
        <v>14</v>
      </c>
      <c r="D79" s="1">
        <v>66</v>
      </c>
      <c r="E79" s="1">
        <v>20</v>
      </c>
      <c r="F79" s="1">
        <v>64</v>
      </c>
      <c r="G79" s="7">
        <v>0.35</v>
      </c>
      <c r="H79" s="1">
        <v>90</v>
      </c>
      <c r="I79" s="1" t="s">
        <v>43</v>
      </c>
      <c r="J79" s="1"/>
      <c r="K79" s="1">
        <v>57</v>
      </c>
      <c r="L79" s="1">
        <f t="shared" si="17"/>
        <v>-37</v>
      </c>
      <c r="M79" s="1">
        <f t="shared" si="18"/>
        <v>20</v>
      </c>
      <c r="N79" s="1"/>
      <c r="O79" s="1"/>
      <c r="P79" s="1"/>
      <c r="Q79" s="1">
        <v>0</v>
      </c>
      <c r="R79" s="1"/>
      <c r="S79" s="24"/>
      <c r="T79" s="1"/>
      <c r="U79" s="1"/>
      <c r="V79" s="24"/>
      <c r="W79" s="1">
        <f t="shared" si="19"/>
        <v>4</v>
      </c>
      <c r="X79" s="5"/>
      <c r="Y79" s="5">
        <f t="shared" si="20"/>
        <v>0</v>
      </c>
      <c r="Z79" s="5">
        <f>Y79-AB79</f>
        <v>0</v>
      </c>
      <c r="AA79" s="5"/>
      <c r="AB79" s="5"/>
      <c r="AC79" s="1"/>
      <c r="AD79" s="1">
        <f>(F79+O79+P79+Q79+T79+Z79+AB79+R79+S79+U79+V79)/W79</f>
        <v>16</v>
      </c>
      <c r="AE79" s="1">
        <f>(F79+O79+P79+Q79+T79)/W79</f>
        <v>16</v>
      </c>
      <c r="AF79" s="1">
        <v>4</v>
      </c>
      <c r="AG79" s="1">
        <v>8.8000000000000007</v>
      </c>
      <c r="AH79" s="1">
        <v>7.2</v>
      </c>
      <c r="AI79" s="1">
        <v>9.4</v>
      </c>
      <c r="AJ79" s="1">
        <v>10.4</v>
      </c>
      <c r="AK79" s="1">
        <v>6.2</v>
      </c>
      <c r="AL79" s="1">
        <v>9.4</v>
      </c>
      <c r="AM79" s="1">
        <v>9.4</v>
      </c>
      <c r="AN79" s="1"/>
      <c r="AO79" s="1">
        <f>ROUND(G79*Z79,0)</f>
        <v>0</v>
      </c>
      <c r="AP79" s="1">
        <f>ROUND(G79*AB79,0)</f>
        <v>0</v>
      </c>
      <c r="AQ79" t="s">
        <v>206</v>
      </c>
    </row>
    <row r="80" spans="1:43" x14ac:dyDescent="0.25">
      <c r="A80" s="1" t="s">
        <v>207</v>
      </c>
      <c r="B80" s="1" t="s">
        <v>50</v>
      </c>
      <c r="C80" s="1">
        <v>88</v>
      </c>
      <c r="D80" s="1">
        <v>275</v>
      </c>
      <c r="E80" s="1">
        <v>153</v>
      </c>
      <c r="F80" s="1">
        <v>195</v>
      </c>
      <c r="G80" s="7">
        <v>0.37</v>
      </c>
      <c r="H80" s="1">
        <v>50</v>
      </c>
      <c r="I80" s="1" t="s">
        <v>43</v>
      </c>
      <c r="J80" s="1"/>
      <c r="K80" s="1">
        <v>175</v>
      </c>
      <c r="L80" s="1">
        <f t="shared" si="17"/>
        <v>-22</v>
      </c>
      <c r="M80" s="1">
        <f t="shared" si="18"/>
        <v>153</v>
      </c>
      <c r="N80" s="1"/>
      <c r="O80" s="1"/>
      <c r="P80" s="1"/>
      <c r="Q80" s="1">
        <v>85.600000000000023</v>
      </c>
      <c r="R80" s="1"/>
      <c r="S80" s="24"/>
      <c r="T80" s="1"/>
      <c r="U80" s="1"/>
      <c r="V80" s="24"/>
      <c r="W80" s="1">
        <f t="shared" si="19"/>
        <v>30.6</v>
      </c>
      <c r="X80" s="5">
        <f>12*W80-T80-Q80-P80-O80-F80</f>
        <v>86.600000000000023</v>
      </c>
      <c r="Y80" s="5">
        <f t="shared" si="20"/>
        <v>86.600000000000023</v>
      </c>
      <c r="Z80" s="5">
        <f>Y80-AB80</f>
        <v>86.600000000000023</v>
      </c>
      <c r="AA80" s="5"/>
      <c r="AB80" s="5"/>
      <c r="AC80" s="1"/>
      <c r="AD80" s="1">
        <f>(F80+O80+P80+Q80+T80+Z80+AB80+R80+S80+U80+V80)/W80</f>
        <v>12.000000000000002</v>
      </c>
      <c r="AE80" s="1">
        <f>(F80+O80+P80+Q80+T80)/W80</f>
        <v>9.169934640522877</v>
      </c>
      <c r="AF80" s="1">
        <v>30.6</v>
      </c>
      <c r="AG80" s="1">
        <v>27.4</v>
      </c>
      <c r="AH80" s="1">
        <v>35.4</v>
      </c>
      <c r="AI80" s="1">
        <v>29.4</v>
      </c>
      <c r="AJ80" s="1">
        <v>16.2</v>
      </c>
      <c r="AK80" s="1">
        <v>28.8</v>
      </c>
      <c r="AL80" s="1">
        <v>28.8</v>
      </c>
      <c r="AM80" s="1">
        <v>18.2</v>
      </c>
      <c r="AN80" s="1"/>
      <c r="AO80" s="1">
        <f>ROUND(G80*Z80,0)</f>
        <v>32</v>
      </c>
      <c r="AP80" s="1">
        <f>ROUND(G80*AB80,0)</f>
        <v>0</v>
      </c>
      <c r="AQ80" t="s">
        <v>208</v>
      </c>
    </row>
    <row r="81" spans="1:44" x14ac:dyDescent="0.25">
      <c r="A81" s="1" t="s">
        <v>209</v>
      </c>
      <c r="B81" s="1" t="s">
        <v>50</v>
      </c>
      <c r="C81" s="1">
        <v>722</v>
      </c>
      <c r="D81" s="1">
        <v>13</v>
      </c>
      <c r="E81" s="1">
        <v>309</v>
      </c>
      <c r="F81" s="1">
        <v>389</v>
      </c>
      <c r="G81" s="7">
        <v>0.6</v>
      </c>
      <c r="H81" s="1">
        <v>70</v>
      </c>
      <c r="I81" s="14" t="s">
        <v>54</v>
      </c>
      <c r="J81" s="1"/>
      <c r="K81" s="1">
        <v>331</v>
      </c>
      <c r="L81" s="1">
        <f t="shared" si="17"/>
        <v>-22</v>
      </c>
      <c r="M81" s="1">
        <f t="shared" si="18"/>
        <v>309</v>
      </c>
      <c r="N81" s="1"/>
      <c r="O81" s="1"/>
      <c r="P81" s="1"/>
      <c r="Q81" s="1">
        <v>127</v>
      </c>
      <c r="R81" s="1"/>
      <c r="S81" s="24"/>
      <c r="T81" s="1"/>
      <c r="U81" s="1"/>
      <c r="V81" s="24"/>
      <c r="W81" s="1">
        <f t="shared" si="19"/>
        <v>61.8</v>
      </c>
      <c r="X81" s="5">
        <f>11*W81-T81-Q81-P81-O81-F81</f>
        <v>163.79999999999995</v>
      </c>
      <c r="Y81" s="5">
        <f t="shared" si="20"/>
        <v>163.79999999999995</v>
      </c>
      <c r="Z81" s="5">
        <f>Y81-AB81</f>
        <v>163.79999999999995</v>
      </c>
      <c r="AA81" s="5"/>
      <c r="AB81" s="5"/>
      <c r="AC81" s="1"/>
      <c r="AD81" s="1">
        <f>(F81+O81+P81+Q81+T81+Z81+AB81+R81+S81+U81+V81)/W81</f>
        <v>11</v>
      </c>
      <c r="AE81" s="1">
        <f>(F81+O81+P81+Q81+T81)/W81</f>
        <v>8.349514563106796</v>
      </c>
      <c r="AF81" s="1">
        <v>61.8</v>
      </c>
      <c r="AG81" s="1">
        <v>34.200000000000003</v>
      </c>
      <c r="AH81" s="1">
        <v>32.6</v>
      </c>
      <c r="AI81" s="1">
        <v>19.600000000000001</v>
      </c>
      <c r="AJ81" s="1">
        <v>83.6</v>
      </c>
      <c r="AK81" s="1">
        <v>196.6</v>
      </c>
      <c r="AL81" s="1">
        <v>134</v>
      </c>
      <c r="AM81" s="1">
        <v>33.200000000000003</v>
      </c>
      <c r="AN81" s="1" t="s">
        <v>210</v>
      </c>
      <c r="AO81" s="1">
        <f>ROUND(G81*Z81,0)</f>
        <v>98</v>
      </c>
      <c r="AP81" s="1">
        <f>ROUND(G81*AB81,0)</f>
        <v>0</v>
      </c>
      <c r="AQ81" t="s">
        <v>211</v>
      </c>
    </row>
    <row r="82" spans="1:44" x14ac:dyDescent="0.25">
      <c r="A82" s="1" t="s">
        <v>212</v>
      </c>
      <c r="B82" s="1" t="s">
        <v>50</v>
      </c>
      <c r="C82" s="1">
        <v>84</v>
      </c>
      <c r="D82" s="1">
        <v>372</v>
      </c>
      <c r="E82" s="1">
        <v>206</v>
      </c>
      <c r="F82" s="1">
        <v>55</v>
      </c>
      <c r="G82" s="7">
        <v>0.33</v>
      </c>
      <c r="H82" s="1">
        <v>40</v>
      </c>
      <c r="I82" s="1" t="s">
        <v>43</v>
      </c>
      <c r="J82" s="1"/>
      <c r="K82" s="1">
        <v>342</v>
      </c>
      <c r="L82" s="1">
        <f t="shared" si="17"/>
        <v>-136</v>
      </c>
      <c r="M82" s="1">
        <f t="shared" si="18"/>
        <v>206</v>
      </c>
      <c r="N82" s="1"/>
      <c r="O82" s="1">
        <v>144.0712</v>
      </c>
      <c r="P82" s="1"/>
      <c r="Q82" s="1">
        <v>156.54000000000011</v>
      </c>
      <c r="R82" s="1"/>
      <c r="S82" s="24"/>
      <c r="T82" s="1"/>
      <c r="U82" s="1"/>
      <c r="V82" s="24"/>
      <c r="W82" s="1">
        <f t="shared" si="19"/>
        <v>41.2</v>
      </c>
      <c r="X82" s="5">
        <f>12*W82-T82-Q82-P82-O82-F82</f>
        <v>138.7887999999999</v>
      </c>
      <c r="Y82" s="5">
        <f t="shared" si="20"/>
        <v>138.7887999999999</v>
      </c>
      <c r="Z82" s="5">
        <f>Y82-AB82</f>
        <v>138.7887999999999</v>
      </c>
      <c r="AA82" s="5"/>
      <c r="AB82" s="5"/>
      <c r="AC82" s="1"/>
      <c r="AD82" s="1">
        <f>(F82+O82+P82+Q82+T82+Z82+AB82+R82+S82+U82+V82)/W82</f>
        <v>11.999999999999998</v>
      </c>
      <c r="AE82" s="1">
        <f>(F82+O82+P82+Q82+T82)/W82</f>
        <v>8.6313398058252453</v>
      </c>
      <c r="AF82" s="1">
        <v>49.6</v>
      </c>
      <c r="AG82" s="1">
        <v>42</v>
      </c>
      <c r="AH82" s="1">
        <v>24.8</v>
      </c>
      <c r="AI82" s="1">
        <v>34.4</v>
      </c>
      <c r="AJ82" s="1">
        <v>51</v>
      </c>
      <c r="AK82" s="1">
        <v>66.400000000000006</v>
      </c>
      <c r="AL82" s="1">
        <v>43.8</v>
      </c>
      <c r="AM82" s="1">
        <v>14</v>
      </c>
      <c r="AN82" s="1"/>
      <c r="AO82" s="1">
        <f>ROUND(G82*Z82,0)</f>
        <v>46</v>
      </c>
      <c r="AP82" s="1">
        <f>ROUND(G82*AB82,0)</f>
        <v>0</v>
      </c>
      <c r="AQ82" t="s">
        <v>213</v>
      </c>
    </row>
    <row r="83" spans="1:44" x14ac:dyDescent="0.25">
      <c r="A83" s="1" t="s">
        <v>214</v>
      </c>
      <c r="B83" s="1" t="s">
        <v>50</v>
      </c>
      <c r="C83" s="1">
        <v>50</v>
      </c>
      <c r="D83" s="1">
        <v>114</v>
      </c>
      <c r="E83" s="1">
        <v>66</v>
      </c>
      <c r="F83" s="1">
        <v>113</v>
      </c>
      <c r="G83" s="7">
        <v>0.4</v>
      </c>
      <c r="H83" s="1">
        <v>55</v>
      </c>
      <c r="I83" s="1" t="s">
        <v>43</v>
      </c>
      <c r="J83" s="1"/>
      <c r="K83" s="1">
        <v>58</v>
      </c>
      <c r="L83" s="1">
        <f t="shared" si="17"/>
        <v>8</v>
      </c>
      <c r="M83" s="1">
        <f t="shared" si="18"/>
        <v>66</v>
      </c>
      <c r="N83" s="1"/>
      <c r="O83" s="1"/>
      <c r="P83" s="1"/>
      <c r="Q83" s="1">
        <v>19.19999999999996</v>
      </c>
      <c r="R83" s="1"/>
      <c r="S83" s="24"/>
      <c r="T83" s="1"/>
      <c r="U83" s="1"/>
      <c r="V83" s="24"/>
      <c r="W83" s="1">
        <f t="shared" si="19"/>
        <v>13.2</v>
      </c>
      <c r="X83" s="5">
        <f>12*W83-T83-Q83-P83-O83-F83</f>
        <v>26.200000000000017</v>
      </c>
      <c r="Y83" s="5">
        <f t="shared" si="20"/>
        <v>26.200000000000017</v>
      </c>
      <c r="Z83" s="5">
        <f>Y83-AB83</f>
        <v>26.200000000000017</v>
      </c>
      <c r="AA83" s="5"/>
      <c r="AB83" s="5"/>
      <c r="AC83" s="1"/>
      <c r="AD83" s="1">
        <f>(F83+O83+P83+Q83+T83+Z83+AB83+R83+S83+U83+V83)/W83</f>
        <v>11.999999999999998</v>
      </c>
      <c r="AE83" s="1">
        <f>(F83+O83+P83+Q83+T83)/W83</f>
        <v>10.015151515151512</v>
      </c>
      <c r="AF83" s="1">
        <v>13.2</v>
      </c>
      <c r="AG83" s="1">
        <v>12.8</v>
      </c>
      <c r="AH83" s="1">
        <v>9.6</v>
      </c>
      <c r="AI83" s="1">
        <v>8.6</v>
      </c>
      <c r="AJ83" s="1">
        <v>10.8</v>
      </c>
      <c r="AK83" s="1">
        <v>12.2</v>
      </c>
      <c r="AL83" s="1">
        <v>8.4</v>
      </c>
      <c r="AM83" s="1">
        <v>8.4</v>
      </c>
      <c r="AN83" s="1"/>
      <c r="AO83" s="1">
        <f>ROUND(G83*Z83,0)</f>
        <v>10</v>
      </c>
      <c r="AP83" s="1">
        <f>ROUND(G83*AB83,0)</f>
        <v>0</v>
      </c>
      <c r="AQ83" t="s">
        <v>215</v>
      </c>
    </row>
    <row r="84" spans="1:44" x14ac:dyDescent="0.25">
      <c r="A84" s="1" t="s">
        <v>216</v>
      </c>
      <c r="B84" s="1" t="s">
        <v>50</v>
      </c>
      <c r="C84" s="1">
        <v>-8</v>
      </c>
      <c r="D84" s="1">
        <v>375</v>
      </c>
      <c r="E84" s="1">
        <v>98</v>
      </c>
      <c r="F84" s="1">
        <v>262</v>
      </c>
      <c r="G84" s="7">
        <v>0.35</v>
      </c>
      <c r="H84" s="1">
        <v>40</v>
      </c>
      <c r="I84" s="15" t="s">
        <v>106</v>
      </c>
      <c r="J84" s="1"/>
      <c r="K84" s="1">
        <v>70</v>
      </c>
      <c r="L84" s="1">
        <f t="shared" si="17"/>
        <v>28</v>
      </c>
      <c r="M84" s="1">
        <f t="shared" si="18"/>
        <v>98</v>
      </c>
      <c r="N84" s="1"/>
      <c r="O84" s="1">
        <v>50</v>
      </c>
      <c r="P84" s="1"/>
      <c r="Q84" s="1">
        <v>0</v>
      </c>
      <c r="R84" s="1"/>
      <c r="S84" s="24"/>
      <c r="T84" s="1"/>
      <c r="U84" s="1"/>
      <c r="V84" s="24"/>
      <c r="W84" s="1">
        <f t="shared" si="19"/>
        <v>19.600000000000001</v>
      </c>
      <c r="X84" s="5">
        <v>50</v>
      </c>
      <c r="Y84" s="5">
        <f t="shared" si="20"/>
        <v>50</v>
      </c>
      <c r="Z84" s="5">
        <f>Y84</f>
        <v>50</v>
      </c>
      <c r="AA84" s="5">
        <v>-30.000000000000004</v>
      </c>
      <c r="AB84" s="5">
        <f>Y84*0.5</f>
        <v>25</v>
      </c>
      <c r="AC84" s="1"/>
      <c r="AD84" s="1">
        <f>(F84+O84+P84+Q84+T84+Z84+AB84+R84+S84+U84+V84)/W84</f>
        <v>19.744897959183671</v>
      </c>
      <c r="AE84" s="1">
        <f>(F84+O84+P84+Q84+T84)/W84</f>
        <v>15.918367346938775</v>
      </c>
      <c r="AF84" s="1">
        <v>19.600000000000001</v>
      </c>
      <c r="AG84" s="1">
        <v>50</v>
      </c>
      <c r="AH84" s="1">
        <v>40</v>
      </c>
      <c r="AI84" s="1">
        <v>12.4</v>
      </c>
      <c r="AJ84" s="1">
        <v>-1</v>
      </c>
      <c r="AK84" s="1">
        <v>8.8000000000000007</v>
      </c>
      <c r="AL84" s="1">
        <v>26.2</v>
      </c>
      <c r="AM84" s="1">
        <v>35.799999999999997</v>
      </c>
      <c r="AN84" s="1"/>
      <c r="AO84" s="1">
        <f>ROUND(G84*Z84,0)</f>
        <v>18</v>
      </c>
      <c r="AP84" s="1">
        <f>ROUND(G84*AB84,0)</f>
        <v>9</v>
      </c>
      <c r="AQ84" t="s">
        <v>217</v>
      </c>
    </row>
    <row r="85" spans="1:44" x14ac:dyDescent="0.25">
      <c r="A85" s="1" t="s">
        <v>218</v>
      </c>
      <c r="B85" s="1" t="s">
        <v>50</v>
      </c>
      <c r="C85" s="1">
        <v>-1</v>
      </c>
      <c r="D85" s="1">
        <v>315</v>
      </c>
      <c r="E85" s="1">
        <v>-3</v>
      </c>
      <c r="F85" s="1">
        <v>10</v>
      </c>
      <c r="G85" s="7">
        <v>0.35</v>
      </c>
      <c r="H85" s="1">
        <v>45</v>
      </c>
      <c r="I85" s="15" t="s">
        <v>106</v>
      </c>
      <c r="J85" s="1"/>
      <c r="K85" s="1">
        <v>269</v>
      </c>
      <c r="L85" s="1">
        <f t="shared" si="17"/>
        <v>-272</v>
      </c>
      <c r="M85" s="1">
        <f t="shared" si="18"/>
        <v>-153</v>
      </c>
      <c r="N85" s="1">
        <v>150</v>
      </c>
      <c r="O85" s="1">
        <v>50</v>
      </c>
      <c r="P85" s="1"/>
      <c r="Q85" s="1">
        <v>100</v>
      </c>
      <c r="R85" s="1"/>
      <c r="S85" s="24"/>
      <c r="T85" s="1"/>
      <c r="U85" s="1"/>
      <c r="V85" s="24"/>
      <c r="W85" s="1">
        <f t="shared" si="19"/>
        <v>-30.6</v>
      </c>
      <c r="X85" s="5">
        <v>100</v>
      </c>
      <c r="Y85" s="5">
        <f t="shared" si="20"/>
        <v>100</v>
      </c>
      <c r="Z85" s="5">
        <f>Y85</f>
        <v>100</v>
      </c>
      <c r="AA85" s="5"/>
      <c r="AB85" s="5">
        <f>Y85*0.5</f>
        <v>50</v>
      </c>
      <c r="AC85" s="1"/>
      <c r="AD85" s="1">
        <f>(F85+O85+P85+Q85+T85+Z85+AB85+R85+S85+U85+V85)/W85</f>
        <v>-10.130718954248366</v>
      </c>
      <c r="AE85" s="1">
        <f>(F85+O85+P85+Q85+T85)/W85</f>
        <v>-5.2287581699346406</v>
      </c>
      <c r="AF85" s="1">
        <v>-0.6</v>
      </c>
      <c r="AG85" s="1">
        <v>0</v>
      </c>
      <c r="AH85" s="1">
        <v>2.8</v>
      </c>
      <c r="AI85" s="1">
        <v>74.400000000000006</v>
      </c>
      <c r="AJ85" s="1">
        <v>77.2</v>
      </c>
      <c r="AK85" s="1">
        <v>16.600000000000001</v>
      </c>
      <c r="AL85" s="1">
        <v>66.599999999999994</v>
      </c>
      <c r="AM85" s="1">
        <v>83</v>
      </c>
      <c r="AN85" s="1"/>
      <c r="AO85" s="1">
        <f>ROUND(G85*Z85,0)</f>
        <v>35</v>
      </c>
      <c r="AP85" s="1">
        <f>ROUND(G85*AB85,0)</f>
        <v>18</v>
      </c>
      <c r="AQ85" t="s">
        <v>219</v>
      </c>
    </row>
    <row r="86" spans="1:44" x14ac:dyDescent="0.25">
      <c r="A86" s="9" t="s">
        <v>220</v>
      </c>
      <c r="B86" s="9" t="s">
        <v>42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67</v>
      </c>
      <c r="J86" s="9" t="s">
        <v>47</v>
      </c>
      <c r="K86" s="9"/>
      <c r="L86" s="9">
        <f t="shared" si="17"/>
        <v>0</v>
      </c>
      <c r="M86" s="9">
        <f t="shared" si="18"/>
        <v>0</v>
      </c>
      <c r="N86" s="9"/>
      <c r="O86" s="9"/>
      <c r="P86" s="9"/>
      <c r="Q86" s="9">
        <v>0</v>
      </c>
      <c r="R86" s="9"/>
      <c r="S86" s="27"/>
      <c r="T86" s="9"/>
      <c r="U86" s="9"/>
      <c r="V86" s="27"/>
      <c r="W86" s="9">
        <f t="shared" si="19"/>
        <v>0</v>
      </c>
      <c r="X86" s="11"/>
      <c r="Y86" s="5">
        <f t="shared" si="20"/>
        <v>0</v>
      </c>
      <c r="Z86" s="5">
        <f>Y86-AB86</f>
        <v>0</v>
      </c>
      <c r="AA86" s="5"/>
      <c r="AB86" s="5"/>
      <c r="AC86" s="1"/>
      <c r="AD86" s="1" t="e">
        <f>(F86+O86+P86+Q86+T86+Z86+AB86+R86+S86+U86+V86)/W86</f>
        <v>#DIV/0!</v>
      </c>
      <c r="AE86" s="9" t="e">
        <f>(F86+O86+P86+Q86+T86)/W86</f>
        <v>#DIV/0!</v>
      </c>
      <c r="AF86" s="9">
        <v>0</v>
      </c>
      <c r="AG86" s="9">
        <v>0</v>
      </c>
      <c r="AH86" s="9">
        <v>1.0882000000000001</v>
      </c>
      <c r="AI86" s="9">
        <v>1.0882000000000001</v>
      </c>
      <c r="AJ86" s="9">
        <v>0</v>
      </c>
      <c r="AK86" s="9">
        <v>0</v>
      </c>
      <c r="AL86" s="9">
        <v>0</v>
      </c>
      <c r="AM86" s="9">
        <v>0</v>
      </c>
      <c r="AN86" s="9"/>
      <c r="AO86" s="1">
        <f>ROUND(G86*Z86,0)</f>
        <v>0</v>
      </c>
      <c r="AP86" s="1">
        <f>ROUND(G86*AB86,0)</f>
        <v>0</v>
      </c>
    </row>
    <row r="87" spans="1:44" x14ac:dyDescent="0.25">
      <c r="A87" s="1" t="s">
        <v>221</v>
      </c>
      <c r="B87" s="1" t="s">
        <v>50</v>
      </c>
      <c r="C87" s="1">
        <v>53</v>
      </c>
      <c r="D87" s="1">
        <v>50</v>
      </c>
      <c r="E87" s="1">
        <v>2</v>
      </c>
      <c r="F87" s="1">
        <v>103</v>
      </c>
      <c r="G87" s="7">
        <v>0.4</v>
      </c>
      <c r="H87" s="1">
        <v>55</v>
      </c>
      <c r="I87" s="1" t="s">
        <v>43</v>
      </c>
      <c r="J87" s="1"/>
      <c r="K87" s="1"/>
      <c r="L87" s="1">
        <f t="shared" si="17"/>
        <v>2</v>
      </c>
      <c r="M87" s="1">
        <f t="shared" si="18"/>
        <v>2</v>
      </c>
      <c r="N87" s="1"/>
      <c r="O87" s="1"/>
      <c r="P87" s="1"/>
      <c r="Q87" s="1">
        <v>0</v>
      </c>
      <c r="R87" s="1"/>
      <c r="S87" s="24"/>
      <c r="T87" s="1"/>
      <c r="U87" s="1"/>
      <c r="V87" s="24"/>
      <c r="W87" s="1">
        <f t="shared" si="19"/>
        <v>0.4</v>
      </c>
      <c r="X87" s="5"/>
      <c r="Y87" s="5">
        <f t="shared" si="20"/>
        <v>0</v>
      </c>
      <c r="Z87" s="5">
        <f>Y87-AB87</f>
        <v>0</v>
      </c>
      <c r="AA87" s="5"/>
      <c r="AB87" s="5"/>
      <c r="AC87" s="1"/>
      <c r="AD87" s="1">
        <f>(F87+O87+P87+Q87+T87+Z87+AB87+R87+S87+U87+V87)/W87</f>
        <v>257.5</v>
      </c>
      <c r="AE87" s="1">
        <f>(F87+O87+P87+Q87+T87)/W87</f>
        <v>257.5</v>
      </c>
      <c r="AF87" s="1">
        <v>0.4</v>
      </c>
      <c r="AG87" s="1">
        <v>8.6</v>
      </c>
      <c r="AH87" s="1">
        <v>8.6</v>
      </c>
      <c r="AI87" s="1">
        <v>4.4000000000000004</v>
      </c>
      <c r="AJ87" s="1">
        <v>7.6</v>
      </c>
      <c r="AK87" s="1">
        <v>4</v>
      </c>
      <c r="AL87" s="1">
        <v>4</v>
      </c>
      <c r="AM87" s="1">
        <v>0</v>
      </c>
      <c r="AN87" s="12" t="s">
        <v>99</v>
      </c>
      <c r="AO87" s="1">
        <f>ROUND(G87*Z87,0)</f>
        <v>0</v>
      </c>
      <c r="AP87" s="1">
        <f>ROUND(G87*AB87,0)</f>
        <v>0</v>
      </c>
      <c r="AQ87" t="s">
        <v>222</v>
      </c>
    </row>
    <row r="88" spans="1:44" x14ac:dyDescent="0.25">
      <c r="A88" s="1" t="s">
        <v>223</v>
      </c>
      <c r="B88" s="1" t="s">
        <v>42</v>
      </c>
      <c r="C88" s="1">
        <v>33.728999999999999</v>
      </c>
      <c r="D88" s="1"/>
      <c r="E88" s="1">
        <v>4.0910000000000002</v>
      </c>
      <c r="F88" s="1">
        <v>16.384</v>
      </c>
      <c r="G88" s="7">
        <v>1</v>
      </c>
      <c r="H88" s="1">
        <v>55</v>
      </c>
      <c r="I88" s="1" t="s">
        <v>43</v>
      </c>
      <c r="J88" s="1"/>
      <c r="K88" s="1">
        <v>15.3</v>
      </c>
      <c r="L88" s="1">
        <f t="shared" si="17"/>
        <v>-11.209</v>
      </c>
      <c r="M88" s="1">
        <f t="shared" si="18"/>
        <v>4.0910000000000002</v>
      </c>
      <c r="N88" s="1"/>
      <c r="O88" s="1"/>
      <c r="P88" s="1"/>
      <c r="Q88" s="1">
        <v>0</v>
      </c>
      <c r="R88" s="1"/>
      <c r="S88" s="24"/>
      <c r="T88" s="1"/>
      <c r="U88" s="1"/>
      <c r="V88" s="24"/>
      <c r="W88" s="1">
        <f t="shared" si="19"/>
        <v>0.81820000000000004</v>
      </c>
      <c r="X88" s="5"/>
      <c r="Y88" s="5">
        <f t="shared" si="20"/>
        <v>0</v>
      </c>
      <c r="Z88" s="5">
        <f>Y88-AB88</f>
        <v>0</v>
      </c>
      <c r="AA88" s="5"/>
      <c r="AB88" s="5"/>
      <c r="AC88" s="1"/>
      <c r="AD88" s="1">
        <f>(F88+O88+P88+Q88+T88+Z88+AB88+R88+S88+U88+V88)/W88</f>
        <v>20.024443901246638</v>
      </c>
      <c r="AE88" s="1">
        <f>(F88+O88+P88+Q88+T88)/W88</f>
        <v>20.024443901246638</v>
      </c>
      <c r="AF88" s="1">
        <v>0.81820000000000004</v>
      </c>
      <c r="AG88" s="1">
        <v>1.704</v>
      </c>
      <c r="AH88" s="1">
        <v>2.0099999999999998</v>
      </c>
      <c r="AI88" s="1">
        <v>1.7163999999999999</v>
      </c>
      <c r="AJ88" s="1">
        <v>1.7183999999999999</v>
      </c>
      <c r="AK88" s="1">
        <v>0.57800000000000007</v>
      </c>
      <c r="AL88" s="1">
        <v>1.7447999999999999</v>
      </c>
      <c r="AM88" s="1">
        <v>1.7296</v>
      </c>
      <c r="AN88" s="12" t="s">
        <v>99</v>
      </c>
      <c r="AO88" s="1">
        <f>ROUND(G88*Z88,0)</f>
        <v>0</v>
      </c>
      <c r="AP88" s="1">
        <f>ROUND(G88*AB88,0)</f>
        <v>0</v>
      </c>
      <c r="AQ88" t="s">
        <v>224</v>
      </c>
    </row>
    <row r="89" spans="1:44" x14ac:dyDescent="0.25">
      <c r="A89" s="9" t="s">
        <v>225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43</v>
      </c>
      <c r="J89" s="9"/>
      <c r="K89" s="9"/>
      <c r="L89" s="9">
        <f t="shared" si="17"/>
        <v>0</v>
      </c>
      <c r="M89" s="9">
        <f t="shared" si="18"/>
        <v>0</v>
      </c>
      <c r="N89" s="9"/>
      <c r="O89" s="9"/>
      <c r="P89" s="9"/>
      <c r="Q89" s="9">
        <v>0</v>
      </c>
      <c r="R89" s="9"/>
      <c r="S89" s="27"/>
      <c r="T89" s="9"/>
      <c r="U89" s="9"/>
      <c r="V89" s="27"/>
      <c r="W89" s="9">
        <f t="shared" si="19"/>
        <v>0</v>
      </c>
      <c r="X89" s="11"/>
      <c r="Y89" s="5">
        <f t="shared" si="20"/>
        <v>0</v>
      </c>
      <c r="Z89" s="5">
        <f>Y89-AB89</f>
        <v>0</v>
      </c>
      <c r="AA89" s="5"/>
      <c r="AB89" s="5"/>
      <c r="AC89" s="1"/>
      <c r="AD89" s="1" t="e">
        <f>(F89+O89+P89+Q89+T89+Z89+AB89+R89+S89+U89+V89)/W89</f>
        <v>#DIV/0!</v>
      </c>
      <c r="AE89" s="9" t="e">
        <f>(F89+O89+P89+Q89+T89)/W89</f>
        <v>#DIV/0!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 t="s">
        <v>80</v>
      </c>
      <c r="AO89" s="1">
        <f>ROUND(G89*Z89,0)</f>
        <v>0</v>
      </c>
      <c r="AP89" s="1">
        <f>ROUND(G89*AB89,0)</f>
        <v>0</v>
      </c>
      <c r="AQ89" t="s">
        <v>226</v>
      </c>
    </row>
    <row r="90" spans="1:44" x14ac:dyDescent="0.25">
      <c r="A90" s="23" t="s">
        <v>227</v>
      </c>
      <c r="B90" s="1" t="s">
        <v>42</v>
      </c>
      <c r="C90" s="1">
        <v>3866.12</v>
      </c>
      <c r="D90" s="1">
        <v>5962.2690000000002</v>
      </c>
      <c r="E90" s="1">
        <v>4315.1090000000004</v>
      </c>
      <c r="F90" s="1">
        <v>3348.8519999999999</v>
      </c>
      <c r="G90" s="7">
        <v>1</v>
      </c>
      <c r="H90" s="1">
        <v>60</v>
      </c>
      <c r="I90" s="1" t="s">
        <v>43</v>
      </c>
      <c r="J90" s="1"/>
      <c r="K90" s="1">
        <v>4583.6000000000004</v>
      </c>
      <c r="L90" s="1">
        <f t="shared" si="17"/>
        <v>-268.49099999999999</v>
      </c>
      <c r="M90" s="1">
        <f t="shared" si="18"/>
        <v>4213.1590000000006</v>
      </c>
      <c r="N90" s="1">
        <v>101.95</v>
      </c>
      <c r="O90" s="1">
        <v>1377.1870138935999</v>
      </c>
      <c r="P90" s="1"/>
      <c r="Q90" s="1">
        <v>2305.7990356897199</v>
      </c>
      <c r="R90" s="1"/>
      <c r="S90" s="24"/>
      <c r="T90" s="1">
        <v>2864.1539591302808</v>
      </c>
      <c r="U90" s="1"/>
      <c r="V90" s="24"/>
      <c r="W90" s="1">
        <f t="shared" si="19"/>
        <v>842.63180000000011</v>
      </c>
      <c r="X90" s="5">
        <f>12*W90-T90-Q90-P90-O90-F90</f>
        <v>215.58959128640072</v>
      </c>
      <c r="Y90" s="5">
        <v>0</v>
      </c>
      <c r="Z90" s="5">
        <f>Y90-AB90</f>
        <v>0</v>
      </c>
      <c r="AA90" s="5"/>
      <c r="AB90" s="5"/>
      <c r="AC90" s="1"/>
      <c r="AD90" s="1">
        <f>(F90+O90+P90+Q90+T90+Z90+AB90+R90+S90+U90+V90)/W90</f>
        <v>11.744147335424085</v>
      </c>
      <c r="AE90" s="1">
        <f>(F90+O90+P90+Q90+T90)/W90</f>
        <v>11.744147335424085</v>
      </c>
      <c r="AF90" s="1">
        <v>930.80480000000011</v>
      </c>
      <c r="AG90" s="1">
        <v>746.08699999999999</v>
      </c>
      <c r="AH90" s="1">
        <v>678.24040000000002</v>
      </c>
      <c r="AI90" s="1">
        <v>611.37299999999993</v>
      </c>
      <c r="AJ90" s="1">
        <v>524.66000000000008</v>
      </c>
      <c r="AK90" s="1">
        <v>546.37159999999994</v>
      </c>
      <c r="AL90" s="1">
        <v>631.18540000000007</v>
      </c>
      <c r="AM90" s="1">
        <v>487.42919999999992</v>
      </c>
      <c r="AN90" s="1"/>
      <c r="AO90" s="1">
        <f>ROUND(G90*Z90,0)</f>
        <v>0</v>
      </c>
      <c r="AP90" s="1">
        <f>ROUND(G90*AB90,0)</f>
        <v>0</v>
      </c>
      <c r="AQ90" t="s">
        <v>228</v>
      </c>
      <c r="AR90" t="str">
        <f>VLOOKUP(AQ90,[1]Лист1!$A:$A,1,0)</f>
        <v>SU002634</v>
      </c>
    </row>
    <row r="91" spans="1:44" x14ac:dyDescent="0.25">
      <c r="A91" s="1" t="s">
        <v>229</v>
      </c>
      <c r="B91" s="1" t="s">
        <v>50</v>
      </c>
      <c r="C91" s="1">
        <v>146</v>
      </c>
      <c r="D91" s="1">
        <v>322</v>
      </c>
      <c r="E91" s="1">
        <v>245</v>
      </c>
      <c r="F91" s="1">
        <v>197</v>
      </c>
      <c r="G91" s="7">
        <v>0.3</v>
      </c>
      <c r="H91" s="1">
        <v>40</v>
      </c>
      <c r="I91" s="1" t="s">
        <v>43</v>
      </c>
      <c r="J91" s="1"/>
      <c r="K91" s="1">
        <v>271</v>
      </c>
      <c r="L91" s="1">
        <f t="shared" si="17"/>
        <v>-26</v>
      </c>
      <c r="M91" s="1">
        <f t="shared" si="18"/>
        <v>245</v>
      </c>
      <c r="N91" s="1"/>
      <c r="O91" s="1">
        <v>208.21943999999999</v>
      </c>
      <c r="P91" s="1"/>
      <c r="Q91" s="1">
        <v>0</v>
      </c>
      <c r="R91" s="1"/>
      <c r="S91" s="24"/>
      <c r="T91" s="1"/>
      <c r="U91" s="1"/>
      <c r="V91" s="24"/>
      <c r="W91" s="1">
        <f t="shared" si="19"/>
        <v>49</v>
      </c>
      <c r="X91" s="5">
        <f>12*W91-T91-Q91-P91-O91-F91</f>
        <v>182.78056000000004</v>
      </c>
      <c r="Y91" s="5">
        <f t="shared" ref="Y91:Y99" si="21">X91</f>
        <v>182.78056000000004</v>
      </c>
      <c r="Z91" s="5">
        <f>Y91-AB91</f>
        <v>182.78056000000004</v>
      </c>
      <c r="AA91" s="5"/>
      <c r="AB91" s="5"/>
      <c r="AC91" s="1"/>
      <c r="AD91" s="1">
        <f>(F91+O91+P91+Q91+T91+Z91+AB91+R91+S91+U91+V91)/W91</f>
        <v>12</v>
      </c>
      <c r="AE91" s="1">
        <f>(F91+O91+P91+Q91+T91)/W91</f>
        <v>8.2697844897959172</v>
      </c>
      <c r="AF91" s="1">
        <v>49</v>
      </c>
      <c r="AG91" s="1">
        <v>54.8</v>
      </c>
      <c r="AH91" s="1">
        <v>31.2</v>
      </c>
      <c r="AI91" s="1">
        <v>37.799999999999997</v>
      </c>
      <c r="AJ91" s="1">
        <v>35.799999999999997</v>
      </c>
      <c r="AK91" s="1">
        <v>44</v>
      </c>
      <c r="AL91" s="1">
        <v>54.4</v>
      </c>
      <c r="AM91" s="1">
        <v>32.200000000000003</v>
      </c>
      <c r="AN91" s="1"/>
      <c r="AO91" s="1">
        <f>ROUND(G91*Z91,0)</f>
        <v>55</v>
      </c>
      <c r="AP91" s="1">
        <f>ROUND(G91*AB91,0)</f>
        <v>0</v>
      </c>
      <c r="AQ91" t="s">
        <v>230</v>
      </c>
    </row>
    <row r="92" spans="1:44" x14ac:dyDescent="0.25">
      <c r="A92" s="23" t="s">
        <v>231</v>
      </c>
      <c r="B92" s="1" t="s">
        <v>42</v>
      </c>
      <c r="C92" s="1">
        <v>1501.596</v>
      </c>
      <c r="D92" s="1">
        <v>4179.04</v>
      </c>
      <c r="E92" s="1">
        <v>1786.174</v>
      </c>
      <c r="F92" s="1">
        <v>383.12700000000001</v>
      </c>
      <c r="G92" s="7">
        <v>1</v>
      </c>
      <c r="H92" s="1">
        <v>60</v>
      </c>
      <c r="I92" s="1" t="s">
        <v>43</v>
      </c>
      <c r="J92" s="1"/>
      <c r="K92" s="1">
        <v>3731.7339999999999</v>
      </c>
      <c r="L92" s="1">
        <f t="shared" si="17"/>
        <v>-1945.56</v>
      </c>
      <c r="M92" s="1">
        <f t="shared" si="18"/>
        <v>1786.174</v>
      </c>
      <c r="N92" s="1"/>
      <c r="O92" s="1">
        <v>794.34634021391992</v>
      </c>
      <c r="P92" s="1"/>
      <c r="Q92" s="1">
        <v>1619.6354969949839</v>
      </c>
      <c r="R92" s="1"/>
      <c r="S92" s="24"/>
      <c r="T92" s="1">
        <v>2011.834227209016</v>
      </c>
      <c r="U92" s="1"/>
      <c r="V92" s="24"/>
      <c r="W92" s="1">
        <f t="shared" si="19"/>
        <v>357.23480000000001</v>
      </c>
      <c r="X92" s="5"/>
      <c r="Y92" s="5">
        <f t="shared" si="21"/>
        <v>0</v>
      </c>
      <c r="Z92" s="5">
        <f>Y92-AB92</f>
        <v>0</v>
      </c>
      <c r="AA92" s="5"/>
      <c r="AB92" s="5"/>
      <c r="AC92" s="1"/>
      <c r="AD92" s="1">
        <f>(F92+O92+P92+Q92+T92+Z92+AB92+R92+S92+U92+V92)/W92</f>
        <v>13.46157503249381</v>
      </c>
      <c r="AE92" s="1">
        <f>(F92+O92+P92+Q92+T92)/W92</f>
        <v>13.46157503249381</v>
      </c>
      <c r="AF92" s="1">
        <v>505.72719999999998</v>
      </c>
      <c r="AG92" s="1">
        <v>276.84160000000003</v>
      </c>
      <c r="AH92" s="1">
        <v>190.1532</v>
      </c>
      <c r="AI92" s="1">
        <v>224.54220000000001</v>
      </c>
      <c r="AJ92" s="1">
        <v>235.44120000000001</v>
      </c>
      <c r="AK92" s="1">
        <v>237.84280000000001</v>
      </c>
      <c r="AL92" s="1">
        <v>261.7706</v>
      </c>
      <c r="AM92" s="1">
        <v>210.9222</v>
      </c>
      <c r="AN92" s="1"/>
      <c r="AO92" s="1">
        <f>ROUND(G92*Z92,0)</f>
        <v>0</v>
      </c>
      <c r="AP92" s="1">
        <f>ROUND(G92*AB92,0)</f>
        <v>0</v>
      </c>
      <c r="AQ92" t="s">
        <v>232</v>
      </c>
      <c r="AR92" t="str">
        <f>VLOOKUP(AQ92,[1]Лист1!$A:$A,1,0)</f>
        <v>SU003423</v>
      </c>
    </row>
    <row r="93" spans="1:44" x14ac:dyDescent="0.25">
      <c r="A93" s="23" t="s">
        <v>233</v>
      </c>
      <c r="B93" s="1" t="s">
        <v>42</v>
      </c>
      <c r="C93" s="1">
        <v>5155.0910000000003</v>
      </c>
      <c r="D93" s="1">
        <v>3786.1170000000002</v>
      </c>
      <c r="E93" s="1">
        <v>3167.6869999999999</v>
      </c>
      <c r="F93" s="1">
        <v>3242.4430000000002</v>
      </c>
      <c r="G93" s="7">
        <v>1</v>
      </c>
      <c r="H93" s="1">
        <v>60</v>
      </c>
      <c r="I93" s="1" t="s">
        <v>43</v>
      </c>
      <c r="J93" s="1"/>
      <c r="K93" s="1">
        <v>4175.7219999999998</v>
      </c>
      <c r="L93" s="1">
        <f t="shared" si="17"/>
        <v>-1008.0349999999999</v>
      </c>
      <c r="M93" s="1">
        <f t="shared" si="18"/>
        <v>1522.6769999999999</v>
      </c>
      <c r="N93" s="1">
        <v>1645.01</v>
      </c>
      <c r="O93" s="1">
        <v>1039.1909161649589</v>
      </c>
      <c r="P93" s="1"/>
      <c r="Q93" s="1">
        <v>398.05942898159287</v>
      </c>
      <c r="R93" s="1"/>
      <c r="S93" s="24"/>
      <c r="T93" s="1">
        <v>494.45050147040922</v>
      </c>
      <c r="U93" s="1"/>
      <c r="V93" s="24">
        <v>300</v>
      </c>
      <c r="W93" s="1">
        <f t="shared" si="19"/>
        <v>304.53539999999998</v>
      </c>
      <c r="X93" s="5"/>
      <c r="Y93" s="5">
        <f t="shared" si="21"/>
        <v>0</v>
      </c>
      <c r="Z93" s="5">
        <f>Y93-AB93</f>
        <v>0</v>
      </c>
      <c r="AA93" s="5"/>
      <c r="AB93" s="5"/>
      <c r="AC93" s="1"/>
      <c r="AD93" s="1">
        <f>(F93+O93+P93+Q93+T93+Z93+AB93+R93+S93+U93+V93)/W93</f>
        <v>17.975394146680358</v>
      </c>
      <c r="AE93" s="1">
        <f>(F93+O93+P93+Q93+T93)/W93</f>
        <v>16.990286996575641</v>
      </c>
      <c r="AF93" s="1">
        <v>631.58000000000004</v>
      </c>
      <c r="AG93" s="1">
        <v>682.72479999999996</v>
      </c>
      <c r="AH93" s="1">
        <v>684.17160000000001</v>
      </c>
      <c r="AI93" s="1">
        <v>529.6386</v>
      </c>
      <c r="AJ93" s="1">
        <v>447.9076</v>
      </c>
      <c r="AK93" s="1">
        <v>485.68380000000008</v>
      </c>
      <c r="AL93" s="1">
        <v>514.53820000000007</v>
      </c>
      <c r="AM93" s="1">
        <v>401.62819999999999</v>
      </c>
      <c r="AN93" s="16" t="s">
        <v>83</v>
      </c>
      <c r="AO93" s="1">
        <f>ROUND(G93*Z93,0)</f>
        <v>0</v>
      </c>
      <c r="AP93" s="1">
        <f>ROUND(G93*AB93,0)</f>
        <v>0</v>
      </c>
      <c r="AQ93" t="s">
        <v>234</v>
      </c>
      <c r="AR93" t="str">
        <f>VLOOKUP(AQ93,[1]Лист1!$A:$A,1,0)</f>
        <v>SU003420</v>
      </c>
    </row>
    <row r="94" spans="1:44" x14ac:dyDescent="0.25">
      <c r="A94" s="23" t="s">
        <v>88</v>
      </c>
      <c r="B94" s="1" t="s">
        <v>42</v>
      </c>
      <c r="C94" s="1">
        <v>5918.6170000000002</v>
      </c>
      <c r="D94" s="1">
        <v>6028.2030000000004</v>
      </c>
      <c r="E94" s="13">
        <f>2735.521+E23</f>
        <v>2740.491</v>
      </c>
      <c r="F94" s="13">
        <f>5525.034+F23</f>
        <v>5512.5709999999999</v>
      </c>
      <c r="G94" s="7">
        <v>1</v>
      </c>
      <c r="H94" s="1">
        <v>60</v>
      </c>
      <c r="I94" s="1" t="s">
        <v>43</v>
      </c>
      <c r="J94" s="1"/>
      <c r="K94" s="1">
        <v>6008.5770000000002</v>
      </c>
      <c r="L94" s="1">
        <f t="shared" si="17"/>
        <v>-3268.0860000000002</v>
      </c>
      <c r="M94" s="1">
        <f t="shared" si="18"/>
        <v>1989.252</v>
      </c>
      <c r="N94" s="1">
        <v>751.23900000000003</v>
      </c>
      <c r="O94" s="1">
        <v>1317.9080096</v>
      </c>
      <c r="P94" s="1"/>
      <c r="Q94" s="1">
        <v>0</v>
      </c>
      <c r="R94" s="1"/>
      <c r="S94" s="24"/>
      <c r="T94" s="1"/>
      <c r="U94" s="1"/>
      <c r="V94" s="24">
        <v>400</v>
      </c>
      <c r="W94" s="1">
        <f t="shared" si="19"/>
        <v>397.85039999999998</v>
      </c>
      <c r="X94" s="5"/>
      <c r="Y94" s="5">
        <f t="shared" si="21"/>
        <v>0</v>
      </c>
      <c r="Z94" s="5">
        <f>Y94-AB94</f>
        <v>0</v>
      </c>
      <c r="AA94" s="5"/>
      <c r="AB94" s="5"/>
      <c r="AC94" s="1"/>
      <c r="AD94" s="1">
        <f>(F94+O94+P94+Q94+T94+Z94+AB94+R94+S94+U94+V94)/W94</f>
        <v>18.173863868428938</v>
      </c>
      <c r="AE94" s="1">
        <f>(F94+O94+P94+Q94+T94)/W94</f>
        <v>17.168460832513929</v>
      </c>
      <c r="AF94" s="1">
        <v>698.25620000000004</v>
      </c>
      <c r="AG94" s="1">
        <v>848.86939999999993</v>
      </c>
      <c r="AH94" s="1">
        <v>803.57920000000001</v>
      </c>
      <c r="AI94" s="1">
        <v>649.25559999999996</v>
      </c>
      <c r="AJ94" s="1">
        <v>717.88199999999995</v>
      </c>
      <c r="AK94" s="1">
        <v>624.51419999999996</v>
      </c>
      <c r="AL94" s="1">
        <v>657.89699999999982</v>
      </c>
      <c r="AM94" s="1">
        <v>520.9251999999999</v>
      </c>
      <c r="AN94" s="16" t="s">
        <v>83</v>
      </c>
      <c r="AO94" s="1">
        <f>ROUND(G94*Z94,0)</f>
        <v>0</v>
      </c>
      <c r="AP94" s="1">
        <f>ROUND(G94*AB94,0)</f>
        <v>0</v>
      </c>
      <c r="AQ94" t="s">
        <v>89</v>
      </c>
      <c r="AR94" t="str">
        <f>VLOOKUP(AQ94,[1]Лист1!$A:$A,1,0)</f>
        <v>SU003422</v>
      </c>
    </row>
    <row r="95" spans="1:44" x14ac:dyDescent="0.25">
      <c r="A95" s="1" t="s">
        <v>235</v>
      </c>
      <c r="B95" s="1" t="s">
        <v>42</v>
      </c>
      <c r="C95" s="1">
        <v>76.864000000000004</v>
      </c>
      <c r="D95" s="1">
        <v>2.67</v>
      </c>
      <c r="E95" s="1">
        <v>26.853999999999999</v>
      </c>
      <c r="F95" s="1">
        <v>48.497999999999998</v>
      </c>
      <c r="G95" s="7">
        <v>1</v>
      </c>
      <c r="H95" s="1">
        <v>55</v>
      </c>
      <c r="I95" s="1" t="s">
        <v>43</v>
      </c>
      <c r="J95" s="1"/>
      <c r="K95" s="1">
        <v>27.2</v>
      </c>
      <c r="L95" s="1">
        <f t="shared" si="17"/>
        <v>-0.34600000000000009</v>
      </c>
      <c r="M95" s="1">
        <f t="shared" si="18"/>
        <v>26.853999999999999</v>
      </c>
      <c r="N95" s="1"/>
      <c r="O95" s="1"/>
      <c r="P95" s="1"/>
      <c r="Q95" s="1">
        <v>0</v>
      </c>
      <c r="R95" s="1"/>
      <c r="S95" s="24"/>
      <c r="T95" s="1"/>
      <c r="U95" s="1"/>
      <c r="V95" s="24"/>
      <c r="W95" s="1">
        <f t="shared" si="19"/>
        <v>5.3708</v>
      </c>
      <c r="X95" s="5">
        <f>12*W95-T95-Q95-P95-O95-F95</f>
        <v>15.951600000000006</v>
      </c>
      <c r="Y95" s="5">
        <f t="shared" si="21"/>
        <v>15.951600000000006</v>
      </c>
      <c r="Z95" s="5">
        <f>Y95-AB95</f>
        <v>15.951600000000006</v>
      </c>
      <c r="AA95" s="5"/>
      <c r="AB95" s="5"/>
      <c r="AC95" s="1"/>
      <c r="AD95" s="1">
        <f>(F95+O95+P95+Q95+T95+Z95+AB95+R95+S95+U95+V95)/W95</f>
        <v>12</v>
      </c>
      <c r="AE95" s="1">
        <f>(F95+O95+P95+Q95+T95)/W95</f>
        <v>9.0299396737916133</v>
      </c>
      <c r="AF95" s="1">
        <v>5.3708</v>
      </c>
      <c r="AG95" s="1">
        <v>3.2181999999999999</v>
      </c>
      <c r="AH95" s="1">
        <v>2.9496000000000002</v>
      </c>
      <c r="AI95" s="1">
        <v>2.4131999999999998</v>
      </c>
      <c r="AJ95" s="1">
        <v>4.8087999999999997</v>
      </c>
      <c r="AK95" s="1">
        <v>2.9365999999999999</v>
      </c>
      <c r="AL95" s="1">
        <v>2.9626000000000001</v>
      </c>
      <c r="AM95" s="1">
        <v>9.1290000000000013</v>
      </c>
      <c r="AN95" s="1"/>
      <c r="AO95" s="1">
        <f>ROUND(G95*Z95,0)</f>
        <v>16</v>
      </c>
      <c r="AP95" s="1">
        <f>ROUND(G95*AB95,0)</f>
        <v>0</v>
      </c>
      <c r="AQ95" t="s">
        <v>236</v>
      </c>
    </row>
    <row r="96" spans="1:44" x14ac:dyDescent="0.25">
      <c r="A96" s="9" t="s">
        <v>237</v>
      </c>
      <c r="B96" s="9" t="s">
        <v>42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67</v>
      </c>
      <c r="J96" s="9"/>
      <c r="K96" s="9"/>
      <c r="L96" s="9">
        <f t="shared" si="17"/>
        <v>0</v>
      </c>
      <c r="M96" s="9">
        <f t="shared" si="18"/>
        <v>0</v>
      </c>
      <c r="N96" s="9"/>
      <c r="O96" s="9"/>
      <c r="P96" s="9"/>
      <c r="Q96" s="9">
        <v>0</v>
      </c>
      <c r="R96" s="9"/>
      <c r="S96" s="27"/>
      <c r="T96" s="9"/>
      <c r="U96" s="9"/>
      <c r="V96" s="27"/>
      <c r="W96" s="9">
        <f t="shared" si="19"/>
        <v>0</v>
      </c>
      <c r="X96" s="11"/>
      <c r="Y96" s="5">
        <f t="shared" si="21"/>
        <v>0</v>
      </c>
      <c r="Z96" s="5">
        <f>Y96-AB96</f>
        <v>0</v>
      </c>
      <c r="AA96" s="5"/>
      <c r="AB96" s="5"/>
      <c r="AC96" s="1"/>
      <c r="AD96" s="1" t="e">
        <f>(F96+O96+P96+Q96+T96+Z96+AB96+R96+S96+U96+V96)/W96</f>
        <v>#DIV/0!</v>
      </c>
      <c r="AE96" s="9" t="e">
        <f>(F96+O96+P96+Q96+T96)/W96</f>
        <v>#DIV/0!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0.27200000000000002</v>
      </c>
      <c r="AN96" s="9"/>
      <c r="AO96" s="1">
        <f>ROUND(G96*Z96,0)</f>
        <v>0</v>
      </c>
      <c r="AP96" s="1">
        <f>ROUND(G96*AB96,0)</f>
        <v>0</v>
      </c>
      <c r="AQ96" t="s">
        <v>238</v>
      </c>
    </row>
    <row r="97" spans="1:43" x14ac:dyDescent="0.25">
      <c r="A97" s="9" t="s">
        <v>239</v>
      </c>
      <c r="B97" s="9" t="s">
        <v>42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67</v>
      </c>
      <c r="J97" s="9"/>
      <c r="K97" s="9"/>
      <c r="L97" s="9">
        <f t="shared" si="17"/>
        <v>0</v>
      </c>
      <c r="M97" s="9">
        <f t="shared" si="18"/>
        <v>0</v>
      </c>
      <c r="N97" s="9"/>
      <c r="O97" s="9"/>
      <c r="P97" s="9"/>
      <c r="Q97" s="9">
        <v>0</v>
      </c>
      <c r="R97" s="9"/>
      <c r="S97" s="27"/>
      <c r="T97" s="9"/>
      <c r="U97" s="9"/>
      <c r="V97" s="27"/>
      <c r="W97" s="9">
        <f t="shared" si="19"/>
        <v>0</v>
      </c>
      <c r="X97" s="11"/>
      <c r="Y97" s="5">
        <f t="shared" si="21"/>
        <v>0</v>
      </c>
      <c r="Z97" s="5">
        <f>Y97-AB97</f>
        <v>0</v>
      </c>
      <c r="AA97" s="5"/>
      <c r="AB97" s="5"/>
      <c r="AC97" s="1"/>
      <c r="AD97" s="1" t="e">
        <f>(F97+O97+P97+Q97+T97+Z97+AB97+R97+S97+U97+V97)/W97</f>
        <v>#DIV/0!</v>
      </c>
      <c r="AE97" s="9" t="e">
        <f>(F97+O97+P97+Q97+T97)/W97</f>
        <v>#DIV/0!</v>
      </c>
      <c r="AF97" s="9">
        <v>0</v>
      </c>
      <c r="AG97" s="9">
        <v>0.5484</v>
      </c>
      <c r="AH97" s="9">
        <v>3.7995999999999999</v>
      </c>
      <c r="AI97" s="9">
        <v>5.4039999999999999</v>
      </c>
      <c r="AJ97" s="9">
        <v>5.3784000000000001</v>
      </c>
      <c r="AK97" s="9">
        <v>6.8639999999999999</v>
      </c>
      <c r="AL97" s="9">
        <v>3.9003999999999999</v>
      </c>
      <c r="AM97" s="9">
        <v>2.42</v>
      </c>
      <c r="AN97" s="9"/>
      <c r="AO97" s="1">
        <f>ROUND(G97*Z97,0)</f>
        <v>0</v>
      </c>
      <c r="AP97" s="1">
        <f>ROUND(G97*AB97,0)</f>
        <v>0</v>
      </c>
    </row>
    <row r="98" spans="1:43" x14ac:dyDescent="0.25">
      <c r="A98" s="1" t="s">
        <v>240</v>
      </c>
      <c r="B98" s="1" t="s">
        <v>50</v>
      </c>
      <c r="C98" s="1">
        <v>-3</v>
      </c>
      <c r="D98" s="1">
        <v>2</v>
      </c>
      <c r="E98" s="1"/>
      <c r="F98" s="1">
        <v>-3</v>
      </c>
      <c r="G98" s="7">
        <v>0.3</v>
      </c>
      <c r="H98" s="1">
        <v>40</v>
      </c>
      <c r="I98" s="15" t="s">
        <v>106</v>
      </c>
      <c r="J98" s="1"/>
      <c r="K98" s="1">
        <v>182</v>
      </c>
      <c r="L98" s="1">
        <f t="shared" si="17"/>
        <v>-182</v>
      </c>
      <c r="M98" s="1">
        <f t="shared" si="18"/>
        <v>0</v>
      </c>
      <c r="N98" s="1"/>
      <c r="O98" s="1"/>
      <c r="P98" s="1"/>
      <c r="Q98" s="1">
        <v>50</v>
      </c>
      <c r="R98" s="1">
        <v>-54</v>
      </c>
      <c r="S98" s="24"/>
      <c r="T98" s="1"/>
      <c r="U98" s="1"/>
      <c r="V98" s="24"/>
      <c r="W98" s="1">
        <f t="shared" si="19"/>
        <v>0</v>
      </c>
      <c r="X98" s="5">
        <v>50</v>
      </c>
      <c r="Y98" s="5">
        <f t="shared" si="21"/>
        <v>50</v>
      </c>
      <c r="Z98" s="5">
        <f>Y98</f>
        <v>50</v>
      </c>
      <c r="AA98" s="5">
        <v>-30</v>
      </c>
      <c r="AB98" s="5">
        <f>Y98*0.5</f>
        <v>25</v>
      </c>
      <c r="AC98" s="1"/>
      <c r="AD98" s="1" t="e">
        <f>(F98+O98+P98+Q98+T98+Z98+AB98+R98+S98+U98+V98)/W98</f>
        <v>#DIV/0!</v>
      </c>
      <c r="AE98" s="1" t="e">
        <f>(F98+O98+P98+Q98+T98)/W98</f>
        <v>#DIV/0!</v>
      </c>
      <c r="AF98" s="1">
        <v>0</v>
      </c>
      <c r="AG98" s="1">
        <v>8.4</v>
      </c>
      <c r="AH98" s="1">
        <v>9.6</v>
      </c>
      <c r="AI98" s="1">
        <v>9.1999999999999993</v>
      </c>
      <c r="AJ98" s="1">
        <v>15.2</v>
      </c>
      <c r="AK98" s="1">
        <v>23.8</v>
      </c>
      <c r="AL98" s="1">
        <v>25.4</v>
      </c>
      <c r="AM98" s="1">
        <v>17.2</v>
      </c>
      <c r="AN98" s="1"/>
      <c r="AO98" s="1">
        <f>ROUND(G98*Z98,0)</f>
        <v>15</v>
      </c>
      <c r="AP98" s="1">
        <f>ROUND(G98*AB98,0)</f>
        <v>8</v>
      </c>
      <c r="AQ98" t="s">
        <v>241</v>
      </c>
    </row>
    <row r="99" spans="1:43" x14ac:dyDescent="0.25">
      <c r="A99" s="1" t="s">
        <v>242</v>
      </c>
      <c r="B99" s="1" t="s">
        <v>50</v>
      </c>
      <c r="C99" s="1">
        <v>56</v>
      </c>
      <c r="D99" s="1">
        <v>156</v>
      </c>
      <c r="E99" s="1">
        <v>39</v>
      </c>
      <c r="F99" s="1">
        <v>169</v>
      </c>
      <c r="G99" s="7">
        <v>0.3</v>
      </c>
      <c r="H99" s="1">
        <v>40</v>
      </c>
      <c r="I99" s="1" t="s">
        <v>43</v>
      </c>
      <c r="J99" s="1"/>
      <c r="K99" s="1">
        <v>41</v>
      </c>
      <c r="L99" s="1">
        <f t="shared" si="17"/>
        <v>-2</v>
      </c>
      <c r="M99" s="1">
        <f t="shared" si="18"/>
        <v>39</v>
      </c>
      <c r="N99" s="1"/>
      <c r="O99" s="1"/>
      <c r="P99" s="1"/>
      <c r="Q99" s="1">
        <v>0</v>
      </c>
      <c r="R99" s="1"/>
      <c r="S99" s="24"/>
      <c r="T99" s="1"/>
      <c r="U99" s="1"/>
      <c r="V99" s="24"/>
      <c r="W99" s="1">
        <f t="shared" si="19"/>
        <v>7.8</v>
      </c>
      <c r="X99" s="5"/>
      <c r="Y99" s="5">
        <f t="shared" si="21"/>
        <v>0</v>
      </c>
      <c r="Z99" s="5">
        <f>Y99-AB99</f>
        <v>0</v>
      </c>
      <c r="AA99" s="5"/>
      <c r="AB99" s="5"/>
      <c r="AC99" s="1"/>
      <c r="AD99" s="1">
        <f>(F99+O99+P99+Q99+T99+Z99+AB99+R99+S99+U99+V99)/W99</f>
        <v>21.666666666666668</v>
      </c>
      <c r="AE99" s="1">
        <f>(F99+O99+P99+Q99+T99)/W99</f>
        <v>21.666666666666668</v>
      </c>
      <c r="AF99" s="1">
        <v>7.8</v>
      </c>
      <c r="AG99" s="1">
        <v>17.2</v>
      </c>
      <c r="AH99" s="1">
        <v>16.2</v>
      </c>
      <c r="AI99" s="1">
        <v>4</v>
      </c>
      <c r="AJ99" s="1">
        <v>9.6</v>
      </c>
      <c r="AK99" s="1">
        <v>11</v>
      </c>
      <c r="AL99" s="1">
        <v>12.4</v>
      </c>
      <c r="AM99" s="1">
        <v>6.8</v>
      </c>
      <c r="AN99" s="17" t="s">
        <v>83</v>
      </c>
      <c r="AO99" s="1">
        <f>ROUND(G99*Z99,0)</f>
        <v>0</v>
      </c>
      <c r="AP99" s="1">
        <f>ROUND(G99*AB99,0)</f>
        <v>0</v>
      </c>
      <c r="AQ99" t="s">
        <v>243</v>
      </c>
    </row>
    <row r="100" spans="1:43" x14ac:dyDescent="0.25">
      <c r="A100" s="1" t="s">
        <v>244</v>
      </c>
      <c r="B100" s="1" t="s">
        <v>50</v>
      </c>
      <c r="C100" s="1">
        <v>505</v>
      </c>
      <c r="D100" s="1">
        <v>23</v>
      </c>
      <c r="E100" s="1">
        <v>127</v>
      </c>
      <c r="F100" s="1">
        <v>327</v>
      </c>
      <c r="G100" s="7">
        <v>7.0000000000000007E-2</v>
      </c>
      <c r="H100" s="1">
        <v>90</v>
      </c>
      <c r="I100" s="14" t="s">
        <v>54</v>
      </c>
      <c r="J100" s="1"/>
      <c r="K100" s="1">
        <v>189</v>
      </c>
      <c r="L100" s="1">
        <f t="shared" si="17"/>
        <v>-62</v>
      </c>
      <c r="M100" s="1">
        <f t="shared" si="18"/>
        <v>127</v>
      </c>
      <c r="N100" s="1"/>
      <c r="O100" s="1"/>
      <c r="P100" s="1"/>
      <c r="Q100" s="1">
        <v>0</v>
      </c>
      <c r="R100" s="1"/>
      <c r="S100" s="24"/>
      <c r="T100" s="1"/>
      <c r="U100" s="1"/>
      <c r="V100" s="24"/>
      <c r="W100" s="1">
        <f t="shared" si="19"/>
        <v>25.4</v>
      </c>
      <c r="X100" s="5"/>
      <c r="Y100" s="5">
        <f>X100+400</f>
        <v>400</v>
      </c>
      <c r="Z100" s="5">
        <f>Y100-AB100</f>
        <v>400</v>
      </c>
      <c r="AA100" s="5"/>
      <c r="AB100" s="5"/>
      <c r="AC100" s="1" t="str">
        <f>VLOOKUP(A100,[2]Sheet!$A:$U,21,0)</f>
        <v xml:space="preserve">400 сеть молоко </v>
      </c>
      <c r="AD100" s="1">
        <f>(F100+O100+P100+Q100+T100+Z100+AB100+R100+S100+U100+V100)/W100</f>
        <v>28.622047244094489</v>
      </c>
      <c r="AE100" s="1">
        <f>(F100+O100+P100+Q100+T100)/W100</f>
        <v>12.874015748031496</v>
      </c>
      <c r="AF100" s="1">
        <v>25.4</v>
      </c>
      <c r="AG100" s="1">
        <v>27.8</v>
      </c>
      <c r="AH100" s="1">
        <v>21.6</v>
      </c>
      <c r="AI100" s="1">
        <v>29</v>
      </c>
      <c r="AJ100" s="1">
        <v>32.4</v>
      </c>
      <c r="AK100" s="1">
        <v>33.4</v>
      </c>
      <c r="AL100" s="1">
        <v>34.799999999999997</v>
      </c>
      <c r="AM100" s="1">
        <v>22.2</v>
      </c>
      <c r="AN100" s="1" t="s">
        <v>245</v>
      </c>
      <c r="AO100" s="1">
        <f>ROUND(G100*Z100,0)</f>
        <v>28</v>
      </c>
      <c r="AP100" s="1">
        <f>ROUND(G100*AB100,0)</f>
        <v>0</v>
      </c>
      <c r="AQ100" t="s">
        <v>246</v>
      </c>
    </row>
    <row r="101" spans="1:43" x14ac:dyDescent="0.25">
      <c r="A101" s="1" t="s">
        <v>247</v>
      </c>
      <c r="B101" s="1" t="s">
        <v>50</v>
      </c>
      <c r="C101" s="1">
        <v>428</v>
      </c>
      <c r="D101" s="1">
        <v>22</v>
      </c>
      <c r="E101" s="1">
        <v>138</v>
      </c>
      <c r="F101" s="1">
        <v>248</v>
      </c>
      <c r="G101" s="7">
        <v>7.0000000000000007E-2</v>
      </c>
      <c r="H101" s="1">
        <v>90</v>
      </c>
      <c r="I101" s="14" t="s">
        <v>54</v>
      </c>
      <c r="J101" s="1"/>
      <c r="K101" s="1">
        <v>192</v>
      </c>
      <c r="L101" s="1">
        <f t="shared" si="17"/>
        <v>-54</v>
      </c>
      <c r="M101" s="1">
        <f t="shared" si="18"/>
        <v>138</v>
      </c>
      <c r="N101" s="1"/>
      <c r="O101" s="1"/>
      <c r="P101" s="1"/>
      <c r="Q101" s="1">
        <v>0</v>
      </c>
      <c r="R101" s="1"/>
      <c r="S101" s="24"/>
      <c r="T101" s="1"/>
      <c r="U101" s="1"/>
      <c r="V101" s="24"/>
      <c r="W101" s="1">
        <f t="shared" si="19"/>
        <v>27.6</v>
      </c>
      <c r="X101" s="5">
        <f>12*W101-T101-Q101-P101-O101-F101</f>
        <v>83.200000000000045</v>
      </c>
      <c r="Y101" s="5">
        <f>X101+500</f>
        <v>583.20000000000005</v>
      </c>
      <c r="Z101" s="5">
        <f>Y101-AB101</f>
        <v>583.20000000000005</v>
      </c>
      <c r="AA101" s="5"/>
      <c r="AB101" s="5"/>
      <c r="AC101" s="1" t="str">
        <f>VLOOKUP(A101,[2]Sheet!$A:$U,21,0)</f>
        <v xml:space="preserve">500 сеть молоко </v>
      </c>
      <c r="AD101" s="1">
        <f>(F101+O101+P101+Q101+T101+Z101+AB101+R101+S101+U101+V101)/W101</f>
        <v>30.115942028985508</v>
      </c>
      <c r="AE101" s="1">
        <f>(F101+O101+P101+Q101+T101)/W101</f>
        <v>8.9855072463768106</v>
      </c>
      <c r="AF101" s="1">
        <v>27.6</v>
      </c>
      <c r="AG101" s="1">
        <v>32.200000000000003</v>
      </c>
      <c r="AH101" s="1">
        <v>28.8</v>
      </c>
      <c r="AI101" s="1">
        <v>31.6</v>
      </c>
      <c r="AJ101" s="1">
        <v>28.2</v>
      </c>
      <c r="AK101" s="1">
        <v>29.6</v>
      </c>
      <c r="AL101" s="1">
        <v>31.2</v>
      </c>
      <c r="AM101" s="1">
        <v>22.8</v>
      </c>
      <c r="AN101" s="1" t="s">
        <v>248</v>
      </c>
      <c r="AO101" s="1">
        <f>ROUND(G101*Z101,0)</f>
        <v>41</v>
      </c>
      <c r="AP101" s="1">
        <f>ROUND(G101*AB101,0)</f>
        <v>0</v>
      </c>
      <c r="AQ101" t="s">
        <v>249</v>
      </c>
    </row>
    <row r="102" spans="1:43" x14ac:dyDescent="0.25">
      <c r="A102" s="1" t="s">
        <v>250</v>
      </c>
      <c r="B102" s="1" t="s">
        <v>50</v>
      </c>
      <c r="C102" s="1">
        <v>438</v>
      </c>
      <c r="D102" s="1">
        <v>10</v>
      </c>
      <c r="E102" s="1">
        <v>93</v>
      </c>
      <c r="F102" s="1">
        <v>304</v>
      </c>
      <c r="G102" s="7">
        <v>7.0000000000000007E-2</v>
      </c>
      <c r="H102" s="1">
        <v>90</v>
      </c>
      <c r="I102" s="14" t="s">
        <v>54</v>
      </c>
      <c r="J102" s="1"/>
      <c r="K102" s="1">
        <v>137</v>
      </c>
      <c r="L102" s="1">
        <f t="shared" ref="L102:L133" si="22">E102-K102</f>
        <v>-44</v>
      </c>
      <c r="M102" s="1">
        <f t="shared" ref="M102:M133" si="23">E102-N102</f>
        <v>93</v>
      </c>
      <c r="N102" s="1"/>
      <c r="O102" s="1"/>
      <c r="P102" s="1"/>
      <c r="Q102" s="1">
        <v>0</v>
      </c>
      <c r="R102" s="1"/>
      <c r="S102" s="24"/>
      <c r="T102" s="1"/>
      <c r="U102" s="1"/>
      <c r="V102" s="24"/>
      <c r="W102" s="1">
        <f t="shared" ref="W102:W137" si="24">M102/5</f>
        <v>18.600000000000001</v>
      </c>
      <c r="X102" s="5"/>
      <c r="Y102" s="5">
        <f>X102+400</f>
        <v>400</v>
      </c>
      <c r="Z102" s="5">
        <f>Y102-AB102</f>
        <v>400</v>
      </c>
      <c r="AA102" s="5"/>
      <c r="AB102" s="5"/>
      <c r="AC102" s="1" t="str">
        <f>VLOOKUP(A102,[2]Sheet!$A:$U,21,0)</f>
        <v xml:space="preserve">400 сеть молоко </v>
      </c>
      <c r="AD102" s="1">
        <f>(F102+O102+P102+Q102+T102+Z102+AB102+R102+S102+U102+V102)/W102</f>
        <v>37.849462365591393</v>
      </c>
      <c r="AE102" s="1">
        <f>(F102+O102+P102+Q102+T102)/W102</f>
        <v>16.344086021505376</v>
      </c>
      <c r="AF102" s="1">
        <v>18.600000000000001</v>
      </c>
      <c r="AG102" s="1">
        <v>23.4</v>
      </c>
      <c r="AH102" s="1">
        <v>18.399999999999999</v>
      </c>
      <c r="AI102" s="1">
        <v>22.2</v>
      </c>
      <c r="AJ102" s="1">
        <v>23.2</v>
      </c>
      <c r="AK102" s="1">
        <v>24.6</v>
      </c>
      <c r="AL102" s="1">
        <v>27.4</v>
      </c>
      <c r="AM102" s="1">
        <v>18.8</v>
      </c>
      <c r="AN102" s="1" t="s">
        <v>245</v>
      </c>
      <c r="AO102" s="1">
        <f>ROUND(G102*Z102,0)</f>
        <v>28</v>
      </c>
      <c r="AP102" s="1">
        <f>ROUND(G102*AB102,0)</f>
        <v>0</v>
      </c>
      <c r="AQ102" t="s">
        <v>251</v>
      </c>
    </row>
    <row r="103" spans="1:43" x14ac:dyDescent="0.25">
      <c r="A103" s="9" t="s">
        <v>252</v>
      </c>
      <c r="B103" s="9" t="s">
        <v>50</v>
      </c>
      <c r="C103" s="9">
        <v>4</v>
      </c>
      <c r="D103" s="9"/>
      <c r="E103" s="9">
        <v>-3</v>
      </c>
      <c r="F103" s="9">
        <v>-11</v>
      </c>
      <c r="G103" s="10">
        <v>0</v>
      </c>
      <c r="H103" s="9">
        <v>90</v>
      </c>
      <c r="I103" s="9" t="s">
        <v>67</v>
      </c>
      <c r="J103" s="9"/>
      <c r="K103" s="9">
        <v>107</v>
      </c>
      <c r="L103" s="9">
        <f t="shared" si="22"/>
        <v>-110</v>
      </c>
      <c r="M103" s="9">
        <f t="shared" si="23"/>
        <v>-3</v>
      </c>
      <c r="N103" s="9"/>
      <c r="O103" s="9"/>
      <c r="P103" s="9"/>
      <c r="Q103" s="9">
        <v>0</v>
      </c>
      <c r="R103" s="9"/>
      <c r="S103" s="27"/>
      <c r="T103" s="9"/>
      <c r="U103" s="9"/>
      <c r="V103" s="27"/>
      <c r="W103" s="9">
        <f t="shared" si="24"/>
        <v>-0.6</v>
      </c>
      <c r="X103" s="11"/>
      <c r="Y103" s="5">
        <f>X103</f>
        <v>0</v>
      </c>
      <c r="Z103" s="5">
        <f>Y103-AB103</f>
        <v>0</v>
      </c>
      <c r="AA103" s="5"/>
      <c r="AB103" s="5"/>
      <c r="AC103" s="1"/>
      <c r="AD103" s="1">
        <f>(F103+O103+P103+Q103+T103+Z103+AB103+R103+S103+U103+V103)/W103</f>
        <v>18.333333333333336</v>
      </c>
      <c r="AE103" s="9">
        <f>(F103+O103+P103+Q103+T103)/W103</f>
        <v>18.333333333333336</v>
      </c>
      <c r="AF103" s="9">
        <v>-0.6</v>
      </c>
      <c r="AG103" s="9">
        <v>-0.2</v>
      </c>
      <c r="AH103" s="9">
        <v>-0.4</v>
      </c>
      <c r="AI103" s="9">
        <v>9.1999999999999993</v>
      </c>
      <c r="AJ103" s="9">
        <v>15.4</v>
      </c>
      <c r="AK103" s="9">
        <v>13.6</v>
      </c>
      <c r="AL103" s="9">
        <v>20.2</v>
      </c>
      <c r="AM103" s="9">
        <v>19</v>
      </c>
      <c r="AN103" s="9"/>
      <c r="AO103" s="1">
        <f>ROUND(G103*Z103,0)</f>
        <v>0</v>
      </c>
      <c r="AP103" s="1">
        <f>ROUND(G103*AB103,0)</f>
        <v>0</v>
      </c>
      <c r="AQ103" t="s">
        <v>253</v>
      </c>
    </row>
    <row r="104" spans="1:43" x14ac:dyDescent="0.25">
      <c r="A104" s="1" t="s">
        <v>254</v>
      </c>
      <c r="B104" s="1" t="s">
        <v>50</v>
      </c>
      <c r="C104" s="1">
        <v>31</v>
      </c>
      <c r="D104" s="1">
        <v>3</v>
      </c>
      <c r="E104" s="1">
        <v>19</v>
      </c>
      <c r="F104" s="1">
        <v>14</v>
      </c>
      <c r="G104" s="7">
        <v>0.3</v>
      </c>
      <c r="H104" s="1">
        <v>40</v>
      </c>
      <c r="I104" s="1" t="s">
        <v>43</v>
      </c>
      <c r="J104" s="1"/>
      <c r="K104" s="1">
        <v>44</v>
      </c>
      <c r="L104" s="1">
        <f t="shared" si="22"/>
        <v>-25</v>
      </c>
      <c r="M104" s="1">
        <f t="shared" si="23"/>
        <v>19</v>
      </c>
      <c r="N104" s="1"/>
      <c r="O104" s="1"/>
      <c r="P104" s="1"/>
      <c r="Q104" s="1">
        <v>20</v>
      </c>
      <c r="R104" s="1"/>
      <c r="S104" s="24"/>
      <c r="T104" s="1"/>
      <c r="U104" s="1"/>
      <c r="V104" s="24"/>
      <c r="W104" s="1">
        <f t="shared" si="24"/>
        <v>3.8</v>
      </c>
      <c r="X104" s="5">
        <f>12*W104-T104-Q104-P104-O104-F104</f>
        <v>11.599999999999994</v>
      </c>
      <c r="Y104" s="5">
        <f>X104</f>
        <v>11.599999999999994</v>
      </c>
      <c r="Z104" s="5">
        <f>Y104-AB104</f>
        <v>11.599999999999994</v>
      </c>
      <c r="AA104" s="5"/>
      <c r="AB104" s="5"/>
      <c r="AC104" s="1"/>
      <c r="AD104" s="1">
        <f>(F104+O104+P104+Q104+T104+Z104+AB104+R104+S104+U104+V104)/W104</f>
        <v>11.999999999999998</v>
      </c>
      <c r="AE104" s="1">
        <f>(F104+O104+P104+Q104+T104)/W104</f>
        <v>8.9473684210526319</v>
      </c>
      <c r="AF104" s="1">
        <v>3.8</v>
      </c>
      <c r="AG104" s="1">
        <v>0.6</v>
      </c>
      <c r="AH104" s="1">
        <v>-0.4</v>
      </c>
      <c r="AI104" s="1">
        <v>0.6</v>
      </c>
      <c r="AJ104" s="1">
        <v>4.4000000000000004</v>
      </c>
      <c r="AK104" s="1">
        <v>4.8</v>
      </c>
      <c r="AL104" s="1">
        <v>1.6</v>
      </c>
      <c r="AM104" s="1">
        <v>2.8</v>
      </c>
      <c r="AN104" s="1"/>
      <c r="AO104" s="1">
        <f>ROUND(G104*Z104,0)</f>
        <v>3</v>
      </c>
      <c r="AP104" s="1">
        <f>ROUND(G104*AB104,0)</f>
        <v>0</v>
      </c>
      <c r="AQ104" t="s">
        <v>255</v>
      </c>
    </row>
    <row r="105" spans="1:43" x14ac:dyDescent="0.25">
      <c r="A105" s="1" t="s">
        <v>256</v>
      </c>
      <c r="B105" s="1" t="s">
        <v>42</v>
      </c>
      <c r="C105" s="1">
        <v>30.44</v>
      </c>
      <c r="D105" s="1">
        <v>1.59</v>
      </c>
      <c r="E105" s="1">
        <v>12.779</v>
      </c>
      <c r="F105" s="1">
        <v>18.382000000000001</v>
      </c>
      <c r="G105" s="7">
        <v>1</v>
      </c>
      <c r="H105" s="1">
        <v>55</v>
      </c>
      <c r="I105" s="1" t="s">
        <v>43</v>
      </c>
      <c r="J105" s="1"/>
      <c r="K105" s="1">
        <v>9.1999999999999993</v>
      </c>
      <c r="L105" s="1">
        <f t="shared" si="22"/>
        <v>3.5790000000000006</v>
      </c>
      <c r="M105" s="1">
        <f t="shared" si="23"/>
        <v>12.779</v>
      </c>
      <c r="N105" s="1"/>
      <c r="O105" s="1"/>
      <c r="P105" s="1"/>
      <c r="Q105" s="1">
        <v>0</v>
      </c>
      <c r="R105" s="1"/>
      <c r="S105" s="24"/>
      <c r="T105" s="1"/>
      <c r="U105" s="1"/>
      <c r="V105" s="24"/>
      <c r="W105" s="1">
        <f t="shared" si="24"/>
        <v>2.5558000000000001</v>
      </c>
      <c r="X105" s="5">
        <f>12*W105-T105-Q105-P105-O105-F105</f>
        <v>12.287600000000001</v>
      </c>
      <c r="Y105" s="5">
        <f>X105</f>
        <v>12.287600000000001</v>
      </c>
      <c r="Z105" s="5">
        <f>Y105-AB105</f>
        <v>12.287600000000001</v>
      </c>
      <c r="AA105" s="5"/>
      <c r="AB105" s="5"/>
      <c r="AC105" s="1"/>
      <c r="AD105" s="1">
        <f>(F105+O105+P105+Q105+T105+Z105+AB105+R105+S105+U105+V105)/W105</f>
        <v>12</v>
      </c>
      <c r="AE105" s="1">
        <f>(F105+O105+P105+Q105+T105)/W105</f>
        <v>7.1922685656154632</v>
      </c>
      <c r="AF105" s="1">
        <v>2.5558000000000001</v>
      </c>
      <c r="AG105" s="1">
        <v>1.869</v>
      </c>
      <c r="AH105" s="1">
        <v>0.8869999999999999</v>
      </c>
      <c r="AI105" s="1">
        <v>2.1185999999999998</v>
      </c>
      <c r="AJ105" s="1">
        <v>2.1888000000000001</v>
      </c>
      <c r="AK105" s="1">
        <v>1.9019999999999999</v>
      </c>
      <c r="AL105" s="1">
        <v>2.5404</v>
      </c>
      <c r="AM105" s="1">
        <v>2.8206000000000002</v>
      </c>
      <c r="AN105" s="1"/>
      <c r="AO105" s="1">
        <f>ROUND(G105*Z105,0)</f>
        <v>12</v>
      </c>
      <c r="AP105" s="1">
        <f>ROUND(G105*AB105,0)</f>
        <v>0</v>
      </c>
      <c r="AQ105" t="s">
        <v>257</v>
      </c>
    </row>
    <row r="106" spans="1:43" x14ac:dyDescent="0.25">
      <c r="A106" s="1" t="s">
        <v>258</v>
      </c>
      <c r="B106" s="1" t="s">
        <v>50</v>
      </c>
      <c r="C106" s="1">
        <v>245</v>
      </c>
      <c r="D106" s="1">
        <v>21</v>
      </c>
      <c r="E106" s="1">
        <v>93</v>
      </c>
      <c r="F106" s="1">
        <v>123</v>
      </c>
      <c r="G106" s="7">
        <v>0.11</v>
      </c>
      <c r="H106" s="1">
        <v>30</v>
      </c>
      <c r="I106" s="14" t="s">
        <v>54</v>
      </c>
      <c r="J106" s="1"/>
      <c r="K106" s="1">
        <v>142</v>
      </c>
      <c r="L106" s="1">
        <f t="shared" si="22"/>
        <v>-49</v>
      </c>
      <c r="M106" s="1">
        <f t="shared" si="23"/>
        <v>93</v>
      </c>
      <c r="N106" s="1"/>
      <c r="O106" s="1"/>
      <c r="P106" s="1"/>
      <c r="Q106" s="1">
        <v>22.600000000000019</v>
      </c>
      <c r="R106" s="1"/>
      <c r="S106" s="24"/>
      <c r="T106" s="1"/>
      <c r="U106" s="1"/>
      <c r="V106" s="24"/>
      <c r="W106" s="1">
        <f t="shared" si="24"/>
        <v>18.600000000000001</v>
      </c>
      <c r="X106" s="5">
        <f>12*W106-T106-Q106-P106-O106-F106</f>
        <v>77.599999999999994</v>
      </c>
      <c r="Y106" s="5">
        <f>X106+500</f>
        <v>577.6</v>
      </c>
      <c r="Z106" s="5">
        <f>Y106-AB106</f>
        <v>577.6</v>
      </c>
      <c r="AA106" s="5"/>
      <c r="AB106" s="5"/>
      <c r="AC106" s="1" t="str">
        <f>VLOOKUP(A106,[2]Sheet!$A:$U,21,0)</f>
        <v xml:space="preserve">500 сеть молоко </v>
      </c>
      <c r="AD106" s="1">
        <f>(F106+O106+P106+Q106+T106+Z106+AB106+R106+S106+U106+V106)/W106</f>
        <v>38.881720430107528</v>
      </c>
      <c r="AE106" s="1">
        <f>(F106+O106+P106+Q106+T106)/W106</f>
        <v>7.8279569892473129</v>
      </c>
      <c r="AF106" s="1">
        <v>20.6</v>
      </c>
      <c r="AG106" s="1">
        <v>12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 t="s">
        <v>248</v>
      </c>
      <c r="AO106" s="1">
        <f>ROUND(G106*Z106,0)</f>
        <v>64</v>
      </c>
      <c r="AP106" s="1">
        <f>ROUND(G106*AB106,0)</f>
        <v>0</v>
      </c>
      <c r="AQ106" t="s">
        <v>259</v>
      </c>
    </row>
    <row r="107" spans="1:43" x14ac:dyDescent="0.25">
      <c r="A107" s="9" t="s">
        <v>260</v>
      </c>
      <c r="B107" s="9" t="s">
        <v>50</v>
      </c>
      <c r="C107" s="9"/>
      <c r="D107" s="9"/>
      <c r="E107" s="9"/>
      <c r="F107" s="9"/>
      <c r="G107" s="10">
        <v>0</v>
      </c>
      <c r="H107" s="9"/>
      <c r="I107" s="9" t="s">
        <v>43</v>
      </c>
      <c r="J107" s="9"/>
      <c r="K107" s="9"/>
      <c r="L107" s="9">
        <f t="shared" si="22"/>
        <v>0</v>
      </c>
      <c r="M107" s="9">
        <f t="shared" si="23"/>
        <v>0</v>
      </c>
      <c r="N107" s="9"/>
      <c r="O107" s="9"/>
      <c r="P107" s="9"/>
      <c r="Q107" s="9">
        <v>0</v>
      </c>
      <c r="R107" s="9"/>
      <c r="S107" s="27"/>
      <c r="T107" s="9"/>
      <c r="U107" s="9"/>
      <c r="V107" s="27"/>
      <c r="W107" s="9">
        <f t="shared" si="24"/>
        <v>0</v>
      </c>
      <c r="X107" s="11"/>
      <c r="Y107" s="5">
        <f>X107</f>
        <v>0</v>
      </c>
      <c r="Z107" s="5">
        <f>Y107-AB107</f>
        <v>0</v>
      </c>
      <c r="AA107" s="5"/>
      <c r="AB107" s="5"/>
      <c r="AC107" s="1"/>
      <c r="AD107" s="1" t="e">
        <f>(F107+O107+P107+Q107+T107+Z107+AB107+R107+S107+U107+V107)/W107</f>
        <v>#DIV/0!</v>
      </c>
      <c r="AE107" s="9" t="e">
        <f>(F107+O107+P107+Q107+T107)/W107</f>
        <v>#DIV/0!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 t="s">
        <v>80</v>
      </c>
      <c r="AO107" s="1">
        <f>ROUND(G107*Z107,0)</f>
        <v>0</v>
      </c>
      <c r="AP107" s="1">
        <f>ROUND(G107*AB107,0)</f>
        <v>0</v>
      </c>
      <c r="AQ107" t="s">
        <v>261</v>
      </c>
    </row>
    <row r="108" spans="1:43" x14ac:dyDescent="0.25">
      <c r="A108" s="1" t="s">
        <v>262</v>
      </c>
      <c r="B108" s="1" t="s">
        <v>50</v>
      </c>
      <c r="C108" s="1">
        <v>575</v>
      </c>
      <c r="D108" s="1">
        <v>270</v>
      </c>
      <c r="E108" s="1">
        <v>205</v>
      </c>
      <c r="F108" s="1">
        <v>576</v>
      </c>
      <c r="G108" s="7">
        <v>0.08</v>
      </c>
      <c r="H108" s="1">
        <v>45</v>
      </c>
      <c r="I108" s="14" t="s">
        <v>54</v>
      </c>
      <c r="J108" s="1"/>
      <c r="K108" s="1">
        <v>257</v>
      </c>
      <c r="L108" s="1">
        <f t="shared" si="22"/>
        <v>-52</v>
      </c>
      <c r="M108" s="1">
        <f t="shared" si="23"/>
        <v>205</v>
      </c>
      <c r="N108" s="1"/>
      <c r="O108" s="1"/>
      <c r="P108" s="1"/>
      <c r="Q108" s="1">
        <v>0</v>
      </c>
      <c r="R108" s="1"/>
      <c r="S108" s="24"/>
      <c r="T108" s="1"/>
      <c r="U108" s="1"/>
      <c r="V108" s="24"/>
      <c r="W108" s="1">
        <f t="shared" si="24"/>
        <v>41</v>
      </c>
      <c r="X108" s="5"/>
      <c r="Y108" s="5">
        <f>X108+300</f>
        <v>300</v>
      </c>
      <c r="Z108" s="5">
        <f>Y108-AB108</f>
        <v>300</v>
      </c>
      <c r="AA108" s="5"/>
      <c r="AB108" s="5"/>
      <c r="AC108" s="1" t="str">
        <f>VLOOKUP(A108,[2]Sheet!$A:$U,21,0)</f>
        <v xml:space="preserve">300 сеть молоко </v>
      </c>
      <c r="AD108" s="1">
        <f>(F108+O108+P108+Q108+T108+Z108+AB108+R108+S108+U108+V108)/W108</f>
        <v>21.365853658536587</v>
      </c>
      <c r="AE108" s="1">
        <f>(F108+O108+P108+Q108+T108)/W108</f>
        <v>14.048780487804878</v>
      </c>
      <c r="AF108" s="1">
        <v>41</v>
      </c>
      <c r="AG108" s="1">
        <v>42.2</v>
      </c>
      <c r="AH108" s="1">
        <v>49.2</v>
      </c>
      <c r="AI108" s="1">
        <v>54.2</v>
      </c>
      <c r="AJ108" s="1">
        <v>46.4</v>
      </c>
      <c r="AK108" s="1">
        <v>59</v>
      </c>
      <c r="AL108" s="1">
        <v>58.6</v>
      </c>
      <c r="AM108" s="1">
        <v>35.6</v>
      </c>
      <c r="AN108" s="1" t="s">
        <v>263</v>
      </c>
      <c r="AO108" s="1">
        <f>ROUND(G108*Z108,0)</f>
        <v>24</v>
      </c>
      <c r="AP108" s="1">
        <f>ROUND(G108*AB108,0)</f>
        <v>0</v>
      </c>
      <c r="AQ108" t="s">
        <v>264</v>
      </c>
    </row>
    <row r="109" spans="1:43" x14ac:dyDescent="0.25">
      <c r="A109" s="1" t="s">
        <v>265</v>
      </c>
      <c r="B109" s="1" t="s">
        <v>50</v>
      </c>
      <c r="C109" s="1">
        <v>456</v>
      </c>
      <c r="D109" s="1">
        <v>57</v>
      </c>
      <c r="E109" s="1">
        <v>208</v>
      </c>
      <c r="F109" s="1">
        <v>199</v>
      </c>
      <c r="G109" s="7">
        <v>0.08</v>
      </c>
      <c r="H109" s="1">
        <v>45</v>
      </c>
      <c r="I109" s="14" t="s">
        <v>54</v>
      </c>
      <c r="J109" s="1"/>
      <c r="K109" s="1">
        <v>316</v>
      </c>
      <c r="L109" s="1">
        <f t="shared" si="22"/>
        <v>-108</v>
      </c>
      <c r="M109" s="1">
        <f t="shared" si="23"/>
        <v>208</v>
      </c>
      <c r="N109" s="1"/>
      <c r="O109" s="1"/>
      <c r="P109" s="1"/>
      <c r="Q109" s="1">
        <v>97.600000000000023</v>
      </c>
      <c r="R109" s="1"/>
      <c r="S109" s="24"/>
      <c r="T109" s="1"/>
      <c r="U109" s="1"/>
      <c r="V109" s="24"/>
      <c r="W109" s="1">
        <f t="shared" si="24"/>
        <v>41.6</v>
      </c>
      <c r="X109" s="5">
        <f>12*W109-T109-Q109-P109-O109-F109</f>
        <v>202.60000000000002</v>
      </c>
      <c r="Y109" s="5">
        <f>X109+600</f>
        <v>802.6</v>
      </c>
      <c r="Z109" s="5">
        <f>Y109-AB109</f>
        <v>802.6</v>
      </c>
      <c r="AA109" s="5"/>
      <c r="AB109" s="5"/>
      <c r="AC109" s="1" t="str">
        <f>VLOOKUP(A109,[2]Sheet!$A:$U,21,0)</f>
        <v xml:space="preserve">600 сеть молоко </v>
      </c>
      <c r="AD109" s="1">
        <f>(F109+O109+P109+Q109+T109+Z109+AB109+R109+S109+U109+V109)/W109</f>
        <v>26.423076923076923</v>
      </c>
      <c r="AE109" s="1">
        <f>(F109+O109+P109+Q109+T109)/W109</f>
        <v>7.1298076923076925</v>
      </c>
      <c r="AF109" s="1">
        <v>41.6</v>
      </c>
      <c r="AG109" s="1">
        <v>22.6</v>
      </c>
      <c r="AH109" s="1">
        <v>9.6</v>
      </c>
      <c r="AI109" s="1">
        <v>4.4000000000000004</v>
      </c>
      <c r="AJ109" s="1">
        <v>25.8</v>
      </c>
      <c r="AK109" s="1">
        <v>24.4</v>
      </c>
      <c r="AL109" s="1">
        <v>2.2000000000000002</v>
      </c>
      <c r="AM109" s="1">
        <v>12.4</v>
      </c>
      <c r="AN109" s="1" t="s">
        <v>266</v>
      </c>
      <c r="AO109" s="1">
        <f>ROUND(G109*Z109,0)</f>
        <v>64</v>
      </c>
      <c r="AP109" s="1">
        <f>ROUND(G109*AB109,0)</f>
        <v>0</v>
      </c>
      <c r="AQ109" t="s">
        <v>267</v>
      </c>
    </row>
    <row r="110" spans="1:43" x14ac:dyDescent="0.25">
      <c r="A110" s="1" t="s">
        <v>268</v>
      </c>
      <c r="B110" s="1" t="s">
        <v>50</v>
      </c>
      <c r="C110" s="1">
        <v>135</v>
      </c>
      <c r="D110" s="1">
        <v>124</v>
      </c>
      <c r="E110" s="1">
        <v>81</v>
      </c>
      <c r="F110" s="1">
        <v>165</v>
      </c>
      <c r="G110" s="7">
        <v>0.17</v>
      </c>
      <c r="H110" s="1">
        <v>30</v>
      </c>
      <c r="I110" s="14" t="s">
        <v>54</v>
      </c>
      <c r="J110" s="1"/>
      <c r="K110" s="1">
        <v>93</v>
      </c>
      <c r="L110" s="1">
        <f t="shared" si="22"/>
        <v>-12</v>
      </c>
      <c r="M110" s="1">
        <f t="shared" si="23"/>
        <v>81</v>
      </c>
      <c r="N110" s="1"/>
      <c r="O110" s="1"/>
      <c r="P110" s="1"/>
      <c r="Q110" s="1">
        <v>0</v>
      </c>
      <c r="R110" s="1"/>
      <c r="S110" s="24"/>
      <c r="T110" s="1"/>
      <c r="U110" s="1"/>
      <c r="V110" s="24"/>
      <c r="W110" s="1">
        <f t="shared" si="24"/>
        <v>16.2</v>
      </c>
      <c r="X110" s="5">
        <f>12*W110-T110-Q110-P110-O110-F110</f>
        <v>29.399999999999977</v>
      </c>
      <c r="Y110" s="5">
        <f>X110+500</f>
        <v>529.4</v>
      </c>
      <c r="Z110" s="5">
        <f>Y110-AB110</f>
        <v>529.4</v>
      </c>
      <c r="AA110" s="5"/>
      <c r="AB110" s="5"/>
      <c r="AC110" s="1" t="str">
        <f>VLOOKUP(A110,[2]Sheet!$A:$U,21,0)</f>
        <v xml:space="preserve">500 сеть молоко </v>
      </c>
      <c r="AD110" s="1">
        <f>(F110+O110+P110+Q110+T110+Z110+AB110+R110+S110+U110+V110)/W110</f>
        <v>42.864197530864196</v>
      </c>
      <c r="AE110" s="1">
        <f>(F110+O110+P110+Q110+T110)/W110</f>
        <v>10.185185185185185</v>
      </c>
      <c r="AF110" s="1">
        <v>16.2</v>
      </c>
      <c r="AG110" s="1">
        <v>20.6</v>
      </c>
      <c r="AH110" s="1">
        <v>16</v>
      </c>
      <c r="AI110" s="1">
        <v>14.6</v>
      </c>
      <c r="AJ110" s="1">
        <v>10.8</v>
      </c>
      <c r="AK110" s="1">
        <v>15.6</v>
      </c>
      <c r="AL110" s="1">
        <v>14</v>
      </c>
      <c r="AM110" s="1">
        <v>2.4</v>
      </c>
      <c r="AN110" s="1" t="s">
        <v>248</v>
      </c>
      <c r="AO110" s="1">
        <f>ROUND(G110*Z110,0)</f>
        <v>90</v>
      </c>
      <c r="AP110" s="1">
        <f>ROUND(G110*AB110,0)</f>
        <v>0</v>
      </c>
      <c r="AQ110" t="s">
        <v>269</v>
      </c>
    </row>
    <row r="111" spans="1:43" x14ac:dyDescent="0.25">
      <c r="A111" s="1" t="s">
        <v>270</v>
      </c>
      <c r="B111" s="1" t="s">
        <v>42</v>
      </c>
      <c r="C111" s="1">
        <v>168.83500000000001</v>
      </c>
      <c r="D111" s="1">
        <v>62.28</v>
      </c>
      <c r="E111" s="1">
        <v>213.87100000000001</v>
      </c>
      <c r="F111" s="1">
        <v>-14.114000000000001</v>
      </c>
      <c r="G111" s="7">
        <v>1</v>
      </c>
      <c r="H111" s="1">
        <v>40</v>
      </c>
      <c r="I111" s="15" t="s">
        <v>106</v>
      </c>
      <c r="J111" s="1"/>
      <c r="K111" s="1">
        <v>263.73399999999998</v>
      </c>
      <c r="L111" s="1">
        <f t="shared" si="22"/>
        <v>-49.862999999999971</v>
      </c>
      <c r="M111" s="1">
        <f t="shared" si="23"/>
        <v>213.87100000000001</v>
      </c>
      <c r="N111" s="1"/>
      <c r="O111" s="1">
        <v>110.25716</v>
      </c>
      <c r="P111" s="1"/>
      <c r="Q111" s="1">
        <v>236.92699999999999</v>
      </c>
      <c r="R111" s="1"/>
      <c r="S111" s="24"/>
      <c r="T111" s="1"/>
      <c r="U111" s="1"/>
      <c r="V111" s="24"/>
      <c r="W111" s="1">
        <f t="shared" si="24"/>
        <v>42.7742</v>
      </c>
      <c r="X111" s="5">
        <f>12*W111-T111-Q111-P111-O111-F111</f>
        <v>180.22023999999996</v>
      </c>
      <c r="Y111" s="5">
        <f t="shared" ref="Y111:Z113" si="25">X111</f>
        <v>180.22023999999996</v>
      </c>
      <c r="Z111" s="5">
        <f t="shared" si="25"/>
        <v>180.22023999999996</v>
      </c>
      <c r="AA111" s="5">
        <v>-91</v>
      </c>
      <c r="AB111" s="5">
        <f>Y111*0.5</f>
        <v>90.110119999999981</v>
      </c>
      <c r="AC111" s="1"/>
      <c r="AD111" s="1">
        <f>(F111+O111+P111+Q111+T111+Z111+AB111+R111+S111+U111+V111)/W111</f>
        <v>14.106646529917565</v>
      </c>
      <c r="AE111" s="1">
        <f>(F111+O111+P111+Q111+T111)/W111</f>
        <v>7.7867069401648656</v>
      </c>
      <c r="AF111" s="1">
        <v>42.7742</v>
      </c>
      <c r="AG111" s="1">
        <v>44.640799999999999</v>
      </c>
      <c r="AH111" s="1">
        <v>37.654600000000002</v>
      </c>
      <c r="AI111" s="1">
        <v>36.516399999999997</v>
      </c>
      <c r="AJ111" s="1">
        <v>39.003799999999998</v>
      </c>
      <c r="AK111" s="1">
        <v>47.948999999999998</v>
      </c>
      <c r="AL111" s="1">
        <v>50.321599999999997</v>
      </c>
      <c r="AM111" s="1">
        <v>34.956800000000001</v>
      </c>
      <c r="AN111" s="1"/>
      <c r="AO111" s="1">
        <f>ROUND(G111*Z111,0)</f>
        <v>180</v>
      </c>
      <c r="AP111" s="1">
        <f>ROUND(G111*AB111,0)</f>
        <v>90</v>
      </c>
      <c r="AQ111" t="s">
        <v>271</v>
      </c>
    </row>
    <row r="112" spans="1:43" x14ac:dyDescent="0.25">
      <c r="A112" s="1" t="s">
        <v>272</v>
      </c>
      <c r="B112" s="1" t="s">
        <v>42</v>
      </c>
      <c r="C112" s="1">
        <v>149.86500000000001</v>
      </c>
      <c r="D112" s="1">
        <v>2.8340000000000001</v>
      </c>
      <c r="E112" s="1">
        <v>85.805000000000007</v>
      </c>
      <c r="F112" s="1">
        <v>50.616999999999997</v>
      </c>
      <c r="G112" s="7">
        <v>1</v>
      </c>
      <c r="H112" s="1">
        <v>40</v>
      </c>
      <c r="I112" s="15" t="s">
        <v>106</v>
      </c>
      <c r="J112" s="1"/>
      <c r="K112" s="1">
        <v>85.915000000000006</v>
      </c>
      <c r="L112" s="1">
        <f t="shared" si="22"/>
        <v>-0.10999999999999943</v>
      </c>
      <c r="M112" s="1">
        <f t="shared" si="23"/>
        <v>85.805000000000007</v>
      </c>
      <c r="N112" s="1"/>
      <c r="O112" s="1"/>
      <c r="P112" s="1"/>
      <c r="Q112" s="1">
        <v>104.5</v>
      </c>
      <c r="R112" s="1"/>
      <c r="S112" s="24"/>
      <c r="T112" s="1"/>
      <c r="U112" s="1"/>
      <c r="V112" s="24"/>
      <c r="W112" s="1">
        <f t="shared" si="24"/>
        <v>17.161000000000001</v>
      </c>
      <c r="X112" s="5">
        <f>12*W112-T112-Q112-P112-O112-F112</f>
        <v>50.815000000000019</v>
      </c>
      <c r="Y112" s="5">
        <f t="shared" si="25"/>
        <v>50.815000000000019</v>
      </c>
      <c r="Z112" s="5">
        <f t="shared" si="25"/>
        <v>50.815000000000019</v>
      </c>
      <c r="AA112" s="5"/>
      <c r="AB112" s="5">
        <f>Y112*0.5</f>
        <v>25.40750000000001</v>
      </c>
      <c r="AC112" s="1"/>
      <c r="AD112" s="1">
        <f>(F112+O112+P112+Q112+T112+Z112+AB112+R112+S112+U112+V112)/W112</f>
        <v>13.480537264728163</v>
      </c>
      <c r="AE112" s="1">
        <f>(F112+O112+P112+Q112+T112)/W112</f>
        <v>9.0389254705436741</v>
      </c>
      <c r="AF112" s="1">
        <v>17.161000000000001</v>
      </c>
      <c r="AG112" s="1">
        <v>14.714</v>
      </c>
      <c r="AH112" s="1">
        <v>10.642200000000001</v>
      </c>
      <c r="AI112" s="1">
        <v>4.7026000000000003</v>
      </c>
      <c r="AJ112" s="1">
        <v>14.215400000000001</v>
      </c>
      <c r="AK112" s="1">
        <v>21.378</v>
      </c>
      <c r="AL112" s="1">
        <v>13.5524</v>
      </c>
      <c r="AM112" s="1">
        <v>5.1452</v>
      </c>
      <c r="AN112" s="1"/>
      <c r="AO112" s="1">
        <f>ROUND(G112*Z112,0)</f>
        <v>51</v>
      </c>
      <c r="AP112" s="1">
        <f>ROUND(G112*AB112,0)</f>
        <v>25</v>
      </c>
      <c r="AQ112" t="s">
        <v>273</v>
      </c>
    </row>
    <row r="113" spans="1:44" x14ac:dyDescent="0.25">
      <c r="A113" s="1" t="s">
        <v>274</v>
      </c>
      <c r="B113" s="1" t="s">
        <v>42</v>
      </c>
      <c r="C113" s="1">
        <v>159.31</v>
      </c>
      <c r="D113" s="1">
        <v>158.161</v>
      </c>
      <c r="E113" s="1">
        <v>237.26599999999999</v>
      </c>
      <c r="F113" s="1">
        <v>2.621</v>
      </c>
      <c r="G113" s="7">
        <v>1</v>
      </c>
      <c r="H113" s="1">
        <v>40</v>
      </c>
      <c r="I113" s="15" t="s">
        <v>106</v>
      </c>
      <c r="J113" s="1"/>
      <c r="K113" s="1">
        <v>290.21800000000002</v>
      </c>
      <c r="L113" s="1">
        <f t="shared" si="22"/>
        <v>-52.952000000000027</v>
      </c>
      <c r="M113" s="1">
        <f t="shared" si="23"/>
        <v>216.15899999999999</v>
      </c>
      <c r="N113" s="1">
        <v>21.106999999999999</v>
      </c>
      <c r="O113" s="1">
        <v>114.212592</v>
      </c>
      <c r="P113" s="1">
        <v>-115.5</v>
      </c>
      <c r="Q113" s="1">
        <v>100</v>
      </c>
      <c r="R113" s="1">
        <v>-101.5</v>
      </c>
      <c r="S113" s="24"/>
      <c r="T113" s="1"/>
      <c r="U113" s="1"/>
      <c r="V113" s="24"/>
      <c r="W113" s="1">
        <f t="shared" si="24"/>
        <v>43.2318</v>
      </c>
      <c r="X113" s="5">
        <v>80</v>
      </c>
      <c r="Y113" s="5">
        <f t="shared" si="25"/>
        <v>80</v>
      </c>
      <c r="Z113" s="5">
        <f t="shared" si="25"/>
        <v>80</v>
      </c>
      <c r="AA113" s="5">
        <v>-42</v>
      </c>
      <c r="AB113" s="5">
        <f>Y113*0.5</f>
        <v>40</v>
      </c>
      <c r="AC113" s="1"/>
      <c r="AD113" s="1">
        <f>(F113+O113+P113+Q113+T113+Z113+AB113+R113+S113+U113+V113)/W113</f>
        <v>2.7718853251541691</v>
      </c>
      <c r="AE113" s="1">
        <f>(F113+O113+P113+Q113+T113)/W113</f>
        <v>2.3439595853052615</v>
      </c>
      <c r="AF113" s="1">
        <v>47.453200000000002</v>
      </c>
      <c r="AG113" s="1">
        <v>41.672199999999997</v>
      </c>
      <c r="AH113" s="1">
        <v>33.958799999999997</v>
      </c>
      <c r="AI113" s="1">
        <v>31.296800000000001</v>
      </c>
      <c r="AJ113" s="1">
        <v>35.985399999999998</v>
      </c>
      <c r="AK113" s="1">
        <v>43.4876</v>
      </c>
      <c r="AL113" s="1">
        <v>38.700800000000001</v>
      </c>
      <c r="AM113" s="1">
        <v>22.611000000000001</v>
      </c>
      <c r="AN113" s="1"/>
      <c r="AO113" s="1">
        <f>ROUND(G113*Z113,0)</f>
        <v>80</v>
      </c>
      <c r="AP113" s="1">
        <f>ROUND(G113*AB113,0)</f>
        <v>40</v>
      </c>
      <c r="AQ113" t="s">
        <v>275</v>
      </c>
    </row>
    <row r="114" spans="1:44" x14ac:dyDescent="0.25">
      <c r="A114" s="1" t="s">
        <v>276</v>
      </c>
      <c r="B114" s="1" t="s">
        <v>50</v>
      </c>
      <c r="C114" s="1">
        <v>53</v>
      </c>
      <c r="D114" s="1">
        <v>6</v>
      </c>
      <c r="E114" s="1">
        <v>10</v>
      </c>
      <c r="F114" s="1">
        <v>11</v>
      </c>
      <c r="G114" s="7">
        <v>0.3</v>
      </c>
      <c r="H114" s="1">
        <v>45</v>
      </c>
      <c r="I114" s="1" t="s">
        <v>43</v>
      </c>
      <c r="J114" s="1"/>
      <c r="K114" s="1">
        <v>142</v>
      </c>
      <c r="L114" s="1">
        <f t="shared" si="22"/>
        <v>-132</v>
      </c>
      <c r="M114" s="1">
        <f t="shared" si="23"/>
        <v>10</v>
      </c>
      <c r="N114" s="1"/>
      <c r="O114" s="1"/>
      <c r="P114" s="1"/>
      <c r="Q114" s="1">
        <v>0</v>
      </c>
      <c r="R114" s="1"/>
      <c r="S114" s="24"/>
      <c r="T114" s="1"/>
      <c r="U114" s="1"/>
      <c r="V114" s="24"/>
      <c r="W114" s="1">
        <f t="shared" si="24"/>
        <v>2</v>
      </c>
      <c r="X114" s="5">
        <f>12*W114-T114-Q114-P114-O114-F114</f>
        <v>13</v>
      </c>
      <c r="Y114" s="5">
        <f>X114</f>
        <v>13</v>
      </c>
      <c r="Z114" s="5">
        <f>Y114-AB114</f>
        <v>13</v>
      </c>
      <c r="AA114" s="5"/>
      <c r="AB114" s="5"/>
      <c r="AC114" s="1"/>
      <c r="AD114" s="1">
        <f>(F114+O114+P114+Q114+T114+Z114+AB114+R114+S114+U114+V114)/W114</f>
        <v>12</v>
      </c>
      <c r="AE114" s="1">
        <f>(F114+O114+P114+Q114+T114)/W114</f>
        <v>5.5</v>
      </c>
      <c r="AF114" s="1">
        <v>2</v>
      </c>
      <c r="AG114" s="1">
        <v>3.2</v>
      </c>
      <c r="AH114" s="1">
        <v>4</v>
      </c>
      <c r="AI114" s="1">
        <v>3.8</v>
      </c>
      <c r="AJ114" s="1">
        <v>7.4</v>
      </c>
      <c r="AK114" s="1">
        <v>15.4</v>
      </c>
      <c r="AL114" s="1">
        <v>15.2</v>
      </c>
      <c r="AM114" s="1">
        <v>5.8</v>
      </c>
      <c r="AN114" s="1"/>
      <c r="AO114" s="1">
        <f>ROUND(G114*Z114,0)</f>
        <v>4</v>
      </c>
      <c r="AP114" s="1">
        <f>ROUND(G114*AB114,0)</f>
        <v>0</v>
      </c>
      <c r="AQ114" t="s">
        <v>277</v>
      </c>
    </row>
    <row r="115" spans="1:44" x14ac:dyDescent="0.25">
      <c r="A115" s="1" t="s">
        <v>278</v>
      </c>
      <c r="B115" s="1" t="s">
        <v>42</v>
      </c>
      <c r="C115" s="1">
        <v>22.251000000000001</v>
      </c>
      <c r="D115" s="1">
        <v>14.807</v>
      </c>
      <c r="E115" s="1">
        <v>2.76</v>
      </c>
      <c r="F115" s="1">
        <v>16.754999999999999</v>
      </c>
      <c r="G115" s="7">
        <v>1</v>
      </c>
      <c r="H115" s="1">
        <v>55</v>
      </c>
      <c r="I115" s="1" t="s">
        <v>43</v>
      </c>
      <c r="J115" s="1"/>
      <c r="K115" s="1">
        <v>18.899999999999999</v>
      </c>
      <c r="L115" s="1">
        <f t="shared" si="22"/>
        <v>-16.14</v>
      </c>
      <c r="M115" s="1">
        <f t="shared" si="23"/>
        <v>2.76</v>
      </c>
      <c r="N115" s="1"/>
      <c r="O115" s="1"/>
      <c r="P115" s="1"/>
      <c r="Q115" s="1">
        <v>0</v>
      </c>
      <c r="R115" s="1"/>
      <c r="S115" s="24"/>
      <c r="T115" s="1"/>
      <c r="U115" s="1"/>
      <c r="V115" s="24"/>
      <c r="W115" s="1">
        <f t="shared" si="24"/>
        <v>0.55199999999999994</v>
      </c>
      <c r="X115" s="5"/>
      <c r="Y115" s="5">
        <f>X115</f>
        <v>0</v>
      </c>
      <c r="Z115" s="5">
        <f>Y115-AB115</f>
        <v>0</v>
      </c>
      <c r="AA115" s="5"/>
      <c r="AB115" s="5"/>
      <c r="AC115" s="1"/>
      <c r="AD115" s="1">
        <f>(F115+O115+P115+Q115+T115+Z115+AB115+R115+S115+U115+V115)/W115</f>
        <v>30.353260869565219</v>
      </c>
      <c r="AE115" s="1">
        <f>(F115+O115+P115+Q115+T115)/W115</f>
        <v>30.353260869565219</v>
      </c>
      <c r="AF115" s="1">
        <v>0.55199999999999994</v>
      </c>
      <c r="AG115" s="1">
        <v>0</v>
      </c>
      <c r="AH115" s="1">
        <v>0</v>
      </c>
      <c r="AI115" s="1">
        <v>0</v>
      </c>
      <c r="AJ115" s="1">
        <v>0.82919999999999994</v>
      </c>
      <c r="AK115" s="1">
        <v>1.1052</v>
      </c>
      <c r="AL115" s="1">
        <v>0.27600000000000002</v>
      </c>
      <c r="AM115" s="1">
        <v>0</v>
      </c>
      <c r="AN115" s="12" t="s">
        <v>99</v>
      </c>
      <c r="AO115" s="1">
        <f>ROUND(G115*Z115,0)</f>
        <v>0</v>
      </c>
      <c r="AP115" s="1">
        <f>ROUND(G115*AB115,0)</f>
        <v>0</v>
      </c>
      <c r="AQ115" t="s">
        <v>279</v>
      </c>
    </row>
    <row r="116" spans="1:44" x14ac:dyDescent="0.25">
      <c r="A116" s="1" t="s">
        <v>280</v>
      </c>
      <c r="B116" s="1" t="s">
        <v>50</v>
      </c>
      <c r="C116" s="1">
        <v>309</v>
      </c>
      <c r="D116" s="1">
        <v>408</v>
      </c>
      <c r="E116" s="1">
        <v>383</v>
      </c>
      <c r="F116" s="1">
        <v>176</v>
      </c>
      <c r="G116" s="7">
        <v>0.28000000000000003</v>
      </c>
      <c r="H116" s="1">
        <v>40</v>
      </c>
      <c r="I116" s="15" t="s">
        <v>106</v>
      </c>
      <c r="J116" s="1"/>
      <c r="K116" s="1">
        <v>497</v>
      </c>
      <c r="L116" s="1">
        <f t="shared" si="22"/>
        <v>-114</v>
      </c>
      <c r="M116" s="1">
        <f t="shared" si="23"/>
        <v>383</v>
      </c>
      <c r="N116" s="1"/>
      <c r="O116" s="1"/>
      <c r="P116" s="1"/>
      <c r="Q116" s="1">
        <v>193.82813751085709</v>
      </c>
      <c r="R116" s="1"/>
      <c r="S116" s="24"/>
      <c r="T116" s="1">
        <v>240.76409906057151</v>
      </c>
      <c r="U116" s="1">
        <v>-241</v>
      </c>
      <c r="V116" s="24"/>
      <c r="W116" s="1">
        <f t="shared" si="24"/>
        <v>76.599999999999994</v>
      </c>
      <c r="X116" s="5">
        <f>12*W116-T116-Q116-P116-O116-F116</f>
        <v>308.60776342857127</v>
      </c>
      <c r="Y116" s="5">
        <f>X116</f>
        <v>308.60776342857127</v>
      </c>
      <c r="Z116" s="5">
        <f>Y116</f>
        <v>308.60776342857127</v>
      </c>
      <c r="AA116" s="5">
        <v>-155.99999999999997</v>
      </c>
      <c r="AB116" s="5">
        <f>Y116*0.5</f>
        <v>154.30388171428564</v>
      </c>
      <c r="AC116" s="1"/>
      <c r="AD116" s="1">
        <f>(F116+O116+P116+Q116+T116+Z116+AB116+R116+S116+U116+V116)/W116</f>
        <v>10.868196889220441</v>
      </c>
      <c r="AE116" s="1">
        <f>(F116+O116+P116+Q116+T116)/W116</f>
        <v>7.9711780231257015</v>
      </c>
      <c r="AF116" s="1">
        <v>78.2</v>
      </c>
      <c r="AG116" s="1">
        <v>70.2</v>
      </c>
      <c r="AH116" s="1">
        <v>72</v>
      </c>
      <c r="AI116" s="1">
        <v>68.400000000000006</v>
      </c>
      <c r="AJ116" s="1">
        <v>58.2</v>
      </c>
      <c r="AK116" s="1">
        <v>83.8</v>
      </c>
      <c r="AL116" s="1">
        <v>89</v>
      </c>
      <c r="AM116" s="1">
        <v>60.4</v>
      </c>
      <c r="AN116" s="1"/>
      <c r="AO116" s="1">
        <f>ROUND(G116*Z116,0)</f>
        <v>86</v>
      </c>
      <c r="AP116" s="1">
        <f>ROUND(G116*AB116,0)</f>
        <v>43</v>
      </c>
      <c r="AQ116" t="s">
        <v>281</v>
      </c>
    </row>
    <row r="117" spans="1:44" x14ac:dyDescent="0.25">
      <c r="A117" s="1" t="s">
        <v>282</v>
      </c>
      <c r="B117" s="1" t="s">
        <v>50</v>
      </c>
      <c r="C117" s="1">
        <v>-15.273999999999999</v>
      </c>
      <c r="D117" s="1">
        <v>44</v>
      </c>
      <c r="E117" s="1">
        <v>114</v>
      </c>
      <c r="F117" s="1">
        <v>-3.274</v>
      </c>
      <c r="G117" s="7">
        <v>0.28000000000000003</v>
      </c>
      <c r="H117" s="1">
        <v>40</v>
      </c>
      <c r="I117" s="15" t="s">
        <v>106</v>
      </c>
      <c r="J117" s="1"/>
      <c r="K117" s="1">
        <v>213</v>
      </c>
      <c r="L117" s="1">
        <f t="shared" si="22"/>
        <v>-99</v>
      </c>
      <c r="M117" s="1">
        <f t="shared" si="23"/>
        <v>114</v>
      </c>
      <c r="N117" s="1"/>
      <c r="O117" s="1">
        <v>185.01599999999999</v>
      </c>
      <c r="P117" s="1">
        <v>-186</v>
      </c>
      <c r="Q117" s="1">
        <v>200</v>
      </c>
      <c r="R117" s="1">
        <v>-203.99999999999997</v>
      </c>
      <c r="S117" s="24"/>
      <c r="T117" s="1"/>
      <c r="U117" s="1"/>
      <c r="V117" s="24"/>
      <c r="W117" s="1">
        <f t="shared" si="24"/>
        <v>22.8</v>
      </c>
      <c r="X117" s="5">
        <v>150</v>
      </c>
      <c r="Y117" s="5">
        <f>X117</f>
        <v>150</v>
      </c>
      <c r="Z117" s="5">
        <f>Y117</f>
        <v>150</v>
      </c>
      <c r="AA117" s="5">
        <v>-77.999999999999986</v>
      </c>
      <c r="AB117" s="5">
        <f>Y117*0.5</f>
        <v>75</v>
      </c>
      <c r="AC117" s="1"/>
      <c r="AD117" s="1">
        <f>(F117+O117+P117+Q117+T117+Z117+AB117+R117+S117+U117+V117)/W117</f>
        <v>9.5062280701754371</v>
      </c>
      <c r="AE117" s="1">
        <f>(F117+O117+P117+Q117+T117)/W117</f>
        <v>8.5851754385964902</v>
      </c>
      <c r="AF117" s="1">
        <v>22.8</v>
      </c>
      <c r="AG117" s="1">
        <v>68.2</v>
      </c>
      <c r="AH117" s="1">
        <v>81.8</v>
      </c>
      <c r="AI117" s="1">
        <v>56.2</v>
      </c>
      <c r="AJ117" s="1">
        <v>63.6</v>
      </c>
      <c r="AK117" s="1">
        <v>109</v>
      </c>
      <c r="AL117" s="1">
        <v>91.4</v>
      </c>
      <c r="AM117" s="1">
        <v>49.0548</v>
      </c>
      <c r="AN117" s="1"/>
      <c r="AO117" s="1">
        <f>ROUND(G117*Z117,0)</f>
        <v>42</v>
      </c>
      <c r="AP117" s="1">
        <f>ROUND(G117*AB117,0)</f>
        <v>21</v>
      </c>
      <c r="AQ117" t="s">
        <v>283</v>
      </c>
    </row>
    <row r="118" spans="1:44" x14ac:dyDescent="0.25">
      <c r="A118" s="1" t="s">
        <v>284</v>
      </c>
      <c r="B118" s="1" t="s">
        <v>50</v>
      </c>
      <c r="C118" s="1">
        <v>534.5</v>
      </c>
      <c r="D118" s="1">
        <v>355</v>
      </c>
      <c r="E118" s="1">
        <v>546</v>
      </c>
      <c r="F118" s="1">
        <v>25.5</v>
      </c>
      <c r="G118" s="7">
        <v>0.28000000000000003</v>
      </c>
      <c r="H118" s="1">
        <v>40</v>
      </c>
      <c r="I118" s="15" t="s">
        <v>106</v>
      </c>
      <c r="J118" s="1"/>
      <c r="K118" s="1">
        <v>780</v>
      </c>
      <c r="L118" s="1">
        <f t="shared" si="22"/>
        <v>-234</v>
      </c>
      <c r="M118" s="1">
        <f t="shared" si="23"/>
        <v>546</v>
      </c>
      <c r="N118" s="1"/>
      <c r="O118" s="1">
        <v>130</v>
      </c>
      <c r="P118" s="1">
        <v>-132</v>
      </c>
      <c r="Q118" s="1">
        <v>250</v>
      </c>
      <c r="R118" s="1"/>
      <c r="S118" s="24"/>
      <c r="T118" s="1"/>
      <c r="U118" s="1"/>
      <c r="V118" s="24"/>
      <c r="W118" s="1">
        <f t="shared" si="24"/>
        <v>109.2</v>
      </c>
      <c r="X118" s="5">
        <v>250</v>
      </c>
      <c r="Y118" s="5">
        <f>X118</f>
        <v>250</v>
      </c>
      <c r="Z118" s="5">
        <f>Y118</f>
        <v>250</v>
      </c>
      <c r="AA118" s="5">
        <v>-125.99999999999999</v>
      </c>
      <c r="AB118" s="5">
        <f>Y118*0.5</f>
        <v>125</v>
      </c>
      <c r="AC118" s="1"/>
      <c r="AD118" s="1">
        <f>(F118+O118+P118+Q118+T118+Z118+AB118+R118+S118+U118+V118)/W118</f>
        <v>5.9386446886446889</v>
      </c>
      <c r="AE118" s="1">
        <f>(F118+O118+P118+Q118+T118)/W118</f>
        <v>2.5045787545787546</v>
      </c>
      <c r="AF118" s="1">
        <v>110.4</v>
      </c>
      <c r="AG118" s="1">
        <v>107.2</v>
      </c>
      <c r="AH118" s="1">
        <v>111.6</v>
      </c>
      <c r="AI118" s="1">
        <v>111.6</v>
      </c>
      <c r="AJ118" s="1">
        <v>95.6</v>
      </c>
      <c r="AK118" s="1">
        <v>123.2</v>
      </c>
      <c r="AL118" s="1">
        <v>137</v>
      </c>
      <c r="AM118" s="1">
        <v>87.1</v>
      </c>
      <c r="AN118" s="1"/>
      <c r="AO118" s="1">
        <f>ROUND(G118*Z118,0)</f>
        <v>70</v>
      </c>
      <c r="AP118" s="1">
        <f>ROUND(G118*AB118,0)</f>
        <v>35</v>
      </c>
      <c r="AQ118" t="s">
        <v>285</v>
      </c>
    </row>
    <row r="119" spans="1:44" x14ac:dyDescent="0.25">
      <c r="A119" s="1" t="s">
        <v>286</v>
      </c>
      <c r="B119" s="1" t="s">
        <v>50</v>
      </c>
      <c r="C119" s="1">
        <v>67</v>
      </c>
      <c r="D119" s="1">
        <v>182</v>
      </c>
      <c r="E119" s="1">
        <v>101</v>
      </c>
      <c r="F119" s="1">
        <v>22</v>
      </c>
      <c r="G119" s="7">
        <v>0.09</v>
      </c>
      <c r="H119" s="1">
        <v>45</v>
      </c>
      <c r="I119" s="14" t="s">
        <v>54</v>
      </c>
      <c r="J119" s="1"/>
      <c r="K119" s="1">
        <v>218</v>
      </c>
      <c r="L119" s="1">
        <f t="shared" si="22"/>
        <v>-117</v>
      </c>
      <c r="M119" s="1">
        <f t="shared" si="23"/>
        <v>101</v>
      </c>
      <c r="N119" s="1"/>
      <c r="O119" s="1"/>
      <c r="P119" s="1"/>
      <c r="Q119" s="1">
        <v>126.18</v>
      </c>
      <c r="R119" s="1"/>
      <c r="S119" s="24"/>
      <c r="T119" s="1"/>
      <c r="U119" s="1"/>
      <c r="V119" s="24"/>
      <c r="W119" s="1">
        <f t="shared" si="24"/>
        <v>20.2</v>
      </c>
      <c r="X119" s="5">
        <f>12*W119-T119-Q119-P119-O119-F119</f>
        <v>94.21999999999997</v>
      </c>
      <c r="Y119" s="5">
        <f>X119+700</f>
        <v>794.22</v>
      </c>
      <c r="Z119" s="5">
        <f>Y119-AB119</f>
        <v>794.22</v>
      </c>
      <c r="AA119" s="5"/>
      <c r="AB119" s="5"/>
      <c r="AC119" s="1" t="str">
        <f>VLOOKUP(A119,[2]Sheet!$A:$U,21,0)</f>
        <v xml:space="preserve">700 сеть молоко </v>
      </c>
      <c r="AD119" s="1">
        <f>(F119+O119+P119+Q119+T119+Z119+AB119+R119+S119+U119+V119)/W119</f>
        <v>46.653465346534659</v>
      </c>
      <c r="AE119" s="1">
        <f>(F119+O119+P119+Q119+T119)/W119</f>
        <v>7.3356435643564364</v>
      </c>
      <c r="AF119" s="1">
        <v>22.8</v>
      </c>
      <c r="AG119" s="1">
        <v>17.399999999999999</v>
      </c>
      <c r="AH119" s="1">
        <v>12.2</v>
      </c>
      <c r="AI119" s="1">
        <v>15.6</v>
      </c>
      <c r="AJ119" s="1">
        <v>14.2</v>
      </c>
      <c r="AK119" s="1">
        <v>12.2</v>
      </c>
      <c r="AL119" s="1">
        <v>13.2</v>
      </c>
      <c r="AM119" s="1">
        <v>5.4</v>
      </c>
      <c r="AN119" s="1" t="s">
        <v>287</v>
      </c>
      <c r="AO119" s="1">
        <f>ROUND(G119*Z119,0)</f>
        <v>71</v>
      </c>
      <c r="AP119" s="1">
        <f>ROUND(G119*AB119,0)</f>
        <v>0</v>
      </c>
      <c r="AQ119" t="s">
        <v>288</v>
      </c>
    </row>
    <row r="120" spans="1:44" x14ac:dyDescent="0.25">
      <c r="A120" s="9" t="s">
        <v>289</v>
      </c>
      <c r="B120" s="9" t="s">
        <v>42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67</v>
      </c>
      <c r="J120" s="9"/>
      <c r="K120" s="9"/>
      <c r="L120" s="9">
        <f t="shared" si="22"/>
        <v>0</v>
      </c>
      <c r="M120" s="9">
        <f t="shared" si="23"/>
        <v>0</v>
      </c>
      <c r="N120" s="9"/>
      <c r="O120" s="9"/>
      <c r="P120" s="9"/>
      <c r="Q120" s="9">
        <v>0</v>
      </c>
      <c r="R120" s="9"/>
      <c r="S120" s="27"/>
      <c r="T120" s="9"/>
      <c r="U120" s="9"/>
      <c r="V120" s="27"/>
      <c r="W120" s="9">
        <f t="shared" si="24"/>
        <v>0</v>
      </c>
      <c r="X120" s="11"/>
      <c r="Y120" s="5">
        <f>X120</f>
        <v>0</v>
      </c>
      <c r="Z120" s="5">
        <f>Y120-AB120</f>
        <v>0</v>
      </c>
      <c r="AA120" s="5"/>
      <c r="AB120" s="5"/>
      <c r="AC120" s="1"/>
      <c r="AD120" s="1" t="e">
        <f>(F120+O120+P120+Q120+T120+Z120+AB120+R120+S120+U120+V120)/W120</f>
        <v>#DIV/0!</v>
      </c>
      <c r="AE120" s="9" t="e">
        <f>(F120+O120+P120+Q120+T120)/W120</f>
        <v>#DIV/0!</v>
      </c>
      <c r="AF120" s="9">
        <v>0</v>
      </c>
      <c r="AG120" s="9">
        <v>0</v>
      </c>
      <c r="AH120" s="9">
        <v>2.1854</v>
      </c>
      <c r="AI120" s="9">
        <v>2.1854</v>
      </c>
      <c r="AJ120" s="9">
        <v>1.3512</v>
      </c>
      <c r="AK120" s="9">
        <v>2.4342000000000001</v>
      </c>
      <c r="AL120" s="9">
        <v>1.6259999999999999</v>
      </c>
      <c r="AM120" s="9">
        <v>1.085</v>
      </c>
      <c r="AN120" s="9"/>
      <c r="AO120" s="1">
        <f>ROUND(G120*Z120,0)</f>
        <v>0</v>
      </c>
      <c r="AP120" s="1">
        <f>ROUND(G120*AB120,0)</f>
        <v>0</v>
      </c>
    </row>
    <row r="121" spans="1:44" x14ac:dyDescent="0.25">
      <c r="A121" s="1" t="s">
        <v>290</v>
      </c>
      <c r="B121" s="1" t="s">
        <v>42</v>
      </c>
      <c r="C121" s="1">
        <v>125.17700000000001</v>
      </c>
      <c r="D121" s="1"/>
      <c r="E121" s="1">
        <v>27.283999999999999</v>
      </c>
      <c r="F121" s="1">
        <v>75.736000000000004</v>
      </c>
      <c r="G121" s="7">
        <v>1</v>
      </c>
      <c r="H121" s="1">
        <v>60</v>
      </c>
      <c r="I121" s="1" t="s">
        <v>43</v>
      </c>
      <c r="J121" s="1"/>
      <c r="K121" s="1">
        <v>42.5</v>
      </c>
      <c r="L121" s="1">
        <f t="shared" si="22"/>
        <v>-15.216000000000001</v>
      </c>
      <c r="M121" s="1">
        <f t="shared" si="23"/>
        <v>27.283999999999999</v>
      </c>
      <c r="N121" s="1"/>
      <c r="O121" s="1"/>
      <c r="P121" s="1"/>
      <c r="Q121" s="1">
        <v>0</v>
      </c>
      <c r="R121" s="1"/>
      <c r="S121" s="24"/>
      <c r="T121" s="1"/>
      <c r="U121" s="1"/>
      <c r="V121" s="24"/>
      <c r="W121" s="1">
        <f t="shared" si="24"/>
        <v>5.4567999999999994</v>
      </c>
      <c r="X121" s="5"/>
      <c r="Y121" s="5">
        <f>X121</f>
        <v>0</v>
      </c>
      <c r="Z121" s="5">
        <f>Y121-AB121</f>
        <v>0</v>
      </c>
      <c r="AA121" s="5"/>
      <c r="AB121" s="5"/>
      <c r="AC121" s="1"/>
      <c r="AD121" s="1">
        <f>(F121+O121+P121+Q121+T121+Z121+AB121+R121+S121+U121+V121)/W121</f>
        <v>13.87919659873919</v>
      </c>
      <c r="AE121" s="1">
        <f>(F121+O121+P121+Q121+T121)/W121</f>
        <v>13.87919659873919</v>
      </c>
      <c r="AF121" s="1">
        <v>5.4567999999999994</v>
      </c>
      <c r="AG121" s="1">
        <v>8.9201999999999995</v>
      </c>
      <c r="AH121" s="1">
        <v>6.9382000000000001</v>
      </c>
      <c r="AI121" s="1">
        <v>6.2747999999999999</v>
      </c>
      <c r="AJ121" s="1">
        <v>10.271599999999999</v>
      </c>
      <c r="AK121" s="1">
        <v>16.718</v>
      </c>
      <c r="AL121" s="1">
        <v>14.504</v>
      </c>
      <c r="AM121" s="1">
        <v>5.6520000000000001</v>
      </c>
      <c r="AN121" s="12" t="s">
        <v>99</v>
      </c>
      <c r="AO121" s="1">
        <f>ROUND(G121*Z121,0)</f>
        <v>0</v>
      </c>
      <c r="AP121" s="1">
        <f>ROUND(G121*AB121,0)</f>
        <v>0</v>
      </c>
      <c r="AQ121" t="s">
        <v>291</v>
      </c>
    </row>
    <row r="122" spans="1:44" x14ac:dyDescent="0.25">
      <c r="A122" s="1" t="s">
        <v>292</v>
      </c>
      <c r="B122" s="1" t="s">
        <v>42</v>
      </c>
      <c r="C122" s="1">
        <v>41.155999999999999</v>
      </c>
      <c r="D122" s="1"/>
      <c r="E122" s="1">
        <v>12.425000000000001</v>
      </c>
      <c r="F122" s="1">
        <v>33.710999999999999</v>
      </c>
      <c r="G122" s="7">
        <v>1</v>
      </c>
      <c r="H122" s="1">
        <v>50</v>
      </c>
      <c r="I122" s="1" t="s">
        <v>43</v>
      </c>
      <c r="J122" s="1"/>
      <c r="K122" s="1">
        <v>2.5</v>
      </c>
      <c r="L122" s="1">
        <f t="shared" si="22"/>
        <v>9.9250000000000007</v>
      </c>
      <c r="M122" s="1">
        <f t="shared" si="23"/>
        <v>12.425000000000001</v>
      </c>
      <c r="N122" s="1"/>
      <c r="O122" s="1"/>
      <c r="P122" s="1"/>
      <c r="Q122" s="1">
        <v>0</v>
      </c>
      <c r="R122" s="1"/>
      <c r="S122" s="24"/>
      <c r="T122" s="1"/>
      <c r="U122" s="1"/>
      <c r="V122" s="24"/>
      <c r="W122" s="1">
        <f t="shared" si="24"/>
        <v>2.4850000000000003</v>
      </c>
      <c r="X122" s="5"/>
      <c r="Y122" s="5">
        <f>X122</f>
        <v>0</v>
      </c>
      <c r="Z122" s="5">
        <f>Y122-AB122</f>
        <v>0</v>
      </c>
      <c r="AA122" s="5"/>
      <c r="AB122" s="5"/>
      <c r="AC122" s="1"/>
      <c r="AD122" s="1">
        <f>(F122+O122+P122+Q122+T122+Z122+AB122+R122+S122+U122+V122)/W122</f>
        <v>13.565794768611667</v>
      </c>
      <c r="AE122" s="1">
        <f>(F122+O122+P122+Q122+T122)/W122</f>
        <v>13.565794768611667</v>
      </c>
      <c r="AF122" s="1">
        <v>2.4849999999999999</v>
      </c>
      <c r="AG122" s="1">
        <v>3.984</v>
      </c>
      <c r="AH122" s="1">
        <v>3.3889999999999998</v>
      </c>
      <c r="AI122" s="1">
        <v>4.8133999999999997</v>
      </c>
      <c r="AJ122" s="1">
        <v>2.9209999999999998</v>
      </c>
      <c r="AK122" s="1">
        <v>5.9039999999999999</v>
      </c>
      <c r="AL122" s="1">
        <v>10.317399999999999</v>
      </c>
      <c r="AM122" s="1">
        <v>4.4803999999999977</v>
      </c>
      <c r="AN122" s="1"/>
      <c r="AO122" s="1">
        <f>ROUND(G122*Z122,0)</f>
        <v>0</v>
      </c>
      <c r="AP122" s="1">
        <f>ROUND(G122*AB122,0)</f>
        <v>0</v>
      </c>
      <c r="AQ122" t="s">
        <v>293</v>
      </c>
    </row>
    <row r="123" spans="1:44" x14ac:dyDescent="0.25">
      <c r="A123" s="1" t="s">
        <v>294</v>
      </c>
      <c r="B123" s="1" t="s">
        <v>50</v>
      </c>
      <c r="C123" s="1">
        <v>352</v>
      </c>
      <c r="D123" s="1">
        <v>15</v>
      </c>
      <c r="E123" s="1">
        <v>55</v>
      </c>
      <c r="F123" s="1">
        <v>250</v>
      </c>
      <c r="G123" s="7">
        <v>0.09</v>
      </c>
      <c r="H123" s="1">
        <v>45</v>
      </c>
      <c r="I123" s="14" t="s">
        <v>54</v>
      </c>
      <c r="J123" s="1"/>
      <c r="K123" s="1">
        <v>120</v>
      </c>
      <c r="L123" s="1">
        <f t="shared" si="22"/>
        <v>-65</v>
      </c>
      <c r="M123" s="1">
        <f t="shared" si="23"/>
        <v>55</v>
      </c>
      <c r="N123" s="1"/>
      <c r="O123" s="1"/>
      <c r="P123" s="1"/>
      <c r="Q123" s="1">
        <v>0</v>
      </c>
      <c r="R123" s="1"/>
      <c r="S123" s="24"/>
      <c r="T123" s="1"/>
      <c r="U123" s="1"/>
      <c r="V123" s="24"/>
      <c r="W123" s="1">
        <f t="shared" si="24"/>
        <v>11</v>
      </c>
      <c r="X123" s="5"/>
      <c r="Y123" s="5">
        <f>X123+400</f>
        <v>400</v>
      </c>
      <c r="Z123" s="5">
        <f>Y123-AB123</f>
        <v>400</v>
      </c>
      <c r="AA123" s="5"/>
      <c r="AB123" s="5"/>
      <c r="AC123" s="1" t="str">
        <f>VLOOKUP(A123,[2]Sheet!$A:$U,21,0)</f>
        <v xml:space="preserve">500 сеть молоко </v>
      </c>
      <c r="AD123" s="1">
        <f>(F123+O123+P123+Q123+T123+Z123+AB123+R123+S123+U123+V123)/W123</f>
        <v>59.090909090909093</v>
      </c>
      <c r="AE123" s="1">
        <f>(F123+O123+P123+Q123+T123)/W123</f>
        <v>22.727272727272727</v>
      </c>
      <c r="AF123" s="1">
        <v>11</v>
      </c>
      <c r="AG123" s="1">
        <v>11.2</v>
      </c>
      <c r="AH123" s="1">
        <v>16.2</v>
      </c>
      <c r="AI123" s="1">
        <v>19.399999999999999</v>
      </c>
      <c r="AJ123" s="1">
        <v>14.4</v>
      </c>
      <c r="AK123" s="1">
        <v>11.6</v>
      </c>
      <c r="AL123" s="1">
        <v>13.8</v>
      </c>
      <c r="AM123" s="1">
        <v>8.8000000000000007</v>
      </c>
      <c r="AN123" s="17" t="s">
        <v>295</v>
      </c>
      <c r="AO123" s="1">
        <f>ROUND(G123*Z123,0)</f>
        <v>36</v>
      </c>
      <c r="AP123" s="1">
        <f>ROUND(G123*AB123,0)</f>
        <v>0</v>
      </c>
      <c r="AQ123" t="s">
        <v>296</v>
      </c>
    </row>
    <row r="124" spans="1:44" x14ac:dyDescent="0.25">
      <c r="A124" s="1" t="s">
        <v>297</v>
      </c>
      <c r="B124" s="1" t="s">
        <v>50</v>
      </c>
      <c r="C124" s="1">
        <v>298</v>
      </c>
      <c r="D124" s="1">
        <v>59</v>
      </c>
      <c r="E124" s="1">
        <v>82</v>
      </c>
      <c r="F124" s="1">
        <v>239</v>
      </c>
      <c r="G124" s="7">
        <v>0.09</v>
      </c>
      <c r="H124" s="1">
        <v>45</v>
      </c>
      <c r="I124" s="14" t="s">
        <v>54</v>
      </c>
      <c r="J124" s="1"/>
      <c r="K124" s="1">
        <v>110</v>
      </c>
      <c r="L124" s="1">
        <f t="shared" si="22"/>
        <v>-28</v>
      </c>
      <c r="M124" s="1">
        <f t="shared" si="23"/>
        <v>82</v>
      </c>
      <c r="N124" s="1"/>
      <c r="O124" s="1"/>
      <c r="P124" s="1"/>
      <c r="Q124" s="1">
        <v>0</v>
      </c>
      <c r="R124" s="1"/>
      <c r="S124" s="24"/>
      <c r="T124" s="1"/>
      <c r="U124" s="1"/>
      <c r="V124" s="24"/>
      <c r="W124" s="1">
        <f t="shared" si="24"/>
        <v>16.399999999999999</v>
      </c>
      <c r="X124" s="5"/>
      <c r="Y124" s="5">
        <f>X124+500</f>
        <v>500</v>
      </c>
      <c r="Z124" s="5">
        <f>Y124-AB124</f>
        <v>500</v>
      </c>
      <c r="AA124" s="5"/>
      <c r="AB124" s="5"/>
      <c r="AC124" s="1" t="str">
        <f>VLOOKUP(A124,[2]Sheet!$A:$U,21,0)</f>
        <v xml:space="preserve">500 сеть молоко </v>
      </c>
      <c r="AD124" s="1">
        <f>(F124+O124+P124+Q124+T124+Z124+AB124+R124+S124+U124+V124)/W124</f>
        <v>45.060975609756099</v>
      </c>
      <c r="AE124" s="1">
        <f>(F124+O124+P124+Q124+T124)/W124</f>
        <v>14.573170731707318</v>
      </c>
      <c r="AF124" s="1">
        <v>16.399999999999999</v>
      </c>
      <c r="AG124" s="1">
        <v>18.8</v>
      </c>
      <c r="AH124" s="1">
        <v>15.4</v>
      </c>
      <c r="AI124" s="1">
        <v>16.2</v>
      </c>
      <c r="AJ124" s="1">
        <v>9</v>
      </c>
      <c r="AK124" s="1">
        <v>10.199999999999999</v>
      </c>
      <c r="AL124" s="1">
        <v>17.399999999999999</v>
      </c>
      <c r="AM124" s="1">
        <v>9.8000000000000007</v>
      </c>
      <c r="AN124" s="1" t="s">
        <v>248</v>
      </c>
      <c r="AO124" s="1">
        <f>ROUND(G124*Z124,0)</f>
        <v>45</v>
      </c>
      <c r="AP124" s="1">
        <f>ROUND(G124*AB124,0)</f>
        <v>0</v>
      </c>
      <c r="AQ124" t="s">
        <v>298</v>
      </c>
    </row>
    <row r="125" spans="1:44" x14ac:dyDescent="0.25">
      <c r="A125" s="1" t="s">
        <v>299</v>
      </c>
      <c r="B125" s="1" t="s">
        <v>42</v>
      </c>
      <c r="C125" s="1">
        <v>32.576000000000001</v>
      </c>
      <c r="D125" s="1">
        <v>244.29300000000001</v>
      </c>
      <c r="E125" s="1">
        <v>77.186999999999998</v>
      </c>
      <c r="F125" s="1">
        <v>169.49</v>
      </c>
      <c r="G125" s="7">
        <v>1</v>
      </c>
      <c r="H125" s="1">
        <v>60</v>
      </c>
      <c r="I125" s="1" t="s">
        <v>43</v>
      </c>
      <c r="J125" s="1"/>
      <c r="K125" s="1">
        <v>98.882000000000005</v>
      </c>
      <c r="L125" s="1">
        <f t="shared" si="22"/>
        <v>-21.695000000000007</v>
      </c>
      <c r="M125" s="1">
        <f t="shared" si="23"/>
        <v>77.186999999999998</v>
      </c>
      <c r="N125" s="1"/>
      <c r="O125" s="1"/>
      <c r="P125" s="1"/>
      <c r="Q125" s="1">
        <v>150</v>
      </c>
      <c r="R125" s="1"/>
      <c r="S125" s="24"/>
      <c r="T125" s="1"/>
      <c r="U125" s="1"/>
      <c r="V125" s="24"/>
      <c r="W125" s="1">
        <f t="shared" si="24"/>
        <v>15.4374</v>
      </c>
      <c r="X125" s="5"/>
      <c r="Y125" s="5">
        <f>X125</f>
        <v>0</v>
      </c>
      <c r="Z125" s="5">
        <f>Y125-AB125</f>
        <v>0</v>
      </c>
      <c r="AA125" s="5"/>
      <c r="AB125" s="5"/>
      <c r="AC125" s="1"/>
      <c r="AD125" s="1">
        <f>(F125+O125+P125+Q125+T125+Z125+AB125+R125+S125+U125+V125)/W125</f>
        <v>20.695842564162358</v>
      </c>
      <c r="AE125" s="1">
        <f>(F125+O125+P125+Q125+T125)/W125</f>
        <v>20.695842564162358</v>
      </c>
      <c r="AF125" s="1">
        <v>15.4374</v>
      </c>
      <c r="AG125" s="1">
        <v>20.627600000000001</v>
      </c>
      <c r="AH125" s="1">
        <v>16.761399999999998</v>
      </c>
      <c r="AI125" s="1">
        <v>9.4372000000000007</v>
      </c>
      <c r="AJ125" s="1">
        <v>6.8977999999999993</v>
      </c>
      <c r="AK125" s="1">
        <v>9.4394000000000009</v>
      </c>
      <c r="AL125" s="1">
        <v>15.491400000000001</v>
      </c>
      <c r="AM125" s="1">
        <v>11.78399999999999</v>
      </c>
      <c r="AN125" s="17" t="s">
        <v>300</v>
      </c>
      <c r="AO125" s="1">
        <f>ROUND(G125*Z125,0)</f>
        <v>0</v>
      </c>
      <c r="AP125" s="1">
        <f>ROUND(G125*AB125,0)</f>
        <v>0</v>
      </c>
      <c r="AQ125" t="s">
        <v>301</v>
      </c>
    </row>
    <row r="126" spans="1:44" x14ac:dyDescent="0.25">
      <c r="A126" s="1" t="s">
        <v>302</v>
      </c>
      <c r="B126" s="1" t="s">
        <v>42</v>
      </c>
      <c r="C126" s="1">
        <v>434.37</v>
      </c>
      <c r="D126" s="1">
        <v>1002.655</v>
      </c>
      <c r="E126" s="1">
        <v>648.61900000000003</v>
      </c>
      <c r="F126" s="1">
        <v>766.62599999999998</v>
      </c>
      <c r="G126" s="7">
        <v>1</v>
      </c>
      <c r="H126" s="1">
        <v>60</v>
      </c>
      <c r="I126" s="1" t="s">
        <v>43</v>
      </c>
      <c r="J126" s="1"/>
      <c r="K126" s="1">
        <v>701.15800000000002</v>
      </c>
      <c r="L126" s="1">
        <f t="shared" si="22"/>
        <v>-52.538999999999987</v>
      </c>
      <c r="M126" s="1">
        <f t="shared" si="23"/>
        <v>648.61900000000003</v>
      </c>
      <c r="N126" s="1"/>
      <c r="O126" s="1">
        <v>359.30493247999999</v>
      </c>
      <c r="P126" s="1"/>
      <c r="Q126" s="1">
        <v>400</v>
      </c>
      <c r="R126" s="1"/>
      <c r="S126" s="24"/>
      <c r="T126" s="1"/>
      <c r="U126" s="1"/>
      <c r="V126" s="24"/>
      <c r="W126" s="1">
        <f t="shared" si="24"/>
        <v>129.72380000000001</v>
      </c>
      <c r="X126" s="5">
        <f>12*W126-T126-Q126-P126-O126-F126</f>
        <v>30.754667520000339</v>
      </c>
      <c r="Y126" s="5">
        <v>0</v>
      </c>
      <c r="Z126" s="5">
        <f>Y126-AB126</f>
        <v>0</v>
      </c>
      <c r="AA126" s="5"/>
      <c r="AB126" s="5"/>
      <c r="AC126" s="1"/>
      <c r="AD126" s="1">
        <f>(F126+O126+P126+Q126+T126+Z126+AB126+R126+S126+U126+V126)/W126</f>
        <v>11.762921934756767</v>
      </c>
      <c r="AE126" s="1">
        <f>(F126+O126+P126+Q126+T126)/W126</f>
        <v>11.762921934756767</v>
      </c>
      <c r="AF126" s="1">
        <v>131.09280000000001</v>
      </c>
      <c r="AG126" s="1">
        <v>145.64699999999999</v>
      </c>
      <c r="AH126" s="1">
        <v>115.8732</v>
      </c>
      <c r="AI126" s="1">
        <v>76.514800000000008</v>
      </c>
      <c r="AJ126" s="1">
        <v>92.683799999999991</v>
      </c>
      <c r="AK126" s="1">
        <v>121.5682</v>
      </c>
      <c r="AL126" s="1">
        <v>123.7212</v>
      </c>
      <c r="AM126" s="1">
        <v>82.874800000000008</v>
      </c>
      <c r="AN126" s="1"/>
      <c r="AO126" s="1">
        <f>ROUND(G126*Z126,0)</f>
        <v>0</v>
      </c>
      <c r="AP126" s="1">
        <f>ROUND(G126*AB126,0)</f>
        <v>0</v>
      </c>
      <c r="AQ126" t="s">
        <v>303</v>
      </c>
    </row>
    <row r="127" spans="1:44" x14ac:dyDescent="0.25">
      <c r="A127" s="1" t="s">
        <v>304</v>
      </c>
      <c r="B127" s="1" t="s">
        <v>42</v>
      </c>
      <c r="C127" s="1">
        <v>193.464</v>
      </c>
      <c r="D127" s="1">
        <v>2.73</v>
      </c>
      <c r="E127" s="1">
        <v>46.12</v>
      </c>
      <c r="F127" s="1">
        <v>132.01900000000001</v>
      </c>
      <c r="G127" s="7">
        <v>1</v>
      </c>
      <c r="H127" s="1">
        <v>60</v>
      </c>
      <c r="I127" s="1" t="s">
        <v>43</v>
      </c>
      <c r="J127" s="1"/>
      <c r="K127" s="1">
        <v>54.67</v>
      </c>
      <c r="L127" s="1">
        <f t="shared" si="22"/>
        <v>-8.5500000000000043</v>
      </c>
      <c r="M127" s="1">
        <f t="shared" si="23"/>
        <v>46.12</v>
      </c>
      <c r="N127" s="1"/>
      <c r="O127" s="1"/>
      <c r="P127" s="1"/>
      <c r="Q127" s="1">
        <v>0</v>
      </c>
      <c r="R127" s="1"/>
      <c r="S127" s="24"/>
      <c r="T127" s="1"/>
      <c r="U127" s="1"/>
      <c r="V127" s="24"/>
      <c r="W127" s="1">
        <f t="shared" si="24"/>
        <v>9.2240000000000002</v>
      </c>
      <c r="X127" s="5"/>
      <c r="Y127" s="5">
        <f>X127</f>
        <v>0</v>
      </c>
      <c r="Z127" s="5">
        <f>Y127-AB127</f>
        <v>0</v>
      </c>
      <c r="AA127" s="5"/>
      <c r="AB127" s="5"/>
      <c r="AC127" s="1"/>
      <c r="AD127" s="1">
        <f>(F127+O127+P127+Q127+T127+Z127+AB127+R127+S127+U127+V127)/W127</f>
        <v>14.31255420641804</v>
      </c>
      <c r="AE127" s="1">
        <f>(F127+O127+P127+Q127+T127)/W127</f>
        <v>14.31255420641804</v>
      </c>
      <c r="AF127" s="1">
        <v>9.2240000000000002</v>
      </c>
      <c r="AG127" s="1">
        <v>16.507400000000001</v>
      </c>
      <c r="AH127" s="1">
        <v>16.0214</v>
      </c>
      <c r="AI127" s="1">
        <v>12.3848</v>
      </c>
      <c r="AJ127" s="1">
        <v>9.4190000000000005</v>
      </c>
      <c r="AK127" s="1">
        <v>12.1662</v>
      </c>
      <c r="AL127" s="1">
        <v>14.089600000000001</v>
      </c>
      <c r="AM127" s="1">
        <v>13.230600000000001</v>
      </c>
      <c r="AN127" s="1" t="s">
        <v>305</v>
      </c>
      <c r="AO127" s="1">
        <f>ROUND(G127*Z127,0)</f>
        <v>0</v>
      </c>
      <c r="AP127" s="1">
        <f>ROUND(G127*AB127,0)</f>
        <v>0</v>
      </c>
      <c r="AQ127" t="s">
        <v>306</v>
      </c>
    </row>
    <row r="128" spans="1:44" x14ac:dyDescent="0.25">
      <c r="A128" s="23" t="s">
        <v>77</v>
      </c>
      <c r="B128" s="1" t="s">
        <v>42</v>
      </c>
      <c r="C128" s="1">
        <v>1845.1659999999999</v>
      </c>
      <c r="D128" s="1">
        <v>996.54700000000003</v>
      </c>
      <c r="E128" s="13">
        <f>1306.53+E19</f>
        <v>1308.2850000000001</v>
      </c>
      <c r="F128" s="13">
        <f>1441.45+F19</f>
        <v>1413.9570000000001</v>
      </c>
      <c r="G128" s="7">
        <v>1</v>
      </c>
      <c r="H128" s="1">
        <v>60</v>
      </c>
      <c r="I128" s="1" t="s">
        <v>43</v>
      </c>
      <c r="J128" s="1"/>
      <c r="K128" s="1">
        <v>1006.999</v>
      </c>
      <c r="L128" s="1">
        <f t="shared" si="22"/>
        <v>301.28600000000006</v>
      </c>
      <c r="M128" s="1">
        <f t="shared" si="23"/>
        <v>1308.2850000000001</v>
      </c>
      <c r="N128" s="1"/>
      <c r="O128" s="1">
        <v>698.08860160000006</v>
      </c>
      <c r="P128" s="1"/>
      <c r="Q128" s="1">
        <v>291.82695192000011</v>
      </c>
      <c r="R128" s="1"/>
      <c r="S128" s="24">
        <v>200</v>
      </c>
      <c r="T128" s="1">
        <v>362.49356808000022</v>
      </c>
      <c r="U128" s="1"/>
      <c r="V128" s="24">
        <v>200</v>
      </c>
      <c r="W128" s="1">
        <f t="shared" si="24"/>
        <v>261.65700000000004</v>
      </c>
      <c r="X128" s="5">
        <f>12*W128-T128-Q128-P128-O128-F128</f>
        <v>373.51787839999974</v>
      </c>
      <c r="Y128" s="5">
        <f>X128+$Y$1*W128</f>
        <v>629.94173839999985</v>
      </c>
      <c r="Z128" s="5">
        <f>Y128-AB128</f>
        <v>629.94173839999985</v>
      </c>
      <c r="AA128" s="5"/>
      <c r="AB128" s="5"/>
      <c r="AC128" s="1"/>
      <c r="AD128" s="1">
        <f>(F128+O128+P128+Q128+T128+Z128+AB128+R128+S128+U128+V128)/W128</f>
        <v>14.508718895347727</v>
      </c>
      <c r="AE128" s="1">
        <f>(F128+O128+P128+Q128+T128)/W128</f>
        <v>10.572490403849317</v>
      </c>
      <c r="AF128" s="1">
        <v>263.20299999999997</v>
      </c>
      <c r="AG128" s="1">
        <v>260.8614</v>
      </c>
      <c r="AH128" s="1">
        <v>157.86420000000001</v>
      </c>
      <c r="AI128" s="1">
        <v>170.6746</v>
      </c>
      <c r="AJ128" s="1">
        <v>196.4392</v>
      </c>
      <c r="AK128" s="1">
        <v>182.04040000000001</v>
      </c>
      <c r="AL128" s="1">
        <v>202.87360000000001</v>
      </c>
      <c r="AM128" s="1">
        <v>154.0368</v>
      </c>
      <c r="AN128" s="1"/>
      <c r="AO128" s="1">
        <f>ROUND(G128*Z128,0)</f>
        <v>630</v>
      </c>
      <c r="AP128" s="1">
        <f>ROUND(G128*AB128,0)</f>
        <v>0</v>
      </c>
      <c r="AQ128" t="s">
        <v>78</v>
      </c>
      <c r="AR128" t="str">
        <f>VLOOKUP(AQ128,[1]Лист1!$A:$A,1,0)</f>
        <v>SU004238</v>
      </c>
    </row>
    <row r="129" spans="1:43" x14ac:dyDescent="0.25">
      <c r="A129" s="1" t="s">
        <v>307</v>
      </c>
      <c r="B129" s="1" t="s">
        <v>50</v>
      </c>
      <c r="C129" s="1">
        <v>59</v>
      </c>
      <c r="D129" s="1">
        <v>2</v>
      </c>
      <c r="E129" s="1">
        <v>31</v>
      </c>
      <c r="F129" s="1">
        <v>39</v>
      </c>
      <c r="G129" s="7">
        <v>0.25</v>
      </c>
      <c r="H129" s="1"/>
      <c r="I129" s="15" t="s">
        <v>106</v>
      </c>
      <c r="J129" s="1"/>
      <c r="K129" s="1">
        <v>19</v>
      </c>
      <c r="L129" s="1">
        <f t="shared" si="22"/>
        <v>12</v>
      </c>
      <c r="M129" s="1">
        <f t="shared" si="23"/>
        <v>31</v>
      </c>
      <c r="N129" s="1"/>
      <c r="O129" s="1"/>
      <c r="P129" s="1"/>
      <c r="Q129" s="1">
        <v>28.2</v>
      </c>
      <c r="R129" s="1"/>
      <c r="S129" s="24"/>
      <c r="T129" s="1"/>
      <c r="U129" s="1"/>
      <c r="V129" s="24"/>
      <c r="W129" s="1">
        <f t="shared" si="24"/>
        <v>6.2</v>
      </c>
      <c r="X129" s="5">
        <v>20</v>
      </c>
      <c r="Y129" s="5">
        <f>X129</f>
        <v>20</v>
      </c>
      <c r="Z129" s="5">
        <f>Y129</f>
        <v>20</v>
      </c>
      <c r="AA129" s="5"/>
      <c r="AB129" s="5">
        <f>Y129*0.5</f>
        <v>10</v>
      </c>
      <c r="AC129" s="1"/>
      <c r="AD129" s="1">
        <f>(F129+O129+P129+Q129+T129+Z129+AB129+R129+S129+U129+V129)/W129</f>
        <v>15.67741935483871</v>
      </c>
      <c r="AE129" s="1">
        <f>(F129+O129+P129+Q129+T129)/W129</f>
        <v>10.838709677419356</v>
      </c>
      <c r="AF129" s="1">
        <v>6.2</v>
      </c>
      <c r="AG129" s="1">
        <v>10.4</v>
      </c>
      <c r="AH129" s="1">
        <v>8.8000000000000007</v>
      </c>
      <c r="AI129" s="1">
        <v>18.600000000000001</v>
      </c>
      <c r="AJ129" s="1">
        <v>16.2</v>
      </c>
      <c r="AK129" s="1">
        <v>0</v>
      </c>
      <c r="AL129" s="1">
        <v>0</v>
      </c>
      <c r="AM129" s="1">
        <v>0</v>
      </c>
      <c r="AN129" s="1" t="s">
        <v>308</v>
      </c>
      <c r="AO129" s="1">
        <f>ROUND(G129*Z129,0)</f>
        <v>5</v>
      </c>
      <c r="AP129" s="1">
        <f>ROUND(G129*AB129,0)</f>
        <v>3</v>
      </c>
      <c r="AQ129" t="s">
        <v>309</v>
      </c>
    </row>
    <row r="130" spans="1:43" x14ac:dyDescent="0.25">
      <c r="A130" s="1" t="s">
        <v>310</v>
      </c>
      <c r="B130" s="1" t="s">
        <v>50</v>
      </c>
      <c r="C130" s="1">
        <v>52</v>
      </c>
      <c r="D130" s="1">
        <v>12</v>
      </c>
      <c r="E130" s="13">
        <f>20+E137</f>
        <v>38</v>
      </c>
      <c r="F130" s="13">
        <f>55+F137</f>
        <v>95</v>
      </c>
      <c r="G130" s="7">
        <v>0.32500000000000001</v>
      </c>
      <c r="H130" s="1"/>
      <c r="I130" s="1" t="s">
        <v>43</v>
      </c>
      <c r="J130" s="1"/>
      <c r="K130" s="1">
        <v>9</v>
      </c>
      <c r="L130" s="1">
        <f t="shared" si="22"/>
        <v>29</v>
      </c>
      <c r="M130" s="1">
        <f t="shared" si="23"/>
        <v>38</v>
      </c>
      <c r="N130" s="1"/>
      <c r="O130" s="1"/>
      <c r="P130" s="1"/>
      <c r="Q130" s="1">
        <v>0</v>
      </c>
      <c r="R130" s="1"/>
      <c r="S130" s="24"/>
      <c r="T130" s="1"/>
      <c r="U130" s="1"/>
      <c r="V130" s="24"/>
      <c r="W130" s="1">
        <f t="shared" si="24"/>
        <v>7.6</v>
      </c>
      <c r="X130" s="5"/>
      <c r="Y130" s="5">
        <f t="shared" ref="Y130:Y137" si="26">X130</f>
        <v>0</v>
      </c>
      <c r="Z130" s="5">
        <f>Y130-AB130</f>
        <v>0</v>
      </c>
      <c r="AA130" s="5"/>
      <c r="AB130" s="5"/>
      <c r="AC130" s="1"/>
      <c r="AD130" s="1">
        <f>(F130+O130+P130+Q130+T130+Z130+AB130+R130+S130+U130+V130)/W130</f>
        <v>12.5</v>
      </c>
      <c r="AE130" s="1">
        <f>(F130+O130+P130+Q130+T130)/W130</f>
        <v>12.5</v>
      </c>
      <c r="AF130" s="1">
        <v>7.6</v>
      </c>
      <c r="AG130" s="1">
        <v>5.2</v>
      </c>
      <c r="AH130" s="1">
        <v>5.2</v>
      </c>
      <c r="AI130" s="1">
        <v>10.199999999999999</v>
      </c>
      <c r="AJ130" s="1">
        <v>9.8000000000000007</v>
      </c>
      <c r="AK130" s="1">
        <v>0</v>
      </c>
      <c r="AL130" s="1">
        <v>0</v>
      </c>
      <c r="AM130" s="1">
        <v>0</v>
      </c>
      <c r="AN130" s="1" t="s">
        <v>308</v>
      </c>
      <c r="AO130" s="1">
        <f>ROUND(G130*Z130,0)</f>
        <v>0</v>
      </c>
      <c r="AP130" s="1">
        <f>ROUND(G130*AB130,0)</f>
        <v>0</v>
      </c>
      <c r="AQ130" t="s">
        <v>311</v>
      </c>
    </row>
    <row r="131" spans="1:43" x14ac:dyDescent="0.25">
      <c r="A131" s="1" t="s">
        <v>312</v>
      </c>
      <c r="B131" s="1" t="s">
        <v>50</v>
      </c>
      <c r="C131" s="1">
        <v>95</v>
      </c>
      <c r="D131" s="1">
        <v>36</v>
      </c>
      <c r="E131" s="1">
        <v>31</v>
      </c>
      <c r="F131" s="1">
        <v>103</v>
      </c>
      <c r="G131" s="7">
        <v>0.25</v>
      </c>
      <c r="H131" s="1"/>
      <c r="I131" s="1" t="s">
        <v>43</v>
      </c>
      <c r="J131" s="1"/>
      <c r="K131" s="1">
        <v>20</v>
      </c>
      <c r="L131" s="1">
        <f t="shared" si="22"/>
        <v>11</v>
      </c>
      <c r="M131" s="1">
        <f t="shared" si="23"/>
        <v>31</v>
      </c>
      <c r="N131" s="1"/>
      <c r="O131" s="1"/>
      <c r="P131" s="1"/>
      <c r="Q131" s="1">
        <v>0</v>
      </c>
      <c r="R131" s="1"/>
      <c r="S131" s="24"/>
      <c r="T131" s="1"/>
      <c r="U131" s="1"/>
      <c r="V131" s="24"/>
      <c r="W131" s="1">
        <f t="shared" si="24"/>
        <v>6.2</v>
      </c>
      <c r="X131" s="5"/>
      <c r="Y131" s="5">
        <f t="shared" si="26"/>
        <v>0</v>
      </c>
      <c r="Z131" s="5">
        <f>Y131-AB131</f>
        <v>0</v>
      </c>
      <c r="AA131" s="5"/>
      <c r="AB131" s="5"/>
      <c r="AC131" s="1"/>
      <c r="AD131" s="1">
        <f>(F131+O131+P131+Q131+T131+Z131+AB131+R131+S131+U131+V131)/W131</f>
        <v>16.612903225806452</v>
      </c>
      <c r="AE131" s="1">
        <f>(F131+O131+P131+Q131+T131)/W131</f>
        <v>16.612903225806452</v>
      </c>
      <c r="AF131" s="1">
        <v>6.2</v>
      </c>
      <c r="AG131" s="1">
        <v>9.8000000000000007</v>
      </c>
      <c r="AH131" s="1">
        <v>6.6</v>
      </c>
      <c r="AI131" s="1">
        <v>14.4</v>
      </c>
      <c r="AJ131" s="1">
        <v>13.2</v>
      </c>
      <c r="AK131" s="1">
        <v>0</v>
      </c>
      <c r="AL131" s="1">
        <v>0</v>
      </c>
      <c r="AM131" s="1">
        <v>0</v>
      </c>
      <c r="AN131" s="1" t="s">
        <v>308</v>
      </c>
      <c r="AO131" s="1">
        <f>ROUND(G131*Z131,0)</f>
        <v>0</v>
      </c>
      <c r="AP131" s="1">
        <f>ROUND(G131*AB131,0)</f>
        <v>0</v>
      </c>
      <c r="AQ131" t="s">
        <v>313</v>
      </c>
    </row>
    <row r="132" spans="1:43" x14ac:dyDescent="0.25">
      <c r="A132" s="1" t="s">
        <v>314</v>
      </c>
      <c r="B132" s="1" t="s">
        <v>50</v>
      </c>
      <c r="C132" s="1">
        <v>42</v>
      </c>
      <c r="D132" s="1">
        <v>14</v>
      </c>
      <c r="E132" s="1">
        <v>66</v>
      </c>
      <c r="F132" s="1">
        <v>35</v>
      </c>
      <c r="G132" s="7">
        <v>0.3</v>
      </c>
      <c r="H132" s="1">
        <v>40</v>
      </c>
      <c r="I132" s="15" t="s">
        <v>106</v>
      </c>
      <c r="J132" s="1"/>
      <c r="K132" s="1">
        <v>201</v>
      </c>
      <c r="L132" s="1">
        <f t="shared" si="22"/>
        <v>-135</v>
      </c>
      <c r="M132" s="1">
        <f t="shared" si="23"/>
        <v>66</v>
      </c>
      <c r="N132" s="1"/>
      <c r="O132" s="1"/>
      <c r="P132" s="1"/>
      <c r="Q132" s="1">
        <v>100</v>
      </c>
      <c r="R132" s="1">
        <v>-102.00000000000001</v>
      </c>
      <c r="S132" s="24"/>
      <c r="T132" s="1"/>
      <c r="U132" s="1"/>
      <c r="V132" s="24"/>
      <c r="W132" s="1">
        <f t="shared" si="24"/>
        <v>13.2</v>
      </c>
      <c r="X132" s="5">
        <v>50</v>
      </c>
      <c r="Y132" s="5">
        <f t="shared" si="26"/>
        <v>50</v>
      </c>
      <c r="Z132" s="5">
        <f>Y132</f>
        <v>50</v>
      </c>
      <c r="AA132" s="5">
        <v>-30</v>
      </c>
      <c r="AB132" s="5">
        <f>Y132*0.5</f>
        <v>25</v>
      </c>
      <c r="AC132" s="1"/>
      <c r="AD132" s="1">
        <f>(F132+O132+P132+Q132+T132+Z132+AB132+R132+S132+U132+V132)/W132</f>
        <v>8.1818181818181817</v>
      </c>
      <c r="AE132" s="1">
        <f>(F132+O132+P132+Q132+T132)/W132</f>
        <v>10.227272727272728</v>
      </c>
      <c r="AF132" s="1">
        <v>13.6</v>
      </c>
      <c r="AG132" s="1">
        <v>34</v>
      </c>
      <c r="AH132" s="1">
        <v>30.8</v>
      </c>
      <c r="AI132" s="1">
        <v>19.2</v>
      </c>
      <c r="AJ132" s="1">
        <v>19</v>
      </c>
      <c r="AK132" s="1">
        <v>33.6</v>
      </c>
      <c r="AL132" s="1">
        <v>39.4</v>
      </c>
      <c r="AM132" s="1">
        <v>30.6</v>
      </c>
      <c r="AN132" s="1"/>
      <c r="AO132" s="1">
        <f>ROUND(G132*Z132,0)</f>
        <v>15</v>
      </c>
      <c r="AP132" s="1">
        <f>ROUND(G132*AB132,0)</f>
        <v>8</v>
      </c>
      <c r="AQ132" t="s">
        <v>315</v>
      </c>
    </row>
    <row r="133" spans="1:43" x14ac:dyDescent="0.25">
      <c r="A133" s="1" t="s">
        <v>316</v>
      </c>
      <c r="B133" s="1" t="s">
        <v>50</v>
      </c>
      <c r="C133" s="1">
        <v>-10</v>
      </c>
      <c r="D133" s="1">
        <v>1</v>
      </c>
      <c r="E133" s="1">
        <v>2</v>
      </c>
      <c r="F133" s="1">
        <v>-12</v>
      </c>
      <c r="G133" s="7">
        <v>0.3</v>
      </c>
      <c r="H133" s="1">
        <v>40</v>
      </c>
      <c r="I133" s="15" t="s">
        <v>106</v>
      </c>
      <c r="J133" s="1"/>
      <c r="K133" s="1">
        <v>3</v>
      </c>
      <c r="L133" s="1">
        <f t="shared" si="22"/>
        <v>-1</v>
      </c>
      <c r="M133" s="1">
        <f t="shared" si="23"/>
        <v>2</v>
      </c>
      <c r="N133" s="1"/>
      <c r="O133" s="1"/>
      <c r="P133" s="1"/>
      <c r="Q133" s="1">
        <v>50</v>
      </c>
      <c r="R133" s="1">
        <v>-54</v>
      </c>
      <c r="S133" s="24"/>
      <c r="T133" s="1"/>
      <c r="U133" s="1"/>
      <c r="V133" s="24"/>
      <c r="W133" s="1">
        <f t="shared" si="24"/>
        <v>0.4</v>
      </c>
      <c r="X133" s="5">
        <v>50</v>
      </c>
      <c r="Y133" s="5">
        <f t="shared" si="26"/>
        <v>50</v>
      </c>
      <c r="Z133" s="5">
        <f>Y133</f>
        <v>50</v>
      </c>
      <c r="AA133" s="5">
        <v>-30</v>
      </c>
      <c r="AB133" s="5">
        <f>Y133*0.5</f>
        <v>25</v>
      </c>
      <c r="AC133" s="1"/>
      <c r="AD133" s="1">
        <f>(F133+O133+P133+Q133+T133+Z133+AB133+R133+S133+U133+V133)/W133</f>
        <v>147.5</v>
      </c>
      <c r="AE133" s="1">
        <f>(F133+O133+P133+Q133+T133)/W133</f>
        <v>95</v>
      </c>
      <c r="AF133" s="1">
        <v>0.4</v>
      </c>
      <c r="AG133" s="1">
        <v>19.2</v>
      </c>
      <c r="AH133" s="1">
        <v>26.8</v>
      </c>
      <c r="AI133" s="1">
        <v>27.2</v>
      </c>
      <c r="AJ133" s="1">
        <v>25.8</v>
      </c>
      <c r="AK133" s="1">
        <v>20.8</v>
      </c>
      <c r="AL133" s="1">
        <v>23.6</v>
      </c>
      <c r="AM133" s="1">
        <v>23.6</v>
      </c>
      <c r="AN133" s="1"/>
      <c r="AO133" s="1">
        <f>ROUND(G133*Z133,0)</f>
        <v>15</v>
      </c>
      <c r="AP133" s="1">
        <f>ROUND(G133*AB133,0)</f>
        <v>8</v>
      </c>
      <c r="AQ133" t="s">
        <v>317</v>
      </c>
    </row>
    <row r="134" spans="1:43" x14ac:dyDescent="0.25">
      <c r="A134" s="1" t="s">
        <v>318</v>
      </c>
      <c r="B134" s="1" t="s">
        <v>42</v>
      </c>
      <c r="C134" s="1">
        <v>107.208</v>
      </c>
      <c r="D134" s="1">
        <v>73.757999999999996</v>
      </c>
      <c r="E134" s="1">
        <v>55.012999999999998</v>
      </c>
      <c r="F134" s="1">
        <v>116.578</v>
      </c>
      <c r="G134" s="7">
        <v>1</v>
      </c>
      <c r="H134" s="1">
        <v>50</v>
      </c>
      <c r="I134" s="1" t="s">
        <v>43</v>
      </c>
      <c r="J134" s="1"/>
      <c r="K134" s="1">
        <v>56.5</v>
      </c>
      <c r="L134" s="1">
        <f t="shared" ref="L134:L137" si="27">E134-K134</f>
        <v>-1.4870000000000019</v>
      </c>
      <c r="M134" s="1">
        <f t="shared" ref="M134:M137" si="28">E134-N134</f>
        <v>55.012999999999998</v>
      </c>
      <c r="N134" s="1"/>
      <c r="O134" s="1"/>
      <c r="P134" s="1"/>
      <c r="Q134" s="1">
        <v>0</v>
      </c>
      <c r="R134" s="1"/>
      <c r="S134" s="24"/>
      <c r="T134" s="1"/>
      <c r="U134" s="1"/>
      <c r="V134" s="24"/>
      <c r="W134" s="1">
        <f t="shared" si="24"/>
        <v>11.002599999999999</v>
      </c>
      <c r="X134" s="5">
        <f>12*W134-T134-Q134-P134-O134-F134</f>
        <v>15.453199999999981</v>
      </c>
      <c r="Y134" s="5">
        <f t="shared" si="26"/>
        <v>15.453199999999981</v>
      </c>
      <c r="Z134" s="5">
        <f>Y134-AB134</f>
        <v>15.453199999999981</v>
      </c>
      <c r="AA134" s="5"/>
      <c r="AB134" s="5"/>
      <c r="AC134" s="1"/>
      <c r="AD134" s="1">
        <f>(F134+O134+P134+Q134+T134+Z134+AB134+R134+S134+U134+V134)/W134</f>
        <v>12</v>
      </c>
      <c r="AE134" s="1">
        <f>(F134+O134+P134+Q134+T134)/W134</f>
        <v>10.595495610128516</v>
      </c>
      <c r="AF134" s="1">
        <v>11.002599999999999</v>
      </c>
      <c r="AG134" s="1">
        <v>13.903600000000001</v>
      </c>
      <c r="AH134" s="1">
        <v>13.324199999999999</v>
      </c>
      <c r="AI134" s="1">
        <v>7.5507999999999997</v>
      </c>
      <c r="AJ134" s="1">
        <v>9.7211999999999996</v>
      </c>
      <c r="AK134" s="1">
        <v>14.6806</v>
      </c>
      <c r="AL134" s="1">
        <v>16.251000000000001</v>
      </c>
      <c r="AM134" s="1">
        <v>9.7181999999999995</v>
      </c>
      <c r="AN134" s="1"/>
      <c r="AO134" s="1">
        <f>ROUND(G134*Z134,0)</f>
        <v>15</v>
      </c>
      <c r="AP134" s="1">
        <f>ROUND(G134*AB134,0)</f>
        <v>0</v>
      </c>
      <c r="AQ134" t="s">
        <v>319</v>
      </c>
    </row>
    <row r="135" spans="1:43" x14ac:dyDescent="0.25">
      <c r="A135" s="1" t="s">
        <v>320</v>
      </c>
      <c r="B135" s="1" t="s">
        <v>50</v>
      </c>
      <c r="C135" s="1">
        <v>7</v>
      </c>
      <c r="D135" s="1">
        <v>32</v>
      </c>
      <c r="E135" s="1">
        <v>49</v>
      </c>
      <c r="F135" s="1">
        <v>4</v>
      </c>
      <c r="G135" s="7">
        <v>0.3</v>
      </c>
      <c r="H135" s="1">
        <v>40</v>
      </c>
      <c r="I135" s="15" t="s">
        <v>106</v>
      </c>
      <c r="J135" s="1"/>
      <c r="K135" s="1">
        <v>59</v>
      </c>
      <c r="L135" s="1">
        <f t="shared" si="27"/>
        <v>-10</v>
      </c>
      <c r="M135" s="1">
        <f t="shared" si="28"/>
        <v>49</v>
      </c>
      <c r="N135" s="1"/>
      <c r="O135" s="1"/>
      <c r="P135" s="1"/>
      <c r="Q135" s="1">
        <v>20</v>
      </c>
      <c r="R135" s="1"/>
      <c r="S135" s="24"/>
      <c r="T135" s="1"/>
      <c r="U135" s="1"/>
      <c r="V135" s="24"/>
      <c r="W135" s="1">
        <f t="shared" si="24"/>
        <v>9.8000000000000007</v>
      </c>
      <c r="X135" s="5">
        <v>30</v>
      </c>
      <c r="Y135" s="5">
        <f t="shared" si="26"/>
        <v>30</v>
      </c>
      <c r="Z135" s="5">
        <f>Y135</f>
        <v>30</v>
      </c>
      <c r="AA135" s="5">
        <v>-18.000000000000004</v>
      </c>
      <c r="AB135" s="5">
        <f>Y135*0.5</f>
        <v>15</v>
      </c>
      <c r="AC135" s="1"/>
      <c r="AD135" s="1">
        <f>(F135+O135+P135+Q135+T135+Z135+AB135+R135+S135+U135+V135)/W135</f>
        <v>7.0408163265306118</v>
      </c>
      <c r="AE135" s="1">
        <f>(F135+O135+P135+Q135+T135)/W135</f>
        <v>2.4489795918367343</v>
      </c>
      <c r="AF135" s="1">
        <v>9.8000000000000007</v>
      </c>
      <c r="AG135" s="1">
        <v>4.5999999999999996</v>
      </c>
      <c r="AH135" s="1">
        <v>2.8</v>
      </c>
      <c r="AI135" s="1">
        <v>9.1999999999999993</v>
      </c>
      <c r="AJ135" s="1">
        <v>12</v>
      </c>
      <c r="AK135" s="1">
        <v>10.6</v>
      </c>
      <c r="AL135" s="1">
        <v>11.8</v>
      </c>
      <c r="AM135" s="1">
        <v>9</v>
      </c>
      <c r="AN135" s="1"/>
      <c r="AO135" s="1">
        <f>ROUND(G135*Z135,0)</f>
        <v>9</v>
      </c>
      <c r="AP135" s="1">
        <f>ROUND(G135*AB135,0)</f>
        <v>5</v>
      </c>
      <c r="AQ135" t="s">
        <v>321</v>
      </c>
    </row>
    <row r="136" spans="1:43" x14ac:dyDescent="0.25">
      <c r="A136" s="1" t="s">
        <v>322</v>
      </c>
      <c r="B136" s="1" t="s">
        <v>50</v>
      </c>
      <c r="C136" s="1">
        <v>34</v>
      </c>
      <c r="D136" s="1">
        <v>122</v>
      </c>
      <c r="E136" s="1">
        <v>69</v>
      </c>
      <c r="F136" s="1">
        <v>93</v>
      </c>
      <c r="G136" s="7">
        <v>0.12</v>
      </c>
      <c r="H136" s="1">
        <v>45</v>
      </c>
      <c r="I136" s="1" t="s">
        <v>43</v>
      </c>
      <c r="J136" s="1"/>
      <c r="K136" s="1">
        <v>53</v>
      </c>
      <c r="L136" s="1">
        <f t="shared" si="27"/>
        <v>16</v>
      </c>
      <c r="M136" s="1">
        <f t="shared" si="28"/>
        <v>69</v>
      </c>
      <c r="N136" s="1"/>
      <c r="O136" s="1"/>
      <c r="P136" s="1"/>
      <c r="Q136" s="1">
        <v>39.59999999999998</v>
      </c>
      <c r="R136" s="1"/>
      <c r="S136" s="24"/>
      <c r="T136" s="1"/>
      <c r="U136" s="1"/>
      <c r="V136" s="24"/>
      <c r="W136" s="1">
        <f t="shared" si="24"/>
        <v>13.8</v>
      </c>
      <c r="X136" s="5">
        <f>12*W136-T136-Q136-P136-O136-F136</f>
        <v>33.000000000000043</v>
      </c>
      <c r="Y136" s="5">
        <f t="shared" si="26"/>
        <v>33.000000000000043</v>
      </c>
      <c r="Z136" s="5">
        <f>Y136-AB136</f>
        <v>33.000000000000043</v>
      </c>
      <c r="AA136" s="5"/>
      <c r="AB136" s="5"/>
      <c r="AC136" s="1"/>
      <c r="AD136" s="1">
        <f>(F136+O136+P136+Q136+T136+Z136+AB136+R136+S136+U136+V136)/W136</f>
        <v>12.000000000000002</v>
      </c>
      <c r="AE136" s="1">
        <f>(F136+O136+P136+Q136+T136)/W136</f>
        <v>9.6086956521739104</v>
      </c>
      <c r="AF136" s="1">
        <v>13.8</v>
      </c>
      <c r="AG136" s="1">
        <v>11.8</v>
      </c>
      <c r="AH136" s="1">
        <v>8.6</v>
      </c>
      <c r="AI136" s="1">
        <v>9.1999999999999993</v>
      </c>
      <c r="AJ136" s="1">
        <v>6.6</v>
      </c>
      <c r="AK136" s="1">
        <v>6</v>
      </c>
      <c r="AL136" s="1">
        <v>11.4</v>
      </c>
      <c r="AM136" s="1">
        <v>10.4</v>
      </c>
      <c r="AN136" s="1"/>
      <c r="AO136" s="1">
        <f>ROUND(G136*Z136,0)</f>
        <v>4</v>
      </c>
      <c r="AP136" s="1">
        <f>ROUND(G136*AB136,0)</f>
        <v>0</v>
      </c>
      <c r="AQ136" t="s">
        <v>323</v>
      </c>
    </row>
    <row r="137" spans="1:43" x14ac:dyDescent="0.25">
      <c r="A137" s="9" t="s">
        <v>324</v>
      </c>
      <c r="B137" s="9" t="s">
        <v>50</v>
      </c>
      <c r="C137" s="9">
        <v>51</v>
      </c>
      <c r="D137" s="9"/>
      <c r="E137" s="13">
        <v>18</v>
      </c>
      <c r="F137" s="13">
        <v>40</v>
      </c>
      <c r="G137" s="10">
        <v>0</v>
      </c>
      <c r="H137" s="9"/>
      <c r="I137" s="9" t="s">
        <v>325</v>
      </c>
      <c r="J137" s="9" t="s">
        <v>310</v>
      </c>
      <c r="K137" s="9">
        <v>8</v>
      </c>
      <c r="L137" s="9">
        <f t="shared" si="27"/>
        <v>10</v>
      </c>
      <c r="M137" s="9">
        <f t="shared" si="28"/>
        <v>18</v>
      </c>
      <c r="N137" s="9"/>
      <c r="O137" s="9"/>
      <c r="P137" s="9"/>
      <c r="Q137" s="9">
        <v>0</v>
      </c>
      <c r="R137" s="9"/>
      <c r="S137" s="27"/>
      <c r="T137" s="9"/>
      <c r="U137" s="9"/>
      <c r="V137" s="27"/>
      <c r="W137" s="9">
        <f t="shared" si="24"/>
        <v>3.6</v>
      </c>
      <c r="X137" s="11"/>
      <c r="Y137" s="5">
        <f t="shared" si="26"/>
        <v>0</v>
      </c>
      <c r="Z137" s="5">
        <f>Y137-AB137</f>
        <v>0</v>
      </c>
      <c r="AA137" s="5"/>
      <c r="AB137" s="5"/>
      <c r="AC137" s="1"/>
      <c r="AD137" s="1">
        <f>(F137+O137+P137+Q137+T137+Z137+AB137+R137+S137+U137+V137)/W137</f>
        <v>11.111111111111111</v>
      </c>
      <c r="AE137" s="9">
        <f>(F137+O137+P137+Q137+T137)/W137</f>
        <v>11.111111111111111</v>
      </c>
      <c r="AF137" s="9">
        <v>3.6</v>
      </c>
      <c r="AG137" s="9">
        <v>4.8</v>
      </c>
      <c r="AH137" s="9">
        <v>2.4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/>
      <c r="AO137" s="1">
        <f>ROUND(G137*Z137,0)</f>
        <v>0</v>
      </c>
      <c r="AP137" s="1">
        <f>ROUND(G137*AB137,0)</f>
        <v>0</v>
      </c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4"/>
      <c r="T138" s="1"/>
      <c r="U138" s="1"/>
      <c r="V138" s="2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4"/>
      <c r="T139" s="1"/>
      <c r="U139" s="1"/>
      <c r="V139" s="2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4"/>
      <c r="T140" s="1"/>
      <c r="U140" s="1"/>
      <c r="V140" s="2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4"/>
      <c r="T141" s="1"/>
      <c r="U141" s="1"/>
      <c r="V141" s="2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4"/>
      <c r="T142" s="1"/>
      <c r="U142" s="1"/>
      <c r="V142" s="2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4"/>
      <c r="T143" s="1"/>
      <c r="U143" s="1"/>
      <c r="V143" s="2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4"/>
      <c r="T144" s="1"/>
      <c r="U144" s="1"/>
      <c r="V144" s="2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4"/>
      <c r="T145" s="1"/>
      <c r="U145" s="1"/>
      <c r="V145" s="2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4"/>
      <c r="T146" s="1"/>
      <c r="U146" s="1"/>
      <c r="V146" s="2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4"/>
      <c r="T147" s="1"/>
      <c r="U147" s="1"/>
      <c r="V147" s="2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4"/>
      <c r="T148" s="1"/>
      <c r="U148" s="1"/>
      <c r="V148" s="2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4"/>
      <c r="T149" s="1"/>
      <c r="U149" s="1"/>
      <c r="V149" s="2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4"/>
      <c r="T150" s="1"/>
      <c r="U150" s="1"/>
      <c r="V150" s="2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4"/>
      <c r="T151" s="1"/>
      <c r="U151" s="1"/>
      <c r="V151" s="2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4"/>
      <c r="T152" s="1"/>
      <c r="U152" s="1"/>
      <c r="V152" s="2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4"/>
      <c r="T153" s="1"/>
      <c r="U153" s="1"/>
      <c r="V153" s="2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4"/>
      <c r="T154" s="1"/>
      <c r="U154" s="1"/>
      <c r="V154" s="2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4"/>
      <c r="T155" s="1"/>
      <c r="U155" s="1"/>
      <c r="V155" s="2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4"/>
      <c r="T156" s="1"/>
      <c r="U156" s="1"/>
      <c r="V156" s="2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4"/>
      <c r="T157" s="1"/>
      <c r="U157" s="1"/>
      <c r="V157" s="2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4"/>
      <c r="T158" s="1"/>
      <c r="U158" s="1"/>
      <c r="V158" s="2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4"/>
      <c r="T159" s="1"/>
      <c r="U159" s="1"/>
      <c r="V159" s="2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4"/>
      <c r="T160" s="1"/>
      <c r="U160" s="1"/>
      <c r="V160" s="2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4"/>
      <c r="T161" s="1"/>
      <c r="U161" s="1"/>
      <c r="V161" s="2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4"/>
      <c r="T162" s="1"/>
      <c r="U162" s="1"/>
      <c r="V162" s="2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4"/>
      <c r="T163" s="1"/>
      <c r="U163" s="1"/>
      <c r="V163" s="2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4"/>
      <c r="T164" s="1"/>
      <c r="U164" s="1"/>
      <c r="V164" s="2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4"/>
      <c r="T165" s="1"/>
      <c r="U165" s="1"/>
      <c r="V165" s="2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4"/>
      <c r="T166" s="1"/>
      <c r="U166" s="1"/>
      <c r="V166" s="2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4"/>
      <c r="T167" s="1"/>
      <c r="U167" s="1"/>
      <c r="V167" s="2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4"/>
      <c r="T168" s="1"/>
      <c r="U168" s="1"/>
      <c r="V168" s="2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4"/>
      <c r="T169" s="1"/>
      <c r="U169" s="1"/>
      <c r="V169" s="2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4"/>
      <c r="T170" s="1"/>
      <c r="U170" s="1"/>
      <c r="V170" s="2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4"/>
      <c r="T171" s="1"/>
      <c r="U171" s="1"/>
      <c r="V171" s="2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4"/>
      <c r="T172" s="1"/>
      <c r="U172" s="1"/>
      <c r="V172" s="2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4"/>
      <c r="T173" s="1"/>
      <c r="U173" s="1"/>
      <c r="V173" s="2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4"/>
      <c r="T174" s="1"/>
      <c r="U174" s="1"/>
      <c r="V174" s="2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4"/>
      <c r="T175" s="1"/>
      <c r="U175" s="1"/>
      <c r="V175" s="2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4"/>
      <c r="T176" s="1"/>
      <c r="U176" s="1"/>
      <c r="V176" s="2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4"/>
      <c r="T177" s="1"/>
      <c r="U177" s="1"/>
      <c r="V177" s="2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4"/>
      <c r="T178" s="1"/>
      <c r="U178" s="1"/>
      <c r="V178" s="2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4"/>
      <c r="T179" s="1"/>
      <c r="U179" s="1"/>
      <c r="V179" s="2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4"/>
      <c r="T180" s="1"/>
      <c r="U180" s="1"/>
      <c r="V180" s="2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4"/>
      <c r="T181" s="1"/>
      <c r="U181" s="1"/>
      <c r="V181" s="2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4"/>
      <c r="T182" s="1"/>
      <c r="U182" s="1"/>
      <c r="V182" s="2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4"/>
      <c r="T183" s="1"/>
      <c r="U183" s="1"/>
      <c r="V183" s="2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4"/>
      <c r="T184" s="1"/>
      <c r="U184" s="1"/>
      <c r="V184" s="2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4"/>
      <c r="T185" s="1"/>
      <c r="U185" s="1"/>
      <c r="V185" s="2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4"/>
      <c r="T186" s="1"/>
      <c r="U186" s="1"/>
      <c r="V186" s="2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4"/>
      <c r="T187" s="1"/>
      <c r="U187" s="1"/>
      <c r="V187" s="2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4"/>
      <c r="T188" s="1"/>
      <c r="U188" s="1"/>
      <c r="V188" s="2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4"/>
      <c r="T189" s="1"/>
      <c r="U189" s="1"/>
      <c r="V189" s="2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4"/>
      <c r="T190" s="1"/>
      <c r="U190" s="1"/>
      <c r="V190" s="2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4"/>
      <c r="T191" s="1"/>
      <c r="U191" s="1"/>
      <c r="V191" s="2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4"/>
      <c r="T192" s="1"/>
      <c r="U192" s="1"/>
      <c r="V192" s="2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4"/>
      <c r="T193" s="1"/>
      <c r="U193" s="1"/>
      <c r="V193" s="2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4"/>
      <c r="T194" s="1"/>
      <c r="U194" s="1"/>
      <c r="V194" s="2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4"/>
      <c r="T195" s="1"/>
      <c r="U195" s="1"/>
      <c r="V195" s="2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4"/>
      <c r="T196" s="1"/>
      <c r="U196" s="1"/>
      <c r="V196" s="2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4"/>
      <c r="T197" s="1"/>
      <c r="U197" s="1"/>
      <c r="V197" s="2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4"/>
      <c r="T198" s="1"/>
      <c r="U198" s="1"/>
      <c r="V198" s="2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4"/>
      <c r="T199" s="1"/>
      <c r="U199" s="1"/>
      <c r="V199" s="2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4"/>
      <c r="T200" s="1"/>
      <c r="U200" s="1"/>
      <c r="V200" s="2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4"/>
      <c r="T201" s="1"/>
      <c r="U201" s="1"/>
      <c r="V201" s="2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4"/>
      <c r="T202" s="1"/>
      <c r="U202" s="1"/>
      <c r="V202" s="2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4"/>
      <c r="T203" s="1"/>
      <c r="U203" s="1"/>
      <c r="V203" s="2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4"/>
      <c r="T204" s="1"/>
      <c r="U204" s="1"/>
      <c r="V204" s="2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4"/>
      <c r="T205" s="1"/>
      <c r="U205" s="1"/>
      <c r="V205" s="2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4"/>
      <c r="T206" s="1"/>
      <c r="U206" s="1"/>
      <c r="V206" s="2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4"/>
      <c r="T207" s="1"/>
      <c r="U207" s="1"/>
      <c r="V207" s="2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4"/>
      <c r="T208" s="1"/>
      <c r="U208" s="1"/>
      <c r="V208" s="2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4"/>
      <c r="T209" s="1"/>
      <c r="U209" s="1"/>
      <c r="V209" s="2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4"/>
      <c r="T210" s="1"/>
      <c r="U210" s="1"/>
      <c r="V210" s="2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4"/>
      <c r="T211" s="1"/>
      <c r="U211" s="1"/>
      <c r="V211" s="2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4"/>
      <c r="T212" s="1"/>
      <c r="U212" s="1"/>
      <c r="V212" s="2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4"/>
      <c r="T213" s="1"/>
      <c r="U213" s="1"/>
      <c r="V213" s="2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4"/>
      <c r="T214" s="1"/>
      <c r="U214" s="1"/>
      <c r="V214" s="2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4"/>
      <c r="T215" s="1"/>
      <c r="U215" s="1"/>
      <c r="V215" s="2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4"/>
      <c r="T216" s="1"/>
      <c r="U216" s="1"/>
      <c r="V216" s="2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4"/>
      <c r="T217" s="1"/>
      <c r="U217" s="1"/>
      <c r="V217" s="2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4"/>
      <c r="T218" s="1"/>
      <c r="U218" s="1"/>
      <c r="V218" s="2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4"/>
      <c r="T219" s="1"/>
      <c r="U219" s="1"/>
      <c r="V219" s="2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4"/>
      <c r="T220" s="1"/>
      <c r="U220" s="1"/>
      <c r="V220" s="2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4"/>
      <c r="T221" s="1"/>
      <c r="U221" s="1"/>
      <c r="V221" s="2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4"/>
      <c r="T222" s="1"/>
      <c r="U222" s="1"/>
      <c r="V222" s="2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4"/>
      <c r="T223" s="1"/>
      <c r="U223" s="1"/>
      <c r="V223" s="2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4"/>
      <c r="T224" s="1"/>
      <c r="U224" s="1"/>
      <c r="V224" s="2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4"/>
      <c r="T225" s="1"/>
      <c r="U225" s="1"/>
      <c r="V225" s="2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4"/>
      <c r="T226" s="1"/>
      <c r="U226" s="1"/>
      <c r="V226" s="2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4"/>
      <c r="T227" s="1"/>
      <c r="U227" s="1"/>
      <c r="V227" s="2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4"/>
      <c r="T228" s="1"/>
      <c r="U228" s="1"/>
      <c r="V228" s="2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4"/>
      <c r="T229" s="1"/>
      <c r="U229" s="1"/>
      <c r="V229" s="2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4"/>
      <c r="T230" s="1"/>
      <c r="U230" s="1"/>
      <c r="V230" s="2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4"/>
      <c r="T231" s="1"/>
      <c r="U231" s="1"/>
      <c r="V231" s="2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4"/>
      <c r="T232" s="1"/>
      <c r="U232" s="1"/>
      <c r="V232" s="2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4"/>
      <c r="T233" s="1"/>
      <c r="U233" s="1"/>
      <c r="V233" s="2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4"/>
      <c r="T234" s="1"/>
      <c r="U234" s="1"/>
      <c r="V234" s="2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4"/>
      <c r="T235" s="1"/>
      <c r="U235" s="1"/>
      <c r="V235" s="2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4"/>
      <c r="T236" s="1"/>
      <c r="U236" s="1"/>
      <c r="V236" s="2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4"/>
      <c r="T237" s="1"/>
      <c r="U237" s="1"/>
      <c r="V237" s="2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4"/>
      <c r="T238" s="1"/>
      <c r="U238" s="1"/>
      <c r="V238" s="2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4"/>
      <c r="T239" s="1"/>
      <c r="U239" s="1"/>
      <c r="V239" s="2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4"/>
      <c r="T240" s="1"/>
      <c r="U240" s="1"/>
      <c r="V240" s="2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4"/>
      <c r="T241" s="1"/>
      <c r="U241" s="1"/>
      <c r="V241" s="2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4"/>
      <c r="T242" s="1"/>
      <c r="U242" s="1"/>
      <c r="V242" s="2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4"/>
      <c r="T243" s="1"/>
      <c r="U243" s="1"/>
      <c r="V243" s="2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4"/>
      <c r="T244" s="1"/>
      <c r="U244" s="1"/>
      <c r="V244" s="2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4"/>
      <c r="T245" s="1"/>
      <c r="U245" s="1"/>
      <c r="V245" s="2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4"/>
      <c r="T246" s="1"/>
      <c r="U246" s="1"/>
      <c r="V246" s="2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4"/>
      <c r="T247" s="1"/>
      <c r="U247" s="1"/>
      <c r="V247" s="2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4"/>
      <c r="T248" s="1"/>
      <c r="U248" s="1"/>
      <c r="V248" s="2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4"/>
      <c r="T249" s="1"/>
      <c r="U249" s="1"/>
      <c r="V249" s="2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4"/>
      <c r="T250" s="1"/>
      <c r="U250" s="1"/>
      <c r="V250" s="2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4"/>
      <c r="T251" s="1"/>
      <c r="U251" s="1"/>
      <c r="V251" s="2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4"/>
      <c r="T252" s="1"/>
      <c r="U252" s="1"/>
      <c r="V252" s="2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4"/>
      <c r="T253" s="1"/>
      <c r="U253" s="1"/>
      <c r="V253" s="2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4"/>
      <c r="T254" s="1"/>
      <c r="U254" s="1"/>
      <c r="V254" s="2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4"/>
      <c r="T255" s="1"/>
      <c r="U255" s="1"/>
      <c r="V255" s="2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4"/>
      <c r="T256" s="1"/>
      <c r="U256" s="1"/>
      <c r="V256" s="2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4"/>
      <c r="T257" s="1"/>
      <c r="U257" s="1"/>
      <c r="V257" s="2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4"/>
      <c r="T258" s="1"/>
      <c r="U258" s="1"/>
      <c r="V258" s="2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4"/>
      <c r="T259" s="1"/>
      <c r="U259" s="1"/>
      <c r="V259" s="2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4"/>
      <c r="T260" s="1"/>
      <c r="U260" s="1"/>
      <c r="V260" s="2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4"/>
      <c r="T261" s="1"/>
      <c r="U261" s="1"/>
      <c r="V261" s="2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4"/>
      <c r="T262" s="1"/>
      <c r="U262" s="1"/>
      <c r="V262" s="2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4"/>
      <c r="T263" s="1"/>
      <c r="U263" s="1"/>
      <c r="V263" s="2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4"/>
      <c r="T264" s="1"/>
      <c r="U264" s="1"/>
      <c r="V264" s="2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4"/>
      <c r="T265" s="1"/>
      <c r="U265" s="1"/>
      <c r="V265" s="2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4"/>
      <c r="T266" s="1"/>
      <c r="U266" s="1"/>
      <c r="V266" s="2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4"/>
      <c r="T267" s="1"/>
      <c r="U267" s="1"/>
      <c r="V267" s="2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4"/>
      <c r="T268" s="1"/>
      <c r="U268" s="1"/>
      <c r="V268" s="2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4"/>
      <c r="T269" s="1"/>
      <c r="U269" s="1"/>
      <c r="V269" s="2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4"/>
      <c r="T270" s="1"/>
      <c r="U270" s="1"/>
      <c r="V270" s="2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4"/>
      <c r="T271" s="1"/>
      <c r="U271" s="1"/>
      <c r="V271" s="2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4"/>
      <c r="T272" s="1"/>
      <c r="U272" s="1"/>
      <c r="V272" s="2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4"/>
      <c r="T273" s="1"/>
      <c r="U273" s="1"/>
      <c r="V273" s="2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4"/>
      <c r="T274" s="1"/>
      <c r="U274" s="1"/>
      <c r="V274" s="2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4"/>
      <c r="T275" s="1"/>
      <c r="U275" s="1"/>
      <c r="V275" s="2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4"/>
      <c r="T276" s="1"/>
      <c r="U276" s="1"/>
      <c r="V276" s="2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4"/>
      <c r="T277" s="1"/>
      <c r="U277" s="1"/>
      <c r="V277" s="2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4"/>
      <c r="T278" s="1"/>
      <c r="U278" s="1"/>
      <c r="V278" s="2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4"/>
      <c r="T279" s="1"/>
      <c r="U279" s="1"/>
      <c r="V279" s="2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4"/>
      <c r="T280" s="1"/>
      <c r="U280" s="1"/>
      <c r="V280" s="2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4"/>
      <c r="T281" s="1"/>
      <c r="U281" s="1"/>
      <c r="V281" s="2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4"/>
      <c r="T282" s="1"/>
      <c r="U282" s="1"/>
      <c r="V282" s="2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4"/>
      <c r="T283" s="1"/>
      <c r="U283" s="1"/>
      <c r="V283" s="2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4"/>
      <c r="T284" s="1"/>
      <c r="U284" s="1"/>
      <c r="V284" s="2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4"/>
      <c r="T285" s="1"/>
      <c r="U285" s="1"/>
      <c r="V285" s="2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4"/>
      <c r="T286" s="1"/>
      <c r="U286" s="1"/>
      <c r="V286" s="2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4"/>
      <c r="T287" s="1"/>
      <c r="U287" s="1"/>
      <c r="V287" s="2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4"/>
      <c r="T288" s="1"/>
      <c r="U288" s="1"/>
      <c r="V288" s="2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4"/>
      <c r="T289" s="1"/>
      <c r="U289" s="1"/>
      <c r="V289" s="2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4"/>
      <c r="T290" s="1"/>
      <c r="U290" s="1"/>
      <c r="V290" s="2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4"/>
      <c r="T291" s="1"/>
      <c r="U291" s="1"/>
      <c r="V291" s="2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4"/>
      <c r="T292" s="1"/>
      <c r="U292" s="1"/>
      <c r="V292" s="2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4"/>
      <c r="T293" s="1"/>
      <c r="U293" s="1"/>
      <c r="V293" s="2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4"/>
      <c r="T294" s="1"/>
      <c r="U294" s="1"/>
      <c r="V294" s="2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4"/>
      <c r="T295" s="1"/>
      <c r="U295" s="1"/>
      <c r="V295" s="2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4"/>
      <c r="T296" s="1"/>
      <c r="U296" s="1"/>
      <c r="V296" s="2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4"/>
      <c r="T297" s="1"/>
      <c r="U297" s="1"/>
      <c r="V297" s="2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4"/>
      <c r="T298" s="1"/>
      <c r="U298" s="1"/>
      <c r="V298" s="2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4"/>
      <c r="T299" s="1"/>
      <c r="U299" s="1"/>
      <c r="V299" s="2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4"/>
      <c r="T300" s="1"/>
      <c r="U300" s="1"/>
      <c r="V300" s="2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4"/>
      <c r="T301" s="1"/>
      <c r="U301" s="1"/>
      <c r="V301" s="2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4"/>
      <c r="T302" s="1"/>
      <c r="U302" s="1"/>
      <c r="V302" s="2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4"/>
      <c r="T303" s="1"/>
      <c r="U303" s="1"/>
      <c r="V303" s="2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4"/>
      <c r="T304" s="1"/>
      <c r="U304" s="1"/>
      <c r="V304" s="2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4"/>
      <c r="T305" s="1"/>
      <c r="U305" s="1"/>
      <c r="V305" s="2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4"/>
      <c r="T306" s="1"/>
      <c r="U306" s="1"/>
      <c r="V306" s="2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4"/>
      <c r="T307" s="1"/>
      <c r="U307" s="1"/>
      <c r="V307" s="2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4"/>
      <c r="T308" s="1"/>
      <c r="U308" s="1"/>
      <c r="V308" s="2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4"/>
      <c r="T309" s="1"/>
      <c r="U309" s="1"/>
      <c r="V309" s="2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4"/>
      <c r="T310" s="1"/>
      <c r="U310" s="1"/>
      <c r="V310" s="2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4"/>
      <c r="T311" s="1"/>
      <c r="U311" s="1"/>
      <c r="V311" s="2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4"/>
      <c r="T312" s="1"/>
      <c r="U312" s="1"/>
      <c r="V312" s="2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4"/>
      <c r="T313" s="1"/>
      <c r="U313" s="1"/>
      <c r="V313" s="2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4"/>
      <c r="T314" s="1"/>
      <c r="U314" s="1"/>
      <c r="V314" s="2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4"/>
      <c r="T315" s="1"/>
      <c r="U315" s="1"/>
      <c r="V315" s="2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4"/>
      <c r="T316" s="1"/>
      <c r="U316" s="1"/>
      <c r="V316" s="2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4"/>
      <c r="T317" s="1"/>
      <c r="U317" s="1"/>
      <c r="V317" s="2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4"/>
      <c r="T318" s="1"/>
      <c r="U318" s="1"/>
      <c r="V318" s="2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4"/>
      <c r="T319" s="1"/>
      <c r="U319" s="1"/>
      <c r="V319" s="2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4"/>
      <c r="T320" s="1"/>
      <c r="U320" s="1"/>
      <c r="V320" s="2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4"/>
      <c r="T321" s="1"/>
      <c r="U321" s="1"/>
      <c r="V321" s="2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4"/>
      <c r="T322" s="1"/>
      <c r="U322" s="1"/>
      <c r="V322" s="2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4"/>
      <c r="T323" s="1"/>
      <c r="U323" s="1"/>
      <c r="V323" s="2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4"/>
      <c r="T324" s="1"/>
      <c r="U324" s="1"/>
      <c r="V324" s="2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4"/>
      <c r="T325" s="1"/>
      <c r="U325" s="1"/>
      <c r="V325" s="2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4"/>
      <c r="T326" s="1"/>
      <c r="U326" s="1"/>
      <c r="V326" s="2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4"/>
      <c r="T327" s="1"/>
      <c r="U327" s="1"/>
      <c r="V327" s="2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4"/>
      <c r="T328" s="1"/>
      <c r="U328" s="1"/>
      <c r="V328" s="2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4"/>
      <c r="T329" s="1"/>
      <c r="U329" s="1"/>
      <c r="V329" s="2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4"/>
      <c r="T330" s="1"/>
      <c r="U330" s="1"/>
      <c r="V330" s="2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4"/>
      <c r="T331" s="1"/>
      <c r="U331" s="1"/>
      <c r="V331" s="2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4"/>
      <c r="T332" s="1"/>
      <c r="U332" s="1"/>
      <c r="V332" s="2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4"/>
      <c r="T333" s="1"/>
      <c r="U333" s="1"/>
      <c r="V333" s="2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4"/>
      <c r="T334" s="1"/>
      <c r="U334" s="1"/>
      <c r="V334" s="2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4"/>
      <c r="T335" s="1"/>
      <c r="U335" s="1"/>
      <c r="V335" s="2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4"/>
      <c r="T336" s="1"/>
      <c r="U336" s="1"/>
      <c r="V336" s="2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4"/>
      <c r="T337" s="1"/>
      <c r="U337" s="1"/>
      <c r="V337" s="2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4"/>
      <c r="T338" s="1"/>
      <c r="U338" s="1"/>
      <c r="V338" s="2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4"/>
      <c r="T339" s="1"/>
      <c r="U339" s="1"/>
      <c r="V339" s="2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4"/>
      <c r="T340" s="1"/>
      <c r="U340" s="1"/>
      <c r="V340" s="2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4"/>
      <c r="T341" s="1"/>
      <c r="U341" s="1"/>
      <c r="V341" s="2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4"/>
      <c r="T342" s="1"/>
      <c r="U342" s="1"/>
      <c r="V342" s="2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4"/>
      <c r="T343" s="1"/>
      <c r="U343" s="1"/>
      <c r="V343" s="2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4"/>
      <c r="T344" s="1"/>
      <c r="U344" s="1"/>
      <c r="V344" s="2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4"/>
      <c r="T345" s="1"/>
      <c r="U345" s="1"/>
      <c r="V345" s="2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4"/>
      <c r="T346" s="1"/>
      <c r="U346" s="1"/>
      <c r="V346" s="2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4"/>
      <c r="T347" s="1"/>
      <c r="U347" s="1"/>
      <c r="V347" s="2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4"/>
      <c r="T348" s="1"/>
      <c r="U348" s="1"/>
      <c r="V348" s="2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4"/>
      <c r="T349" s="1"/>
      <c r="U349" s="1"/>
      <c r="V349" s="2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4"/>
      <c r="T350" s="1"/>
      <c r="U350" s="1"/>
      <c r="V350" s="2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4"/>
      <c r="T351" s="1"/>
      <c r="U351" s="1"/>
      <c r="V351" s="2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4"/>
      <c r="T352" s="1"/>
      <c r="U352" s="1"/>
      <c r="V352" s="2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4"/>
      <c r="T353" s="1"/>
      <c r="U353" s="1"/>
      <c r="V353" s="2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4"/>
      <c r="T354" s="1"/>
      <c r="U354" s="1"/>
      <c r="V354" s="2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4"/>
      <c r="T355" s="1"/>
      <c r="U355" s="1"/>
      <c r="V355" s="2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4"/>
      <c r="T356" s="1"/>
      <c r="U356" s="1"/>
      <c r="V356" s="2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4"/>
      <c r="T357" s="1"/>
      <c r="U357" s="1"/>
      <c r="V357" s="2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4"/>
      <c r="T358" s="1"/>
      <c r="U358" s="1"/>
      <c r="V358" s="2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4"/>
      <c r="T359" s="1"/>
      <c r="U359" s="1"/>
      <c r="V359" s="2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4"/>
      <c r="T360" s="1"/>
      <c r="U360" s="1"/>
      <c r="V360" s="2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4"/>
      <c r="T361" s="1"/>
      <c r="U361" s="1"/>
      <c r="V361" s="2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4"/>
      <c r="T362" s="1"/>
      <c r="U362" s="1"/>
      <c r="V362" s="2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4"/>
      <c r="T363" s="1"/>
      <c r="U363" s="1"/>
      <c r="V363" s="2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4"/>
      <c r="T364" s="1"/>
      <c r="U364" s="1"/>
      <c r="V364" s="2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4"/>
      <c r="T365" s="1"/>
      <c r="U365" s="1"/>
      <c r="V365" s="2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4"/>
      <c r="T366" s="1"/>
      <c r="U366" s="1"/>
      <c r="V366" s="2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4"/>
      <c r="T367" s="1"/>
      <c r="U367" s="1"/>
      <c r="V367" s="2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4"/>
      <c r="T368" s="1"/>
      <c r="U368" s="1"/>
      <c r="V368" s="2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4"/>
      <c r="T369" s="1"/>
      <c r="U369" s="1"/>
      <c r="V369" s="2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4"/>
      <c r="T370" s="1"/>
      <c r="U370" s="1"/>
      <c r="V370" s="2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4"/>
      <c r="T371" s="1"/>
      <c r="U371" s="1"/>
      <c r="V371" s="2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4"/>
      <c r="T372" s="1"/>
      <c r="U372" s="1"/>
      <c r="V372" s="2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4"/>
      <c r="T373" s="1"/>
      <c r="U373" s="1"/>
      <c r="V373" s="2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4"/>
      <c r="T374" s="1"/>
      <c r="U374" s="1"/>
      <c r="V374" s="2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4"/>
      <c r="T375" s="1"/>
      <c r="U375" s="1"/>
      <c r="V375" s="2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4"/>
      <c r="T376" s="1"/>
      <c r="U376" s="1"/>
      <c r="V376" s="2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4"/>
      <c r="T377" s="1"/>
      <c r="U377" s="1"/>
      <c r="V377" s="2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4"/>
      <c r="T378" s="1"/>
      <c r="U378" s="1"/>
      <c r="V378" s="2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4"/>
      <c r="T379" s="1"/>
      <c r="U379" s="1"/>
      <c r="V379" s="2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4"/>
      <c r="T380" s="1"/>
      <c r="U380" s="1"/>
      <c r="V380" s="2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4"/>
      <c r="T381" s="1"/>
      <c r="U381" s="1"/>
      <c r="V381" s="2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4"/>
      <c r="T382" s="1"/>
      <c r="U382" s="1"/>
      <c r="V382" s="2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4"/>
      <c r="T383" s="1"/>
      <c r="U383" s="1"/>
      <c r="V383" s="2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4"/>
      <c r="T384" s="1"/>
      <c r="U384" s="1"/>
      <c r="V384" s="2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4"/>
      <c r="T385" s="1"/>
      <c r="U385" s="1"/>
      <c r="V385" s="2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4"/>
      <c r="T386" s="1"/>
      <c r="U386" s="1"/>
      <c r="V386" s="2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4"/>
      <c r="T387" s="1"/>
      <c r="U387" s="1"/>
      <c r="V387" s="2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4"/>
      <c r="T388" s="1"/>
      <c r="U388" s="1"/>
      <c r="V388" s="2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4"/>
      <c r="T389" s="1"/>
      <c r="U389" s="1"/>
      <c r="V389" s="2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4"/>
      <c r="T390" s="1"/>
      <c r="U390" s="1"/>
      <c r="V390" s="2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4"/>
      <c r="T391" s="1"/>
      <c r="U391" s="1"/>
      <c r="V391" s="2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4"/>
      <c r="T392" s="1"/>
      <c r="U392" s="1"/>
      <c r="V392" s="2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4"/>
      <c r="T393" s="1"/>
      <c r="U393" s="1"/>
      <c r="V393" s="2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4"/>
      <c r="T394" s="1"/>
      <c r="U394" s="1"/>
      <c r="V394" s="2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4"/>
      <c r="T395" s="1"/>
      <c r="U395" s="1"/>
      <c r="V395" s="2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4"/>
      <c r="T396" s="1"/>
      <c r="U396" s="1"/>
      <c r="V396" s="2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4"/>
      <c r="T397" s="1"/>
      <c r="U397" s="1"/>
      <c r="V397" s="2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4"/>
      <c r="T398" s="1"/>
      <c r="U398" s="1"/>
      <c r="V398" s="2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4"/>
      <c r="T399" s="1"/>
      <c r="U399" s="1"/>
      <c r="V399" s="2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4"/>
      <c r="T400" s="1"/>
      <c r="U400" s="1"/>
      <c r="V400" s="2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4"/>
      <c r="T401" s="1"/>
      <c r="U401" s="1"/>
      <c r="V401" s="2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4"/>
      <c r="T402" s="1"/>
      <c r="U402" s="1"/>
      <c r="V402" s="2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4"/>
      <c r="T403" s="1"/>
      <c r="U403" s="1"/>
      <c r="V403" s="2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4"/>
      <c r="T404" s="1"/>
      <c r="U404" s="1"/>
      <c r="V404" s="2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4"/>
      <c r="T405" s="1"/>
      <c r="U405" s="1"/>
      <c r="V405" s="2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4"/>
      <c r="T406" s="1"/>
      <c r="U406" s="1"/>
      <c r="V406" s="2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4"/>
      <c r="T407" s="1"/>
      <c r="U407" s="1"/>
      <c r="V407" s="2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4"/>
      <c r="T408" s="1"/>
      <c r="U408" s="1"/>
      <c r="V408" s="2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4"/>
      <c r="T409" s="1"/>
      <c r="U409" s="1"/>
      <c r="V409" s="2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4"/>
      <c r="T410" s="1"/>
      <c r="U410" s="1"/>
      <c r="V410" s="2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4"/>
      <c r="T411" s="1"/>
      <c r="U411" s="1"/>
      <c r="V411" s="2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4"/>
      <c r="T412" s="1"/>
      <c r="U412" s="1"/>
      <c r="V412" s="2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4"/>
      <c r="T413" s="1"/>
      <c r="U413" s="1"/>
      <c r="V413" s="2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4"/>
      <c r="T414" s="1"/>
      <c r="U414" s="1"/>
      <c r="V414" s="2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4"/>
      <c r="T415" s="1"/>
      <c r="U415" s="1"/>
      <c r="V415" s="2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4"/>
      <c r="T416" s="1"/>
      <c r="U416" s="1"/>
      <c r="V416" s="2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4"/>
      <c r="T417" s="1"/>
      <c r="U417" s="1"/>
      <c r="V417" s="2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4"/>
      <c r="T418" s="1"/>
      <c r="U418" s="1"/>
      <c r="V418" s="2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4"/>
      <c r="T419" s="1"/>
      <c r="U419" s="1"/>
      <c r="V419" s="2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4"/>
      <c r="T420" s="1"/>
      <c r="U420" s="1"/>
      <c r="V420" s="2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4"/>
      <c r="T421" s="1"/>
      <c r="U421" s="1"/>
      <c r="V421" s="2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4"/>
      <c r="T422" s="1"/>
      <c r="U422" s="1"/>
      <c r="V422" s="2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4"/>
      <c r="T423" s="1"/>
      <c r="U423" s="1"/>
      <c r="V423" s="2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4"/>
      <c r="T424" s="1"/>
      <c r="U424" s="1"/>
      <c r="V424" s="2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4"/>
      <c r="T425" s="1"/>
      <c r="U425" s="1"/>
      <c r="V425" s="2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4"/>
      <c r="T426" s="1"/>
      <c r="U426" s="1"/>
      <c r="V426" s="2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4"/>
      <c r="T427" s="1"/>
      <c r="U427" s="1"/>
      <c r="V427" s="2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4"/>
      <c r="T428" s="1"/>
      <c r="U428" s="1"/>
      <c r="V428" s="2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4"/>
      <c r="T429" s="1"/>
      <c r="U429" s="1"/>
      <c r="V429" s="2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4"/>
      <c r="T430" s="1"/>
      <c r="U430" s="1"/>
      <c r="V430" s="2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4"/>
      <c r="T431" s="1"/>
      <c r="U431" s="1"/>
      <c r="V431" s="2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4"/>
      <c r="T432" s="1"/>
      <c r="U432" s="1"/>
      <c r="V432" s="2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4"/>
      <c r="T433" s="1"/>
      <c r="U433" s="1"/>
      <c r="V433" s="2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4"/>
      <c r="T434" s="1"/>
      <c r="U434" s="1"/>
      <c r="V434" s="2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4"/>
      <c r="T435" s="1"/>
      <c r="U435" s="1"/>
      <c r="V435" s="2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4"/>
      <c r="T436" s="1"/>
      <c r="U436" s="1"/>
      <c r="V436" s="2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4"/>
      <c r="T437" s="1"/>
      <c r="U437" s="1"/>
      <c r="V437" s="2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4"/>
      <c r="T438" s="1"/>
      <c r="U438" s="1"/>
      <c r="V438" s="2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4"/>
      <c r="T439" s="1"/>
      <c r="U439" s="1"/>
      <c r="V439" s="2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4"/>
      <c r="T440" s="1"/>
      <c r="U440" s="1"/>
      <c r="V440" s="2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4"/>
      <c r="T441" s="1"/>
      <c r="U441" s="1"/>
      <c r="V441" s="2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4"/>
      <c r="T442" s="1"/>
      <c r="U442" s="1"/>
      <c r="V442" s="2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4"/>
      <c r="T443" s="1"/>
      <c r="U443" s="1"/>
      <c r="V443" s="2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4"/>
      <c r="T444" s="1"/>
      <c r="U444" s="1"/>
      <c r="V444" s="2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4"/>
      <c r="T445" s="1"/>
      <c r="U445" s="1"/>
      <c r="V445" s="2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4"/>
      <c r="T446" s="1"/>
      <c r="U446" s="1"/>
      <c r="V446" s="2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4"/>
      <c r="T447" s="1"/>
      <c r="U447" s="1"/>
      <c r="V447" s="2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4"/>
      <c r="T448" s="1"/>
      <c r="U448" s="1"/>
      <c r="V448" s="2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4"/>
      <c r="T449" s="1"/>
      <c r="U449" s="1"/>
      <c r="V449" s="2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4"/>
      <c r="T450" s="1"/>
      <c r="U450" s="1"/>
      <c r="V450" s="2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4"/>
      <c r="T451" s="1"/>
      <c r="U451" s="1"/>
      <c r="V451" s="2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4"/>
      <c r="T452" s="1"/>
      <c r="U452" s="1"/>
      <c r="V452" s="2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4"/>
      <c r="T453" s="1"/>
      <c r="U453" s="1"/>
      <c r="V453" s="2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4"/>
      <c r="T454" s="1"/>
      <c r="U454" s="1"/>
      <c r="V454" s="2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4"/>
      <c r="T455" s="1"/>
      <c r="U455" s="1"/>
      <c r="V455" s="2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4"/>
      <c r="T456" s="1"/>
      <c r="U456" s="1"/>
      <c r="V456" s="2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4"/>
      <c r="T457" s="1"/>
      <c r="U457" s="1"/>
      <c r="V457" s="2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4"/>
      <c r="T458" s="1"/>
      <c r="U458" s="1"/>
      <c r="V458" s="2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4"/>
      <c r="T459" s="1"/>
      <c r="U459" s="1"/>
      <c r="V459" s="2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4"/>
      <c r="T460" s="1"/>
      <c r="U460" s="1"/>
      <c r="V460" s="2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4"/>
      <c r="T461" s="1"/>
      <c r="U461" s="1"/>
      <c r="V461" s="2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4"/>
      <c r="T462" s="1"/>
      <c r="U462" s="1"/>
      <c r="V462" s="2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4"/>
      <c r="T463" s="1"/>
      <c r="U463" s="1"/>
      <c r="V463" s="2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4"/>
      <c r="T464" s="1"/>
      <c r="U464" s="1"/>
      <c r="V464" s="2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4"/>
      <c r="T465" s="1"/>
      <c r="U465" s="1"/>
      <c r="V465" s="2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4"/>
      <c r="T466" s="1"/>
      <c r="U466" s="1"/>
      <c r="V466" s="2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4"/>
      <c r="T467" s="1"/>
      <c r="U467" s="1"/>
      <c r="V467" s="2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4"/>
      <c r="T468" s="1"/>
      <c r="U468" s="1"/>
      <c r="V468" s="2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4"/>
      <c r="T469" s="1"/>
      <c r="U469" s="1"/>
      <c r="V469" s="2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4"/>
      <c r="T470" s="1"/>
      <c r="U470" s="1"/>
      <c r="V470" s="2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4"/>
      <c r="T471" s="1"/>
      <c r="U471" s="1"/>
      <c r="V471" s="2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4"/>
      <c r="T472" s="1"/>
      <c r="U472" s="1"/>
      <c r="V472" s="2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4"/>
      <c r="T473" s="1"/>
      <c r="U473" s="1"/>
      <c r="V473" s="2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4"/>
      <c r="T474" s="1"/>
      <c r="U474" s="1"/>
      <c r="V474" s="2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4"/>
      <c r="T475" s="1"/>
      <c r="U475" s="1"/>
      <c r="V475" s="2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4"/>
      <c r="T476" s="1"/>
      <c r="U476" s="1"/>
      <c r="V476" s="2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4"/>
      <c r="T477" s="1"/>
      <c r="U477" s="1"/>
      <c r="V477" s="2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4"/>
      <c r="T478" s="1"/>
      <c r="U478" s="1"/>
      <c r="V478" s="2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4"/>
      <c r="T479" s="1"/>
      <c r="U479" s="1"/>
      <c r="V479" s="2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4"/>
      <c r="T480" s="1"/>
      <c r="U480" s="1"/>
      <c r="V480" s="2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4"/>
      <c r="T481" s="1"/>
      <c r="U481" s="1"/>
      <c r="V481" s="2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4"/>
      <c r="T482" s="1"/>
      <c r="U482" s="1"/>
      <c r="V482" s="2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4"/>
      <c r="T483" s="1"/>
      <c r="U483" s="1"/>
      <c r="V483" s="2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4"/>
      <c r="T484" s="1"/>
      <c r="U484" s="1"/>
      <c r="V484" s="2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4"/>
      <c r="T485" s="1"/>
      <c r="U485" s="1"/>
      <c r="V485" s="2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4"/>
      <c r="T486" s="1"/>
      <c r="U486" s="1"/>
      <c r="V486" s="2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4"/>
      <c r="T487" s="1"/>
      <c r="U487" s="1"/>
      <c r="V487" s="2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4"/>
      <c r="T488" s="1"/>
      <c r="U488" s="1"/>
      <c r="V488" s="2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4"/>
      <c r="T489" s="1"/>
      <c r="U489" s="1"/>
      <c r="V489" s="2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4"/>
      <c r="T490" s="1"/>
      <c r="U490" s="1"/>
      <c r="V490" s="2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4"/>
      <c r="T491" s="1"/>
      <c r="U491" s="1"/>
      <c r="V491" s="2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4"/>
      <c r="T492" s="1"/>
      <c r="U492" s="1"/>
      <c r="V492" s="2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4"/>
      <c r="T493" s="1"/>
      <c r="U493" s="1"/>
      <c r="V493" s="2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4"/>
      <c r="T494" s="1"/>
      <c r="U494" s="1"/>
      <c r="V494" s="2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4"/>
      <c r="T495" s="1"/>
      <c r="U495" s="1"/>
      <c r="V495" s="2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4"/>
      <c r="T496" s="1"/>
      <c r="U496" s="1"/>
      <c r="V496" s="2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4"/>
      <c r="T497" s="1"/>
      <c r="U497" s="1"/>
      <c r="V497" s="2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4"/>
      <c r="T498" s="1"/>
      <c r="U498" s="1"/>
      <c r="V498" s="2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4"/>
      <c r="T499" s="1"/>
      <c r="U499" s="1"/>
      <c r="V499" s="2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4"/>
      <c r="T500" s="1"/>
      <c r="U500" s="1"/>
      <c r="V500" s="24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</sheetData>
  <autoFilter ref="A3:AR137" xr:uid="{00000000-0001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969D-DD28-42C4-BF0E-5C127E08E107}">
  <dimension ref="A1:D12"/>
  <sheetViews>
    <sheetView workbookViewId="0">
      <selection activeCell="J19" sqref="J19"/>
    </sheetView>
  </sheetViews>
  <sheetFormatPr defaultRowHeight="15" x14ac:dyDescent="0.25"/>
  <sheetData>
    <row r="1" spans="1:4" x14ac:dyDescent="0.25">
      <c r="A1" s="30" t="s">
        <v>128</v>
      </c>
      <c r="B1" s="30" t="s">
        <v>328</v>
      </c>
      <c r="C1" s="30">
        <v>81.599999999999994</v>
      </c>
      <c r="D1" s="30">
        <v>-81.599999999999994</v>
      </c>
    </row>
    <row r="2" spans="1:4" x14ac:dyDescent="0.25">
      <c r="A2" s="29" t="s">
        <v>63</v>
      </c>
      <c r="B2" s="29" t="s">
        <v>329</v>
      </c>
      <c r="C2" s="29">
        <v>23.4</v>
      </c>
      <c r="D2" s="29">
        <v>-23.4</v>
      </c>
    </row>
    <row r="3" spans="1:4" x14ac:dyDescent="0.25">
      <c r="A3" s="29" t="s">
        <v>126</v>
      </c>
      <c r="B3" s="29" t="s">
        <v>330</v>
      </c>
      <c r="C3" s="29">
        <v>160.80000000000001</v>
      </c>
      <c r="D3" s="29">
        <v>-160.80000000000001</v>
      </c>
    </row>
    <row r="4" spans="1:4" x14ac:dyDescent="0.25">
      <c r="A4" s="29" t="s">
        <v>135</v>
      </c>
      <c r="B4" s="29" t="s">
        <v>331</v>
      </c>
      <c r="C4" s="29">
        <v>18.899999999999999</v>
      </c>
      <c r="D4" s="29">
        <v>-18.899999999999999</v>
      </c>
    </row>
    <row r="5" spans="1:4" x14ac:dyDescent="0.25">
      <c r="A5" s="29" t="s">
        <v>182</v>
      </c>
      <c r="B5" s="29" t="s">
        <v>332</v>
      </c>
      <c r="C5" s="29">
        <v>76.8</v>
      </c>
      <c r="D5" s="29">
        <v>-76.8</v>
      </c>
    </row>
    <row r="6" spans="1:4" x14ac:dyDescent="0.25">
      <c r="A6" s="29" t="s">
        <v>145</v>
      </c>
      <c r="B6" s="29" t="s">
        <v>333</v>
      </c>
      <c r="C6" s="29">
        <v>71.400000000000006</v>
      </c>
      <c r="D6" s="29">
        <v>-71.400000000000006</v>
      </c>
    </row>
    <row r="7" spans="1:4" x14ac:dyDescent="0.25">
      <c r="A7" s="29" t="s">
        <v>317</v>
      </c>
      <c r="B7" s="29" t="s">
        <v>334</v>
      </c>
      <c r="C7" s="29">
        <v>16.2</v>
      </c>
      <c r="D7" s="29">
        <v>-16.2</v>
      </c>
    </row>
    <row r="8" spans="1:4" x14ac:dyDescent="0.25">
      <c r="A8" s="29" t="s">
        <v>315</v>
      </c>
      <c r="B8" s="29" t="s">
        <v>335</v>
      </c>
      <c r="C8" s="29">
        <v>30.6</v>
      </c>
      <c r="D8" s="29">
        <v>-30.6</v>
      </c>
    </row>
    <row r="9" spans="1:4" x14ac:dyDescent="0.25">
      <c r="A9" s="29" t="s">
        <v>188</v>
      </c>
      <c r="B9" s="29" t="s">
        <v>336</v>
      </c>
      <c r="C9" s="29">
        <v>383.4</v>
      </c>
      <c r="D9" s="29">
        <v>-383.4</v>
      </c>
    </row>
    <row r="10" spans="1:4" x14ac:dyDescent="0.25">
      <c r="A10" s="29" t="s">
        <v>241</v>
      </c>
      <c r="B10" s="29" t="s">
        <v>337</v>
      </c>
      <c r="C10" s="29">
        <v>16.2</v>
      </c>
      <c r="D10" s="29">
        <v>-16.2</v>
      </c>
    </row>
    <row r="11" spans="1:4" x14ac:dyDescent="0.25">
      <c r="A11" s="29" t="s">
        <v>275</v>
      </c>
      <c r="B11" s="29" t="s">
        <v>338</v>
      </c>
      <c r="C11" s="29">
        <v>101.5</v>
      </c>
      <c r="D11" s="29">
        <v>-101.5</v>
      </c>
    </row>
    <row r="12" spans="1:4" x14ac:dyDescent="0.25">
      <c r="A12" s="29" t="s">
        <v>283</v>
      </c>
      <c r="B12" s="29" t="s">
        <v>339</v>
      </c>
      <c r="C12" s="29">
        <v>57.12</v>
      </c>
      <c r="D12" s="29">
        <v>-57.12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73EF-EFE6-43F7-8439-E163C2AD2EAA}">
  <dimension ref="A1:D31"/>
  <sheetViews>
    <sheetView workbookViewId="0">
      <selection activeCell="F6" sqref="F6"/>
    </sheetView>
  </sheetViews>
  <sheetFormatPr defaultRowHeight="15" x14ac:dyDescent="0.25"/>
  <cols>
    <col min="2" max="2" width="110.28515625" bestFit="1" customWidth="1"/>
  </cols>
  <sheetData>
    <row r="1" spans="1:4" x14ac:dyDescent="0.25">
      <c r="A1" s="33" t="s">
        <v>107</v>
      </c>
      <c r="B1" s="30" t="s">
        <v>343</v>
      </c>
      <c r="C1" s="34">
        <v>-500.8</v>
      </c>
      <c r="D1" s="34">
        <v>1372.8</v>
      </c>
    </row>
    <row r="2" spans="1:4" x14ac:dyDescent="0.25">
      <c r="A2" s="35" t="s">
        <v>56</v>
      </c>
      <c r="B2" s="29" t="s">
        <v>344</v>
      </c>
      <c r="C2" s="36"/>
      <c r="D2" s="36">
        <v>585.9</v>
      </c>
    </row>
    <row r="3" spans="1:4" x14ac:dyDescent="0.25">
      <c r="A3" s="35" t="s">
        <v>59</v>
      </c>
      <c r="B3" s="29" t="s">
        <v>345</v>
      </c>
      <c r="C3" s="36"/>
      <c r="D3" s="36">
        <v>1350</v>
      </c>
    </row>
    <row r="4" spans="1:4" x14ac:dyDescent="0.25">
      <c r="A4" s="35" t="s">
        <v>48</v>
      </c>
      <c r="B4" s="29" t="s">
        <v>346</v>
      </c>
      <c r="C4" s="36"/>
      <c r="D4" s="36">
        <v>704.7</v>
      </c>
    </row>
    <row r="5" spans="1:4" x14ac:dyDescent="0.25">
      <c r="A5" s="35" t="s">
        <v>71</v>
      </c>
      <c r="B5" s="29" t="s">
        <v>347</v>
      </c>
      <c r="C5" s="36"/>
      <c r="D5" s="36">
        <v>865.92</v>
      </c>
    </row>
    <row r="6" spans="1:4" x14ac:dyDescent="0.25">
      <c r="A6" s="35" t="s">
        <v>111</v>
      </c>
      <c r="B6" s="29" t="s">
        <v>348</v>
      </c>
      <c r="C6" s="36"/>
      <c r="D6" s="36">
        <v>1107</v>
      </c>
    </row>
    <row r="7" spans="1:4" x14ac:dyDescent="0.25">
      <c r="A7" s="35" t="s">
        <v>128</v>
      </c>
      <c r="B7" s="29" t="s">
        <v>328</v>
      </c>
      <c r="C7" s="36">
        <v>-40.799999999999997</v>
      </c>
      <c r="D7" s="36">
        <v>40.799999999999997</v>
      </c>
    </row>
    <row r="8" spans="1:4" x14ac:dyDescent="0.25">
      <c r="A8" s="35" t="s">
        <v>121</v>
      </c>
      <c r="B8" s="29" t="s">
        <v>349</v>
      </c>
      <c r="C8" s="36"/>
      <c r="D8" s="36">
        <v>888</v>
      </c>
    </row>
    <row r="9" spans="1:4" x14ac:dyDescent="0.25">
      <c r="A9" s="35" t="s">
        <v>126</v>
      </c>
      <c r="B9" s="29" t="s">
        <v>330</v>
      </c>
      <c r="C9" s="36">
        <v>-100.8</v>
      </c>
      <c r="D9" s="36">
        <v>100.8</v>
      </c>
    </row>
    <row r="10" spans="1:4" x14ac:dyDescent="0.25">
      <c r="A10" s="35" t="s">
        <v>135</v>
      </c>
      <c r="B10" s="29" t="s">
        <v>331</v>
      </c>
      <c r="C10" s="36">
        <v>-10.5</v>
      </c>
      <c r="D10" s="36">
        <v>10.5</v>
      </c>
    </row>
    <row r="11" spans="1:4" x14ac:dyDescent="0.25">
      <c r="A11" s="35" t="s">
        <v>147</v>
      </c>
      <c r="B11" s="29" t="s">
        <v>350</v>
      </c>
      <c r="C11" s="36"/>
      <c r="D11" s="36">
        <v>12</v>
      </c>
    </row>
    <row r="12" spans="1:4" x14ac:dyDescent="0.25">
      <c r="A12" s="35" t="s">
        <v>124</v>
      </c>
      <c r="B12" s="29" t="s">
        <v>351</v>
      </c>
      <c r="C12" s="36"/>
      <c r="D12" s="36">
        <v>360</v>
      </c>
    </row>
    <row r="13" spans="1:4" x14ac:dyDescent="0.25">
      <c r="A13" s="35" t="s">
        <v>141</v>
      </c>
      <c r="B13" s="29" t="s">
        <v>352</v>
      </c>
      <c r="C13" s="36"/>
      <c r="D13" s="36">
        <v>21.6</v>
      </c>
    </row>
    <row r="14" spans="1:4" x14ac:dyDescent="0.25">
      <c r="A14" s="35" t="s">
        <v>139</v>
      </c>
      <c r="B14" s="29" t="s">
        <v>353</v>
      </c>
      <c r="C14" s="36"/>
      <c r="D14" s="36">
        <v>21.6</v>
      </c>
    </row>
    <row r="15" spans="1:4" x14ac:dyDescent="0.25">
      <c r="A15" s="35" t="s">
        <v>176</v>
      </c>
      <c r="B15" s="29" t="s">
        <v>354</v>
      </c>
      <c r="C15" s="36"/>
      <c r="D15" s="36">
        <v>32.4</v>
      </c>
    </row>
    <row r="16" spans="1:4" x14ac:dyDescent="0.25">
      <c r="A16" s="35" t="s">
        <v>182</v>
      </c>
      <c r="B16" s="29" t="s">
        <v>332</v>
      </c>
      <c r="C16" s="36"/>
      <c r="D16" s="36">
        <v>40.799999999999997</v>
      </c>
    </row>
    <row r="17" spans="1:4" x14ac:dyDescent="0.25">
      <c r="A17" s="35" t="s">
        <v>178</v>
      </c>
      <c r="B17" s="29" t="s">
        <v>355</v>
      </c>
      <c r="C17" s="36"/>
      <c r="D17" s="36">
        <v>32.4</v>
      </c>
    </row>
    <row r="18" spans="1:4" x14ac:dyDescent="0.25">
      <c r="A18" s="35" t="s">
        <v>145</v>
      </c>
      <c r="B18" s="29" t="s">
        <v>333</v>
      </c>
      <c r="C18" s="36">
        <v>-159.6</v>
      </c>
      <c r="D18" s="36">
        <v>159.6</v>
      </c>
    </row>
    <row r="19" spans="1:4" x14ac:dyDescent="0.25">
      <c r="A19" s="35" t="s">
        <v>317</v>
      </c>
      <c r="B19" s="29" t="s">
        <v>334</v>
      </c>
      <c r="C19" s="36">
        <v>-9</v>
      </c>
      <c r="D19" s="36">
        <v>9</v>
      </c>
    </row>
    <row r="20" spans="1:4" x14ac:dyDescent="0.25">
      <c r="A20" s="35" t="s">
        <v>315</v>
      </c>
      <c r="B20" s="29" t="s">
        <v>335</v>
      </c>
      <c r="C20" s="36">
        <v>-9</v>
      </c>
      <c r="D20" s="36">
        <v>9</v>
      </c>
    </row>
    <row r="21" spans="1:4" x14ac:dyDescent="0.25">
      <c r="A21" s="35" t="s">
        <v>241</v>
      </c>
      <c r="B21" s="29" t="s">
        <v>337</v>
      </c>
      <c r="C21" s="36">
        <v>-9</v>
      </c>
      <c r="D21" s="36">
        <v>9</v>
      </c>
    </row>
    <row r="22" spans="1:4" x14ac:dyDescent="0.25">
      <c r="A22" s="35" t="s">
        <v>219</v>
      </c>
      <c r="B22" s="29" t="s">
        <v>356</v>
      </c>
      <c r="C22" s="36"/>
      <c r="D22" s="36">
        <v>18.899999999999999</v>
      </c>
    </row>
    <row r="23" spans="1:4" x14ac:dyDescent="0.25">
      <c r="A23" s="35" t="s">
        <v>217</v>
      </c>
      <c r="B23" s="29" t="s">
        <v>357</v>
      </c>
      <c r="C23" s="36">
        <v>-10.5</v>
      </c>
      <c r="D23" s="36">
        <v>10.5</v>
      </c>
    </row>
    <row r="24" spans="1:4" x14ac:dyDescent="0.25">
      <c r="A24" s="35" t="s">
        <v>321</v>
      </c>
      <c r="B24" s="29" t="s">
        <v>358</v>
      </c>
      <c r="C24" s="36">
        <v>-5.4</v>
      </c>
      <c r="D24" s="36">
        <v>5.4</v>
      </c>
    </row>
    <row r="25" spans="1:4" x14ac:dyDescent="0.25">
      <c r="A25" s="35" t="s">
        <v>281</v>
      </c>
      <c r="B25" s="29" t="s">
        <v>359</v>
      </c>
      <c r="C25" s="36">
        <v>-43.68</v>
      </c>
      <c r="D25" s="36">
        <v>43.68</v>
      </c>
    </row>
    <row r="26" spans="1:4" x14ac:dyDescent="0.25">
      <c r="A26" s="35" t="s">
        <v>275</v>
      </c>
      <c r="B26" s="29" t="s">
        <v>338</v>
      </c>
      <c r="C26" s="36">
        <v>-42</v>
      </c>
      <c r="D26" s="36">
        <v>42</v>
      </c>
    </row>
    <row r="27" spans="1:4" x14ac:dyDescent="0.25">
      <c r="A27" s="35" t="s">
        <v>285</v>
      </c>
      <c r="B27" s="29" t="s">
        <v>360</v>
      </c>
      <c r="C27" s="36">
        <v>-35.28</v>
      </c>
      <c r="D27" s="36">
        <v>35.28</v>
      </c>
    </row>
    <row r="28" spans="1:4" x14ac:dyDescent="0.25">
      <c r="A28" s="35" t="s">
        <v>271</v>
      </c>
      <c r="B28" s="29" t="s">
        <v>361</v>
      </c>
      <c r="C28" s="36">
        <v>-91</v>
      </c>
      <c r="D28" s="36">
        <v>91</v>
      </c>
    </row>
    <row r="29" spans="1:4" x14ac:dyDescent="0.25">
      <c r="A29" s="35" t="s">
        <v>283</v>
      </c>
      <c r="B29" s="29" t="s">
        <v>339</v>
      </c>
      <c r="C29" s="36">
        <v>-21.84</v>
      </c>
      <c r="D29" s="36">
        <v>21.84</v>
      </c>
    </row>
    <row r="30" spans="1:4" x14ac:dyDescent="0.25">
      <c r="A30" s="35" t="s">
        <v>273</v>
      </c>
      <c r="B30" s="29" t="s">
        <v>362</v>
      </c>
      <c r="C30" s="36"/>
      <c r="D30" s="36">
        <v>28</v>
      </c>
    </row>
    <row r="31" spans="1:4" x14ac:dyDescent="0.25">
      <c r="A31" s="35" t="s">
        <v>309</v>
      </c>
      <c r="B31" s="29" t="s">
        <v>363</v>
      </c>
      <c r="C31" s="36"/>
      <c r="D31" s="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22,08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2026-08-20T12:19:45Z</dcterms:created>
  <dcterms:modified xsi:type="dcterms:W3CDTF">2026-08-25T06:42:48Z</dcterms:modified>
</cp:coreProperties>
</file>