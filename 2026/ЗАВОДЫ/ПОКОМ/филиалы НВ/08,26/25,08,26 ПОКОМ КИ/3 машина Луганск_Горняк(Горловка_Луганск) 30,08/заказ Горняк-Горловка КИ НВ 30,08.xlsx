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1,08 Горняк(Горловка_Луганск) на погрузку с филиалами 29,08\"/>
    </mc:Choice>
  </mc:AlternateContent>
  <xr:revisionPtr revIDLastSave="0" documentId="13_ncr:1_{A0E2615D-AB8F-497D-998F-DE92FF7E46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<sst xmlns="http://schemas.openxmlformats.org/spreadsheetml/2006/main" count="3643" uniqueCount="787">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</sst>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80" sqref="AA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/>
      <c r="R5" s="561"/>
      <c r="T5" s="562" t="s">
        <v>3</v>
      </c>
      <c r="U5" s="563"/>
      <c r="V5" s="564" t="s">
        <v>750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 xml:space="preserve"> 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46266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hidden="1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hidden="1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hidden="1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hidden="1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hidden="1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hidden="1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hidden="1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hidden="1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hidden="1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hidden="1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hidden="1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hidden="1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hidden="1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hidden="1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hidden="1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hidden="1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hidden="1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hidden="1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hidden="1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hidden="1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67.2</v>
      </c>
      <c r="Y324" s="55">
        <f>IFERROR(IF(X324="",0,CEILING((X324/$H324),1)*$H324),"")</f>
        <v>67.2</v>
      </c>
      <c r="Z324" s="41">
        <f>IFERROR(IF(Y324=0,"",ROUNDUP(Y324/H324,0)*0.01898),"")</f>
        <v>0.15184</v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71.152000000000001</v>
      </c>
      <c r="BN324" s="78">
        <f>IFERROR(Y324*I324/H324,"0")</f>
        <v>71.152000000000001</v>
      </c>
      <c r="BO324" s="78">
        <f>IFERROR(1/J324*(X324/H324),"0")</f>
        <v>0.125</v>
      </c>
      <c r="BP324" s="78">
        <f>IFERROR(1/J324*(Y324/H324),"0")</f>
        <v>0.125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hidden="1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hidden="1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hidden="1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hidden="1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hidden="1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hidden="1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hidden="1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hidden="1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hidden="1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hidden="1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hidden="1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hidden="1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24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24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0.28704000000000002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126.72</v>
      </c>
      <c r="Y440" s="43">
        <f>IFERROR(SUM(Y427:Y438),"0")</f>
        <v>126.72</v>
      </c>
      <c r="Z440" s="42"/>
      <c r="AA440" s="67"/>
      <c r="AB440" s="67"/>
      <c r="AC440" s="67"/>
    </row>
    <row r="441" spans="1:68" ht="14.25" hidden="1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hidden="1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hidden="1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hidden="1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hidden="1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936.96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936.96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985.69600000000003</v>
      </c>
      <c r="Y489" s="43">
        <f>IFERROR(SUM(BN22:BN485),"0")</f>
        <v>985.69600000000003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1035.6959999999999</v>
      </c>
      <c r="Y491" s="43">
        <f>GrossWeightTotalR+PalletQtyTotalR*25</f>
        <v>1035.6959999999999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</v>
      </c>
      <c r="Z492" s="42"/>
      <c r="AA492" s="67"/>
      <c r="AB492" s="67"/>
      <c r="AC492" s="67"/>
    </row>
    <row r="493" spans="1:68" ht="14.25" hidden="1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1.8847399999999999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312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168.96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70"/>
        <filter val="118,00"/>
        <filter val="120,00"/>
        <filter val="126,72"/>
        <filter val="129,60"/>
        <filter val="144,00"/>
        <filter val="16,00"/>
        <filter val="177,60"/>
        <filter val="2"/>
        <filter val="24,00"/>
        <filter val="240,00"/>
        <filter val="30,00"/>
        <filter val="33,60"/>
        <filter val="42,24"/>
        <filter val="62,40"/>
        <filter val="67,20"/>
        <filter val="72,00"/>
        <filter val="8,00"/>
        <filter val="84,48"/>
        <filter val="86,40"/>
        <filter val="936,96"/>
        <filter val="985,7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