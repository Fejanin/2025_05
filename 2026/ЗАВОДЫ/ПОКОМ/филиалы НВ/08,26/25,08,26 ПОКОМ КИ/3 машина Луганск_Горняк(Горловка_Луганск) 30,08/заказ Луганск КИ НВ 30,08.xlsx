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1FC9A0E-BBDC-4B38-9DF9-C240FB0F98D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2" i="1" l="1"/>
  <c r="P562" i="1"/>
  <c r="X551" i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X413" i="1"/>
  <c r="Y412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Y348" i="1" s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Y248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Y242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P189" i="1"/>
  <c r="BO189" i="1"/>
  <c r="BN189" i="1"/>
  <c r="BM189" i="1"/>
  <c r="Z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Y171" i="1" s="1"/>
  <c r="P169" i="1"/>
  <c r="X167" i="1"/>
  <c r="X166" i="1"/>
  <c r="BP165" i="1"/>
  <c r="BO165" i="1"/>
  <c r="BN165" i="1"/>
  <c r="BM165" i="1"/>
  <c r="Z165" i="1"/>
  <c r="Y165" i="1"/>
  <c r="P165" i="1"/>
  <c r="BO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BP135" i="1" s="1"/>
  <c r="P135" i="1"/>
  <c r="BP134" i="1"/>
  <c r="BO134" i="1"/>
  <c r="BN134" i="1"/>
  <c r="BM134" i="1"/>
  <c r="Z134" i="1"/>
  <c r="Y134" i="1"/>
  <c r="Y138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G562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BO83" i="1"/>
  <c r="BM83" i="1"/>
  <c r="Y83" i="1"/>
  <c r="F562" i="1" s="1"/>
  <c r="P83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X53" i="1"/>
  <c r="X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D562" i="1" s="1"/>
  <c r="P48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2" i="1" s="1"/>
  <c r="X24" i="1"/>
  <c r="X556" i="1" s="1"/>
  <c r="BP23" i="1"/>
  <c r="BO23" i="1"/>
  <c r="BN23" i="1"/>
  <c r="BM23" i="1"/>
  <c r="Z23" i="1"/>
  <c r="Y23" i="1"/>
  <c r="P23" i="1"/>
  <c r="BO22" i="1"/>
  <c r="X554" i="1" s="1"/>
  <c r="BM22" i="1"/>
  <c r="X553" i="1" s="1"/>
  <c r="X555" i="1" s="1"/>
  <c r="Y22" i="1"/>
  <c r="B562" i="1" s="1"/>
  <c r="P22" i="1"/>
  <c r="H10" i="1"/>
  <c r="A9" i="1"/>
  <c r="F10" i="1" s="1"/>
  <c r="D7" i="1"/>
  <c r="Q6" i="1"/>
  <c r="P2" i="1"/>
  <c r="Z43" i="1" l="1"/>
  <c r="Z94" i="1"/>
  <c r="Z79" i="1"/>
  <c r="Z138" i="1"/>
  <c r="H9" i="1"/>
  <c r="A10" i="1"/>
  <c r="Y24" i="1"/>
  <c r="Y32" i="1"/>
  <c r="Y44" i="1"/>
  <c r="Y52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2" i="1"/>
  <c r="Z38" i="1"/>
  <c r="BN38" i="1"/>
  <c r="Z40" i="1"/>
  <c r="BN40" i="1"/>
  <c r="Z42" i="1"/>
  <c r="BN42" i="1"/>
  <c r="Y43" i="1"/>
  <c r="Z48" i="1"/>
  <c r="Z52" i="1" s="1"/>
  <c r="BN48" i="1"/>
  <c r="BP48" i="1"/>
  <c r="Z50" i="1"/>
  <c r="BN50" i="1"/>
  <c r="Y53" i="1"/>
  <c r="E562" i="1"/>
  <c r="Z57" i="1"/>
  <c r="Z62" i="1" s="1"/>
  <c r="BN57" i="1"/>
  <c r="Z59" i="1"/>
  <c r="BN59" i="1"/>
  <c r="Z61" i="1"/>
  <c r="BN61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Z191" i="1" s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Y289" i="1"/>
  <c r="BP281" i="1"/>
  <c r="BN281" i="1"/>
  <c r="Z281" i="1"/>
  <c r="BP285" i="1"/>
  <c r="BN285" i="1"/>
  <c r="Z285" i="1"/>
  <c r="BP298" i="1"/>
  <c r="BN298" i="1"/>
  <c r="Z298" i="1"/>
  <c r="Z304" i="1" s="1"/>
  <c r="Y304" i="1"/>
  <c r="BP302" i="1"/>
  <c r="BN302" i="1"/>
  <c r="Z302" i="1"/>
  <c r="BP341" i="1"/>
  <c r="BN341" i="1"/>
  <c r="Z341" i="1"/>
  <c r="Z348" i="1"/>
  <c r="BP391" i="1"/>
  <c r="BN391" i="1"/>
  <c r="Z391" i="1"/>
  <c r="Z394" i="1" s="1"/>
  <c r="Y395" i="1"/>
  <c r="BP399" i="1"/>
  <c r="BN399" i="1"/>
  <c r="Z399" i="1"/>
  <c r="Y401" i="1"/>
  <c r="Y406" i="1"/>
  <c r="BP403" i="1"/>
  <c r="BN403" i="1"/>
  <c r="Z403" i="1"/>
  <c r="Y407" i="1"/>
  <c r="BP417" i="1"/>
  <c r="BN417" i="1"/>
  <c r="Z417" i="1"/>
  <c r="Z419" i="1" s="1"/>
  <c r="Y419" i="1"/>
  <c r="Y63" i="1"/>
  <c r="Z66" i="1"/>
  <c r="Z69" i="1" s="1"/>
  <c r="BN66" i="1"/>
  <c r="Z68" i="1"/>
  <c r="BN68" i="1"/>
  <c r="Z72" i="1"/>
  <c r="Z74" i="1" s="1"/>
  <c r="BN72" i="1"/>
  <c r="BP72" i="1"/>
  <c r="Z78" i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Z120" i="1" s="1"/>
  <c r="BN116" i="1"/>
  <c r="BP116" i="1"/>
  <c r="Z118" i="1"/>
  <c r="BN118" i="1"/>
  <c r="H562" i="1"/>
  <c r="Z129" i="1"/>
  <c r="Z131" i="1" s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Z155" i="1" s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BP164" i="1"/>
  <c r="BN164" i="1"/>
  <c r="Y166" i="1"/>
  <c r="BP170" i="1"/>
  <c r="BN170" i="1"/>
  <c r="Z170" i="1"/>
  <c r="Z171" i="1" s="1"/>
  <c r="Y172" i="1"/>
  <c r="Y185" i="1"/>
  <c r="BP174" i="1"/>
  <c r="BN174" i="1"/>
  <c r="Z174" i="1"/>
  <c r="Z185" i="1" s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Z241" i="1" s="1"/>
  <c r="Y241" i="1"/>
  <c r="Z247" i="1"/>
  <c r="BP245" i="1"/>
  <c r="BN245" i="1"/>
  <c r="Z245" i="1"/>
  <c r="Y262" i="1"/>
  <c r="BP266" i="1"/>
  <c r="BN266" i="1"/>
  <c r="Z266" i="1"/>
  <c r="BP270" i="1"/>
  <c r="BN270" i="1"/>
  <c r="Z270" i="1"/>
  <c r="BP323" i="1"/>
  <c r="BN323" i="1"/>
  <c r="Z323" i="1"/>
  <c r="Z327" i="1" s="1"/>
  <c r="Y327" i="1"/>
  <c r="Z334" i="1"/>
  <c r="BP332" i="1"/>
  <c r="BN332" i="1"/>
  <c r="Z332" i="1"/>
  <c r="Y334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Z288" i="1" s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Z318" i="1"/>
  <c r="BP316" i="1"/>
  <c r="BN316" i="1"/>
  <c r="Z316" i="1"/>
  <c r="Y328" i="1"/>
  <c r="BP325" i="1"/>
  <c r="BN325" i="1"/>
  <c r="Z325" i="1"/>
  <c r="Z343" i="1"/>
  <c r="BP339" i="1"/>
  <c r="BN339" i="1"/>
  <c r="Z339" i="1"/>
  <c r="Y343" i="1"/>
  <c r="BP347" i="1"/>
  <c r="BN347" i="1"/>
  <c r="Z347" i="1"/>
  <c r="Y349" i="1"/>
  <c r="S562" i="1"/>
  <c r="Y355" i="1"/>
  <c r="BP352" i="1"/>
  <c r="BN352" i="1"/>
  <c r="Z352" i="1"/>
  <c r="Z355" i="1" s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Z381" i="1" s="1"/>
  <c r="Y381" i="1"/>
  <c r="Z387" i="1"/>
  <c r="BP385" i="1"/>
  <c r="BN385" i="1"/>
  <c r="Z385" i="1"/>
  <c r="Y394" i="1"/>
  <c r="BP393" i="1"/>
  <c r="BN393" i="1"/>
  <c r="Z393" i="1"/>
  <c r="Y400" i="1"/>
  <c r="BP397" i="1"/>
  <c r="BN397" i="1"/>
  <c r="Z397" i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Z432" i="1" s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522" i="1" l="1"/>
  <c r="Z465" i="1"/>
  <c r="Z444" i="1"/>
  <c r="Y554" i="1"/>
  <c r="Y556" i="1"/>
  <c r="Z506" i="1"/>
  <c r="Z476" i="1"/>
  <c r="Z492" i="1"/>
  <c r="Z400" i="1"/>
  <c r="Z374" i="1"/>
  <c r="Z364" i="1"/>
  <c r="Z273" i="1"/>
  <c r="Z211" i="1"/>
  <c r="Z144" i="1"/>
  <c r="Z113" i="1"/>
  <c r="Z105" i="1"/>
  <c r="Z87" i="1"/>
  <c r="Z557" i="1" s="1"/>
  <c r="Z406" i="1"/>
  <c r="Z233" i="1"/>
  <c r="Y552" i="1"/>
  <c r="Y553" i="1"/>
  <c r="Y555" i="1" s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<sst xmlns="http://schemas.openxmlformats.org/spreadsheetml/2006/main" count="2497" uniqueCount="905">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</sst>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37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30</v>
      </c>
      <c r="Y29" s="630">
        <f>IFERROR(IF(X29="",0,CEILING((X29/$H29),1)*$H29),"")</f>
        <v>30.6</v>
      </c>
      <c r="Z29" s="36">
        <f>IFERROR(IF(Y29=0,"",ROUNDUP(Y29/H29,0)*0.00651),"")</f>
        <v>0.11067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53</v>
      </c>
      <c r="BN29" s="64">
        <f>IFERROR(Y29*I29/H29,"0")</f>
        <v>54.06</v>
      </c>
      <c r="BO29" s="64">
        <f>IFERROR(1/J29*(X29/H29),"0")</f>
        <v>9.1575091575091583E-2</v>
      </c>
      <c r="BP29" s="64">
        <f>IFERROR(1/J29*(Y29/H29),"0")</f>
        <v>9.3406593406593408E-2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32</v>
      </c>
      <c r="Y30" s="630">
        <f>IFERROR(IF(X30="",0,CEILING((X30/$H30),1)*$H30),"")</f>
        <v>32.4</v>
      </c>
      <c r="Z30" s="36">
        <f>IFERROR(IF(Y30=0,"",ROUNDUP(Y30/H30,0)*0.00651),"")</f>
        <v>0.11718000000000001</v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56.533333333333331</v>
      </c>
      <c r="BN30" s="64">
        <f>IFERROR(Y30*I30/H30,"0")</f>
        <v>57.239999999999995</v>
      </c>
      <c r="BO30" s="64">
        <f>IFERROR(1/J30*(X30/H30),"0")</f>
        <v>9.7680097680097694E-2</v>
      </c>
      <c r="BP30" s="64">
        <f>IFERROR(1/J30*(Y30/H30),"0")</f>
        <v>9.8901098901098911E-2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34.444444444444443</v>
      </c>
      <c r="Y32" s="631">
        <f>IFERROR(Y27/H27,"0")+IFERROR(Y28/H28,"0")+IFERROR(Y29/H29,"0")+IFERROR(Y30/H30,"0")+IFERROR(Y31/H31,"0")</f>
        <v>35</v>
      </c>
      <c r="Z32" s="631">
        <f>IFERROR(IF(Z27="",0,Z27),"0")+IFERROR(IF(Z28="",0,Z28),"0")+IFERROR(IF(Z29="",0,Z29),"0")+IFERROR(IF(Z30="",0,Z30),"0")+IFERROR(IF(Z31="",0,Z31),"0")</f>
        <v>0.22785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62</v>
      </c>
      <c r="Y33" s="631">
        <f>IFERROR(SUM(Y27:Y31),"0")</f>
        <v>63</v>
      </c>
      <c r="Z33" s="37"/>
      <c r="AA33" s="632"/>
      <c r="AB33" s="632"/>
      <c r="AC33" s="632"/>
    </row>
    <row r="34" spans="1:68" ht="27.75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29</v>
      </c>
      <c r="Y56" s="630">
        <f t="shared" ref="Y56:Y61" si="6">IFERROR(IF(X56="",0,CEILING((X56/$H56),1)*$H56),"")</f>
        <v>33.599999999999994</v>
      </c>
      <c r="Z56" s="36">
        <f>IFERROR(IF(Y56=0,"",ROUNDUP(Y56/H56,0)*0.01898),"")</f>
        <v>5.6940000000000004E-2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30.061607142857145</v>
      </c>
      <c r="BN56" s="64">
        <f t="shared" ref="BN56:BN61" si="8">IFERROR(Y56*I56/H56,"0")</f>
        <v>34.829999999999991</v>
      </c>
      <c r="BO56" s="64">
        <f t="shared" ref="BO56:BO61" si="9">IFERROR(1/J56*(X56/H56),"0")</f>
        <v>4.0457589285714288E-2</v>
      </c>
      <c r="BP56" s="64">
        <f t="shared" ref="BP56:BP61" si="10">IFERROR(1/J56*(Y56/H56),"0")</f>
        <v>4.6874999999999993E-2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34</v>
      </c>
      <c r="Y59" s="630">
        <f t="shared" si="6"/>
        <v>36</v>
      </c>
      <c r="Z59" s="36">
        <f>IFERROR(IF(Y59=0,"",ROUNDUP(Y59/H59,0)*0.00902),"")</f>
        <v>8.1180000000000002E-2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35.615000000000002</v>
      </c>
      <c r="BN59" s="64">
        <f t="shared" si="8"/>
        <v>37.71</v>
      </c>
      <c r="BO59" s="64">
        <f t="shared" si="9"/>
        <v>6.4393939393939392E-2</v>
      </c>
      <c r="BP59" s="64">
        <f t="shared" si="10"/>
        <v>6.8181818181818177E-2</v>
      </c>
    </row>
    <row r="60" spans="1:68" ht="27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72</v>
      </c>
      <c r="Y61" s="630">
        <f t="shared" si="6"/>
        <v>72</v>
      </c>
      <c r="Z61" s="36">
        <f>IFERROR(IF(Y61=0,"",ROUNDUP(Y61/H61,0)*0.00902),"")</f>
        <v>0.14432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75.040000000000006</v>
      </c>
      <c r="BN61" s="64">
        <f t="shared" si="8"/>
        <v>75.040000000000006</v>
      </c>
      <c r="BO61" s="64">
        <f t="shared" si="9"/>
        <v>0.12121212121212122</v>
      </c>
      <c r="BP61" s="64">
        <f t="shared" si="10"/>
        <v>0.12121212121212122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27.089285714285715</v>
      </c>
      <c r="Y62" s="631">
        <f>IFERROR(Y56/H56,"0")+IFERROR(Y57/H57,"0")+IFERROR(Y58/H58,"0")+IFERROR(Y59/H59,"0")+IFERROR(Y60/H60,"0")+IFERROR(Y61/H61,"0")</f>
        <v>28</v>
      </c>
      <c r="Z62" s="631">
        <f>IFERROR(IF(Z56="",0,Z56),"0")+IFERROR(IF(Z57="",0,Z57),"0")+IFERROR(IF(Z58="",0,Z58),"0")+IFERROR(IF(Z59="",0,Z59),"0")+IFERROR(IF(Z60="",0,Z60),"0")+IFERROR(IF(Z61="",0,Z61),"0")</f>
        <v>0.28244000000000002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135</v>
      </c>
      <c r="Y63" s="631">
        <f>IFERROR(SUM(Y56:Y61),"0")</f>
        <v>141.6</v>
      </c>
      <c r="Z63" s="37"/>
      <c r="AA63" s="632"/>
      <c r="AB63" s="632"/>
      <c r="AC63" s="632"/>
    </row>
    <row r="64" spans="1:68" ht="14.25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144</v>
      </c>
      <c r="Y65" s="630">
        <f>IFERROR(IF(X65="",0,CEILING((X65/$H65),1)*$H65),"")</f>
        <v>151.20000000000002</v>
      </c>
      <c r="Z65" s="36">
        <f>IFERROR(IF(Y65=0,"",ROUNDUP(Y65/H65,0)*0.01898),"")</f>
        <v>0.26572000000000001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149.46666666666667</v>
      </c>
      <c r="BN65" s="64">
        <f>IFERROR(Y65*I65/H65,"0")</f>
        <v>156.94</v>
      </c>
      <c r="BO65" s="64">
        <f>IFERROR(1/J65*(X65/H65),"0")</f>
        <v>0.20833333333333331</v>
      </c>
      <c r="BP65" s="64">
        <f>IFERROR(1/J65*(Y65/H65),"0")</f>
        <v>0.21875</v>
      </c>
    </row>
    <row r="66" spans="1:68" ht="16.5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13.333333333333332</v>
      </c>
      <c r="Y69" s="631">
        <f>IFERROR(Y65/H65,"0")+IFERROR(Y66/H66,"0")+IFERROR(Y67/H67,"0")+IFERROR(Y68/H68,"0")</f>
        <v>14</v>
      </c>
      <c r="Z69" s="631">
        <f>IFERROR(IF(Z65="",0,Z65),"0")+IFERROR(IF(Z66="",0,Z66),"0")+IFERROR(IF(Z67="",0,Z67),"0")+IFERROR(IF(Z68="",0,Z68),"0")</f>
        <v>0.26572000000000001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144</v>
      </c>
      <c r="Y70" s="631">
        <f>IFERROR(SUM(Y65:Y68),"0")</f>
        <v>151.20000000000002</v>
      </c>
      <c r="Z70" s="37"/>
      <c r="AA70" s="632"/>
      <c r="AB70" s="632"/>
      <c r="AC70" s="632"/>
    </row>
    <row r="71" spans="1:68" ht="14.25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104</v>
      </c>
      <c r="Y77" s="630">
        <f>IFERROR(IF(X77="",0,CEILING((X77/$H77),1)*$H77),"")</f>
        <v>109.2</v>
      </c>
      <c r="Z77" s="36">
        <f>IFERROR(IF(Y77=0,"",ROUNDUP(Y77/H77,0)*0.01898),"")</f>
        <v>0.26572000000000001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109.46666666666668</v>
      </c>
      <c r="BN77" s="64">
        <f>IFERROR(Y77*I77/H77,"0")</f>
        <v>114.94000000000003</v>
      </c>
      <c r="BO77" s="64">
        <f>IFERROR(1/J77*(X77/H77),"0")</f>
        <v>0.20833333333333334</v>
      </c>
      <c r="BP77" s="64">
        <f>IFERROR(1/J77*(Y77/H77),"0")</f>
        <v>0.21875</v>
      </c>
    </row>
    <row r="78" spans="1:68" ht="27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13.333333333333334</v>
      </c>
      <c r="Y79" s="631">
        <f>IFERROR(Y77/H77,"0")+IFERROR(Y78/H78,"0")</f>
        <v>14</v>
      </c>
      <c r="Z79" s="631">
        <f>IFERROR(IF(Z77="",0,Z77),"0")+IFERROR(IF(Z78="",0,Z78),"0")</f>
        <v>0.26572000000000001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104</v>
      </c>
      <c r="Y80" s="631">
        <f>IFERROR(SUM(Y77:Y78),"0")</f>
        <v>109.2</v>
      </c>
      <c r="Z80" s="37"/>
      <c r="AA80" s="632"/>
      <c r="AB80" s="632"/>
      <c r="AC80" s="632"/>
    </row>
    <row r="81" spans="1:68" ht="16.5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1</v>
      </c>
      <c r="Y84" s="630">
        <f>IFERROR(IF(X84="",0,CEILING((X84/$H84),1)*$H84),"")</f>
        <v>1.7</v>
      </c>
      <c r="Z84" s="36">
        <f>IFERROR(IF(Y84=0,"",ROUNDUP(Y84/H84,0)*0.00726),"")</f>
        <v>7.26E-3</v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1.0588235294117647</v>
      </c>
      <c r="BN84" s="64">
        <f>IFERROR(Y84*I84/H84,"0")</f>
        <v>1.8</v>
      </c>
      <c r="BO84" s="64">
        <f>IFERROR(1/J84*(X84/H84),"0")</f>
        <v>3.0637254901960784E-3</v>
      </c>
      <c r="BP84" s="64">
        <f>IFERROR(1/J84*(Y84/H84),"0")</f>
        <v>5.208333333333333E-3</v>
      </c>
    </row>
    <row r="85" spans="1:68" ht="27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51</v>
      </c>
      <c r="Y86" s="630">
        <f>IFERROR(IF(X86="",0,CEILING((X86/$H86),1)*$H86),"")</f>
        <v>54</v>
      </c>
      <c r="Z86" s="36">
        <f>IFERROR(IF(Y86=0,"",ROUNDUP(Y86/H86,0)*0.00902),"")</f>
        <v>0.10824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53.153333333333336</v>
      </c>
      <c r="BN86" s="64">
        <f>IFERROR(Y86*I86/H86,"0")</f>
        <v>56.28</v>
      </c>
      <c r="BO86" s="64">
        <f>IFERROR(1/J86*(X86/H86),"0")</f>
        <v>8.585858585858587E-2</v>
      </c>
      <c r="BP86" s="64">
        <f>IFERROR(1/J86*(Y86/H86),"0")</f>
        <v>9.0909090909090912E-2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11.921568627450981</v>
      </c>
      <c r="Y87" s="631">
        <f>IFERROR(Y83/H83,"0")+IFERROR(Y84/H84,"0")+IFERROR(Y85/H85,"0")+IFERROR(Y86/H86,"0")</f>
        <v>13</v>
      </c>
      <c r="Z87" s="631">
        <f>IFERROR(IF(Z83="",0,Z83),"0")+IFERROR(IF(Z84="",0,Z84),"0")+IFERROR(IF(Z85="",0,Z85),"0")+IFERROR(IF(Z86="",0,Z86),"0")</f>
        <v>0.11550000000000001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52</v>
      </c>
      <c r="Y88" s="631">
        <f>IFERROR(SUM(Y83:Y86),"0")</f>
        <v>55.7</v>
      </c>
      <c r="Z88" s="37"/>
      <c r="AA88" s="632"/>
      <c r="AB88" s="632"/>
      <c r="AC88" s="632"/>
    </row>
    <row r="89" spans="1:68" ht="14.25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542</v>
      </c>
      <c r="Y90" s="630">
        <f>IFERROR(IF(X90="",0,CEILING((X90/$H90),1)*$H90),"")</f>
        <v>542.69999999999993</v>
      </c>
      <c r="Z90" s="36">
        <f>IFERROR(IF(Y90=0,"",ROUNDUP(Y90/H90,0)*0.01898),"")</f>
        <v>1.27166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575.05530864197522</v>
      </c>
      <c r="BN90" s="64">
        <f>IFERROR(Y90*I90/H90,"0")</f>
        <v>575.798</v>
      </c>
      <c r="BO90" s="64">
        <f>IFERROR(1/J90*(X90/H90),"0")</f>
        <v>1.0455246913580247</v>
      </c>
      <c r="BP90" s="64">
        <f>IFERROR(1/J90*(Y90/H90),"0")</f>
        <v>1.046875</v>
      </c>
    </row>
    <row r="91" spans="1:68" ht="27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114</v>
      </c>
      <c r="Y92" s="630">
        <f>IFERROR(IF(X92="",0,CEILING((X92/$H92),1)*$H92),"")</f>
        <v>116.10000000000001</v>
      </c>
      <c r="Z92" s="36">
        <f>IFERROR(IF(Y92=0,"",ROUNDUP(Y92/H92,0)*0.00651),"")</f>
        <v>0.27993000000000001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124.64</v>
      </c>
      <c r="BN92" s="64">
        <f>IFERROR(Y92*I92/H92,"0")</f>
        <v>126.93600000000001</v>
      </c>
      <c r="BO92" s="64">
        <f>IFERROR(1/J92*(X92/H92),"0")</f>
        <v>0.231990231990232</v>
      </c>
      <c r="BP92" s="64">
        <f>IFERROR(1/J92*(Y92/H92),"0")</f>
        <v>0.23626373626373628</v>
      </c>
    </row>
    <row r="93" spans="1:68" ht="16.5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109.1358024691358</v>
      </c>
      <c r="Y94" s="631">
        <f>IFERROR(Y90/H90,"0")+IFERROR(Y91/H91,"0")+IFERROR(Y92/H92,"0")+IFERROR(Y93/H93,"0")</f>
        <v>110</v>
      </c>
      <c r="Z94" s="631">
        <f>IFERROR(IF(Z90="",0,Z90),"0")+IFERROR(IF(Z91="",0,Z91),"0")+IFERROR(IF(Z92="",0,Z92),"0")+IFERROR(IF(Z93="",0,Z93),"0")</f>
        <v>1.55159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656</v>
      </c>
      <c r="Y95" s="631">
        <f>IFERROR(SUM(Y90:Y93),"0")</f>
        <v>658.8</v>
      </c>
      <c r="Z95" s="37"/>
      <c r="AA95" s="632"/>
      <c r="AB95" s="632"/>
      <c r="AC95" s="632"/>
    </row>
    <row r="96" spans="1:68" ht="16.5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150</v>
      </c>
      <c r="Y98" s="630">
        <f t="shared" ref="Y98:Y104" si="11">IFERROR(IF(X98="",0,CEILING((X98/$H98),1)*$H98),"")</f>
        <v>151.20000000000002</v>
      </c>
      <c r="Z98" s="36">
        <f>IFERROR(IF(Y98=0,"",ROUNDUP(Y98/H98,0)*0.01898),"")</f>
        <v>0.26572000000000001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155.69444444444446</v>
      </c>
      <c r="BN98" s="64">
        <f t="shared" ref="BN98:BN104" si="13">IFERROR(Y98*I98/H98,"0")</f>
        <v>156.94</v>
      </c>
      <c r="BO98" s="64">
        <f t="shared" ref="BO98:BO104" si="14">IFERROR(1/J98*(X98/H98),"0")</f>
        <v>0.21701388888888887</v>
      </c>
      <c r="BP98" s="64">
        <f t="shared" ref="BP98:BP104" si="15">IFERROR(1/J98*(Y98/H98),"0")</f>
        <v>0.21875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13.888888888888888</v>
      </c>
      <c r="Y105" s="631">
        <f>IFERROR(Y98/H98,"0")+IFERROR(Y99/H99,"0")+IFERROR(Y100/H100,"0")+IFERROR(Y101/H101,"0")+IFERROR(Y102/H102,"0")+IFERROR(Y103/H103,"0")+IFERROR(Y104/H104,"0")</f>
        <v>14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0.26572000000000001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150</v>
      </c>
      <c r="Y106" s="631">
        <f>IFERROR(SUM(Y98:Y104),"0")</f>
        <v>151.20000000000002</v>
      </c>
      <c r="Z106" s="37"/>
      <c r="AA106" s="632"/>
      <c r="AB106" s="632"/>
      <c r="AC106" s="632"/>
    </row>
    <row r="107" spans="1:68" ht="14.25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123</v>
      </c>
      <c r="Y108" s="630">
        <f>IFERROR(IF(X108="",0,CEILING((X108/$H108),1)*$H108),"")</f>
        <v>129.60000000000002</v>
      </c>
      <c r="Z108" s="36">
        <f>IFERROR(IF(Y108=0,"",ROUNDUP(Y108/H108,0)*0.01898),"")</f>
        <v>0.22776000000000002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127.66944444444445</v>
      </c>
      <c r="BN108" s="64">
        <f>IFERROR(Y108*I108/H108,"0")</f>
        <v>134.52000000000001</v>
      </c>
      <c r="BO108" s="64">
        <f>IFERROR(1/J108*(X108/H108),"0")</f>
        <v>0.17795138888888887</v>
      </c>
      <c r="BP108" s="64">
        <f>IFERROR(1/J108*(Y108/H108),"0")</f>
        <v>0.18750000000000003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2</v>
      </c>
      <c r="Y109" s="630">
        <f>IFERROR(IF(X109="",0,CEILING((X109/$H109),1)*$H109),"")</f>
        <v>2</v>
      </c>
      <c r="Z109" s="36">
        <f>IFERROR(IF(Y109=0,"",ROUNDUP(Y109/H109,0)*0.00358),"")</f>
        <v>7.1599999999999997E-3</v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2.42</v>
      </c>
      <c r="BN109" s="64">
        <f>IFERROR(Y109*I109/H109,"0")</f>
        <v>2.42</v>
      </c>
      <c r="BO109" s="64">
        <f>IFERROR(1/J109*(X109/H109),"0")</f>
        <v>5.1020408163265302E-3</v>
      </c>
      <c r="BP109" s="64">
        <f>IFERROR(1/J109*(Y109/H109),"0")</f>
        <v>5.1020408163265302E-3</v>
      </c>
    </row>
    <row r="110" spans="1:68" ht="27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58</v>
      </c>
      <c r="Y112" s="630">
        <f>IFERROR(IF(X112="",0,CEILING((X112/$H112),1)*$H112),"")</f>
        <v>60</v>
      </c>
      <c r="Z112" s="36">
        <f>IFERROR(IF(Y112=0,"",ROUNDUP(Y112/H112,0)*0.00651),"")</f>
        <v>0.16275000000000001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62.350000000000009</v>
      </c>
      <c r="BN112" s="64">
        <f>IFERROR(Y112*I112/H112,"0")</f>
        <v>64.500000000000014</v>
      </c>
      <c r="BO112" s="64">
        <f>IFERROR(1/J112*(X112/H112),"0")</f>
        <v>0.13278388278388281</v>
      </c>
      <c r="BP112" s="64">
        <f>IFERROR(1/J112*(Y112/H112),"0")</f>
        <v>0.13736263736263737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37.555555555555557</v>
      </c>
      <c r="Y113" s="631">
        <f>IFERROR(Y108/H108,"0")+IFERROR(Y109/H109,"0")+IFERROR(Y110/H110,"0")+IFERROR(Y111/H111,"0")+IFERROR(Y112/H112,"0")</f>
        <v>39</v>
      </c>
      <c r="Z113" s="631">
        <f>IFERROR(IF(Z108="",0,Z108),"0")+IFERROR(IF(Z109="",0,Z109),"0")+IFERROR(IF(Z110="",0,Z110),"0")+IFERROR(IF(Z111="",0,Z111),"0")+IFERROR(IF(Z112="",0,Z112),"0")</f>
        <v>0.39767000000000002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183</v>
      </c>
      <c r="Y114" s="631">
        <f>IFERROR(SUM(Y108:Y112),"0")</f>
        <v>191.60000000000002</v>
      </c>
      <c r="Z114" s="37"/>
      <c r="AA114" s="632"/>
      <c r="AB114" s="632"/>
      <c r="AC114" s="632"/>
    </row>
    <row r="115" spans="1:68" ht="14.25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460</v>
      </c>
      <c r="Y116" s="630">
        <f>IFERROR(IF(X116="",0,CEILING((X116/$H116),1)*$H116),"")</f>
        <v>461.7</v>
      </c>
      <c r="Z116" s="36">
        <f>IFERROR(IF(Y116=0,"",ROUNDUP(Y116/H116,0)*0.01898),"")</f>
        <v>1.08186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487.71358024691352</v>
      </c>
      <c r="BN116" s="64">
        <f>IFERROR(Y116*I116/H116,"0")</f>
        <v>489.51599999999996</v>
      </c>
      <c r="BO116" s="64">
        <f>IFERROR(1/J116*(X116/H116),"0")</f>
        <v>0.88734567901234573</v>
      </c>
      <c r="BP116" s="64">
        <f>IFERROR(1/J116*(Y116/H116),"0")</f>
        <v>0.890625</v>
      </c>
    </row>
    <row r="117" spans="1:68" ht="27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193</v>
      </c>
      <c r="Y118" s="630">
        <f>IFERROR(IF(X118="",0,CEILING((X118/$H118),1)*$H118),"")</f>
        <v>194.4</v>
      </c>
      <c r="Z118" s="36">
        <f>IFERROR(IF(Y118=0,"",ROUNDUP(Y118/H118,0)*0.00651),"")</f>
        <v>0.46872000000000003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211.01333333333332</v>
      </c>
      <c r="BN118" s="64">
        <f>IFERROR(Y118*I118/H118,"0")</f>
        <v>212.54399999999998</v>
      </c>
      <c r="BO118" s="64">
        <f>IFERROR(1/J118*(X118/H118),"0")</f>
        <v>0.39275539275539278</v>
      </c>
      <c r="BP118" s="64">
        <f>IFERROR(1/J118*(Y118/H118),"0")</f>
        <v>0.39560439560439564</v>
      </c>
    </row>
    <row r="119" spans="1:68" ht="16.5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128.27160493827159</v>
      </c>
      <c r="Y120" s="631">
        <f>IFERROR(Y116/H116,"0")+IFERROR(Y117/H117,"0")+IFERROR(Y118/H118,"0")+IFERROR(Y119/H119,"0")</f>
        <v>129</v>
      </c>
      <c r="Z120" s="631">
        <f>IFERROR(IF(Z116="",0,Z116),"0")+IFERROR(IF(Z117="",0,Z117),"0")+IFERROR(IF(Z118="",0,Z118),"0")+IFERROR(IF(Z119="",0,Z119),"0")</f>
        <v>1.5505800000000001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653</v>
      </c>
      <c r="Y121" s="631">
        <f>IFERROR(SUM(Y116:Y119),"0")</f>
        <v>656.1</v>
      </c>
      <c r="Z121" s="37"/>
      <c r="AA121" s="632"/>
      <c r="AB121" s="632"/>
      <c r="AC121" s="632"/>
    </row>
    <row r="122" spans="1:68" ht="14.25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39</v>
      </c>
      <c r="Y129" s="630">
        <f>IFERROR(IF(X129="",0,CEILING((X129/$H129),1)*$H129),"")</f>
        <v>41.6</v>
      </c>
      <c r="Z129" s="36">
        <f>IFERROR(IF(Y129=0,"",ROUNDUP(Y129/H129,0)*0.00651),"")</f>
        <v>8.4629999999999997E-2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41.193749999999994</v>
      </c>
      <c r="BN129" s="64">
        <f>IFERROR(Y129*I129/H129,"0")</f>
        <v>43.94</v>
      </c>
      <c r="BO129" s="64">
        <f>IFERROR(1/J129*(X129/H129),"0")</f>
        <v>6.6964285714285726E-2</v>
      </c>
      <c r="BP129" s="64">
        <f>IFERROR(1/J129*(Y129/H129),"0")</f>
        <v>7.1428571428571438E-2</v>
      </c>
    </row>
    <row r="130" spans="1:68" ht="27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12.1875</v>
      </c>
      <c r="Y131" s="631">
        <f>IFERROR(Y128/H128,"0")+IFERROR(Y129/H129,"0")+IFERROR(Y130/H130,"0")</f>
        <v>13</v>
      </c>
      <c r="Z131" s="631">
        <f>IFERROR(IF(Z128="",0,Z128),"0")+IFERROR(IF(Z129="",0,Z129),"0")+IFERROR(IF(Z130="",0,Z130),"0")</f>
        <v>8.4629999999999997E-2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39</v>
      </c>
      <c r="Y132" s="631">
        <f>IFERROR(SUM(Y128:Y130),"0")</f>
        <v>41.6</v>
      </c>
      <c r="Z132" s="37"/>
      <c r="AA132" s="632"/>
      <c r="AB132" s="632"/>
      <c r="AC132" s="632"/>
    </row>
    <row r="133" spans="1:68" ht="14.25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13</v>
      </c>
      <c r="Y135" s="630">
        <f>IFERROR(IF(X135="",0,CEILING((X135/$H135),1)*$H135),"")</f>
        <v>14</v>
      </c>
      <c r="Z135" s="36">
        <f>IFERROR(IF(Y135=0,"",ROUNDUP(Y135/H135,0)*0.00651),"")</f>
        <v>3.2550000000000003E-2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14.244285714285715</v>
      </c>
      <c r="BN135" s="64">
        <f>IFERROR(Y135*I135/H135,"0")</f>
        <v>15.34</v>
      </c>
      <c r="BO135" s="64">
        <f>IFERROR(1/J135*(X135/H135),"0")</f>
        <v>2.5510204081632657E-2</v>
      </c>
      <c r="BP135" s="64">
        <f>IFERROR(1/J135*(Y135/H135),"0")</f>
        <v>2.7472527472527476E-2</v>
      </c>
    </row>
    <row r="136" spans="1:68" ht="27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4.6428571428571432</v>
      </c>
      <c r="Y138" s="631">
        <f>IFERROR(Y134/H134,"0")+IFERROR(Y135/H135,"0")+IFERROR(Y136/H136,"0")+IFERROR(Y137/H137,"0")</f>
        <v>5</v>
      </c>
      <c r="Z138" s="631">
        <f>IFERROR(IF(Z134="",0,Z134),"0")+IFERROR(IF(Z135="",0,Z135),"0")+IFERROR(IF(Z136="",0,Z136),"0")+IFERROR(IF(Z137="",0,Z137),"0")</f>
        <v>3.2550000000000003E-2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13</v>
      </c>
      <c r="Y139" s="631">
        <f>IFERROR(SUM(Y134:Y137),"0")</f>
        <v>14</v>
      </c>
      <c r="Z139" s="37"/>
      <c r="AA139" s="632"/>
      <c r="AB139" s="632"/>
      <c r="AC139" s="632"/>
    </row>
    <row r="140" spans="1:68" ht="14.25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12</v>
      </c>
      <c r="Y142" s="630">
        <f>IFERROR(IF(X142="",0,CEILING((X142/$H142),1)*$H142),"")</f>
        <v>13.200000000000001</v>
      </c>
      <c r="Z142" s="36">
        <f>IFERROR(IF(Y142=0,"",ROUNDUP(Y142/H142,0)*0.00651),"")</f>
        <v>3.2550000000000003E-2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13.218181818181819</v>
      </c>
      <c r="BN142" s="64">
        <f>IFERROR(Y142*I142/H142,"0")</f>
        <v>14.540000000000001</v>
      </c>
      <c r="BO142" s="64">
        <f>IFERROR(1/J142*(X142/H142),"0")</f>
        <v>2.4975024975024976E-2</v>
      </c>
      <c r="BP142" s="64">
        <f>IFERROR(1/J142*(Y142/H142),"0")</f>
        <v>2.7472527472527476E-2</v>
      </c>
    </row>
    <row r="143" spans="1:68" ht="16.5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4.545454545454545</v>
      </c>
      <c r="Y144" s="631">
        <f>IFERROR(Y141/H141,"0")+IFERROR(Y142/H142,"0")+IFERROR(Y143/H143,"0")</f>
        <v>5</v>
      </c>
      <c r="Z144" s="631">
        <f>IFERROR(IF(Z141="",0,Z141),"0")+IFERROR(IF(Z142="",0,Z142),"0")+IFERROR(IF(Z143="",0,Z143),"0")</f>
        <v>3.2550000000000003E-2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12</v>
      </c>
      <c r="Y145" s="631">
        <f>IFERROR(SUM(Y141:Y143),"0")</f>
        <v>13.200000000000001</v>
      </c>
      <c r="Z145" s="37"/>
      <c r="AA145" s="632"/>
      <c r="AB145" s="632"/>
      <c r="AC145" s="632"/>
    </row>
    <row r="146" spans="1:68" ht="16.5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83</v>
      </c>
      <c r="Y163" s="630">
        <f>IFERROR(IF(X163="",0,CEILING((X163/$H163),1)*$H163),"")</f>
        <v>84</v>
      </c>
      <c r="Z163" s="36">
        <f>IFERROR(IF(Y163=0,"",ROUNDUP(Y163/H163,0)*0.01196),"")</f>
        <v>0.16744000000000001</v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87.841666666666654</v>
      </c>
      <c r="BN163" s="64">
        <f>IFERROR(Y163*I163/H163,"0")</f>
        <v>88.899999999999991</v>
      </c>
      <c r="BO163" s="64">
        <f>IFERROR(1/J163*(X163/H163),"0")</f>
        <v>0.13301282051282051</v>
      </c>
      <c r="BP163" s="64">
        <f>IFERROR(1/J163*(Y163/H163),"0")</f>
        <v>0.13461538461538464</v>
      </c>
    </row>
    <row r="164" spans="1:68" ht="27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13.833333333333334</v>
      </c>
      <c r="Y166" s="631">
        <f>IFERROR(Y163/H163,"0")+IFERROR(Y164/H164,"0")+IFERROR(Y165/H165,"0")</f>
        <v>14</v>
      </c>
      <c r="Z166" s="631">
        <f>IFERROR(IF(Z163="",0,Z163),"0")+IFERROR(IF(Z164="",0,Z164),"0")+IFERROR(IF(Z165="",0,Z165),"0")</f>
        <v>0.16744000000000001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83</v>
      </c>
      <c r="Y167" s="631">
        <f>IFERROR(SUM(Y163:Y165),"0")</f>
        <v>84</v>
      </c>
      <c r="Z167" s="37"/>
      <c r="AA167" s="632"/>
      <c r="AB167" s="632"/>
      <c r="AC167" s="632"/>
    </row>
    <row r="168" spans="1:68" ht="14.25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200</v>
      </c>
      <c r="Y174" s="630">
        <f t="shared" ref="Y174:Y184" si="22">IFERROR(IF(X174="",0,CEILING((X174/$H174),1)*$H174),"")</f>
        <v>203</v>
      </c>
      <c r="Z174" s="36">
        <f>IFERROR(IF(Y174=0,"",ROUNDUP(Y174/H174,0)*0.00902),"")</f>
        <v>0.52316000000000007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210.85714285714286</v>
      </c>
      <c r="BN174" s="64">
        <f t="shared" ref="BN174:BN184" si="24">IFERROR(Y174*I174/H174,"0")</f>
        <v>214.01999999999998</v>
      </c>
      <c r="BO174" s="64">
        <f t="shared" ref="BO174:BO184" si="25">IFERROR(1/J174*(X174/H174),"0")</f>
        <v>0.43290043290043295</v>
      </c>
      <c r="BP174" s="64">
        <f t="shared" ref="BP174:BP184" si="26">IFERROR(1/J174*(Y174/H174),"0")</f>
        <v>0.43939393939393939</v>
      </c>
    </row>
    <row r="175" spans="1:68" ht="27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150</v>
      </c>
      <c r="Y176" s="630">
        <f t="shared" si="22"/>
        <v>150.5</v>
      </c>
      <c r="Z176" s="36">
        <f>IFERROR(IF(Y176=0,"",ROUNDUP(Y176/H176,0)*0.00902),"")</f>
        <v>0.38785999999999998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158.14285714285714</v>
      </c>
      <c r="BN176" s="64">
        <f t="shared" si="24"/>
        <v>158.67000000000002</v>
      </c>
      <c r="BO176" s="64">
        <f t="shared" si="25"/>
        <v>0.32467532467532467</v>
      </c>
      <c r="BP176" s="64">
        <f t="shared" si="26"/>
        <v>0.32575757575757575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250</v>
      </c>
      <c r="Y177" s="630">
        <f t="shared" si="22"/>
        <v>252</v>
      </c>
      <c r="Z177" s="36">
        <f>IFERROR(IF(Y177=0,"",ROUNDUP(Y177/H177,0)*0.00902),"")</f>
        <v>0.64944000000000002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263.57142857142856</v>
      </c>
      <c r="BN177" s="64">
        <f t="shared" si="24"/>
        <v>265.68</v>
      </c>
      <c r="BO177" s="64">
        <f t="shared" si="25"/>
        <v>0.54112554112554112</v>
      </c>
      <c r="BP177" s="64">
        <f t="shared" si="26"/>
        <v>0.54545454545454541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7</v>
      </c>
      <c r="Y178" s="630">
        <f t="shared" si="22"/>
        <v>7.2</v>
      </c>
      <c r="Z178" s="36">
        <f>IFERROR(IF(Y178=0,"",ROUNDUP(Y178/H178,0)*0.00417),"")</f>
        <v>3.3360000000000001E-2</v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8.6333333333333329</v>
      </c>
      <c r="BN178" s="64">
        <f t="shared" si="24"/>
        <v>8.8800000000000008</v>
      </c>
      <c r="BO178" s="64">
        <f t="shared" si="25"/>
        <v>2.3148148148148147E-2</v>
      </c>
      <c r="BP178" s="64">
        <f t="shared" si="26"/>
        <v>2.3809523809523808E-2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53</v>
      </c>
      <c r="Y179" s="630">
        <f t="shared" si="22"/>
        <v>53.76</v>
      </c>
      <c r="Z179" s="36">
        <f>IFERROR(IF(Y179=0,"",ROUNDUP(Y179/H179,0)*0.00502),"")</f>
        <v>0.16064000000000001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56.154761904761912</v>
      </c>
      <c r="BN179" s="64">
        <f t="shared" si="24"/>
        <v>56.959999999999994</v>
      </c>
      <c r="BO179" s="64">
        <f t="shared" si="25"/>
        <v>0.13481888481888482</v>
      </c>
      <c r="BP179" s="64">
        <f t="shared" si="26"/>
        <v>0.13675213675213677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7</v>
      </c>
      <c r="Y180" s="630">
        <f t="shared" si="22"/>
        <v>7.2</v>
      </c>
      <c r="Z180" s="36">
        <f>IFERROR(IF(Y180=0,"",ROUNDUP(Y180/H180,0)*0.00417),"")</f>
        <v>3.3360000000000001E-2</v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8.6333333333333329</v>
      </c>
      <c r="BN180" s="64">
        <f t="shared" si="24"/>
        <v>8.8800000000000008</v>
      </c>
      <c r="BO180" s="64">
        <f t="shared" si="25"/>
        <v>2.3148148148148147E-2</v>
      </c>
      <c r="BP180" s="64">
        <f t="shared" si="26"/>
        <v>2.3809523809523808E-2</v>
      </c>
    </row>
    <row r="181" spans="1:68" ht="27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56</v>
      </c>
      <c r="Y184" s="630">
        <f t="shared" si="22"/>
        <v>57.12</v>
      </c>
      <c r="Z184" s="36">
        <f>IFERROR(IF(Y184=0,"",ROUNDUP(Y184/H184,0)*0.00502),"")</f>
        <v>0.17068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59.333333333333343</v>
      </c>
      <c r="BN184" s="64">
        <f t="shared" si="24"/>
        <v>60.519999999999996</v>
      </c>
      <c r="BO184" s="64">
        <f t="shared" si="25"/>
        <v>0.14245014245014248</v>
      </c>
      <c r="BP184" s="64">
        <f t="shared" si="26"/>
        <v>0.14529914529914531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251.86507936507937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255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1.9584999999999999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723</v>
      </c>
      <c r="Y186" s="631">
        <f>IFERROR(SUM(Y174:Y184),"0")</f>
        <v>730.78000000000009</v>
      </c>
      <c r="Z186" s="37"/>
      <c r="AA186" s="632"/>
      <c r="AB186" s="632"/>
      <c r="AC186" s="632"/>
    </row>
    <row r="187" spans="1:68" ht="14.25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20</v>
      </c>
      <c r="Y219" s="630">
        <f t="shared" ref="Y219:Y232" si="33">IFERROR(IF(X219="",0,CEILING((X219/$H219),1)*$H219),"")</f>
        <v>21</v>
      </c>
      <c r="Z219" s="36">
        <f>IFERROR(IF(Y219=0,"",ROUNDUP(Y219/H219,0)*0.00902),"")</f>
        <v>4.5100000000000001E-2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21.19047619047619</v>
      </c>
      <c r="BN219" s="64">
        <f t="shared" ref="BN219:BN232" si="35">IFERROR(Y219*I219/H219,"0")</f>
        <v>22.25</v>
      </c>
      <c r="BO219" s="64">
        <f t="shared" ref="BO219:BO232" si="36">IFERROR(1/J219*(X219/H219),"0")</f>
        <v>3.6075036075036072E-2</v>
      </c>
      <c r="BP219" s="64">
        <f t="shared" ref="BP219:BP232" si="37">IFERROR(1/J219*(Y219/H219),"0")</f>
        <v>3.787878787878788E-2</v>
      </c>
    </row>
    <row r="220" spans="1:68" ht="27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80</v>
      </c>
      <c r="Y221" s="630">
        <f t="shared" si="33"/>
        <v>84</v>
      </c>
      <c r="Z221" s="36">
        <f>IFERROR(IF(Y221=0,"",ROUNDUP(Y221/H221,0)*0.00902),"")</f>
        <v>0.1804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83.619047619047606</v>
      </c>
      <c r="BN221" s="64">
        <f t="shared" si="35"/>
        <v>87.8</v>
      </c>
      <c r="BO221" s="64">
        <f t="shared" si="36"/>
        <v>0.14430014430014429</v>
      </c>
      <c r="BP221" s="64">
        <f t="shared" si="37"/>
        <v>0.15151515151515152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12</v>
      </c>
      <c r="Y222" s="630">
        <f t="shared" si="33"/>
        <v>12</v>
      </c>
      <c r="Z222" s="36">
        <f>IFERROR(IF(Y222=0,"",ROUNDUP(Y222/H222,0)*0.00556),"")</f>
        <v>8.3400000000000002E-2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13.95</v>
      </c>
      <c r="BN222" s="64">
        <f t="shared" si="35"/>
        <v>13.95</v>
      </c>
      <c r="BO222" s="64">
        <f t="shared" si="36"/>
        <v>5.9523809523809521E-2</v>
      </c>
      <c r="BP222" s="64">
        <f t="shared" si="37"/>
        <v>5.9523809523809521E-2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35</v>
      </c>
      <c r="Y223" s="630">
        <f t="shared" si="33"/>
        <v>35.700000000000003</v>
      </c>
      <c r="Z223" s="36">
        <f t="shared" ref="Z223:Z228" si="38">IFERROR(IF(Y223=0,"",ROUNDUP(Y223/H223,0)*0.00502),"")</f>
        <v>8.5339999999999999E-2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37.166666666666664</v>
      </c>
      <c r="BN223" s="64">
        <f t="shared" si="35"/>
        <v>37.910000000000004</v>
      </c>
      <c r="BO223" s="64">
        <f t="shared" si="36"/>
        <v>7.1225071225071226E-2</v>
      </c>
      <c r="BP223" s="64">
        <f t="shared" si="37"/>
        <v>7.2649572649572655E-2</v>
      </c>
    </row>
    <row r="224" spans="1:68" ht="27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45</v>
      </c>
      <c r="Y228" s="630">
        <f t="shared" si="33"/>
        <v>45</v>
      </c>
      <c r="Z228" s="36">
        <f t="shared" si="38"/>
        <v>0.1255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48.249999999999993</v>
      </c>
      <c r="BN228" s="64">
        <f t="shared" si="35"/>
        <v>48.249999999999993</v>
      </c>
      <c r="BO228" s="64">
        <f t="shared" si="36"/>
        <v>0.10683760683760685</v>
      </c>
      <c r="BP228" s="64">
        <f t="shared" si="37"/>
        <v>0.10683760683760685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16</v>
      </c>
      <c r="Y229" s="630">
        <f t="shared" si="33"/>
        <v>16</v>
      </c>
      <c r="Z229" s="36">
        <f>IFERROR(IF(Y229=0,"",ROUNDUP(Y229/H229,0)*0.00417),"")</f>
        <v>8.3400000000000002E-2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20.2</v>
      </c>
      <c r="BN229" s="64">
        <f t="shared" si="35"/>
        <v>20.2</v>
      </c>
      <c r="BO229" s="64">
        <f t="shared" si="36"/>
        <v>5.9523809523809521E-2</v>
      </c>
      <c r="BP229" s="64">
        <f t="shared" si="37"/>
        <v>5.9523809523809521E-2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280</v>
      </c>
      <c r="Y230" s="630">
        <f t="shared" si="33"/>
        <v>281.40000000000003</v>
      </c>
      <c r="Z230" s="36">
        <f>IFERROR(IF(Y230=0,"",ROUNDUP(Y230/H230,0)*0.00502),"")</f>
        <v>0.67268000000000006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293.33333333333331</v>
      </c>
      <c r="BN230" s="64">
        <f t="shared" si="35"/>
        <v>294.80000000000007</v>
      </c>
      <c r="BO230" s="64">
        <f t="shared" si="36"/>
        <v>0.56980056980056981</v>
      </c>
      <c r="BP230" s="64">
        <f t="shared" si="37"/>
        <v>0.57264957264957272</v>
      </c>
    </row>
    <row r="231" spans="1:68" ht="27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233.8095238095238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236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1.2758200000000002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488</v>
      </c>
      <c r="Y234" s="631">
        <f>IFERROR(SUM(Y219:Y232),"0")</f>
        <v>495.1</v>
      </c>
      <c r="Z234" s="37"/>
      <c r="AA234" s="632"/>
      <c r="AB234" s="632"/>
      <c r="AC234" s="632"/>
    </row>
    <row r="235" spans="1:68" ht="14.25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4</v>
      </c>
      <c r="Y246" s="63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3.1746031746031744</v>
      </c>
      <c r="Y247" s="631">
        <f>IFERROR(Y244/H244,"0")+IFERROR(Y245/H245,"0")+IFERROR(Y246/H246,"0")</f>
        <v>4</v>
      </c>
      <c r="Z247" s="631">
        <f>IFERROR(IF(Z244="",0,Z244),"0")+IFERROR(IF(Z245="",0,Z245),"0")+IFERROR(IF(Z246="",0,Z246),"0")</f>
        <v>2.3599999999999999E-2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4</v>
      </c>
      <c r="Y248" s="631">
        <f>IFERROR(SUM(Y244:Y246),"0")</f>
        <v>5.04</v>
      </c>
      <c r="Z248" s="37"/>
      <c r="AA248" s="632"/>
      <c r="AB248" s="632"/>
      <c r="AC248" s="632"/>
    </row>
    <row r="249" spans="1:68" ht="14.25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2</v>
      </c>
      <c r="Y250" s="630">
        <f>IFERROR(IF(X250="",0,CEILING((X250/$H250),1)*$H250),"")</f>
        <v>2.52</v>
      </c>
      <c r="Z250" s="36">
        <f>IFERROR(IF(Y250=0,"",ROUNDUP(Y250/H250,0)*0.0059),"")</f>
        <v>1.18E-2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2.3015873015873014</v>
      </c>
      <c r="BN250" s="64">
        <f>IFERROR(Y250*I250/H250,"0")</f>
        <v>2.9</v>
      </c>
      <c r="BO250" s="64">
        <f>IFERROR(1/J250*(X250/H250),"0")</f>
        <v>7.3486184597295699E-3</v>
      </c>
      <c r="BP250" s="64">
        <f>IFERROR(1/J250*(Y250/H250),"0")</f>
        <v>9.2592592592592587E-3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1.5873015873015872</v>
      </c>
      <c r="Y251" s="631">
        <f>IFERROR(Y250/H250,"0")</f>
        <v>2</v>
      </c>
      <c r="Z251" s="631">
        <f>IFERROR(IF(Z250="",0,Z250),"0")</f>
        <v>1.18E-2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2</v>
      </c>
      <c r="Y252" s="631">
        <f>IFERROR(SUM(Y250:Y250),"0")</f>
        <v>2.52</v>
      </c>
      <c r="Z252" s="37"/>
      <c r="AA252" s="632"/>
      <c r="AB252" s="632"/>
      <c r="AC252" s="632"/>
    </row>
    <row r="253" spans="1:68" ht="16.5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150</v>
      </c>
      <c r="Y265" s="630">
        <f t="shared" ref="Y265:Y272" si="39">IFERROR(IF(X265="",0,CEILING((X265/$H265),1)*$H265),"")</f>
        <v>151.20000000000002</v>
      </c>
      <c r="Z265" s="36">
        <f>IFERROR(IF(Y265=0,"",ROUNDUP(Y265/H265,0)*0.00902),"")</f>
        <v>0.25256000000000001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155.27777777777777</v>
      </c>
      <c r="BN265" s="64">
        <f t="shared" ref="BN265:BN272" si="41">IFERROR(Y265*I265/H265,"0")</f>
        <v>156.52000000000001</v>
      </c>
      <c r="BO265" s="64">
        <f t="shared" ref="BO265:BO272" si="42">IFERROR(1/J265*(X265/H265),"0")</f>
        <v>0.21043771043771042</v>
      </c>
      <c r="BP265" s="64">
        <f t="shared" ref="BP265:BP272" si="43">IFERROR(1/J265*(Y265/H265),"0")</f>
        <v>0.21212121212121213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200</v>
      </c>
      <c r="Y266" s="630">
        <f t="shared" si="39"/>
        <v>205.20000000000002</v>
      </c>
      <c r="Z266" s="36">
        <f>IFERROR(IF(Y266=0,"",ROUNDUP(Y266/H266,0)*0.00902),"")</f>
        <v>0.34276000000000001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207.03703703703701</v>
      </c>
      <c r="BN266" s="64">
        <f t="shared" si="41"/>
        <v>212.42</v>
      </c>
      <c r="BO266" s="64">
        <f t="shared" si="42"/>
        <v>0.28058361391694725</v>
      </c>
      <c r="BP266" s="64">
        <f t="shared" si="43"/>
        <v>0.2878787878787879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350</v>
      </c>
      <c r="Y267" s="630">
        <f t="shared" si="39"/>
        <v>351</v>
      </c>
      <c r="Z267" s="36">
        <f>IFERROR(IF(Y267=0,"",ROUNDUP(Y267/H267,0)*0.00902),"")</f>
        <v>0.58630000000000004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362.31481481481478</v>
      </c>
      <c r="BN267" s="64">
        <f t="shared" si="41"/>
        <v>363.34999999999997</v>
      </c>
      <c r="BO267" s="64">
        <f t="shared" si="42"/>
        <v>0.49102132435465767</v>
      </c>
      <c r="BP267" s="64">
        <f t="shared" si="43"/>
        <v>0.49242424242424243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150</v>
      </c>
      <c r="Y268" s="630">
        <f t="shared" si="39"/>
        <v>151.20000000000002</v>
      </c>
      <c r="Z268" s="36">
        <f>IFERROR(IF(Y268=0,"",ROUNDUP(Y268/H268,0)*0.00902),"")</f>
        <v>0.25256000000000001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155.27777777777777</v>
      </c>
      <c r="BN268" s="64">
        <f t="shared" si="41"/>
        <v>156.52000000000001</v>
      </c>
      <c r="BO268" s="64">
        <f t="shared" si="42"/>
        <v>0.21043771043771042</v>
      </c>
      <c r="BP268" s="64">
        <f t="shared" si="43"/>
        <v>0.21212121212121213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60</v>
      </c>
      <c r="Y269" s="630">
        <f t="shared" si="39"/>
        <v>61.2</v>
      </c>
      <c r="Z269" s="36">
        <f>IFERROR(IF(Y269=0,"",ROUNDUP(Y269/H269,0)*0.00502),"")</f>
        <v>0.17068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64.333333333333329</v>
      </c>
      <c r="BN269" s="64">
        <f t="shared" si="41"/>
        <v>65.62</v>
      </c>
      <c r="BO269" s="64">
        <f t="shared" si="42"/>
        <v>0.14245014245014248</v>
      </c>
      <c r="BP269" s="64">
        <f t="shared" si="43"/>
        <v>0.14529914529914531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45</v>
      </c>
      <c r="Y270" s="630">
        <f t="shared" si="39"/>
        <v>45</v>
      </c>
      <c r="Z270" s="36">
        <f>IFERROR(IF(Y270=0,"",ROUNDUP(Y270/H270,0)*0.00502),"")</f>
        <v>0.1255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47.5</v>
      </c>
      <c r="BN270" s="64">
        <f t="shared" si="41"/>
        <v>47.5</v>
      </c>
      <c r="BO270" s="64">
        <f t="shared" si="42"/>
        <v>0.10683760683760685</v>
      </c>
      <c r="BP270" s="64">
        <f t="shared" si="43"/>
        <v>0.10683760683760685</v>
      </c>
    </row>
    <row r="271" spans="1:68" ht="27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30</v>
      </c>
      <c r="Y272" s="630">
        <f t="shared" si="39"/>
        <v>30.6</v>
      </c>
      <c r="Z272" s="36">
        <f>IFERROR(IF(Y272=0,"",ROUNDUP(Y272/H272,0)*0.00502),"")</f>
        <v>8.5339999999999999E-2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31.666666666666664</v>
      </c>
      <c r="BN272" s="64">
        <f t="shared" si="41"/>
        <v>32.299999999999997</v>
      </c>
      <c r="BO272" s="64">
        <f t="shared" si="42"/>
        <v>7.122507122507124E-2</v>
      </c>
      <c r="BP272" s="64">
        <f t="shared" si="43"/>
        <v>7.2649572649572655E-2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232.40740740740739</v>
      </c>
      <c r="Y273" s="631">
        <f>IFERROR(Y265/H265,"0")+IFERROR(Y266/H266,"0")+IFERROR(Y267/H267,"0")+IFERROR(Y268/H268,"0")+IFERROR(Y269/H269,"0")+IFERROR(Y270/H270,"0")+IFERROR(Y271/H271,"0")+IFERROR(Y272/H272,"0")</f>
        <v>235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1.8156999999999999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985</v>
      </c>
      <c r="Y274" s="631">
        <f>IFERROR(SUM(Y265:Y272),"0")</f>
        <v>995.4000000000002</v>
      </c>
      <c r="Z274" s="37"/>
      <c r="AA274" s="632"/>
      <c r="AB274" s="632"/>
      <c r="AC274" s="632"/>
    </row>
    <row r="275" spans="1:68" ht="14.25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45</v>
      </c>
      <c r="Y277" s="630">
        <f t="shared" si="44"/>
        <v>48.599999999999994</v>
      </c>
      <c r="Z277" s="36">
        <f>IFERROR(IF(Y277=0,"",ROUNDUP(Y277/H277,0)*0.01898),"")</f>
        <v>0.11388000000000001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47.644444444444446</v>
      </c>
      <c r="BN277" s="64">
        <f t="shared" si="46"/>
        <v>51.455999999999996</v>
      </c>
      <c r="BO277" s="64">
        <f t="shared" si="47"/>
        <v>8.6805555555555552E-2</v>
      </c>
      <c r="BP277" s="64">
        <f t="shared" si="48"/>
        <v>9.375E-2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214</v>
      </c>
      <c r="Y278" s="630">
        <f t="shared" si="44"/>
        <v>217.49999999999997</v>
      </c>
      <c r="Z278" s="36">
        <f>IFERROR(IF(Y278=0,"",ROUNDUP(Y278/H278,0)*0.01898),"")</f>
        <v>0.47450000000000003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226.15126436781611</v>
      </c>
      <c r="BN278" s="64">
        <f t="shared" si="46"/>
        <v>229.85000000000002</v>
      </c>
      <c r="BO278" s="64">
        <f t="shared" si="47"/>
        <v>0.38433908045977017</v>
      </c>
      <c r="BP278" s="64">
        <f t="shared" si="48"/>
        <v>0.390625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1480</v>
      </c>
      <c r="Y282" s="630">
        <f t="shared" si="44"/>
        <v>1480.8</v>
      </c>
      <c r="Z282" s="36">
        <f>IFERROR(IF(Y282=0,"",ROUNDUP(Y282/H282,0)*0.00651),"")</f>
        <v>4.0166700000000004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1635.4</v>
      </c>
      <c r="BN282" s="64">
        <f t="shared" si="46"/>
        <v>1636.2840000000001</v>
      </c>
      <c r="BO282" s="64">
        <f t="shared" si="47"/>
        <v>3.3882783882783891</v>
      </c>
      <c r="BP282" s="64">
        <f t="shared" si="48"/>
        <v>3.3901098901098905</v>
      </c>
    </row>
    <row r="283" spans="1:68" ht="27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120</v>
      </c>
      <c r="Y284" s="630">
        <f t="shared" si="44"/>
        <v>120</v>
      </c>
      <c r="Z284" s="36">
        <f>IFERROR(IF(Y284=0,"",ROUNDUP(Y284/H284,0)*0.00651),"")</f>
        <v>0.32550000000000001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132.60000000000002</v>
      </c>
      <c r="BN284" s="64">
        <f t="shared" si="46"/>
        <v>132.60000000000002</v>
      </c>
      <c r="BO284" s="64">
        <f t="shared" si="47"/>
        <v>0.27472527472527475</v>
      </c>
      <c r="BP284" s="64">
        <f t="shared" si="48"/>
        <v>0.27472527472527475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55</v>
      </c>
      <c r="Y285" s="630">
        <f t="shared" si="44"/>
        <v>55.199999999999996</v>
      </c>
      <c r="Z285" s="36">
        <f>IFERROR(IF(Y285=0,"",ROUNDUP(Y285/H285,0)*0.00651),"")</f>
        <v>0.14973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60.775000000000006</v>
      </c>
      <c r="BN285" s="64">
        <f t="shared" si="46"/>
        <v>60.996000000000002</v>
      </c>
      <c r="BO285" s="64">
        <f t="shared" si="47"/>
        <v>0.12591575091575094</v>
      </c>
      <c r="BP285" s="64">
        <f t="shared" si="48"/>
        <v>0.1263736263736264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60</v>
      </c>
      <c r="Y286" s="630">
        <f t="shared" si="44"/>
        <v>60</v>
      </c>
      <c r="Z286" s="36">
        <f>IFERROR(IF(Y286=0,"",ROUNDUP(Y286/H286,0)*0.00651),"")</f>
        <v>0.16275000000000001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66.45</v>
      </c>
      <c r="BN286" s="64">
        <f t="shared" si="46"/>
        <v>66.45</v>
      </c>
      <c r="BO286" s="64">
        <f t="shared" si="47"/>
        <v>0.13736263736263737</v>
      </c>
      <c r="BP286" s="64">
        <f t="shared" si="48"/>
        <v>0.13736263736263737</v>
      </c>
    </row>
    <row r="287" spans="1:68" ht="27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744.73659003831426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746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5.2430300000000001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1974</v>
      </c>
      <c r="Y289" s="631">
        <f>IFERROR(SUM(Y276:Y287),"0")</f>
        <v>1982.1</v>
      </c>
      <c r="Z289" s="37"/>
      <c r="AA289" s="632"/>
      <c r="AB289" s="632"/>
      <c r="AC289" s="632"/>
    </row>
    <row r="290" spans="1:68" ht="14.25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32</v>
      </c>
      <c r="Y292" s="630">
        <f>IFERROR(IF(X292="",0,CEILING((X292/$H292),1)*$H292),"")</f>
        <v>33.6</v>
      </c>
      <c r="Z292" s="36">
        <f>IFERROR(IF(Y292=0,"",ROUNDUP(Y292/H292,0)*0.00651),"")</f>
        <v>9.1139999999999999E-2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35.360000000000007</v>
      </c>
      <c r="BN292" s="64">
        <f>IFERROR(Y292*I292/H292,"0")</f>
        <v>37.128000000000007</v>
      </c>
      <c r="BO292" s="64">
        <f>IFERROR(1/J292*(X292/H292),"0")</f>
        <v>7.3260073260073263E-2</v>
      </c>
      <c r="BP292" s="64">
        <f>IFERROR(1/J292*(Y292/H292),"0")</f>
        <v>7.6923076923076941E-2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13.333333333333334</v>
      </c>
      <c r="Y293" s="631">
        <f>IFERROR(Y291/H291,"0")+IFERROR(Y292/H292,"0")</f>
        <v>14.000000000000002</v>
      </c>
      <c r="Z293" s="631">
        <f>IFERROR(IF(Z291="",0,Z291),"0")+IFERROR(IF(Z292="",0,Z292),"0")</f>
        <v>9.1139999999999999E-2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32</v>
      </c>
      <c r="Y294" s="631">
        <f>IFERROR(SUM(Y291:Y292),"0")</f>
        <v>33.6</v>
      </c>
      <c r="Z294" s="37"/>
      <c r="AA294" s="632"/>
      <c r="AB294" s="632"/>
      <c r="AC294" s="632"/>
    </row>
    <row r="295" spans="1:68" ht="16.5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11</v>
      </c>
      <c r="Y303" s="630">
        <f t="shared" si="49"/>
        <v>12</v>
      </c>
      <c r="Z303" s="36">
        <f>IFERROR(IF(Y303=0,"",ROUNDUP(Y303/H303,0)*0.00902),"")</f>
        <v>2.7060000000000001E-2</v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11.522500000000001</v>
      </c>
      <c r="BN303" s="64">
        <f t="shared" si="51"/>
        <v>12.57</v>
      </c>
      <c r="BO303" s="64">
        <f t="shared" si="52"/>
        <v>2.0833333333333336E-2</v>
      </c>
      <c r="BP303" s="64">
        <f t="shared" si="53"/>
        <v>2.2727272727272728E-2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2.75</v>
      </c>
      <c r="Y304" s="631">
        <f>IFERROR(Y297/H297,"0")+IFERROR(Y298/H298,"0")+IFERROR(Y299/H299,"0")+IFERROR(Y300/H300,"0")+IFERROR(Y301/H301,"0")+IFERROR(Y302/H302,"0")+IFERROR(Y303/H303,"0")</f>
        <v>3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2.7060000000000001E-2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11</v>
      </c>
      <c r="Y305" s="631">
        <f>IFERROR(SUM(Y297:Y303),"0")</f>
        <v>12</v>
      </c>
      <c r="Z305" s="37"/>
      <c r="AA305" s="632"/>
      <c r="AB305" s="632"/>
      <c r="AC305" s="632"/>
    </row>
    <row r="306" spans="1:68" ht="14.25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5</v>
      </c>
      <c r="Y311" s="630">
        <f>IFERROR(IF(X311="",0,CEILING((X311/$H311),1)*$H311),"")</f>
        <v>5.4</v>
      </c>
      <c r="Z311" s="36">
        <f>IFERROR(IF(Y311=0,"",ROUNDUP(Y311/H311,0)*0.0059),"")</f>
        <v>1.77E-2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5.4861111111111107</v>
      </c>
      <c r="BN311" s="64">
        <f>IFERROR(Y311*I311/H311,"0")</f>
        <v>5.9250000000000007</v>
      </c>
      <c r="BO311" s="64">
        <f>IFERROR(1/J311*(X311/H311),"0")</f>
        <v>1.2860082304526748E-2</v>
      </c>
      <c r="BP311" s="64">
        <f>IFERROR(1/J311*(Y311/H311),"0")</f>
        <v>1.3888888888888888E-2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2.7777777777777777</v>
      </c>
      <c r="Y312" s="631">
        <f>IFERROR(Y311/H311,"0")</f>
        <v>3</v>
      </c>
      <c r="Z312" s="631">
        <f>IFERROR(IF(Z311="",0,Z311),"0")</f>
        <v>1.77E-2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5</v>
      </c>
      <c r="Y313" s="631">
        <f>IFERROR(SUM(Y311:Y311),"0")</f>
        <v>5.4</v>
      </c>
      <c r="Z313" s="37"/>
      <c r="AA313" s="632"/>
      <c r="AB313" s="632"/>
      <c r="AC313" s="632"/>
    </row>
    <row r="314" spans="1:68" ht="14.25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87</v>
      </c>
      <c r="Y332" s="630">
        <f>IFERROR(IF(X332="",0,CEILING((X332/$H332),1)*$H332),"")</f>
        <v>88.8</v>
      </c>
      <c r="Z332" s="36">
        <f>IFERROR(IF(Y332=0,"",ROUNDUP(Y332/H332,0)*0.00651),"")</f>
        <v>0.24087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96.135000000000005</v>
      </c>
      <c r="BN332" s="64">
        <f>IFERROR(Y332*I332/H332,"0")</f>
        <v>98.124000000000009</v>
      </c>
      <c r="BO332" s="64">
        <f>IFERROR(1/J332*(X332/H332),"0")</f>
        <v>0.19917582417582419</v>
      </c>
      <c r="BP332" s="64">
        <f>IFERROR(1/J332*(Y332/H332),"0")</f>
        <v>0.20329670329670332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69</v>
      </c>
      <c r="Y333" s="630">
        <f>IFERROR(IF(X333="",0,CEILING((X333/$H333),1)*$H333),"")</f>
        <v>69.599999999999994</v>
      </c>
      <c r="Z333" s="36">
        <f>IFERROR(IF(Y333=0,"",ROUNDUP(Y333/H333,0)*0.00651),"")</f>
        <v>0.18879000000000001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74.175000000000011</v>
      </c>
      <c r="BN333" s="64">
        <f>IFERROR(Y333*I333/H333,"0")</f>
        <v>74.819999999999993</v>
      </c>
      <c r="BO333" s="64">
        <f>IFERROR(1/J333*(X333/H333),"0")</f>
        <v>0.15796703296703299</v>
      </c>
      <c r="BP333" s="64">
        <f>IFERROR(1/J333*(Y333/H333),"0")</f>
        <v>0.15934065934065936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65</v>
      </c>
      <c r="Y334" s="631">
        <f>IFERROR(Y331/H331,"0")+IFERROR(Y332/H332,"0")+IFERROR(Y333/H333,"0")</f>
        <v>66</v>
      </c>
      <c r="Z334" s="631">
        <f>IFERROR(IF(Z331="",0,Z331),"0")+IFERROR(IF(Z332="",0,Z332),"0")+IFERROR(IF(Z333="",0,Z333),"0")</f>
        <v>0.42966000000000004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156</v>
      </c>
      <c r="Y335" s="631">
        <f>IFERROR(SUM(Y331:Y333),"0")</f>
        <v>158.39999999999998</v>
      </c>
      <c r="Z335" s="37"/>
      <c r="AA335" s="632"/>
      <c r="AB335" s="632"/>
      <c r="AC335" s="632"/>
    </row>
    <row r="336" spans="1:68" ht="16.5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40</v>
      </c>
      <c r="Y352" s="630">
        <f>IFERROR(IF(X352="",0,CEILING((X352/$H352),1)*$H352),"")</f>
        <v>46.8</v>
      </c>
      <c r="Z352" s="36">
        <f>IFERROR(IF(Y352=0,"",ROUNDUP(Y352/H352,0)*0.01898),"")</f>
        <v>0.11388000000000001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42.102564102564109</v>
      </c>
      <c r="BN352" s="64">
        <f>IFERROR(Y352*I352/H352,"0")</f>
        <v>49.260000000000005</v>
      </c>
      <c r="BO352" s="64">
        <f>IFERROR(1/J352*(X352/H352),"0")</f>
        <v>8.0128205128205135E-2</v>
      </c>
      <c r="BP352" s="64">
        <f>IFERROR(1/J352*(Y352/H352),"0")</f>
        <v>9.375E-2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146</v>
      </c>
      <c r="Y353" s="630">
        <f>IFERROR(IF(X353="",0,CEILING((X353/$H353),1)*$H353),"")</f>
        <v>148.19999999999999</v>
      </c>
      <c r="Z353" s="36">
        <f>IFERROR(IF(Y353=0,"",ROUNDUP(Y353/H353,0)*0.01898),"")</f>
        <v>0.36062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153.674358974359</v>
      </c>
      <c r="BN353" s="64">
        <f>IFERROR(Y353*I353/H353,"0")</f>
        <v>155.99</v>
      </c>
      <c r="BO353" s="64">
        <f>IFERROR(1/J353*(X353/H353),"0")</f>
        <v>0.29246794871794873</v>
      </c>
      <c r="BP353" s="64">
        <f>IFERROR(1/J353*(Y353/H353),"0")</f>
        <v>0.296875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23.846153846153847</v>
      </c>
      <c r="Y355" s="631">
        <f>IFERROR(Y352/H352,"0")+IFERROR(Y353/H353,"0")+IFERROR(Y354/H354,"0")</f>
        <v>25</v>
      </c>
      <c r="Z355" s="631">
        <f>IFERROR(IF(Z352="",0,Z352),"0")+IFERROR(IF(Z353="",0,Z353),"0")+IFERROR(IF(Z354="",0,Z354),"0")</f>
        <v>0.47450000000000003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186</v>
      </c>
      <c r="Y356" s="631">
        <f>IFERROR(SUM(Y352:Y354),"0")</f>
        <v>195</v>
      </c>
      <c r="Z356" s="37"/>
      <c r="AA356" s="632"/>
      <c r="AB356" s="632"/>
      <c r="AC356" s="632"/>
    </row>
    <row r="357" spans="1:68" ht="16.5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44</v>
      </c>
      <c r="Y361" s="630">
        <f>IFERROR(IF(X361="",0,CEILING((X361/$H361),1)*$H361),"")</f>
        <v>54</v>
      </c>
      <c r="Z361" s="36">
        <f>IFERROR(IF(Y361=0,"",ROUNDUP(Y361/H361,0)*0.01898),"")</f>
        <v>9.4899999999999998E-2</v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45.670370370370371</v>
      </c>
      <c r="BN361" s="64">
        <f>IFERROR(Y361*I361/H361,"0")</f>
        <v>56.05</v>
      </c>
      <c r="BO361" s="64">
        <f>IFERROR(1/J361*(X361/H361),"0")</f>
        <v>6.3657407407407399E-2</v>
      </c>
      <c r="BP361" s="64">
        <f>IFERROR(1/J361*(Y361/H361),"0")</f>
        <v>7.8125E-2</v>
      </c>
    </row>
    <row r="362" spans="1:68" ht="27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4.0740740740740735</v>
      </c>
      <c r="Y364" s="631">
        <f>IFERROR(Y359/H359,"0")+IFERROR(Y360/H360,"0")+IFERROR(Y361/H361,"0")+IFERROR(Y362/H362,"0")+IFERROR(Y363/H363,"0")</f>
        <v>5</v>
      </c>
      <c r="Z364" s="631">
        <f>IFERROR(IF(Z359="",0,Z359),"0")+IFERROR(IF(Z360="",0,Z360),"0")+IFERROR(IF(Z361="",0,Z361),"0")+IFERROR(IF(Z362="",0,Z362),"0")+IFERROR(IF(Z363="",0,Z363),"0")</f>
        <v>9.4899999999999998E-2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44</v>
      </c>
      <c r="Y365" s="631">
        <f>IFERROR(SUM(Y359:Y363),"0")</f>
        <v>54</v>
      </c>
      <c r="Z365" s="37"/>
      <c r="AA365" s="632"/>
      <c r="AB365" s="632"/>
      <c r="AC365" s="632"/>
    </row>
    <row r="366" spans="1:68" ht="14.25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80</v>
      </c>
      <c r="Y368" s="630">
        <f t="shared" si="54"/>
        <v>84</v>
      </c>
      <c r="Z368" s="36">
        <f>IFERROR(IF(Y368=0,"",ROUNDUP(Y368/H368,0)*0.00902),"")</f>
        <v>0.1804</v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84.761904761904759</v>
      </c>
      <c r="BN368" s="64">
        <f t="shared" si="56"/>
        <v>89</v>
      </c>
      <c r="BO368" s="64">
        <f t="shared" si="57"/>
        <v>0.14430014430014429</v>
      </c>
      <c r="BP368" s="64">
        <f t="shared" si="58"/>
        <v>0.15151515151515152</v>
      </c>
    </row>
    <row r="369" spans="1:68" ht="27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15</v>
      </c>
      <c r="Y373" s="630">
        <f t="shared" si="54"/>
        <v>16.2</v>
      </c>
      <c r="Z373" s="36">
        <f>IFERROR(IF(Y373=0,"",ROUNDUP(Y373/H373,0)*0.00651),"")</f>
        <v>5.8590000000000003E-2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16.900000000000002</v>
      </c>
      <c r="BN373" s="64">
        <f t="shared" si="56"/>
        <v>18.251999999999999</v>
      </c>
      <c r="BO373" s="64">
        <f t="shared" si="57"/>
        <v>4.5787545787545791E-2</v>
      </c>
      <c r="BP373" s="64">
        <f t="shared" si="58"/>
        <v>4.9450549450549455E-2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27.38095238095238</v>
      </c>
      <c r="Y374" s="631">
        <f>IFERROR(Y367/H367,"0")+IFERROR(Y368/H368,"0")+IFERROR(Y369/H369,"0")+IFERROR(Y370/H370,"0")+IFERROR(Y371/H371,"0")+IFERROR(Y372/H372,"0")+IFERROR(Y373/H373,"0")</f>
        <v>29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0.23899000000000001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95</v>
      </c>
      <c r="Y375" s="631">
        <f>IFERROR(SUM(Y367:Y373),"0")</f>
        <v>100.2</v>
      </c>
      <c r="Z375" s="37"/>
      <c r="AA375" s="632"/>
      <c r="AB375" s="632"/>
      <c r="AC375" s="632"/>
    </row>
    <row r="376" spans="1:68" ht="14.25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251</v>
      </c>
      <c r="Y384" s="630">
        <f>IFERROR(IF(X384="",0,CEILING((X384/$H384),1)*$H384),"")</f>
        <v>252</v>
      </c>
      <c r="Z384" s="36">
        <f>IFERROR(IF(Y384=0,"",ROUNDUP(Y384/H384,0)*0.01898),"")</f>
        <v>0.56940000000000002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265.76119047619051</v>
      </c>
      <c r="BN384" s="64">
        <f>IFERROR(Y384*I384/H384,"0")</f>
        <v>266.82</v>
      </c>
      <c r="BO384" s="64">
        <f>IFERROR(1/J384*(X384/H384),"0")</f>
        <v>0.46688988095238093</v>
      </c>
      <c r="BP384" s="64">
        <f>IFERROR(1/J384*(Y384/H384),"0")</f>
        <v>0.46875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1061</v>
      </c>
      <c r="Y385" s="630">
        <f>IFERROR(IF(X385="",0,CEILING((X385/$H385),1)*$H385),"")</f>
        <v>1068.5999999999999</v>
      </c>
      <c r="Z385" s="36">
        <f>IFERROR(IF(Y385=0,"",ROUNDUP(Y385/H385,0)*0.01898),"")</f>
        <v>2.60026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1128.1966666666669</v>
      </c>
      <c r="BN385" s="64">
        <f>IFERROR(Y385*I385/H385,"0")</f>
        <v>1136.278</v>
      </c>
      <c r="BO385" s="64">
        <f>IFERROR(1/J385*(X385/H385),"0")</f>
        <v>2.125400641025641</v>
      </c>
      <c r="BP385" s="64">
        <f>IFERROR(1/J385*(Y385/H385),"0")</f>
        <v>2.140625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165.9065934065934</v>
      </c>
      <c r="Y387" s="631">
        <f>IFERROR(Y384/H384,"0")+IFERROR(Y385/H385,"0")+IFERROR(Y386/H386,"0")</f>
        <v>167</v>
      </c>
      <c r="Z387" s="631">
        <f>IFERROR(IF(Z384="",0,Z384),"0")+IFERROR(IF(Z385="",0,Z385),"0")+IFERROR(IF(Z386="",0,Z386),"0")</f>
        <v>3.1696599999999999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1312</v>
      </c>
      <c r="Y388" s="631">
        <f>IFERROR(SUM(Y384:Y386),"0")</f>
        <v>1320.6</v>
      </c>
      <c r="Z388" s="37"/>
      <c r="AA388" s="632"/>
      <c r="AB388" s="632"/>
      <c r="AC388" s="632"/>
    </row>
    <row r="389" spans="1:68" ht="14.25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25</v>
      </c>
      <c r="Y397" s="630">
        <f>IFERROR(IF(X397="",0,CEILING((X397/$H397),1)*$H397),"")</f>
        <v>26</v>
      </c>
      <c r="Z397" s="36">
        <f>IFERROR(IF(Y397=0,"",ROUNDUP(Y397/H397,0)*0.00474),"")</f>
        <v>6.1620000000000001E-2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28.000000000000004</v>
      </c>
      <c r="BN397" s="64">
        <f>IFERROR(Y397*I397/H397,"0")</f>
        <v>29.120000000000005</v>
      </c>
      <c r="BO397" s="64">
        <f>IFERROR(1/J397*(X397/H397),"0")</f>
        <v>5.2521008403361345E-2</v>
      </c>
      <c r="BP397" s="64">
        <f>IFERROR(1/J397*(Y397/H397),"0")</f>
        <v>5.4621848739495799E-2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15</v>
      </c>
      <c r="Y398" s="630">
        <f>IFERROR(IF(X398="",0,CEILING((X398/$H398),1)*$H398),"")</f>
        <v>16</v>
      </c>
      <c r="Z398" s="36">
        <f>IFERROR(IF(Y398=0,"",ROUNDUP(Y398/H398,0)*0.00474),"")</f>
        <v>3.7920000000000002E-2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16.8</v>
      </c>
      <c r="BN398" s="64">
        <f>IFERROR(Y398*I398/H398,"0")</f>
        <v>17.920000000000002</v>
      </c>
      <c r="BO398" s="64">
        <f>IFERROR(1/J398*(X398/H398),"0")</f>
        <v>3.1512605042016806E-2</v>
      </c>
      <c r="BP398" s="64">
        <f>IFERROR(1/J398*(Y398/H398),"0")</f>
        <v>3.3613445378151259E-2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37</v>
      </c>
      <c r="Y399" s="630">
        <f>IFERROR(IF(X399="",0,CEILING((X399/$H399),1)*$H399),"")</f>
        <v>38</v>
      </c>
      <c r="Z399" s="36">
        <f>IFERROR(IF(Y399=0,"",ROUNDUP(Y399/H399,0)*0.00474),"")</f>
        <v>9.0060000000000001E-2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41.440000000000005</v>
      </c>
      <c r="BN399" s="64">
        <f>IFERROR(Y399*I399/H399,"0")</f>
        <v>42.56</v>
      </c>
      <c r="BO399" s="64">
        <f>IFERROR(1/J399*(X399/H399),"0")</f>
        <v>7.7731092436974791E-2</v>
      </c>
      <c r="BP399" s="64">
        <f>IFERROR(1/J399*(Y399/H399),"0")</f>
        <v>7.9831932773109238E-2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38.5</v>
      </c>
      <c r="Y400" s="631">
        <f>IFERROR(Y397/H397,"0")+IFERROR(Y398/H398,"0")+IFERROR(Y399/H399,"0")</f>
        <v>40</v>
      </c>
      <c r="Z400" s="631">
        <f>IFERROR(IF(Z397="",0,Z397),"0")+IFERROR(IF(Z398="",0,Z398),"0")+IFERROR(IF(Z399="",0,Z399),"0")</f>
        <v>0.18959999999999999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77</v>
      </c>
      <c r="Y401" s="631">
        <f>IFERROR(SUM(Y397:Y399),"0")</f>
        <v>80</v>
      </c>
      <c r="Z401" s="37"/>
      <c r="AA401" s="632"/>
      <c r="AB401" s="632"/>
      <c r="AC401" s="632"/>
    </row>
    <row r="402" spans="1:68" ht="14.25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45</v>
      </c>
      <c r="Y417" s="630">
        <f>IFERROR(IF(X417="",0,CEILING((X417/$H417),1)*$H417),"")</f>
        <v>46.2</v>
      </c>
      <c r="Z417" s="36">
        <f>IFERROR(IF(Y417=0,"",ROUNDUP(Y417/H417,0)*0.00651),"")</f>
        <v>0.14322000000000001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50.399999999999991</v>
      </c>
      <c r="BN417" s="64">
        <f>IFERROR(Y417*I417/H417,"0")</f>
        <v>51.744</v>
      </c>
      <c r="BO417" s="64">
        <f>IFERROR(1/J417*(X417/H417),"0")</f>
        <v>0.11773940345368916</v>
      </c>
      <c r="BP417" s="64">
        <f>IFERROR(1/J417*(Y417/H417),"0")</f>
        <v>0.12087912087912089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35</v>
      </c>
      <c r="Y418" s="630">
        <f>IFERROR(IF(X418="",0,CEILING((X418/$H418),1)*$H418),"")</f>
        <v>35.700000000000003</v>
      </c>
      <c r="Z418" s="36">
        <f>IFERROR(IF(Y418=0,"",ROUNDUP(Y418/H418,0)*0.00651),"")</f>
        <v>0.11067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38.999999999999993</v>
      </c>
      <c r="BN418" s="64">
        <f>IFERROR(Y418*I418/H418,"0")</f>
        <v>39.779999999999994</v>
      </c>
      <c r="BO418" s="64">
        <f>IFERROR(1/J418*(X418/H418),"0")</f>
        <v>9.1575091575091569E-2</v>
      </c>
      <c r="BP418" s="64">
        <f>IFERROR(1/J418*(Y418/H418),"0")</f>
        <v>9.3406593406593408E-2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38.095238095238088</v>
      </c>
      <c r="Y419" s="631">
        <f>IFERROR(Y416/H416,"0")+IFERROR(Y417/H417,"0")+IFERROR(Y418/H418,"0")</f>
        <v>39</v>
      </c>
      <c r="Z419" s="631">
        <f>IFERROR(IF(Z416="",0,Z416),"0")+IFERROR(IF(Z417="",0,Z417),"0")+IFERROR(IF(Z418="",0,Z418),"0")</f>
        <v>0.25389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80</v>
      </c>
      <c r="Y420" s="631">
        <f>IFERROR(SUM(Y416:Y418),"0")</f>
        <v>81.900000000000006</v>
      </c>
      <c r="Z420" s="37"/>
      <c r="AA420" s="632"/>
      <c r="AB420" s="632"/>
      <c r="AC420" s="632"/>
    </row>
    <row r="421" spans="1:68" ht="27.75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247</v>
      </c>
      <c r="Y424" s="630">
        <f t="shared" ref="Y424:Y431" si="59">IFERROR(IF(X424="",0,CEILING((X424/$H424),1)*$H424),"")</f>
        <v>255</v>
      </c>
      <c r="Z424" s="36">
        <f>IFERROR(IF(Y424=0,"",ROUNDUP(Y424/H424,0)*0.02175),"")</f>
        <v>0.36974999999999997</v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254.73933333333335</v>
      </c>
      <c r="BN424" s="64">
        <f t="shared" ref="BN424:BN431" si="61">IFERROR(Y424*I424/H424,"0")</f>
        <v>262.99</v>
      </c>
      <c r="BO424" s="64">
        <f t="shared" ref="BO424:BO431" si="62">IFERROR(1/J424*(X424/H424),"0")</f>
        <v>0.3430555555555555</v>
      </c>
      <c r="BP424" s="64">
        <f t="shared" ref="BP424:BP431" si="63">IFERROR(1/J424*(Y424/H424),"0")</f>
        <v>0.35416666666666663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0</v>
      </c>
      <c r="Y428" s="630">
        <f t="shared" si="59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0</v>
      </c>
      <c r="BN428" s="64">
        <f t="shared" si="61"/>
        <v>0</v>
      </c>
      <c r="BO428" s="64">
        <f t="shared" si="62"/>
        <v>0</v>
      </c>
      <c r="BP428" s="64">
        <f t="shared" si="63"/>
        <v>0</v>
      </c>
    </row>
    <row r="429" spans="1:68" ht="27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16.466666666666665</v>
      </c>
      <c r="Y432" s="631">
        <f>IFERROR(Y424/H424,"0")+IFERROR(Y425/H425,"0")+IFERROR(Y426/H426,"0")+IFERROR(Y427/H427,"0")+IFERROR(Y428/H428,"0")+IFERROR(Y429/H429,"0")+IFERROR(Y430/H430,"0")+IFERROR(Y431/H431,"0")</f>
        <v>17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0.36974999999999997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247</v>
      </c>
      <c r="Y433" s="631">
        <f>IFERROR(SUM(Y424:Y431),"0")</f>
        <v>255</v>
      </c>
      <c r="Z433" s="37"/>
      <c r="AA433" s="632"/>
      <c r="AB433" s="632"/>
      <c r="AC433" s="632"/>
    </row>
    <row r="434" spans="1:68" ht="14.25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100</v>
      </c>
      <c r="Y448" s="630">
        <f>IFERROR(IF(X448="",0,CEILING((X448/$H448),1)*$H448),"")</f>
        <v>108</v>
      </c>
      <c r="Z448" s="36">
        <f>IFERROR(IF(Y448=0,"",ROUNDUP(Y448/H448,0)*0.01898),"")</f>
        <v>0.22776000000000002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105.48888888888888</v>
      </c>
      <c r="BN448" s="64">
        <f>IFERROR(Y448*I448/H448,"0")</f>
        <v>113.92799999999998</v>
      </c>
      <c r="BO448" s="64">
        <f>IFERROR(1/J448*(X448/H448),"0")</f>
        <v>0.1736111111111111</v>
      </c>
      <c r="BP448" s="64">
        <f>IFERROR(1/J448*(Y448/H448),"0")</f>
        <v>0.1875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11.111111111111111</v>
      </c>
      <c r="Y449" s="631">
        <f>IFERROR(Y447/H447,"0")+IFERROR(Y448/H448,"0")</f>
        <v>12</v>
      </c>
      <c r="Z449" s="631">
        <f>IFERROR(IF(Z447="",0,Z447),"0")+IFERROR(IF(Z448="",0,Z448),"0")</f>
        <v>0.22776000000000002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100</v>
      </c>
      <c r="Y450" s="631">
        <f>IFERROR(SUM(Y447:Y448),"0")</f>
        <v>108</v>
      </c>
      <c r="Z450" s="37"/>
      <c r="AA450" s="632"/>
      <c r="AB450" s="632"/>
      <c r="AC450" s="632"/>
    </row>
    <row r="451" spans="1:68" ht="16.5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1400</v>
      </c>
      <c r="Y462" s="630">
        <f>IFERROR(IF(X462="",0,CEILING((X462/$H462),1)*$H462),"")</f>
        <v>1404</v>
      </c>
      <c r="Z462" s="36">
        <f>IFERROR(IF(Y462=0,"",ROUNDUP(Y462/H462,0)*0.01898),"")</f>
        <v>2.96088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1476.8444444444444</v>
      </c>
      <c r="BN462" s="64">
        <f>IFERROR(Y462*I462/H462,"0")</f>
        <v>1481.0639999999999</v>
      </c>
      <c r="BO462" s="64">
        <f>IFERROR(1/J462*(X462/H462),"0")</f>
        <v>2.4305555555555554</v>
      </c>
      <c r="BP462" s="64">
        <f>IFERROR(1/J462*(Y462/H462),"0")</f>
        <v>2.4375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4</v>
      </c>
      <c r="Y463" s="630">
        <f>IFERROR(IF(X463="",0,CEILING((X463/$H463),1)*$H463),"")</f>
        <v>4.8</v>
      </c>
      <c r="Z463" s="36">
        <f>IFERROR(IF(Y463=0,"",ROUNDUP(Y463/H463,0)*0.00651),"")</f>
        <v>1.302E-2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4.4400000000000004</v>
      </c>
      <c r="BN463" s="64">
        <f>IFERROR(Y463*I463/H463,"0")</f>
        <v>5.3280000000000003</v>
      </c>
      <c r="BO463" s="64">
        <f>IFERROR(1/J463*(X463/H463),"0")</f>
        <v>9.1575091575091579E-3</v>
      </c>
      <c r="BP463" s="64">
        <f>IFERROR(1/J463*(Y463/H463),"0")</f>
        <v>1.098901098901099E-2</v>
      </c>
    </row>
    <row r="464" spans="1:68" ht="27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157.2222222222222</v>
      </c>
      <c r="Y465" s="631">
        <f>IFERROR(Y462/H462,"0")+IFERROR(Y463/H463,"0")+IFERROR(Y464/H464,"0")</f>
        <v>158</v>
      </c>
      <c r="Z465" s="631">
        <f>IFERROR(IF(Z462="",0,Z462),"0")+IFERROR(IF(Z463="",0,Z463),"0")+IFERROR(IF(Z464="",0,Z464),"0")</f>
        <v>2.9739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1404</v>
      </c>
      <c r="Y466" s="631">
        <f>IFERROR(SUM(Y462:Y464),"0")</f>
        <v>1408.8</v>
      </c>
      <c r="Z466" s="37"/>
      <c r="AA466" s="632"/>
      <c r="AB466" s="632"/>
      <c r="AC466" s="632"/>
    </row>
    <row r="467" spans="1:68" ht="27.75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45</v>
      </c>
      <c r="Y504" s="630">
        <f t="shared" si="69"/>
        <v>48</v>
      </c>
      <c r="Z504" s="36">
        <f>IFERROR(IF(Y504=0,"",ROUNDUP(Y504/H504,0)*0.00902),"")</f>
        <v>9.0200000000000002E-2</v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64.78125</v>
      </c>
      <c r="BN504" s="64">
        <f t="shared" si="72"/>
        <v>69.100000000000009</v>
      </c>
      <c r="BO504" s="64">
        <f t="shared" si="73"/>
        <v>7.1022727272727279E-2</v>
      </c>
      <c r="BP504" s="64">
        <f t="shared" si="74"/>
        <v>7.575757575757576E-2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9.375</v>
      </c>
      <c r="Y506" s="631">
        <f>IFERROR(Y497/H497,"0")+IFERROR(Y498/H498,"0")+IFERROR(Y499/H499,"0")+IFERROR(Y500/H500,"0")+IFERROR(Y501/H501,"0")+IFERROR(Y502/H502,"0")+IFERROR(Y503/H503,"0")+IFERROR(Y504/H504,"0")+IFERROR(Y505/H505,"0")</f>
        <v>10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9.0200000000000002E-2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45</v>
      </c>
      <c r="Y507" s="631">
        <f>IFERROR(SUM(Y497:Y505),"0")</f>
        <v>48</v>
      </c>
      <c r="Z507" s="37"/>
      <c r="AA507" s="632"/>
      <c r="AB507" s="632"/>
      <c r="AC507" s="632"/>
    </row>
    <row r="508" spans="1:68" ht="14.25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34</v>
      </c>
      <c r="Y511" s="630">
        <f>IFERROR(IF(X511="",0,CEILING((X511/$H511),1)*$H511),"")</f>
        <v>38.4</v>
      </c>
      <c r="Z511" s="36">
        <f>IFERROR(IF(Y511=0,"",ROUNDUP(Y511/H511,0)*0.00902),"")</f>
        <v>7.2160000000000002E-2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48.945833333333333</v>
      </c>
      <c r="BN511" s="64">
        <f>IFERROR(Y511*I511/H511,"0")</f>
        <v>55.28</v>
      </c>
      <c r="BO511" s="64">
        <f>IFERROR(1/J511*(X511/H511),"0")</f>
        <v>5.3661616161616167E-2</v>
      </c>
      <c r="BP511" s="64">
        <f>IFERROR(1/J511*(Y511/H511),"0")</f>
        <v>6.0606060606060608E-2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7.0833333333333339</v>
      </c>
      <c r="Y512" s="631">
        <f>IFERROR(Y509/H509,"0")+IFERROR(Y510/H510,"0")+IFERROR(Y511/H511,"0")</f>
        <v>8</v>
      </c>
      <c r="Z512" s="631">
        <f>IFERROR(IF(Z509="",0,Z509),"0")+IFERROR(IF(Z510="",0,Z510),"0")+IFERROR(IF(Z511="",0,Z511),"0")</f>
        <v>7.2160000000000002E-2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34</v>
      </c>
      <c r="Y513" s="631">
        <f>IFERROR(SUM(Y509:Y511),"0")</f>
        <v>38.4</v>
      </c>
      <c r="Z513" s="37"/>
      <c r="AA513" s="632"/>
      <c r="AB513" s="632"/>
      <c r="AC513" s="632"/>
    </row>
    <row r="514" spans="1:68" ht="14.25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24</v>
      </c>
      <c r="Y516" s="630">
        <f t="shared" si="75"/>
        <v>26.400000000000002</v>
      </c>
      <c r="Z516" s="36">
        <f>IFERROR(IF(Y516=0,"",ROUNDUP(Y516/H516,0)*0.01196),"")</f>
        <v>5.9799999999999999E-2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25.59090909090909</v>
      </c>
      <c r="BN516" s="64">
        <f t="shared" si="77"/>
        <v>28.15</v>
      </c>
      <c r="BO516" s="64">
        <f t="shared" si="78"/>
        <v>4.3706293706293704E-2</v>
      </c>
      <c r="BP516" s="64">
        <f t="shared" si="79"/>
        <v>4.807692307692308E-2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14</v>
      </c>
      <c r="Y517" s="630">
        <f t="shared" si="75"/>
        <v>15.84</v>
      </c>
      <c r="Z517" s="36">
        <f>IFERROR(IF(Y517=0,"",ROUNDUP(Y517/H517,0)*0.01196),"")</f>
        <v>3.5880000000000002E-2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14.928030303030301</v>
      </c>
      <c r="BN517" s="64">
        <f t="shared" si="77"/>
        <v>16.889999999999997</v>
      </c>
      <c r="BO517" s="64">
        <f t="shared" si="78"/>
        <v>2.5495337995337996E-2</v>
      </c>
      <c r="BP517" s="64">
        <f t="shared" si="79"/>
        <v>2.8846153846153848E-2</v>
      </c>
    </row>
    <row r="518" spans="1:68" ht="27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7.1969696969696964</v>
      </c>
      <c r="Y522" s="631">
        <f>IFERROR(Y515/H515,"0")+IFERROR(Y516/H516,"0")+IFERROR(Y517/H517,"0")+IFERROR(Y518/H518,"0")+IFERROR(Y519/H519,"0")+IFERROR(Y520/H520,"0")+IFERROR(Y521/H521,"0")</f>
        <v>8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9.5680000000000001E-2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38</v>
      </c>
      <c r="Y523" s="631">
        <f>IFERROR(SUM(Y515:Y521),"0")</f>
        <v>42.24</v>
      </c>
      <c r="Z523" s="37"/>
      <c r="AA523" s="632"/>
      <c r="AB523" s="632"/>
      <c r="AC523" s="632"/>
    </row>
    <row r="524" spans="1:68" ht="27.75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20</v>
      </c>
      <c r="Y539" s="630">
        <f>IFERROR(IF(X539="",0,CEILING((X539/$H539),1)*$H539),"")</f>
        <v>27</v>
      </c>
      <c r="Z539" s="36">
        <f>IFERROR(IF(Y539=0,"",ROUNDUP(Y539/H539,0)*0.01898),"")</f>
        <v>5.6940000000000004E-2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21.097777777777779</v>
      </c>
      <c r="BN539" s="64">
        <f>IFERROR(Y539*I539/H539,"0")</f>
        <v>28.481999999999996</v>
      </c>
      <c r="BO539" s="64">
        <f>IFERROR(1/J539*(X539/H539),"0")</f>
        <v>3.4722222222222224E-2</v>
      </c>
      <c r="BP539" s="64">
        <f>IFERROR(1/J539*(Y539/H539),"0")</f>
        <v>4.6875E-2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2.2222222222222223</v>
      </c>
      <c r="Y540" s="631">
        <f>IFERROR(Y539/H539,"0")</f>
        <v>3</v>
      </c>
      <c r="Z540" s="631">
        <f>IFERROR(IF(Z539="",0,Z539),"0")</f>
        <v>5.6940000000000004E-2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20</v>
      </c>
      <c r="Y541" s="631">
        <f>IFERROR(SUM(Y539:Y539),"0")</f>
        <v>27</v>
      </c>
      <c r="Z541" s="37"/>
      <c r="AA541" s="632"/>
      <c r="AB541" s="632"/>
      <c r="AC541" s="632"/>
    </row>
    <row r="542" spans="1:68" ht="14.25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10348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10510.679999999997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11101.060152027541</v>
      </c>
      <c r="Y553" s="631">
        <f>IFERROR(SUM(BN22:BN549),"0")</f>
        <v>11276.623000000001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21</v>
      </c>
      <c r="Y554" s="38">
        <f>ROUNDUP(SUM(BP22:BP549),0)</f>
        <v>21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11626.060152027541</v>
      </c>
      <c r="Y555" s="631">
        <f>GrossWeightTotalR+PalletQtyTotalR*25</f>
        <v>11801.623000000001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2484.1051158752225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2518</v>
      </c>
      <c r="Z556" s="37"/>
      <c r="AA556" s="632"/>
      <c r="AB556" s="632"/>
      <c r="AC556" s="632"/>
    </row>
    <row r="557" spans="1:68" ht="14.25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24.441899999999997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63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402</v>
      </c>
      <c r="F562" s="46">
        <f>IFERROR(Y83*1,"0")+IFERROR(Y84*1,"0")+IFERROR(Y85*1,"0")+IFERROR(Y86*1,"0")+IFERROR(Y90*1,"0")+IFERROR(Y91*1,"0")+IFERROR(Y92*1,"0")+IFERROR(Y93*1,"0")</f>
        <v>714.5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998.9</v>
      </c>
      <c r="H562" s="46">
        <f>IFERROR(Y128*1,"0")+IFERROR(Y129*1,"0")+IFERROR(Y130*1,"0")+IFERROR(Y134*1,"0")+IFERROR(Y135*1,"0")+IFERROR(Y136*1,"0")+IFERROR(Y137*1,"0")+IFERROR(Y141*1,"0")+IFERROR(Y142*1,"0")+IFERROR(Y143*1,"0")</f>
        <v>68.8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814.78000000000009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502.66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3011.1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17.399999999999999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158.39999999999998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195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1554.8</v>
      </c>
      <c r="U562" s="46">
        <f>IFERROR(Y410*1,"0")+IFERROR(Y411*1,"0")</f>
        <v>0</v>
      </c>
      <c r="V562" s="46">
        <f>IFERROR(Y416*1,"0")+IFERROR(Y417*1,"0")+IFERROR(Y418*1,"0")</f>
        <v>81.900000000000006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363</v>
      </c>
      <c r="X562" s="46">
        <f>IFERROR(Y453*1,"0")+IFERROR(Y454*1,"0")+IFERROR(Y458*1,"0")+IFERROR(Y462*1,"0")+IFERROR(Y463*1,"0")+IFERROR(Y464*1,"0")</f>
        <v>1408.8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128.64000000000001</v>
      </c>
      <c r="AB562" s="46">
        <f>IFERROR(Y527*1,"0")+IFERROR(Y531*1,"0")+IFERROR(Y535*1,"0")+IFERROR(Y539*1,"0")+IFERROR(Y543*1,"0")+IFERROR(Y544*1,"0")</f>
        <v>27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2026-08-26T09:02:24Z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