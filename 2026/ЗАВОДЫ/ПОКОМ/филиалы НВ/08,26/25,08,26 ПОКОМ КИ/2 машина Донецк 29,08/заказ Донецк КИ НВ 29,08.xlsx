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979BD70-FEA2-48ED-B035-11005C2844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Y419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Y394" i="1" s="1"/>
  <c r="P390" i="1"/>
  <c r="X388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Y334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8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8" i="1" s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Y274" i="1" s="1"/>
  <c r="P265" i="1"/>
  <c r="X263" i="1"/>
  <c r="X262" i="1"/>
  <c r="BO261" i="1"/>
  <c r="BM261" i="1"/>
  <c r="Y261" i="1"/>
  <c r="BP261" i="1" s="1"/>
  <c r="P261" i="1"/>
  <c r="BP260" i="1"/>
  <c r="BO260" i="1"/>
  <c r="BN260" i="1"/>
  <c r="BM260" i="1"/>
  <c r="Z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M562" i="1" s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P245" i="1"/>
  <c r="BO245" i="1"/>
  <c r="BN245" i="1"/>
  <c r="BM245" i="1"/>
  <c r="Z245" i="1"/>
  <c r="Y245" i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Y233" i="1" s="1"/>
  <c r="P219" i="1"/>
  <c r="X217" i="1"/>
  <c r="Y216" i="1"/>
  <c r="X216" i="1"/>
  <c r="BP215" i="1"/>
  <c r="BO215" i="1"/>
  <c r="BN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P190" i="1"/>
  <c r="BO190" i="1"/>
  <c r="BN190" i="1"/>
  <c r="BM190" i="1"/>
  <c r="Z190" i="1"/>
  <c r="Y190" i="1"/>
  <c r="P190" i="1"/>
  <c r="BO189" i="1"/>
  <c r="BM189" i="1"/>
  <c r="Y189" i="1"/>
  <c r="BP189" i="1" s="1"/>
  <c r="P189" i="1"/>
  <c r="BP188" i="1"/>
  <c r="BO188" i="1"/>
  <c r="BN188" i="1"/>
  <c r="BM188" i="1"/>
  <c r="Z188" i="1"/>
  <c r="Y188" i="1"/>
  <c r="Y192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6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J562" i="1" s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Y105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552" i="1" s="1"/>
  <c r="X24" i="1"/>
  <c r="X55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79" i="1" l="1"/>
  <c r="Z191" i="1"/>
  <c r="Z233" i="1"/>
  <c r="Z481" i="1"/>
  <c r="F9" i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3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Z318" i="1"/>
  <c r="BP316" i="1"/>
  <c r="BN316" i="1"/>
  <c r="Z316" i="1"/>
  <c r="BP325" i="1"/>
  <c r="BN325" i="1"/>
  <c r="Z325" i="1"/>
  <c r="BP339" i="1"/>
  <c r="BN339" i="1"/>
  <c r="Z339" i="1"/>
  <c r="Z343" i="1" s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75" i="1"/>
  <c r="Y382" i="1"/>
  <c r="BP377" i="1"/>
  <c r="BN377" i="1"/>
  <c r="Z377" i="1"/>
  <c r="Z381" i="1" s="1"/>
  <c r="Y381" i="1"/>
  <c r="Z387" i="1"/>
  <c r="BP385" i="1"/>
  <c r="BN385" i="1"/>
  <c r="Z385" i="1"/>
  <c r="BP393" i="1"/>
  <c r="BN393" i="1"/>
  <c r="Z393" i="1"/>
  <c r="Y395" i="1"/>
  <c r="Y400" i="1"/>
  <c r="BP397" i="1"/>
  <c r="BN397" i="1"/>
  <c r="Z397" i="1"/>
  <c r="BP405" i="1"/>
  <c r="BN405" i="1"/>
  <c r="Z405" i="1"/>
  <c r="Y407" i="1"/>
  <c r="U562" i="1"/>
  <c r="Y413" i="1"/>
  <c r="BP410" i="1"/>
  <c r="BN410" i="1"/>
  <c r="Z410" i="1"/>
  <c r="Z412" i="1" s="1"/>
  <c r="BP425" i="1"/>
  <c r="BN425" i="1"/>
  <c r="Z425" i="1"/>
  <c r="Z432" i="1" s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G562" i="1"/>
  <c r="X562" i="1"/>
  <c r="H9" i="1"/>
  <c r="B562" i="1"/>
  <c r="X553" i="1"/>
  <c r="X555" i="1" s="1"/>
  <c r="X554" i="1"/>
  <c r="Z23" i="1"/>
  <c r="Z24" i="1" s="1"/>
  <c r="BN23" i="1"/>
  <c r="Y24" i="1"/>
  <c r="Z27" i="1"/>
  <c r="BN27" i="1"/>
  <c r="Y553" i="1" s="1"/>
  <c r="Y555" i="1" s="1"/>
  <c r="BP27" i="1"/>
  <c r="Y554" i="1" s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Z52" i="1" s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Z69" i="1" s="1"/>
  <c r="BN66" i="1"/>
  <c r="Z68" i="1"/>
  <c r="BN68" i="1"/>
  <c r="Z72" i="1"/>
  <c r="Z74" i="1" s="1"/>
  <c r="BN72" i="1"/>
  <c r="BP72" i="1"/>
  <c r="Z78" i="1"/>
  <c r="BN78" i="1"/>
  <c r="Z83" i="1"/>
  <c r="BN83" i="1"/>
  <c r="BP83" i="1"/>
  <c r="Z85" i="1"/>
  <c r="BN85" i="1"/>
  <c r="Y88" i="1"/>
  <c r="Z91" i="1"/>
  <c r="Z94" i="1" s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Z108" i="1"/>
  <c r="Z113" i="1" s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Z138" i="1" s="1"/>
  <c r="BN135" i="1"/>
  <c r="Z137" i="1"/>
  <c r="BN137" i="1"/>
  <c r="Z141" i="1"/>
  <c r="Z144" i="1" s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Z165" i="1"/>
  <c r="BN165" i="1"/>
  <c r="Y166" i="1"/>
  <c r="Z169" i="1"/>
  <c r="Z171" i="1" s="1"/>
  <c r="BN169" i="1"/>
  <c r="BP169" i="1"/>
  <c r="Z175" i="1"/>
  <c r="Z185" i="1" s="1"/>
  <c r="BN175" i="1"/>
  <c r="Z177" i="1"/>
  <c r="BN177" i="1"/>
  <c r="Z179" i="1"/>
  <c r="BN179" i="1"/>
  <c r="Z181" i="1"/>
  <c r="BN181" i="1"/>
  <c r="Z183" i="1"/>
  <c r="BN183" i="1"/>
  <c r="Z189" i="1"/>
  <c r="BN189" i="1"/>
  <c r="K562" i="1"/>
  <c r="Z205" i="1"/>
  <c r="Z211" i="1" s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Z247" i="1" s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Z273" i="1" s="1"/>
  <c r="BN265" i="1"/>
  <c r="BP265" i="1"/>
  <c r="Z267" i="1"/>
  <c r="BN267" i="1"/>
  <c r="Z269" i="1"/>
  <c r="BN269" i="1"/>
  <c r="Z271" i="1"/>
  <c r="BN271" i="1"/>
  <c r="BP277" i="1"/>
  <c r="BN277" i="1"/>
  <c r="Z277" i="1"/>
  <c r="BP281" i="1"/>
  <c r="BN281" i="1"/>
  <c r="Z281" i="1"/>
  <c r="BP285" i="1"/>
  <c r="BN285" i="1"/>
  <c r="Z285" i="1"/>
  <c r="Y293" i="1"/>
  <c r="BP298" i="1"/>
  <c r="BN298" i="1"/>
  <c r="Z298" i="1"/>
  <c r="Z304" i="1" s="1"/>
  <c r="BP302" i="1"/>
  <c r="BN302" i="1"/>
  <c r="Z302" i="1"/>
  <c r="Y319" i="1"/>
  <c r="Y318" i="1"/>
  <c r="Z327" i="1"/>
  <c r="BP323" i="1"/>
  <c r="BN323" i="1"/>
  <c r="Z323" i="1"/>
  <c r="Y327" i="1"/>
  <c r="BP332" i="1"/>
  <c r="BN332" i="1"/>
  <c r="Z332" i="1"/>
  <c r="Z334" i="1" s="1"/>
  <c r="BP341" i="1"/>
  <c r="BN341" i="1"/>
  <c r="Z341" i="1"/>
  <c r="Y348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BP371" i="1"/>
  <c r="BN371" i="1"/>
  <c r="Z371" i="1"/>
  <c r="BP379" i="1"/>
  <c r="BN379" i="1"/>
  <c r="Z379" i="1"/>
  <c r="Y388" i="1"/>
  <c r="Y387" i="1"/>
  <c r="BP391" i="1"/>
  <c r="BN391" i="1"/>
  <c r="Z391" i="1"/>
  <c r="Z394" i="1" s="1"/>
  <c r="BP399" i="1"/>
  <c r="BN399" i="1"/>
  <c r="Z399" i="1"/>
  <c r="Y401" i="1"/>
  <c r="Y406" i="1"/>
  <c r="BP403" i="1"/>
  <c r="BN403" i="1"/>
  <c r="Z403" i="1"/>
  <c r="Z406" i="1" s="1"/>
  <c r="Y412" i="1"/>
  <c r="Z419" i="1"/>
  <c r="BP417" i="1"/>
  <c r="BN417" i="1"/>
  <c r="Z417" i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Y556" i="1" l="1"/>
  <c r="Z492" i="1"/>
  <c r="Y552" i="1"/>
  <c r="Z506" i="1"/>
  <c r="Z476" i="1"/>
  <c r="Z438" i="1"/>
  <c r="Z374" i="1"/>
  <c r="Z364" i="1"/>
  <c r="Z288" i="1"/>
  <c r="Z241" i="1"/>
  <c r="Z155" i="1"/>
  <c r="Z120" i="1"/>
  <c r="Z105" i="1"/>
  <c r="Z87" i="1"/>
  <c r="Z557" i="1" s="1"/>
  <c r="Z32" i="1"/>
  <c r="Z522" i="1"/>
  <c r="Z465" i="1"/>
  <c r="Z444" i="1"/>
  <c r="Z400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<sst xmlns="http://schemas.openxmlformats.org/spreadsheetml/2006/main" count="2497" uniqueCount="905">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</sst>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28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2</v>
      </c>
      <c r="Y29" s="630">
        <f>IFERROR(IF(X29="",0,CEILING((X29/$H29),1)*$H29),"")</f>
        <v>3.6</v>
      </c>
      <c r="Z29" s="36">
        <f>IFERROR(IF(Y29=0,"",ROUNDUP(Y29/H29,0)*0.00651),"")</f>
        <v>1.302E-2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3.5333333333333332</v>
      </c>
      <c r="BN29" s="64">
        <f>IFERROR(Y29*I29/H29,"0")</f>
        <v>6.36</v>
      </c>
      <c r="BO29" s="64">
        <f>IFERROR(1/J29*(X29/H29),"0")</f>
        <v>6.1050061050061059E-3</v>
      </c>
      <c r="BP29" s="64">
        <f>IFERROR(1/J29*(Y29/H29),"0")</f>
        <v>1.098901098901099E-2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1.1111111111111112</v>
      </c>
      <c r="Y32" s="631">
        <f>IFERROR(Y27/H27,"0")+IFERROR(Y28/H28,"0")+IFERROR(Y29/H29,"0")+IFERROR(Y30/H30,"0")+IFERROR(Y31/H31,"0")</f>
        <v>2</v>
      </c>
      <c r="Z32" s="631">
        <f>IFERROR(IF(Z27="",0,Z27),"0")+IFERROR(IF(Z28="",0,Z28),"0")+IFERROR(IF(Z29="",0,Z29),"0")+IFERROR(IF(Z30="",0,Z30),"0")+IFERROR(IF(Z31="",0,Z31),"0")</f>
        <v>1.302E-2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2</v>
      </c>
      <c r="Y33" s="631">
        <f>IFERROR(SUM(Y27:Y31),"0")</f>
        <v>3.6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729</v>
      </c>
      <c r="Y48" s="630">
        <f>IFERROR(IF(X48="",0,CEILING((X48/$H48),1)*$H48),"")</f>
        <v>734.40000000000009</v>
      </c>
      <c r="Z48" s="36">
        <f>IFERROR(IF(Y48=0,"",ROUNDUP(Y48/H48,0)*0.01898),"")</f>
        <v>1.29064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756.67500000000007</v>
      </c>
      <c r="BN48" s="64">
        <f>IFERROR(Y48*I48/H48,"0")</f>
        <v>762.28000000000009</v>
      </c>
      <c r="BO48" s="64">
        <f>IFERROR(1/J48*(X48/H48),"0")</f>
        <v>1.0546875</v>
      </c>
      <c r="BP48" s="64">
        <f>IFERROR(1/J48*(Y48/H48),"0")</f>
        <v>1.0625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7</v>
      </c>
      <c r="Y50" s="630">
        <f>IFERROR(IF(X50="",0,CEILING((X50/$H50),1)*$H50),"")</f>
        <v>8</v>
      </c>
      <c r="Z50" s="36">
        <f>IFERROR(IF(Y50=0,"",ROUNDUP(Y50/H50,0)*0.00902),"")</f>
        <v>1.804E-2</v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7.3325000000000005</v>
      </c>
      <c r="BN50" s="64">
        <f>IFERROR(Y50*I50/H50,"0")</f>
        <v>8.3800000000000008</v>
      </c>
      <c r="BO50" s="64">
        <f>IFERROR(1/J50*(X50/H50),"0")</f>
        <v>1.3257575757575758E-2</v>
      </c>
      <c r="BP50" s="64">
        <f>IFERROR(1/J50*(Y50/H50),"0")</f>
        <v>1.5151515151515152E-2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69.25</v>
      </c>
      <c r="Y52" s="631">
        <f>IFERROR(Y48/H48,"0")+IFERROR(Y49/H49,"0")+IFERROR(Y50/H50,"0")+IFERROR(Y51/H51,"0")</f>
        <v>70</v>
      </c>
      <c r="Z52" s="631">
        <f>IFERROR(IF(Z48="",0,Z48),"0")+IFERROR(IF(Z49="",0,Z49),"0")+IFERROR(IF(Z50="",0,Z50),"0")+IFERROR(IF(Z51="",0,Z51),"0")</f>
        <v>1.3086800000000001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736</v>
      </c>
      <c r="Y53" s="631">
        <f>IFERROR(SUM(Y48:Y51),"0")</f>
        <v>742.40000000000009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397</v>
      </c>
      <c r="Y57" s="630">
        <f t="shared" si="6"/>
        <v>399.6</v>
      </c>
      <c r="Z57" s="36">
        <f>IFERROR(IF(Y57=0,"",ROUNDUP(Y57/H57,0)*0.01898),"")</f>
        <v>0.70226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412.07129629629628</v>
      </c>
      <c r="BN57" s="64">
        <f t="shared" si="8"/>
        <v>414.77000000000004</v>
      </c>
      <c r="BO57" s="64">
        <f t="shared" si="9"/>
        <v>0.57436342592592593</v>
      </c>
      <c r="BP57" s="64">
        <f t="shared" si="10"/>
        <v>0.578125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36.75925925925926</v>
      </c>
      <c r="Y62" s="631">
        <f>IFERROR(Y56/H56,"0")+IFERROR(Y57/H57,"0")+IFERROR(Y58/H58,"0")+IFERROR(Y59/H59,"0")+IFERROR(Y60/H60,"0")+IFERROR(Y61/H61,"0")</f>
        <v>37</v>
      </c>
      <c r="Z62" s="631">
        <f>IFERROR(IF(Z56="",0,Z56),"0")+IFERROR(IF(Z57="",0,Z57),"0")+IFERROR(IF(Z58="",0,Z58),"0")+IFERROR(IF(Z59="",0,Z59),"0")+IFERROR(IF(Z60="",0,Z60),"0")+IFERROR(IF(Z61="",0,Z61),"0")</f>
        <v>0.70226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397</v>
      </c>
      <c r="Y63" s="631">
        <f>IFERROR(SUM(Y56:Y61),"0")</f>
        <v>399.6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30</v>
      </c>
      <c r="Y72" s="630">
        <f>IFERROR(IF(X72="",0,CEILING((X72/$H72),1)*$H72),"")</f>
        <v>30.6</v>
      </c>
      <c r="Z72" s="36">
        <f>IFERROR(IF(Y72=0,"",ROUNDUP(Y72/H72,0)*0.00651),"")</f>
        <v>0.11067</v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34.099999999999994</v>
      </c>
      <c r="BN72" s="64">
        <f>IFERROR(Y72*I72/H72,"0")</f>
        <v>34.781999999999996</v>
      </c>
      <c r="BO72" s="64">
        <f>IFERROR(1/J72*(X72/H72),"0")</f>
        <v>9.1575091575091583E-2</v>
      </c>
      <c r="BP72" s="64">
        <f>IFERROR(1/J72*(Y72/H72),"0")</f>
        <v>9.3406593406593408E-2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16.666666666666668</v>
      </c>
      <c r="Y74" s="631">
        <f>IFERROR(Y72/H72,"0")+IFERROR(Y73/H73,"0")</f>
        <v>17</v>
      </c>
      <c r="Z74" s="631">
        <f>IFERROR(IF(Z72="",0,Z72),"0")+IFERROR(IF(Z73="",0,Z73),"0")</f>
        <v>0.11067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30</v>
      </c>
      <c r="Y75" s="631">
        <f>IFERROR(SUM(Y72:Y73),"0")</f>
        <v>30.6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580</v>
      </c>
      <c r="Y77" s="630">
        <f>IFERROR(IF(X77="",0,CEILING((X77/$H77),1)*$H77),"")</f>
        <v>585</v>
      </c>
      <c r="Z77" s="36">
        <f>IFERROR(IF(Y77=0,"",ROUNDUP(Y77/H77,0)*0.01898),"")</f>
        <v>1.4235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610.48717948717956</v>
      </c>
      <c r="BN77" s="64">
        <f>IFERROR(Y77*I77/H77,"0")</f>
        <v>615.75000000000011</v>
      </c>
      <c r="BO77" s="64">
        <f>IFERROR(1/J77*(X77/H77),"0")</f>
        <v>1.1618589743589745</v>
      </c>
      <c r="BP77" s="64">
        <f>IFERROR(1/J77*(Y77/H77),"0")</f>
        <v>1.171875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74.358974358974365</v>
      </c>
      <c r="Y79" s="631">
        <f>IFERROR(Y77/H77,"0")+IFERROR(Y78/H78,"0")</f>
        <v>75</v>
      </c>
      <c r="Z79" s="631">
        <f>IFERROR(IF(Z77="",0,Z77),"0")+IFERROR(IF(Z78="",0,Z78),"0")</f>
        <v>1.4235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580</v>
      </c>
      <c r="Y80" s="631">
        <f>IFERROR(SUM(Y77:Y78),"0")</f>
        <v>585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632</v>
      </c>
      <c r="Y83" s="630">
        <f>IFERROR(IF(X83="",0,CEILING((X83/$H83),1)*$H83),"")</f>
        <v>637.20000000000005</v>
      </c>
      <c r="Z83" s="36">
        <f>IFERROR(IF(Y83=0,"",ROUNDUP(Y83/H83,0)*0.01898),"")</f>
        <v>1.11982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655.99259259259259</v>
      </c>
      <c r="BN83" s="64">
        <f>IFERROR(Y83*I83/H83,"0")</f>
        <v>661.39</v>
      </c>
      <c r="BO83" s="64">
        <f>IFERROR(1/J83*(X83/H83),"0")</f>
        <v>0.91435185185185175</v>
      </c>
      <c r="BP83" s="64">
        <f>IFERROR(1/J83*(Y83/H83),"0")</f>
        <v>0.921875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58.518518518518512</v>
      </c>
      <c r="Y87" s="631">
        <f>IFERROR(Y83/H83,"0")+IFERROR(Y84/H84,"0")+IFERROR(Y85/H85,"0")+IFERROR(Y86/H86,"0")</f>
        <v>59</v>
      </c>
      <c r="Z87" s="631">
        <f>IFERROR(IF(Z83="",0,Z83),"0")+IFERROR(IF(Z84="",0,Z84),"0")+IFERROR(IF(Z85="",0,Z85),"0")+IFERROR(IF(Z86="",0,Z86),"0")</f>
        <v>1.11982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632</v>
      </c>
      <c r="Y88" s="631">
        <f>IFERROR(SUM(Y83:Y86),"0")</f>
        <v>637.20000000000005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530</v>
      </c>
      <c r="Y90" s="630">
        <f>IFERROR(IF(X90="",0,CEILING((X90/$H90),1)*$H90),"")</f>
        <v>534.6</v>
      </c>
      <c r="Z90" s="36">
        <f>IFERROR(IF(Y90=0,"",ROUNDUP(Y90/H90,0)*0.01898),"")</f>
        <v>1.25268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562.32345679012349</v>
      </c>
      <c r="BN90" s="64">
        <f>IFERROR(Y90*I90/H90,"0")</f>
        <v>567.20399999999995</v>
      </c>
      <c r="BO90" s="64">
        <f>IFERROR(1/J90*(X90/H90),"0")</f>
        <v>1.0223765432098766</v>
      </c>
      <c r="BP90" s="64">
        <f>IFERROR(1/J90*(Y90/H90),"0")</f>
        <v>1.03125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65.432098765432102</v>
      </c>
      <c r="Y94" s="631">
        <f>IFERROR(Y90/H90,"0")+IFERROR(Y91/H91,"0")+IFERROR(Y92/H92,"0")+IFERROR(Y93/H93,"0")</f>
        <v>66</v>
      </c>
      <c r="Z94" s="631">
        <f>IFERROR(IF(Z90="",0,Z90),"0")+IFERROR(IF(Z91="",0,Z91),"0")+IFERROR(IF(Z92="",0,Z92),"0")+IFERROR(IF(Z93="",0,Z93),"0")</f>
        <v>1.25268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530</v>
      </c>
      <c r="Y95" s="631">
        <f>IFERROR(SUM(Y90:Y93),"0")</f>
        <v>534.6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846</v>
      </c>
      <c r="Y98" s="630">
        <f t="shared" ref="Y98:Y104" si="11">IFERROR(IF(X98="",0,CEILING((X98/$H98),1)*$H98),"")</f>
        <v>853.2</v>
      </c>
      <c r="Z98" s="36">
        <f>IFERROR(IF(Y98=0,"",ROUNDUP(Y98/H98,0)*0.01898),"")</f>
        <v>1.49942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878.11666666666656</v>
      </c>
      <c r="BN98" s="64">
        <f t="shared" ref="BN98:BN104" si="13">IFERROR(Y98*I98/H98,"0")</f>
        <v>885.59</v>
      </c>
      <c r="BO98" s="64">
        <f t="shared" ref="BO98:BO104" si="14">IFERROR(1/J98*(X98/H98),"0")</f>
        <v>1.2239583333333333</v>
      </c>
      <c r="BP98" s="64">
        <f t="shared" ref="BP98:BP104" si="15">IFERROR(1/J98*(Y98/H98),"0")</f>
        <v>1.234375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0</v>
      </c>
      <c r="Y103" s="630">
        <f t="shared" si="11"/>
        <v>0</v>
      </c>
      <c r="Z103" s="36" t="str">
        <f>IFERROR(IF(Y103=0,"",ROUNDUP(Y103/H103,0)*0.00902),"")</f>
        <v/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78.333333333333329</v>
      </c>
      <c r="Y105" s="631">
        <f>IFERROR(Y98/H98,"0")+IFERROR(Y99/H99,"0")+IFERROR(Y100/H100,"0")+IFERROR(Y101/H101,"0")+IFERROR(Y102/H102,"0")+IFERROR(Y103/H103,"0")+IFERROR(Y104/H104,"0")</f>
        <v>79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1.49942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846</v>
      </c>
      <c r="Y106" s="631">
        <f>IFERROR(SUM(Y98:Y104),"0")</f>
        <v>853.2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20</v>
      </c>
      <c r="Y108" s="630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20.75925925925926</v>
      </c>
      <c r="BN108" s="64">
        <f>IFERROR(Y108*I108/H108,"0")</f>
        <v>22.42</v>
      </c>
      <c r="BO108" s="64">
        <f>IFERROR(1/J108*(X108/H108),"0")</f>
        <v>2.8935185185185182E-2</v>
      </c>
      <c r="BP108" s="64">
        <f>IFERROR(1/J108*(Y108/H108),"0")</f>
        <v>3.125E-2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1.8518518518518516</v>
      </c>
      <c r="Y113" s="631">
        <f>IFERROR(Y108/H108,"0")+IFERROR(Y109/H109,"0")+IFERROR(Y110/H110,"0")+IFERROR(Y111/H111,"0")+IFERROR(Y112/H112,"0")</f>
        <v>2</v>
      </c>
      <c r="Z113" s="631">
        <f>IFERROR(IF(Z108="",0,Z108),"0")+IFERROR(IF(Z109="",0,Z109),"0")+IFERROR(IF(Z110="",0,Z110),"0")+IFERROR(IF(Z111="",0,Z111),"0")+IFERROR(IF(Z112="",0,Z112),"0")</f>
        <v>3.7960000000000001E-2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20</v>
      </c>
      <c r="Y114" s="631">
        <f>IFERROR(SUM(Y108:Y112),"0")</f>
        <v>21.6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2198</v>
      </c>
      <c r="Y116" s="630">
        <f>IFERROR(IF(X116="",0,CEILING((X116/$H116),1)*$H116),"")</f>
        <v>2203.1999999999998</v>
      </c>
      <c r="Z116" s="36">
        <f>IFERROR(IF(Y116=0,"",ROUNDUP(Y116/H116,0)*0.01898),"")</f>
        <v>5.16256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2330.4227160493829</v>
      </c>
      <c r="BN116" s="64">
        <f>IFERROR(Y116*I116/H116,"0")</f>
        <v>2335.9359999999997</v>
      </c>
      <c r="BO116" s="64">
        <f>IFERROR(1/J116*(X116/H116),"0")</f>
        <v>4.2399691358024691</v>
      </c>
      <c r="BP116" s="64">
        <f>IFERROR(1/J116*(Y116/H116),"0")</f>
        <v>4.25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396</v>
      </c>
      <c r="Y118" s="630">
        <f>IFERROR(IF(X118="",0,CEILING((X118/$H118),1)*$H118),"")</f>
        <v>396.90000000000003</v>
      </c>
      <c r="Z118" s="36">
        <f>IFERROR(IF(Y118=0,"",ROUNDUP(Y118/H118,0)*0.00651),"")</f>
        <v>0.95696999999999999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432.96</v>
      </c>
      <c r="BN118" s="64">
        <f>IFERROR(Y118*I118/H118,"0")</f>
        <v>433.94400000000002</v>
      </c>
      <c r="BO118" s="64">
        <f>IFERROR(1/J118*(X118/H118),"0")</f>
        <v>0.80586080586080588</v>
      </c>
      <c r="BP118" s="64">
        <f>IFERROR(1/J118*(Y118/H118),"0")</f>
        <v>0.80769230769230771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418.02469135802471</v>
      </c>
      <c r="Y120" s="631">
        <f>IFERROR(Y116/H116,"0")+IFERROR(Y117/H117,"0")+IFERROR(Y118/H118,"0")+IFERROR(Y119/H119,"0")</f>
        <v>419</v>
      </c>
      <c r="Z120" s="631">
        <f>IFERROR(IF(Z116="",0,Z116),"0")+IFERROR(IF(Z117="",0,Z117),"0")+IFERROR(IF(Z118="",0,Z118),"0")+IFERROR(IF(Z119="",0,Z119),"0")</f>
        <v>6.1195300000000001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2594</v>
      </c>
      <c r="Y121" s="631">
        <f>IFERROR(SUM(Y116:Y119),"0")</f>
        <v>2600.1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19</v>
      </c>
      <c r="Y123" s="630">
        <f>IFERROR(IF(X123="",0,CEILING((X123/$H123),1)*$H123),"")</f>
        <v>19.8</v>
      </c>
      <c r="Z123" s="36">
        <f>IFERROR(IF(Y123=0,"",ROUNDUP(Y123/H123,0)*0.00651),"")</f>
        <v>6.5100000000000005E-2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21.475757575757576</v>
      </c>
      <c r="BN123" s="64">
        <f>IFERROR(Y123*I123/H123,"0")</f>
        <v>22.380000000000003</v>
      </c>
      <c r="BO123" s="64">
        <f>IFERROR(1/J123*(X123/H123),"0")</f>
        <v>5.2725052725052735E-2</v>
      </c>
      <c r="BP123" s="64">
        <f>IFERROR(1/J123*(Y123/H123),"0")</f>
        <v>5.4945054945054951E-2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9.5959595959595969</v>
      </c>
      <c r="Y124" s="631">
        <f>IFERROR(Y123/H123,"0")</f>
        <v>10</v>
      </c>
      <c r="Z124" s="631">
        <f>IFERROR(IF(Z123="",0,Z123),"0")</f>
        <v>6.5100000000000005E-2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19</v>
      </c>
      <c r="Y125" s="631">
        <f>IFERROR(SUM(Y123:Y123),"0")</f>
        <v>19.8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2</v>
      </c>
      <c r="Y135" s="630">
        <f>IFERROR(IF(X135="",0,CEILING((X135/$H135),1)*$H135),"")</f>
        <v>2.8</v>
      </c>
      <c r="Z135" s="36">
        <f>IFERROR(IF(Y135=0,"",ROUNDUP(Y135/H135,0)*0.00651),"")</f>
        <v>6.5100000000000002E-3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2.1914285714285717</v>
      </c>
      <c r="BN135" s="64">
        <f>IFERROR(Y135*I135/H135,"0")</f>
        <v>3.0679999999999996</v>
      </c>
      <c r="BO135" s="64">
        <f>IFERROR(1/J135*(X135/H135),"0")</f>
        <v>3.9246467817896395E-3</v>
      </c>
      <c r="BP135" s="64">
        <f>IFERROR(1/J135*(Y135/H135),"0")</f>
        <v>5.4945054945054949E-3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0.7142857142857143</v>
      </c>
      <c r="Y138" s="631">
        <f>IFERROR(Y134/H134,"0")+IFERROR(Y135/H135,"0")+IFERROR(Y136/H136,"0")+IFERROR(Y137/H137,"0")</f>
        <v>1</v>
      </c>
      <c r="Z138" s="631">
        <f>IFERROR(IF(Z134="",0,Z134),"0")+IFERROR(IF(Z135="",0,Z135),"0")+IFERROR(IF(Z136="",0,Z136),"0")+IFERROR(IF(Z137="",0,Z137),"0")</f>
        <v>6.5100000000000002E-3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2</v>
      </c>
      <c r="Y139" s="631">
        <f>IFERROR(SUM(Y134:Y137),"0")</f>
        <v>2.8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120</v>
      </c>
      <c r="Y174" s="630">
        <f t="shared" ref="Y174:Y184" si="22">IFERROR(IF(X174="",0,CEILING((X174/$H174),1)*$H174),"")</f>
        <v>122.5</v>
      </c>
      <c r="Z174" s="36">
        <f>IFERROR(IF(Y174=0,"",ROUNDUP(Y174/H174,0)*0.00902),"")</f>
        <v>0.31569999999999998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126.51428571428572</v>
      </c>
      <c r="BN174" s="64">
        <f t="shared" ref="BN174:BN184" si="24">IFERROR(Y174*I174/H174,"0")</f>
        <v>129.15</v>
      </c>
      <c r="BO174" s="64">
        <f t="shared" ref="BO174:BO184" si="25">IFERROR(1/J174*(X174/H174),"0")</f>
        <v>0.25974025974025972</v>
      </c>
      <c r="BP174" s="64">
        <f t="shared" ref="BP174:BP184" si="26">IFERROR(1/J174*(Y174/H174),"0")</f>
        <v>0.26515151515151514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0</v>
      </c>
      <c r="Y176" s="630">
        <f t="shared" si="22"/>
        <v>0</v>
      </c>
      <c r="Z176" s="36" t="str">
        <f>IFERROR(IF(Y176=0,"",ROUNDUP(Y176/H176,0)*0.00902),"")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0</v>
      </c>
      <c r="BN176" s="64">
        <f t="shared" si="24"/>
        <v>0</v>
      </c>
      <c r="BO176" s="64">
        <f t="shared" si="25"/>
        <v>0</v>
      </c>
      <c r="BP176" s="64">
        <f t="shared" si="26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120</v>
      </c>
      <c r="Y177" s="630">
        <f t="shared" si="22"/>
        <v>122.5</v>
      </c>
      <c r="Z177" s="36">
        <f>IFERROR(IF(Y177=0,"",ROUNDUP(Y177/H177,0)*0.00902),"")</f>
        <v>0.31569999999999998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126.51428571428572</v>
      </c>
      <c r="BN177" s="64">
        <f t="shared" si="24"/>
        <v>129.15</v>
      </c>
      <c r="BO177" s="64">
        <f t="shared" si="25"/>
        <v>0.25974025974025972</v>
      </c>
      <c r="BP177" s="64">
        <f t="shared" si="26"/>
        <v>0.26515151515151514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56</v>
      </c>
      <c r="Y179" s="630">
        <f t="shared" si="22"/>
        <v>57.12</v>
      </c>
      <c r="Z179" s="36">
        <f>IFERROR(IF(Y179=0,"",ROUNDUP(Y179/H179,0)*0.00502),"")</f>
        <v>0.17068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59.333333333333343</v>
      </c>
      <c r="BN179" s="64">
        <f t="shared" si="24"/>
        <v>60.519999999999996</v>
      </c>
      <c r="BO179" s="64">
        <f t="shared" si="25"/>
        <v>0.14245014245014248</v>
      </c>
      <c r="BP179" s="64">
        <f t="shared" si="26"/>
        <v>0.14529914529914531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42</v>
      </c>
      <c r="Y182" s="630">
        <f t="shared" si="22"/>
        <v>42</v>
      </c>
      <c r="Z182" s="36">
        <f>IFERROR(IF(Y182=0,"",ROUNDUP(Y182/H182,0)*0.00502),"")</f>
        <v>0.1255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44.500000000000007</v>
      </c>
      <c r="BN182" s="64">
        <f t="shared" si="24"/>
        <v>44.500000000000007</v>
      </c>
      <c r="BO182" s="64">
        <f t="shared" si="25"/>
        <v>0.10683760683760685</v>
      </c>
      <c r="BP182" s="64">
        <f t="shared" si="26"/>
        <v>0.10683760683760685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84</v>
      </c>
      <c r="Y184" s="630">
        <f t="shared" si="22"/>
        <v>84</v>
      </c>
      <c r="Z184" s="36">
        <f>IFERROR(IF(Y184=0,"",ROUNDUP(Y184/H184,0)*0.00502),"")</f>
        <v>0.251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89.000000000000014</v>
      </c>
      <c r="BN184" s="64">
        <f t="shared" si="24"/>
        <v>89.000000000000014</v>
      </c>
      <c r="BO184" s="64">
        <f t="shared" si="25"/>
        <v>0.21367521367521369</v>
      </c>
      <c r="BP184" s="64">
        <f t="shared" si="26"/>
        <v>0.21367521367521369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176.9047619047619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179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1.1785799999999997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422</v>
      </c>
      <c r="Y186" s="631">
        <f>IFERROR(SUM(Y174:Y184),"0")</f>
        <v>428.12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14</v>
      </c>
      <c r="Y190" s="630">
        <f>IFERROR(IF(X190="",0,CEILING((X190/$H190),1)*$H190),"")</f>
        <v>14.4</v>
      </c>
      <c r="Z190" s="36">
        <f>IFERROR(IF(Y190=0,"",ROUNDUP(Y190/H190,0)*0.00651),"")</f>
        <v>5.2080000000000001E-2</v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16.006666666666664</v>
      </c>
      <c r="BN190" s="64">
        <f>IFERROR(Y190*I190/H190,"0")</f>
        <v>16.463999999999999</v>
      </c>
      <c r="BO190" s="64">
        <f>IFERROR(1/J190*(X190/H190),"0")</f>
        <v>4.2735042735042736E-2</v>
      </c>
      <c r="BP190" s="64">
        <f>IFERROR(1/J190*(Y190/H190),"0")</f>
        <v>4.3956043956043959E-2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7.7777777777777777</v>
      </c>
      <c r="Y191" s="631">
        <f>IFERROR(Y188/H188,"0")+IFERROR(Y189/H189,"0")+IFERROR(Y190/H190,"0")</f>
        <v>8</v>
      </c>
      <c r="Z191" s="631">
        <f>IFERROR(IF(Z188="",0,Z188),"0")+IFERROR(IF(Z189="",0,Z189),"0")+IFERROR(IF(Z190="",0,Z190),"0")</f>
        <v>5.2080000000000001E-2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14</v>
      </c>
      <c r="Y192" s="631">
        <f>IFERROR(SUM(Y188:Y190),"0")</f>
        <v>14.4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8</v>
      </c>
      <c r="Y219" s="630">
        <f t="shared" ref="Y219:Y232" si="33">IFERROR(IF(X219="",0,CEILING((X219/$H219),1)*$H219),"")</f>
        <v>8.4</v>
      </c>
      <c r="Z219" s="36">
        <f>IFERROR(IF(Y219=0,"",ROUNDUP(Y219/H219,0)*0.00902),"")</f>
        <v>1.804E-2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8.4761904761904763</v>
      </c>
      <c r="BN219" s="64">
        <f t="shared" ref="BN219:BN232" si="35">IFERROR(Y219*I219/H219,"0")</f>
        <v>8.9</v>
      </c>
      <c r="BO219" s="64">
        <f t="shared" ref="BO219:BO232" si="36">IFERROR(1/J219*(X219/H219),"0")</f>
        <v>1.443001443001443E-2</v>
      </c>
      <c r="BP219" s="64">
        <f t="shared" ref="BP219:BP232" si="37">IFERROR(1/J219*(Y219/H219),"0")</f>
        <v>1.5151515151515152E-2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14</v>
      </c>
      <c r="Y223" s="630">
        <f t="shared" si="33"/>
        <v>14.700000000000001</v>
      </c>
      <c r="Z223" s="36">
        <f t="shared" ref="Z223:Z228" si="38">IFERROR(IF(Y223=0,"",ROUNDUP(Y223/H223,0)*0.00502),"")</f>
        <v>3.5140000000000005E-2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14.866666666666665</v>
      </c>
      <c r="BN223" s="64">
        <f t="shared" si="35"/>
        <v>15.61</v>
      </c>
      <c r="BO223" s="64">
        <f t="shared" si="36"/>
        <v>2.8490028490028491E-2</v>
      </c>
      <c r="BP223" s="64">
        <f t="shared" si="37"/>
        <v>2.9914529914529919E-2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0</v>
      </c>
      <c r="Y228" s="630">
        <f t="shared" si="33"/>
        <v>0</v>
      </c>
      <c r="Z228" s="36" t="str">
        <f t="shared" si="38"/>
        <v/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0</v>
      </c>
      <c r="BN228" s="64">
        <f t="shared" si="35"/>
        <v>0</v>
      </c>
      <c r="BO228" s="64">
        <f t="shared" si="36"/>
        <v>0</v>
      </c>
      <c r="BP228" s="64">
        <f t="shared" si="37"/>
        <v>0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88</v>
      </c>
      <c r="Y230" s="630">
        <f t="shared" si="33"/>
        <v>88.2</v>
      </c>
      <c r="Z230" s="36">
        <f>IFERROR(IF(Y230=0,"",ROUNDUP(Y230/H230,0)*0.00502),"")</f>
        <v>0.21084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92.190476190476204</v>
      </c>
      <c r="BN230" s="64">
        <f t="shared" si="35"/>
        <v>92.4</v>
      </c>
      <c r="BO230" s="64">
        <f t="shared" si="36"/>
        <v>0.17908017908017909</v>
      </c>
      <c r="BP230" s="64">
        <f t="shared" si="37"/>
        <v>0.17948717948717952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50.476190476190474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51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0.26402000000000003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110</v>
      </c>
      <c r="Y234" s="631">
        <f>IFERROR(SUM(Y219:Y232),"0")</f>
        <v>111.30000000000001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17</v>
      </c>
      <c r="Y265" s="630">
        <f t="shared" ref="Y265:Y272" si="39">IFERROR(IF(X265="",0,CEILING((X265/$H265),1)*$H265),"")</f>
        <v>21.6</v>
      </c>
      <c r="Z265" s="36">
        <f>IFERROR(IF(Y265=0,"",ROUNDUP(Y265/H265,0)*0.00902),"")</f>
        <v>3.6080000000000001E-2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17.598148148148148</v>
      </c>
      <c r="BN265" s="64">
        <f t="shared" ref="BN265:BN272" si="41">IFERROR(Y265*I265/H265,"0")</f>
        <v>22.36</v>
      </c>
      <c r="BO265" s="64">
        <f t="shared" ref="BO265:BO272" si="42">IFERROR(1/J265*(X265/H265),"0")</f>
        <v>2.3849607182940515E-2</v>
      </c>
      <c r="BP265" s="64">
        <f t="shared" ref="BP265:BP272" si="43">IFERROR(1/J265*(Y265/H265),"0")</f>
        <v>3.0303030303030304E-2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158</v>
      </c>
      <c r="Y266" s="630">
        <f t="shared" si="39"/>
        <v>162</v>
      </c>
      <c r="Z266" s="36">
        <f>IFERROR(IF(Y266=0,"",ROUNDUP(Y266/H266,0)*0.00902),"")</f>
        <v>0.27060000000000001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163.55925925925925</v>
      </c>
      <c r="BN266" s="64">
        <f t="shared" si="41"/>
        <v>167.7</v>
      </c>
      <c r="BO266" s="64">
        <f t="shared" si="42"/>
        <v>0.22166105499438832</v>
      </c>
      <c r="BP266" s="64">
        <f t="shared" si="43"/>
        <v>0.22727272727272727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644</v>
      </c>
      <c r="Y267" s="630">
        <f t="shared" si="39"/>
        <v>648</v>
      </c>
      <c r="Z267" s="36">
        <f>IFERROR(IF(Y267=0,"",ROUNDUP(Y267/H267,0)*0.00902),"")</f>
        <v>1.0824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666.65925925925922</v>
      </c>
      <c r="BN267" s="64">
        <f t="shared" si="41"/>
        <v>670.8</v>
      </c>
      <c r="BO267" s="64">
        <f t="shared" si="42"/>
        <v>0.90347923681257014</v>
      </c>
      <c r="BP267" s="64">
        <f t="shared" si="43"/>
        <v>0.90909090909090906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121</v>
      </c>
      <c r="Y268" s="630">
        <f t="shared" si="39"/>
        <v>124.2</v>
      </c>
      <c r="Z268" s="36">
        <f>IFERROR(IF(Y268=0,"",ROUNDUP(Y268/H268,0)*0.00902),"")</f>
        <v>0.20746000000000001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125.2574074074074</v>
      </c>
      <c r="BN268" s="64">
        <f t="shared" si="41"/>
        <v>128.57</v>
      </c>
      <c r="BO268" s="64">
        <f t="shared" si="42"/>
        <v>0.16975308641975306</v>
      </c>
      <c r="BP268" s="64">
        <f t="shared" si="43"/>
        <v>0.17424242424242425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0</v>
      </c>
      <c r="Y269" s="630">
        <f t="shared" si="39"/>
        <v>0</v>
      </c>
      <c r="Z269" s="36" t="str">
        <f>IFERROR(IF(Y269=0,"",ROUNDUP(Y269/H269,0)*0.00502),"")</f>
        <v/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0</v>
      </c>
      <c r="BN269" s="64">
        <f t="shared" si="41"/>
        <v>0</v>
      </c>
      <c r="BO269" s="64">
        <f t="shared" si="42"/>
        <v>0</v>
      </c>
      <c r="BP269" s="64">
        <f t="shared" si="43"/>
        <v>0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190.74074074074076</v>
      </c>
      <c r="Y273" s="631">
        <f>IFERROR(Y265/H265,"0")+IFERROR(Y266/H266,"0")+IFERROR(Y267/H267,"0")+IFERROR(Y268/H268,"0")+IFERROR(Y269/H269,"0")+IFERROR(Y270/H270,"0")+IFERROR(Y271/H271,"0")+IFERROR(Y272/H272,"0")</f>
        <v>195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1.6869000000000001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970</v>
      </c>
      <c r="Y274" s="631">
        <f>IFERROR(SUM(Y265:Y272),"0")</f>
        <v>988.20000000000016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120</v>
      </c>
      <c r="Y276" s="630">
        <f t="shared" ref="Y276:Y287" si="44">IFERROR(IF(X276="",0,CEILING((X276/$H276),1)*$H276),"")</f>
        <v>121.5</v>
      </c>
      <c r="Z276" s="36">
        <f>IFERROR(IF(Y276=0,"",ROUNDUP(Y276/H276,0)*0.01898),"")</f>
        <v>0.28470000000000001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127.31851851851852</v>
      </c>
      <c r="BN276" s="64">
        <f t="shared" ref="BN276:BN287" si="46">IFERROR(Y276*I276/H276,"0")</f>
        <v>128.91</v>
      </c>
      <c r="BO276" s="64">
        <f t="shared" ref="BO276:BO287" si="47">IFERROR(1/J276*(X276/H276),"0")</f>
        <v>0.23148148148148148</v>
      </c>
      <c r="BP276" s="64">
        <f t="shared" ref="BP276:BP287" si="48">IFERROR(1/J276*(Y276/H276),"0")</f>
        <v>0.234375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100</v>
      </c>
      <c r="Y277" s="630">
        <f t="shared" si="44"/>
        <v>105.3</v>
      </c>
      <c r="Z277" s="36">
        <f>IFERROR(IF(Y277=0,"",ROUNDUP(Y277/H277,0)*0.01898),"")</f>
        <v>0.24674000000000001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105.87654320987654</v>
      </c>
      <c r="BN277" s="64">
        <f t="shared" si="46"/>
        <v>111.48800000000001</v>
      </c>
      <c r="BO277" s="64">
        <f t="shared" si="47"/>
        <v>0.19290123456790123</v>
      </c>
      <c r="BP277" s="64">
        <f t="shared" si="48"/>
        <v>0.203125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71</v>
      </c>
      <c r="Y278" s="630">
        <f t="shared" si="44"/>
        <v>78.3</v>
      </c>
      <c r="Z278" s="36">
        <f>IFERROR(IF(Y278=0,"",ROUNDUP(Y278/H278,0)*0.01898),"")</f>
        <v>0.17082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75.031494252873586</v>
      </c>
      <c r="BN278" s="64">
        <f t="shared" si="46"/>
        <v>82.746000000000009</v>
      </c>
      <c r="BO278" s="64">
        <f t="shared" si="47"/>
        <v>0.12751436781609196</v>
      </c>
      <c r="BP278" s="64">
        <f t="shared" si="48"/>
        <v>0.140625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93</v>
      </c>
      <c r="Y279" s="630">
        <f t="shared" si="44"/>
        <v>93.6</v>
      </c>
      <c r="Z279" s="36">
        <f>IFERROR(IF(Y279=0,"",ROUNDUP(Y279/H279,0)*0.00651),"")</f>
        <v>0.25389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103.46250000000001</v>
      </c>
      <c r="BN279" s="64">
        <f t="shared" si="46"/>
        <v>104.13</v>
      </c>
      <c r="BO279" s="64">
        <f t="shared" si="47"/>
        <v>0.21291208791208793</v>
      </c>
      <c r="BP279" s="64">
        <f t="shared" si="48"/>
        <v>0.2142857142857143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400</v>
      </c>
      <c r="Y282" s="630">
        <f t="shared" si="44"/>
        <v>400.8</v>
      </c>
      <c r="Z282" s="36">
        <f>IFERROR(IF(Y282=0,"",ROUNDUP(Y282/H282,0)*0.00651),"")</f>
        <v>1.08717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442</v>
      </c>
      <c r="BN282" s="64">
        <f t="shared" si="46"/>
        <v>442.88400000000007</v>
      </c>
      <c r="BO282" s="64">
        <f t="shared" si="47"/>
        <v>0.91575091575091594</v>
      </c>
      <c r="BP282" s="64">
        <f t="shared" si="48"/>
        <v>0.91758241758241765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120</v>
      </c>
      <c r="Y284" s="630">
        <f t="shared" si="44"/>
        <v>120</v>
      </c>
      <c r="Z284" s="36">
        <f>IFERROR(IF(Y284=0,"",ROUNDUP(Y284/H284,0)*0.00651),"")</f>
        <v>0.32550000000000001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132.60000000000002</v>
      </c>
      <c r="BN284" s="64">
        <f t="shared" si="46"/>
        <v>132.60000000000002</v>
      </c>
      <c r="BO284" s="64">
        <f t="shared" si="47"/>
        <v>0.27472527472527475</v>
      </c>
      <c r="BP284" s="64">
        <f t="shared" si="48"/>
        <v>0.27472527472527475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100</v>
      </c>
      <c r="Y285" s="630">
        <f t="shared" si="44"/>
        <v>100.8</v>
      </c>
      <c r="Z285" s="36">
        <f>IFERROR(IF(Y285=0,"",ROUNDUP(Y285/H285,0)*0.00651),"")</f>
        <v>0.27342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110.5</v>
      </c>
      <c r="BN285" s="64">
        <f t="shared" si="46"/>
        <v>111.384</v>
      </c>
      <c r="BO285" s="64">
        <f t="shared" si="47"/>
        <v>0.22893772893772898</v>
      </c>
      <c r="BP285" s="64">
        <f t="shared" si="48"/>
        <v>0.23076923076923078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357.40474670072376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360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2.8049900000000001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1064</v>
      </c>
      <c r="Y289" s="631">
        <f>IFERROR(SUM(Y276:Y287),"0")</f>
        <v>1080.3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19</v>
      </c>
      <c r="Y291" s="630">
        <f>IFERROR(IF(X291="",0,CEILING((X291/$H291),1)*$H291),"")</f>
        <v>19.2</v>
      </c>
      <c r="Z291" s="36">
        <f>IFERROR(IF(Y291=0,"",ROUNDUP(Y291/H291,0)*0.00651),"")</f>
        <v>5.2080000000000001E-2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20.995000000000005</v>
      </c>
      <c r="BN291" s="64">
        <f>IFERROR(Y291*I291/H291,"0")</f>
        <v>21.216000000000001</v>
      </c>
      <c r="BO291" s="64">
        <f>IFERROR(1/J291*(X291/H291),"0")</f>
        <v>4.3498168498168503E-2</v>
      </c>
      <c r="BP291" s="64">
        <f>IFERROR(1/J291*(Y291/H291),"0")</f>
        <v>4.3956043956043959E-2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7.916666666666667</v>
      </c>
      <c r="Y293" s="631">
        <f>IFERROR(Y291/H291,"0")+IFERROR(Y292/H292,"0")</f>
        <v>8</v>
      </c>
      <c r="Z293" s="631">
        <f>IFERROR(IF(Z291="",0,Z291),"0")+IFERROR(IF(Z292="",0,Z292),"0")</f>
        <v>5.2080000000000001E-2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19</v>
      </c>
      <c r="Y294" s="631">
        <f>IFERROR(SUM(Y291:Y292),"0")</f>
        <v>19.2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24</v>
      </c>
      <c r="Y332" s="630">
        <f>IFERROR(IF(X332="",0,CEILING((X332/$H332),1)*$H332),"")</f>
        <v>24</v>
      </c>
      <c r="Z332" s="36">
        <f>IFERROR(IF(Y332=0,"",ROUNDUP(Y332/H332,0)*0.00651),"")</f>
        <v>6.5100000000000005E-2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26.520000000000003</v>
      </c>
      <c r="BN332" s="64">
        <f>IFERROR(Y332*I332/H332,"0")</f>
        <v>26.520000000000003</v>
      </c>
      <c r="BO332" s="64">
        <f>IFERROR(1/J332*(X332/H332),"0")</f>
        <v>5.4945054945054951E-2</v>
      </c>
      <c r="BP332" s="64">
        <f>IFERROR(1/J332*(Y332/H332),"0")</f>
        <v>5.4945054945054951E-2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60</v>
      </c>
      <c r="Y333" s="630">
        <f>IFERROR(IF(X333="",0,CEILING((X333/$H333),1)*$H333),"")</f>
        <v>60</v>
      </c>
      <c r="Z333" s="36">
        <f>IFERROR(IF(Y333=0,"",ROUNDUP(Y333/H333,0)*0.00651),"")</f>
        <v>0.16275000000000001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64.500000000000014</v>
      </c>
      <c r="BN333" s="64">
        <f>IFERROR(Y333*I333/H333,"0")</f>
        <v>64.500000000000014</v>
      </c>
      <c r="BO333" s="64">
        <f>IFERROR(1/J333*(X333/H333),"0")</f>
        <v>0.13736263736263737</v>
      </c>
      <c r="BP333" s="64">
        <f>IFERROR(1/J333*(Y333/H333),"0")</f>
        <v>0.13736263736263737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35</v>
      </c>
      <c r="Y334" s="631">
        <f>IFERROR(Y331/H331,"0")+IFERROR(Y332/H332,"0")+IFERROR(Y333/H333,"0")</f>
        <v>35</v>
      </c>
      <c r="Z334" s="631">
        <f>IFERROR(IF(Z331="",0,Z331),"0")+IFERROR(IF(Z332="",0,Z332),"0")+IFERROR(IF(Z333="",0,Z333),"0")</f>
        <v>0.22785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84</v>
      </c>
      <c r="Y335" s="631">
        <f>IFERROR(SUM(Y331:Y333),"0")</f>
        <v>84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53</v>
      </c>
      <c r="Y354" s="630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55.785897435897446</v>
      </c>
      <c r="BN354" s="64">
        <f>IFERROR(Y354*I354/H354,"0")</f>
        <v>57.470000000000013</v>
      </c>
      <c r="BO354" s="64">
        <f>IFERROR(1/J354*(X354/H354),"0")</f>
        <v>0.10616987179487179</v>
      </c>
      <c r="BP354" s="64">
        <f>IFERROR(1/J354*(Y354/H354),"0")</f>
        <v>0.109375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6.7948717948717947</v>
      </c>
      <c r="Y355" s="631">
        <f>IFERROR(Y352/H352,"0")+IFERROR(Y353/H353,"0")+IFERROR(Y354/H354,"0")</f>
        <v>7</v>
      </c>
      <c r="Z355" s="631">
        <f>IFERROR(IF(Z352="",0,Z352),"0")+IFERROR(IF(Z353="",0,Z353),"0")+IFERROR(IF(Z354="",0,Z354),"0")</f>
        <v>0.13286000000000001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53</v>
      </c>
      <c r="Y356" s="631">
        <f>IFERROR(SUM(Y352:Y354),"0")</f>
        <v>54.6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22</v>
      </c>
      <c r="Y373" s="630">
        <f t="shared" si="54"/>
        <v>23.400000000000002</v>
      </c>
      <c r="Z373" s="36">
        <f>IFERROR(IF(Y373=0,"",ROUNDUP(Y373/H373,0)*0.00651),"")</f>
        <v>8.4629999999999997E-2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24.786666666666665</v>
      </c>
      <c r="BN373" s="64">
        <f t="shared" si="56"/>
        <v>26.364000000000001</v>
      </c>
      <c r="BO373" s="64">
        <f t="shared" si="57"/>
        <v>6.7155067155067152E-2</v>
      </c>
      <c r="BP373" s="64">
        <f t="shared" si="58"/>
        <v>7.1428571428571438E-2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12.222222222222221</v>
      </c>
      <c r="Y374" s="631">
        <f>IFERROR(Y367/H367,"0")+IFERROR(Y368/H368,"0")+IFERROR(Y369/H369,"0")+IFERROR(Y370/H370,"0")+IFERROR(Y371/H371,"0")+IFERROR(Y372/H372,"0")+IFERROR(Y373/H373,"0")</f>
        <v>13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8.4629999999999997E-2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22</v>
      </c>
      <c r="Y375" s="631">
        <f>IFERROR(SUM(Y367:Y373),"0")</f>
        <v>23.400000000000002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0</v>
      </c>
      <c r="Y385" s="630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0</v>
      </c>
      <c r="Y387" s="631">
        <f>IFERROR(Y384/H384,"0")+IFERROR(Y385/H385,"0")+IFERROR(Y386/H386,"0")</f>
        <v>0</v>
      </c>
      <c r="Z387" s="631">
        <f>IFERROR(IF(Z384="",0,Z384),"0")+IFERROR(IF(Z385="",0,Z385),"0")+IFERROR(IF(Z386="",0,Z386),"0")</f>
        <v>0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0</v>
      </c>
      <c r="Y388" s="631">
        <f>IFERROR(SUM(Y384:Y386),"0")</f>
        <v>0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5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5.7941176470588243</v>
      </c>
      <c r="BN392" s="64">
        <f>IFERROR(Y392*I392/H392,"0")</f>
        <v>5.91</v>
      </c>
      <c r="BO392" s="64">
        <f>IFERROR(1/J392*(X392/H392),"0")</f>
        <v>1.0773540185304893E-2</v>
      </c>
      <c r="BP392" s="64">
        <f>IFERROR(1/J392*(Y392/H392),"0")</f>
        <v>1.098901098901099E-2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1</v>
      </c>
      <c r="Y393" s="630">
        <f>IFERROR(IF(X393="",0,CEILING((X393/$H393),1)*$H393),"")</f>
        <v>2.5499999999999998</v>
      </c>
      <c r="Z393" s="36">
        <f>IFERROR(IF(Y393=0,"",ROUNDUP(Y393/H393,0)*0.00651),"")</f>
        <v>6.5100000000000002E-3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1.1294117647058823</v>
      </c>
      <c r="BN393" s="64">
        <f>IFERROR(Y393*I393/H393,"0")</f>
        <v>2.88</v>
      </c>
      <c r="BO393" s="64">
        <f>IFERROR(1/J393*(X393/H393),"0")</f>
        <v>2.1547080370609788E-3</v>
      </c>
      <c r="BP393" s="64">
        <f>IFERROR(1/J393*(Y393/H393),"0")</f>
        <v>5.4945054945054949E-3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2.3529411764705883</v>
      </c>
      <c r="Y394" s="631">
        <f>IFERROR(Y390/H390,"0")+IFERROR(Y391/H391,"0")+IFERROR(Y392/H392,"0")+IFERROR(Y393/H393,"0")</f>
        <v>3</v>
      </c>
      <c r="Z394" s="631">
        <f>IFERROR(IF(Z390="",0,Z390),"0")+IFERROR(IF(Z391="",0,Z391),"0")+IFERROR(IF(Z392="",0,Z392),"0")+IFERROR(IF(Z393="",0,Z393),"0")</f>
        <v>1.9529999999999999E-2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6</v>
      </c>
      <c r="Y395" s="631">
        <f>IFERROR(SUM(Y390:Y393),"0")</f>
        <v>7.6499999999999995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3</v>
      </c>
      <c r="Y397" s="630">
        <f>IFERROR(IF(X397="",0,CEILING((X397/$H397),1)*$H397),"")</f>
        <v>4</v>
      </c>
      <c r="Z397" s="36">
        <f>IFERROR(IF(Y397=0,"",ROUNDUP(Y397/H397,0)*0.00474),"")</f>
        <v>9.4800000000000006E-3</v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3.3600000000000003</v>
      </c>
      <c r="BN397" s="64">
        <f>IFERROR(Y397*I397/H397,"0")</f>
        <v>4.4800000000000004</v>
      </c>
      <c r="BO397" s="64">
        <f>IFERROR(1/J397*(X397/H397),"0")</f>
        <v>6.3025210084033615E-3</v>
      </c>
      <c r="BP397" s="64">
        <f>IFERROR(1/J397*(Y397/H397),"0")</f>
        <v>8.4033613445378148E-3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6</v>
      </c>
      <c r="Y399" s="630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4.5</v>
      </c>
      <c r="Y400" s="631">
        <f>IFERROR(Y397/H397,"0")+IFERROR(Y398/H398,"0")+IFERROR(Y399/H399,"0")</f>
        <v>5</v>
      </c>
      <c r="Z400" s="631">
        <f>IFERROR(IF(Z397="",0,Z397),"0")+IFERROR(IF(Z398="",0,Z398),"0")+IFERROR(IF(Z399="",0,Z399),"0")</f>
        <v>2.3699999999999999E-2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</v>
      </c>
      <c r="Y401" s="631">
        <f>IFERROR(SUM(Y397:Y399),"0")</f>
        <v>10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0</v>
      </c>
      <c r="Y403" s="630">
        <f>IFERROR(IF(X403="",0,CEILING((X403/$H403),1)*$H403),"")</f>
        <v>0</v>
      </c>
      <c r="Z403" s="36" t="str">
        <f>IFERROR(IF(Y403=0,"",ROUNDUP(Y403/H403,0)*0.0045),"")</f>
        <v/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9</v>
      </c>
      <c r="Y405" s="630">
        <f>IFERROR(IF(X405="",0,CEILING((X405/$H405),1)*$H405),"")</f>
        <v>9</v>
      </c>
      <c r="Z405" s="36">
        <f>IFERROR(IF(Y405=0,"",ROUNDUP(Y405/H405,0)*0.0045),"")</f>
        <v>1.3499999999999998E-2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9.66</v>
      </c>
      <c r="BN405" s="64">
        <f>IFERROR(Y405*I405/H405,"0")</f>
        <v>9.66</v>
      </c>
      <c r="BO405" s="64">
        <f>IFERROR(1/J405*(X405/H405),"0")</f>
        <v>1.3392857142857142E-2</v>
      </c>
      <c r="BP405" s="64">
        <f>IFERROR(1/J405*(Y405/H405),"0")</f>
        <v>1.3392857142857142E-2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3</v>
      </c>
      <c r="Y406" s="631">
        <f>IFERROR(Y403/H403,"0")+IFERROR(Y404/H404,"0")+IFERROR(Y405/H405,"0")</f>
        <v>3</v>
      </c>
      <c r="Z406" s="631">
        <f>IFERROR(IF(Z403="",0,Z403),"0")+IFERROR(IF(Z404="",0,Z404),"0")+IFERROR(IF(Z405="",0,Z405),"0")</f>
        <v>1.3499999999999998E-2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9</v>
      </c>
      <c r="Y407" s="631">
        <f>IFERROR(SUM(Y403:Y405),"0")</f>
        <v>9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69</v>
      </c>
      <c r="Y417" s="630">
        <f>IFERROR(IF(X417="",0,CEILING((X417/$H417),1)*$H417),"")</f>
        <v>69.3</v>
      </c>
      <c r="Z417" s="36">
        <f>IFERROR(IF(Y417=0,"",ROUNDUP(Y417/H417,0)*0.00651),"")</f>
        <v>0.21482999999999999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77.279999999999987</v>
      </c>
      <c r="BN417" s="64">
        <f>IFERROR(Y417*I417/H417,"0")</f>
        <v>77.615999999999985</v>
      </c>
      <c r="BO417" s="64">
        <f>IFERROR(1/J417*(X417/H417),"0")</f>
        <v>0.18053375196232338</v>
      </c>
      <c r="BP417" s="64">
        <f>IFERROR(1/J417*(Y417/H417),"0")</f>
        <v>0.18131868131868134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53</v>
      </c>
      <c r="Y418" s="630">
        <f>IFERROR(IF(X418="",0,CEILING((X418/$H418),1)*$H418),"")</f>
        <v>54.6</v>
      </c>
      <c r="Z418" s="36">
        <f>IFERROR(IF(Y418=0,"",ROUNDUP(Y418/H418,0)*0.00651),"")</f>
        <v>0.16925999999999999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59.05714285714285</v>
      </c>
      <c r="BN418" s="64">
        <f>IFERROR(Y418*I418/H418,"0")</f>
        <v>60.839999999999996</v>
      </c>
      <c r="BO418" s="64">
        <f>IFERROR(1/J418*(X418/H418),"0")</f>
        <v>0.13867085295656725</v>
      </c>
      <c r="BP418" s="64">
        <f>IFERROR(1/J418*(Y418/H418),"0")</f>
        <v>0.14285714285714288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58.095238095238088</v>
      </c>
      <c r="Y419" s="631">
        <f>IFERROR(Y416/H416,"0")+IFERROR(Y417/H417,"0")+IFERROR(Y418/H418,"0")</f>
        <v>59</v>
      </c>
      <c r="Z419" s="631">
        <f>IFERROR(IF(Z416="",0,Z416),"0")+IFERROR(IF(Z417="",0,Z417),"0")+IFERROR(IF(Z418="",0,Z418),"0")</f>
        <v>0.38408999999999999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122</v>
      </c>
      <c r="Y420" s="631">
        <f>IFERROR(SUM(Y416:Y418),"0")</f>
        <v>123.9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52</v>
      </c>
      <c r="Y424" s="630">
        <f t="shared" ref="Y424:Y431" si="59">IFERROR(IF(X424="",0,CEILING((X424/$H424),1)*$H424),"")</f>
        <v>60</v>
      </c>
      <c r="Z424" s="36">
        <f>IFERROR(IF(Y424=0,"",ROUNDUP(Y424/H424,0)*0.02175),"")</f>
        <v>8.6999999999999994E-2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53.629333333333335</v>
      </c>
      <c r="BN424" s="64">
        <f t="shared" ref="BN424:BN431" si="61">IFERROR(Y424*I424/H424,"0")</f>
        <v>61.88</v>
      </c>
      <c r="BO424" s="64">
        <f t="shared" ref="BO424:BO431" si="62">IFERROR(1/J424*(X424/H424),"0")</f>
        <v>7.2222222222222215E-2</v>
      </c>
      <c r="BP424" s="64">
        <f t="shared" ref="BP424:BP431" si="63">IFERROR(1/J424*(Y424/H424),"0")</f>
        <v>8.3333333333333329E-2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1406</v>
      </c>
      <c r="Y425" s="630">
        <f t="shared" si="59"/>
        <v>1410</v>
      </c>
      <c r="Z425" s="36">
        <f>IFERROR(IF(Y425=0,"",ROUNDUP(Y425/H425,0)*0.02175),"")</f>
        <v>2.0444999999999998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1450.0546666666667</v>
      </c>
      <c r="BN425" s="64">
        <f t="shared" si="61"/>
        <v>1454.18</v>
      </c>
      <c r="BO425" s="64">
        <f t="shared" si="62"/>
        <v>1.9527777777777777</v>
      </c>
      <c r="BP425" s="64">
        <f t="shared" si="63"/>
        <v>1.9583333333333333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2376</v>
      </c>
      <c r="Y427" s="630">
        <f t="shared" si="59"/>
        <v>2385</v>
      </c>
      <c r="Z427" s="36">
        <f>IFERROR(IF(Y427=0,"",ROUNDUP(Y427/H427,0)*0.02175),"")</f>
        <v>3.4582499999999996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2450.4479999999999</v>
      </c>
      <c r="BN427" s="64">
        <f t="shared" si="61"/>
        <v>2459.7300000000005</v>
      </c>
      <c r="BO427" s="64">
        <f t="shared" si="62"/>
        <v>3.3</v>
      </c>
      <c r="BP427" s="64">
        <f t="shared" si="63"/>
        <v>3.3125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255.60000000000002</v>
      </c>
      <c r="Y432" s="631">
        <f>IFERROR(Y424/H424,"0")+IFERROR(Y425/H425,"0")+IFERROR(Y426/H426,"0")+IFERROR(Y427/H427,"0")+IFERROR(Y428/H428,"0")+IFERROR(Y429/H429,"0")+IFERROR(Y430/H430,"0")+IFERROR(Y431/H431,"0")</f>
        <v>257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5.5897499999999996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3834</v>
      </c>
      <c r="Y433" s="631">
        <f>IFERROR(SUM(Y424:Y431),"0")</f>
        <v>3855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2200</v>
      </c>
      <c r="Y435" s="630">
        <f>IFERROR(IF(X435="",0,CEILING((X435/$H435),1)*$H435),"")</f>
        <v>2205</v>
      </c>
      <c r="Z435" s="36">
        <f>IFERROR(IF(Y435=0,"",ROUNDUP(Y435/H435,0)*0.02175),"")</f>
        <v>3.1972499999999999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2268.9333333333334</v>
      </c>
      <c r="BN435" s="64">
        <f>IFERROR(Y435*I435/H435,"0")</f>
        <v>2274.0899999999997</v>
      </c>
      <c r="BO435" s="64">
        <f>IFERROR(1/J435*(X435/H435),"0")</f>
        <v>3.0555555555555554</v>
      </c>
      <c r="BP435" s="64">
        <f>IFERROR(1/J435*(Y435/H435),"0")</f>
        <v>3.0625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17</v>
      </c>
      <c r="Y436" s="630">
        <f>IFERROR(IF(X436="",0,CEILING((X436/$H436),1)*$H436),"")</f>
        <v>30</v>
      </c>
      <c r="Z436" s="36">
        <f>IFERROR(IF(Y436=0,"",ROUNDUP(Y436/H436,0)*0.02175),"")</f>
        <v>4.3499999999999997E-2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17.532666666666668</v>
      </c>
      <c r="BN436" s="64">
        <f>IFERROR(Y436*I436/H436,"0")</f>
        <v>30.94</v>
      </c>
      <c r="BO436" s="64">
        <f>IFERROR(1/J436*(X436/H436),"0")</f>
        <v>2.361111111111111E-2</v>
      </c>
      <c r="BP436" s="64">
        <f>IFERROR(1/J436*(Y436/H436),"0")</f>
        <v>4.1666666666666664E-2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147.79999999999998</v>
      </c>
      <c r="Y438" s="631">
        <f>IFERROR(Y435/H435,"0")+IFERROR(Y436/H436,"0")+IFERROR(Y437/H437,"0")</f>
        <v>149</v>
      </c>
      <c r="Z438" s="631">
        <f>IFERROR(IF(Z435="",0,Z435),"0")+IFERROR(IF(Z436="",0,Z436),"0")+IFERROR(IF(Z437="",0,Z437),"0")</f>
        <v>3.2407499999999998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2217</v>
      </c>
      <c r="Y439" s="631">
        <f>IFERROR(SUM(Y435:Y437),"0")</f>
        <v>2235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1500</v>
      </c>
      <c r="Y462" s="630">
        <f>IFERROR(IF(X462="",0,CEILING((X462/$H462),1)*$H462),"")</f>
        <v>1503</v>
      </c>
      <c r="Z462" s="36">
        <f>IFERROR(IF(Y462=0,"",ROUNDUP(Y462/H462,0)*0.01898),"")</f>
        <v>3.1696599999999999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1582.3333333333333</v>
      </c>
      <c r="BN462" s="64">
        <f>IFERROR(Y462*I462/H462,"0")</f>
        <v>1585.498</v>
      </c>
      <c r="BO462" s="64">
        <f>IFERROR(1/J462*(X462/H462),"0")</f>
        <v>2.6041666666666665</v>
      </c>
      <c r="BP462" s="64">
        <f>IFERROR(1/J462*(Y462/H462),"0")</f>
        <v>2.609375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80</v>
      </c>
      <c r="Y463" s="630">
        <f>IFERROR(IF(X463="",0,CEILING((X463/$H463),1)*$H463),"")</f>
        <v>81.599999999999994</v>
      </c>
      <c r="Z463" s="36">
        <f>IFERROR(IF(Y463=0,"",ROUNDUP(Y463/H463,0)*0.00651),"")</f>
        <v>0.22134000000000001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88.800000000000011</v>
      </c>
      <c r="BN463" s="64">
        <f>IFERROR(Y463*I463/H463,"0")</f>
        <v>90.575999999999993</v>
      </c>
      <c r="BO463" s="64">
        <f>IFERROR(1/J463*(X463/H463),"0")</f>
        <v>0.18315018315018317</v>
      </c>
      <c r="BP463" s="64">
        <f>IFERROR(1/J463*(Y463/H463),"0")</f>
        <v>0.18681318681318682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200</v>
      </c>
      <c r="Y465" s="631">
        <f>IFERROR(Y462/H462,"0")+IFERROR(Y463/H463,"0")+IFERROR(Y464/H464,"0")</f>
        <v>201</v>
      </c>
      <c r="Z465" s="631">
        <f>IFERROR(IF(Z462="",0,Z462),"0")+IFERROR(IF(Z463="",0,Z463),"0")+IFERROR(IF(Z464="",0,Z464),"0")</f>
        <v>3.391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1580</v>
      </c>
      <c r="Y466" s="631">
        <f>IFERROR(SUM(Y462:Y464),"0")</f>
        <v>1584.6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0</v>
      </c>
      <c r="Y509" s="630">
        <f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0</v>
      </c>
      <c r="Y512" s="631">
        <f>IFERROR(Y509/H509,"0")+IFERROR(Y510/H510,"0")+IFERROR(Y511/H511,"0")</f>
        <v>0</v>
      </c>
      <c r="Z512" s="631">
        <f>IFERROR(IF(Z509="",0,Z509),"0")+IFERROR(IF(Z510="",0,Z510),"0")+IFERROR(IF(Z511="",0,Z511),"0")</f>
        <v>0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0</v>
      </c>
      <c r="Y513" s="631">
        <f>IFERROR(SUM(Y509:Y511),"0")</f>
        <v>0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796</v>
      </c>
      <c r="Y515" s="630">
        <f t="shared" ref="Y515:Y521" si="75">IFERROR(IF(X515="",0,CEILING((X515/$H515),1)*$H515),"")</f>
        <v>797.28000000000009</v>
      </c>
      <c r="Z515" s="36">
        <f>IFERROR(IF(Y515=0,"",ROUNDUP(Y515/H515,0)*0.01196),"")</f>
        <v>1.80596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848.76515151515139</v>
      </c>
      <c r="BN515" s="64">
        <f t="shared" ref="BN515:BN521" si="77">IFERROR(Y515*I515/H515,"0")</f>
        <v>850.13000000000011</v>
      </c>
      <c r="BO515" s="64">
        <f t="shared" ref="BO515:BO521" si="78">IFERROR(1/J515*(X515/H515),"0")</f>
        <v>1.4495920745920745</v>
      </c>
      <c r="BP515" s="64">
        <f t="shared" ref="BP515:BP521" si="79">IFERROR(1/J515*(Y515/H515),"0")</f>
        <v>1.4519230769230771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186</v>
      </c>
      <c r="Y517" s="630">
        <f t="shared" si="75"/>
        <v>190.08</v>
      </c>
      <c r="Z517" s="36">
        <f>IFERROR(IF(Y517=0,"",ROUNDUP(Y517/H517,0)*0.01196),"")</f>
        <v>0.43056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198.32954545454547</v>
      </c>
      <c r="BN517" s="64">
        <f t="shared" si="77"/>
        <v>202.67999999999998</v>
      </c>
      <c r="BO517" s="64">
        <f t="shared" si="78"/>
        <v>0.33872377622377625</v>
      </c>
      <c r="BP517" s="64">
        <f t="shared" si="79"/>
        <v>0.34615384615384615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185.98484848484847</v>
      </c>
      <c r="Y522" s="631">
        <f>IFERROR(Y515/H515,"0")+IFERROR(Y516/H516,"0")+IFERROR(Y517/H517,"0")+IFERROR(Y518/H518,"0")+IFERROR(Y519/H519,"0")+IFERROR(Y520/H520,"0")+IFERROR(Y521/H521,"0")</f>
        <v>187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2.2365200000000001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982</v>
      </c>
      <c r="Y523" s="631">
        <f>IFERROR(SUM(Y515:Y521),"0")</f>
        <v>987.36000000000013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17905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18046.53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18788.23715478044</v>
      </c>
      <c r="Y553" s="631">
        <f>IFERROR(SUM(BN22:BN549),"0")</f>
        <v>18938.05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30</v>
      </c>
      <c r="Y554" s="38">
        <f>ROUNDUP(SUM(BP22:BP549),0)</f>
        <v>31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19538.23715478044</v>
      </c>
      <c r="Y555" s="631">
        <f>GrossWeightTotalR+PalletQtyTotalR*25</f>
        <v>19713.05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2533.1877565739296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2557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35.041980000000002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3.6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742.40000000000009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1015.2</v>
      </c>
      <c r="F562" s="46">
        <f>IFERROR(Y83*1,"0")+IFERROR(Y84*1,"0")+IFERROR(Y85*1,"0")+IFERROR(Y86*1,"0")+IFERROR(Y90*1,"0")+IFERROR(Y91*1,"0")+IFERROR(Y92*1,"0")+IFERROR(Y93*1,"0")</f>
        <v>1171.8000000000002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3494.7000000000003</v>
      </c>
      <c r="H562" s="46">
        <f>IFERROR(Y128*1,"0")+IFERROR(Y129*1,"0")+IFERROR(Y130*1,"0")+IFERROR(Y134*1,"0")+IFERROR(Y135*1,"0")+IFERROR(Y136*1,"0")+IFERROR(Y137*1,"0")+IFERROR(Y141*1,"0")+IFERROR(Y142*1,"0")+IFERROR(Y143*1,"0")</f>
        <v>2.8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442.52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111.30000000000001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2087.6999999999998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84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54.6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50.05</v>
      </c>
      <c r="U562" s="46">
        <f>IFERROR(Y410*1,"0")+IFERROR(Y411*1,"0")</f>
        <v>0</v>
      </c>
      <c r="V562" s="46">
        <f>IFERROR(Y416*1,"0")+IFERROR(Y417*1,"0")+IFERROR(Y418*1,"0")</f>
        <v>123.9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6090</v>
      </c>
      <c r="X562" s="46">
        <f>IFERROR(Y453*1,"0")+IFERROR(Y454*1,"0")+IFERROR(Y458*1,"0")+IFERROR(Y462*1,"0")+IFERROR(Y463*1,"0")+IFERROR(Y464*1,"0")</f>
        <v>1584.6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987.36000000000013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2026-08-26T08:59:34Z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