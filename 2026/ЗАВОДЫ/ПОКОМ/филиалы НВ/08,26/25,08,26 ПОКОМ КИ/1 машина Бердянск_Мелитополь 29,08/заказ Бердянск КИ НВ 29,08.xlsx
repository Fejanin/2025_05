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3B921A1B-49D3-4A54-877B-2368286A7EE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заказа'!$A$18:$AF$557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заказа'!$X$553:$X$553</definedName>
    <definedName name="GrossWeightTotalR">'Бланк заказа'!$Y$553:$Y$553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заказа'!$X$554:$X$554</definedName>
    <definedName name="PalletQtyTotalR">'Бланк заказа'!$Y$554:$Y$554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заказа'!$B$377:$B$377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заказа'!$B$384:$B$384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заказа'!$B$390:$B$390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заказа'!$B$397:$B$397</definedName>
    <definedName name="ProductId207">'Бланк заказа'!$B$398:$B$398</definedName>
    <definedName name="ProductId208">'Бланк заказа'!$B$399:$B$399</definedName>
    <definedName name="ProductId209">'Бланк заказа'!$B$403:$B$403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заказа'!$B$410:$B$410</definedName>
    <definedName name="ProductId213">'Бланк заказа'!$B$411:$B$411</definedName>
    <definedName name="ProductId214">'Бланк заказа'!$B$416:$B$416</definedName>
    <definedName name="ProductId215">'Бланк заказа'!$B$417:$B$417</definedName>
    <definedName name="ProductId216">'Бланк заказа'!$B$418:$B$418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заказа'!$B$435:$B$435</definedName>
    <definedName name="ProductId226">'Бланк заказа'!$B$436:$B$436</definedName>
    <definedName name="ProductId227">'Бланк заказа'!$B$437:$B$437</definedName>
    <definedName name="ProductId228">'Бланк заказа'!$B$441:$B$441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заказа'!$B$447:$B$447</definedName>
    <definedName name="ProductId232">'Бланк заказа'!$B$448:$B$448</definedName>
    <definedName name="ProductId233">'Бланк заказа'!$B$453:$B$453</definedName>
    <definedName name="ProductId234">'Бланк заказа'!$B$454:$B$454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заказа'!$B$464:$B$464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заказа'!$B$479:$B$479</definedName>
    <definedName name="ProductId246">'Бланк заказа'!$B$480:$B$480</definedName>
    <definedName name="ProductId247">'Бланк заказа'!$B$485:$B$485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заказа'!$B$509:$B$509</definedName>
    <definedName name="ProductId261">'Бланк заказа'!$B$510:$B$510</definedName>
    <definedName name="ProductId262">'Бланк заказа'!$B$511:$B$511</definedName>
    <definedName name="ProductId263">'Бланк заказа'!$B$515:$B$515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заказа'!$B$527:$B$527</definedName>
    <definedName name="ProductId271">'Бланк заказа'!$B$531:$B$531</definedName>
    <definedName name="ProductId272">'Бланк заказа'!$B$535:$B$535</definedName>
    <definedName name="ProductId273">'Бланк заказа'!$B$539:$B$539</definedName>
    <definedName name="ProductId274">'Бланк заказа'!$B$543:$B$543</definedName>
    <definedName name="ProductId275">'Бланк заказа'!$B$544:$B$544</definedName>
    <definedName name="ProductId276">'Бланк заказа'!$B$549:$B$549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заказа'!$X$377:$X$377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заказа'!$X$384:$X$384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заказа'!$X$390:$X$390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заказа'!$X$397:$X$397</definedName>
    <definedName name="SalesQty207">'Бланк заказа'!$X$398:$X$398</definedName>
    <definedName name="SalesQty208">'Бланк заказа'!$X$399:$X$399</definedName>
    <definedName name="SalesQty209">'Бланк заказа'!$X$403:$X$403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заказа'!$X$410:$X$410</definedName>
    <definedName name="SalesQty213">'Бланк заказа'!$X$411:$X$411</definedName>
    <definedName name="SalesQty214">'Бланк заказа'!$X$416:$X$416</definedName>
    <definedName name="SalesQty215">'Бланк заказа'!$X$417:$X$417</definedName>
    <definedName name="SalesQty216">'Бланк заказа'!$X$418:$X$418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заказа'!$X$435:$X$435</definedName>
    <definedName name="SalesQty226">'Бланк заказа'!$X$436:$X$436</definedName>
    <definedName name="SalesQty227">'Бланк заказа'!$X$437:$X$437</definedName>
    <definedName name="SalesQty228">'Бланк заказа'!$X$441:$X$441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заказа'!$X$447:$X$447</definedName>
    <definedName name="SalesQty232">'Бланк заказа'!$X$448:$X$448</definedName>
    <definedName name="SalesQty233">'Бланк заказа'!$X$453:$X$453</definedName>
    <definedName name="SalesQty234">'Бланк заказа'!$X$454:$X$454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заказа'!$X$464:$X$464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заказа'!$X$479:$X$479</definedName>
    <definedName name="SalesQty246">'Бланк заказа'!$X$480:$X$480</definedName>
    <definedName name="SalesQty247">'Бланк заказа'!$X$485:$X$485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заказа'!$X$509:$X$509</definedName>
    <definedName name="SalesQty261">'Бланк заказа'!$X$510:$X$510</definedName>
    <definedName name="SalesQty262">'Бланк заказа'!$X$511:$X$511</definedName>
    <definedName name="SalesQty263">'Бланк заказа'!$X$515:$X$515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заказа'!$X$527:$X$527</definedName>
    <definedName name="SalesQty271">'Бланк заказа'!$X$531:$X$531</definedName>
    <definedName name="SalesQty272">'Бланк заказа'!$X$535:$X$535</definedName>
    <definedName name="SalesQty273">'Бланк заказа'!$X$539:$X$539</definedName>
    <definedName name="SalesQty274">'Бланк заказа'!$X$543:$X$543</definedName>
    <definedName name="SalesQty275">'Бланк заказа'!$X$544:$X$544</definedName>
    <definedName name="SalesQty276">'Бланк заказа'!$X$549:$X$549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заказа'!$Y$377:$Y$377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заказа'!$Y$384:$Y$384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заказа'!$Y$390:$Y$390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заказа'!$Y$397:$Y$397</definedName>
    <definedName name="SalesRoundBox207">'Бланк заказа'!$Y$398:$Y$398</definedName>
    <definedName name="SalesRoundBox208">'Бланк заказа'!$Y$399:$Y$399</definedName>
    <definedName name="SalesRoundBox209">'Бланк заказа'!$Y$403:$Y$403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заказа'!$Y$410:$Y$410</definedName>
    <definedName name="SalesRoundBox213">'Бланк заказа'!$Y$411:$Y$411</definedName>
    <definedName name="SalesRoundBox214">'Бланк заказа'!$Y$416:$Y$416</definedName>
    <definedName name="SalesRoundBox215">'Бланк заказа'!$Y$417:$Y$417</definedName>
    <definedName name="SalesRoundBox216">'Бланк заказа'!$Y$418:$Y$418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заказа'!$Y$435:$Y$435</definedName>
    <definedName name="SalesRoundBox226">'Бланк заказа'!$Y$436:$Y$436</definedName>
    <definedName name="SalesRoundBox227">'Бланк заказа'!$Y$437:$Y$437</definedName>
    <definedName name="SalesRoundBox228">'Бланк заказа'!$Y$441:$Y$441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заказа'!$Y$447:$Y$447</definedName>
    <definedName name="SalesRoundBox232">'Бланк заказа'!$Y$448:$Y$448</definedName>
    <definedName name="SalesRoundBox233">'Бланк заказа'!$Y$453:$Y$453</definedName>
    <definedName name="SalesRoundBox234">'Бланк заказа'!$Y$454:$Y$454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заказа'!$Y$464:$Y$464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заказа'!$Y$479:$Y$479</definedName>
    <definedName name="SalesRoundBox246">'Бланк заказа'!$Y$480:$Y$480</definedName>
    <definedName name="SalesRoundBox247">'Бланк заказа'!$Y$485:$Y$485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заказа'!$Y$509:$Y$509</definedName>
    <definedName name="SalesRoundBox261">'Бланк заказа'!$Y$510:$Y$510</definedName>
    <definedName name="SalesRoundBox262">'Бланк заказа'!$Y$511:$Y$511</definedName>
    <definedName name="SalesRoundBox263">'Бланк заказа'!$Y$515:$Y$515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заказа'!$Y$527:$Y$527</definedName>
    <definedName name="SalesRoundBox271">'Бланк заказа'!$Y$531:$Y$531</definedName>
    <definedName name="SalesRoundBox272">'Бланк заказа'!$Y$535:$Y$535</definedName>
    <definedName name="SalesRoundBox273">'Бланк заказа'!$Y$539:$Y$539</definedName>
    <definedName name="SalesRoundBox274">'Бланк заказа'!$Y$543:$Y$543</definedName>
    <definedName name="SalesRoundBox275">'Бланк заказа'!$Y$544:$Y$544</definedName>
    <definedName name="SalesRoundBox276">'Бланк заказа'!$Y$549:$Y$549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заказа'!$W$377:$W$377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заказа'!$W$384:$W$384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заказа'!$W$390:$W$390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заказа'!$W$397:$W$397</definedName>
    <definedName name="UnitOfMeasure207">'Бланк заказа'!$W$398:$W$398</definedName>
    <definedName name="UnitOfMeasure208">'Бланк заказа'!$W$399:$W$399</definedName>
    <definedName name="UnitOfMeasure209">'Бланк заказа'!$W$403:$W$403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заказа'!$W$410:$W$410</definedName>
    <definedName name="UnitOfMeasure213">'Бланк заказа'!$W$411:$W$411</definedName>
    <definedName name="UnitOfMeasure214">'Бланк заказа'!$W$416:$W$416</definedName>
    <definedName name="UnitOfMeasure215">'Бланк заказа'!$W$417:$W$417</definedName>
    <definedName name="UnitOfMeasure216">'Бланк заказа'!$W$418:$W$418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заказа'!$W$435:$W$435</definedName>
    <definedName name="UnitOfMeasure226">'Бланк заказа'!$W$436:$W$436</definedName>
    <definedName name="UnitOfMeasure227">'Бланк заказа'!$W$437:$W$437</definedName>
    <definedName name="UnitOfMeasure228">'Бланк заказа'!$W$441:$W$441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заказа'!$W$447:$W$447</definedName>
    <definedName name="UnitOfMeasure232">'Бланк заказа'!$W$448:$W$448</definedName>
    <definedName name="UnitOfMeasure233">'Бланк заказа'!$W$453:$W$453</definedName>
    <definedName name="UnitOfMeasure234">'Бланк заказа'!$W$454:$W$454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заказа'!$W$464:$W$464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заказа'!$W$479:$W$479</definedName>
    <definedName name="UnitOfMeasure246">'Бланк заказа'!$W$480:$W$480</definedName>
    <definedName name="UnitOfMeasure247">'Бланк заказа'!$W$485:$W$485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заказа'!$W$509:$W$509</definedName>
    <definedName name="UnitOfMeasure261">'Бланк заказа'!$W$510:$W$510</definedName>
    <definedName name="UnitOfMeasure262">'Бланк заказа'!$W$511:$W$511</definedName>
    <definedName name="UnitOfMeasure263">'Бланк заказа'!$W$515:$W$515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заказа'!$W$527:$W$527</definedName>
    <definedName name="UnitOfMeasure271">'Бланк заказа'!$W$531:$W$531</definedName>
    <definedName name="UnitOfMeasure272">'Бланк заказа'!$W$535:$W$535</definedName>
    <definedName name="UnitOfMeasure273">'Бланк заказа'!$W$539:$W$539</definedName>
    <definedName name="UnitOfMeasure274">'Бланк заказа'!$W$543:$W$543</definedName>
    <definedName name="UnitOfMeasure275">'Бланк заказа'!$W$544:$W$544</definedName>
    <definedName name="UnitOfMeasure276">'Бланк заказа'!$W$549:$W$549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1" i="1" l="1"/>
  <c r="X550" i="1"/>
  <c r="BO549" i="1"/>
  <c r="BM549" i="1"/>
  <c r="Y549" i="1"/>
  <c r="AC562" i="1" s="1"/>
  <c r="P549" i="1"/>
  <c r="X546" i="1"/>
  <c r="X545" i="1"/>
  <c r="BO544" i="1"/>
  <c r="BM544" i="1"/>
  <c r="Y544" i="1"/>
  <c r="P544" i="1"/>
  <c r="BO543" i="1"/>
  <c r="BM543" i="1"/>
  <c r="Y543" i="1"/>
  <c r="P543" i="1"/>
  <c r="X541" i="1"/>
  <c r="X540" i="1"/>
  <c r="BO539" i="1"/>
  <c r="BM539" i="1"/>
  <c r="Y539" i="1"/>
  <c r="P539" i="1"/>
  <c r="X537" i="1"/>
  <c r="X536" i="1"/>
  <c r="BO535" i="1"/>
  <c r="BM535" i="1"/>
  <c r="Y535" i="1"/>
  <c r="P535" i="1"/>
  <c r="X533" i="1"/>
  <c r="X532" i="1"/>
  <c r="BO531" i="1"/>
  <c r="BM531" i="1"/>
  <c r="Y531" i="1"/>
  <c r="P531" i="1"/>
  <c r="X529" i="1"/>
  <c r="X528" i="1"/>
  <c r="BO527" i="1"/>
  <c r="BM527" i="1"/>
  <c r="Y527" i="1"/>
  <c r="P527" i="1"/>
  <c r="X523" i="1"/>
  <c r="X522" i="1"/>
  <c r="BO521" i="1"/>
  <c r="BM521" i="1"/>
  <c r="Y521" i="1"/>
  <c r="P521" i="1"/>
  <c r="BP520" i="1"/>
  <c r="BO520" i="1"/>
  <c r="BN520" i="1"/>
  <c r="BM520" i="1"/>
  <c r="Z520" i="1"/>
  <c r="Y520" i="1"/>
  <c r="P520" i="1"/>
  <c r="BO519" i="1"/>
  <c r="BM519" i="1"/>
  <c r="Y519" i="1"/>
  <c r="P519" i="1"/>
  <c r="BO518" i="1"/>
  <c r="BM518" i="1"/>
  <c r="Y518" i="1"/>
  <c r="P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BO502" i="1"/>
  <c r="BM502" i="1"/>
  <c r="Y502" i="1"/>
  <c r="P502" i="1"/>
  <c r="BO501" i="1"/>
  <c r="BM501" i="1"/>
  <c r="Y501" i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BO498" i="1"/>
  <c r="BM498" i="1"/>
  <c r="Y498" i="1"/>
  <c r="P498" i="1"/>
  <c r="BO497" i="1"/>
  <c r="BM497" i="1"/>
  <c r="Y497" i="1"/>
  <c r="P497" i="1"/>
  <c r="X493" i="1"/>
  <c r="X492" i="1"/>
  <c r="BO491" i="1"/>
  <c r="BM491" i="1"/>
  <c r="Y491" i="1"/>
  <c r="P491" i="1"/>
  <c r="BP490" i="1"/>
  <c r="BO490" i="1"/>
  <c r="BN490" i="1"/>
  <c r="BM490" i="1"/>
  <c r="Z490" i="1"/>
  <c r="Y490" i="1"/>
  <c r="P490" i="1"/>
  <c r="BO489" i="1"/>
  <c r="BM489" i="1"/>
  <c r="Y489" i="1"/>
  <c r="P489" i="1"/>
  <c r="X487" i="1"/>
  <c r="Y486" i="1"/>
  <c r="X486" i="1"/>
  <c r="BP485" i="1"/>
  <c r="BO485" i="1"/>
  <c r="BN485" i="1"/>
  <c r="BM485" i="1"/>
  <c r="Z485" i="1"/>
  <c r="Z486" i="1" s="1"/>
  <c r="Y485" i="1"/>
  <c r="P485" i="1"/>
  <c r="X482" i="1"/>
  <c r="X481" i="1"/>
  <c r="BO480" i="1"/>
  <c r="BM480" i="1"/>
  <c r="Y480" i="1"/>
  <c r="P480" i="1"/>
  <c r="BO479" i="1"/>
  <c r="BM479" i="1"/>
  <c r="Y479" i="1"/>
  <c r="Y482" i="1" s="1"/>
  <c r="P479" i="1"/>
  <c r="X477" i="1"/>
  <c r="X476" i="1"/>
  <c r="BO475" i="1"/>
  <c r="BM475" i="1"/>
  <c r="Y475" i="1"/>
  <c r="BP475" i="1" s="1"/>
  <c r="P475" i="1"/>
  <c r="BP474" i="1"/>
  <c r="BO474" i="1"/>
  <c r="BN474" i="1"/>
  <c r="BM474" i="1"/>
  <c r="Z474" i="1"/>
  <c r="Y474" i="1"/>
  <c r="P474" i="1"/>
  <c r="BO473" i="1"/>
  <c r="BM473" i="1"/>
  <c r="Y473" i="1"/>
  <c r="BP473" i="1" s="1"/>
  <c r="P473" i="1"/>
  <c r="BO472" i="1"/>
  <c r="BM472" i="1"/>
  <c r="Y472" i="1"/>
  <c r="P472" i="1"/>
  <c r="BO471" i="1"/>
  <c r="BM471" i="1"/>
  <c r="Y471" i="1"/>
  <c r="BP471" i="1" s="1"/>
  <c r="P471" i="1"/>
  <c r="BP470" i="1"/>
  <c r="BO470" i="1"/>
  <c r="BN470" i="1"/>
  <c r="BM470" i="1"/>
  <c r="Z470" i="1"/>
  <c r="Y470" i="1"/>
  <c r="P470" i="1"/>
  <c r="X466" i="1"/>
  <c r="X465" i="1"/>
  <c r="BO464" i="1"/>
  <c r="BM464" i="1"/>
  <c r="Y464" i="1"/>
  <c r="P464" i="1"/>
  <c r="BO463" i="1"/>
  <c r="BM463" i="1"/>
  <c r="Y463" i="1"/>
  <c r="BP463" i="1" s="1"/>
  <c r="P463" i="1"/>
  <c r="BP462" i="1"/>
  <c r="BO462" i="1"/>
  <c r="BN462" i="1"/>
  <c r="BM462" i="1"/>
  <c r="Z462" i="1"/>
  <c r="Y462" i="1"/>
  <c r="P462" i="1"/>
  <c r="X460" i="1"/>
  <c r="Y459" i="1"/>
  <c r="X459" i="1"/>
  <c r="BP458" i="1"/>
  <c r="BO458" i="1"/>
  <c r="BN458" i="1"/>
  <c r="BM458" i="1"/>
  <c r="Z458" i="1"/>
  <c r="Z459" i="1" s="1"/>
  <c r="Y458" i="1"/>
  <c r="Y460" i="1" s="1"/>
  <c r="P458" i="1"/>
  <c r="X456" i="1"/>
  <c r="X455" i="1"/>
  <c r="BO454" i="1"/>
  <c r="BM454" i="1"/>
  <c r="Y454" i="1"/>
  <c r="P454" i="1"/>
  <c r="BO453" i="1"/>
  <c r="BM453" i="1"/>
  <c r="Y453" i="1"/>
  <c r="X562" i="1" s="1"/>
  <c r="P453" i="1"/>
  <c r="X450" i="1"/>
  <c r="X449" i="1"/>
  <c r="BO448" i="1"/>
  <c r="BM448" i="1"/>
  <c r="Y448" i="1"/>
  <c r="BP448" i="1" s="1"/>
  <c r="P448" i="1"/>
  <c r="BP447" i="1"/>
  <c r="BO447" i="1"/>
  <c r="BN447" i="1"/>
  <c r="BM447" i="1"/>
  <c r="Z447" i="1"/>
  <c r="Y447" i="1"/>
  <c r="P447" i="1"/>
  <c r="X445" i="1"/>
  <c r="X444" i="1"/>
  <c r="BO443" i="1"/>
  <c r="BM443" i="1"/>
  <c r="Y443" i="1"/>
  <c r="P443" i="1"/>
  <c r="BO442" i="1"/>
  <c r="BM442" i="1"/>
  <c r="Y442" i="1"/>
  <c r="BP442" i="1" s="1"/>
  <c r="P442" i="1"/>
  <c r="BP441" i="1"/>
  <c r="BO441" i="1"/>
  <c r="BN441" i="1"/>
  <c r="BM441" i="1"/>
  <c r="Z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P435" i="1"/>
  <c r="BO435" i="1"/>
  <c r="BN435" i="1"/>
  <c r="BM435" i="1"/>
  <c r="Z435" i="1"/>
  <c r="Y435" i="1"/>
  <c r="P435" i="1"/>
  <c r="X433" i="1"/>
  <c r="X432" i="1"/>
  <c r="BO431" i="1"/>
  <c r="BM431" i="1"/>
  <c r="Y431" i="1"/>
  <c r="P431" i="1"/>
  <c r="BO430" i="1"/>
  <c r="BM430" i="1"/>
  <c r="Y430" i="1"/>
  <c r="BP430" i="1" s="1"/>
  <c r="P430" i="1"/>
  <c r="BP429" i="1"/>
  <c r="BO429" i="1"/>
  <c r="BN429" i="1"/>
  <c r="BM429" i="1"/>
  <c r="Z429" i="1"/>
  <c r="Y429" i="1"/>
  <c r="P429" i="1"/>
  <c r="BO428" i="1"/>
  <c r="BM428" i="1"/>
  <c r="Y428" i="1"/>
  <c r="BP428" i="1" s="1"/>
  <c r="P428" i="1"/>
  <c r="BO427" i="1"/>
  <c r="BM427" i="1"/>
  <c r="Y427" i="1"/>
  <c r="P427" i="1"/>
  <c r="BO426" i="1"/>
  <c r="BM426" i="1"/>
  <c r="Y426" i="1"/>
  <c r="BP426" i="1" s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X420" i="1"/>
  <c r="X419" i="1"/>
  <c r="BO418" i="1"/>
  <c r="BM418" i="1"/>
  <c r="Y418" i="1"/>
  <c r="BP418" i="1" s="1"/>
  <c r="P418" i="1"/>
  <c r="BO417" i="1"/>
  <c r="BM417" i="1"/>
  <c r="Y417" i="1"/>
  <c r="P417" i="1"/>
  <c r="BO416" i="1"/>
  <c r="BM416" i="1"/>
  <c r="Y416" i="1"/>
  <c r="V562" i="1" s="1"/>
  <c r="P416" i="1"/>
  <c r="X413" i="1"/>
  <c r="X412" i="1"/>
  <c r="BO411" i="1"/>
  <c r="BM411" i="1"/>
  <c r="Y411" i="1"/>
  <c r="BP411" i="1" s="1"/>
  <c r="P411" i="1"/>
  <c r="BP410" i="1"/>
  <c r="BO410" i="1"/>
  <c r="BN410" i="1"/>
  <c r="BM410" i="1"/>
  <c r="Z410" i="1"/>
  <c r="Y410" i="1"/>
  <c r="P410" i="1"/>
  <c r="X407" i="1"/>
  <c r="X406" i="1"/>
  <c r="BO405" i="1"/>
  <c r="BM405" i="1"/>
  <c r="Y405" i="1"/>
  <c r="P405" i="1"/>
  <c r="BO404" i="1"/>
  <c r="BM404" i="1"/>
  <c r="Y404" i="1"/>
  <c r="BP404" i="1" s="1"/>
  <c r="P404" i="1"/>
  <c r="BP403" i="1"/>
  <c r="BO403" i="1"/>
  <c r="BN403" i="1"/>
  <c r="BM403" i="1"/>
  <c r="Z403" i="1"/>
  <c r="Y403" i="1"/>
  <c r="P403" i="1"/>
  <c r="X401" i="1"/>
  <c r="X400" i="1"/>
  <c r="BO399" i="1"/>
  <c r="BM399" i="1"/>
  <c r="Y399" i="1"/>
  <c r="P399" i="1"/>
  <c r="BO398" i="1"/>
  <c r="BM398" i="1"/>
  <c r="Y398" i="1"/>
  <c r="BP398" i="1" s="1"/>
  <c r="P398" i="1"/>
  <c r="BP397" i="1"/>
  <c r="BO397" i="1"/>
  <c r="BN397" i="1"/>
  <c r="BM397" i="1"/>
  <c r="Z397" i="1"/>
  <c r="Y397" i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X388" i="1"/>
  <c r="X387" i="1"/>
  <c r="BO386" i="1"/>
  <c r="BM386" i="1"/>
  <c r="Y386" i="1"/>
  <c r="BP386" i="1" s="1"/>
  <c r="P386" i="1"/>
  <c r="BO385" i="1"/>
  <c r="BM385" i="1"/>
  <c r="Y385" i="1"/>
  <c r="P385" i="1"/>
  <c r="BO384" i="1"/>
  <c r="BM384" i="1"/>
  <c r="Y384" i="1"/>
  <c r="Y387" i="1" s="1"/>
  <c r="P384" i="1"/>
  <c r="X382" i="1"/>
  <c r="X381" i="1"/>
  <c r="BO380" i="1"/>
  <c r="BM380" i="1"/>
  <c r="Y380" i="1"/>
  <c r="BP380" i="1" s="1"/>
  <c r="P380" i="1"/>
  <c r="BP379" i="1"/>
  <c r="BO379" i="1"/>
  <c r="BN379" i="1"/>
  <c r="BM379" i="1"/>
  <c r="Z379" i="1"/>
  <c r="Y379" i="1"/>
  <c r="P379" i="1"/>
  <c r="BO378" i="1"/>
  <c r="BM378" i="1"/>
  <c r="Y378" i="1"/>
  <c r="BP378" i="1" s="1"/>
  <c r="P378" i="1"/>
  <c r="BO377" i="1"/>
  <c r="BM377" i="1"/>
  <c r="Y377" i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BP372" i="1" s="1"/>
  <c r="P372" i="1"/>
  <c r="BO371" i="1"/>
  <c r="BM371" i="1"/>
  <c r="Y371" i="1"/>
  <c r="P371" i="1"/>
  <c r="BO370" i="1"/>
  <c r="BM370" i="1"/>
  <c r="Y370" i="1"/>
  <c r="BP370" i="1" s="1"/>
  <c r="P370" i="1"/>
  <c r="BP369" i="1"/>
  <c r="BO369" i="1"/>
  <c r="BN369" i="1"/>
  <c r="BM369" i="1"/>
  <c r="Z369" i="1"/>
  <c r="Y369" i="1"/>
  <c r="P369" i="1"/>
  <c r="BO368" i="1"/>
  <c r="BM368" i="1"/>
  <c r="Y368" i="1"/>
  <c r="BP368" i="1" s="1"/>
  <c r="P368" i="1"/>
  <c r="BO367" i="1"/>
  <c r="BM367" i="1"/>
  <c r="Y367" i="1"/>
  <c r="P367" i="1"/>
  <c r="X365" i="1"/>
  <c r="X364" i="1"/>
  <c r="BP363" i="1"/>
  <c r="BO363" i="1"/>
  <c r="BN363" i="1"/>
  <c r="BM363" i="1"/>
  <c r="Z363" i="1"/>
  <c r="Y363" i="1"/>
  <c r="P363" i="1"/>
  <c r="BO362" i="1"/>
  <c r="BM362" i="1"/>
  <c r="Y362" i="1"/>
  <c r="BP362" i="1" s="1"/>
  <c r="P362" i="1"/>
  <c r="BO361" i="1"/>
  <c r="BM361" i="1"/>
  <c r="Y361" i="1"/>
  <c r="P361" i="1"/>
  <c r="BO360" i="1"/>
  <c r="BM360" i="1"/>
  <c r="Y360" i="1"/>
  <c r="BP360" i="1" s="1"/>
  <c r="P360" i="1"/>
  <c r="BP359" i="1"/>
  <c r="BO359" i="1"/>
  <c r="BN359" i="1"/>
  <c r="BM359" i="1"/>
  <c r="Z359" i="1"/>
  <c r="Y359" i="1"/>
  <c r="P359" i="1"/>
  <c r="X356" i="1"/>
  <c r="X355" i="1"/>
  <c r="BO354" i="1"/>
  <c r="BM354" i="1"/>
  <c r="Y354" i="1"/>
  <c r="P354" i="1"/>
  <c r="BO353" i="1"/>
  <c r="BM353" i="1"/>
  <c r="Y353" i="1"/>
  <c r="BP353" i="1" s="1"/>
  <c r="P353" i="1"/>
  <c r="BP352" i="1"/>
  <c r="BO352" i="1"/>
  <c r="BN352" i="1"/>
  <c r="BM352" i="1"/>
  <c r="Z352" i="1"/>
  <c r="Y352" i="1"/>
  <c r="P352" i="1"/>
  <c r="X349" i="1"/>
  <c r="X348" i="1"/>
  <c r="BO347" i="1"/>
  <c r="BM347" i="1"/>
  <c r="Y347" i="1"/>
  <c r="P347" i="1"/>
  <c r="BO346" i="1"/>
  <c r="BM346" i="1"/>
  <c r="Y346" i="1"/>
  <c r="Y349" i="1" s="1"/>
  <c r="P346" i="1"/>
  <c r="X344" i="1"/>
  <c r="X343" i="1"/>
  <c r="BO342" i="1"/>
  <c r="BM342" i="1"/>
  <c r="Y342" i="1"/>
  <c r="BP342" i="1" s="1"/>
  <c r="P342" i="1"/>
  <c r="BP341" i="1"/>
  <c r="BO341" i="1"/>
  <c r="BN341" i="1"/>
  <c r="BM341" i="1"/>
  <c r="Z341" i="1"/>
  <c r="Y341" i="1"/>
  <c r="P341" i="1"/>
  <c r="BO340" i="1"/>
  <c r="BM340" i="1"/>
  <c r="Y340" i="1"/>
  <c r="BP340" i="1" s="1"/>
  <c r="P340" i="1"/>
  <c r="BO339" i="1"/>
  <c r="BM339" i="1"/>
  <c r="Y339" i="1"/>
  <c r="P339" i="1"/>
  <c r="BO338" i="1"/>
  <c r="BM338" i="1"/>
  <c r="Y338" i="1"/>
  <c r="R562" i="1" s="1"/>
  <c r="P338" i="1"/>
  <c r="X335" i="1"/>
  <c r="X334" i="1"/>
  <c r="BO333" i="1"/>
  <c r="BM333" i="1"/>
  <c r="Y333" i="1"/>
  <c r="P333" i="1"/>
  <c r="BP332" i="1"/>
  <c r="BO332" i="1"/>
  <c r="BN332" i="1"/>
  <c r="BM332" i="1"/>
  <c r="Z332" i="1"/>
  <c r="Y332" i="1"/>
  <c r="P332" i="1"/>
  <c r="BO331" i="1"/>
  <c r="BM331" i="1"/>
  <c r="Y331" i="1"/>
  <c r="P331" i="1"/>
  <c r="X328" i="1"/>
  <c r="X327" i="1"/>
  <c r="BO326" i="1"/>
  <c r="BM326" i="1"/>
  <c r="Y326" i="1"/>
  <c r="P326" i="1"/>
  <c r="BO325" i="1"/>
  <c r="BM325" i="1"/>
  <c r="Y325" i="1"/>
  <c r="BP325" i="1" s="1"/>
  <c r="P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X319" i="1"/>
  <c r="X318" i="1"/>
  <c r="BO317" i="1"/>
  <c r="BM317" i="1"/>
  <c r="Y317" i="1"/>
  <c r="P317" i="1"/>
  <c r="BO316" i="1"/>
  <c r="BM316" i="1"/>
  <c r="Y316" i="1"/>
  <c r="BP316" i="1" s="1"/>
  <c r="P316" i="1"/>
  <c r="BO315" i="1"/>
  <c r="BM315" i="1"/>
  <c r="Y315" i="1"/>
  <c r="BN315" i="1" s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P303" i="1"/>
  <c r="BO303" i="1"/>
  <c r="BN303" i="1"/>
  <c r="BM303" i="1"/>
  <c r="Z303" i="1"/>
  <c r="Y303" i="1"/>
  <c r="P303" i="1"/>
  <c r="BO302" i="1"/>
  <c r="BM302" i="1"/>
  <c r="Y302" i="1"/>
  <c r="BP302" i="1" s="1"/>
  <c r="P302" i="1"/>
  <c r="BO301" i="1"/>
  <c r="BM301" i="1"/>
  <c r="Y301" i="1"/>
  <c r="BP301" i="1" s="1"/>
  <c r="P301" i="1"/>
  <c r="BO300" i="1"/>
  <c r="BM300" i="1"/>
  <c r="Y300" i="1"/>
  <c r="BP300" i="1" s="1"/>
  <c r="P300" i="1"/>
  <c r="BP299" i="1"/>
  <c r="BO299" i="1"/>
  <c r="BN299" i="1"/>
  <c r="BM299" i="1"/>
  <c r="Z299" i="1"/>
  <c r="Y299" i="1"/>
  <c r="P299" i="1"/>
  <c r="BO298" i="1"/>
  <c r="BM298" i="1"/>
  <c r="Y298" i="1"/>
  <c r="BP298" i="1" s="1"/>
  <c r="P298" i="1"/>
  <c r="BO297" i="1"/>
  <c r="BM297" i="1"/>
  <c r="Y297" i="1"/>
  <c r="BP297" i="1" s="1"/>
  <c r="P297" i="1"/>
  <c r="X294" i="1"/>
  <c r="X293" i="1"/>
  <c r="BP292" i="1"/>
  <c r="BO292" i="1"/>
  <c r="BN292" i="1"/>
  <c r="BM292" i="1"/>
  <c r="Z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BP285" i="1" s="1"/>
  <c r="P285" i="1"/>
  <c r="BP284" i="1"/>
  <c r="BO284" i="1"/>
  <c r="BN284" i="1"/>
  <c r="BM284" i="1"/>
  <c r="Z284" i="1"/>
  <c r="Y284" i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X263" i="1"/>
  <c r="X262" i="1"/>
  <c r="BO261" i="1"/>
  <c r="BM261" i="1"/>
  <c r="Y261" i="1"/>
  <c r="P261" i="1"/>
  <c r="BO260" i="1"/>
  <c r="BM260" i="1"/>
  <c r="Y260" i="1"/>
  <c r="Y262" i="1" s="1"/>
  <c r="P260" i="1"/>
  <c r="X258" i="1"/>
  <c r="X257" i="1"/>
  <c r="BO256" i="1"/>
  <c r="BM256" i="1"/>
  <c r="Y256" i="1"/>
  <c r="BP256" i="1" s="1"/>
  <c r="P256" i="1"/>
  <c r="BO255" i="1"/>
  <c r="BM255" i="1"/>
  <c r="Y255" i="1"/>
  <c r="Y257" i="1" s="1"/>
  <c r="P255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BP245" i="1"/>
  <c r="BO245" i="1"/>
  <c r="BN245" i="1"/>
  <c r="BM245" i="1"/>
  <c r="Z245" i="1"/>
  <c r="Y245" i="1"/>
  <c r="P245" i="1"/>
  <c r="BO244" i="1"/>
  <c r="BM244" i="1"/>
  <c r="Y244" i="1"/>
  <c r="P244" i="1"/>
  <c r="X242" i="1"/>
  <c r="X241" i="1"/>
  <c r="BO240" i="1"/>
  <c r="BM240" i="1"/>
  <c r="Y240" i="1"/>
  <c r="BP240" i="1" s="1"/>
  <c r="P240" i="1"/>
  <c r="BO239" i="1"/>
  <c r="BM239" i="1"/>
  <c r="Y239" i="1"/>
  <c r="BP239" i="1" s="1"/>
  <c r="P239" i="1"/>
  <c r="BO238" i="1"/>
  <c r="BM238" i="1"/>
  <c r="Y238" i="1"/>
  <c r="BP238" i="1" s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X234" i="1"/>
  <c r="X233" i="1"/>
  <c r="BO232" i="1"/>
  <c r="BM232" i="1"/>
  <c r="Y232" i="1"/>
  <c r="BP232" i="1" s="1"/>
  <c r="P232" i="1"/>
  <c r="BO231" i="1"/>
  <c r="BM231" i="1"/>
  <c r="Y231" i="1"/>
  <c r="BP231" i="1" s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O227" i="1"/>
  <c r="BM227" i="1"/>
  <c r="Y227" i="1"/>
  <c r="BP227" i="1" s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O219" i="1"/>
  <c r="BM219" i="1"/>
  <c r="Y219" i="1"/>
  <c r="Y234" i="1" s="1"/>
  <c r="P219" i="1"/>
  <c r="X217" i="1"/>
  <c r="X216" i="1"/>
  <c r="BO215" i="1"/>
  <c r="BM215" i="1"/>
  <c r="Y215" i="1"/>
  <c r="Y216" i="1" s="1"/>
  <c r="P215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X200" i="1"/>
  <c r="X199" i="1"/>
  <c r="BO198" i="1"/>
  <c r="BM198" i="1"/>
  <c r="Y198" i="1"/>
  <c r="P198" i="1"/>
  <c r="X196" i="1"/>
  <c r="X195" i="1"/>
  <c r="BO194" i="1"/>
  <c r="BN194" i="1"/>
  <c r="BM194" i="1"/>
  <c r="Z194" i="1"/>
  <c r="Z195" i="1" s="1"/>
  <c r="Y194" i="1"/>
  <c r="P194" i="1"/>
  <c r="X192" i="1"/>
  <c r="X191" i="1"/>
  <c r="BO190" i="1"/>
  <c r="BM190" i="1"/>
  <c r="Y190" i="1"/>
  <c r="BP190" i="1" s="1"/>
  <c r="P190" i="1"/>
  <c r="BO189" i="1"/>
  <c r="BM189" i="1"/>
  <c r="Y189" i="1"/>
  <c r="Y191" i="1" s="1"/>
  <c r="P189" i="1"/>
  <c r="BP188" i="1"/>
  <c r="BO188" i="1"/>
  <c r="BN188" i="1"/>
  <c r="BM188" i="1"/>
  <c r="Z188" i="1"/>
  <c r="Y188" i="1"/>
  <c r="P188" i="1"/>
  <c r="X186" i="1"/>
  <c r="X185" i="1"/>
  <c r="BO184" i="1"/>
  <c r="BM184" i="1"/>
  <c r="Y184" i="1"/>
  <c r="BP184" i="1" s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Y185" i="1" s="1"/>
  <c r="P175" i="1"/>
  <c r="BP174" i="1"/>
  <c r="BO174" i="1"/>
  <c r="BN174" i="1"/>
  <c r="BM174" i="1"/>
  <c r="Z174" i="1"/>
  <c r="Y174" i="1"/>
  <c r="P174" i="1"/>
  <c r="X172" i="1"/>
  <c r="X171" i="1"/>
  <c r="BO170" i="1"/>
  <c r="BM170" i="1"/>
  <c r="Y170" i="1"/>
  <c r="BP170" i="1" s="1"/>
  <c r="P170" i="1"/>
  <c r="BO169" i="1"/>
  <c r="BM169" i="1"/>
  <c r="Y169" i="1"/>
  <c r="Y171" i="1" s="1"/>
  <c r="P169" i="1"/>
  <c r="X167" i="1"/>
  <c r="X166" i="1"/>
  <c r="BO165" i="1"/>
  <c r="BM165" i="1"/>
  <c r="Y165" i="1"/>
  <c r="BP165" i="1" s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X160" i="1"/>
  <c r="X159" i="1"/>
  <c r="BO158" i="1"/>
  <c r="BM158" i="1"/>
  <c r="Y158" i="1"/>
  <c r="Y160" i="1" s="1"/>
  <c r="P158" i="1"/>
  <c r="X156" i="1"/>
  <c r="X155" i="1"/>
  <c r="BO154" i="1"/>
  <c r="BM154" i="1"/>
  <c r="Y154" i="1"/>
  <c r="BP154" i="1" s="1"/>
  <c r="P154" i="1"/>
  <c r="BO153" i="1"/>
  <c r="BM153" i="1"/>
  <c r="Y153" i="1"/>
  <c r="BP153" i="1" s="1"/>
  <c r="P153" i="1"/>
  <c r="BO152" i="1"/>
  <c r="BM152" i="1"/>
  <c r="Y152" i="1"/>
  <c r="BP152" i="1" s="1"/>
  <c r="P152" i="1"/>
  <c r="BP151" i="1"/>
  <c r="BO151" i="1"/>
  <c r="BN151" i="1"/>
  <c r="BM151" i="1"/>
  <c r="Z151" i="1"/>
  <c r="Y151" i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I562" i="1" s="1"/>
  <c r="P148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P141" i="1"/>
  <c r="X139" i="1"/>
  <c r="X138" i="1"/>
  <c r="BO137" i="1"/>
  <c r="BM137" i="1"/>
  <c r="Y137" i="1"/>
  <c r="BP137" i="1" s="1"/>
  <c r="P137" i="1"/>
  <c r="BO136" i="1"/>
  <c r="BM136" i="1"/>
  <c r="Y136" i="1"/>
  <c r="BP136" i="1" s="1"/>
  <c r="P136" i="1"/>
  <c r="BO135" i="1"/>
  <c r="BM135" i="1"/>
  <c r="Y135" i="1"/>
  <c r="Y139" i="1" s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BP130" i="1" s="1"/>
  <c r="P130" i="1"/>
  <c r="BO129" i="1"/>
  <c r="BM129" i="1"/>
  <c r="Y129" i="1"/>
  <c r="Y131" i="1" s="1"/>
  <c r="P129" i="1"/>
  <c r="BP128" i="1"/>
  <c r="BO128" i="1"/>
  <c r="BN128" i="1"/>
  <c r="BM128" i="1"/>
  <c r="Z128" i="1"/>
  <c r="Y128" i="1"/>
  <c r="P128" i="1"/>
  <c r="X125" i="1"/>
  <c r="Y124" i="1"/>
  <c r="X124" i="1"/>
  <c r="BP123" i="1"/>
  <c r="BO123" i="1"/>
  <c r="BN123" i="1"/>
  <c r="BM123" i="1"/>
  <c r="Z123" i="1"/>
  <c r="Z124" i="1" s="1"/>
  <c r="Y123" i="1"/>
  <c r="Y125" i="1" s="1"/>
  <c r="P123" i="1"/>
  <c r="X121" i="1"/>
  <c r="X120" i="1"/>
  <c r="BO119" i="1"/>
  <c r="BM119" i="1"/>
  <c r="Y119" i="1"/>
  <c r="BP119" i="1" s="1"/>
  <c r="P119" i="1"/>
  <c r="BO118" i="1"/>
  <c r="BM118" i="1"/>
  <c r="Y118" i="1"/>
  <c r="BP118" i="1" s="1"/>
  <c r="P118" i="1"/>
  <c r="BP117" i="1"/>
  <c r="BO117" i="1"/>
  <c r="BN117" i="1"/>
  <c r="BM117" i="1"/>
  <c r="Z117" i="1"/>
  <c r="Y117" i="1"/>
  <c r="P117" i="1"/>
  <c r="BO116" i="1"/>
  <c r="BM116" i="1"/>
  <c r="Y116" i="1"/>
  <c r="P116" i="1"/>
  <c r="X114" i="1"/>
  <c r="X113" i="1"/>
  <c r="BO112" i="1"/>
  <c r="BM112" i="1"/>
  <c r="Y112" i="1"/>
  <c r="P112" i="1"/>
  <c r="BO111" i="1"/>
  <c r="BM111" i="1"/>
  <c r="Y111" i="1"/>
  <c r="BP111" i="1" s="1"/>
  <c r="P111" i="1"/>
  <c r="BO110" i="1"/>
  <c r="BM110" i="1"/>
  <c r="Y110" i="1"/>
  <c r="P110" i="1"/>
  <c r="BP109" i="1"/>
  <c r="BO109" i="1"/>
  <c r="BN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O99" i="1"/>
  <c r="BM99" i="1"/>
  <c r="Y99" i="1"/>
  <c r="BP99" i="1" s="1"/>
  <c r="P99" i="1"/>
  <c r="BO98" i="1"/>
  <c r="BM98" i="1"/>
  <c r="Y98" i="1"/>
  <c r="Y106" i="1" s="1"/>
  <c r="P98" i="1"/>
  <c r="X95" i="1"/>
  <c r="X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BO90" i="1"/>
  <c r="BM90" i="1"/>
  <c r="Y90" i="1"/>
  <c r="Y94" i="1" s="1"/>
  <c r="P90" i="1"/>
  <c r="X88" i="1"/>
  <c r="X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BP84" i="1" s="1"/>
  <c r="P84" i="1"/>
  <c r="BO83" i="1"/>
  <c r="BM83" i="1"/>
  <c r="Y83" i="1"/>
  <c r="BP83" i="1" s="1"/>
  <c r="P83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P73" i="1"/>
  <c r="BO72" i="1"/>
  <c r="BM72" i="1"/>
  <c r="Y72" i="1"/>
  <c r="Y74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P59" i="1" s="1"/>
  <c r="P59" i="1"/>
  <c r="BO58" i="1"/>
  <c r="BM58" i="1"/>
  <c r="Y58" i="1"/>
  <c r="BP58" i="1" s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X53" i="1"/>
  <c r="X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P48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BP39" i="1"/>
  <c r="BO39" i="1"/>
  <c r="BN39" i="1"/>
  <c r="BM39" i="1"/>
  <c r="Z39" i="1"/>
  <c r="Y39" i="1"/>
  <c r="P39" i="1"/>
  <c r="BO38" i="1"/>
  <c r="BM38" i="1"/>
  <c r="Y38" i="1"/>
  <c r="P38" i="1"/>
  <c r="BO37" i="1"/>
  <c r="BM37" i="1"/>
  <c r="Y37" i="1"/>
  <c r="BP37" i="1" s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Y32" i="1" s="1"/>
  <c r="P28" i="1"/>
  <c r="BP27" i="1"/>
  <c r="BO27" i="1"/>
  <c r="BN27" i="1"/>
  <c r="BM27" i="1"/>
  <c r="Z27" i="1"/>
  <c r="Y27" i="1"/>
  <c r="P27" i="1"/>
  <c r="X25" i="1"/>
  <c r="X552" i="1" s="1"/>
  <c r="X24" i="1"/>
  <c r="X556" i="1" s="1"/>
  <c r="BO23" i="1"/>
  <c r="BM23" i="1"/>
  <c r="Y23" i="1"/>
  <c r="BP23" i="1" s="1"/>
  <c r="P23" i="1"/>
  <c r="BO22" i="1"/>
  <c r="X554" i="1" s="1"/>
  <c r="BM22" i="1"/>
  <c r="Y22" i="1"/>
  <c r="B562" i="1" s="1"/>
  <c r="P22" i="1"/>
  <c r="H10" i="1"/>
  <c r="A9" i="1"/>
  <c r="A10" i="1" s="1"/>
  <c r="D7" i="1"/>
  <c r="Q6" i="1"/>
  <c r="P2" i="1"/>
  <c r="X553" i="1" l="1"/>
  <c r="X555" i="1" s="1"/>
  <c r="Z23" i="1"/>
  <c r="BN23" i="1"/>
  <c r="Y33" i="1"/>
  <c r="Z29" i="1"/>
  <c r="BN29" i="1"/>
  <c r="Z37" i="1"/>
  <c r="BN37" i="1"/>
  <c r="Y44" i="1"/>
  <c r="Z41" i="1"/>
  <c r="BN41" i="1"/>
  <c r="D562" i="1"/>
  <c r="Z51" i="1"/>
  <c r="BN51" i="1"/>
  <c r="Z58" i="1"/>
  <c r="BN58" i="1"/>
  <c r="Z66" i="1"/>
  <c r="BN66" i="1"/>
  <c r="Z72" i="1"/>
  <c r="BN72" i="1"/>
  <c r="BP72" i="1"/>
  <c r="Y75" i="1"/>
  <c r="Z83" i="1"/>
  <c r="BN83" i="1"/>
  <c r="Z90" i="1"/>
  <c r="BN90" i="1"/>
  <c r="BP90" i="1"/>
  <c r="Z99" i="1"/>
  <c r="BN99" i="1"/>
  <c r="Z103" i="1"/>
  <c r="BN103" i="1"/>
  <c r="Z111" i="1"/>
  <c r="BN111" i="1"/>
  <c r="Z119" i="1"/>
  <c r="BN119" i="1"/>
  <c r="Z130" i="1"/>
  <c r="BN130" i="1"/>
  <c r="Y138" i="1"/>
  <c r="Z136" i="1"/>
  <c r="BN136" i="1"/>
  <c r="Y145" i="1"/>
  <c r="Z149" i="1"/>
  <c r="BN149" i="1"/>
  <c r="Z153" i="1"/>
  <c r="BN153" i="1"/>
  <c r="J562" i="1"/>
  <c r="Z170" i="1"/>
  <c r="BN170" i="1"/>
  <c r="Y186" i="1"/>
  <c r="Z176" i="1"/>
  <c r="BN176" i="1"/>
  <c r="Z180" i="1"/>
  <c r="BN180" i="1"/>
  <c r="Z184" i="1"/>
  <c r="BN184" i="1"/>
  <c r="Y192" i="1"/>
  <c r="Z190" i="1"/>
  <c r="BN190" i="1"/>
  <c r="Y196" i="1"/>
  <c r="Y195" i="1"/>
  <c r="BP194" i="1"/>
  <c r="Y200" i="1"/>
  <c r="Y199" i="1"/>
  <c r="BP198" i="1"/>
  <c r="BN198" i="1"/>
  <c r="Z198" i="1"/>
  <c r="Z199" i="1" s="1"/>
  <c r="BP204" i="1"/>
  <c r="BN204" i="1"/>
  <c r="Z204" i="1"/>
  <c r="Y211" i="1"/>
  <c r="Z208" i="1"/>
  <c r="BN208" i="1"/>
  <c r="Z215" i="1"/>
  <c r="Z216" i="1" s="1"/>
  <c r="BN215" i="1"/>
  <c r="BP215" i="1"/>
  <c r="Z219" i="1"/>
  <c r="BN219" i="1"/>
  <c r="BP219" i="1"/>
  <c r="Z223" i="1"/>
  <c r="BN223" i="1"/>
  <c r="Z227" i="1"/>
  <c r="BN227" i="1"/>
  <c r="Z231" i="1"/>
  <c r="BN231" i="1"/>
  <c r="Y242" i="1"/>
  <c r="Z239" i="1"/>
  <c r="BN239" i="1"/>
  <c r="Y248" i="1"/>
  <c r="Z256" i="1"/>
  <c r="BN256" i="1"/>
  <c r="Z260" i="1"/>
  <c r="BN260" i="1"/>
  <c r="BP260" i="1"/>
  <c r="Y263" i="1"/>
  <c r="Y273" i="1"/>
  <c r="Z268" i="1"/>
  <c r="BN268" i="1"/>
  <c r="Z272" i="1"/>
  <c r="BN272" i="1"/>
  <c r="Y289" i="1"/>
  <c r="Z278" i="1"/>
  <c r="BN278" i="1"/>
  <c r="Z282" i="1"/>
  <c r="BN282" i="1"/>
  <c r="Z286" i="1"/>
  <c r="BN286" i="1"/>
  <c r="Z297" i="1"/>
  <c r="BN297" i="1"/>
  <c r="Z301" i="1"/>
  <c r="BN301" i="1"/>
  <c r="Z307" i="1"/>
  <c r="Z308" i="1" s="1"/>
  <c r="BN307" i="1"/>
  <c r="BP307" i="1"/>
  <c r="Y308" i="1"/>
  <c r="Z311" i="1"/>
  <c r="Z312" i="1" s="1"/>
  <c r="BN311" i="1"/>
  <c r="BP311" i="1"/>
  <c r="Y312" i="1"/>
  <c r="Z315" i="1"/>
  <c r="Z316" i="1"/>
  <c r="BN316" i="1"/>
  <c r="Z325" i="1"/>
  <c r="BN325" i="1"/>
  <c r="BP347" i="1"/>
  <c r="BN347" i="1"/>
  <c r="Z347" i="1"/>
  <c r="BP361" i="1"/>
  <c r="BN361" i="1"/>
  <c r="Z361" i="1"/>
  <c r="BP371" i="1"/>
  <c r="BN371" i="1"/>
  <c r="Z371" i="1"/>
  <c r="BP385" i="1"/>
  <c r="BN385" i="1"/>
  <c r="Z385" i="1"/>
  <c r="BP399" i="1"/>
  <c r="BN399" i="1"/>
  <c r="Z399" i="1"/>
  <c r="BP417" i="1"/>
  <c r="BN417" i="1"/>
  <c r="Z417" i="1"/>
  <c r="BP431" i="1"/>
  <c r="BN431" i="1"/>
  <c r="Z431" i="1"/>
  <c r="BP443" i="1"/>
  <c r="BN443" i="1"/>
  <c r="Z443" i="1"/>
  <c r="BP464" i="1"/>
  <c r="BN464" i="1"/>
  <c r="Z464" i="1"/>
  <c r="BP480" i="1"/>
  <c r="BN480" i="1"/>
  <c r="Z480" i="1"/>
  <c r="BP502" i="1"/>
  <c r="BN502" i="1"/>
  <c r="Z502" i="1"/>
  <c r="BP518" i="1"/>
  <c r="BN518" i="1"/>
  <c r="Z518" i="1"/>
  <c r="BP339" i="1"/>
  <c r="BN339" i="1"/>
  <c r="Z339" i="1"/>
  <c r="BP354" i="1"/>
  <c r="BN354" i="1"/>
  <c r="Z354" i="1"/>
  <c r="Y375" i="1"/>
  <c r="BP367" i="1"/>
  <c r="BN367" i="1"/>
  <c r="Z367" i="1"/>
  <c r="Y381" i="1"/>
  <c r="BP377" i="1"/>
  <c r="BN377" i="1"/>
  <c r="Z377" i="1"/>
  <c r="BP393" i="1"/>
  <c r="BN393" i="1"/>
  <c r="Z393" i="1"/>
  <c r="BP405" i="1"/>
  <c r="BN405" i="1"/>
  <c r="Z405" i="1"/>
  <c r="BP427" i="1"/>
  <c r="BN427" i="1"/>
  <c r="Z427" i="1"/>
  <c r="BP437" i="1"/>
  <c r="BN437" i="1"/>
  <c r="Z437" i="1"/>
  <c r="BP454" i="1"/>
  <c r="BN454" i="1"/>
  <c r="Z454" i="1"/>
  <c r="BP472" i="1"/>
  <c r="BN472" i="1"/>
  <c r="Z472" i="1"/>
  <c r="BP498" i="1"/>
  <c r="BN498" i="1"/>
  <c r="Z498" i="1"/>
  <c r="BP510" i="1"/>
  <c r="BN510" i="1"/>
  <c r="Z510" i="1"/>
  <c r="BP544" i="1"/>
  <c r="BN544" i="1"/>
  <c r="Z544" i="1"/>
  <c r="Y395" i="1"/>
  <c r="Y401" i="1"/>
  <c r="Y407" i="1"/>
  <c r="W562" i="1"/>
  <c r="Y439" i="1"/>
  <c r="Y445" i="1"/>
  <c r="Y449" i="1"/>
  <c r="Y466" i="1"/>
  <c r="Y477" i="1"/>
  <c r="Y523" i="1"/>
  <c r="Z62" i="1"/>
  <c r="F9" i="1"/>
  <c r="J9" i="1"/>
  <c r="F10" i="1"/>
  <c r="Z22" i="1"/>
  <c r="Z24" i="1" s="1"/>
  <c r="BN22" i="1"/>
  <c r="BP22" i="1"/>
  <c r="Y25" i="1"/>
  <c r="Z28" i="1"/>
  <c r="Z32" i="1" s="1"/>
  <c r="BN28" i="1"/>
  <c r="BP28" i="1"/>
  <c r="Z30" i="1"/>
  <c r="BN30" i="1"/>
  <c r="C562" i="1"/>
  <c r="Z38" i="1"/>
  <c r="Z43" i="1" s="1"/>
  <c r="BN38" i="1"/>
  <c r="BP38" i="1"/>
  <c r="Z40" i="1"/>
  <c r="BN40" i="1"/>
  <c r="Z42" i="1"/>
  <c r="BN42" i="1"/>
  <c r="Y43" i="1"/>
  <c r="Z48" i="1"/>
  <c r="Z52" i="1" s="1"/>
  <c r="BN48" i="1"/>
  <c r="BP48" i="1"/>
  <c r="Z50" i="1"/>
  <c r="BN50" i="1"/>
  <c r="Y53" i="1"/>
  <c r="E562" i="1"/>
  <c r="Z57" i="1"/>
  <c r="BN57" i="1"/>
  <c r="Z59" i="1"/>
  <c r="BN59" i="1"/>
  <c r="Z61" i="1"/>
  <c r="BN61" i="1"/>
  <c r="Y62" i="1"/>
  <c r="Z65" i="1"/>
  <c r="Z69" i="1" s="1"/>
  <c r="BN65" i="1"/>
  <c r="BP65" i="1"/>
  <c r="Z67" i="1"/>
  <c r="BN67" i="1"/>
  <c r="Y70" i="1"/>
  <c r="Z73" i="1"/>
  <c r="Z74" i="1" s="1"/>
  <c r="BN73" i="1"/>
  <c r="BP73" i="1"/>
  <c r="Z77" i="1"/>
  <c r="Z79" i="1" s="1"/>
  <c r="BN77" i="1"/>
  <c r="BP77" i="1"/>
  <c r="Y80" i="1"/>
  <c r="F562" i="1"/>
  <c r="Y88" i="1"/>
  <c r="Z84" i="1"/>
  <c r="BN84" i="1"/>
  <c r="Z86" i="1"/>
  <c r="BN86" i="1"/>
  <c r="Y87" i="1"/>
  <c r="BP91" i="1"/>
  <c r="BN91" i="1"/>
  <c r="Z91" i="1"/>
  <c r="Z94" i="1" s="1"/>
  <c r="BP100" i="1"/>
  <c r="BN100" i="1"/>
  <c r="Z100" i="1"/>
  <c r="BP104" i="1"/>
  <c r="BN104" i="1"/>
  <c r="Z104" i="1"/>
  <c r="Y113" i="1"/>
  <c r="BP108" i="1"/>
  <c r="BN108" i="1"/>
  <c r="Z108" i="1"/>
  <c r="Z113" i="1" s="1"/>
  <c r="BP112" i="1"/>
  <c r="BN112" i="1"/>
  <c r="Z112" i="1"/>
  <c r="Y114" i="1"/>
  <c r="Y120" i="1"/>
  <c r="Y121" i="1"/>
  <c r="BP116" i="1"/>
  <c r="BN116" i="1"/>
  <c r="Z116" i="1"/>
  <c r="H9" i="1"/>
  <c r="Y24" i="1"/>
  <c r="Y52" i="1"/>
  <c r="Y63" i="1"/>
  <c r="Z87" i="1"/>
  <c r="BP93" i="1"/>
  <c r="BN93" i="1"/>
  <c r="Z93" i="1"/>
  <c r="Y95" i="1"/>
  <c r="G562" i="1"/>
  <c r="Y105" i="1"/>
  <c r="BP98" i="1"/>
  <c r="BN98" i="1"/>
  <c r="Z98" i="1"/>
  <c r="BP102" i="1"/>
  <c r="BN102" i="1"/>
  <c r="Z102" i="1"/>
  <c r="BP110" i="1"/>
  <c r="BN110" i="1"/>
  <c r="Z110" i="1"/>
  <c r="Z118" i="1"/>
  <c r="BN118" i="1"/>
  <c r="H562" i="1"/>
  <c r="Z129" i="1"/>
  <c r="Z131" i="1" s="1"/>
  <c r="BN129" i="1"/>
  <c r="BP129" i="1"/>
  <c r="Y132" i="1"/>
  <c r="Z135" i="1"/>
  <c r="Z138" i="1" s="1"/>
  <c r="BN135" i="1"/>
  <c r="BP135" i="1"/>
  <c r="Z137" i="1"/>
  <c r="BN137" i="1"/>
  <c r="Z141" i="1"/>
  <c r="BN141" i="1"/>
  <c r="BP141" i="1"/>
  <c r="Z143" i="1"/>
  <c r="BN143" i="1"/>
  <c r="Y144" i="1"/>
  <c r="Z148" i="1"/>
  <c r="BN148" i="1"/>
  <c r="BP148" i="1"/>
  <c r="Z150" i="1"/>
  <c r="BN150" i="1"/>
  <c r="Z152" i="1"/>
  <c r="BN152" i="1"/>
  <c r="Z154" i="1"/>
  <c r="BN154" i="1"/>
  <c r="Y155" i="1"/>
  <c r="Z158" i="1"/>
  <c r="Z159" i="1" s="1"/>
  <c r="BN158" i="1"/>
  <c r="BP158" i="1"/>
  <c r="Y159" i="1"/>
  <c r="Z163" i="1"/>
  <c r="BN163" i="1"/>
  <c r="BP163" i="1"/>
  <c r="Z165" i="1"/>
  <c r="BN165" i="1"/>
  <c r="Y166" i="1"/>
  <c r="Z169" i="1"/>
  <c r="Z171" i="1" s="1"/>
  <c r="BN169" i="1"/>
  <c r="BP169" i="1"/>
  <c r="Y172" i="1"/>
  <c r="Z175" i="1"/>
  <c r="BN175" i="1"/>
  <c r="BP175" i="1"/>
  <c r="Z177" i="1"/>
  <c r="BN177" i="1"/>
  <c r="Z179" i="1"/>
  <c r="BN179" i="1"/>
  <c r="Z181" i="1"/>
  <c r="BN181" i="1"/>
  <c r="Z183" i="1"/>
  <c r="BN183" i="1"/>
  <c r="Z189" i="1"/>
  <c r="Z191" i="1" s="1"/>
  <c r="BN189" i="1"/>
  <c r="BP189" i="1"/>
  <c r="K562" i="1"/>
  <c r="Z205" i="1"/>
  <c r="BN205" i="1"/>
  <c r="BP205" i="1"/>
  <c r="Z207" i="1"/>
  <c r="BN207" i="1"/>
  <c r="Z209" i="1"/>
  <c r="BN209" i="1"/>
  <c r="Y212" i="1"/>
  <c r="L562" i="1"/>
  <c r="Y217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Y233" i="1"/>
  <c r="Z236" i="1"/>
  <c r="BN236" i="1"/>
  <c r="BP236" i="1"/>
  <c r="Z238" i="1"/>
  <c r="BN238" i="1"/>
  <c r="Z240" i="1"/>
  <c r="BN240" i="1"/>
  <c r="Y241" i="1"/>
  <c r="BP246" i="1"/>
  <c r="BN246" i="1"/>
  <c r="Z246" i="1"/>
  <c r="Y251" i="1"/>
  <c r="BP250" i="1"/>
  <c r="BN250" i="1"/>
  <c r="Z250" i="1"/>
  <c r="Z251" i="1" s="1"/>
  <c r="Y252" i="1"/>
  <c r="M562" i="1"/>
  <c r="Y258" i="1"/>
  <c r="BP255" i="1"/>
  <c r="BN255" i="1"/>
  <c r="Z255" i="1"/>
  <c r="Z257" i="1" s="1"/>
  <c r="Y156" i="1"/>
  <c r="Y167" i="1"/>
  <c r="Y247" i="1"/>
  <c r="BP244" i="1"/>
  <c r="BN244" i="1"/>
  <c r="Z244" i="1"/>
  <c r="Z262" i="1"/>
  <c r="Z261" i="1"/>
  <c r="BN261" i="1"/>
  <c r="BP261" i="1"/>
  <c r="Z265" i="1"/>
  <c r="Z273" i="1" s="1"/>
  <c r="BN265" i="1"/>
  <c r="BP265" i="1"/>
  <c r="Z267" i="1"/>
  <c r="BN267" i="1"/>
  <c r="Z269" i="1"/>
  <c r="BN269" i="1"/>
  <c r="Z271" i="1"/>
  <c r="BN271" i="1"/>
  <c r="Y274" i="1"/>
  <c r="Z277" i="1"/>
  <c r="BN277" i="1"/>
  <c r="Z279" i="1"/>
  <c r="BN279" i="1"/>
  <c r="Z281" i="1"/>
  <c r="BN281" i="1"/>
  <c r="Z283" i="1"/>
  <c r="BN283" i="1"/>
  <c r="Z285" i="1"/>
  <c r="BN285" i="1"/>
  <c r="Z287" i="1"/>
  <c r="BN287" i="1"/>
  <c r="Y288" i="1"/>
  <c r="Z291" i="1"/>
  <c r="Z293" i="1" s="1"/>
  <c r="BN291" i="1"/>
  <c r="BP291" i="1"/>
  <c r="Y294" i="1"/>
  <c r="O562" i="1"/>
  <c r="Z298" i="1"/>
  <c r="BN298" i="1"/>
  <c r="Z300" i="1"/>
  <c r="BN300" i="1"/>
  <c r="Z302" i="1"/>
  <c r="BN302" i="1"/>
  <c r="Y305" i="1"/>
  <c r="Y318" i="1"/>
  <c r="BP315" i="1"/>
  <c r="BP324" i="1"/>
  <c r="BN324" i="1"/>
  <c r="Z324" i="1"/>
  <c r="BP333" i="1"/>
  <c r="BN333" i="1"/>
  <c r="Z333" i="1"/>
  <c r="Y304" i="1"/>
  <c r="BP317" i="1"/>
  <c r="BN317" i="1"/>
  <c r="Z317" i="1"/>
  <c r="Z318" i="1" s="1"/>
  <c r="Y319" i="1"/>
  <c r="P562" i="1"/>
  <c r="Y327" i="1"/>
  <c r="BP322" i="1"/>
  <c r="BN322" i="1"/>
  <c r="Z322" i="1"/>
  <c r="BP326" i="1"/>
  <c r="BN326" i="1"/>
  <c r="Z326" i="1"/>
  <c r="Y328" i="1"/>
  <c r="Q562" i="1"/>
  <c r="Y334" i="1"/>
  <c r="BP331" i="1"/>
  <c r="BN331" i="1"/>
  <c r="Z331" i="1"/>
  <c r="Y335" i="1"/>
  <c r="Z381" i="1"/>
  <c r="Y344" i="1"/>
  <c r="Y348" i="1"/>
  <c r="Y355" i="1"/>
  <c r="Y364" i="1"/>
  <c r="Y374" i="1"/>
  <c r="Y382" i="1"/>
  <c r="Y388" i="1"/>
  <c r="Y394" i="1"/>
  <c r="Y400" i="1"/>
  <c r="Y406" i="1"/>
  <c r="Y413" i="1"/>
  <c r="Y420" i="1"/>
  <c r="Y432" i="1"/>
  <c r="Y438" i="1"/>
  <c r="Y444" i="1"/>
  <c r="Y450" i="1"/>
  <c r="Y455" i="1"/>
  <c r="Y465" i="1"/>
  <c r="Y481" i="1"/>
  <c r="BP491" i="1"/>
  <c r="BN491" i="1"/>
  <c r="Z491" i="1"/>
  <c r="Y493" i="1"/>
  <c r="AA562" i="1"/>
  <c r="Y506" i="1"/>
  <c r="BP497" i="1"/>
  <c r="BN497" i="1"/>
  <c r="Z497" i="1"/>
  <c r="BP501" i="1"/>
  <c r="BN501" i="1"/>
  <c r="Z501" i="1"/>
  <c r="BP505" i="1"/>
  <c r="BN505" i="1"/>
  <c r="Z505" i="1"/>
  <c r="Y507" i="1"/>
  <c r="Y512" i="1"/>
  <c r="BP509" i="1"/>
  <c r="BN509" i="1"/>
  <c r="Z509" i="1"/>
  <c r="BP517" i="1"/>
  <c r="BN517" i="1"/>
  <c r="Z517" i="1"/>
  <c r="BP521" i="1"/>
  <c r="BN521" i="1"/>
  <c r="Z521" i="1"/>
  <c r="Y528" i="1"/>
  <c r="BP527" i="1"/>
  <c r="BN527" i="1"/>
  <c r="Z527" i="1"/>
  <c r="Z528" i="1" s="1"/>
  <c r="AB562" i="1"/>
  <c r="Y529" i="1"/>
  <c r="Y532" i="1"/>
  <c r="BP531" i="1"/>
  <c r="BN531" i="1"/>
  <c r="Z531" i="1"/>
  <c r="Z532" i="1" s="1"/>
  <c r="Y533" i="1"/>
  <c r="Y536" i="1"/>
  <c r="BP535" i="1"/>
  <c r="BN535" i="1"/>
  <c r="Z535" i="1"/>
  <c r="Z536" i="1" s="1"/>
  <c r="Y537" i="1"/>
  <c r="Y540" i="1"/>
  <c r="BP539" i="1"/>
  <c r="BN539" i="1"/>
  <c r="Z539" i="1"/>
  <c r="Z540" i="1" s="1"/>
  <c r="Y541" i="1"/>
  <c r="Y546" i="1"/>
  <c r="BP543" i="1"/>
  <c r="BN543" i="1"/>
  <c r="Z543" i="1"/>
  <c r="Z545" i="1" s="1"/>
  <c r="Y545" i="1"/>
  <c r="Z338" i="1"/>
  <c r="Z343" i="1" s="1"/>
  <c r="BN338" i="1"/>
  <c r="BP338" i="1"/>
  <c r="Z340" i="1"/>
  <c r="BN340" i="1"/>
  <c r="Z342" i="1"/>
  <c r="BN342" i="1"/>
  <c r="Y343" i="1"/>
  <c r="Z346" i="1"/>
  <c r="Z348" i="1" s="1"/>
  <c r="BN346" i="1"/>
  <c r="BP346" i="1"/>
  <c r="S562" i="1"/>
  <c r="Z353" i="1"/>
  <c r="Z355" i="1" s="1"/>
  <c r="BN353" i="1"/>
  <c r="Y356" i="1"/>
  <c r="T562" i="1"/>
  <c r="Z360" i="1"/>
  <c r="BN360" i="1"/>
  <c r="Z362" i="1"/>
  <c r="BN362" i="1"/>
  <c r="Y365" i="1"/>
  <c r="Z368" i="1"/>
  <c r="BN368" i="1"/>
  <c r="Z370" i="1"/>
  <c r="BN370" i="1"/>
  <c r="Z372" i="1"/>
  <c r="BN372" i="1"/>
  <c r="Z378" i="1"/>
  <c r="BN378" i="1"/>
  <c r="Z380" i="1"/>
  <c r="BN380" i="1"/>
  <c r="Z384" i="1"/>
  <c r="BN384" i="1"/>
  <c r="BP384" i="1"/>
  <c r="Z386" i="1"/>
  <c r="BN386" i="1"/>
  <c r="Z390" i="1"/>
  <c r="Z394" i="1" s="1"/>
  <c r="BN390" i="1"/>
  <c r="BP390" i="1"/>
  <c r="Z392" i="1"/>
  <c r="BN392" i="1"/>
  <c r="Z398" i="1"/>
  <c r="Z400" i="1" s="1"/>
  <c r="BN398" i="1"/>
  <c r="Z404" i="1"/>
  <c r="Z406" i="1" s="1"/>
  <c r="BN404" i="1"/>
  <c r="U562" i="1"/>
  <c r="Z411" i="1"/>
  <c r="Z412" i="1" s="1"/>
  <c r="BN411" i="1"/>
  <c r="Y412" i="1"/>
  <c r="Z416" i="1"/>
  <c r="BN416" i="1"/>
  <c r="BP416" i="1"/>
  <c r="Z418" i="1"/>
  <c r="BN418" i="1"/>
  <c r="Y419" i="1"/>
  <c r="Z424" i="1"/>
  <c r="BN424" i="1"/>
  <c r="BP424" i="1"/>
  <c r="Z426" i="1"/>
  <c r="BN426" i="1"/>
  <c r="Z428" i="1"/>
  <c r="BN428" i="1"/>
  <c r="Z430" i="1"/>
  <c r="BN430" i="1"/>
  <c r="Y433" i="1"/>
  <c r="Z436" i="1"/>
  <c r="Z438" i="1" s="1"/>
  <c r="BN436" i="1"/>
  <c r="Z442" i="1"/>
  <c r="Z444" i="1" s="1"/>
  <c r="BN442" i="1"/>
  <c r="Z448" i="1"/>
  <c r="Z449" i="1" s="1"/>
  <c r="BN448" i="1"/>
  <c r="Z453" i="1"/>
  <c r="Z455" i="1" s="1"/>
  <c r="BN453" i="1"/>
  <c r="BP453" i="1"/>
  <c r="Y456" i="1"/>
  <c r="Z463" i="1"/>
  <c r="Z465" i="1" s="1"/>
  <c r="BN463" i="1"/>
  <c r="Y562" i="1"/>
  <c r="Z471" i="1"/>
  <c r="Z476" i="1" s="1"/>
  <c r="BN471" i="1"/>
  <c r="Z473" i="1"/>
  <c r="BN473" i="1"/>
  <c r="Z475" i="1"/>
  <c r="BN475" i="1"/>
  <c r="Y476" i="1"/>
  <c r="Z479" i="1"/>
  <c r="Z481" i="1" s="1"/>
  <c r="BN479" i="1"/>
  <c r="BP479" i="1"/>
  <c r="Z562" i="1"/>
  <c r="Y487" i="1"/>
  <c r="Y492" i="1"/>
  <c r="BP489" i="1"/>
  <c r="BN489" i="1"/>
  <c r="Z489" i="1"/>
  <c r="BP499" i="1"/>
  <c r="BN499" i="1"/>
  <c r="Z499" i="1"/>
  <c r="BP503" i="1"/>
  <c r="BN503" i="1"/>
  <c r="Z503" i="1"/>
  <c r="BP511" i="1"/>
  <c r="BN511" i="1"/>
  <c r="Z511" i="1"/>
  <c r="Y513" i="1"/>
  <c r="Y522" i="1"/>
  <c r="BP515" i="1"/>
  <c r="BN515" i="1"/>
  <c r="Z515" i="1"/>
  <c r="BP519" i="1"/>
  <c r="BN519" i="1"/>
  <c r="Z519" i="1"/>
  <c r="Z549" i="1"/>
  <c r="Z550" i="1" s="1"/>
  <c r="BN549" i="1"/>
  <c r="BP549" i="1"/>
  <c r="Y550" i="1"/>
  <c r="Y551" i="1"/>
  <c r="Z374" i="1" l="1"/>
  <c r="Z327" i="1"/>
  <c r="Z241" i="1"/>
  <c r="Z211" i="1"/>
  <c r="Z185" i="1"/>
  <c r="Z166" i="1"/>
  <c r="Z155" i="1"/>
  <c r="Z144" i="1"/>
  <c r="Z364" i="1"/>
  <c r="Z304" i="1"/>
  <c r="Z288" i="1"/>
  <c r="Z233" i="1"/>
  <c r="Z506" i="1"/>
  <c r="Y554" i="1"/>
  <c r="Z522" i="1"/>
  <c r="Z492" i="1"/>
  <c r="Z432" i="1"/>
  <c r="Z419" i="1"/>
  <c r="Z387" i="1"/>
  <c r="Z512" i="1"/>
  <c r="Z334" i="1"/>
  <c r="Z247" i="1"/>
  <c r="Z105" i="1"/>
  <c r="Y556" i="1"/>
  <c r="Z120" i="1"/>
  <c r="Y552" i="1"/>
  <c r="Y553" i="1"/>
  <c r="Y555" i="1" s="1"/>
  <c r="Z557" i="1" l="1"/>
</calcChain>
</file>

<file path=xl/sharedStrings.xml><?xml version="1.0" encoding="utf-8"?>
<sst xmlns="http://schemas.openxmlformats.org/spreadsheetml/2006/main" count="2497" uniqueCount="905">
  <si>
    <t xml:space="preserve">  БЛАНК ЗАКАЗА </t>
  </si>
  <si>
    <t>КИ</t>
  </si>
  <si>
    <t>на отгрузку продукции с ООО Трейд-Сервис с</t>
  </si>
  <si>
    <t>20.08.2026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</si>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</sst>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30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758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6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8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6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75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5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30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1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90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80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97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6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18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0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2"/>
  <sheetViews>
    <sheetView showGridLines="0" tabSelected="1" topLeftCell="A470" zoomScaleNormal="100" zoomScaleSheetLayoutView="100" workbookViewId="0">
      <selection activeCell="AA559" sqref="AA559"/>
    </sheetView>
  </sheetViews>
  <sheetFormatPr defaultColWidth="9.140625" defaultRowHeight="12.75" x14ac:dyDescent="0.2"/>
  <cols>
    <col min="1" max="1" width="9.140625" style="62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7" customWidth="1"/>
    <col min="19" max="19" width="6.140625" style="62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7" customWidth="1"/>
    <col min="25" max="25" width="11" style="627" customWidth="1"/>
    <col min="26" max="26" width="10" style="627" customWidth="1"/>
    <col min="27" max="27" width="11.5703125" style="627" customWidth="1"/>
    <col min="28" max="28" width="10.42578125" style="627" customWidth="1"/>
    <col min="29" max="29" width="30" style="62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7" customWidth="1"/>
    <col min="34" max="34" width="9.140625" style="627" customWidth="1"/>
    <col min="35" max="16384" width="9.140625" style="627"/>
  </cols>
  <sheetData>
    <row r="1" spans="1:32" s="623" customFormat="1" ht="45" customHeight="1" x14ac:dyDescent="0.2">
      <c r="A1" s="41"/>
      <c r="B1" s="41"/>
      <c r="C1" s="41"/>
      <c r="D1" s="717" t="s">
        <v>0</v>
      </c>
      <c r="E1" s="662"/>
      <c r="F1" s="662"/>
      <c r="G1" s="12" t="s">
        <v>1</v>
      </c>
      <c r="H1" s="717" t="s">
        <v>2</v>
      </c>
      <c r="I1" s="662"/>
      <c r="J1" s="662"/>
      <c r="K1" s="662"/>
      <c r="L1" s="662"/>
      <c r="M1" s="662"/>
      <c r="N1" s="662"/>
      <c r="O1" s="662"/>
      <c r="P1" s="662"/>
      <c r="Q1" s="662"/>
      <c r="R1" s="661" t="s">
        <v>3</v>
      </c>
      <c r="S1" s="662"/>
      <c r="T1" s="66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3" customFormat="1" ht="23.45" customHeight="1" x14ac:dyDescent="0.2">
      <c r="A5" s="768" t="s">
        <v>7</v>
      </c>
      <c r="B5" s="737"/>
      <c r="C5" s="738"/>
      <c r="D5" s="721"/>
      <c r="E5" s="722"/>
      <c r="F5" s="952" t="s">
        <v>8</v>
      </c>
      <c r="G5" s="738"/>
      <c r="H5" s="721"/>
      <c r="I5" s="891"/>
      <c r="J5" s="891"/>
      <c r="K5" s="891"/>
      <c r="L5" s="891"/>
      <c r="M5" s="722"/>
      <c r="N5" s="58"/>
      <c r="P5" s="24" t="s">
        <v>9</v>
      </c>
      <c r="Q5" s="966">
        <v>46258</v>
      </c>
      <c r="R5" s="765"/>
      <c r="T5" s="818" t="s">
        <v>10</v>
      </c>
      <c r="U5" s="790"/>
      <c r="V5" s="819" t="s">
        <v>11</v>
      </c>
      <c r="W5" s="765"/>
      <c r="AB5" s="51"/>
      <c r="AC5" s="51"/>
      <c r="AD5" s="51"/>
      <c r="AE5" s="51"/>
    </row>
    <row r="6" spans="1:32" s="623" customFormat="1" ht="24" customHeight="1" x14ac:dyDescent="0.2">
      <c r="A6" s="768" t="s">
        <v>12</v>
      </c>
      <c r="B6" s="737"/>
      <c r="C6" s="738"/>
      <c r="D6" s="894"/>
      <c r="E6" s="895"/>
      <c r="F6" s="895"/>
      <c r="G6" s="895"/>
      <c r="H6" s="895"/>
      <c r="I6" s="895"/>
      <c r="J6" s="895"/>
      <c r="K6" s="895"/>
      <c r="L6" s="895"/>
      <c r="M6" s="765"/>
      <c r="N6" s="59"/>
      <c r="P6" s="24" t="s">
        <v>13</v>
      </c>
      <c r="Q6" s="975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4" t="s">
        <v>14</v>
      </c>
      <c r="U6" s="790"/>
      <c r="V6" s="878" t="s">
        <v>15</v>
      </c>
      <c r="W6" s="685"/>
      <c r="AB6" s="51"/>
      <c r="AC6" s="51"/>
      <c r="AD6" s="51"/>
      <c r="AE6" s="51"/>
    </row>
    <row r="7" spans="1:32" s="623" customFormat="1" ht="21.75" hidden="1" customHeight="1" x14ac:dyDescent="0.2">
      <c r="A7" s="55"/>
      <c r="B7" s="55"/>
      <c r="C7" s="55"/>
      <c r="D7" s="691">
        <f>IFERROR(VLOOKUP(DeliveryAddress,Table,3,0),1)</f>
        <v>1</v>
      </c>
      <c r="E7" s="692"/>
      <c r="F7" s="692"/>
      <c r="G7" s="692"/>
      <c r="H7" s="692"/>
      <c r="I7" s="692"/>
      <c r="J7" s="692"/>
      <c r="K7" s="692"/>
      <c r="L7" s="692"/>
      <c r="M7" s="693"/>
      <c r="N7" s="60"/>
      <c r="P7" s="24"/>
      <c r="Q7" s="42"/>
      <c r="R7" s="42"/>
      <c r="T7" s="643"/>
      <c r="U7" s="790"/>
      <c r="V7" s="879"/>
      <c r="W7" s="880"/>
      <c r="AB7" s="51"/>
      <c r="AC7" s="51"/>
      <c r="AD7" s="51"/>
      <c r="AE7" s="51"/>
    </row>
    <row r="8" spans="1:32" s="623" customFormat="1" ht="25.5" customHeight="1" x14ac:dyDescent="0.2">
      <c r="A8" s="992" t="s">
        <v>16</v>
      </c>
      <c r="B8" s="647"/>
      <c r="C8" s="648"/>
      <c r="D8" s="706"/>
      <c r="E8" s="707"/>
      <c r="F8" s="707"/>
      <c r="G8" s="707"/>
      <c r="H8" s="707"/>
      <c r="I8" s="707"/>
      <c r="J8" s="707"/>
      <c r="K8" s="707"/>
      <c r="L8" s="707"/>
      <c r="M8" s="708"/>
      <c r="N8" s="61"/>
      <c r="P8" s="24" t="s">
        <v>17</v>
      </c>
      <c r="Q8" s="778">
        <v>0.41666666666666669</v>
      </c>
      <c r="R8" s="693"/>
      <c r="T8" s="643"/>
      <c r="U8" s="790"/>
      <c r="V8" s="879"/>
      <c r="W8" s="880"/>
      <c r="AB8" s="51"/>
      <c r="AC8" s="51"/>
      <c r="AD8" s="51"/>
      <c r="AE8" s="51"/>
    </row>
    <row r="9" spans="1:32" s="623" customFormat="1" ht="39.950000000000003" customHeight="1" x14ac:dyDescent="0.2">
      <c r="A9" s="79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93"/>
      <c r="E9" s="652"/>
      <c r="F9" s="79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51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21"/>
      <c r="P9" s="26" t="s">
        <v>18</v>
      </c>
      <c r="Q9" s="761"/>
      <c r="R9" s="762"/>
      <c r="T9" s="643"/>
      <c r="U9" s="790"/>
      <c r="V9" s="881"/>
      <c r="W9" s="882"/>
      <c r="X9" s="43"/>
      <c r="Y9" s="43"/>
      <c r="Z9" s="43"/>
      <c r="AA9" s="43"/>
      <c r="AB9" s="51"/>
      <c r="AC9" s="51"/>
      <c r="AD9" s="51"/>
      <c r="AE9" s="51"/>
    </row>
    <row r="10" spans="1:32" s="623" customFormat="1" ht="26.45" customHeight="1" x14ac:dyDescent="0.2">
      <c r="A10" s="79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93"/>
      <c r="E10" s="652"/>
      <c r="F10" s="79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2"/>
      <c r="P10" s="26" t="s">
        <v>19</v>
      </c>
      <c r="Q10" s="825"/>
      <c r="R10" s="826"/>
      <c r="U10" s="24" t="s">
        <v>20</v>
      </c>
      <c r="V10" s="684" t="s">
        <v>21</v>
      </c>
      <c r="W10" s="685"/>
      <c r="X10" s="44"/>
      <c r="Y10" s="44"/>
      <c r="Z10" s="44"/>
      <c r="AA10" s="44"/>
      <c r="AB10" s="51"/>
      <c r="AC10" s="51"/>
      <c r="AD10" s="51"/>
      <c r="AE10" s="51"/>
    </row>
    <row r="11" spans="1:32" s="623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64"/>
      <c r="R11" s="765"/>
      <c r="U11" s="24" t="s">
        <v>24</v>
      </c>
      <c r="V11" s="920" t="s">
        <v>25</v>
      </c>
      <c r="W11" s="762"/>
      <c r="X11" s="45"/>
      <c r="Y11" s="45"/>
      <c r="Z11" s="45"/>
      <c r="AA11" s="45"/>
      <c r="AB11" s="51"/>
      <c r="AC11" s="51"/>
      <c r="AD11" s="51"/>
      <c r="AE11" s="51"/>
    </row>
    <row r="12" spans="1:32" s="623" customFormat="1" ht="18.600000000000001" customHeight="1" x14ac:dyDescent="0.2">
      <c r="A12" s="813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738"/>
      <c r="N12" s="62"/>
      <c r="P12" s="24" t="s">
        <v>27</v>
      </c>
      <c r="Q12" s="778"/>
      <c r="R12" s="693"/>
      <c r="S12" s="23"/>
      <c r="U12" s="24"/>
      <c r="V12" s="662"/>
      <c r="W12" s="643"/>
      <c r="AB12" s="51"/>
      <c r="AC12" s="51"/>
      <c r="AD12" s="51"/>
      <c r="AE12" s="51"/>
    </row>
    <row r="13" spans="1:32" s="623" customFormat="1" ht="23.25" customHeight="1" x14ac:dyDescent="0.2">
      <c r="A13" s="813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738"/>
      <c r="N13" s="62"/>
      <c r="O13" s="26"/>
      <c r="P13" s="26" t="s">
        <v>29</v>
      </c>
      <c r="Q13" s="920"/>
      <c r="R13" s="76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3" customFormat="1" ht="18.600000000000001" customHeight="1" x14ac:dyDescent="0.2">
      <c r="A14" s="813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73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3" customFormat="1" ht="22.5" customHeight="1" x14ac:dyDescent="0.2">
      <c r="A15" s="840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738"/>
      <c r="N15" s="63"/>
      <c r="P15" s="800" t="s">
        <v>32</v>
      </c>
      <c r="Q15" s="662"/>
      <c r="R15" s="662"/>
      <c r="S15" s="662"/>
      <c r="T15" s="66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1"/>
      <c r="Q16" s="801"/>
      <c r="R16" s="801"/>
      <c r="S16" s="801"/>
      <c r="T16" s="8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9" t="s">
        <v>33</v>
      </c>
      <c r="B17" s="679" t="s">
        <v>34</v>
      </c>
      <c r="C17" s="787" t="s">
        <v>35</v>
      </c>
      <c r="D17" s="679" t="s">
        <v>36</v>
      </c>
      <c r="E17" s="744"/>
      <c r="F17" s="679" t="s">
        <v>37</v>
      </c>
      <c r="G17" s="679" t="s">
        <v>38</v>
      </c>
      <c r="H17" s="679" t="s">
        <v>39</v>
      </c>
      <c r="I17" s="679" t="s">
        <v>40</v>
      </c>
      <c r="J17" s="679" t="s">
        <v>41</v>
      </c>
      <c r="K17" s="679" t="s">
        <v>42</v>
      </c>
      <c r="L17" s="679" t="s">
        <v>43</v>
      </c>
      <c r="M17" s="679" t="s">
        <v>44</v>
      </c>
      <c r="N17" s="679" t="s">
        <v>45</v>
      </c>
      <c r="O17" s="679" t="s">
        <v>46</v>
      </c>
      <c r="P17" s="679" t="s">
        <v>47</v>
      </c>
      <c r="Q17" s="743"/>
      <c r="R17" s="743"/>
      <c r="S17" s="743"/>
      <c r="T17" s="744"/>
      <c r="U17" s="991" t="s">
        <v>48</v>
      </c>
      <c r="V17" s="738"/>
      <c r="W17" s="679" t="s">
        <v>49</v>
      </c>
      <c r="X17" s="679" t="s">
        <v>50</v>
      </c>
      <c r="Y17" s="989" t="s">
        <v>51</v>
      </c>
      <c r="Z17" s="889" t="s">
        <v>52</v>
      </c>
      <c r="AA17" s="870" t="s">
        <v>53</v>
      </c>
      <c r="AB17" s="870" t="s">
        <v>54</v>
      </c>
      <c r="AC17" s="870" t="s">
        <v>55</v>
      </c>
      <c r="AD17" s="870" t="s">
        <v>56</v>
      </c>
      <c r="AE17" s="947"/>
      <c r="AF17" s="948"/>
      <c r="AG17" s="66"/>
      <c r="BD17" s="65" t="s">
        <v>57</v>
      </c>
    </row>
    <row r="18" spans="1:68" ht="14.25" customHeight="1" x14ac:dyDescent="0.2">
      <c r="A18" s="680"/>
      <c r="B18" s="680"/>
      <c r="C18" s="680"/>
      <c r="D18" s="745"/>
      <c r="E18" s="747"/>
      <c r="F18" s="680"/>
      <c r="G18" s="680"/>
      <c r="H18" s="680"/>
      <c r="I18" s="680"/>
      <c r="J18" s="680"/>
      <c r="K18" s="680"/>
      <c r="L18" s="680"/>
      <c r="M18" s="680"/>
      <c r="N18" s="680"/>
      <c r="O18" s="680"/>
      <c r="P18" s="745"/>
      <c r="Q18" s="746"/>
      <c r="R18" s="746"/>
      <c r="S18" s="746"/>
      <c r="T18" s="747"/>
      <c r="U18" s="67" t="s">
        <v>58</v>
      </c>
      <c r="V18" s="67" t="s">
        <v>59</v>
      </c>
      <c r="W18" s="680"/>
      <c r="X18" s="680"/>
      <c r="Y18" s="990"/>
      <c r="Z18" s="890"/>
      <c r="AA18" s="871"/>
      <c r="AB18" s="871"/>
      <c r="AC18" s="871"/>
      <c r="AD18" s="949"/>
      <c r="AE18" s="950"/>
      <c r="AF18" s="951"/>
      <c r="AG18" s="66"/>
      <c r="BD18" s="65"/>
    </row>
    <row r="19" spans="1:68" ht="27.75" hidden="1" customHeight="1" x14ac:dyDescent="0.2">
      <c r="A19" s="649" t="s">
        <v>60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48"/>
      <c r="AB19" s="48"/>
      <c r="AC19" s="48"/>
    </row>
    <row r="20" spans="1:68" ht="16.5" hidden="1" customHeight="1" x14ac:dyDescent="0.25">
      <c r="A20" s="677" t="s">
        <v>60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4"/>
      <c r="AB20" s="624"/>
      <c r="AC20" s="624"/>
    </row>
    <row r="21" spans="1:68" ht="14.25" hidden="1" customHeight="1" x14ac:dyDescent="0.25">
      <c r="A21" s="653" t="s">
        <v>61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5"/>
      <c r="AB21" s="625"/>
      <c r="AC21" s="625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33">
        <v>4680115886643</v>
      </c>
      <c r="E22" s="634"/>
      <c r="F22" s="628">
        <v>0.19</v>
      </c>
      <c r="G22" s="32">
        <v>10</v>
      </c>
      <c r="H22" s="628">
        <v>1.9</v>
      </c>
      <c r="I22" s="628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8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66</v>
      </c>
      <c r="X22" s="629">
        <v>0</v>
      </c>
      <c r="Y22" s="63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33">
        <v>4680115889071</v>
      </c>
      <c r="E23" s="634"/>
      <c r="F23" s="628">
        <v>0.3</v>
      </c>
      <c r="G23" s="32">
        <v>6</v>
      </c>
      <c r="H23" s="628">
        <v>1.8</v>
      </c>
      <c r="I23" s="628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66</v>
      </c>
      <c r="X23" s="629">
        <v>0</v>
      </c>
      <c r="Y23" s="63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42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44"/>
      <c r="P24" s="646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1">
        <f>IFERROR(X22/H22,"0")+IFERROR(X23/H23,"0")</f>
        <v>0</v>
      </c>
      <c r="Y24" s="631">
        <f>IFERROR(Y22/H22,"0")+IFERROR(Y23/H23,"0")</f>
        <v>0</v>
      </c>
      <c r="Z24" s="631">
        <f>IFERROR(IF(Z22="",0,Z22),"0")+IFERROR(IF(Z23="",0,Z23),"0")</f>
        <v>0</v>
      </c>
      <c r="AA24" s="632"/>
      <c r="AB24" s="632"/>
      <c r="AC24" s="632"/>
    </row>
    <row r="25" spans="1:68" hidden="1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44"/>
      <c r="P25" s="646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1">
        <f>IFERROR(SUM(X22:X23),"0")</f>
        <v>0</v>
      </c>
      <c r="Y25" s="631">
        <f>IFERROR(SUM(Y22:Y23),"0")</f>
        <v>0</v>
      </c>
      <c r="Z25" s="37"/>
      <c r="AA25" s="632"/>
      <c r="AB25" s="632"/>
      <c r="AC25" s="632"/>
    </row>
    <row r="26" spans="1:68" ht="14.25" hidden="1" customHeight="1" x14ac:dyDescent="0.25">
      <c r="A26" s="653" t="s">
        <v>73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5"/>
      <c r="AB26" s="625"/>
      <c r="AC26" s="625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33">
        <v>4680115885912</v>
      </c>
      <c r="E27" s="634"/>
      <c r="F27" s="628">
        <v>0.3</v>
      </c>
      <c r="G27" s="32">
        <v>6</v>
      </c>
      <c r="H27" s="628">
        <v>1.8</v>
      </c>
      <c r="I27" s="628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6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66</v>
      </c>
      <c r="X27" s="629">
        <v>0</v>
      </c>
      <c r="Y27" s="63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33">
        <v>4607091388237</v>
      </c>
      <c r="E28" s="634"/>
      <c r="F28" s="628">
        <v>0.42</v>
      </c>
      <c r="G28" s="32">
        <v>6</v>
      </c>
      <c r="H28" s="628">
        <v>2.52</v>
      </c>
      <c r="I28" s="628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6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66</v>
      </c>
      <c r="X28" s="629">
        <v>0</v>
      </c>
      <c r="Y28" s="63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33">
        <v>4680115887350</v>
      </c>
      <c r="E29" s="634"/>
      <c r="F29" s="628">
        <v>0.3</v>
      </c>
      <c r="G29" s="32">
        <v>6</v>
      </c>
      <c r="H29" s="628">
        <v>1.8</v>
      </c>
      <c r="I29" s="628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69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66</v>
      </c>
      <c r="X29" s="629">
        <v>0</v>
      </c>
      <c r="Y29" s="63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33">
        <v>4680115885905</v>
      </c>
      <c r="E30" s="634"/>
      <c r="F30" s="628">
        <v>0.3</v>
      </c>
      <c r="G30" s="32">
        <v>6</v>
      </c>
      <c r="H30" s="628">
        <v>1.8</v>
      </c>
      <c r="I30" s="628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66</v>
      </c>
      <c r="X30" s="629">
        <v>0</v>
      </c>
      <c r="Y30" s="63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33">
        <v>4680115887619</v>
      </c>
      <c r="E31" s="634"/>
      <c r="F31" s="628">
        <v>0.33</v>
      </c>
      <c r="G31" s="32">
        <v>6</v>
      </c>
      <c r="H31" s="628">
        <v>1.98</v>
      </c>
      <c r="I31" s="628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66</v>
      </c>
      <c r="X31" s="629">
        <v>0</v>
      </c>
      <c r="Y31" s="630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42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44"/>
      <c r="P32" s="646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1">
        <f>IFERROR(X27/H27,"0")+IFERROR(X28/H28,"0")+IFERROR(X29/H29,"0")+IFERROR(X30/H30,"0")+IFERROR(X31/H31,"0")</f>
        <v>0</v>
      </c>
      <c r="Y32" s="631">
        <f>IFERROR(Y27/H27,"0")+IFERROR(Y28/H28,"0")+IFERROR(Y29/H29,"0")+IFERROR(Y30/H30,"0")+IFERROR(Y31/H31,"0")</f>
        <v>0</v>
      </c>
      <c r="Z32" s="631">
        <f>IFERROR(IF(Z27="",0,Z27),"0")+IFERROR(IF(Z28="",0,Z28),"0")+IFERROR(IF(Z29="",0,Z29),"0")+IFERROR(IF(Z30="",0,Z30),"0")+IFERROR(IF(Z31="",0,Z31),"0")</f>
        <v>0</v>
      </c>
      <c r="AA32" s="632"/>
      <c r="AB32" s="632"/>
      <c r="AC32" s="632"/>
    </row>
    <row r="33" spans="1:68" hidden="1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44"/>
      <c r="P33" s="646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1">
        <f>IFERROR(SUM(X27:X31),"0")</f>
        <v>0</v>
      </c>
      <c r="Y33" s="631">
        <f>IFERROR(SUM(Y27:Y31),"0")</f>
        <v>0</v>
      </c>
      <c r="Z33" s="37"/>
      <c r="AA33" s="632"/>
      <c r="AB33" s="632"/>
      <c r="AC33" s="632"/>
    </row>
    <row r="34" spans="1:68" ht="27.75" hidden="1" customHeight="1" x14ac:dyDescent="0.2">
      <c r="A34" s="649" t="s">
        <v>91</v>
      </c>
      <c r="B34" s="650"/>
      <c r="C34" s="650"/>
      <c r="D34" s="650"/>
      <c r="E34" s="650"/>
      <c r="F34" s="650"/>
      <c r="G34" s="650"/>
      <c r="H34" s="650"/>
      <c r="I34" s="650"/>
      <c r="J34" s="650"/>
      <c r="K34" s="650"/>
      <c r="L34" s="650"/>
      <c r="M34" s="650"/>
      <c r="N34" s="650"/>
      <c r="O34" s="650"/>
      <c r="P34" s="650"/>
      <c r="Q34" s="650"/>
      <c r="R34" s="650"/>
      <c r="S34" s="650"/>
      <c r="T34" s="650"/>
      <c r="U34" s="650"/>
      <c r="V34" s="650"/>
      <c r="W34" s="650"/>
      <c r="X34" s="650"/>
      <c r="Y34" s="650"/>
      <c r="Z34" s="650"/>
      <c r="AA34" s="48"/>
      <c r="AB34" s="48"/>
      <c r="AC34" s="48"/>
    </row>
    <row r="35" spans="1:68" ht="16.5" hidden="1" customHeight="1" x14ac:dyDescent="0.25">
      <c r="A35" s="677" t="s">
        <v>92</v>
      </c>
      <c r="B35" s="643"/>
      <c r="C35" s="643"/>
      <c r="D35" s="643"/>
      <c r="E35" s="643"/>
      <c r="F35" s="643"/>
      <c r="G35" s="643"/>
      <c r="H35" s="643"/>
      <c r="I35" s="643"/>
      <c r="J35" s="643"/>
      <c r="K35" s="643"/>
      <c r="L35" s="643"/>
      <c r="M35" s="643"/>
      <c r="N35" s="643"/>
      <c r="O35" s="643"/>
      <c r="P35" s="643"/>
      <c r="Q35" s="643"/>
      <c r="R35" s="643"/>
      <c r="S35" s="643"/>
      <c r="T35" s="643"/>
      <c r="U35" s="643"/>
      <c r="V35" s="643"/>
      <c r="W35" s="643"/>
      <c r="X35" s="643"/>
      <c r="Y35" s="643"/>
      <c r="Z35" s="643"/>
      <c r="AA35" s="624"/>
      <c r="AB35" s="624"/>
      <c r="AC35" s="624"/>
    </row>
    <row r="36" spans="1:68" ht="14.25" hidden="1" customHeight="1" x14ac:dyDescent="0.25">
      <c r="A36" s="653" t="s">
        <v>73</v>
      </c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43"/>
      <c r="P36" s="643"/>
      <c r="Q36" s="643"/>
      <c r="R36" s="643"/>
      <c r="S36" s="643"/>
      <c r="T36" s="643"/>
      <c r="U36" s="643"/>
      <c r="V36" s="643"/>
      <c r="W36" s="643"/>
      <c r="X36" s="643"/>
      <c r="Y36" s="643"/>
      <c r="Z36" s="643"/>
      <c r="AA36" s="625"/>
      <c r="AB36" s="625"/>
      <c r="AC36" s="625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33">
        <v>4680115889354</v>
      </c>
      <c r="E37" s="634"/>
      <c r="F37" s="628">
        <v>0.32</v>
      </c>
      <c r="G37" s="32">
        <v>6</v>
      </c>
      <c r="H37" s="628">
        <v>1.92</v>
      </c>
      <c r="I37" s="628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36"/>
      <c r="R37" s="636"/>
      <c r="S37" s="636"/>
      <c r="T37" s="637"/>
      <c r="U37" s="34"/>
      <c r="V37" s="34"/>
      <c r="W37" s="35" t="s">
        <v>66</v>
      </c>
      <c r="X37" s="629">
        <v>0</v>
      </c>
      <c r="Y37" s="630">
        <f t="shared" ref="Y37:Y42" si="0">IFERROR(IF(X37="",0,CEILING((X37/$H37),1)*$H37),"")</f>
        <v>0</v>
      </c>
      <c r="Z37" s="36" t="str">
        <f t="shared" ref="Z37:Z42" si="1"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 t="shared" ref="BM37:BM42" si="2">IFERROR(X37*I37/H37,"0")</f>
        <v>0</v>
      </c>
      <c r="BN37" s="64">
        <f t="shared" ref="BN37:BN42" si="3">IFERROR(Y37*I37/H37,"0")</f>
        <v>0</v>
      </c>
      <c r="BO37" s="64">
        <f t="shared" ref="BO37:BO42" si="4">IFERROR(1/J37*(X37/H37),"0")</f>
        <v>0</v>
      </c>
      <c r="BP37" s="64">
        <f t="shared" ref="BP37:BP42" si="5"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33">
        <v>4680115888463</v>
      </c>
      <c r="E38" s="634"/>
      <c r="F38" s="628">
        <v>0.32</v>
      </c>
      <c r="G38" s="32">
        <v>6</v>
      </c>
      <c r="H38" s="628">
        <v>1.92</v>
      </c>
      <c r="I38" s="628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8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36"/>
      <c r="R38" s="636"/>
      <c r="S38" s="636"/>
      <c r="T38" s="637"/>
      <c r="U38" s="34"/>
      <c r="V38" s="34"/>
      <c r="W38" s="35" t="s">
        <v>66</v>
      </c>
      <c r="X38" s="629">
        <v>0</v>
      </c>
      <c r="Y38" s="630">
        <f t="shared" si="0"/>
        <v>0</v>
      </c>
      <c r="Z38" s="36" t="str">
        <f t="shared" si="1"/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 t="shared" si="2"/>
        <v>0</v>
      </c>
      <c r="BN38" s="64">
        <f t="shared" si="3"/>
        <v>0</v>
      </c>
      <c r="BO38" s="64">
        <f t="shared" si="4"/>
        <v>0</v>
      </c>
      <c r="BP38" s="64">
        <f t="shared" si="5"/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33">
        <v>4680115889590</v>
      </c>
      <c r="E39" s="634"/>
      <c r="F39" s="628">
        <v>0.3</v>
      </c>
      <c r="G39" s="32">
        <v>4</v>
      </c>
      <c r="H39" s="628">
        <v>1.2</v>
      </c>
      <c r="I39" s="628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36"/>
      <c r="R39" s="636"/>
      <c r="S39" s="636"/>
      <c r="T39" s="637"/>
      <c r="U39" s="34"/>
      <c r="V39" s="34"/>
      <c r="W39" s="35" t="s">
        <v>66</v>
      </c>
      <c r="X39" s="629">
        <v>0</v>
      </c>
      <c r="Y39" s="630">
        <f t="shared" si="0"/>
        <v>0</v>
      </c>
      <c r="Z39" s="36" t="str">
        <f t="shared" si="1"/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 t="shared" si="2"/>
        <v>0</v>
      </c>
      <c r="BN39" s="64">
        <f t="shared" si="3"/>
        <v>0</v>
      </c>
      <c r="BO39" s="64">
        <f t="shared" si="4"/>
        <v>0</v>
      </c>
      <c r="BP39" s="64">
        <f t="shared" si="5"/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4301052202</v>
      </c>
      <c r="D40" s="633">
        <v>4680115888494</v>
      </c>
      <c r="E40" s="634"/>
      <c r="F40" s="628">
        <v>0.32</v>
      </c>
      <c r="G40" s="32">
        <v>6</v>
      </c>
      <c r="H40" s="628">
        <v>1.92</v>
      </c>
      <c r="I40" s="628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88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636"/>
      <c r="R40" s="636"/>
      <c r="S40" s="636"/>
      <c r="T40" s="637"/>
      <c r="U40" s="34"/>
      <c r="V40" s="34"/>
      <c r="W40" s="35" t="s">
        <v>66</v>
      </c>
      <c r="X40" s="629">
        <v>0</v>
      </c>
      <c r="Y40" s="630">
        <f t="shared" si="0"/>
        <v>0</v>
      </c>
      <c r="Z40" s="36" t="str">
        <f t="shared" si="1"/>
        <v/>
      </c>
      <c r="AA40" s="56"/>
      <c r="AB40" s="57"/>
      <c r="AC40" s="89" t="s">
        <v>101</v>
      </c>
      <c r="AG40" s="64"/>
      <c r="AJ40" s="68"/>
      <c r="AK40" s="68">
        <v>0</v>
      </c>
      <c r="BB40" s="90" t="s">
        <v>1</v>
      </c>
      <c r="BM40" s="64">
        <f t="shared" si="2"/>
        <v>0</v>
      </c>
      <c r="BN40" s="64">
        <f t="shared" si="3"/>
        <v>0</v>
      </c>
      <c r="BO40" s="64">
        <f t="shared" si="4"/>
        <v>0</v>
      </c>
      <c r="BP40" s="64">
        <f t="shared" si="5"/>
        <v>0</v>
      </c>
    </row>
    <row r="41" spans="1:68" ht="27" hidden="1" customHeight="1" x14ac:dyDescent="0.25">
      <c r="A41" s="54" t="s">
        <v>104</v>
      </c>
      <c r="B41" s="54" t="s">
        <v>105</v>
      </c>
      <c r="C41" s="31">
        <v>4301052184</v>
      </c>
      <c r="D41" s="633">
        <v>4680115888272</v>
      </c>
      <c r="E41" s="634"/>
      <c r="F41" s="628">
        <v>0.32</v>
      </c>
      <c r="G41" s="32">
        <v>6</v>
      </c>
      <c r="H41" s="628">
        <v>1.92</v>
      </c>
      <c r="I41" s="628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2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66</v>
      </c>
      <c r="X41" s="629">
        <v>0</v>
      </c>
      <c r="Y41" s="630">
        <f t="shared" si="0"/>
        <v>0</v>
      </c>
      <c r="Z41" s="36" t="str">
        <f t="shared" si="1"/>
        <v/>
      </c>
      <c r="AA41" s="56"/>
      <c r="AB41" s="57"/>
      <c r="AC41" s="91" t="s">
        <v>106</v>
      </c>
      <c r="AG41" s="64"/>
      <c r="AJ41" s="68"/>
      <c r="AK41" s="68">
        <v>0</v>
      </c>
      <c r="BB41" s="92" t="s">
        <v>1</v>
      </c>
      <c r="BM41" s="64">
        <f t="shared" si="2"/>
        <v>0</v>
      </c>
      <c r="BN41" s="64">
        <f t="shared" si="3"/>
        <v>0</v>
      </c>
      <c r="BO41" s="64">
        <f t="shared" si="4"/>
        <v>0</v>
      </c>
      <c r="BP41" s="64">
        <f t="shared" si="5"/>
        <v>0</v>
      </c>
    </row>
    <row r="42" spans="1:68" ht="27" hidden="1" customHeight="1" x14ac:dyDescent="0.25">
      <c r="A42" s="54" t="s">
        <v>107</v>
      </c>
      <c r="B42" s="54" t="s">
        <v>108</v>
      </c>
      <c r="C42" s="31">
        <v>4301052188</v>
      </c>
      <c r="D42" s="633">
        <v>4680115888364</v>
      </c>
      <c r="E42" s="634"/>
      <c r="F42" s="628">
        <v>0.32</v>
      </c>
      <c r="G42" s="32">
        <v>6</v>
      </c>
      <c r="H42" s="628">
        <v>1.92</v>
      </c>
      <c r="I42" s="628">
        <v>2.1</v>
      </c>
      <c r="J42" s="32">
        <v>182</v>
      </c>
      <c r="K42" s="32" t="s">
        <v>76</v>
      </c>
      <c r="L42" s="32"/>
      <c r="M42" s="33" t="s">
        <v>77</v>
      </c>
      <c r="N42" s="33"/>
      <c r="O42" s="32">
        <v>40</v>
      </c>
      <c r="P42" s="72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66</v>
      </c>
      <c r="X42" s="629">
        <v>0</v>
      </c>
      <c r="Y42" s="630">
        <f t="shared" si="0"/>
        <v>0</v>
      </c>
      <c r="Z42" s="36" t="str">
        <f t="shared" si="1"/>
        <v/>
      </c>
      <c r="AA42" s="56"/>
      <c r="AB42" s="57"/>
      <c r="AC42" s="93" t="s">
        <v>109</v>
      </c>
      <c r="AG42" s="64"/>
      <c r="AJ42" s="68"/>
      <c r="AK42" s="68">
        <v>0</v>
      </c>
      <c r="BB42" s="94" t="s">
        <v>1</v>
      </c>
      <c r="BM42" s="64">
        <f t="shared" si="2"/>
        <v>0</v>
      </c>
      <c r="BN42" s="64">
        <f t="shared" si="3"/>
        <v>0</v>
      </c>
      <c r="BO42" s="64">
        <f t="shared" si="4"/>
        <v>0</v>
      </c>
      <c r="BP42" s="64">
        <f t="shared" si="5"/>
        <v>0</v>
      </c>
    </row>
    <row r="43" spans="1:68" hidden="1" x14ac:dyDescent="0.2">
      <c r="A43" s="642"/>
      <c r="B43" s="643"/>
      <c r="C43" s="643"/>
      <c r="D43" s="643"/>
      <c r="E43" s="643"/>
      <c r="F43" s="643"/>
      <c r="G43" s="643"/>
      <c r="H43" s="643"/>
      <c r="I43" s="643"/>
      <c r="J43" s="643"/>
      <c r="K43" s="643"/>
      <c r="L43" s="643"/>
      <c r="M43" s="643"/>
      <c r="N43" s="643"/>
      <c r="O43" s="644"/>
      <c r="P43" s="646" t="s">
        <v>71</v>
      </c>
      <c r="Q43" s="647"/>
      <c r="R43" s="647"/>
      <c r="S43" s="647"/>
      <c r="T43" s="647"/>
      <c r="U43" s="647"/>
      <c r="V43" s="648"/>
      <c r="W43" s="37" t="s">
        <v>72</v>
      </c>
      <c r="X43" s="631">
        <f>IFERROR(X37/H37,"0")+IFERROR(X38/H38,"0")+IFERROR(X39/H39,"0")+IFERROR(X40/H40,"0")+IFERROR(X41/H41,"0")+IFERROR(X42/H42,"0")</f>
        <v>0</v>
      </c>
      <c r="Y43" s="631">
        <f>IFERROR(Y37/H37,"0")+IFERROR(Y38/H38,"0")+IFERROR(Y39/H39,"0")+IFERROR(Y40/H40,"0")+IFERROR(Y41/H41,"0")+IFERROR(Y42/H42,"0")</f>
        <v>0</v>
      </c>
      <c r="Z43" s="631">
        <f>IFERROR(IF(Z37="",0,Z37),"0")+IFERROR(IF(Z38="",0,Z38),"0")+IFERROR(IF(Z39="",0,Z39),"0")+IFERROR(IF(Z40="",0,Z40),"0")+IFERROR(IF(Z41="",0,Z41),"0")+IFERROR(IF(Z42="",0,Z42),"0")</f>
        <v>0</v>
      </c>
      <c r="AA43" s="632"/>
      <c r="AB43" s="632"/>
      <c r="AC43" s="632"/>
    </row>
    <row r="44" spans="1:68" hidden="1" x14ac:dyDescent="0.2">
      <c r="A44" s="643"/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4"/>
      <c r="P44" s="646" t="s">
        <v>71</v>
      </c>
      <c r="Q44" s="647"/>
      <c r="R44" s="647"/>
      <c r="S44" s="647"/>
      <c r="T44" s="647"/>
      <c r="U44" s="647"/>
      <c r="V44" s="648"/>
      <c r="W44" s="37" t="s">
        <v>66</v>
      </c>
      <c r="X44" s="631">
        <f>IFERROR(SUM(X37:X42),"0")</f>
        <v>0</v>
      </c>
      <c r="Y44" s="631">
        <f>IFERROR(SUM(Y37:Y42),"0")</f>
        <v>0</v>
      </c>
      <c r="Z44" s="37"/>
      <c r="AA44" s="632"/>
      <c r="AB44" s="632"/>
      <c r="AC44" s="632"/>
    </row>
    <row r="45" spans="1:68" ht="27.75" hidden="1" customHeight="1" x14ac:dyDescent="0.2">
      <c r="A45" s="649" t="s">
        <v>110</v>
      </c>
      <c r="B45" s="650"/>
      <c r="C45" s="650"/>
      <c r="D45" s="650"/>
      <c r="E45" s="650"/>
      <c r="F45" s="650"/>
      <c r="G45" s="650"/>
      <c r="H45" s="650"/>
      <c r="I45" s="650"/>
      <c r="J45" s="650"/>
      <c r="K45" s="650"/>
      <c r="L45" s="650"/>
      <c r="M45" s="650"/>
      <c r="N45" s="650"/>
      <c r="O45" s="650"/>
      <c r="P45" s="650"/>
      <c r="Q45" s="650"/>
      <c r="R45" s="650"/>
      <c r="S45" s="650"/>
      <c r="T45" s="650"/>
      <c r="U45" s="650"/>
      <c r="V45" s="650"/>
      <c r="W45" s="650"/>
      <c r="X45" s="650"/>
      <c r="Y45" s="650"/>
      <c r="Z45" s="650"/>
      <c r="AA45" s="48"/>
      <c r="AB45" s="48"/>
      <c r="AC45" s="48"/>
    </row>
    <row r="46" spans="1:68" ht="16.5" hidden="1" customHeight="1" x14ac:dyDescent="0.25">
      <c r="A46" s="677" t="s">
        <v>111</v>
      </c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43"/>
      <c r="P46" s="643"/>
      <c r="Q46" s="643"/>
      <c r="R46" s="643"/>
      <c r="S46" s="643"/>
      <c r="T46" s="643"/>
      <c r="U46" s="643"/>
      <c r="V46" s="643"/>
      <c r="W46" s="643"/>
      <c r="X46" s="643"/>
      <c r="Y46" s="643"/>
      <c r="Z46" s="643"/>
      <c r="AA46" s="624"/>
      <c r="AB46" s="624"/>
      <c r="AC46" s="624"/>
    </row>
    <row r="47" spans="1:68" ht="14.25" hidden="1" customHeight="1" x14ac:dyDescent="0.25">
      <c r="A47" s="653" t="s">
        <v>112</v>
      </c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43"/>
      <c r="P47" s="643"/>
      <c r="Q47" s="643"/>
      <c r="R47" s="643"/>
      <c r="S47" s="643"/>
      <c r="T47" s="643"/>
      <c r="U47" s="643"/>
      <c r="V47" s="643"/>
      <c r="W47" s="643"/>
      <c r="X47" s="643"/>
      <c r="Y47" s="643"/>
      <c r="Z47" s="643"/>
      <c r="AA47" s="625"/>
      <c r="AB47" s="625"/>
      <c r="AC47" s="625"/>
    </row>
    <row r="48" spans="1:68" ht="16.5" hidden="1" customHeight="1" x14ac:dyDescent="0.25">
      <c r="A48" s="54" t="s">
        <v>113</v>
      </c>
      <c r="B48" s="54" t="s">
        <v>114</v>
      </c>
      <c r="C48" s="31">
        <v>4301011380</v>
      </c>
      <c r="D48" s="633">
        <v>4607091385670</v>
      </c>
      <c r="E48" s="634"/>
      <c r="F48" s="628">
        <v>1.35</v>
      </c>
      <c r="G48" s="32">
        <v>8</v>
      </c>
      <c r="H48" s="628">
        <v>10.8</v>
      </c>
      <c r="I48" s="628">
        <v>11.21</v>
      </c>
      <c r="J48" s="32">
        <v>64</v>
      </c>
      <c r="K48" s="32" t="s">
        <v>115</v>
      </c>
      <c r="L48" s="32"/>
      <c r="M48" s="33" t="s">
        <v>116</v>
      </c>
      <c r="N48" s="33"/>
      <c r="O48" s="32">
        <v>50</v>
      </c>
      <c r="P48" s="91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636"/>
      <c r="R48" s="636"/>
      <c r="S48" s="636"/>
      <c r="T48" s="637"/>
      <c r="U48" s="34"/>
      <c r="V48" s="34"/>
      <c r="W48" s="35" t="s">
        <v>66</v>
      </c>
      <c r="X48" s="629">
        <v>0</v>
      </c>
      <c r="Y48" s="630">
        <f>IFERROR(IF(X48="",0,CEILING((X48/$H48),1)*$H48),"")</f>
        <v>0</v>
      </c>
      <c r="Z48" s="36" t="str">
        <f>IFERROR(IF(Y48=0,"",ROUNDUP(Y48/H48,0)*0.01898),"")</f>
        <v/>
      </c>
      <c r="AA48" s="56"/>
      <c r="AB48" s="57"/>
      <c r="AC48" s="95" t="s">
        <v>117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118</v>
      </c>
      <c r="B49" s="54" t="s">
        <v>119</v>
      </c>
      <c r="C49" s="31">
        <v>4301012053</v>
      </c>
      <c r="D49" s="633">
        <v>4680115887725</v>
      </c>
      <c r="E49" s="634"/>
      <c r="F49" s="628">
        <v>0.11</v>
      </c>
      <c r="G49" s="32">
        <v>10</v>
      </c>
      <c r="H49" s="628">
        <v>1.1000000000000001</v>
      </c>
      <c r="I49" s="628">
        <v>1.31</v>
      </c>
      <c r="J49" s="32">
        <v>192</v>
      </c>
      <c r="K49" s="32" t="s">
        <v>120</v>
      </c>
      <c r="L49" s="32"/>
      <c r="M49" s="33" t="s">
        <v>65</v>
      </c>
      <c r="N49" s="33"/>
      <c r="O49" s="32">
        <v>30</v>
      </c>
      <c r="P49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636"/>
      <c r="R49" s="636"/>
      <c r="S49" s="636"/>
      <c r="T49" s="637"/>
      <c r="U49" s="34"/>
      <c r="V49" s="34"/>
      <c r="W49" s="35" t="s">
        <v>66</v>
      </c>
      <c r="X49" s="629">
        <v>0</v>
      </c>
      <c r="Y49" s="630">
        <f>IFERROR(IF(X49="",0,CEILING((X49/$H49),1)*$H49),"")</f>
        <v>0</v>
      </c>
      <c r="Z49" s="36" t="str">
        <f>IFERROR(IF(Y49=0,"",ROUNDUP(Y49/H49,0)*0.00726),"")</f>
        <v/>
      </c>
      <c r="AA49" s="56"/>
      <c r="AB49" s="57"/>
      <c r="AC49" s="97" t="s">
        <v>121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122</v>
      </c>
      <c r="B50" s="54" t="s">
        <v>123</v>
      </c>
      <c r="C50" s="31">
        <v>4301011382</v>
      </c>
      <c r="D50" s="633">
        <v>4607091385687</v>
      </c>
      <c r="E50" s="634"/>
      <c r="F50" s="628">
        <v>0.4</v>
      </c>
      <c r="G50" s="32">
        <v>10</v>
      </c>
      <c r="H50" s="628">
        <v>4</v>
      </c>
      <c r="I50" s="628">
        <v>4.1900000000000004</v>
      </c>
      <c r="J50" s="32">
        <v>132</v>
      </c>
      <c r="K50" s="32" t="s">
        <v>124</v>
      </c>
      <c r="L50" s="32"/>
      <c r="M50" s="33" t="s">
        <v>77</v>
      </c>
      <c r="N50" s="33"/>
      <c r="O50" s="32">
        <v>50</v>
      </c>
      <c r="P50" s="7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636"/>
      <c r="R50" s="636"/>
      <c r="S50" s="636"/>
      <c r="T50" s="637"/>
      <c r="U50" s="34"/>
      <c r="V50" s="34"/>
      <c r="W50" s="35" t="s">
        <v>66</v>
      </c>
      <c r="X50" s="629">
        <v>0</v>
      </c>
      <c r="Y50" s="630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117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t="27" hidden="1" customHeight="1" x14ac:dyDescent="0.25">
      <c r="A51" s="54" t="s">
        <v>125</v>
      </c>
      <c r="B51" s="54" t="s">
        <v>126</v>
      </c>
      <c r="C51" s="31">
        <v>4301011565</v>
      </c>
      <c r="D51" s="633">
        <v>4680115882539</v>
      </c>
      <c r="E51" s="634"/>
      <c r="F51" s="628">
        <v>0.37</v>
      </c>
      <c r="G51" s="32">
        <v>10</v>
      </c>
      <c r="H51" s="628">
        <v>3.7</v>
      </c>
      <c r="I51" s="628">
        <v>3.89</v>
      </c>
      <c r="J51" s="32">
        <v>132</v>
      </c>
      <c r="K51" s="32" t="s">
        <v>124</v>
      </c>
      <c r="L51" s="32"/>
      <c r="M51" s="33" t="s">
        <v>77</v>
      </c>
      <c r="N51" s="33"/>
      <c r="O51" s="32">
        <v>50</v>
      </c>
      <c r="P51" s="8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636"/>
      <c r="R51" s="636"/>
      <c r="S51" s="636"/>
      <c r="T51" s="637"/>
      <c r="U51" s="34"/>
      <c r="V51" s="34"/>
      <c r="W51" s="35" t="s">
        <v>66</v>
      </c>
      <c r="X51" s="629">
        <v>0</v>
      </c>
      <c r="Y51" s="630">
        <f>IFERROR(IF(X51="",0,CEILING((X51/$H51),1)*$H51),"")</f>
        <v>0</v>
      </c>
      <c r="Z51" s="36" t="str">
        <f>IFERROR(IF(Y51=0,"",ROUNDUP(Y51/H51,0)*0.00902),"")</f>
        <v/>
      </c>
      <c r="AA51" s="56"/>
      <c r="AB51" s="57"/>
      <c r="AC51" s="101" t="s">
        <v>117</v>
      </c>
      <c r="AG51" s="64"/>
      <c r="AJ51" s="68"/>
      <c r="AK51" s="68">
        <v>0</v>
      </c>
      <c r="BB51" s="102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idden="1" x14ac:dyDescent="0.2">
      <c r="A52" s="642"/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4"/>
      <c r="P52" s="646" t="s">
        <v>71</v>
      </c>
      <c r="Q52" s="647"/>
      <c r="R52" s="647"/>
      <c r="S52" s="647"/>
      <c r="T52" s="647"/>
      <c r="U52" s="647"/>
      <c r="V52" s="648"/>
      <c r="W52" s="37" t="s">
        <v>72</v>
      </c>
      <c r="X52" s="631">
        <f>IFERROR(X48/H48,"0")+IFERROR(X49/H49,"0")+IFERROR(X50/H50,"0")+IFERROR(X51/H51,"0")</f>
        <v>0</v>
      </c>
      <c r="Y52" s="631">
        <f>IFERROR(Y48/H48,"0")+IFERROR(Y49/H49,"0")+IFERROR(Y50/H50,"0")+IFERROR(Y51/H51,"0")</f>
        <v>0</v>
      </c>
      <c r="Z52" s="631">
        <f>IFERROR(IF(Z48="",0,Z48),"0")+IFERROR(IF(Z49="",0,Z49),"0")+IFERROR(IF(Z50="",0,Z50),"0")+IFERROR(IF(Z51="",0,Z51),"0")</f>
        <v>0</v>
      </c>
      <c r="AA52" s="632"/>
      <c r="AB52" s="632"/>
      <c r="AC52" s="632"/>
    </row>
    <row r="53" spans="1:68" hidden="1" x14ac:dyDescent="0.2">
      <c r="A53" s="643"/>
      <c r="B53" s="643"/>
      <c r="C53" s="643"/>
      <c r="D53" s="643"/>
      <c r="E53" s="643"/>
      <c r="F53" s="643"/>
      <c r="G53" s="643"/>
      <c r="H53" s="643"/>
      <c r="I53" s="643"/>
      <c r="J53" s="643"/>
      <c r="K53" s="643"/>
      <c r="L53" s="643"/>
      <c r="M53" s="643"/>
      <c r="N53" s="643"/>
      <c r="O53" s="644"/>
      <c r="P53" s="646" t="s">
        <v>71</v>
      </c>
      <c r="Q53" s="647"/>
      <c r="R53" s="647"/>
      <c r="S53" s="647"/>
      <c r="T53" s="647"/>
      <c r="U53" s="647"/>
      <c r="V53" s="648"/>
      <c r="W53" s="37" t="s">
        <v>66</v>
      </c>
      <c r="X53" s="631">
        <f>IFERROR(SUM(X48:X51),"0")</f>
        <v>0</v>
      </c>
      <c r="Y53" s="631">
        <f>IFERROR(SUM(Y48:Y51),"0")</f>
        <v>0</v>
      </c>
      <c r="Z53" s="37"/>
      <c r="AA53" s="632"/>
      <c r="AB53" s="632"/>
      <c r="AC53" s="632"/>
    </row>
    <row r="54" spans="1:68" ht="16.5" hidden="1" customHeight="1" x14ac:dyDescent="0.25">
      <c r="A54" s="677" t="s">
        <v>127</v>
      </c>
      <c r="B54" s="643"/>
      <c r="C54" s="643"/>
      <c r="D54" s="643"/>
      <c r="E54" s="643"/>
      <c r="F54" s="643"/>
      <c r="G54" s="643"/>
      <c r="H54" s="643"/>
      <c r="I54" s="643"/>
      <c r="J54" s="643"/>
      <c r="K54" s="643"/>
      <c r="L54" s="643"/>
      <c r="M54" s="643"/>
      <c r="N54" s="643"/>
      <c r="O54" s="643"/>
      <c r="P54" s="643"/>
      <c r="Q54" s="643"/>
      <c r="R54" s="643"/>
      <c r="S54" s="643"/>
      <c r="T54" s="643"/>
      <c r="U54" s="643"/>
      <c r="V54" s="643"/>
      <c r="W54" s="643"/>
      <c r="X54" s="643"/>
      <c r="Y54" s="643"/>
      <c r="Z54" s="643"/>
      <c r="AA54" s="624"/>
      <c r="AB54" s="624"/>
      <c r="AC54" s="624"/>
    </row>
    <row r="55" spans="1:68" ht="14.25" hidden="1" customHeight="1" x14ac:dyDescent="0.25">
      <c r="A55" s="653" t="s">
        <v>112</v>
      </c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43"/>
      <c r="P55" s="643"/>
      <c r="Q55" s="643"/>
      <c r="R55" s="643"/>
      <c r="S55" s="643"/>
      <c r="T55" s="643"/>
      <c r="U55" s="643"/>
      <c r="V55" s="643"/>
      <c r="W55" s="643"/>
      <c r="X55" s="643"/>
      <c r="Y55" s="643"/>
      <c r="Z55" s="643"/>
      <c r="AA55" s="625"/>
      <c r="AB55" s="625"/>
      <c r="AC55" s="625"/>
    </row>
    <row r="56" spans="1:68" ht="27" hidden="1" customHeight="1" x14ac:dyDescent="0.25">
      <c r="A56" s="54" t="s">
        <v>128</v>
      </c>
      <c r="B56" s="54" t="s">
        <v>129</v>
      </c>
      <c r="C56" s="31">
        <v>4301012161</v>
      </c>
      <c r="D56" s="633">
        <v>4680115885882</v>
      </c>
      <c r="E56" s="634"/>
      <c r="F56" s="628">
        <v>1.4</v>
      </c>
      <c r="G56" s="32">
        <v>8</v>
      </c>
      <c r="H56" s="628">
        <v>11.2</v>
      </c>
      <c r="I56" s="628">
        <v>11.61</v>
      </c>
      <c r="J56" s="32">
        <v>64</v>
      </c>
      <c r="K56" s="32" t="s">
        <v>115</v>
      </c>
      <c r="L56" s="32"/>
      <c r="M56" s="33" t="s">
        <v>116</v>
      </c>
      <c r="N56" s="33"/>
      <c r="O56" s="32">
        <v>50</v>
      </c>
      <c r="P56" s="68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36"/>
      <c r="R56" s="636"/>
      <c r="S56" s="636"/>
      <c r="T56" s="637"/>
      <c r="U56" s="34"/>
      <c r="V56" s="34"/>
      <c r="W56" s="35" t="s">
        <v>66</v>
      </c>
      <c r="X56" s="629">
        <v>0</v>
      </c>
      <c r="Y56" s="630">
        <f t="shared" ref="Y56:Y61" si="6">IFERROR(IF(X56="",0,CEILING((X56/$H56),1)*$H56),"")</f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ref="BM56:BM61" si="7">IFERROR(X56*I56/H56,"0")</f>
        <v>0</v>
      </c>
      <c r="BN56" s="64">
        <f t="shared" ref="BN56:BN61" si="8">IFERROR(Y56*I56/H56,"0")</f>
        <v>0</v>
      </c>
      <c r="BO56" s="64">
        <f t="shared" ref="BO56:BO61" si="9">IFERROR(1/J56*(X56/H56),"0")</f>
        <v>0</v>
      </c>
      <c r="BP56" s="64">
        <f t="shared" ref="BP56:BP61" si="10">IFERROR(1/J56*(Y56/H56),"0")</f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33">
        <v>4680115881426</v>
      </c>
      <c r="E57" s="634"/>
      <c r="F57" s="628">
        <v>1.35</v>
      </c>
      <c r="G57" s="32">
        <v>8</v>
      </c>
      <c r="H57" s="628">
        <v>10.8</v>
      </c>
      <c r="I57" s="628">
        <v>11.21</v>
      </c>
      <c r="J57" s="32">
        <v>64</v>
      </c>
      <c r="K57" s="32" t="s">
        <v>115</v>
      </c>
      <c r="L57" s="32"/>
      <c r="M57" s="33" t="s">
        <v>116</v>
      </c>
      <c r="N57" s="33"/>
      <c r="O57" s="32">
        <v>50</v>
      </c>
      <c r="P57" s="95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36"/>
      <c r="R57" s="636"/>
      <c r="S57" s="636"/>
      <c r="T57" s="637"/>
      <c r="U57" s="34"/>
      <c r="V57" s="34"/>
      <c r="W57" s="35" t="s">
        <v>66</v>
      </c>
      <c r="X57" s="629">
        <v>0</v>
      </c>
      <c r="Y57" s="630">
        <f t="shared" si="6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7"/>
        <v>0</v>
      </c>
      <c r="BN57" s="64">
        <f t="shared" si="8"/>
        <v>0</v>
      </c>
      <c r="BO57" s="64">
        <f t="shared" si="9"/>
        <v>0</v>
      </c>
      <c r="BP57" s="64">
        <f t="shared" si="10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33">
        <v>4680115880283</v>
      </c>
      <c r="E58" s="634"/>
      <c r="F58" s="628">
        <v>0.6</v>
      </c>
      <c r="G58" s="32">
        <v>8</v>
      </c>
      <c r="H58" s="628">
        <v>4.8</v>
      </c>
      <c r="I58" s="628">
        <v>4.99</v>
      </c>
      <c r="J58" s="32">
        <v>132</v>
      </c>
      <c r="K58" s="32" t="s">
        <v>124</v>
      </c>
      <c r="L58" s="32"/>
      <c r="M58" s="33" t="s">
        <v>116</v>
      </c>
      <c r="N58" s="33"/>
      <c r="O58" s="32">
        <v>45</v>
      </c>
      <c r="P58" s="100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36"/>
      <c r="R58" s="636"/>
      <c r="S58" s="636"/>
      <c r="T58" s="637"/>
      <c r="U58" s="34"/>
      <c r="V58" s="34"/>
      <c r="W58" s="35" t="s">
        <v>66</v>
      </c>
      <c r="X58" s="629">
        <v>0</v>
      </c>
      <c r="Y58" s="630">
        <f t="shared" si="6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7"/>
        <v>0</v>
      </c>
      <c r="BN58" s="64">
        <f t="shared" si="8"/>
        <v>0</v>
      </c>
      <c r="BO58" s="64">
        <f t="shared" si="9"/>
        <v>0</v>
      </c>
      <c r="BP58" s="64">
        <f t="shared" si="10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33">
        <v>4680115881525</v>
      </c>
      <c r="E59" s="634"/>
      <c r="F59" s="628">
        <v>0.4</v>
      </c>
      <c r="G59" s="32">
        <v>10</v>
      </c>
      <c r="H59" s="628">
        <v>4</v>
      </c>
      <c r="I59" s="628">
        <v>4.1900000000000004</v>
      </c>
      <c r="J59" s="32">
        <v>132</v>
      </c>
      <c r="K59" s="32" t="s">
        <v>124</v>
      </c>
      <c r="L59" s="32"/>
      <c r="M59" s="33" t="s">
        <v>116</v>
      </c>
      <c r="N59" s="33"/>
      <c r="O59" s="32">
        <v>50</v>
      </c>
      <c r="P59" s="90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36"/>
      <c r="R59" s="636"/>
      <c r="S59" s="636"/>
      <c r="T59" s="637"/>
      <c r="U59" s="34"/>
      <c r="V59" s="34"/>
      <c r="W59" s="35" t="s">
        <v>66</v>
      </c>
      <c r="X59" s="629">
        <v>8</v>
      </c>
      <c r="Y59" s="630">
        <f t="shared" si="6"/>
        <v>8</v>
      </c>
      <c r="Z59" s="36">
        <f>IFERROR(IF(Y59=0,"",ROUNDUP(Y59/H59,0)*0.00902),"")</f>
        <v>1.804E-2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7"/>
        <v>8.3800000000000008</v>
      </c>
      <c r="BN59" s="64">
        <f t="shared" si="8"/>
        <v>8.3800000000000008</v>
      </c>
      <c r="BO59" s="64">
        <f t="shared" si="9"/>
        <v>1.5151515151515152E-2</v>
      </c>
      <c r="BP59" s="64">
        <f t="shared" si="10"/>
        <v>1.5151515151515152E-2</v>
      </c>
    </row>
    <row r="60" spans="1:68" ht="27" hidden="1" customHeight="1" x14ac:dyDescent="0.25">
      <c r="A60" s="54" t="s">
        <v>140</v>
      </c>
      <c r="B60" s="54" t="s">
        <v>141</v>
      </c>
      <c r="C60" s="31">
        <v>4301012165</v>
      </c>
      <c r="D60" s="633">
        <v>4680115885899</v>
      </c>
      <c r="E60" s="634"/>
      <c r="F60" s="628">
        <v>0.35</v>
      </c>
      <c r="G60" s="32">
        <v>6</v>
      </c>
      <c r="H60" s="628">
        <v>2.1</v>
      </c>
      <c r="I60" s="628">
        <v>2.2799999999999998</v>
      </c>
      <c r="J60" s="32">
        <v>182</v>
      </c>
      <c r="K60" s="32" t="s">
        <v>76</v>
      </c>
      <c r="L60" s="32"/>
      <c r="M60" s="33" t="s">
        <v>116</v>
      </c>
      <c r="N60" s="33"/>
      <c r="O60" s="32">
        <v>50</v>
      </c>
      <c r="P60" s="98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36"/>
      <c r="R60" s="636"/>
      <c r="S60" s="636"/>
      <c r="T60" s="637"/>
      <c r="U60" s="34"/>
      <c r="V60" s="34"/>
      <c r="W60" s="35" t="s">
        <v>66</v>
      </c>
      <c r="X60" s="629">
        <v>0</v>
      </c>
      <c r="Y60" s="630">
        <f t="shared" si="6"/>
        <v>0</v>
      </c>
      <c r="Z60" s="36" t="str">
        <f>IFERROR(IF(Y60=0,"",ROUNDUP(Y60/H60,0)*0.00651),"")</f>
        <v/>
      </c>
      <c r="AA60" s="56"/>
      <c r="AB60" s="57"/>
      <c r="AC60" s="111" t="s">
        <v>130</v>
      </c>
      <c r="AG60" s="64"/>
      <c r="AJ60" s="68"/>
      <c r="AK60" s="68">
        <v>0</v>
      </c>
      <c r="BB60" s="112" t="s">
        <v>1</v>
      </c>
      <c r="BM60" s="64">
        <f t="shared" si="7"/>
        <v>0</v>
      </c>
      <c r="BN60" s="64">
        <f t="shared" si="8"/>
        <v>0</v>
      </c>
      <c r="BO60" s="64">
        <f t="shared" si="9"/>
        <v>0</v>
      </c>
      <c r="BP60" s="64">
        <f t="shared" si="10"/>
        <v>0</v>
      </c>
    </row>
    <row r="61" spans="1:68" ht="37.5" customHeight="1" x14ac:dyDescent="0.25">
      <c r="A61" s="54" t="s">
        <v>142</v>
      </c>
      <c r="B61" s="54" t="s">
        <v>143</v>
      </c>
      <c r="C61" s="31">
        <v>4301011801</v>
      </c>
      <c r="D61" s="633">
        <v>4680115881419</v>
      </c>
      <c r="E61" s="634"/>
      <c r="F61" s="628">
        <v>0.45</v>
      </c>
      <c r="G61" s="32">
        <v>10</v>
      </c>
      <c r="H61" s="628">
        <v>4.5</v>
      </c>
      <c r="I61" s="628">
        <v>4.6900000000000004</v>
      </c>
      <c r="J61" s="32">
        <v>132</v>
      </c>
      <c r="K61" s="32" t="s">
        <v>124</v>
      </c>
      <c r="L61" s="32"/>
      <c r="M61" s="33" t="s">
        <v>116</v>
      </c>
      <c r="N61" s="33"/>
      <c r="O61" s="32">
        <v>50</v>
      </c>
      <c r="P61" s="91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36"/>
      <c r="R61" s="636"/>
      <c r="S61" s="636"/>
      <c r="T61" s="637"/>
      <c r="U61" s="34"/>
      <c r="V61" s="34"/>
      <c r="W61" s="35" t="s">
        <v>66</v>
      </c>
      <c r="X61" s="629">
        <v>62</v>
      </c>
      <c r="Y61" s="630">
        <f t="shared" si="6"/>
        <v>63</v>
      </c>
      <c r="Z61" s="36">
        <f>IFERROR(IF(Y61=0,"",ROUNDUP(Y61/H61,0)*0.00902),"")</f>
        <v>0.12628</v>
      </c>
      <c r="AA61" s="56"/>
      <c r="AB61" s="57"/>
      <c r="AC61" s="113" t="s">
        <v>144</v>
      </c>
      <c r="AG61" s="64"/>
      <c r="AJ61" s="68"/>
      <c r="AK61" s="68">
        <v>0</v>
      </c>
      <c r="BB61" s="114" t="s">
        <v>1</v>
      </c>
      <c r="BM61" s="64">
        <f t="shared" si="7"/>
        <v>64.617777777777789</v>
      </c>
      <c r="BN61" s="64">
        <f t="shared" si="8"/>
        <v>65.660000000000011</v>
      </c>
      <c r="BO61" s="64">
        <f t="shared" si="9"/>
        <v>0.10437710437710439</v>
      </c>
      <c r="BP61" s="64">
        <f t="shared" si="10"/>
        <v>0.10606060606060606</v>
      </c>
    </row>
    <row r="62" spans="1:68" x14ac:dyDescent="0.2">
      <c r="A62" s="642"/>
      <c r="B62" s="643"/>
      <c r="C62" s="643"/>
      <c r="D62" s="643"/>
      <c r="E62" s="643"/>
      <c r="F62" s="643"/>
      <c r="G62" s="643"/>
      <c r="H62" s="643"/>
      <c r="I62" s="643"/>
      <c r="J62" s="643"/>
      <c r="K62" s="643"/>
      <c r="L62" s="643"/>
      <c r="M62" s="643"/>
      <c r="N62" s="643"/>
      <c r="O62" s="644"/>
      <c r="P62" s="646" t="s">
        <v>71</v>
      </c>
      <c r="Q62" s="647"/>
      <c r="R62" s="647"/>
      <c r="S62" s="647"/>
      <c r="T62" s="647"/>
      <c r="U62" s="647"/>
      <c r="V62" s="648"/>
      <c r="W62" s="37" t="s">
        <v>72</v>
      </c>
      <c r="X62" s="631">
        <f>IFERROR(X56/H56,"0")+IFERROR(X57/H57,"0")+IFERROR(X58/H58,"0")+IFERROR(X59/H59,"0")+IFERROR(X60/H60,"0")+IFERROR(X61/H61,"0")</f>
        <v>15.777777777777779</v>
      </c>
      <c r="Y62" s="631">
        <f>IFERROR(Y56/H56,"0")+IFERROR(Y57/H57,"0")+IFERROR(Y58/H58,"0")+IFERROR(Y59/H59,"0")+IFERROR(Y60/H60,"0")+IFERROR(Y61/H61,"0")</f>
        <v>16</v>
      </c>
      <c r="Z62" s="631">
        <f>IFERROR(IF(Z56="",0,Z56),"0")+IFERROR(IF(Z57="",0,Z57),"0")+IFERROR(IF(Z58="",0,Z58),"0")+IFERROR(IF(Z59="",0,Z59),"0")+IFERROR(IF(Z60="",0,Z60),"0")+IFERROR(IF(Z61="",0,Z61),"0")</f>
        <v>0.14432</v>
      </c>
      <c r="AA62" s="632"/>
      <c r="AB62" s="632"/>
      <c r="AC62" s="632"/>
    </row>
    <row r="63" spans="1:68" x14ac:dyDescent="0.2">
      <c r="A63" s="643"/>
      <c r="B63" s="643"/>
      <c r="C63" s="643"/>
      <c r="D63" s="643"/>
      <c r="E63" s="643"/>
      <c r="F63" s="643"/>
      <c r="G63" s="643"/>
      <c r="H63" s="643"/>
      <c r="I63" s="643"/>
      <c r="J63" s="643"/>
      <c r="K63" s="643"/>
      <c r="L63" s="643"/>
      <c r="M63" s="643"/>
      <c r="N63" s="643"/>
      <c r="O63" s="644"/>
      <c r="P63" s="646" t="s">
        <v>71</v>
      </c>
      <c r="Q63" s="647"/>
      <c r="R63" s="647"/>
      <c r="S63" s="647"/>
      <c r="T63" s="647"/>
      <c r="U63" s="647"/>
      <c r="V63" s="648"/>
      <c r="W63" s="37" t="s">
        <v>66</v>
      </c>
      <c r="X63" s="631">
        <f>IFERROR(SUM(X56:X61),"0")</f>
        <v>70</v>
      </c>
      <c r="Y63" s="631">
        <f>IFERROR(SUM(Y56:Y61),"0")</f>
        <v>71</v>
      </c>
      <c r="Z63" s="37"/>
      <c r="AA63" s="632"/>
      <c r="AB63" s="632"/>
      <c r="AC63" s="632"/>
    </row>
    <row r="64" spans="1:68" ht="14.25" hidden="1" customHeight="1" x14ac:dyDescent="0.25">
      <c r="A64" s="653" t="s">
        <v>145</v>
      </c>
      <c r="B64" s="643"/>
      <c r="C64" s="643"/>
      <c r="D64" s="643"/>
      <c r="E64" s="643"/>
      <c r="F64" s="643"/>
      <c r="G64" s="643"/>
      <c r="H64" s="643"/>
      <c r="I64" s="643"/>
      <c r="J64" s="643"/>
      <c r="K64" s="643"/>
      <c r="L64" s="643"/>
      <c r="M64" s="643"/>
      <c r="N64" s="643"/>
      <c r="O64" s="643"/>
      <c r="P64" s="643"/>
      <c r="Q64" s="643"/>
      <c r="R64" s="643"/>
      <c r="S64" s="643"/>
      <c r="T64" s="643"/>
      <c r="U64" s="643"/>
      <c r="V64" s="643"/>
      <c r="W64" s="643"/>
      <c r="X64" s="643"/>
      <c r="Y64" s="643"/>
      <c r="Z64" s="643"/>
      <c r="AA64" s="625"/>
      <c r="AB64" s="625"/>
      <c r="AC64" s="625"/>
    </row>
    <row r="65" spans="1:68" ht="16.5" hidden="1" customHeight="1" x14ac:dyDescent="0.25">
      <c r="A65" s="54" t="s">
        <v>146</v>
      </c>
      <c r="B65" s="54" t="s">
        <v>147</v>
      </c>
      <c r="C65" s="31">
        <v>4301020298</v>
      </c>
      <c r="D65" s="633">
        <v>4680115881440</v>
      </c>
      <c r="E65" s="634"/>
      <c r="F65" s="628">
        <v>1.35</v>
      </c>
      <c r="G65" s="32">
        <v>8</v>
      </c>
      <c r="H65" s="628">
        <v>10.8</v>
      </c>
      <c r="I65" s="628">
        <v>11.21</v>
      </c>
      <c r="J65" s="32">
        <v>64</v>
      </c>
      <c r="K65" s="32" t="s">
        <v>115</v>
      </c>
      <c r="L65" s="32"/>
      <c r="M65" s="33" t="s">
        <v>116</v>
      </c>
      <c r="N65" s="33"/>
      <c r="O65" s="32">
        <v>50</v>
      </c>
      <c r="P65" s="97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36"/>
      <c r="R65" s="636"/>
      <c r="S65" s="636"/>
      <c r="T65" s="637"/>
      <c r="U65" s="34"/>
      <c r="V65" s="34"/>
      <c r="W65" s="35" t="s">
        <v>66</v>
      </c>
      <c r="X65" s="629">
        <v>0</v>
      </c>
      <c r="Y65" s="630">
        <f>IFERROR(IF(X65="",0,CEILING((X65/$H65),1)*$H65),"")</f>
        <v>0</v>
      </c>
      <c r="Z65" s="36" t="str">
        <f>IFERROR(IF(Y65=0,"",ROUNDUP(Y65/H65,0)*0.01898),"")</f>
        <v/>
      </c>
      <c r="AA65" s="56"/>
      <c r="AB65" s="57"/>
      <c r="AC65" s="115" t="s">
        <v>148</v>
      </c>
      <c r="AG65" s="64"/>
      <c r="AJ65" s="68"/>
      <c r="AK65" s="68">
        <v>0</v>
      </c>
      <c r="BB65" s="116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16.5" hidden="1" customHeight="1" x14ac:dyDescent="0.25">
      <c r="A66" s="54" t="s">
        <v>149</v>
      </c>
      <c r="B66" s="54" t="s">
        <v>150</v>
      </c>
      <c r="C66" s="31">
        <v>4301020358</v>
      </c>
      <c r="D66" s="633">
        <v>4680115885950</v>
      </c>
      <c r="E66" s="634"/>
      <c r="F66" s="628">
        <v>0.37</v>
      </c>
      <c r="G66" s="32">
        <v>6</v>
      </c>
      <c r="H66" s="628">
        <v>2.2200000000000002</v>
      </c>
      <c r="I66" s="628">
        <v>2.4</v>
      </c>
      <c r="J66" s="32">
        <v>182</v>
      </c>
      <c r="K66" s="32" t="s">
        <v>76</v>
      </c>
      <c r="L66" s="32"/>
      <c r="M66" s="33" t="s">
        <v>77</v>
      </c>
      <c r="N66" s="33"/>
      <c r="O66" s="32">
        <v>50</v>
      </c>
      <c r="P66" s="79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36"/>
      <c r="R66" s="636"/>
      <c r="S66" s="636"/>
      <c r="T66" s="637"/>
      <c r="U66" s="34"/>
      <c r="V66" s="34"/>
      <c r="W66" s="35" t="s">
        <v>66</v>
      </c>
      <c r="X66" s="629">
        <v>0</v>
      </c>
      <c r="Y66" s="630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148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151</v>
      </c>
      <c r="B67" s="54" t="s">
        <v>152</v>
      </c>
      <c r="C67" s="31">
        <v>4301020371</v>
      </c>
      <c r="D67" s="633">
        <v>4680115887688</v>
      </c>
      <c r="E67" s="634"/>
      <c r="F67" s="628">
        <v>0.1</v>
      </c>
      <c r="G67" s="32">
        <v>10</v>
      </c>
      <c r="H67" s="628">
        <v>1</v>
      </c>
      <c r="I67" s="628">
        <v>1.21</v>
      </c>
      <c r="J67" s="32">
        <v>192</v>
      </c>
      <c r="K67" s="32" t="s">
        <v>120</v>
      </c>
      <c r="L67" s="32"/>
      <c r="M67" s="33" t="s">
        <v>65</v>
      </c>
      <c r="N67" s="33"/>
      <c r="O67" s="32">
        <v>30</v>
      </c>
      <c r="P67" s="95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36"/>
      <c r="R67" s="636"/>
      <c r="S67" s="636"/>
      <c r="T67" s="637"/>
      <c r="U67" s="34"/>
      <c r="V67" s="34"/>
      <c r="W67" s="35" t="s">
        <v>66</v>
      </c>
      <c r="X67" s="629">
        <v>0</v>
      </c>
      <c r="Y67" s="630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153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154</v>
      </c>
      <c r="B68" s="54" t="s">
        <v>155</v>
      </c>
      <c r="C68" s="31">
        <v>4301020296</v>
      </c>
      <c r="D68" s="633">
        <v>4680115881433</v>
      </c>
      <c r="E68" s="634"/>
      <c r="F68" s="628">
        <v>0.45</v>
      </c>
      <c r="G68" s="32">
        <v>6</v>
      </c>
      <c r="H68" s="628">
        <v>2.7</v>
      </c>
      <c r="I68" s="628">
        <v>2.88</v>
      </c>
      <c r="J68" s="32">
        <v>182</v>
      </c>
      <c r="K68" s="32" t="s">
        <v>76</v>
      </c>
      <c r="L68" s="32"/>
      <c r="M68" s="33" t="s">
        <v>116</v>
      </c>
      <c r="N68" s="33"/>
      <c r="O68" s="32">
        <v>50</v>
      </c>
      <c r="P68" s="79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36"/>
      <c r="R68" s="636"/>
      <c r="S68" s="636"/>
      <c r="T68" s="637"/>
      <c r="U68" s="34"/>
      <c r="V68" s="34"/>
      <c r="W68" s="35" t="s">
        <v>66</v>
      </c>
      <c r="X68" s="629">
        <v>0</v>
      </c>
      <c r="Y68" s="630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148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642"/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4"/>
      <c r="P69" s="646" t="s">
        <v>71</v>
      </c>
      <c r="Q69" s="647"/>
      <c r="R69" s="647"/>
      <c r="S69" s="647"/>
      <c r="T69" s="647"/>
      <c r="U69" s="647"/>
      <c r="V69" s="648"/>
      <c r="W69" s="37" t="s">
        <v>72</v>
      </c>
      <c r="X69" s="631">
        <f>IFERROR(X65/H65,"0")+IFERROR(X66/H66,"0")+IFERROR(X67/H67,"0")+IFERROR(X68/H68,"0")</f>
        <v>0</v>
      </c>
      <c r="Y69" s="631">
        <f>IFERROR(Y65/H65,"0")+IFERROR(Y66/H66,"0")+IFERROR(Y67/H67,"0")+IFERROR(Y68/H68,"0")</f>
        <v>0</v>
      </c>
      <c r="Z69" s="631">
        <f>IFERROR(IF(Z65="",0,Z65),"0")+IFERROR(IF(Z66="",0,Z66),"0")+IFERROR(IF(Z67="",0,Z67),"0")+IFERROR(IF(Z68="",0,Z68),"0")</f>
        <v>0</v>
      </c>
      <c r="AA69" s="632"/>
      <c r="AB69" s="632"/>
      <c r="AC69" s="632"/>
    </row>
    <row r="70" spans="1:68" hidden="1" x14ac:dyDescent="0.2">
      <c r="A70" s="643"/>
      <c r="B70" s="643"/>
      <c r="C70" s="643"/>
      <c r="D70" s="643"/>
      <c r="E70" s="643"/>
      <c r="F70" s="643"/>
      <c r="G70" s="643"/>
      <c r="H70" s="643"/>
      <c r="I70" s="643"/>
      <c r="J70" s="643"/>
      <c r="K70" s="643"/>
      <c r="L70" s="643"/>
      <c r="M70" s="643"/>
      <c r="N70" s="643"/>
      <c r="O70" s="644"/>
      <c r="P70" s="646" t="s">
        <v>71</v>
      </c>
      <c r="Q70" s="647"/>
      <c r="R70" s="647"/>
      <c r="S70" s="647"/>
      <c r="T70" s="647"/>
      <c r="U70" s="647"/>
      <c r="V70" s="648"/>
      <c r="W70" s="37" t="s">
        <v>66</v>
      </c>
      <c r="X70" s="631">
        <f>IFERROR(SUM(X65:X68),"0")</f>
        <v>0</v>
      </c>
      <c r="Y70" s="631">
        <f>IFERROR(SUM(Y65:Y68),"0")</f>
        <v>0</v>
      </c>
      <c r="Z70" s="37"/>
      <c r="AA70" s="632"/>
      <c r="AB70" s="632"/>
      <c r="AC70" s="632"/>
    </row>
    <row r="71" spans="1:68" ht="14.25" hidden="1" customHeight="1" x14ac:dyDescent="0.25">
      <c r="A71" s="653" t="s">
        <v>73</v>
      </c>
      <c r="B71" s="643"/>
      <c r="C71" s="643"/>
      <c r="D71" s="643"/>
      <c r="E71" s="643"/>
      <c r="F71" s="643"/>
      <c r="G71" s="643"/>
      <c r="H71" s="643"/>
      <c r="I71" s="643"/>
      <c r="J71" s="643"/>
      <c r="K71" s="643"/>
      <c r="L71" s="643"/>
      <c r="M71" s="643"/>
      <c r="N71" s="643"/>
      <c r="O71" s="643"/>
      <c r="P71" s="643"/>
      <c r="Q71" s="643"/>
      <c r="R71" s="643"/>
      <c r="S71" s="643"/>
      <c r="T71" s="643"/>
      <c r="U71" s="643"/>
      <c r="V71" s="643"/>
      <c r="W71" s="643"/>
      <c r="X71" s="643"/>
      <c r="Y71" s="643"/>
      <c r="Z71" s="643"/>
      <c r="AA71" s="625"/>
      <c r="AB71" s="625"/>
      <c r="AC71" s="625"/>
    </row>
    <row r="72" spans="1:68" ht="16.5" hidden="1" customHeight="1" x14ac:dyDescent="0.25">
      <c r="A72" s="54" t="s">
        <v>156</v>
      </c>
      <c r="B72" s="54" t="s">
        <v>157</v>
      </c>
      <c r="C72" s="31">
        <v>4301051837</v>
      </c>
      <c r="D72" s="633">
        <v>4680115884311</v>
      </c>
      <c r="E72" s="634"/>
      <c r="F72" s="628">
        <v>0.3</v>
      </c>
      <c r="G72" s="32">
        <v>6</v>
      </c>
      <c r="H72" s="628">
        <v>1.8</v>
      </c>
      <c r="I72" s="628">
        <v>2.0459999999999998</v>
      </c>
      <c r="J72" s="32">
        <v>182</v>
      </c>
      <c r="K72" s="32" t="s">
        <v>76</v>
      </c>
      <c r="L72" s="32"/>
      <c r="M72" s="33" t="s">
        <v>77</v>
      </c>
      <c r="N72" s="33"/>
      <c r="O72" s="32">
        <v>40</v>
      </c>
      <c r="P72" s="96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36"/>
      <c r="R72" s="636"/>
      <c r="S72" s="636"/>
      <c r="T72" s="637"/>
      <c r="U72" s="34"/>
      <c r="V72" s="34"/>
      <c r="W72" s="35" t="s">
        <v>66</v>
      </c>
      <c r="X72" s="629">
        <v>0</v>
      </c>
      <c r="Y72" s="63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158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159</v>
      </c>
      <c r="B73" s="54" t="s">
        <v>160</v>
      </c>
      <c r="C73" s="31">
        <v>4301051929</v>
      </c>
      <c r="D73" s="633">
        <v>4680115884403</v>
      </c>
      <c r="E73" s="634"/>
      <c r="F73" s="628">
        <v>0.3</v>
      </c>
      <c r="G73" s="32">
        <v>6</v>
      </c>
      <c r="H73" s="628">
        <v>1.8</v>
      </c>
      <c r="I73" s="628">
        <v>1.98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6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36"/>
      <c r="R73" s="636"/>
      <c r="S73" s="636"/>
      <c r="T73" s="637"/>
      <c r="U73" s="34"/>
      <c r="V73" s="34"/>
      <c r="W73" s="35" t="s">
        <v>66</v>
      </c>
      <c r="X73" s="629">
        <v>0</v>
      </c>
      <c r="Y73" s="63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161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idden="1" x14ac:dyDescent="0.2">
      <c r="A74" s="642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44"/>
      <c r="P74" s="646" t="s">
        <v>71</v>
      </c>
      <c r="Q74" s="647"/>
      <c r="R74" s="647"/>
      <c r="S74" s="647"/>
      <c r="T74" s="647"/>
      <c r="U74" s="647"/>
      <c r="V74" s="648"/>
      <c r="W74" s="37" t="s">
        <v>72</v>
      </c>
      <c r="X74" s="631">
        <f>IFERROR(X72/H72,"0")+IFERROR(X73/H73,"0")</f>
        <v>0</v>
      </c>
      <c r="Y74" s="631">
        <f>IFERROR(Y72/H72,"0")+IFERROR(Y73/H73,"0")</f>
        <v>0</v>
      </c>
      <c r="Z74" s="631">
        <f>IFERROR(IF(Z72="",0,Z72),"0")+IFERROR(IF(Z73="",0,Z73),"0")</f>
        <v>0</v>
      </c>
      <c r="AA74" s="632"/>
      <c r="AB74" s="632"/>
      <c r="AC74" s="632"/>
    </row>
    <row r="75" spans="1:68" hidden="1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44"/>
      <c r="P75" s="646" t="s">
        <v>71</v>
      </c>
      <c r="Q75" s="647"/>
      <c r="R75" s="647"/>
      <c r="S75" s="647"/>
      <c r="T75" s="647"/>
      <c r="U75" s="647"/>
      <c r="V75" s="648"/>
      <c r="W75" s="37" t="s">
        <v>66</v>
      </c>
      <c r="X75" s="631">
        <f>IFERROR(SUM(X72:X73),"0")</f>
        <v>0</v>
      </c>
      <c r="Y75" s="631">
        <f>IFERROR(SUM(Y72:Y73),"0")</f>
        <v>0</v>
      </c>
      <c r="Z75" s="37"/>
      <c r="AA75" s="632"/>
      <c r="AB75" s="632"/>
      <c r="AC75" s="632"/>
    </row>
    <row r="76" spans="1:68" ht="14.25" hidden="1" customHeight="1" x14ac:dyDescent="0.25">
      <c r="A76" s="653" t="s">
        <v>162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5"/>
      <c r="AB76" s="625"/>
      <c r="AC76" s="625"/>
    </row>
    <row r="77" spans="1:68" ht="27" customHeight="1" x14ac:dyDescent="0.25">
      <c r="A77" s="54" t="s">
        <v>163</v>
      </c>
      <c r="B77" s="54" t="s">
        <v>164</v>
      </c>
      <c r="C77" s="31">
        <v>4301060455</v>
      </c>
      <c r="D77" s="633">
        <v>4680115881532</v>
      </c>
      <c r="E77" s="634"/>
      <c r="F77" s="628">
        <v>1.3</v>
      </c>
      <c r="G77" s="32">
        <v>6</v>
      </c>
      <c r="H77" s="628">
        <v>7.8</v>
      </c>
      <c r="I77" s="628">
        <v>8.2100000000000009</v>
      </c>
      <c r="J77" s="32">
        <v>64</v>
      </c>
      <c r="K77" s="32" t="s">
        <v>115</v>
      </c>
      <c r="L77" s="32"/>
      <c r="M77" s="33" t="s">
        <v>83</v>
      </c>
      <c r="N77" s="33"/>
      <c r="O77" s="32">
        <v>30</v>
      </c>
      <c r="P77" s="8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36"/>
      <c r="R77" s="636"/>
      <c r="S77" s="636"/>
      <c r="T77" s="637"/>
      <c r="U77" s="34"/>
      <c r="V77" s="34"/>
      <c r="W77" s="35" t="s">
        <v>66</v>
      </c>
      <c r="X77" s="629">
        <v>204</v>
      </c>
      <c r="Y77" s="630">
        <f>IFERROR(IF(X77="",0,CEILING((X77/$H77),1)*$H77),"")</f>
        <v>210.6</v>
      </c>
      <c r="Z77" s="36">
        <f>IFERROR(IF(Y77=0,"",ROUNDUP(Y77/H77,0)*0.01898),"")</f>
        <v>0.51246000000000003</v>
      </c>
      <c r="AA77" s="56"/>
      <c r="AB77" s="57"/>
      <c r="AC77" s="127" t="s">
        <v>165</v>
      </c>
      <c r="AG77" s="64"/>
      <c r="AJ77" s="68"/>
      <c r="AK77" s="68">
        <v>0</v>
      </c>
      <c r="BB77" s="128" t="s">
        <v>1</v>
      </c>
      <c r="BM77" s="64">
        <f>IFERROR(X77*I77/H77,"0")</f>
        <v>214.72307692307695</v>
      </c>
      <c r="BN77" s="64">
        <f>IFERROR(Y77*I77/H77,"0")</f>
        <v>221.67000000000002</v>
      </c>
      <c r="BO77" s="64">
        <f>IFERROR(1/J77*(X77/H77),"0")</f>
        <v>0.40865384615384615</v>
      </c>
      <c r="BP77" s="64">
        <f>IFERROR(1/J77*(Y77/H77),"0")</f>
        <v>0.421875</v>
      </c>
    </row>
    <row r="78" spans="1:68" ht="27" hidden="1" customHeight="1" x14ac:dyDescent="0.25">
      <c r="A78" s="54" t="s">
        <v>166</v>
      </c>
      <c r="B78" s="54" t="s">
        <v>167</v>
      </c>
      <c r="C78" s="31">
        <v>4301060351</v>
      </c>
      <c r="D78" s="633">
        <v>4680115881464</v>
      </c>
      <c r="E78" s="634"/>
      <c r="F78" s="628">
        <v>0.4</v>
      </c>
      <c r="G78" s="32">
        <v>6</v>
      </c>
      <c r="H78" s="628">
        <v>2.4</v>
      </c>
      <c r="I78" s="628">
        <v>2.59</v>
      </c>
      <c r="J78" s="32">
        <v>132</v>
      </c>
      <c r="K78" s="32" t="s">
        <v>124</v>
      </c>
      <c r="L78" s="32"/>
      <c r="M78" s="33" t="s">
        <v>77</v>
      </c>
      <c r="N78" s="33"/>
      <c r="O78" s="32">
        <v>30</v>
      </c>
      <c r="P78" s="76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636"/>
      <c r="R78" s="636"/>
      <c r="S78" s="636"/>
      <c r="T78" s="637"/>
      <c r="U78" s="34"/>
      <c r="V78" s="34"/>
      <c r="W78" s="35" t="s">
        <v>66</v>
      </c>
      <c r="X78" s="629">
        <v>0</v>
      </c>
      <c r="Y78" s="630">
        <f>IFERROR(IF(X78="",0,CEILING((X78/$H78),1)*$H78),"")</f>
        <v>0</v>
      </c>
      <c r="Z78" s="36" t="str">
        <f>IFERROR(IF(Y78=0,"",ROUNDUP(Y78/H78,0)*0.00902),"")</f>
        <v/>
      </c>
      <c r="AA78" s="56"/>
      <c r="AB78" s="57"/>
      <c r="AC78" s="129" t="s">
        <v>168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42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44"/>
      <c r="P79" s="646" t="s">
        <v>71</v>
      </c>
      <c r="Q79" s="647"/>
      <c r="R79" s="647"/>
      <c r="S79" s="647"/>
      <c r="T79" s="647"/>
      <c r="U79" s="647"/>
      <c r="V79" s="648"/>
      <c r="W79" s="37" t="s">
        <v>72</v>
      </c>
      <c r="X79" s="631">
        <f>IFERROR(X77/H77,"0")+IFERROR(X78/H78,"0")</f>
        <v>26.153846153846153</v>
      </c>
      <c r="Y79" s="631">
        <f>IFERROR(Y77/H77,"0")+IFERROR(Y78/H78,"0")</f>
        <v>27</v>
      </c>
      <c r="Z79" s="631">
        <f>IFERROR(IF(Z77="",0,Z77),"0")+IFERROR(IF(Z78="",0,Z78),"0")</f>
        <v>0.51246000000000003</v>
      </c>
      <c r="AA79" s="632"/>
      <c r="AB79" s="632"/>
      <c r="AC79" s="632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44"/>
      <c r="P80" s="646" t="s">
        <v>71</v>
      </c>
      <c r="Q80" s="647"/>
      <c r="R80" s="647"/>
      <c r="S80" s="647"/>
      <c r="T80" s="647"/>
      <c r="U80" s="647"/>
      <c r="V80" s="648"/>
      <c r="W80" s="37" t="s">
        <v>66</v>
      </c>
      <c r="X80" s="631">
        <f>IFERROR(SUM(X77:X78),"0")</f>
        <v>204</v>
      </c>
      <c r="Y80" s="631">
        <f>IFERROR(SUM(Y77:Y78),"0")</f>
        <v>210.6</v>
      </c>
      <c r="Z80" s="37"/>
      <c r="AA80" s="632"/>
      <c r="AB80" s="632"/>
      <c r="AC80" s="632"/>
    </row>
    <row r="81" spans="1:68" ht="16.5" hidden="1" customHeight="1" x14ac:dyDescent="0.25">
      <c r="A81" s="677" t="s">
        <v>169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4"/>
      <c r="AB81" s="624"/>
      <c r="AC81" s="624"/>
    </row>
    <row r="82" spans="1:68" ht="14.25" hidden="1" customHeight="1" x14ac:dyDescent="0.25">
      <c r="A82" s="653" t="s">
        <v>112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25"/>
      <c r="AB82" s="625"/>
      <c r="AC82" s="625"/>
    </row>
    <row r="83" spans="1:68" ht="27" hidden="1" customHeight="1" x14ac:dyDescent="0.25">
      <c r="A83" s="54" t="s">
        <v>170</v>
      </c>
      <c r="B83" s="54" t="s">
        <v>171</v>
      </c>
      <c r="C83" s="31">
        <v>4301011468</v>
      </c>
      <c r="D83" s="633">
        <v>4680115881327</v>
      </c>
      <c r="E83" s="634"/>
      <c r="F83" s="628">
        <v>1.35</v>
      </c>
      <c r="G83" s="32">
        <v>8</v>
      </c>
      <c r="H83" s="628">
        <v>10.8</v>
      </c>
      <c r="I83" s="628">
        <v>11.21</v>
      </c>
      <c r="J83" s="32">
        <v>64</v>
      </c>
      <c r="K83" s="32" t="s">
        <v>115</v>
      </c>
      <c r="L83" s="32"/>
      <c r="M83" s="33" t="s">
        <v>83</v>
      </c>
      <c r="N83" s="33"/>
      <c r="O83" s="32">
        <v>50</v>
      </c>
      <c r="P83" s="98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636"/>
      <c r="R83" s="636"/>
      <c r="S83" s="636"/>
      <c r="T83" s="637"/>
      <c r="U83" s="34"/>
      <c r="V83" s="34"/>
      <c r="W83" s="35" t="s">
        <v>66</v>
      </c>
      <c r="X83" s="629">
        <v>0</v>
      </c>
      <c r="Y83" s="630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1" t="s">
        <v>172</v>
      </c>
      <c r="AG83" s="64"/>
      <c r="AJ83" s="68"/>
      <c r="AK83" s="68">
        <v>0</v>
      </c>
      <c r="BB83" s="132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173</v>
      </c>
      <c r="B84" s="54" t="s">
        <v>174</v>
      </c>
      <c r="C84" s="31">
        <v>4301011261</v>
      </c>
      <c r="D84" s="633">
        <v>4680115887732</v>
      </c>
      <c r="E84" s="634"/>
      <c r="F84" s="628">
        <v>0.17</v>
      </c>
      <c r="G84" s="32">
        <v>10</v>
      </c>
      <c r="H84" s="628">
        <v>1.7</v>
      </c>
      <c r="I84" s="628">
        <v>1.8</v>
      </c>
      <c r="J84" s="32">
        <v>192</v>
      </c>
      <c r="K84" s="32" t="s">
        <v>120</v>
      </c>
      <c r="L84" s="32"/>
      <c r="M84" s="33" t="s">
        <v>65</v>
      </c>
      <c r="N84" s="33"/>
      <c r="O84" s="32">
        <v>30</v>
      </c>
      <c r="P84" s="88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636"/>
      <c r="R84" s="636"/>
      <c r="S84" s="636"/>
      <c r="T84" s="637"/>
      <c r="U84" s="34"/>
      <c r="V84" s="34"/>
      <c r="W84" s="35" t="s">
        <v>66</v>
      </c>
      <c r="X84" s="629">
        <v>0</v>
      </c>
      <c r="Y84" s="630">
        <f>IFERROR(IF(X84="",0,CEILING((X84/$H84),1)*$H84),"")</f>
        <v>0</v>
      </c>
      <c r="Z84" s="36" t="str">
        <f>IFERROR(IF(Y84=0,"",ROUNDUP(Y84/H84,0)*0.00726),"")</f>
        <v/>
      </c>
      <c r="AA84" s="56"/>
      <c r="AB84" s="57"/>
      <c r="AC84" s="133" t="s">
        <v>175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176</v>
      </c>
      <c r="B85" s="54" t="s">
        <v>177</v>
      </c>
      <c r="C85" s="31">
        <v>4301011476</v>
      </c>
      <c r="D85" s="633">
        <v>4680115881518</v>
      </c>
      <c r="E85" s="634"/>
      <c r="F85" s="628">
        <v>0.4</v>
      </c>
      <c r="G85" s="32">
        <v>10</v>
      </c>
      <c r="H85" s="628">
        <v>4</v>
      </c>
      <c r="I85" s="628">
        <v>4.1900000000000004</v>
      </c>
      <c r="J85" s="32">
        <v>132</v>
      </c>
      <c r="K85" s="32" t="s">
        <v>124</v>
      </c>
      <c r="L85" s="32"/>
      <c r="M85" s="33" t="s">
        <v>77</v>
      </c>
      <c r="N85" s="33"/>
      <c r="O85" s="32">
        <v>50</v>
      </c>
      <c r="P85" s="98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636"/>
      <c r="R85" s="636"/>
      <c r="S85" s="636"/>
      <c r="T85" s="637"/>
      <c r="U85" s="34"/>
      <c r="V85" s="34"/>
      <c r="W85" s="35" t="s">
        <v>66</v>
      </c>
      <c r="X85" s="629">
        <v>0</v>
      </c>
      <c r="Y85" s="630">
        <f>IFERROR(IF(X85="",0,CEILING((X85/$H85),1)*$H85),"")</f>
        <v>0</v>
      </c>
      <c r="Z85" s="36" t="str">
        <f>IFERROR(IF(Y85=0,"",ROUNDUP(Y85/H85,0)*0.00902),"")</f>
        <v/>
      </c>
      <c r="AA85" s="56"/>
      <c r="AB85" s="57"/>
      <c r="AC85" s="135" t="s">
        <v>172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178</v>
      </c>
      <c r="B86" s="54" t="s">
        <v>179</v>
      </c>
      <c r="C86" s="31">
        <v>4301011443</v>
      </c>
      <c r="D86" s="633">
        <v>4680115881303</v>
      </c>
      <c r="E86" s="634"/>
      <c r="F86" s="628">
        <v>0.45</v>
      </c>
      <c r="G86" s="32">
        <v>10</v>
      </c>
      <c r="H86" s="628">
        <v>4.5</v>
      </c>
      <c r="I86" s="628">
        <v>4.6900000000000004</v>
      </c>
      <c r="J86" s="32">
        <v>132</v>
      </c>
      <c r="K86" s="32" t="s">
        <v>124</v>
      </c>
      <c r="L86" s="32"/>
      <c r="M86" s="33" t="s">
        <v>83</v>
      </c>
      <c r="N86" s="33"/>
      <c r="O86" s="32">
        <v>50</v>
      </c>
      <c r="P86" s="65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636"/>
      <c r="R86" s="636"/>
      <c r="S86" s="636"/>
      <c r="T86" s="637"/>
      <c r="U86" s="34"/>
      <c r="V86" s="34"/>
      <c r="W86" s="35" t="s">
        <v>66</v>
      </c>
      <c r="X86" s="629">
        <v>34</v>
      </c>
      <c r="Y86" s="630">
        <f>IFERROR(IF(X86="",0,CEILING((X86/$H86),1)*$H86),"")</f>
        <v>36</v>
      </c>
      <c r="Z86" s="36">
        <f>IFERROR(IF(Y86=0,"",ROUNDUP(Y86/H86,0)*0.00902),"")</f>
        <v>7.2160000000000002E-2</v>
      </c>
      <c r="AA86" s="56"/>
      <c r="AB86" s="57"/>
      <c r="AC86" s="137" t="s">
        <v>172</v>
      </c>
      <c r="AG86" s="64"/>
      <c r="AJ86" s="68"/>
      <c r="AK86" s="68">
        <v>0</v>
      </c>
      <c r="BB86" s="138" t="s">
        <v>1</v>
      </c>
      <c r="BM86" s="64">
        <f>IFERROR(X86*I86/H86,"0")</f>
        <v>35.43555555555556</v>
      </c>
      <c r="BN86" s="64">
        <f>IFERROR(Y86*I86/H86,"0")</f>
        <v>37.520000000000003</v>
      </c>
      <c r="BO86" s="64">
        <f>IFERROR(1/J86*(X86/H86),"0")</f>
        <v>5.7239057239057242E-2</v>
      </c>
      <c r="BP86" s="64">
        <f>IFERROR(1/J86*(Y86/H86),"0")</f>
        <v>6.0606060606060608E-2</v>
      </c>
    </row>
    <row r="87" spans="1:68" x14ac:dyDescent="0.2">
      <c r="A87" s="642"/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4"/>
      <c r="P87" s="646" t="s">
        <v>71</v>
      </c>
      <c r="Q87" s="647"/>
      <c r="R87" s="647"/>
      <c r="S87" s="647"/>
      <c r="T87" s="647"/>
      <c r="U87" s="647"/>
      <c r="V87" s="648"/>
      <c r="W87" s="37" t="s">
        <v>72</v>
      </c>
      <c r="X87" s="631">
        <f>IFERROR(X83/H83,"0")+IFERROR(X84/H84,"0")+IFERROR(X85/H85,"0")+IFERROR(X86/H86,"0")</f>
        <v>7.5555555555555554</v>
      </c>
      <c r="Y87" s="631">
        <f>IFERROR(Y83/H83,"0")+IFERROR(Y84/H84,"0")+IFERROR(Y85/H85,"0")+IFERROR(Y86/H86,"0")</f>
        <v>8</v>
      </c>
      <c r="Z87" s="631">
        <f>IFERROR(IF(Z83="",0,Z83),"0")+IFERROR(IF(Z84="",0,Z84),"0")+IFERROR(IF(Z85="",0,Z85),"0")+IFERROR(IF(Z86="",0,Z86),"0")</f>
        <v>7.2160000000000002E-2</v>
      </c>
      <c r="AA87" s="632"/>
      <c r="AB87" s="632"/>
      <c r="AC87" s="632"/>
    </row>
    <row r="88" spans="1:68" x14ac:dyDescent="0.2">
      <c r="A88" s="643"/>
      <c r="B88" s="643"/>
      <c r="C88" s="643"/>
      <c r="D88" s="643"/>
      <c r="E88" s="643"/>
      <c r="F88" s="643"/>
      <c r="G88" s="643"/>
      <c r="H88" s="643"/>
      <c r="I88" s="643"/>
      <c r="J88" s="643"/>
      <c r="K88" s="643"/>
      <c r="L88" s="643"/>
      <c r="M88" s="643"/>
      <c r="N88" s="643"/>
      <c r="O88" s="644"/>
      <c r="P88" s="646" t="s">
        <v>71</v>
      </c>
      <c r="Q88" s="647"/>
      <c r="R88" s="647"/>
      <c r="S88" s="647"/>
      <c r="T88" s="647"/>
      <c r="U88" s="647"/>
      <c r="V88" s="648"/>
      <c r="W88" s="37" t="s">
        <v>66</v>
      </c>
      <c r="X88" s="631">
        <f>IFERROR(SUM(X83:X86),"0")</f>
        <v>34</v>
      </c>
      <c r="Y88" s="631">
        <f>IFERROR(SUM(Y83:Y86),"0")</f>
        <v>36</v>
      </c>
      <c r="Z88" s="37"/>
      <c r="AA88" s="632"/>
      <c r="AB88" s="632"/>
      <c r="AC88" s="632"/>
    </row>
    <row r="89" spans="1:68" ht="14.25" hidden="1" customHeight="1" x14ac:dyDescent="0.25">
      <c r="A89" s="653" t="s">
        <v>73</v>
      </c>
      <c r="B89" s="643"/>
      <c r="C89" s="643"/>
      <c r="D89" s="643"/>
      <c r="E89" s="643"/>
      <c r="F89" s="643"/>
      <c r="G89" s="643"/>
      <c r="H89" s="643"/>
      <c r="I89" s="643"/>
      <c r="J89" s="643"/>
      <c r="K89" s="643"/>
      <c r="L89" s="643"/>
      <c r="M89" s="643"/>
      <c r="N89" s="643"/>
      <c r="O89" s="643"/>
      <c r="P89" s="643"/>
      <c r="Q89" s="643"/>
      <c r="R89" s="643"/>
      <c r="S89" s="643"/>
      <c r="T89" s="643"/>
      <c r="U89" s="643"/>
      <c r="V89" s="643"/>
      <c r="W89" s="643"/>
      <c r="X89" s="643"/>
      <c r="Y89" s="643"/>
      <c r="Z89" s="643"/>
      <c r="AA89" s="625"/>
      <c r="AB89" s="625"/>
      <c r="AC89" s="625"/>
    </row>
    <row r="90" spans="1:68" ht="27" customHeight="1" x14ac:dyDescent="0.25">
      <c r="A90" s="54" t="s">
        <v>180</v>
      </c>
      <c r="B90" s="54" t="s">
        <v>181</v>
      </c>
      <c r="C90" s="31">
        <v>4301051712</v>
      </c>
      <c r="D90" s="633">
        <v>4607091386967</v>
      </c>
      <c r="E90" s="634"/>
      <c r="F90" s="628">
        <v>1.35</v>
      </c>
      <c r="G90" s="32">
        <v>6</v>
      </c>
      <c r="H90" s="628">
        <v>8.1</v>
      </c>
      <c r="I90" s="628">
        <v>8.5939999999999994</v>
      </c>
      <c r="J90" s="32">
        <v>64</v>
      </c>
      <c r="K90" s="32" t="s">
        <v>115</v>
      </c>
      <c r="L90" s="32"/>
      <c r="M90" s="33" t="s">
        <v>83</v>
      </c>
      <c r="N90" s="33"/>
      <c r="O90" s="32">
        <v>45</v>
      </c>
      <c r="P90" s="86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636"/>
      <c r="R90" s="636"/>
      <c r="S90" s="636"/>
      <c r="T90" s="637"/>
      <c r="U90" s="34"/>
      <c r="V90" s="34"/>
      <c r="W90" s="35" t="s">
        <v>66</v>
      </c>
      <c r="X90" s="629">
        <v>875</v>
      </c>
      <c r="Y90" s="630">
        <f>IFERROR(IF(X90="",0,CEILING((X90/$H90),1)*$H90),"")</f>
        <v>882.9</v>
      </c>
      <c r="Z90" s="36">
        <f>IFERROR(IF(Y90=0,"",ROUNDUP(Y90/H90,0)*0.01898),"")</f>
        <v>2.0688200000000001</v>
      </c>
      <c r="AA90" s="56"/>
      <c r="AB90" s="57"/>
      <c r="AC90" s="139" t="s">
        <v>182</v>
      </c>
      <c r="AG90" s="64"/>
      <c r="AJ90" s="68"/>
      <c r="AK90" s="68">
        <v>0</v>
      </c>
      <c r="BB90" s="140" t="s">
        <v>1</v>
      </c>
      <c r="BM90" s="64">
        <f>IFERROR(X90*I90/H90,"0")</f>
        <v>928.36419753086409</v>
      </c>
      <c r="BN90" s="64">
        <f>IFERROR(Y90*I90/H90,"0")</f>
        <v>936.74599999999998</v>
      </c>
      <c r="BO90" s="64">
        <f>IFERROR(1/J90*(X90/H90),"0")</f>
        <v>1.6878858024691359</v>
      </c>
      <c r="BP90" s="64">
        <f>IFERROR(1/J90*(Y90/H90),"0")</f>
        <v>1.703125</v>
      </c>
    </row>
    <row r="91" spans="1:68" ht="27" hidden="1" customHeight="1" x14ac:dyDescent="0.25">
      <c r="A91" s="54" t="s">
        <v>183</v>
      </c>
      <c r="B91" s="54" t="s">
        <v>184</v>
      </c>
      <c r="C91" s="31">
        <v>4301051788</v>
      </c>
      <c r="D91" s="633">
        <v>4680115884953</v>
      </c>
      <c r="E91" s="634"/>
      <c r="F91" s="628">
        <v>0.37</v>
      </c>
      <c r="G91" s="32">
        <v>6</v>
      </c>
      <c r="H91" s="628">
        <v>2.2200000000000002</v>
      </c>
      <c r="I91" s="628">
        <v>2.472</v>
      </c>
      <c r="J91" s="32">
        <v>182</v>
      </c>
      <c r="K91" s="32" t="s">
        <v>76</v>
      </c>
      <c r="L91" s="32"/>
      <c r="M91" s="33" t="s">
        <v>77</v>
      </c>
      <c r="N91" s="33"/>
      <c r="O91" s="32">
        <v>45</v>
      </c>
      <c r="P91" s="86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636"/>
      <c r="R91" s="636"/>
      <c r="S91" s="636"/>
      <c r="T91" s="637"/>
      <c r="U91" s="34"/>
      <c r="V91" s="34"/>
      <c r="W91" s="35" t="s">
        <v>66</v>
      </c>
      <c r="X91" s="629">
        <v>0</v>
      </c>
      <c r="Y91" s="630">
        <f>IFERROR(IF(X91="",0,CEILING((X91/$H91),1)*$H91),"")</f>
        <v>0</v>
      </c>
      <c r="Z91" s="36" t="str">
        <f>IFERROR(IF(Y91=0,"",ROUNDUP(Y91/H91,0)*0.00651),"")</f>
        <v/>
      </c>
      <c r="AA91" s="56"/>
      <c r="AB91" s="57"/>
      <c r="AC91" s="141" t="s">
        <v>182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4301051718</v>
      </c>
      <c r="D92" s="633">
        <v>4607091385731</v>
      </c>
      <c r="E92" s="634"/>
      <c r="F92" s="628">
        <v>0.45</v>
      </c>
      <c r="G92" s="32">
        <v>6</v>
      </c>
      <c r="H92" s="628">
        <v>2.7</v>
      </c>
      <c r="I92" s="628">
        <v>2.952</v>
      </c>
      <c r="J92" s="32">
        <v>182</v>
      </c>
      <c r="K92" s="32" t="s">
        <v>76</v>
      </c>
      <c r="L92" s="32"/>
      <c r="M92" s="33" t="s">
        <v>83</v>
      </c>
      <c r="N92" s="33"/>
      <c r="O92" s="32">
        <v>45</v>
      </c>
      <c r="P92" s="69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636"/>
      <c r="R92" s="636"/>
      <c r="S92" s="636"/>
      <c r="T92" s="637"/>
      <c r="U92" s="34"/>
      <c r="V92" s="34"/>
      <c r="W92" s="35" t="s">
        <v>66</v>
      </c>
      <c r="X92" s="629">
        <v>0</v>
      </c>
      <c r="Y92" s="63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182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16.5" hidden="1" customHeight="1" x14ac:dyDescent="0.25">
      <c r="A93" s="54" t="s">
        <v>187</v>
      </c>
      <c r="B93" s="54" t="s">
        <v>188</v>
      </c>
      <c r="C93" s="31">
        <v>4301052092</v>
      </c>
      <c r="D93" s="633">
        <v>4680115880894</v>
      </c>
      <c r="E93" s="634"/>
      <c r="F93" s="628">
        <v>0.33</v>
      </c>
      <c r="G93" s="32">
        <v>6</v>
      </c>
      <c r="H93" s="628">
        <v>1.98</v>
      </c>
      <c r="I93" s="628">
        <v>2.238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96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636"/>
      <c r="R93" s="636"/>
      <c r="S93" s="636"/>
      <c r="T93" s="637"/>
      <c r="U93" s="34"/>
      <c r="V93" s="34"/>
      <c r="W93" s="35" t="s">
        <v>66</v>
      </c>
      <c r="X93" s="629">
        <v>0</v>
      </c>
      <c r="Y93" s="63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189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x14ac:dyDescent="0.2">
      <c r="A94" s="642"/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4"/>
      <c r="P94" s="646" t="s">
        <v>71</v>
      </c>
      <c r="Q94" s="647"/>
      <c r="R94" s="647"/>
      <c r="S94" s="647"/>
      <c r="T94" s="647"/>
      <c r="U94" s="647"/>
      <c r="V94" s="648"/>
      <c r="W94" s="37" t="s">
        <v>72</v>
      </c>
      <c r="X94" s="631">
        <f>IFERROR(X90/H90,"0")+IFERROR(X91/H91,"0")+IFERROR(X92/H92,"0")+IFERROR(X93/H93,"0")</f>
        <v>108.0246913580247</v>
      </c>
      <c r="Y94" s="631">
        <f>IFERROR(Y90/H90,"0")+IFERROR(Y91/H91,"0")+IFERROR(Y92/H92,"0")+IFERROR(Y93/H93,"0")</f>
        <v>109</v>
      </c>
      <c r="Z94" s="631">
        <f>IFERROR(IF(Z90="",0,Z90),"0")+IFERROR(IF(Z91="",0,Z91),"0")+IFERROR(IF(Z92="",0,Z92),"0")+IFERROR(IF(Z93="",0,Z93),"0")</f>
        <v>2.0688200000000001</v>
      </c>
      <c r="AA94" s="632"/>
      <c r="AB94" s="632"/>
      <c r="AC94" s="632"/>
    </row>
    <row r="95" spans="1:68" x14ac:dyDescent="0.2">
      <c r="A95" s="643"/>
      <c r="B95" s="643"/>
      <c r="C95" s="643"/>
      <c r="D95" s="643"/>
      <c r="E95" s="643"/>
      <c r="F95" s="643"/>
      <c r="G95" s="643"/>
      <c r="H95" s="643"/>
      <c r="I95" s="643"/>
      <c r="J95" s="643"/>
      <c r="K95" s="643"/>
      <c r="L95" s="643"/>
      <c r="M95" s="643"/>
      <c r="N95" s="643"/>
      <c r="O95" s="644"/>
      <c r="P95" s="646" t="s">
        <v>71</v>
      </c>
      <c r="Q95" s="647"/>
      <c r="R95" s="647"/>
      <c r="S95" s="647"/>
      <c r="T95" s="647"/>
      <c r="U95" s="647"/>
      <c r="V95" s="648"/>
      <c r="W95" s="37" t="s">
        <v>66</v>
      </c>
      <c r="X95" s="631">
        <f>IFERROR(SUM(X90:X93),"0")</f>
        <v>875</v>
      </c>
      <c r="Y95" s="631">
        <f>IFERROR(SUM(Y90:Y93),"0")</f>
        <v>882.9</v>
      </c>
      <c r="Z95" s="37"/>
      <c r="AA95" s="632"/>
      <c r="AB95" s="632"/>
      <c r="AC95" s="632"/>
    </row>
    <row r="96" spans="1:68" ht="16.5" hidden="1" customHeight="1" x14ac:dyDescent="0.25">
      <c r="A96" s="677" t="s">
        <v>190</v>
      </c>
      <c r="B96" s="643"/>
      <c r="C96" s="643"/>
      <c r="D96" s="643"/>
      <c r="E96" s="643"/>
      <c r="F96" s="643"/>
      <c r="G96" s="643"/>
      <c r="H96" s="643"/>
      <c r="I96" s="643"/>
      <c r="J96" s="643"/>
      <c r="K96" s="643"/>
      <c r="L96" s="643"/>
      <c r="M96" s="643"/>
      <c r="N96" s="643"/>
      <c r="O96" s="643"/>
      <c r="P96" s="643"/>
      <c r="Q96" s="643"/>
      <c r="R96" s="643"/>
      <c r="S96" s="643"/>
      <c r="T96" s="643"/>
      <c r="U96" s="643"/>
      <c r="V96" s="643"/>
      <c r="W96" s="643"/>
      <c r="X96" s="643"/>
      <c r="Y96" s="643"/>
      <c r="Z96" s="643"/>
      <c r="AA96" s="624"/>
      <c r="AB96" s="624"/>
      <c r="AC96" s="624"/>
    </row>
    <row r="97" spans="1:68" ht="14.25" hidden="1" customHeight="1" x14ac:dyDescent="0.25">
      <c r="A97" s="653" t="s">
        <v>112</v>
      </c>
      <c r="B97" s="643"/>
      <c r="C97" s="643"/>
      <c r="D97" s="643"/>
      <c r="E97" s="643"/>
      <c r="F97" s="643"/>
      <c r="G97" s="643"/>
      <c r="H97" s="643"/>
      <c r="I97" s="643"/>
      <c r="J97" s="643"/>
      <c r="K97" s="643"/>
      <c r="L97" s="643"/>
      <c r="M97" s="643"/>
      <c r="N97" s="643"/>
      <c r="O97" s="643"/>
      <c r="P97" s="643"/>
      <c r="Q97" s="643"/>
      <c r="R97" s="643"/>
      <c r="S97" s="643"/>
      <c r="T97" s="643"/>
      <c r="U97" s="643"/>
      <c r="V97" s="643"/>
      <c r="W97" s="643"/>
      <c r="X97" s="643"/>
      <c r="Y97" s="643"/>
      <c r="Z97" s="643"/>
      <c r="AA97" s="625"/>
      <c r="AB97" s="625"/>
      <c r="AC97" s="625"/>
    </row>
    <row r="98" spans="1:68" ht="37.5" hidden="1" customHeight="1" x14ac:dyDescent="0.25">
      <c r="A98" s="54" t="s">
        <v>191</v>
      </c>
      <c r="B98" s="54" t="s">
        <v>192</v>
      </c>
      <c r="C98" s="31">
        <v>4301011514</v>
      </c>
      <c r="D98" s="633">
        <v>4680115882133</v>
      </c>
      <c r="E98" s="634"/>
      <c r="F98" s="628">
        <v>1.35</v>
      </c>
      <c r="G98" s="32">
        <v>8</v>
      </c>
      <c r="H98" s="628">
        <v>10.8</v>
      </c>
      <c r="I98" s="628">
        <v>11.21</v>
      </c>
      <c r="J98" s="32">
        <v>64</v>
      </c>
      <c r="K98" s="32" t="s">
        <v>115</v>
      </c>
      <c r="L98" s="32"/>
      <c r="M98" s="33" t="s">
        <v>116</v>
      </c>
      <c r="N98" s="33"/>
      <c r="O98" s="32">
        <v>50</v>
      </c>
      <c r="P98" s="8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636"/>
      <c r="R98" s="636"/>
      <c r="S98" s="636"/>
      <c r="T98" s="637"/>
      <c r="U98" s="34"/>
      <c r="V98" s="34"/>
      <c r="W98" s="35" t="s">
        <v>66</v>
      </c>
      <c r="X98" s="629">
        <v>0</v>
      </c>
      <c r="Y98" s="630">
        <f t="shared" ref="Y98:Y104" si="11">IFERROR(IF(X98="",0,CEILING((X98/$H98),1)*$H98),"")</f>
        <v>0</v>
      </c>
      <c r="Z98" s="36" t="str">
        <f>IFERROR(IF(Y98=0,"",ROUNDUP(Y98/H98,0)*0.01898),"")</f>
        <v/>
      </c>
      <c r="AA98" s="56"/>
      <c r="AB98" s="57"/>
      <c r="AC98" s="147" t="s">
        <v>193</v>
      </c>
      <c r="AG98" s="64"/>
      <c r="AJ98" s="68"/>
      <c r="AK98" s="68">
        <v>0</v>
      </c>
      <c r="BB98" s="148" t="s">
        <v>1</v>
      </c>
      <c r="BM98" s="64">
        <f t="shared" ref="BM98:BM104" si="12">IFERROR(X98*I98/H98,"0")</f>
        <v>0</v>
      </c>
      <c r="BN98" s="64">
        <f t="shared" ref="BN98:BN104" si="13">IFERROR(Y98*I98/H98,"0")</f>
        <v>0</v>
      </c>
      <c r="BO98" s="64">
        <f t="shared" ref="BO98:BO104" si="14">IFERROR(1/J98*(X98/H98),"0")</f>
        <v>0</v>
      </c>
      <c r="BP98" s="64">
        <f t="shared" ref="BP98:BP104" si="15">IFERROR(1/J98*(Y98/H98),"0")</f>
        <v>0</v>
      </c>
    </row>
    <row r="99" spans="1:68" ht="27" hidden="1" customHeight="1" x14ac:dyDescent="0.25">
      <c r="A99" s="54" t="s">
        <v>194</v>
      </c>
      <c r="B99" s="54" t="s">
        <v>195</v>
      </c>
      <c r="C99" s="31">
        <v>4301012051</v>
      </c>
      <c r="D99" s="633">
        <v>4680115887718</v>
      </c>
      <c r="E99" s="634"/>
      <c r="F99" s="628">
        <v>0.11</v>
      </c>
      <c r="G99" s="32">
        <v>10</v>
      </c>
      <c r="H99" s="628">
        <v>1.1000000000000001</v>
      </c>
      <c r="I99" s="628">
        <v>1.31</v>
      </c>
      <c r="J99" s="32">
        <v>192</v>
      </c>
      <c r="K99" s="32" t="s">
        <v>120</v>
      </c>
      <c r="L99" s="32"/>
      <c r="M99" s="33" t="s">
        <v>65</v>
      </c>
      <c r="N99" s="33"/>
      <c r="O99" s="32">
        <v>30</v>
      </c>
      <c r="P99" s="68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636"/>
      <c r="R99" s="636"/>
      <c r="S99" s="636"/>
      <c r="T99" s="637"/>
      <c r="U99" s="34"/>
      <c r="V99" s="34"/>
      <c r="W99" s="35" t="s">
        <v>66</v>
      </c>
      <c r="X99" s="629">
        <v>0</v>
      </c>
      <c r="Y99" s="630">
        <f t="shared" si="11"/>
        <v>0</v>
      </c>
      <c r="Z99" s="36" t="str">
        <f>IFERROR(IF(Y99=0,"",ROUNDUP(Y99/H99,0)*0.00726),"")</f>
        <v/>
      </c>
      <c r="AA99" s="56"/>
      <c r="AB99" s="57"/>
      <c r="AC99" s="149" t="s">
        <v>196</v>
      </c>
      <c r="AG99" s="64"/>
      <c r="AJ99" s="68"/>
      <c r="AK99" s="68">
        <v>0</v>
      </c>
      <c r="BB99" s="150" t="s">
        <v>1</v>
      </c>
      <c r="BM99" s="64">
        <f t="shared" si="12"/>
        <v>0</v>
      </c>
      <c r="BN99" s="64">
        <f t="shared" si="13"/>
        <v>0</v>
      </c>
      <c r="BO99" s="64">
        <f t="shared" si="14"/>
        <v>0</v>
      </c>
      <c r="BP99" s="64">
        <f t="shared" si="15"/>
        <v>0</v>
      </c>
    </row>
    <row r="100" spans="1:68" ht="27" hidden="1" customHeight="1" x14ac:dyDescent="0.25">
      <c r="A100" s="54" t="s">
        <v>194</v>
      </c>
      <c r="B100" s="54" t="s">
        <v>197</v>
      </c>
      <c r="C100" s="31">
        <v>4301012334</v>
      </c>
      <c r="D100" s="633">
        <v>4680115887718</v>
      </c>
      <c r="E100" s="634"/>
      <c r="F100" s="628">
        <v>0.11</v>
      </c>
      <c r="G100" s="32">
        <v>8</v>
      </c>
      <c r="H100" s="628">
        <v>0.88</v>
      </c>
      <c r="I100" s="628">
        <v>1.0680000000000001</v>
      </c>
      <c r="J100" s="32">
        <v>192</v>
      </c>
      <c r="K100" s="32" t="s">
        <v>120</v>
      </c>
      <c r="L100" s="32"/>
      <c r="M100" s="33" t="s">
        <v>65</v>
      </c>
      <c r="N100" s="33"/>
      <c r="O100" s="32">
        <v>30</v>
      </c>
      <c r="P100" s="70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36"/>
      <c r="R100" s="636"/>
      <c r="S100" s="636"/>
      <c r="T100" s="637"/>
      <c r="U100" s="34"/>
      <c r="V100" s="34"/>
      <c r="W100" s="35" t="s">
        <v>66</v>
      </c>
      <c r="X100" s="629">
        <v>0</v>
      </c>
      <c r="Y100" s="630">
        <f t="shared" si="11"/>
        <v>0</v>
      </c>
      <c r="Z100" s="36" t="str">
        <f>IFERROR(IF(Y100=0,"",ROUNDUP(Y100/H100,0)*0.00726),"")</f>
        <v/>
      </c>
      <c r="AA100" s="56"/>
      <c r="AB100" s="57"/>
      <c r="AC100" s="151" t="s">
        <v>196</v>
      </c>
      <c r="AG100" s="64"/>
      <c r="AJ100" s="68"/>
      <c r="AK100" s="68">
        <v>0</v>
      </c>
      <c r="BB100" s="152" t="s">
        <v>1</v>
      </c>
      <c r="BM100" s="64">
        <f t="shared" si="12"/>
        <v>0</v>
      </c>
      <c r="BN100" s="64">
        <f t="shared" si="13"/>
        <v>0</v>
      </c>
      <c r="BO100" s="64">
        <f t="shared" si="14"/>
        <v>0</v>
      </c>
      <c r="BP100" s="64">
        <f t="shared" si="15"/>
        <v>0</v>
      </c>
    </row>
    <row r="101" spans="1:68" ht="27" hidden="1" customHeight="1" x14ac:dyDescent="0.25">
      <c r="A101" s="54" t="s">
        <v>194</v>
      </c>
      <c r="B101" s="54" t="s">
        <v>198</v>
      </c>
      <c r="C101" s="31">
        <v>4301012379</v>
      </c>
      <c r="D101" s="633">
        <v>4680115887718</v>
      </c>
      <c r="E101" s="634"/>
      <c r="F101" s="628">
        <v>0.11</v>
      </c>
      <c r="G101" s="32">
        <v>6</v>
      </c>
      <c r="H101" s="628">
        <v>0.66</v>
      </c>
      <c r="I101" s="628">
        <v>0.82599999999999996</v>
      </c>
      <c r="J101" s="32">
        <v>192</v>
      </c>
      <c r="K101" s="32" t="s">
        <v>120</v>
      </c>
      <c r="L101" s="32"/>
      <c r="M101" s="33" t="s">
        <v>65</v>
      </c>
      <c r="N101" s="33"/>
      <c r="O101" s="32">
        <v>30</v>
      </c>
      <c r="P101" s="93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36"/>
      <c r="R101" s="636"/>
      <c r="S101" s="636"/>
      <c r="T101" s="637"/>
      <c r="U101" s="34"/>
      <c r="V101" s="34"/>
      <c r="W101" s="35" t="s">
        <v>66</v>
      </c>
      <c r="X101" s="629">
        <v>0</v>
      </c>
      <c r="Y101" s="630">
        <f t="shared" si="11"/>
        <v>0</v>
      </c>
      <c r="Z101" s="36" t="str">
        <f>IFERROR(IF(Y101=0,"",ROUNDUP(Y101/H101,0)*0.00726),"")</f>
        <v/>
      </c>
      <c r="AA101" s="56"/>
      <c r="AB101" s="57"/>
      <c r="AC101" s="153" t="s">
        <v>196</v>
      </c>
      <c r="AG101" s="64"/>
      <c r="AJ101" s="68"/>
      <c r="AK101" s="68">
        <v>0</v>
      </c>
      <c r="BB101" s="154" t="s">
        <v>1</v>
      </c>
      <c r="BM101" s="64">
        <f t="shared" si="12"/>
        <v>0</v>
      </c>
      <c r="BN101" s="64">
        <f t="shared" si="13"/>
        <v>0</v>
      </c>
      <c r="BO101" s="64">
        <f t="shared" si="14"/>
        <v>0</v>
      </c>
      <c r="BP101" s="64">
        <f t="shared" si="15"/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633">
        <v>4680115880269</v>
      </c>
      <c r="E102" s="634"/>
      <c r="F102" s="628">
        <v>0.375</v>
      </c>
      <c r="G102" s="32">
        <v>10</v>
      </c>
      <c r="H102" s="628">
        <v>3.75</v>
      </c>
      <c r="I102" s="628">
        <v>3.94</v>
      </c>
      <c r="J102" s="32">
        <v>132</v>
      </c>
      <c r="K102" s="32" t="s">
        <v>124</v>
      </c>
      <c r="L102" s="32"/>
      <c r="M102" s="33" t="s">
        <v>77</v>
      </c>
      <c r="N102" s="33"/>
      <c r="O102" s="32">
        <v>50</v>
      </c>
      <c r="P102" s="93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36"/>
      <c r="R102" s="636"/>
      <c r="S102" s="636"/>
      <c r="T102" s="637"/>
      <c r="U102" s="34"/>
      <c r="V102" s="34"/>
      <c r="W102" s="35" t="s">
        <v>66</v>
      </c>
      <c r="X102" s="629">
        <v>0</v>
      </c>
      <c r="Y102" s="630">
        <f t="shared" si="11"/>
        <v>0</v>
      </c>
      <c r="Z102" s="36" t="str">
        <f>IFERROR(IF(Y102=0,"",ROUNDUP(Y102/H102,0)*0.00902),"")</f>
        <v/>
      </c>
      <c r="AA102" s="56"/>
      <c r="AB102" s="57"/>
      <c r="AC102" s="155" t="s">
        <v>193</v>
      </c>
      <c r="AG102" s="64"/>
      <c r="AJ102" s="68"/>
      <c r="AK102" s="68">
        <v>0</v>
      </c>
      <c r="BB102" s="156" t="s">
        <v>1</v>
      </c>
      <c r="BM102" s="64">
        <f t="shared" si="12"/>
        <v>0</v>
      </c>
      <c r="BN102" s="64">
        <f t="shared" si="13"/>
        <v>0</v>
      </c>
      <c r="BO102" s="64">
        <f t="shared" si="14"/>
        <v>0</v>
      </c>
      <c r="BP102" s="64">
        <f t="shared" si="15"/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633">
        <v>4680115880429</v>
      </c>
      <c r="E103" s="634"/>
      <c r="F103" s="628">
        <v>0.45</v>
      </c>
      <c r="G103" s="32">
        <v>10</v>
      </c>
      <c r="H103" s="628">
        <v>4.5</v>
      </c>
      <c r="I103" s="628">
        <v>4.6900000000000004</v>
      </c>
      <c r="J103" s="32">
        <v>132</v>
      </c>
      <c r="K103" s="32" t="s">
        <v>124</v>
      </c>
      <c r="L103" s="32"/>
      <c r="M103" s="33" t="s">
        <v>77</v>
      </c>
      <c r="N103" s="33"/>
      <c r="O103" s="32">
        <v>50</v>
      </c>
      <c r="P103" s="73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36"/>
      <c r="R103" s="636"/>
      <c r="S103" s="636"/>
      <c r="T103" s="637"/>
      <c r="U103" s="34"/>
      <c r="V103" s="34"/>
      <c r="W103" s="35" t="s">
        <v>66</v>
      </c>
      <c r="X103" s="629">
        <v>148</v>
      </c>
      <c r="Y103" s="630">
        <f t="shared" si="11"/>
        <v>148.5</v>
      </c>
      <c r="Z103" s="36">
        <f>IFERROR(IF(Y103=0,"",ROUNDUP(Y103/H103,0)*0.00902),"")</f>
        <v>0.29766000000000004</v>
      </c>
      <c r="AA103" s="56"/>
      <c r="AB103" s="57"/>
      <c r="AC103" s="157" t="s">
        <v>193</v>
      </c>
      <c r="AG103" s="64"/>
      <c r="AJ103" s="68"/>
      <c r="AK103" s="68">
        <v>0</v>
      </c>
      <c r="BB103" s="158" t="s">
        <v>1</v>
      </c>
      <c r="BM103" s="64">
        <f t="shared" si="12"/>
        <v>154.2488888888889</v>
      </c>
      <c r="BN103" s="64">
        <f t="shared" si="13"/>
        <v>154.77000000000001</v>
      </c>
      <c r="BO103" s="64">
        <f t="shared" si="14"/>
        <v>0.24915824915824913</v>
      </c>
      <c r="BP103" s="64">
        <f t="shared" si="15"/>
        <v>0.25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633">
        <v>4680115881457</v>
      </c>
      <c r="E104" s="634"/>
      <c r="F104" s="628">
        <v>0.75</v>
      </c>
      <c r="G104" s="32">
        <v>6</v>
      </c>
      <c r="H104" s="628">
        <v>4.5</v>
      </c>
      <c r="I104" s="628">
        <v>4.6900000000000004</v>
      </c>
      <c r="J104" s="32">
        <v>132</v>
      </c>
      <c r="K104" s="32" t="s">
        <v>124</v>
      </c>
      <c r="L104" s="32"/>
      <c r="M104" s="33" t="s">
        <v>77</v>
      </c>
      <c r="N104" s="33"/>
      <c r="O104" s="32">
        <v>50</v>
      </c>
      <c r="P104" s="67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36"/>
      <c r="R104" s="636"/>
      <c r="S104" s="636"/>
      <c r="T104" s="637"/>
      <c r="U104" s="34"/>
      <c r="V104" s="34"/>
      <c r="W104" s="35" t="s">
        <v>66</v>
      </c>
      <c r="X104" s="629">
        <v>0</v>
      </c>
      <c r="Y104" s="630">
        <f t="shared" si="11"/>
        <v>0</v>
      </c>
      <c r="Z104" s="36" t="str">
        <f>IFERROR(IF(Y104=0,"",ROUNDUP(Y104/H104,0)*0.00902),"")</f>
        <v/>
      </c>
      <c r="AA104" s="56"/>
      <c r="AB104" s="57"/>
      <c r="AC104" s="159" t="s">
        <v>193</v>
      </c>
      <c r="AG104" s="64"/>
      <c r="AJ104" s="68"/>
      <c r="AK104" s="68">
        <v>0</v>
      </c>
      <c r="BB104" s="160" t="s">
        <v>1</v>
      </c>
      <c r="BM104" s="64">
        <f t="shared" si="12"/>
        <v>0</v>
      </c>
      <c r="BN104" s="64">
        <f t="shared" si="13"/>
        <v>0</v>
      </c>
      <c r="BO104" s="64">
        <f t="shared" si="14"/>
        <v>0</v>
      </c>
      <c r="BP104" s="64">
        <f t="shared" si="15"/>
        <v>0</v>
      </c>
    </row>
    <row r="105" spans="1:68" x14ac:dyDescent="0.2">
      <c r="A105" s="642"/>
      <c r="B105" s="643"/>
      <c r="C105" s="643"/>
      <c r="D105" s="643"/>
      <c r="E105" s="643"/>
      <c r="F105" s="643"/>
      <c r="G105" s="643"/>
      <c r="H105" s="643"/>
      <c r="I105" s="643"/>
      <c r="J105" s="643"/>
      <c r="K105" s="643"/>
      <c r="L105" s="643"/>
      <c r="M105" s="643"/>
      <c r="N105" s="643"/>
      <c r="O105" s="644"/>
      <c r="P105" s="646" t="s">
        <v>71</v>
      </c>
      <c r="Q105" s="647"/>
      <c r="R105" s="647"/>
      <c r="S105" s="647"/>
      <c r="T105" s="647"/>
      <c r="U105" s="647"/>
      <c r="V105" s="648"/>
      <c r="W105" s="37" t="s">
        <v>72</v>
      </c>
      <c r="X105" s="631">
        <f>IFERROR(X98/H98,"0")+IFERROR(X99/H99,"0")+IFERROR(X100/H100,"0")+IFERROR(X101/H101,"0")+IFERROR(X102/H102,"0")+IFERROR(X103/H103,"0")+IFERROR(X104/H104,"0")</f>
        <v>32.888888888888886</v>
      </c>
      <c r="Y105" s="631">
        <f>IFERROR(Y98/H98,"0")+IFERROR(Y99/H99,"0")+IFERROR(Y100/H100,"0")+IFERROR(Y101/H101,"0")+IFERROR(Y102/H102,"0")+IFERROR(Y103/H103,"0")+IFERROR(Y104/H104,"0")</f>
        <v>33</v>
      </c>
      <c r="Z105" s="631">
        <f>IFERROR(IF(Z98="",0,Z98),"0")+IFERROR(IF(Z99="",0,Z99),"0")+IFERROR(IF(Z100="",0,Z100),"0")+IFERROR(IF(Z101="",0,Z101),"0")+IFERROR(IF(Z102="",0,Z102),"0")+IFERROR(IF(Z103="",0,Z103),"0")+IFERROR(IF(Z104="",0,Z104),"0")</f>
        <v>0.29766000000000004</v>
      </c>
      <c r="AA105" s="632"/>
      <c r="AB105" s="632"/>
      <c r="AC105" s="632"/>
    </row>
    <row r="106" spans="1:68" x14ac:dyDescent="0.2">
      <c r="A106" s="643"/>
      <c r="B106" s="643"/>
      <c r="C106" s="643"/>
      <c r="D106" s="643"/>
      <c r="E106" s="643"/>
      <c r="F106" s="643"/>
      <c r="G106" s="643"/>
      <c r="H106" s="643"/>
      <c r="I106" s="643"/>
      <c r="J106" s="643"/>
      <c r="K106" s="643"/>
      <c r="L106" s="643"/>
      <c r="M106" s="643"/>
      <c r="N106" s="643"/>
      <c r="O106" s="644"/>
      <c r="P106" s="646" t="s">
        <v>71</v>
      </c>
      <c r="Q106" s="647"/>
      <c r="R106" s="647"/>
      <c r="S106" s="647"/>
      <c r="T106" s="647"/>
      <c r="U106" s="647"/>
      <c r="V106" s="648"/>
      <c r="W106" s="37" t="s">
        <v>66</v>
      </c>
      <c r="X106" s="631">
        <f>IFERROR(SUM(X98:X104),"0")</f>
        <v>148</v>
      </c>
      <c r="Y106" s="631">
        <f>IFERROR(SUM(Y98:Y104),"0")</f>
        <v>148.5</v>
      </c>
      <c r="Z106" s="37"/>
      <c r="AA106" s="632"/>
      <c r="AB106" s="632"/>
      <c r="AC106" s="632"/>
    </row>
    <row r="107" spans="1:68" ht="14.25" hidden="1" customHeight="1" x14ac:dyDescent="0.25">
      <c r="A107" s="653" t="s">
        <v>145</v>
      </c>
      <c r="B107" s="643"/>
      <c r="C107" s="643"/>
      <c r="D107" s="643"/>
      <c r="E107" s="643"/>
      <c r="F107" s="643"/>
      <c r="G107" s="643"/>
      <c r="H107" s="643"/>
      <c r="I107" s="643"/>
      <c r="J107" s="643"/>
      <c r="K107" s="643"/>
      <c r="L107" s="643"/>
      <c r="M107" s="643"/>
      <c r="N107" s="643"/>
      <c r="O107" s="643"/>
      <c r="P107" s="643"/>
      <c r="Q107" s="643"/>
      <c r="R107" s="643"/>
      <c r="S107" s="643"/>
      <c r="T107" s="643"/>
      <c r="U107" s="643"/>
      <c r="V107" s="643"/>
      <c r="W107" s="643"/>
      <c r="X107" s="643"/>
      <c r="Y107" s="643"/>
      <c r="Z107" s="643"/>
      <c r="AA107" s="625"/>
      <c r="AB107" s="625"/>
      <c r="AC107" s="625"/>
    </row>
    <row r="108" spans="1:68" ht="27" customHeight="1" x14ac:dyDescent="0.25">
      <c r="A108" s="54" t="s">
        <v>205</v>
      </c>
      <c r="B108" s="54" t="s">
        <v>206</v>
      </c>
      <c r="C108" s="31">
        <v>4301020391</v>
      </c>
      <c r="D108" s="633">
        <v>4680115881488</v>
      </c>
      <c r="E108" s="634"/>
      <c r="F108" s="628">
        <v>1.35</v>
      </c>
      <c r="G108" s="32">
        <v>8</v>
      </c>
      <c r="H108" s="628">
        <v>10.8</v>
      </c>
      <c r="I108" s="628">
        <v>11.21</v>
      </c>
      <c r="J108" s="32">
        <v>64</v>
      </c>
      <c r="K108" s="32" t="s">
        <v>115</v>
      </c>
      <c r="L108" s="32"/>
      <c r="M108" s="33" t="s">
        <v>116</v>
      </c>
      <c r="N108" s="33"/>
      <c r="O108" s="32">
        <v>55</v>
      </c>
      <c r="P108" s="8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636"/>
      <c r="R108" s="636"/>
      <c r="S108" s="636"/>
      <c r="T108" s="637"/>
      <c r="U108" s="34"/>
      <c r="V108" s="34"/>
      <c r="W108" s="35" t="s">
        <v>66</v>
      </c>
      <c r="X108" s="629">
        <v>14</v>
      </c>
      <c r="Y108" s="630">
        <f>IFERROR(IF(X108="",0,CEILING((X108/$H108),1)*$H108),"")</f>
        <v>21.6</v>
      </c>
      <c r="Z108" s="36">
        <f>IFERROR(IF(Y108=0,"",ROUNDUP(Y108/H108,0)*0.01898),"")</f>
        <v>3.7960000000000001E-2</v>
      </c>
      <c r="AA108" s="56"/>
      <c r="AB108" s="57"/>
      <c r="AC108" s="161" t="s">
        <v>207</v>
      </c>
      <c r="AG108" s="64"/>
      <c r="AJ108" s="68"/>
      <c r="AK108" s="68">
        <v>0</v>
      </c>
      <c r="BB108" s="162" t="s">
        <v>1</v>
      </c>
      <c r="BM108" s="64">
        <f>IFERROR(X108*I108/H108,"0")</f>
        <v>14.53148148148148</v>
      </c>
      <c r="BN108" s="64">
        <f>IFERROR(Y108*I108/H108,"0")</f>
        <v>22.42</v>
      </c>
      <c r="BO108" s="64">
        <f>IFERROR(1/J108*(X108/H108),"0")</f>
        <v>2.0254629629629629E-2</v>
      </c>
      <c r="BP108" s="64">
        <f>IFERROR(1/J108*(Y108/H108),"0")</f>
        <v>3.125E-2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633">
        <v>4680115887664</v>
      </c>
      <c r="E109" s="634"/>
      <c r="F109" s="628">
        <v>0.1</v>
      </c>
      <c r="G109" s="32">
        <v>10</v>
      </c>
      <c r="H109" s="628">
        <v>1</v>
      </c>
      <c r="I109" s="628">
        <v>1.21</v>
      </c>
      <c r="J109" s="32">
        <v>392</v>
      </c>
      <c r="K109" s="32" t="s">
        <v>210</v>
      </c>
      <c r="L109" s="32"/>
      <c r="M109" s="33" t="s">
        <v>65</v>
      </c>
      <c r="N109" s="33"/>
      <c r="O109" s="32">
        <v>30</v>
      </c>
      <c r="P109" s="88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36"/>
      <c r="R109" s="636"/>
      <c r="S109" s="636"/>
      <c r="T109" s="637"/>
      <c r="U109" s="34"/>
      <c r="V109" s="34"/>
      <c r="W109" s="35" t="s">
        <v>66</v>
      </c>
      <c r="X109" s="629">
        <v>0</v>
      </c>
      <c r="Y109" s="630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63" t="s">
        <v>211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208</v>
      </c>
      <c r="B110" s="54" t="s">
        <v>212</v>
      </c>
      <c r="C110" s="31">
        <v>4301020430</v>
      </c>
      <c r="D110" s="633">
        <v>4680115887664</v>
      </c>
      <c r="E110" s="634"/>
      <c r="F110" s="628">
        <v>0.1</v>
      </c>
      <c r="G110" s="32">
        <v>8</v>
      </c>
      <c r="H110" s="628">
        <v>0.8</v>
      </c>
      <c r="I110" s="628">
        <v>0.98799999999999999</v>
      </c>
      <c r="J110" s="32">
        <v>392</v>
      </c>
      <c r="K110" s="32" t="s">
        <v>210</v>
      </c>
      <c r="L110" s="32"/>
      <c r="M110" s="33" t="s">
        <v>65</v>
      </c>
      <c r="N110" s="33"/>
      <c r="O110" s="32">
        <v>30</v>
      </c>
      <c r="P110" s="96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36"/>
      <c r="R110" s="636"/>
      <c r="S110" s="636"/>
      <c r="T110" s="637"/>
      <c r="U110" s="34"/>
      <c r="V110" s="34"/>
      <c r="W110" s="35" t="s">
        <v>66</v>
      </c>
      <c r="X110" s="629">
        <v>0</v>
      </c>
      <c r="Y110" s="630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211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213</v>
      </c>
      <c r="B111" s="54" t="s">
        <v>214</v>
      </c>
      <c r="C111" s="31">
        <v>4301020393</v>
      </c>
      <c r="D111" s="633">
        <v>4680115882775</v>
      </c>
      <c r="E111" s="634"/>
      <c r="F111" s="628">
        <v>0.3</v>
      </c>
      <c r="G111" s="32">
        <v>8</v>
      </c>
      <c r="H111" s="628">
        <v>2.4</v>
      </c>
      <c r="I111" s="628">
        <v>2.5</v>
      </c>
      <c r="J111" s="32">
        <v>234</v>
      </c>
      <c r="K111" s="32" t="s">
        <v>64</v>
      </c>
      <c r="L111" s="32"/>
      <c r="M111" s="33" t="s">
        <v>116</v>
      </c>
      <c r="N111" s="33"/>
      <c r="O111" s="32">
        <v>55</v>
      </c>
      <c r="P111" s="91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636"/>
      <c r="R111" s="636"/>
      <c r="S111" s="636"/>
      <c r="T111" s="637"/>
      <c r="U111" s="34"/>
      <c r="V111" s="34"/>
      <c r="W111" s="35" t="s">
        <v>66</v>
      </c>
      <c r="X111" s="629">
        <v>0</v>
      </c>
      <c r="Y111" s="630">
        <f>IFERROR(IF(X111="",0,CEILING((X111/$H111),1)*$H111),"")</f>
        <v>0</v>
      </c>
      <c r="Z111" s="36" t="str">
        <f>IFERROR(IF(Y111=0,"",ROUNDUP(Y111/H111,0)*0.00502),"")</f>
        <v/>
      </c>
      <c r="AA111" s="56"/>
      <c r="AB111" s="57"/>
      <c r="AC111" s="167" t="s">
        <v>207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customHeight="1" x14ac:dyDescent="0.25">
      <c r="A112" s="54" t="s">
        <v>215</v>
      </c>
      <c r="B112" s="54" t="s">
        <v>216</v>
      </c>
      <c r="C112" s="31">
        <v>4301020392</v>
      </c>
      <c r="D112" s="633">
        <v>4680115880658</v>
      </c>
      <c r="E112" s="634"/>
      <c r="F112" s="628">
        <v>0.4</v>
      </c>
      <c r="G112" s="32">
        <v>6</v>
      </c>
      <c r="H112" s="628">
        <v>2.4</v>
      </c>
      <c r="I112" s="628">
        <v>2.58</v>
      </c>
      <c r="J112" s="32">
        <v>182</v>
      </c>
      <c r="K112" s="32" t="s">
        <v>76</v>
      </c>
      <c r="L112" s="32"/>
      <c r="M112" s="33" t="s">
        <v>116</v>
      </c>
      <c r="N112" s="33"/>
      <c r="O112" s="32">
        <v>55</v>
      </c>
      <c r="P112" s="91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636"/>
      <c r="R112" s="636"/>
      <c r="S112" s="636"/>
      <c r="T112" s="637"/>
      <c r="U112" s="34"/>
      <c r="V112" s="34"/>
      <c r="W112" s="35" t="s">
        <v>66</v>
      </c>
      <c r="X112" s="629">
        <v>9</v>
      </c>
      <c r="Y112" s="630">
        <f>IFERROR(IF(X112="",0,CEILING((X112/$H112),1)*$H112),"")</f>
        <v>9.6</v>
      </c>
      <c r="Z112" s="36">
        <f>IFERROR(IF(Y112=0,"",ROUNDUP(Y112/H112,0)*0.00651),"")</f>
        <v>2.6040000000000001E-2</v>
      </c>
      <c r="AA112" s="56"/>
      <c r="AB112" s="57"/>
      <c r="AC112" s="169" t="s">
        <v>207</v>
      </c>
      <c r="AG112" s="64"/>
      <c r="AJ112" s="68"/>
      <c r="AK112" s="68">
        <v>0</v>
      </c>
      <c r="BB112" s="170" t="s">
        <v>1</v>
      </c>
      <c r="BM112" s="64">
        <f>IFERROR(X112*I112/H112,"0")</f>
        <v>9.6750000000000007</v>
      </c>
      <c r="BN112" s="64">
        <f>IFERROR(Y112*I112/H112,"0")</f>
        <v>10.32</v>
      </c>
      <c r="BO112" s="64">
        <f>IFERROR(1/J112*(X112/H112),"0")</f>
        <v>2.0604395604395608E-2</v>
      </c>
      <c r="BP112" s="64">
        <f>IFERROR(1/J112*(Y112/H112),"0")</f>
        <v>2.197802197802198E-2</v>
      </c>
    </row>
    <row r="113" spans="1:68" x14ac:dyDescent="0.2">
      <c r="A113" s="642"/>
      <c r="B113" s="643"/>
      <c r="C113" s="643"/>
      <c r="D113" s="643"/>
      <c r="E113" s="643"/>
      <c r="F113" s="643"/>
      <c r="G113" s="643"/>
      <c r="H113" s="643"/>
      <c r="I113" s="643"/>
      <c r="J113" s="643"/>
      <c r="K113" s="643"/>
      <c r="L113" s="643"/>
      <c r="M113" s="643"/>
      <c r="N113" s="643"/>
      <c r="O113" s="644"/>
      <c r="P113" s="646" t="s">
        <v>71</v>
      </c>
      <c r="Q113" s="647"/>
      <c r="R113" s="647"/>
      <c r="S113" s="647"/>
      <c r="T113" s="647"/>
      <c r="U113" s="647"/>
      <c r="V113" s="648"/>
      <c r="W113" s="37" t="s">
        <v>72</v>
      </c>
      <c r="X113" s="631">
        <f>IFERROR(X108/H108,"0")+IFERROR(X109/H109,"0")+IFERROR(X110/H110,"0")+IFERROR(X111/H111,"0")+IFERROR(X112/H112,"0")</f>
        <v>5.0462962962962958</v>
      </c>
      <c r="Y113" s="631">
        <f>IFERROR(Y108/H108,"0")+IFERROR(Y109/H109,"0")+IFERROR(Y110/H110,"0")+IFERROR(Y111/H111,"0")+IFERROR(Y112/H112,"0")</f>
        <v>6</v>
      </c>
      <c r="Z113" s="631">
        <f>IFERROR(IF(Z108="",0,Z108),"0")+IFERROR(IF(Z109="",0,Z109),"0")+IFERROR(IF(Z110="",0,Z110),"0")+IFERROR(IF(Z111="",0,Z111),"0")+IFERROR(IF(Z112="",0,Z112),"0")</f>
        <v>6.4000000000000001E-2</v>
      </c>
      <c r="AA113" s="632"/>
      <c r="AB113" s="632"/>
      <c r="AC113" s="632"/>
    </row>
    <row r="114" spans="1:68" x14ac:dyDescent="0.2">
      <c r="A114" s="643"/>
      <c r="B114" s="643"/>
      <c r="C114" s="643"/>
      <c r="D114" s="643"/>
      <c r="E114" s="643"/>
      <c r="F114" s="643"/>
      <c r="G114" s="643"/>
      <c r="H114" s="643"/>
      <c r="I114" s="643"/>
      <c r="J114" s="643"/>
      <c r="K114" s="643"/>
      <c r="L114" s="643"/>
      <c r="M114" s="643"/>
      <c r="N114" s="643"/>
      <c r="O114" s="644"/>
      <c r="P114" s="646" t="s">
        <v>71</v>
      </c>
      <c r="Q114" s="647"/>
      <c r="R114" s="647"/>
      <c r="S114" s="647"/>
      <c r="T114" s="647"/>
      <c r="U114" s="647"/>
      <c r="V114" s="648"/>
      <c r="W114" s="37" t="s">
        <v>66</v>
      </c>
      <c r="X114" s="631">
        <f>IFERROR(SUM(X108:X112),"0")</f>
        <v>23</v>
      </c>
      <c r="Y114" s="631">
        <f>IFERROR(SUM(Y108:Y112),"0")</f>
        <v>31.200000000000003</v>
      </c>
      <c r="Z114" s="37"/>
      <c r="AA114" s="632"/>
      <c r="AB114" s="632"/>
      <c r="AC114" s="632"/>
    </row>
    <row r="115" spans="1:68" ht="14.25" hidden="1" customHeight="1" x14ac:dyDescent="0.25">
      <c r="A115" s="653" t="s">
        <v>73</v>
      </c>
      <c r="B115" s="643"/>
      <c r="C115" s="643"/>
      <c r="D115" s="643"/>
      <c r="E115" s="643"/>
      <c r="F115" s="643"/>
      <c r="G115" s="643"/>
      <c r="H115" s="643"/>
      <c r="I115" s="643"/>
      <c r="J115" s="643"/>
      <c r="K115" s="643"/>
      <c r="L115" s="643"/>
      <c r="M115" s="643"/>
      <c r="N115" s="643"/>
      <c r="O115" s="643"/>
      <c r="P115" s="643"/>
      <c r="Q115" s="643"/>
      <c r="R115" s="643"/>
      <c r="S115" s="643"/>
      <c r="T115" s="643"/>
      <c r="U115" s="643"/>
      <c r="V115" s="643"/>
      <c r="W115" s="643"/>
      <c r="X115" s="643"/>
      <c r="Y115" s="643"/>
      <c r="Z115" s="643"/>
      <c r="AA115" s="625"/>
      <c r="AB115" s="625"/>
      <c r="AC115" s="625"/>
    </row>
    <row r="116" spans="1:68" ht="27" customHeight="1" x14ac:dyDescent="0.25">
      <c r="A116" s="54" t="s">
        <v>217</v>
      </c>
      <c r="B116" s="54" t="s">
        <v>218</v>
      </c>
      <c r="C116" s="31">
        <v>4301051724</v>
      </c>
      <c r="D116" s="633">
        <v>4607091385168</v>
      </c>
      <c r="E116" s="634"/>
      <c r="F116" s="628">
        <v>1.35</v>
      </c>
      <c r="G116" s="32">
        <v>6</v>
      </c>
      <c r="H116" s="628">
        <v>8.1</v>
      </c>
      <c r="I116" s="628">
        <v>8.5879999999999992</v>
      </c>
      <c r="J116" s="32">
        <v>64</v>
      </c>
      <c r="K116" s="32" t="s">
        <v>115</v>
      </c>
      <c r="L116" s="32"/>
      <c r="M116" s="33" t="s">
        <v>83</v>
      </c>
      <c r="N116" s="33"/>
      <c r="O116" s="32">
        <v>45</v>
      </c>
      <c r="P116" s="73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636"/>
      <c r="R116" s="636"/>
      <c r="S116" s="636"/>
      <c r="T116" s="637"/>
      <c r="U116" s="34"/>
      <c r="V116" s="34"/>
      <c r="W116" s="35" t="s">
        <v>66</v>
      </c>
      <c r="X116" s="629">
        <v>352</v>
      </c>
      <c r="Y116" s="630">
        <f>IFERROR(IF(X116="",0,CEILING((X116/$H116),1)*$H116),"")</f>
        <v>356.4</v>
      </c>
      <c r="Z116" s="36">
        <f>IFERROR(IF(Y116=0,"",ROUNDUP(Y116/H116,0)*0.01898),"")</f>
        <v>0.83511999999999997</v>
      </c>
      <c r="AA116" s="56"/>
      <c r="AB116" s="57"/>
      <c r="AC116" s="171" t="s">
        <v>219</v>
      </c>
      <c r="AG116" s="64"/>
      <c r="AJ116" s="68"/>
      <c r="AK116" s="68">
        <v>0</v>
      </c>
      <c r="BB116" s="172" t="s">
        <v>1</v>
      </c>
      <c r="BM116" s="64">
        <f>IFERROR(X116*I116/H116,"0")</f>
        <v>373.20691358024686</v>
      </c>
      <c r="BN116" s="64">
        <f>IFERROR(Y116*I116/H116,"0")</f>
        <v>377.87199999999996</v>
      </c>
      <c r="BO116" s="64">
        <f>IFERROR(1/J116*(X116/H116),"0")</f>
        <v>0.67901234567901236</v>
      </c>
      <c r="BP116" s="64">
        <f>IFERROR(1/J116*(Y116/H116),"0")</f>
        <v>0.6875</v>
      </c>
    </row>
    <row r="117" spans="1:68" ht="27" hidden="1" customHeight="1" x14ac:dyDescent="0.25">
      <c r="A117" s="54" t="s">
        <v>220</v>
      </c>
      <c r="B117" s="54" t="s">
        <v>221</v>
      </c>
      <c r="C117" s="31">
        <v>4301051730</v>
      </c>
      <c r="D117" s="633">
        <v>4607091383256</v>
      </c>
      <c r="E117" s="634"/>
      <c r="F117" s="628">
        <v>0.33</v>
      </c>
      <c r="G117" s="32">
        <v>6</v>
      </c>
      <c r="H117" s="628">
        <v>1.98</v>
      </c>
      <c r="I117" s="628">
        <v>2.226</v>
      </c>
      <c r="J117" s="32">
        <v>182</v>
      </c>
      <c r="K117" s="32" t="s">
        <v>76</v>
      </c>
      <c r="L117" s="32"/>
      <c r="M117" s="33" t="s">
        <v>83</v>
      </c>
      <c r="N117" s="33"/>
      <c r="O117" s="32">
        <v>45</v>
      </c>
      <c r="P117" s="77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636"/>
      <c r="R117" s="636"/>
      <c r="S117" s="636"/>
      <c r="T117" s="637"/>
      <c r="U117" s="34"/>
      <c r="V117" s="34"/>
      <c r="W117" s="35" t="s">
        <v>66</v>
      </c>
      <c r="X117" s="629">
        <v>0</v>
      </c>
      <c r="Y117" s="63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73" t="s">
        <v>219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customHeight="1" x14ac:dyDescent="0.25">
      <c r="A118" s="54" t="s">
        <v>222</v>
      </c>
      <c r="B118" s="54" t="s">
        <v>223</v>
      </c>
      <c r="C118" s="31">
        <v>4301051721</v>
      </c>
      <c r="D118" s="633">
        <v>4607091385748</v>
      </c>
      <c r="E118" s="634"/>
      <c r="F118" s="628">
        <v>0.45</v>
      </c>
      <c r="G118" s="32">
        <v>6</v>
      </c>
      <c r="H118" s="628">
        <v>2.7</v>
      </c>
      <c r="I118" s="628">
        <v>2.952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76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636"/>
      <c r="R118" s="636"/>
      <c r="S118" s="636"/>
      <c r="T118" s="637"/>
      <c r="U118" s="34"/>
      <c r="V118" s="34"/>
      <c r="W118" s="35" t="s">
        <v>66</v>
      </c>
      <c r="X118" s="629">
        <v>14</v>
      </c>
      <c r="Y118" s="630">
        <f>IFERROR(IF(X118="",0,CEILING((X118/$H118),1)*$H118),"")</f>
        <v>16.200000000000003</v>
      </c>
      <c r="Z118" s="36">
        <f>IFERROR(IF(Y118=0,"",ROUNDUP(Y118/H118,0)*0.00651),"")</f>
        <v>3.9059999999999997E-2</v>
      </c>
      <c r="AA118" s="56"/>
      <c r="AB118" s="57"/>
      <c r="AC118" s="175" t="s">
        <v>219</v>
      </c>
      <c r="AG118" s="64"/>
      <c r="AJ118" s="68"/>
      <c r="AK118" s="68">
        <v>0</v>
      </c>
      <c r="BB118" s="176" t="s">
        <v>1</v>
      </c>
      <c r="BM118" s="64">
        <f>IFERROR(X118*I118/H118,"0")</f>
        <v>15.306666666666667</v>
      </c>
      <c r="BN118" s="64">
        <f>IFERROR(Y118*I118/H118,"0")</f>
        <v>17.712000000000003</v>
      </c>
      <c r="BO118" s="64">
        <f>IFERROR(1/J118*(X118/H118),"0")</f>
        <v>2.8490028490028491E-2</v>
      </c>
      <c r="BP118" s="64">
        <f>IFERROR(1/J118*(Y118/H118),"0")</f>
        <v>3.2967032967032975E-2</v>
      </c>
    </row>
    <row r="119" spans="1:68" ht="16.5" hidden="1" customHeight="1" x14ac:dyDescent="0.25">
      <c r="A119" s="54" t="s">
        <v>224</v>
      </c>
      <c r="B119" s="54" t="s">
        <v>225</v>
      </c>
      <c r="C119" s="31">
        <v>4301051740</v>
      </c>
      <c r="D119" s="633">
        <v>4680115884533</v>
      </c>
      <c r="E119" s="634"/>
      <c r="F119" s="628">
        <v>0.3</v>
      </c>
      <c r="G119" s="32">
        <v>6</v>
      </c>
      <c r="H119" s="628">
        <v>1.8</v>
      </c>
      <c r="I119" s="628">
        <v>1.98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45</v>
      </c>
      <c r="P119" s="78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636"/>
      <c r="R119" s="636"/>
      <c r="S119" s="636"/>
      <c r="T119" s="637"/>
      <c r="U119" s="34"/>
      <c r="V119" s="34"/>
      <c r="W119" s="35" t="s">
        <v>66</v>
      </c>
      <c r="X119" s="629">
        <v>0</v>
      </c>
      <c r="Y119" s="63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226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642"/>
      <c r="B120" s="643"/>
      <c r="C120" s="643"/>
      <c r="D120" s="643"/>
      <c r="E120" s="643"/>
      <c r="F120" s="643"/>
      <c r="G120" s="643"/>
      <c r="H120" s="643"/>
      <c r="I120" s="643"/>
      <c r="J120" s="643"/>
      <c r="K120" s="643"/>
      <c r="L120" s="643"/>
      <c r="M120" s="643"/>
      <c r="N120" s="643"/>
      <c r="O120" s="644"/>
      <c r="P120" s="646" t="s">
        <v>71</v>
      </c>
      <c r="Q120" s="647"/>
      <c r="R120" s="647"/>
      <c r="S120" s="647"/>
      <c r="T120" s="647"/>
      <c r="U120" s="647"/>
      <c r="V120" s="648"/>
      <c r="W120" s="37" t="s">
        <v>72</v>
      </c>
      <c r="X120" s="631">
        <f>IFERROR(X116/H116,"0")+IFERROR(X117/H117,"0")+IFERROR(X118/H118,"0")+IFERROR(X119/H119,"0")</f>
        <v>48.641975308641975</v>
      </c>
      <c r="Y120" s="631">
        <f>IFERROR(Y116/H116,"0")+IFERROR(Y117/H117,"0")+IFERROR(Y118/H118,"0")+IFERROR(Y119/H119,"0")</f>
        <v>50</v>
      </c>
      <c r="Z120" s="631">
        <f>IFERROR(IF(Z116="",0,Z116),"0")+IFERROR(IF(Z117="",0,Z117),"0")+IFERROR(IF(Z118="",0,Z118),"0")+IFERROR(IF(Z119="",0,Z119),"0")</f>
        <v>0.87417999999999996</v>
      </c>
      <c r="AA120" s="632"/>
      <c r="AB120" s="632"/>
      <c r="AC120" s="632"/>
    </row>
    <row r="121" spans="1:68" x14ac:dyDescent="0.2">
      <c r="A121" s="643"/>
      <c r="B121" s="643"/>
      <c r="C121" s="643"/>
      <c r="D121" s="643"/>
      <c r="E121" s="643"/>
      <c r="F121" s="643"/>
      <c r="G121" s="643"/>
      <c r="H121" s="643"/>
      <c r="I121" s="643"/>
      <c r="J121" s="643"/>
      <c r="K121" s="643"/>
      <c r="L121" s="643"/>
      <c r="M121" s="643"/>
      <c r="N121" s="643"/>
      <c r="O121" s="644"/>
      <c r="P121" s="646" t="s">
        <v>71</v>
      </c>
      <c r="Q121" s="647"/>
      <c r="R121" s="647"/>
      <c r="S121" s="647"/>
      <c r="T121" s="647"/>
      <c r="U121" s="647"/>
      <c r="V121" s="648"/>
      <c r="W121" s="37" t="s">
        <v>66</v>
      </c>
      <c r="X121" s="631">
        <f>IFERROR(SUM(X116:X119),"0")</f>
        <v>366</v>
      </c>
      <c r="Y121" s="631">
        <f>IFERROR(SUM(Y116:Y119),"0")</f>
        <v>372.59999999999997</v>
      </c>
      <c r="Z121" s="37"/>
      <c r="AA121" s="632"/>
      <c r="AB121" s="632"/>
      <c r="AC121" s="632"/>
    </row>
    <row r="122" spans="1:68" ht="14.25" hidden="1" customHeight="1" x14ac:dyDescent="0.25">
      <c r="A122" s="653" t="s">
        <v>162</v>
      </c>
      <c r="B122" s="643"/>
      <c r="C122" s="643"/>
      <c r="D122" s="643"/>
      <c r="E122" s="643"/>
      <c r="F122" s="643"/>
      <c r="G122" s="643"/>
      <c r="H122" s="643"/>
      <c r="I122" s="643"/>
      <c r="J122" s="643"/>
      <c r="K122" s="643"/>
      <c r="L122" s="643"/>
      <c r="M122" s="643"/>
      <c r="N122" s="643"/>
      <c r="O122" s="643"/>
      <c r="P122" s="643"/>
      <c r="Q122" s="643"/>
      <c r="R122" s="643"/>
      <c r="S122" s="643"/>
      <c r="T122" s="643"/>
      <c r="U122" s="643"/>
      <c r="V122" s="643"/>
      <c r="W122" s="643"/>
      <c r="X122" s="643"/>
      <c r="Y122" s="643"/>
      <c r="Z122" s="643"/>
      <c r="AA122" s="625"/>
      <c r="AB122" s="625"/>
      <c r="AC122" s="625"/>
    </row>
    <row r="123" spans="1:68" ht="16.5" customHeight="1" x14ac:dyDescent="0.25">
      <c r="A123" s="54" t="s">
        <v>227</v>
      </c>
      <c r="B123" s="54" t="s">
        <v>228</v>
      </c>
      <c r="C123" s="31">
        <v>4301060317</v>
      </c>
      <c r="D123" s="633">
        <v>4680115880238</v>
      </c>
      <c r="E123" s="634"/>
      <c r="F123" s="628">
        <v>0.33</v>
      </c>
      <c r="G123" s="32">
        <v>6</v>
      </c>
      <c r="H123" s="628">
        <v>1.98</v>
      </c>
      <c r="I123" s="628">
        <v>2.238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40</v>
      </c>
      <c r="P123" s="9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636"/>
      <c r="R123" s="636"/>
      <c r="S123" s="636"/>
      <c r="T123" s="637"/>
      <c r="U123" s="34"/>
      <c r="V123" s="34"/>
      <c r="W123" s="35" t="s">
        <v>66</v>
      </c>
      <c r="X123" s="629">
        <v>26</v>
      </c>
      <c r="Y123" s="630">
        <f>IFERROR(IF(X123="",0,CEILING((X123/$H123),1)*$H123),"")</f>
        <v>27.72</v>
      </c>
      <c r="Z123" s="36">
        <f>IFERROR(IF(Y123=0,"",ROUNDUP(Y123/H123,0)*0.00651),"")</f>
        <v>9.1139999999999999E-2</v>
      </c>
      <c r="AA123" s="56"/>
      <c r="AB123" s="57"/>
      <c r="AC123" s="179" t="s">
        <v>229</v>
      </c>
      <c r="AG123" s="64"/>
      <c r="AJ123" s="68"/>
      <c r="AK123" s="68">
        <v>0</v>
      </c>
      <c r="BB123" s="180" t="s">
        <v>1</v>
      </c>
      <c r="BM123" s="64">
        <f>IFERROR(X123*I123/H123,"0")</f>
        <v>29.38787878787879</v>
      </c>
      <c r="BN123" s="64">
        <f>IFERROR(Y123*I123/H123,"0")</f>
        <v>31.332000000000001</v>
      </c>
      <c r="BO123" s="64">
        <f>IFERROR(1/J123*(X123/H123),"0")</f>
        <v>7.2150072150072159E-2</v>
      </c>
      <c r="BP123" s="64">
        <f>IFERROR(1/J123*(Y123/H123),"0")</f>
        <v>7.6923076923076927E-2</v>
      </c>
    </row>
    <row r="124" spans="1:68" x14ac:dyDescent="0.2">
      <c r="A124" s="642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44"/>
      <c r="P124" s="646" t="s">
        <v>71</v>
      </c>
      <c r="Q124" s="647"/>
      <c r="R124" s="647"/>
      <c r="S124" s="647"/>
      <c r="T124" s="647"/>
      <c r="U124" s="647"/>
      <c r="V124" s="648"/>
      <c r="W124" s="37" t="s">
        <v>72</v>
      </c>
      <c r="X124" s="631">
        <f>IFERROR(X123/H123,"0")</f>
        <v>13.131313131313131</v>
      </c>
      <c r="Y124" s="631">
        <f>IFERROR(Y123/H123,"0")</f>
        <v>14</v>
      </c>
      <c r="Z124" s="631">
        <f>IFERROR(IF(Z123="",0,Z123),"0")</f>
        <v>9.1139999999999999E-2</v>
      </c>
      <c r="AA124" s="632"/>
      <c r="AB124" s="632"/>
      <c r="AC124" s="632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44"/>
      <c r="P125" s="646" t="s">
        <v>71</v>
      </c>
      <c r="Q125" s="647"/>
      <c r="R125" s="647"/>
      <c r="S125" s="647"/>
      <c r="T125" s="647"/>
      <c r="U125" s="647"/>
      <c r="V125" s="648"/>
      <c r="W125" s="37" t="s">
        <v>66</v>
      </c>
      <c r="X125" s="631">
        <f>IFERROR(SUM(X123:X123),"0")</f>
        <v>26</v>
      </c>
      <c r="Y125" s="631">
        <f>IFERROR(SUM(Y123:Y123),"0")</f>
        <v>27.72</v>
      </c>
      <c r="Z125" s="37"/>
      <c r="AA125" s="632"/>
      <c r="AB125" s="632"/>
      <c r="AC125" s="632"/>
    </row>
    <row r="126" spans="1:68" ht="16.5" hidden="1" customHeight="1" x14ac:dyDescent="0.25">
      <c r="A126" s="677" t="s">
        <v>230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4"/>
      <c r="AB126" s="624"/>
      <c r="AC126" s="624"/>
    </row>
    <row r="127" spans="1:68" ht="14.25" hidden="1" customHeight="1" x14ac:dyDescent="0.25">
      <c r="A127" s="653" t="s">
        <v>112</v>
      </c>
      <c r="B127" s="643"/>
      <c r="C127" s="643"/>
      <c r="D127" s="643"/>
      <c r="E127" s="643"/>
      <c r="F127" s="643"/>
      <c r="G127" s="643"/>
      <c r="H127" s="643"/>
      <c r="I127" s="643"/>
      <c r="J127" s="643"/>
      <c r="K127" s="643"/>
      <c r="L127" s="643"/>
      <c r="M127" s="643"/>
      <c r="N127" s="643"/>
      <c r="O127" s="643"/>
      <c r="P127" s="643"/>
      <c r="Q127" s="643"/>
      <c r="R127" s="643"/>
      <c r="S127" s="643"/>
      <c r="T127" s="643"/>
      <c r="U127" s="643"/>
      <c r="V127" s="643"/>
      <c r="W127" s="643"/>
      <c r="X127" s="643"/>
      <c r="Y127" s="643"/>
      <c r="Z127" s="643"/>
      <c r="AA127" s="625"/>
      <c r="AB127" s="625"/>
      <c r="AC127" s="625"/>
    </row>
    <row r="128" spans="1:68" ht="27" hidden="1" customHeight="1" x14ac:dyDescent="0.25">
      <c r="A128" s="54" t="s">
        <v>231</v>
      </c>
      <c r="B128" s="54" t="s">
        <v>232</v>
      </c>
      <c r="C128" s="31">
        <v>4301012347</v>
      </c>
      <c r="D128" s="633">
        <v>4680115888784</v>
      </c>
      <c r="E128" s="634"/>
      <c r="F128" s="628">
        <v>1</v>
      </c>
      <c r="G128" s="32">
        <v>6</v>
      </c>
      <c r="H128" s="628">
        <v>6</v>
      </c>
      <c r="I128" s="628">
        <v>6.38</v>
      </c>
      <c r="J128" s="32">
        <v>104</v>
      </c>
      <c r="K128" s="32" t="s">
        <v>115</v>
      </c>
      <c r="L128" s="32"/>
      <c r="M128" s="33" t="s">
        <v>233</v>
      </c>
      <c r="N128" s="33"/>
      <c r="O128" s="32">
        <v>90</v>
      </c>
      <c r="P128" s="946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636"/>
      <c r="R128" s="636"/>
      <c r="S128" s="636"/>
      <c r="T128" s="637"/>
      <c r="U128" s="34"/>
      <c r="V128" s="34"/>
      <c r="W128" s="35" t="s">
        <v>66</v>
      </c>
      <c r="X128" s="629">
        <v>0</v>
      </c>
      <c r="Y128" s="630">
        <f>IFERROR(IF(X128="",0,CEILING((X128/$H128),1)*$H128),"")</f>
        <v>0</v>
      </c>
      <c r="Z128" s="36" t="str">
        <f>IFERROR(IF(Y128=0,"",ROUNDUP(Y128/H128,0)*0.01196),"")</f>
        <v/>
      </c>
      <c r="AA128" s="56"/>
      <c r="AB128" s="57"/>
      <c r="AC128" s="181" t="s">
        <v>234</v>
      </c>
      <c r="AG128" s="64"/>
      <c r="AJ128" s="68"/>
      <c r="AK128" s="68">
        <v>0</v>
      </c>
      <c r="BB128" s="182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t="27" customHeight="1" x14ac:dyDescent="0.25">
      <c r="A129" s="54" t="s">
        <v>235</v>
      </c>
      <c r="B129" s="54" t="s">
        <v>236</v>
      </c>
      <c r="C129" s="31">
        <v>4301011562</v>
      </c>
      <c r="D129" s="633">
        <v>4680115882577</v>
      </c>
      <c r="E129" s="634"/>
      <c r="F129" s="628">
        <v>0.4</v>
      </c>
      <c r="G129" s="32">
        <v>8</v>
      </c>
      <c r="H129" s="628">
        <v>3.2</v>
      </c>
      <c r="I129" s="628">
        <v>3.38</v>
      </c>
      <c r="J129" s="32">
        <v>182</v>
      </c>
      <c r="K129" s="32" t="s">
        <v>76</v>
      </c>
      <c r="L129" s="32"/>
      <c r="M129" s="33" t="s">
        <v>237</v>
      </c>
      <c r="N129" s="33"/>
      <c r="O129" s="32">
        <v>90</v>
      </c>
      <c r="P129" s="74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636"/>
      <c r="R129" s="636"/>
      <c r="S129" s="636"/>
      <c r="T129" s="637"/>
      <c r="U129" s="34"/>
      <c r="V129" s="34"/>
      <c r="W129" s="35" t="s">
        <v>66</v>
      </c>
      <c r="X129" s="629">
        <v>32</v>
      </c>
      <c r="Y129" s="630">
        <f>IFERROR(IF(X129="",0,CEILING((X129/$H129),1)*$H129),"")</f>
        <v>32</v>
      </c>
      <c r="Z129" s="36">
        <f>IFERROR(IF(Y129=0,"",ROUNDUP(Y129/H129,0)*0.00651),"")</f>
        <v>6.5100000000000005E-2</v>
      </c>
      <c r="AA129" s="56"/>
      <c r="AB129" s="57"/>
      <c r="AC129" s="183" t="s">
        <v>238</v>
      </c>
      <c r="AG129" s="64"/>
      <c r="AJ129" s="68"/>
      <c r="AK129" s="68">
        <v>0</v>
      </c>
      <c r="BB129" s="184" t="s">
        <v>1</v>
      </c>
      <c r="BM129" s="64">
        <f>IFERROR(X129*I129/H129,"0")</f>
        <v>33.799999999999997</v>
      </c>
      <c r="BN129" s="64">
        <f>IFERROR(Y129*I129/H129,"0")</f>
        <v>33.799999999999997</v>
      </c>
      <c r="BO129" s="64">
        <f>IFERROR(1/J129*(X129/H129),"0")</f>
        <v>5.4945054945054951E-2</v>
      </c>
      <c r="BP129" s="64">
        <f>IFERROR(1/J129*(Y129/H129),"0")</f>
        <v>5.4945054945054951E-2</v>
      </c>
    </row>
    <row r="130" spans="1:68" ht="27" hidden="1" customHeight="1" x14ac:dyDescent="0.25">
      <c r="A130" s="54" t="s">
        <v>235</v>
      </c>
      <c r="B130" s="54" t="s">
        <v>239</v>
      </c>
      <c r="C130" s="31">
        <v>4301011564</v>
      </c>
      <c r="D130" s="633">
        <v>4680115882577</v>
      </c>
      <c r="E130" s="634"/>
      <c r="F130" s="628">
        <v>0.4</v>
      </c>
      <c r="G130" s="32">
        <v>8</v>
      </c>
      <c r="H130" s="628">
        <v>3.2</v>
      </c>
      <c r="I130" s="628">
        <v>3.38</v>
      </c>
      <c r="J130" s="32">
        <v>182</v>
      </c>
      <c r="K130" s="32" t="s">
        <v>76</v>
      </c>
      <c r="L130" s="32"/>
      <c r="M130" s="33" t="s">
        <v>237</v>
      </c>
      <c r="N130" s="33"/>
      <c r="O130" s="32">
        <v>90</v>
      </c>
      <c r="P130" s="90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636"/>
      <c r="R130" s="636"/>
      <c r="S130" s="636"/>
      <c r="T130" s="637"/>
      <c r="U130" s="34"/>
      <c r="V130" s="34"/>
      <c r="W130" s="35" t="s">
        <v>66</v>
      </c>
      <c r="X130" s="629">
        <v>0</v>
      </c>
      <c r="Y130" s="63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238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642"/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4"/>
      <c r="P131" s="646" t="s">
        <v>71</v>
      </c>
      <c r="Q131" s="647"/>
      <c r="R131" s="647"/>
      <c r="S131" s="647"/>
      <c r="T131" s="647"/>
      <c r="U131" s="647"/>
      <c r="V131" s="648"/>
      <c r="W131" s="37" t="s">
        <v>72</v>
      </c>
      <c r="X131" s="631">
        <f>IFERROR(X128/H128,"0")+IFERROR(X129/H129,"0")+IFERROR(X130/H130,"0")</f>
        <v>10</v>
      </c>
      <c r="Y131" s="631">
        <f>IFERROR(Y128/H128,"0")+IFERROR(Y129/H129,"0")+IFERROR(Y130/H130,"0")</f>
        <v>10</v>
      </c>
      <c r="Z131" s="631">
        <f>IFERROR(IF(Z128="",0,Z128),"0")+IFERROR(IF(Z129="",0,Z129),"0")+IFERROR(IF(Z130="",0,Z130),"0")</f>
        <v>6.5100000000000005E-2</v>
      </c>
      <c r="AA131" s="632"/>
      <c r="AB131" s="632"/>
      <c r="AC131" s="632"/>
    </row>
    <row r="132" spans="1:68" x14ac:dyDescent="0.2">
      <c r="A132" s="643"/>
      <c r="B132" s="643"/>
      <c r="C132" s="643"/>
      <c r="D132" s="643"/>
      <c r="E132" s="643"/>
      <c r="F132" s="643"/>
      <c r="G132" s="643"/>
      <c r="H132" s="643"/>
      <c r="I132" s="643"/>
      <c r="J132" s="643"/>
      <c r="K132" s="643"/>
      <c r="L132" s="643"/>
      <c r="M132" s="643"/>
      <c r="N132" s="643"/>
      <c r="O132" s="644"/>
      <c r="P132" s="646" t="s">
        <v>71</v>
      </c>
      <c r="Q132" s="647"/>
      <c r="R132" s="647"/>
      <c r="S132" s="647"/>
      <c r="T132" s="647"/>
      <c r="U132" s="647"/>
      <c r="V132" s="648"/>
      <c r="W132" s="37" t="s">
        <v>66</v>
      </c>
      <c r="X132" s="631">
        <f>IFERROR(SUM(X128:X130),"0")</f>
        <v>32</v>
      </c>
      <c r="Y132" s="631">
        <f>IFERROR(SUM(Y128:Y130),"0")</f>
        <v>32</v>
      </c>
      <c r="Z132" s="37"/>
      <c r="AA132" s="632"/>
      <c r="AB132" s="632"/>
      <c r="AC132" s="632"/>
    </row>
    <row r="133" spans="1:68" ht="14.25" hidden="1" customHeight="1" x14ac:dyDescent="0.25">
      <c r="A133" s="653" t="s">
        <v>61</v>
      </c>
      <c r="B133" s="643"/>
      <c r="C133" s="643"/>
      <c r="D133" s="643"/>
      <c r="E133" s="643"/>
      <c r="F133" s="643"/>
      <c r="G133" s="643"/>
      <c r="H133" s="643"/>
      <c r="I133" s="643"/>
      <c r="J133" s="643"/>
      <c r="K133" s="643"/>
      <c r="L133" s="643"/>
      <c r="M133" s="643"/>
      <c r="N133" s="643"/>
      <c r="O133" s="643"/>
      <c r="P133" s="643"/>
      <c r="Q133" s="643"/>
      <c r="R133" s="643"/>
      <c r="S133" s="643"/>
      <c r="T133" s="643"/>
      <c r="U133" s="643"/>
      <c r="V133" s="643"/>
      <c r="W133" s="643"/>
      <c r="X133" s="643"/>
      <c r="Y133" s="643"/>
      <c r="Z133" s="643"/>
      <c r="AA133" s="625"/>
      <c r="AB133" s="625"/>
      <c r="AC133" s="625"/>
    </row>
    <row r="134" spans="1:68" ht="16.5" hidden="1" customHeight="1" x14ac:dyDescent="0.25">
      <c r="A134" s="54" t="s">
        <v>240</v>
      </c>
      <c r="B134" s="54" t="s">
        <v>241</v>
      </c>
      <c r="C134" s="31">
        <v>4301031506</v>
      </c>
      <c r="D134" s="633">
        <v>4680115888913</v>
      </c>
      <c r="E134" s="634"/>
      <c r="F134" s="628">
        <v>0.7</v>
      </c>
      <c r="G134" s="32">
        <v>6</v>
      </c>
      <c r="H134" s="628">
        <v>4.2</v>
      </c>
      <c r="I134" s="628">
        <v>4.58</v>
      </c>
      <c r="J134" s="32">
        <v>104</v>
      </c>
      <c r="K134" s="32" t="s">
        <v>115</v>
      </c>
      <c r="L134" s="32"/>
      <c r="M134" s="33" t="s">
        <v>233</v>
      </c>
      <c r="N134" s="33"/>
      <c r="O134" s="32">
        <v>90</v>
      </c>
      <c r="P134" s="976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636"/>
      <c r="R134" s="636"/>
      <c r="S134" s="636"/>
      <c r="T134" s="637"/>
      <c r="U134" s="34"/>
      <c r="V134" s="34"/>
      <c r="W134" s="35" t="s">
        <v>66</v>
      </c>
      <c r="X134" s="629">
        <v>0</v>
      </c>
      <c r="Y134" s="630">
        <f>IFERROR(IF(X134="",0,CEILING((X134/$H134),1)*$H134),"")</f>
        <v>0</v>
      </c>
      <c r="Z134" s="36" t="str">
        <f>IFERROR(IF(Y134=0,"",ROUNDUP(Y134/H134,0)*0.01196),"")</f>
        <v/>
      </c>
      <c r="AA134" s="56"/>
      <c r="AB134" s="57"/>
      <c r="AC134" s="187" t="s">
        <v>242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243</v>
      </c>
      <c r="B135" s="54" t="s">
        <v>244</v>
      </c>
      <c r="C135" s="31">
        <v>4301031234</v>
      </c>
      <c r="D135" s="633">
        <v>4680115883444</v>
      </c>
      <c r="E135" s="634"/>
      <c r="F135" s="628">
        <v>0.35</v>
      </c>
      <c r="G135" s="32">
        <v>8</v>
      </c>
      <c r="H135" s="628">
        <v>2.8</v>
      </c>
      <c r="I135" s="628">
        <v>3.0680000000000001</v>
      </c>
      <c r="J135" s="32">
        <v>182</v>
      </c>
      <c r="K135" s="32" t="s">
        <v>76</v>
      </c>
      <c r="L135" s="32"/>
      <c r="M135" s="33" t="s">
        <v>237</v>
      </c>
      <c r="N135" s="33"/>
      <c r="O135" s="32">
        <v>90</v>
      </c>
      <c r="P135" s="94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36"/>
      <c r="R135" s="636"/>
      <c r="S135" s="636"/>
      <c r="T135" s="637"/>
      <c r="U135" s="34"/>
      <c r="V135" s="34"/>
      <c r="W135" s="35" t="s">
        <v>66</v>
      </c>
      <c r="X135" s="629">
        <v>42</v>
      </c>
      <c r="Y135" s="630">
        <f>IFERROR(IF(X135="",0,CEILING((X135/$H135),1)*$H135),"")</f>
        <v>42</v>
      </c>
      <c r="Z135" s="36">
        <f>IFERROR(IF(Y135=0,"",ROUNDUP(Y135/H135,0)*0.00651),"")</f>
        <v>9.7650000000000001E-2</v>
      </c>
      <c r="AA135" s="56"/>
      <c r="AB135" s="57"/>
      <c r="AC135" s="189" t="s">
        <v>245</v>
      </c>
      <c r="AG135" s="64"/>
      <c r="AJ135" s="68"/>
      <c r="AK135" s="68">
        <v>0</v>
      </c>
      <c r="BB135" s="190" t="s">
        <v>1</v>
      </c>
      <c r="BM135" s="64">
        <f>IFERROR(X135*I135/H135,"0")</f>
        <v>46.02</v>
      </c>
      <c r="BN135" s="64">
        <f>IFERROR(Y135*I135/H135,"0")</f>
        <v>46.02</v>
      </c>
      <c r="BO135" s="64">
        <f>IFERROR(1/J135*(X135/H135),"0")</f>
        <v>8.241758241758243E-2</v>
      </c>
      <c r="BP135" s="64">
        <f>IFERROR(1/J135*(Y135/H135),"0")</f>
        <v>8.241758241758243E-2</v>
      </c>
    </row>
    <row r="136" spans="1:68" ht="27" hidden="1" customHeight="1" x14ac:dyDescent="0.25">
      <c r="A136" s="54" t="s">
        <v>243</v>
      </c>
      <c r="B136" s="54" t="s">
        <v>246</v>
      </c>
      <c r="C136" s="31">
        <v>4301031235</v>
      </c>
      <c r="D136" s="633">
        <v>4680115883444</v>
      </c>
      <c r="E136" s="634"/>
      <c r="F136" s="628">
        <v>0.35</v>
      </c>
      <c r="G136" s="32">
        <v>8</v>
      </c>
      <c r="H136" s="628">
        <v>2.8</v>
      </c>
      <c r="I136" s="628">
        <v>3.0680000000000001</v>
      </c>
      <c r="J136" s="32">
        <v>182</v>
      </c>
      <c r="K136" s="32" t="s">
        <v>76</v>
      </c>
      <c r="L136" s="32"/>
      <c r="M136" s="33" t="s">
        <v>237</v>
      </c>
      <c r="N136" s="33"/>
      <c r="O136" s="32">
        <v>90</v>
      </c>
      <c r="P136" s="97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36"/>
      <c r="R136" s="636"/>
      <c r="S136" s="636"/>
      <c r="T136" s="637"/>
      <c r="U136" s="34"/>
      <c r="V136" s="34"/>
      <c r="W136" s="35" t="s">
        <v>66</v>
      </c>
      <c r="X136" s="629">
        <v>0</v>
      </c>
      <c r="Y136" s="63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245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247</v>
      </c>
      <c r="B137" s="54" t="s">
        <v>248</v>
      </c>
      <c r="C137" s="31">
        <v>4301031504</v>
      </c>
      <c r="D137" s="633">
        <v>4680115888920</v>
      </c>
      <c r="E137" s="634"/>
      <c r="F137" s="628">
        <v>0.35</v>
      </c>
      <c r="G137" s="32">
        <v>8</v>
      </c>
      <c r="H137" s="628">
        <v>2.8</v>
      </c>
      <c r="I137" s="628">
        <v>2.94</v>
      </c>
      <c r="J137" s="32">
        <v>234</v>
      </c>
      <c r="K137" s="32" t="s">
        <v>64</v>
      </c>
      <c r="L137" s="32"/>
      <c r="M137" s="33" t="s">
        <v>233</v>
      </c>
      <c r="N137" s="33"/>
      <c r="O137" s="32">
        <v>90</v>
      </c>
      <c r="P137" s="792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636"/>
      <c r="R137" s="636"/>
      <c r="S137" s="636"/>
      <c r="T137" s="637"/>
      <c r="U137" s="34"/>
      <c r="V137" s="34"/>
      <c r="W137" s="35" t="s">
        <v>66</v>
      </c>
      <c r="X137" s="629">
        <v>0</v>
      </c>
      <c r="Y137" s="630">
        <f>IFERROR(IF(X137="",0,CEILING((X137/$H137),1)*$H137),"")</f>
        <v>0</v>
      </c>
      <c r="Z137" s="36" t="str">
        <f>IFERROR(IF(Y137=0,"",ROUNDUP(Y137/H137,0)*0.00502),"")</f>
        <v/>
      </c>
      <c r="AA137" s="56"/>
      <c r="AB137" s="57"/>
      <c r="AC137" s="193" t="s">
        <v>242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42"/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4"/>
      <c r="P138" s="646" t="s">
        <v>71</v>
      </c>
      <c r="Q138" s="647"/>
      <c r="R138" s="647"/>
      <c r="S138" s="647"/>
      <c r="T138" s="647"/>
      <c r="U138" s="647"/>
      <c r="V138" s="648"/>
      <c r="W138" s="37" t="s">
        <v>72</v>
      </c>
      <c r="X138" s="631">
        <f>IFERROR(X134/H134,"0")+IFERROR(X135/H135,"0")+IFERROR(X136/H136,"0")+IFERROR(X137/H137,"0")</f>
        <v>15.000000000000002</v>
      </c>
      <c r="Y138" s="631">
        <f>IFERROR(Y134/H134,"0")+IFERROR(Y135/H135,"0")+IFERROR(Y136/H136,"0")+IFERROR(Y137/H137,"0")</f>
        <v>15.000000000000002</v>
      </c>
      <c r="Z138" s="631">
        <f>IFERROR(IF(Z134="",0,Z134),"0")+IFERROR(IF(Z135="",0,Z135),"0")+IFERROR(IF(Z136="",0,Z136),"0")+IFERROR(IF(Z137="",0,Z137),"0")</f>
        <v>9.7650000000000001E-2</v>
      </c>
      <c r="AA138" s="632"/>
      <c r="AB138" s="632"/>
      <c r="AC138" s="632"/>
    </row>
    <row r="139" spans="1:68" x14ac:dyDescent="0.2">
      <c r="A139" s="643"/>
      <c r="B139" s="643"/>
      <c r="C139" s="643"/>
      <c r="D139" s="643"/>
      <c r="E139" s="643"/>
      <c r="F139" s="643"/>
      <c r="G139" s="643"/>
      <c r="H139" s="643"/>
      <c r="I139" s="643"/>
      <c r="J139" s="643"/>
      <c r="K139" s="643"/>
      <c r="L139" s="643"/>
      <c r="M139" s="643"/>
      <c r="N139" s="643"/>
      <c r="O139" s="644"/>
      <c r="P139" s="646" t="s">
        <v>71</v>
      </c>
      <c r="Q139" s="647"/>
      <c r="R139" s="647"/>
      <c r="S139" s="647"/>
      <c r="T139" s="647"/>
      <c r="U139" s="647"/>
      <c r="V139" s="648"/>
      <c r="W139" s="37" t="s">
        <v>66</v>
      </c>
      <c r="X139" s="631">
        <f>IFERROR(SUM(X134:X137),"0")</f>
        <v>42</v>
      </c>
      <c r="Y139" s="631">
        <f>IFERROR(SUM(Y134:Y137),"0")</f>
        <v>42</v>
      </c>
      <c r="Z139" s="37"/>
      <c r="AA139" s="632"/>
      <c r="AB139" s="632"/>
      <c r="AC139" s="632"/>
    </row>
    <row r="140" spans="1:68" ht="14.25" hidden="1" customHeight="1" x14ac:dyDescent="0.25">
      <c r="A140" s="653" t="s">
        <v>73</v>
      </c>
      <c r="B140" s="643"/>
      <c r="C140" s="643"/>
      <c r="D140" s="643"/>
      <c r="E140" s="643"/>
      <c r="F140" s="643"/>
      <c r="G140" s="643"/>
      <c r="H140" s="643"/>
      <c r="I140" s="643"/>
      <c r="J140" s="643"/>
      <c r="K140" s="643"/>
      <c r="L140" s="643"/>
      <c r="M140" s="643"/>
      <c r="N140" s="643"/>
      <c r="O140" s="643"/>
      <c r="P140" s="643"/>
      <c r="Q140" s="643"/>
      <c r="R140" s="643"/>
      <c r="S140" s="643"/>
      <c r="T140" s="643"/>
      <c r="U140" s="643"/>
      <c r="V140" s="643"/>
      <c r="W140" s="643"/>
      <c r="X140" s="643"/>
      <c r="Y140" s="643"/>
      <c r="Z140" s="643"/>
      <c r="AA140" s="625"/>
      <c r="AB140" s="625"/>
      <c r="AC140" s="625"/>
    </row>
    <row r="141" spans="1:68" ht="16.5" hidden="1" customHeight="1" x14ac:dyDescent="0.25">
      <c r="A141" s="54" t="s">
        <v>249</v>
      </c>
      <c r="B141" s="54" t="s">
        <v>250</v>
      </c>
      <c r="C141" s="31">
        <v>4301052219</v>
      </c>
      <c r="D141" s="633">
        <v>4680115888944</v>
      </c>
      <c r="E141" s="634"/>
      <c r="F141" s="628">
        <v>0.33</v>
      </c>
      <c r="G141" s="32">
        <v>8</v>
      </c>
      <c r="H141" s="628">
        <v>2.64</v>
      </c>
      <c r="I141" s="628">
        <v>2.86</v>
      </c>
      <c r="J141" s="32">
        <v>182</v>
      </c>
      <c r="K141" s="32" t="s">
        <v>76</v>
      </c>
      <c r="L141" s="32"/>
      <c r="M141" s="33" t="s">
        <v>233</v>
      </c>
      <c r="N141" s="33"/>
      <c r="O141" s="32">
        <v>90</v>
      </c>
      <c r="P141" s="846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636"/>
      <c r="R141" s="636"/>
      <c r="S141" s="636"/>
      <c r="T141" s="637"/>
      <c r="U141" s="34"/>
      <c r="V141" s="34"/>
      <c r="W141" s="35" t="s">
        <v>66</v>
      </c>
      <c r="X141" s="629">
        <v>0</v>
      </c>
      <c r="Y141" s="630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234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customHeight="1" x14ac:dyDescent="0.25">
      <c r="A142" s="54" t="s">
        <v>251</v>
      </c>
      <c r="B142" s="54" t="s">
        <v>252</v>
      </c>
      <c r="C142" s="31">
        <v>4301051476</v>
      </c>
      <c r="D142" s="633">
        <v>4680115882584</v>
      </c>
      <c r="E142" s="634"/>
      <c r="F142" s="628">
        <v>0.33</v>
      </c>
      <c r="G142" s="32">
        <v>8</v>
      </c>
      <c r="H142" s="628">
        <v>2.64</v>
      </c>
      <c r="I142" s="628">
        <v>2.9079999999999999</v>
      </c>
      <c r="J142" s="32">
        <v>182</v>
      </c>
      <c r="K142" s="32" t="s">
        <v>76</v>
      </c>
      <c r="L142" s="32"/>
      <c r="M142" s="33" t="s">
        <v>237</v>
      </c>
      <c r="N142" s="33"/>
      <c r="O142" s="32">
        <v>60</v>
      </c>
      <c r="P142" s="77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36"/>
      <c r="R142" s="636"/>
      <c r="S142" s="636"/>
      <c r="T142" s="637"/>
      <c r="U142" s="34"/>
      <c r="V142" s="34"/>
      <c r="W142" s="35" t="s">
        <v>66</v>
      </c>
      <c r="X142" s="629">
        <v>89</v>
      </c>
      <c r="Y142" s="630">
        <f>IFERROR(IF(X142="",0,CEILING((X142/$H142),1)*$H142),"")</f>
        <v>89.76</v>
      </c>
      <c r="Z142" s="36">
        <f>IFERROR(IF(Y142=0,"",ROUNDUP(Y142/H142,0)*0.00651),"")</f>
        <v>0.22134000000000001</v>
      </c>
      <c r="AA142" s="56"/>
      <c r="AB142" s="57"/>
      <c r="AC142" s="197" t="s">
        <v>238</v>
      </c>
      <c r="AG142" s="64"/>
      <c r="AJ142" s="68"/>
      <c r="AK142" s="68">
        <v>0</v>
      </c>
      <c r="BB142" s="198" t="s">
        <v>1</v>
      </c>
      <c r="BM142" s="64">
        <f>IFERROR(X142*I142/H142,"0")</f>
        <v>98.034848484848482</v>
      </c>
      <c r="BN142" s="64">
        <f>IFERROR(Y142*I142/H142,"0")</f>
        <v>98.872</v>
      </c>
      <c r="BO142" s="64">
        <f>IFERROR(1/J142*(X142/H142),"0")</f>
        <v>0.18523143523143523</v>
      </c>
      <c r="BP142" s="64">
        <f>IFERROR(1/J142*(Y142/H142),"0")</f>
        <v>0.18681318681318682</v>
      </c>
    </row>
    <row r="143" spans="1:68" ht="16.5" hidden="1" customHeight="1" x14ac:dyDescent="0.25">
      <c r="A143" s="54" t="s">
        <v>251</v>
      </c>
      <c r="B143" s="54" t="s">
        <v>253</v>
      </c>
      <c r="C143" s="31">
        <v>4301051477</v>
      </c>
      <c r="D143" s="633">
        <v>4680115882584</v>
      </c>
      <c r="E143" s="634"/>
      <c r="F143" s="628">
        <v>0.33</v>
      </c>
      <c r="G143" s="32">
        <v>8</v>
      </c>
      <c r="H143" s="628">
        <v>2.64</v>
      </c>
      <c r="I143" s="628">
        <v>2.9079999999999999</v>
      </c>
      <c r="J143" s="32">
        <v>182</v>
      </c>
      <c r="K143" s="32" t="s">
        <v>76</v>
      </c>
      <c r="L143" s="32"/>
      <c r="M143" s="33" t="s">
        <v>237</v>
      </c>
      <c r="N143" s="33"/>
      <c r="O143" s="32">
        <v>60</v>
      </c>
      <c r="P143" s="85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36"/>
      <c r="R143" s="636"/>
      <c r="S143" s="636"/>
      <c r="T143" s="637"/>
      <c r="U143" s="34"/>
      <c r="V143" s="34"/>
      <c r="W143" s="35" t="s">
        <v>66</v>
      </c>
      <c r="X143" s="629">
        <v>0</v>
      </c>
      <c r="Y143" s="630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238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42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44"/>
      <c r="P144" s="646" t="s">
        <v>71</v>
      </c>
      <c r="Q144" s="647"/>
      <c r="R144" s="647"/>
      <c r="S144" s="647"/>
      <c r="T144" s="647"/>
      <c r="U144" s="647"/>
      <c r="V144" s="648"/>
      <c r="W144" s="37" t="s">
        <v>72</v>
      </c>
      <c r="X144" s="631">
        <f>IFERROR(X141/H141,"0")+IFERROR(X142/H142,"0")+IFERROR(X143/H143,"0")</f>
        <v>33.712121212121211</v>
      </c>
      <c r="Y144" s="631">
        <f>IFERROR(Y141/H141,"0")+IFERROR(Y142/H142,"0")+IFERROR(Y143/H143,"0")</f>
        <v>34</v>
      </c>
      <c r="Z144" s="631">
        <f>IFERROR(IF(Z141="",0,Z141),"0")+IFERROR(IF(Z142="",0,Z142),"0")+IFERROR(IF(Z143="",0,Z143),"0")</f>
        <v>0.22134000000000001</v>
      </c>
      <c r="AA144" s="632"/>
      <c r="AB144" s="632"/>
      <c r="AC144" s="632"/>
    </row>
    <row r="145" spans="1:68" x14ac:dyDescent="0.2">
      <c r="A145" s="643"/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4"/>
      <c r="P145" s="646" t="s">
        <v>71</v>
      </c>
      <c r="Q145" s="647"/>
      <c r="R145" s="647"/>
      <c r="S145" s="647"/>
      <c r="T145" s="647"/>
      <c r="U145" s="647"/>
      <c r="V145" s="648"/>
      <c r="W145" s="37" t="s">
        <v>66</v>
      </c>
      <c r="X145" s="631">
        <f>IFERROR(SUM(X141:X143),"0")</f>
        <v>89</v>
      </c>
      <c r="Y145" s="631">
        <f>IFERROR(SUM(Y141:Y143),"0")</f>
        <v>89.76</v>
      </c>
      <c r="Z145" s="37"/>
      <c r="AA145" s="632"/>
      <c r="AB145" s="632"/>
      <c r="AC145" s="632"/>
    </row>
    <row r="146" spans="1:68" ht="16.5" hidden="1" customHeight="1" x14ac:dyDescent="0.25">
      <c r="A146" s="677" t="s">
        <v>254</v>
      </c>
      <c r="B146" s="643"/>
      <c r="C146" s="643"/>
      <c r="D146" s="643"/>
      <c r="E146" s="643"/>
      <c r="F146" s="643"/>
      <c r="G146" s="643"/>
      <c r="H146" s="643"/>
      <c r="I146" s="643"/>
      <c r="J146" s="643"/>
      <c r="K146" s="643"/>
      <c r="L146" s="643"/>
      <c r="M146" s="643"/>
      <c r="N146" s="643"/>
      <c r="O146" s="643"/>
      <c r="P146" s="643"/>
      <c r="Q146" s="643"/>
      <c r="R146" s="643"/>
      <c r="S146" s="643"/>
      <c r="T146" s="643"/>
      <c r="U146" s="643"/>
      <c r="V146" s="643"/>
      <c r="W146" s="643"/>
      <c r="X146" s="643"/>
      <c r="Y146" s="643"/>
      <c r="Z146" s="643"/>
      <c r="AA146" s="624"/>
      <c r="AB146" s="624"/>
      <c r="AC146" s="624"/>
    </row>
    <row r="147" spans="1:68" ht="14.25" hidden="1" customHeight="1" x14ac:dyDescent="0.25">
      <c r="A147" s="653" t="s">
        <v>73</v>
      </c>
      <c r="B147" s="643"/>
      <c r="C147" s="643"/>
      <c r="D147" s="643"/>
      <c r="E147" s="643"/>
      <c r="F147" s="643"/>
      <c r="G147" s="643"/>
      <c r="H147" s="643"/>
      <c r="I147" s="643"/>
      <c r="J147" s="643"/>
      <c r="K147" s="643"/>
      <c r="L147" s="643"/>
      <c r="M147" s="643"/>
      <c r="N147" s="643"/>
      <c r="O147" s="643"/>
      <c r="P147" s="643"/>
      <c r="Q147" s="643"/>
      <c r="R147" s="643"/>
      <c r="S147" s="643"/>
      <c r="T147" s="643"/>
      <c r="U147" s="643"/>
      <c r="V147" s="643"/>
      <c r="W147" s="643"/>
      <c r="X147" s="643"/>
      <c r="Y147" s="643"/>
      <c r="Z147" s="643"/>
      <c r="AA147" s="625"/>
      <c r="AB147" s="625"/>
      <c r="AC147" s="625"/>
    </row>
    <row r="148" spans="1:68" ht="27" hidden="1" customHeight="1" x14ac:dyDescent="0.25">
      <c r="A148" s="54" t="s">
        <v>255</v>
      </c>
      <c r="B148" s="54" t="s">
        <v>256</v>
      </c>
      <c r="C148" s="31">
        <v>4301052254</v>
      </c>
      <c r="D148" s="633">
        <v>4680115888203</v>
      </c>
      <c r="E148" s="634"/>
      <c r="F148" s="628">
        <v>0.22</v>
      </c>
      <c r="G148" s="32">
        <v>6</v>
      </c>
      <c r="H148" s="628">
        <v>1.32</v>
      </c>
      <c r="I148" s="628">
        <v>1.5660000000000001</v>
      </c>
      <c r="J148" s="32">
        <v>182</v>
      </c>
      <c r="K148" s="32" t="s">
        <v>76</v>
      </c>
      <c r="L148" s="32"/>
      <c r="M148" s="33" t="s">
        <v>83</v>
      </c>
      <c r="N148" s="33"/>
      <c r="O148" s="32">
        <v>40</v>
      </c>
      <c r="P148" s="72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36"/>
      <c r="R148" s="636"/>
      <c r="S148" s="636"/>
      <c r="T148" s="637"/>
      <c r="U148" s="34"/>
      <c r="V148" s="34"/>
      <c r="W148" s="35" t="s">
        <v>66</v>
      </c>
      <c r="X148" s="629">
        <v>0</v>
      </c>
      <c r="Y148" s="630">
        <f t="shared" ref="Y148:Y154" si="16">IFERROR(IF(X148="",0,CEILING((X148/$H148),1)*$H148),"")</f>
        <v>0</v>
      </c>
      <c r="Z148" s="36" t="str">
        <f t="shared" ref="Z148:Z154" si="17">IFERROR(IF(Y148=0,"",ROUNDUP(Y148/H148,0)*0.00651),"")</f>
        <v/>
      </c>
      <c r="AA148" s="56"/>
      <c r="AB148" s="57"/>
      <c r="AC148" s="201" t="s">
        <v>257</v>
      </c>
      <c r="AG148" s="64"/>
      <c r="AJ148" s="68"/>
      <c r="AK148" s="68">
        <v>0</v>
      </c>
      <c r="BB148" s="202" t="s">
        <v>1</v>
      </c>
      <c r="BM148" s="64">
        <f t="shared" ref="BM148:BM154" si="18">IFERROR(X148*I148/H148,"0")</f>
        <v>0</v>
      </c>
      <c r="BN148" s="64">
        <f t="shared" ref="BN148:BN154" si="19">IFERROR(Y148*I148/H148,"0")</f>
        <v>0</v>
      </c>
      <c r="BO148" s="64">
        <f t="shared" ref="BO148:BO154" si="20">IFERROR(1/J148*(X148/H148),"0")</f>
        <v>0</v>
      </c>
      <c r="BP148" s="64">
        <f t="shared" ref="BP148:BP154" si="21">IFERROR(1/J148*(Y148/H148),"0")</f>
        <v>0</v>
      </c>
    </row>
    <row r="149" spans="1:68" ht="27" hidden="1" customHeight="1" x14ac:dyDescent="0.25">
      <c r="A149" s="54" t="s">
        <v>258</v>
      </c>
      <c r="B149" s="54" t="s">
        <v>259</v>
      </c>
      <c r="C149" s="31">
        <v>4301052172</v>
      </c>
      <c r="D149" s="633">
        <v>4680115888180</v>
      </c>
      <c r="E149" s="634"/>
      <c r="F149" s="628">
        <v>0.22</v>
      </c>
      <c r="G149" s="32">
        <v>9</v>
      </c>
      <c r="H149" s="628">
        <v>1.98</v>
      </c>
      <c r="I149" s="628">
        <v>2.2589999999999999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985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36"/>
      <c r="R149" s="636"/>
      <c r="S149" s="636"/>
      <c r="T149" s="637"/>
      <c r="U149" s="34"/>
      <c r="V149" s="34"/>
      <c r="W149" s="35" t="s">
        <v>66</v>
      </c>
      <c r="X149" s="629">
        <v>0</v>
      </c>
      <c r="Y149" s="630">
        <f t="shared" si="16"/>
        <v>0</v>
      </c>
      <c r="Z149" s="36" t="str">
        <f t="shared" si="17"/>
        <v/>
      </c>
      <c r="AA149" s="56"/>
      <c r="AB149" s="57"/>
      <c r="AC149" s="203" t="s">
        <v>260</v>
      </c>
      <c r="AG149" s="64"/>
      <c r="AJ149" s="68"/>
      <c r="AK149" s="68">
        <v>0</v>
      </c>
      <c r="BB149" s="204" t="s">
        <v>1</v>
      </c>
      <c r="BM149" s="64">
        <f t="shared" si="18"/>
        <v>0</v>
      </c>
      <c r="BN149" s="64">
        <f t="shared" si="19"/>
        <v>0</v>
      </c>
      <c r="BO149" s="64">
        <f t="shared" si="20"/>
        <v>0</v>
      </c>
      <c r="BP149" s="64">
        <f t="shared" si="21"/>
        <v>0</v>
      </c>
    </row>
    <row r="150" spans="1:68" ht="27" hidden="1" customHeight="1" x14ac:dyDescent="0.25">
      <c r="A150" s="54" t="s">
        <v>258</v>
      </c>
      <c r="B150" s="54" t="s">
        <v>261</v>
      </c>
      <c r="C150" s="31">
        <v>4301052252</v>
      </c>
      <c r="D150" s="633">
        <v>4680115888180</v>
      </c>
      <c r="E150" s="634"/>
      <c r="F150" s="628">
        <v>0.22</v>
      </c>
      <c r="G150" s="32">
        <v>6</v>
      </c>
      <c r="H150" s="628">
        <v>1.32</v>
      </c>
      <c r="I150" s="628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6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36"/>
      <c r="R150" s="636"/>
      <c r="S150" s="636"/>
      <c r="T150" s="637"/>
      <c r="U150" s="34"/>
      <c r="V150" s="34"/>
      <c r="W150" s="35" t="s">
        <v>66</v>
      </c>
      <c r="X150" s="629">
        <v>0</v>
      </c>
      <c r="Y150" s="630">
        <f t="shared" si="16"/>
        <v>0</v>
      </c>
      <c r="Z150" s="36" t="str">
        <f t="shared" si="17"/>
        <v/>
      </c>
      <c r="AA150" s="56"/>
      <c r="AB150" s="57"/>
      <c r="AC150" s="205" t="s">
        <v>260</v>
      </c>
      <c r="AG150" s="64"/>
      <c r="AJ150" s="68"/>
      <c r="AK150" s="68">
        <v>0</v>
      </c>
      <c r="BB150" s="206" t="s">
        <v>1</v>
      </c>
      <c r="BM150" s="64">
        <f t="shared" si="18"/>
        <v>0</v>
      </c>
      <c r="BN150" s="64">
        <f t="shared" si="19"/>
        <v>0</v>
      </c>
      <c r="BO150" s="64">
        <f t="shared" si="20"/>
        <v>0</v>
      </c>
      <c r="BP150" s="64">
        <f t="shared" si="21"/>
        <v>0</v>
      </c>
    </row>
    <row r="151" spans="1:68" ht="27" hidden="1" customHeight="1" x14ac:dyDescent="0.25">
      <c r="A151" s="54" t="s">
        <v>262</v>
      </c>
      <c r="B151" s="54" t="s">
        <v>263</v>
      </c>
      <c r="C151" s="31">
        <v>4301052173</v>
      </c>
      <c r="D151" s="633">
        <v>4680115888197</v>
      </c>
      <c r="E151" s="634"/>
      <c r="F151" s="628">
        <v>0.22</v>
      </c>
      <c r="G151" s="32">
        <v>9</v>
      </c>
      <c r="H151" s="628">
        <v>1.98</v>
      </c>
      <c r="I151" s="628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9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36"/>
      <c r="R151" s="636"/>
      <c r="S151" s="636"/>
      <c r="T151" s="637"/>
      <c r="U151" s="34"/>
      <c r="V151" s="34"/>
      <c r="W151" s="35" t="s">
        <v>66</v>
      </c>
      <c r="X151" s="629">
        <v>0</v>
      </c>
      <c r="Y151" s="630">
        <f t="shared" si="16"/>
        <v>0</v>
      </c>
      <c r="Z151" s="36" t="str">
        <f t="shared" si="17"/>
        <v/>
      </c>
      <c r="AA151" s="56"/>
      <c r="AB151" s="57"/>
      <c r="AC151" s="207" t="s">
        <v>264</v>
      </c>
      <c r="AG151" s="64"/>
      <c r="AJ151" s="68"/>
      <c r="AK151" s="68">
        <v>0</v>
      </c>
      <c r="BB151" s="208" t="s">
        <v>1</v>
      </c>
      <c r="BM151" s="64">
        <f t="shared" si="18"/>
        <v>0</v>
      </c>
      <c r="BN151" s="64">
        <f t="shared" si="19"/>
        <v>0</v>
      </c>
      <c r="BO151" s="64">
        <f t="shared" si="20"/>
        <v>0</v>
      </c>
      <c r="BP151" s="64">
        <f t="shared" si="21"/>
        <v>0</v>
      </c>
    </row>
    <row r="152" spans="1:68" ht="27" hidden="1" customHeight="1" x14ac:dyDescent="0.25">
      <c r="A152" s="54" t="s">
        <v>262</v>
      </c>
      <c r="B152" s="54" t="s">
        <v>265</v>
      </c>
      <c r="C152" s="31">
        <v>4301052253</v>
      </c>
      <c r="D152" s="633">
        <v>4680115888197</v>
      </c>
      <c r="E152" s="634"/>
      <c r="F152" s="628">
        <v>0.22</v>
      </c>
      <c r="G152" s="32">
        <v>6</v>
      </c>
      <c r="H152" s="628">
        <v>1.32</v>
      </c>
      <c r="I152" s="628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7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36"/>
      <c r="R152" s="636"/>
      <c r="S152" s="636"/>
      <c r="T152" s="637"/>
      <c r="U152" s="34"/>
      <c r="V152" s="34"/>
      <c r="W152" s="35" t="s">
        <v>66</v>
      </c>
      <c r="X152" s="629">
        <v>0</v>
      </c>
      <c r="Y152" s="630">
        <f t="shared" si="16"/>
        <v>0</v>
      </c>
      <c r="Z152" s="36" t="str">
        <f t="shared" si="17"/>
        <v/>
      </c>
      <c r="AA152" s="56"/>
      <c r="AB152" s="57"/>
      <c r="AC152" s="209" t="s">
        <v>264</v>
      </c>
      <c r="AG152" s="64"/>
      <c r="AJ152" s="68"/>
      <c r="AK152" s="68">
        <v>0</v>
      </c>
      <c r="BB152" s="210" t="s">
        <v>1</v>
      </c>
      <c r="BM152" s="64">
        <f t="shared" si="18"/>
        <v>0</v>
      </c>
      <c r="BN152" s="64">
        <f t="shared" si="19"/>
        <v>0</v>
      </c>
      <c r="BO152" s="64">
        <f t="shared" si="20"/>
        <v>0</v>
      </c>
      <c r="BP152" s="64">
        <f t="shared" si="21"/>
        <v>0</v>
      </c>
    </row>
    <row r="153" spans="1:68" ht="27" hidden="1" customHeight="1" x14ac:dyDescent="0.25">
      <c r="A153" s="54" t="s">
        <v>266</v>
      </c>
      <c r="B153" s="54" t="s">
        <v>267</v>
      </c>
      <c r="C153" s="31">
        <v>4301052175</v>
      </c>
      <c r="D153" s="633">
        <v>4680115888210</v>
      </c>
      <c r="E153" s="634"/>
      <c r="F153" s="628">
        <v>0.22</v>
      </c>
      <c r="G153" s="32">
        <v>9</v>
      </c>
      <c r="H153" s="628">
        <v>1.98</v>
      </c>
      <c r="I153" s="628">
        <v>2.2589999999999999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3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36"/>
      <c r="R153" s="636"/>
      <c r="S153" s="636"/>
      <c r="T153" s="637"/>
      <c r="U153" s="34"/>
      <c r="V153" s="34"/>
      <c r="W153" s="35" t="s">
        <v>66</v>
      </c>
      <c r="X153" s="629">
        <v>0</v>
      </c>
      <c r="Y153" s="630">
        <f t="shared" si="16"/>
        <v>0</v>
      </c>
      <c r="Z153" s="36" t="str">
        <f t="shared" si="17"/>
        <v/>
      </c>
      <c r="AA153" s="56"/>
      <c r="AB153" s="57"/>
      <c r="AC153" s="211" t="s">
        <v>268</v>
      </c>
      <c r="AG153" s="64"/>
      <c r="AJ153" s="68"/>
      <c r="AK153" s="68">
        <v>0</v>
      </c>
      <c r="BB153" s="212" t="s">
        <v>1</v>
      </c>
      <c r="BM153" s="64">
        <f t="shared" si="18"/>
        <v>0</v>
      </c>
      <c r="BN153" s="64">
        <f t="shared" si="19"/>
        <v>0</v>
      </c>
      <c r="BO153" s="64">
        <f t="shared" si="20"/>
        <v>0</v>
      </c>
      <c r="BP153" s="64">
        <f t="shared" si="21"/>
        <v>0</v>
      </c>
    </row>
    <row r="154" spans="1:68" ht="27" hidden="1" customHeight="1" x14ac:dyDescent="0.25">
      <c r="A154" s="54" t="s">
        <v>266</v>
      </c>
      <c r="B154" s="54" t="s">
        <v>269</v>
      </c>
      <c r="C154" s="31">
        <v>4301052255</v>
      </c>
      <c r="D154" s="633">
        <v>4680115888210</v>
      </c>
      <c r="E154" s="634"/>
      <c r="F154" s="628">
        <v>0.22</v>
      </c>
      <c r="G154" s="32">
        <v>6</v>
      </c>
      <c r="H154" s="628">
        <v>1.32</v>
      </c>
      <c r="I154" s="628">
        <v>1.5660000000000001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65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36"/>
      <c r="R154" s="636"/>
      <c r="S154" s="636"/>
      <c r="T154" s="637"/>
      <c r="U154" s="34"/>
      <c r="V154" s="34"/>
      <c r="W154" s="35" t="s">
        <v>66</v>
      </c>
      <c r="X154" s="629">
        <v>0</v>
      </c>
      <c r="Y154" s="630">
        <f t="shared" si="16"/>
        <v>0</v>
      </c>
      <c r="Z154" s="36" t="str">
        <f t="shared" si="17"/>
        <v/>
      </c>
      <c r="AA154" s="56"/>
      <c r="AB154" s="57"/>
      <c r="AC154" s="213" t="s">
        <v>268</v>
      </c>
      <c r="AG154" s="64"/>
      <c r="AJ154" s="68"/>
      <c r="AK154" s="68">
        <v>0</v>
      </c>
      <c r="BB154" s="214" t="s">
        <v>1</v>
      </c>
      <c r="BM154" s="64">
        <f t="shared" si="18"/>
        <v>0</v>
      </c>
      <c r="BN154" s="64">
        <f t="shared" si="19"/>
        <v>0</v>
      </c>
      <c r="BO154" s="64">
        <f t="shared" si="20"/>
        <v>0</v>
      </c>
      <c r="BP154" s="64">
        <f t="shared" si="21"/>
        <v>0</v>
      </c>
    </row>
    <row r="155" spans="1:68" hidden="1" x14ac:dyDescent="0.2">
      <c r="A155" s="642"/>
      <c r="B155" s="643"/>
      <c r="C155" s="643"/>
      <c r="D155" s="643"/>
      <c r="E155" s="643"/>
      <c r="F155" s="643"/>
      <c r="G155" s="643"/>
      <c r="H155" s="643"/>
      <c r="I155" s="643"/>
      <c r="J155" s="643"/>
      <c r="K155" s="643"/>
      <c r="L155" s="643"/>
      <c r="M155" s="643"/>
      <c r="N155" s="643"/>
      <c r="O155" s="644"/>
      <c r="P155" s="646" t="s">
        <v>71</v>
      </c>
      <c r="Q155" s="647"/>
      <c r="R155" s="647"/>
      <c r="S155" s="647"/>
      <c r="T155" s="647"/>
      <c r="U155" s="647"/>
      <c r="V155" s="648"/>
      <c r="W155" s="37" t="s">
        <v>72</v>
      </c>
      <c r="X155" s="631">
        <f>IFERROR(X148/H148,"0")+IFERROR(X149/H149,"0")+IFERROR(X150/H150,"0")+IFERROR(X151/H151,"0")+IFERROR(X152/H152,"0")+IFERROR(X153/H153,"0")+IFERROR(X154/H154,"0")</f>
        <v>0</v>
      </c>
      <c r="Y155" s="631">
        <f>IFERROR(Y148/H148,"0")+IFERROR(Y149/H149,"0")+IFERROR(Y150/H150,"0")+IFERROR(Y151/H151,"0")+IFERROR(Y152/H152,"0")+IFERROR(Y153/H153,"0")+IFERROR(Y154/H154,"0")</f>
        <v>0</v>
      </c>
      <c r="Z155" s="631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32"/>
      <c r="AB155" s="632"/>
      <c r="AC155" s="632"/>
    </row>
    <row r="156" spans="1:68" hidden="1" x14ac:dyDescent="0.2">
      <c r="A156" s="643"/>
      <c r="B156" s="643"/>
      <c r="C156" s="643"/>
      <c r="D156" s="643"/>
      <c r="E156" s="643"/>
      <c r="F156" s="643"/>
      <c r="G156" s="643"/>
      <c r="H156" s="643"/>
      <c r="I156" s="643"/>
      <c r="J156" s="643"/>
      <c r="K156" s="643"/>
      <c r="L156" s="643"/>
      <c r="M156" s="643"/>
      <c r="N156" s="643"/>
      <c r="O156" s="644"/>
      <c r="P156" s="646" t="s">
        <v>71</v>
      </c>
      <c r="Q156" s="647"/>
      <c r="R156" s="647"/>
      <c r="S156" s="647"/>
      <c r="T156" s="647"/>
      <c r="U156" s="647"/>
      <c r="V156" s="648"/>
      <c r="W156" s="37" t="s">
        <v>66</v>
      </c>
      <c r="X156" s="631">
        <f>IFERROR(SUM(X148:X154),"0")</f>
        <v>0</v>
      </c>
      <c r="Y156" s="631">
        <f>IFERROR(SUM(Y148:Y154),"0")</f>
        <v>0</v>
      </c>
      <c r="Z156" s="37"/>
      <c r="AA156" s="632"/>
      <c r="AB156" s="632"/>
      <c r="AC156" s="632"/>
    </row>
    <row r="157" spans="1:68" ht="14.25" hidden="1" customHeight="1" x14ac:dyDescent="0.25">
      <c r="A157" s="653" t="s">
        <v>270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25"/>
      <c r="AB157" s="625"/>
      <c r="AC157" s="625"/>
    </row>
    <row r="158" spans="1:68" ht="27" hidden="1" customHeight="1" x14ac:dyDescent="0.25">
      <c r="A158" s="54" t="s">
        <v>271</v>
      </c>
      <c r="B158" s="54" t="s">
        <v>272</v>
      </c>
      <c r="C158" s="31">
        <v>4301032067</v>
      </c>
      <c r="D158" s="633">
        <v>4680115889132</v>
      </c>
      <c r="E158" s="634"/>
      <c r="F158" s="628">
        <v>0.04</v>
      </c>
      <c r="G158" s="32">
        <v>8</v>
      </c>
      <c r="H158" s="628">
        <v>0.32</v>
      </c>
      <c r="I158" s="628">
        <v>0.5</v>
      </c>
      <c r="J158" s="32">
        <v>330</v>
      </c>
      <c r="K158" s="32" t="s">
        <v>273</v>
      </c>
      <c r="L158" s="32"/>
      <c r="M158" s="33" t="s">
        <v>274</v>
      </c>
      <c r="N158" s="33"/>
      <c r="O158" s="32">
        <v>120</v>
      </c>
      <c r="P158" s="71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636"/>
      <c r="R158" s="636"/>
      <c r="S158" s="636"/>
      <c r="T158" s="637"/>
      <c r="U158" s="34"/>
      <c r="V158" s="34"/>
      <c r="W158" s="35" t="s">
        <v>66</v>
      </c>
      <c r="X158" s="629">
        <v>0</v>
      </c>
      <c r="Y158" s="630">
        <f>IFERROR(IF(X158="",0,CEILING((X158/$H158),1)*$H158),"")</f>
        <v>0</v>
      </c>
      <c r="Z158" s="36" t="str">
        <f>IFERROR(IF(Y158=0,"",ROUNDUP(Y158/H158,0)*0.00337),"")</f>
        <v/>
      </c>
      <c r="AA158" s="56"/>
      <c r="AB158" s="57"/>
      <c r="AC158" s="215" t="s">
        <v>275</v>
      </c>
      <c r="AG158" s="64"/>
      <c r="AJ158" s="68"/>
      <c r="AK158" s="68">
        <v>0</v>
      </c>
      <c r="BB158" s="216" t="s">
        <v>276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642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44"/>
      <c r="P159" s="646" t="s">
        <v>71</v>
      </c>
      <c r="Q159" s="647"/>
      <c r="R159" s="647"/>
      <c r="S159" s="647"/>
      <c r="T159" s="647"/>
      <c r="U159" s="647"/>
      <c r="V159" s="648"/>
      <c r="W159" s="37" t="s">
        <v>72</v>
      </c>
      <c r="X159" s="631">
        <f>IFERROR(X158/H158,"0")</f>
        <v>0</v>
      </c>
      <c r="Y159" s="631">
        <f>IFERROR(Y158/H158,"0")</f>
        <v>0</v>
      </c>
      <c r="Z159" s="631">
        <f>IFERROR(IF(Z158="",0,Z158),"0")</f>
        <v>0</v>
      </c>
      <c r="AA159" s="632"/>
      <c r="AB159" s="632"/>
      <c r="AC159" s="632"/>
    </row>
    <row r="160" spans="1:68" hidden="1" x14ac:dyDescent="0.2">
      <c r="A160" s="643"/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4"/>
      <c r="P160" s="646" t="s">
        <v>71</v>
      </c>
      <c r="Q160" s="647"/>
      <c r="R160" s="647"/>
      <c r="S160" s="647"/>
      <c r="T160" s="647"/>
      <c r="U160" s="647"/>
      <c r="V160" s="648"/>
      <c r="W160" s="37" t="s">
        <v>66</v>
      </c>
      <c r="X160" s="631">
        <f>IFERROR(SUM(X158:X158),"0")</f>
        <v>0</v>
      </c>
      <c r="Y160" s="631">
        <f>IFERROR(SUM(Y158:Y158),"0")</f>
        <v>0</v>
      </c>
      <c r="Z160" s="37"/>
      <c r="AA160" s="632"/>
      <c r="AB160" s="632"/>
      <c r="AC160" s="632"/>
    </row>
    <row r="161" spans="1:68" ht="16.5" hidden="1" customHeight="1" x14ac:dyDescent="0.25">
      <c r="A161" s="677" t="s">
        <v>110</v>
      </c>
      <c r="B161" s="643"/>
      <c r="C161" s="643"/>
      <c r="D161" s="643"/>
      <c r="E161" s="643"/>
      <c r="F161" s="643"/>
      <c r="G161" s="643"/>
      <c r="H161" s="643"/>
      <c r="I161" s="643"/>
      <c r="J161" s="643"/>
      <c r="K161" s="643"/>
      <c r="L161" s="643"/>
      <c r="M161" s="643"/>
      <c r="N161" s="643"/>
      <c r="O161" s="643"/>
      <c r="P161" s="643"/>
      <c r="Q161" s="643"/>
      <c r="R161" s="643"/>
      <c r="S161" s="643"/>
      <c r="T161" s="643"/>
      <c r="U161" s="643"/>
      <c r="V161" s="643"/>
      <c r="W161" s="643"/>
      <c r="X161" s="643"/>
      <c r="Y161" s="643"/>
      <c r="Z161" s="643"/>
      <c r="AA161" s="624"/>
      <c r="AB161" s="624"/>
      <c r="AC161" s="624"/>
    </row>
    <row r="162" spans="1:68" ht="14.25" hidden="1" customHeight="1" x14ac:dyDescent="0.25">
      <c r="A162" s="653" t="s">
        <v>112</v>
      </c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43"/>
      <c r="P162" s="643"/>
      <c r="Q162" s="643"/>
      <c r="R162" s="643"/>
      <c r="S162" s="643"/>
      <c r="T162" s="643"/>
      <c r="U162" s="643"/>
      <c r="V162" s="643"/>
      <c r="W162" s="643"/>
      <c r="X162" s="643"/>
      <c r="Y162" s="643"/>
      <c r="Z162" s="643"/>
      <c r="AA162" s="625"/>
      <c r="AB162" s="625"/>
      <c r="AC162" s="625"/>
    </row>
    <row r="163" spans="1:68" ht="27" hidden="1" customHeight="1" x14ac:dyDescent="0.25">
      <c r="A163" s="54" t="s">
        <v>277</v>
      </c>
      <c r="B163" s="54" t="s">
        <v>278</v>
      </c>
      <c r="C163" s="31">
        <v>4301012338</v>
      </c>
      <c r="D163" s="633">
        <v>4680115887374</v>
      </c>
      <c r="E163" s="634"/>
      <c r="F163" s="628">
        <v>1</v>
      </c>
      <c r="G163" s="32">
        <v>6</v>
      </c>
      <c r="H163" s="628">
        <v>6</v>
      </c>
      <c r="I163" s="628">
        <v>6.35</v>
      </c>
      <c r="J163" s="32">
        <v>104</v>
      </c>
      <c r="K163" s="32" t="s">
        <v>115</v>
      </c>
      <c r="L163" s="32"/>
      <c r="M163" s="33" t="s">
        <v>116</v>
      </c>
      <c r="N163" s="33"/>
      <c r="O163" s="32">
        <v>55</v>
      </c>
      <c r="P163" s="8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636"/>
      <c r="R163" s="636"/>
      <c r="S163" s="636"/>
      <c r="T163" s="637"/>
      <c r="U163" s="34"/>
      <c r="V163" s="34"/>
      <c r="W163" s="35" t="s">
        <v>66</v>
      </c>
      <c r="X163" s="629">
        <v>0</v>
      </c>
      <c r="Y163" s="630">
        <f>IFERROR(IF(X163="",0,CEILING((X163/$H163),1)*$H163),"")</f>
        <v>0</v>
      </c>
      <c r="Z163" s="36" t="str">
        <f>IFERROR(IF(Y163=0,"",ROUNDUP(Y163/H163,0)*0.01196),"")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280</v>
      </c>
      <c r="B164" s="54" t="s">
        <v>281</v>
      </c>
      <c r="C164" s="31">
        <v>4301011705</v>
      </c>
      <c r="D164" s="633">
        <v>4607091384604</v>
      </c>
      <c r="E164" s="634"/>
      <c r="F164" s="628">
        <v>0.4</v>
      </c>
      <c r="G164" s="32">
        <v>10</v>
      </c>
      <c r="H164" s="628">
        <v>4</v>
      </c>
      <c r="I164" s="628">
        <v>4.1900000000000004</v>
      </c>
      <c r="J164" s="32">
        <v>132</v>
      </c>
      <c r="K164" s="32" t="s">
        <v>124</v>
      </c>
      <c r="L164" s="32"/>
      <c r="M164" s="33" t="s">
        <v>116</v>
      </c>
      <c r="N164" s="33"/>
      <c r="O164" s="32">
        <v>50</v>
      </c>
      <c r="P164" s="9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636"/>
      <c r="R164" s="636"/>
      <c r="S164" s="636"/>
      <c r="T164" s="637"/>
      <c r="U164" s="34"/>
      <c r="V164" s="34"/>
      <c r="W164" s="35" t="s">
        <v>66</v>
      </c>
      <c r="X164" s="629">
        <v>0</v>
      </c>
      <c r="Y164" s="630">
        <f>IFERROR(IF(X164="",0,CEILING((X164/$H164),1)*$H164),"")</f>
        <v>0</v>
      </c>
      <c r="Z164" s="36" t="str">
        <f>IFERROR(IF(Y164=0,"",ROUNDUP(Y164/H164,0)*0.00902),"")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16.5" hidden="1" customHeight="1" x14ac:dyDescent="0.25">
      <c r="A165" s="54" t="s">
        <v>283</v>
      </c>
      <c r="B165" s="54" t="s">
        <v>284</v>
      </c>
      <c r="C165" s="31">
        <v>4301012344</v>
      </c>
      <c r="D165" s="633">
        <v>4680115888876</v>
      </c>
      <c r="E165" s="634"/>
      <c r="F165" s="628">
        <v>0.43</v>
      </c>
      <c r="G165" s="32">
        <v>6</v>
      </c>
      <c r="H165" s="628">
        <v>2.58</v>
      </c>
      <c r="I165" s="628">
        <v>2.76</v>
      </c>
      <c r="J165" s="32">
        <v>182</v>
      </c>
      <c r="K165" s="32" t="s">
        <v>76</v>
      </c>
      <c r="L165" s="32"/>
      <c r="M165" s="33" t="s">
        <v>77</v>
      </c>
      <c r="N165" s="33"/>
      <c r="O165" s="32">
        <v>55</v>
      </c>
      <c r="P165" s="67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636"/>
      <c r="R165" s="636"/>
      <c r="S165" s="636"/>
      <c r="T165" s="637"/>
      <c r="U165" s="34"/>
      <c r="V165" s="34"/>
      <c r="W165" s="35" t="s">
        <v>66</v>
      </c>
      <c r="X165" s="629">
        <v>0</v>
      </c>
      <c r="Y165" s="630">
        <f>IFERROR(IF(X165="",0,CEILING((X165/$H165),1)*$H165),"")</f>
        <v>0</v>
      </c>
      <c r="Z165" s="36" t="str">
        <f>IFERROR(IF(Y165=0,"",ROUNDUP(Y165/H165,0)*0.00651),"")</f>
        <v/>
      </c>
      <c r="AA165" s="56"/>
      <c r="AB165" s="57"/>
      <c r="AC165" s="221" t="s">
        <v>285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idden="1" x14ac:dyDescent="0.2">
      <c r="A166" s="642"/>
      <c r="B166" s="643"/>
      <c r="C166" s="643"/>
      <c r="D166" s="643"/>
      <c r="E166" s="643"/>
      <c r="F166" s="643"/>
      <c r="G166" s="643"/>
      <c r="H166" s="643"/>
      <c r="I166" s="643"/>
      <c r="J166" s="643"/>
      <c r="K166" s="643"/>
      <c r="L166" s="643"/>
      <c r="M166" s="643"/>
      <c r="N166" s="643"/>
      <c r="O166" s="644"/>
      <c r="P166" s="646" t="s">
        <v>71</v>
      </c>
      <c r="Q166" s="647"/>
      <c r="R166" s="647"/>
      <c r="S166" s="647"/>
      <c r="T166" s="647"/>
      <c r="U166" s="647"/>
      <c r="V166" s="648"/>
      <c r="W166" s="37" t="s">
        <v>72</v>
      </c>
      <c r="X166" s="631">
        <f>IFERROR(X163/H163,"0")+IFERROR(X164/H164,"0")+IFERROR(X165/H165,"0")</f>
        <v>0</v>
      </c>
      <c r="Y166" s="631">
        <f>IFERROR(Y163/H163,"0")+IFERROR(Y164/H164,"0")+IFERROR(Y165/H165,"0")</f>
        <v>0</v>
      </c>
      <c r="Z166" s="631">
        <f>IFERROR(IF(Z163="",0,Z163),"0")+IFERROR(IF(Z164="",0,Z164),"0")+IFERROR(IF(Z165="",0,Z165),"0")</f>
        <v>0</v>
      </c>
      <c r="AA166" s="632"/>
      <c r="AB166" s="632"/>
      <c r="AC166" s="632"/>
    </row>
    <row r="167" spans="1:68" hidden="1" x14ac:dyDescent="0.2">
      <c r="A167" s="643"/>
      <c r="B167" s="643"/>
      <c r="C167" s="643"/>
      <c r="D167" s="643"/>
      <c r="E167" s="643"/>
      <c r="F167" s="643"/>
      <c r="G167" s="643"/>
      <c r="H167" s="643"/>
      <c r="I167" s="643"/>
      <c r="J167" s="643"/>
      <c r="K167" s="643"/>
      <c r="L167" s="643"/>
      <c r="M167" s="643"/>
      <c r="N167" s="643"/>
      <c r="O167" s="644"/>
      <c r="P167" s="646" t="s">
        <v>71</v>
      </c>
      <c r="Q167" s="647"/>
      <c r="R167" s="647"/>
      <c r="S167" s="647"/>
      <c r="T167" s="647"/>
      <c r="U167" s="647"/>
      <c r="V167" s="648"/>
      <c r="W167" s="37" t="s">
        <v>66</v>
      </c>
      <c r="X167" s="631">
        <f>IFERROR(SUM(X163:X165),"0")</f>
        <v>0</v>
      </c>
      <c r="Y167" s="631">
        <f>IFERROR(SUM(Y163:Y165),"0")</f>
        <v>0</v>
      </c>
      <c r="Z167" s="37"/>
      <c r="AA167" s="632"/>
      <c r="AB167" s="632"/>
      <c r="AC167" s="632"/>
    </row>
    <row r="168" spans="1:68" ht="14.25" hidden="1" customHeight="1" x14ac:dyDescent="0.25">
      <c r="A168" s="653" t="s">
        <v>145</v>
      </c>
      <c r="B168" s="643"/>
      <c r="C168" s="643"/>
      <c r="D168" s="643"/>
      <c r="E168" s="643"/>
      <c r="F168" s="643"/>
      <c r="G168" s="643"/>
      <c r="H168" s="643"/>
      <c r="I168" s="643"/>
      <c r="J168" s="643"/>
      <c r="K168" s="643"/>
      <c r="L168" s="643"/>
      <c r="M168" s="643"/>
      <c r="N168" s="643"/>
      <c r="O168" s="643"/>
      <c r="P168" s="643"/>
      <c r="Q168" s="643"/>
      <c r="R168" s="643"/>
      <c r="S168" s="643"/>
      <c r="T168" s="643"/>
      <c r="U168" s="643"/>
      <c r="V168" s="643"/>
      <c r="W168" s="643"/>
      <c r="X168" s="643"/>
      <c r="Y168" s="643"/>
      <c r="Z168" s="643"/>
      <c r="AA168" s="625"/>
      <c r="AB168" s="625"/>
      <c r="AC168" s="625"/>
    </row>
    <row r="169" spans="1:68" ht="16.5" hidden="1" customHeight="1" x14ac:dyDescent="0.25">
      <c r="A169" s="54" t="s">
        <v>286</v>
      </c>
      <c r="B169" s="54" t="s">
        <v>287</v>
      </c>
      <c r="C169" s="31">
        <v>4301020410</v>
      </c>
      <c r="D169" s="633">
        <v>4680115887695</v>
      </c>
      <c r="E169" s="634"/>
      <c r="F169" s="628">
        <v>0.12</v>
      </c>
      <c r="G169" s="32">
        <v>6</v>
      </c>
      <c r="H169" s="628">
        <v>0.72</v>
      </c>
      <c r="I169" s="628">
        <v>0.85</v>
      </c>
      <c r="J169" s="32">
        <v>252</v>
      </c>
      <c r="K169" s="32" t="s">
        <v>64</v>
      </c>
      <c r="L169" s="32"/>
      <c r="M169" s="33" t="s">
        <v>65</v>
      </c>
      <c r="N169" s="33"/>
      <c r="O169" s="32">
        <v>30</v>
      </c>
      <c r="P169" s="77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636"/>
      <c r="R169" s="636"/>
      <c r="S169" s="636"/>
      <c r="T169" s="637"/>
      <c r="U169" s="34"/>
      <c r="V169" s="34"/>
      <c r="W169" s="35" t="s">
        <v>66</v>
      </c>
      <c r="X169" s="629">
        <v>0</v>
      </c>
      <c r="Y169" s="630">
        <f>IFERROR(IF(X169="",0,CEILING((X169/$H169),1)*$H169),"")</f>
        <v>0</v>
      </c>
      <c r="Z169" s="36" t="str">
        <f>IFERROR(IF(Y169=0,"",ROUNDUP(Y169/H169,0)*0.00556),"")</f>
        <v/>
      </c>
      <c r="AA169" s="56"/>
      <c r="AB169" s="57"/>
      <c r="AC169" s="223" t="s">
        <v>288</v>
      </c>
      <c r="AG169" s="64"/>
      <c r="AJ169" s="68"/>
      <c r="AK169" s="68">
        <v>0</v>
      </c>
      <c r="BB169" s="224" t="s">
        <v>1</v>
      </c>
      <c r="BM169" s="64">
        <f>IFERROR(X169*I169/H169,"0")</f>
        <v>0</v>
      </c>
      <c r="BN169" s="64">
        <f>IFERROR(Y169*I169/H169,"0")</f>
        <v>0</v>
      </c>
      <c r="BO169" s="64">
        <f>IFERROR(1/J169*(X169/H169),"0")</f>
        <v>0</v>
      </c>
      <c r="BP169" s="64">
        <f>IFERROR(1/J169*(Y169/H169),"0")</f>
        <v>0</v>
      </c>
    </row>
    <row r="170" spans="1:68" ht="16.5" hidden="1" customHeight="1" x14ac:dyDescent="0.25">
      <c r="A170" s="54" t="s">
        <v>289</v>
      </c>
      <c r="B170" s="54" t="s">
        <v>290</v>
      </c>
      <c r="C170" s="31">
        <v>4301020439</v>
      </c>
      <c r="D170" s="633">
        <v>4680115889491</v>
      </c>
      <c r="E170" s="634"/>
      <c r="F170" s="628">
        <v>0.3</v>
      </c>
      <c r="G170" s="32">
        <v>8</v>
      </c>
      <c r="H170" s="628">
        <v>2.4</v>
      </c>
      <c r="I170" s="628">
        <v>2.5</v>
      </c>
      <c r="J170" s="32">
        <v>234</v>
      </c>
      <c r="K170" s="32" t="s">
        <v>64</v>
      </c>
      <c r="L170" s="32"/>
      <c r="M170" s="33" t="s">
        <v>116</v>
      </c>
      <c r="N170" s="33"/>
      <c r="O170" s="32">
        <v>55</v>
      </c>
      <c r="P170" s="68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636"/>
      <c r="R170" s="636"/>
      <c r="S170" s="636"/>
      <c r="T170" s="637"/>
      <c r="U170" s="34"/>
      <c r="V170" s="34"/>
      <c r="W170" s="35" t="s">
        <v>66</v>
      </c>
      <c r="X170" s="629">
        <v>0</v>
      </c>
      <c r="Y170" s="630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5" t="s">
        <v>291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42"/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4"/>
      <c r="P171" s="646" t="s">
        <v>71</v>
      </c>
      <c r="Q171" s="647"/>
      <c r="R171" s="647"/>
      <c r="S171" s="647"/>
      <c r="T171" s="647"/>
      <c r="U171" s="647"/>
      <c r="V171" s="648"/>
      <c r="W171" s="37" t="s">
        <v>72</v>
      </c>
      <c r="X171" s="631">
        <f>IFERROR(X169/H169,"0")+IFERROR(X170/H170,"0")</f>
        <v>0</v>
      </c>
      <c r="Y171" s="631">
        <f>IFERROR(Y169/H169,"0")+IFERROR(Y170/H170,"0")</f>
        <v>0</v>
      </c>
      <c r="Z171" s="631">
        <f>IFERROR(IF(Z169="",0,Z169),"0")+IFERROR(IF(Z170="",0,Z170),"0")</f>
        <v>0</v>
      </c>
      <c r="AA171" s="632"/>
      <c r="AB171" s="632"/>
      <c r="AC171" s="632"/>
    </row>
    <row r="172" spans="1:68" hidden="1" x14ac:dyDescent="0.2">
      <c r="A172" s="643"/>
      <c r="B172" s="643"/>
      <c r="C172" s="643"/>
      <c r="D172" s="643"/>
      <c r="E172" s="643"/>
      <c r="F172" s="643"/>
      <c r="G172" s="643"/>
      <c r="H172" s="643"/>
      <c r="I172" s="643"/>
      <c r="J172" s="643"/>
      <c r="K172" s="643"/>
      <c r="L172" s="643"/>
      <c r="M172" s="643"/>
      <c r="N172" s="643"/>
      <c r="O172" s="644"/>
      <c r="P172" s="646" t="s">
        <v>71</v>
      </c>
      <c r="Q172" s="647"/>
      <c r="R172" s="647"/>
      <c r="S172" s="647"/>
      <c r="T172" s="647"/>
      <c r="U172" s="647"/>
      <c r="V172" s="648"/>
      <c r="W172" s="37" t="s">
        <v>66</v>
      </c>
      <c r="X172" s="631">
        <f>IFERROR(SUM(X169:X170),"0")</f>
        <v>0</v>
      </c>
      <c r="Y172" s="631">
        <f>IFERROR(SUM(Y169:Y170),"0")</f>
        <v>0</v>
      </c>
      <c r="Z172" s="37"/>
      <c r="AA172" s="632"/>
      <c r="AB172" s="632"/>
      <c r="AC172" s="632"/>
    </row>
    <row r="173" spans="1:68" ht="14.25" hidden="1" customHeight="1" x14ac:dyDescent="0.25">
      <c r="A173" s="653" t="s">
        <v>61</v>
      </c>
      <c r="B173" s="643"/>
      <c r="C173" s="643"/>
      <c r="D173" s="643"/>
      <c r="E173" s="643"/>
      <c r="F173" s="643"/>
      <c r="G173" s="643"/>
      <c r="H173" s="643"/>
      <c r="I173" s="643"/>
      <c r="J173" s="643"/>
      <c r="K173" s="643"/>
      <c r="L173" s="643"/>
      <c r="M173" s="643"/>
      <c r="N173" s="643"/>
      <c r="O173" s="643"/>
      <c r="P173" s="643"/>
      <c r="Q173" s="643"/>
      <c r="R173" s="643"/>
      <c r="S173" s="643"/>
      <c r="T173" s="643"/>
      <c r="U173" s="643"/>
      <c r="V173" s="643"/>
      <c r="W173" s="643"/>
      <c r="X173" s="643"/>
      <c r="Y173" s="643"/>
      <c r="Z173" s="643"/>
      <c r="AA173" s="625"/>
      <c r="AB173" s="625"/>
      <c r="AC173" s="625"/>
    </row>
    <row r="174" spans="1:68" ht="27" customHeight="1" x14ac:dyDescent="0.25">
      <c r="A174" s="54" t="s">
        <v>292</v>
      </c>
      <c r="B174" s="54" t="s">
        <v>293</v>
      </c>
      <c r="C174" s="31">
        <v>4301031496</v>
      </c>
      <c r="D174" s="633">
        <v>4680115887428</v>
      </c>
      <c r="E174" s="634"/>
      <c r="F174" s="628">
        <v>0.7</v>
      </c>
      <c r="G174" s="32">
        <v>5</v>
      </c>
      <c r="H174" s="628">
        <v>3.5</v>
      </c>
      <c r="I174" s="628">
        <v>3.69</v>
      </c>
      <c r="J174" s="32">
        <v>132</v>
      </c>
      <c r="K174" s="32" t="s">
        <v>124</v>
      </c>
      <c r="L174" s="32"/>
      <c r="M174" s="33" t="s">
        <v>65</v>
      </c>
      <c r="N174" s="33"/>
      <c r="O174" s="32">
        <v>40</v>
      </c>
      <c r="P174" s="9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636"/>
      <c r="R174" s="636"/>
      <c r="S174" s="636"/>
      <c r="T174" s="637"/>
      <c r="U174" s="34"/>
      <c r="V174" s="34"/>
      <c r="W174" s="35" t="s">
        <v>66</v>
      </c>
      <c r="X174" s="629">
        <v>56</v>
      </c>
      <c r="Y174" s="630">
        <f t="shared" ref="Y174:Y184" si="22">IFERROR(IF(X174="",0,CEILING((X174/$H174),1)*$H174),"")</f>
        <v>56</v>
      </c>
      <c r="Z174" s="36">
        <f>IFERROR(IF(Y174=0,"",ROUNDUP(Y174/H174,0)*0.00902),"")</f>
        <v>0.14432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ref="BM174:BM184" si="23">IFERROR(X174*I174/H174,"0")</f>
        <v>59.04</v>
      </c>
      <c r="BN174" s="64">
        <f t="shared" ref="BN174:BN184" si="24">IFERROR(Y174*I174/H174,"0")</f>
        <v>59.04</v>
      </c>
      <c r="BO174" s="64">
        <f t="shared" ref="BO174:BO184" si="25">IFERROR(1/J174*(X174/H174),"0")</f>
        <v>0.12121212121212122</v>
      </c>
      <c r="BP174" s="64">
        <f t="shared" ref="BP174:BP184" si="26">IFERROR(1/J174*(Y174/H174),"0")</f>
        <v>0.12121212121212122</v>
      </c>
    </row>
    <row r="175" spans="1:68" ht="27" hidden="1" customHeight="1" x14ac:dyDescent="0.25">
      <c r="A175" s="54" t="s">
        <v>295</v>
      </c>
      <c r="B175" s="54" t="s">
        <v>296</v>
      </c>
      <c r="C175" s="31">
        <v>4301031509</v>
      </c>
      <c r="D175" s="633">
        <v>4680115889170</v>
      </c>
      <c r="E175" s="634"/>
      <c r="F175" s="628">
        <v>0.7</v>
      </c>
      <c r="G175" s="32">
        <v>5</v>
      </c>
      <c r="H175" s="628">
        <v>3.5</v>
      </c>
      <c r="I175" s="628">
        <v>3.7650000000000001</v>
      </c>
      <c r="J175" s="32">
        <v>132</v>
      </c>
      <c r="K175" s="32" t="s">
        <v>124</v>
      </c>
      <c r="L175" s="32"/>
      <c r="M175" s="33" t="s">
        <v>65</v>
      </c>
      <c r="N175" s="33"/>
      <c r="O175" s="32">
        <v>45</v>
      </c>
      <c r="P175" s="89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636"/>
      <c r="R175" s="636"/>
      <c r="S175" s="636"/>
      <c r="T175" s="637"/>
      <c r="U175" s="34"/>
      <c r="V175" s="34"/>
      <c r="W175" s="35" t="s">
        <v>66</v>
      </c>
      <c r="X175" s="629">
        <v>0</v>
      </c>
      <c r="Y175" s="630">
        <f t="shared" si="22"/>
        <v>0</v>
      </c>
      <c r="Z175" s="36" t="str">
        <f>IFERROR(IF(Y175=0,"",ROUNDUP(Y175/H175,0)*0.00902),"")</f>
        <v/>
      </c>
      <c r="AA175" s="56"/>
      <c r="AB175" s="57"/>
      <c r="AC175" s="229" t="s">
        <v>297</v>
      </c>
      <c r="AG175" s="64"/>
      <c r="AJ175" s="68"/>
      <c r="AK175" s="68">
        <v>0</v>
      </c>
      <c r="BB175" s="230" t="s">
        <v>1</v>
      </c>
      <c r="BM175" s="64">
        <f t="shared" si="23"/>
        <v>0</v>
      </c>
      <c r="BN175" s="64">
        <f t="shared" si="24"/>
        <v>0</v>
      </c>
      <c r="BO175" s="64">
        <f t="shared" si="25"/>
        <v>0</v>
      </c>
      <c r="BP175" s="64">
        <f t="shared" si="26"/>
        <v>0</v>
      </c>
    </row>
    <row r="176" spans="1:68" ht="27" customHeight="1" x14ac:dyDescent="0.25">
      <c r="A176" s="54" t="s">
        <v>298</v>
      </c>
      <c r="B176" s="54" t="s">
        <v>299</v>
      </c>
      <c r="C176" s="31">
        <v>4301031498</v>
      </c>
      <c r="D176" s="633">
        <v>4680115887398</v>
      </c>
      <c r="E176" s="634"/>
      <c r="F176" s="628">
        <v>0.7</v>
      </c>
      <c r="G176" s="32">
        <v>5</v>
      </c>
      <c r="H176" s="628">
        <v>3.5</v>
      </c>
      <c r="I176" s="628">
        <v>3.69</v>
      </c>
      <c r="J176" s="32">
        <v>132</v>
      </c>
      <c r="K176" s="32" t="s">
        <v>124</v>
      </c>
      <c r="L176" s="32"/>
      <c r="M176" s="33" t="s">
        <v>65</v>
      </c>
      <c r="N176" s="33"/>
      <c r="O176" s="32">
        <v>40</v>
      </c>
      <c r="P176" s="92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36"/>
      <c r="R176" s="636"/>
      <c r="S176" s="636"/>
      <c r="T176" s="637"/>
      <c r="U176" s="34"/>
      <c r="V176" s="34"/>
      <c r="W176" s="35" t="s">
        <v>66</v>
      </c>
      <c r="X176" s="629">
        <v>56</v>
      </c>
      <c r="Y176" s="630">
        <f t="shared" si="22"/>
        <v>56</v>
      </c>
      <c r="Z176" s="36">
        <f>IFERROR(IF(Y176=0,"",ROUNDUP(Y176/H176,0)*0.00902),"")</f>
        <v>0.14432</v>
      </c>
      <c r="AA176" s="56"/>
      <c r="AB176" s="57"/>
      <c r="AC176" s="231" t="s">
        <v>300</v>
      </c>
      <c r="AG176" s="64"/>
      <c r="AJ176" s="68"/>
      <c r="AK176" s="68">
        <v>0</v>
      </c>
      <c r="BB176" s="232" t="s">
        <v>1</v>
      </c>
      <c r="BM176" s="64">
        <f t="shared" si="23"/>
        <v>59.04</v>
      </c>
      <c r="BN176" s="64">
        <f t="shared" si="24"/>
        <v>59.04</v>
      </c>
      <c r="BO176" s="64">
        <f t="shared" si="25"/>
        <v>0.12121212121212122</v>
      </c>
      <c r="BP176" s="64">
        <f t="shared" si="26"/>
        <v>0.12121212121212122</v>
      </c>
    </row>
    <row r="177" spans="1:68" ht="27" customHeight="1" x14ac:dyDescent="0.25">
      <c r="A177" s="54" t="s">
        <v>301</v>
      </c>
      <c r="B177" s="54" t="s">
        <v>302</v>
      </c>
      <c r="C177" s="31">
        <v>4301031497</v>
      </c>
      <c r="D177" s="633">
        <v>4680115887336</v>
      </c>
      <c r="E177" s="634"/>
      <c r="F177" s="628">
        <v>0.7</v>
      </c>
      <c r="G177" s="32">
        <v>5</v>
      </c>
      <c r="H177" s="628">
        <v>3.5</v>
      </c>
      <c r="I177" s="628">
        <v>3.69</v>
      </c>
      <c r="J177" s="32">
        <v>132</v>
      </c>
      <c r="K177" s="32" t="s">
        <v>124</v>
      </c>
      <c r="L177" s="32"/>
      <c r="M177" s="33" t="s">
        <v>65</v>
      </c>
      <c r="N177" s="33"/>
      <c r="O177" s="32">
        <v>40</v>
      </c>
      <c r="P177" s="8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66</v>
      </c>
      <c r="X177" s="629">
        <v>70</v>
      </c>
      <c r="Y177" s="630">
        <f t="shared" si="22"/>
        <v>70</v>
      </c>
      <c r="Z177" s="36">
        <f>IFERROR(IF(Y177=0,"",ROUNDUP(Y177/H177,0)*0.00902),"")</f>
        <v>0.1804</v>
      </c>
      <c r="AA177" s="56"/>
      <c r="AB177" s="57"/>
      <c r="AC177" s="233" t="s">
        <v>303</v>
      </c>
      <c r="AG177" s="64"/>
      <c r="AJ177" s="68"/>
      <c r="AK177" s="68">
        <v>0</v>
      </c>
      <c r="BB177" s="234" t="s">
        <v>1</v>
      </c>
      <c r="BM177" s="64">
        <f t="shared" si="23"/>
        <v>73.8</v>
      </c>
      <c r="BN177" s="64">
        <f t="shared" si="24"/>
        <v>73.8</v>
      </c>
      <c r="BO177" s="64">
        <f t="shared" si="25"/>
        <v>0.15151515151515152</v>
      </c>
      <c r="BP177" s="64">
        <f t="shared" si="26"/>
        <v>0.15151515151515152</v>
      </c>
    </row>
    <row r="178" spans="1:68" ht="16.5" hidden="1" customHeight="1" x14ac:dyDescent="0.25">
      <c r="A178" s="54" t="s">
        <v>304</v>
      </c>
      <c r="B178" s="54" t="s">
        <v>305</v>
      </c>
      <c r="C178" s="31">
        <v>4301032049</v>
      </c>
      <c r="D178" s="633">
        <v>4680115887787</v>
      </c>
      <c r="E178" s="634"/>
      <c r="F178" s="628">
        <v>0.09</v>
      </c>
      <c r="G178" s="32">
        <v>10</v>
      </c>
      <c r="H178" s="628">
        <v>0.9</v>
      </c>
      <c r="I178" s="628">
        <v>1.1100000000000001</v>
      </c>
      <c r="J178" s="32">
        <v>336</v>
      </c>
      <c r="K178" s="32" t="s">
        <v>120</v>
      </c>
      <c r="L178" s="32"/>
      <c r="M178" s="33" t="s">
        <v>65</v>
      </c>
      <c r="N178" s="33"/>
      <c r="O178" s="32">
        <v>45</v>
      </c>
      <c r="P178" s="92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36"/>
      <c r="R178" s="636"/>
      <c r="S178" s="636"/>
      <c r="T178" s="637"/>
      <c r="U178" s="34"/>
      <c r="V178" s="34"/>
      <c r="W178" s="35" t="s">
        <v>66</v>
      </c>
      <c r="X178" s="629">
        <v>0</v>
      </c>
      <c r="Y178" s="630">
        <f t="shared" si="22"/>
        <v>0</v>
      </c>
      <c r="Z178" s="36" t="str">
        <f>IFERROR(IF(Y178=0,"",ROUNDUP(Y178/H178,0)*0.00417),"")</f>
        <v/>
      </c>
      <c r="AA178" s="56"/>
      <c r="AB178" s="57"/>
      <c r="AC178" s="235" t="s">
        <v>306</v>
      </c>
      <c r="AG178" s="64"/>
      <c r="AJ178" s="68"/>
      <c r="AK178" s="68">
        <v>0</v>
      </c>
      <c r="BB178" s="236" t="s">
        <v>1</v>
      </c>
      <c r="BM178" s="64">
        <f t="shared" si="23"/>
        <v>0</v>
      </c>
      <c r="BN178" s="64">
        <f t="shared" si="24"/>
        <v>0</v>
      </c>
      <c r="BO178" s="64">
        <f t="shared" si="25"/>
        <v>0</v>
      </c>
      <c r="BP178" s="64">
        <f t="shared" si="26"/>
        <v>0</v>
      </c>
    </row>
    <row r="179" spans="1:68" ht="27" customHeight="1" x14ac:dyDescent="0.25">
      <c r="A179" s="54" t="s">
        <v>307</v>
      </c>
      <c r="B179" s="54" t="s">
        <v>308</v>
      </c>
      <c r="C179" s="31">
        <v>4301031448</v>
      </c>
      <c r="D179" s="633">
        <v>4680115887503</v>
      </c>
      <c r="E179" s="634"/>
      <c r="F179" s="628">
        <v>0.28000000000000003</v>
      </c>
      <c r="G179" s="32">
        <v>6</v>
      </c>
      <c r="H179" s="628">
        <v>1.68</v>
      </c>
      <c r="I179" s="628">
        <v>1.78</v>
      </c>
      <c r="J179" s="32">
        <v>234</v>
      </c>
      <c r="K179" s="32" t="s">
        <v>64</v>
      </c>
      <c r="L179" s="32"/>
      <c r="M179" s="33" t="s">
        <v>65</v>
      </c>
      <c r="N179" s="33"/>
      <c r="O179" s="32">
        <v>40</v>
      </c>
      <c r="P179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36"/>
      <c r="R179" s="636"/>
      <c r="S179" s="636"/>
      <c r="T179" s="637"/>
      <c r="U179" s="34"/>
      <c r="V179" s="34"/>
      <c r="W179" s="35" t="s">
        <v>66</v>
      </c>
      <c r="X179" s="629">
        <v>20</v>
      </c>
      <c r="Y179" s="630">
        <f t="shared" si="22"/>
        <v>20.16</v>
      </c>
      <c r="Z179" s="36">
        <f>IFERROR(IF(Y179=0,"",ROUNDUP(Y179/H179,0)*0.00502),"")</f>
        <v>6.0240000000000002E-2</v>
      </c>
      <c r="AA179" s="56"/>
      <c r="AB179" s="57"/>
      <c r="AC179" s="237" t="s">
        <v>294</v>
      </c>
      <c r="AG179" s="64"/>
      <c r="AJ179" s="68"/>
      <c r="AK179" s="68">
        <v>0</v>
      </c>
      <c r="BB179" s="238" t="s">
        <v>1</v>
      </c>
      <c r="BM179" s="64">
        <f t="shared" si="23"/>
        <v>21.190476190476193</v>
      </c>
      <c r="BN179" s="64">
        <f t="shared" si="24"/>
        <v>21.36</v>
      </c>
      <c r="BO179" s="64">
        <f t="shared" si="25"/>
        <v>5.0875050875050884E-2</v>
      </c>
      <c r="BP179" s="64">
        <f t="shared" si="26"/>
        <v>5.1282051282051287E-2</v>
      </c>
    </row>
    <row r="180" spans="1:68" ht="27" hidden="1" customHeight="1" x14ac:dyDescent="0.25">
      <c r="A180" s="54" t="s">
        <v>309</v>
      </c>
      <c r="B180" s="54" t="s">
        <v>310</v>
      </c>
      <c r="C180" s="31">
        <v>4301031389</v>
      </c>
      <c r="D180" s="633">
        <v>4680115887763</v>
      </c>
      <c r="E180" s="634"/>
      <c r="F180" s="628">
        <v>0.09</v>
      </c>
      <c r="G180" s="32">
        <v>10</v>
      </c>
      <c r="H180" s="628">
        <v>0.9</v>
      </c>
      <c r="I180" s="628">
        <v>1.1100000000000001</v>
      </c>
      <c r="J180" s="32">
        <v>336</v>
      </c>
      <c r="K180" s="32" t="s">
        <v>120</v>
      </c>
      <c r="L180" s="32"/>
      <c r="M180" s="33" t="s">
        <v>65</v>
      </c>
      <c r="N180" s="33"/>
      <c r="O180" s="32">
        <v>45</v>
      </c>
      <c r="P180" s="76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36"/>
      <c r="R180" s="636"/>
      <c r="S180" s="636"/>
      <c r="T180" s="637"/>
      <c r="U180" s="34"/>
      <c r="V180" s="34"/>
      <c r="W180" s="35" t="s">
        <v>66</v>
      </c>
      <c r="X180" s="629">
        <v>0</v>
      </c>
      <c r="Y180" s="630">
        <f t="shared" si="22"/>
        <v>0</v>
      </c>
      <c r="Z180" s="36" t="str">
        <f>IFERROR(IF(Y180=0,"",ROUNDUP(Y180/H180,0)*0.00417),"")</f>
        <v/>
      </c>
      <c r="AA180" s="56"/>
      <c r="AB180" s="57"/>
      <c r="AC180" s="239" t="s">
        <v>311</v>
      </c>
      <c r="AG180" s="64"/>
      <c r="AJ180" s="68"/>
      <c r="AK180" s="68">
        <v>0</v>
      </c>
      <c r="BB180" s="240" t="s">
        <v>1</v>
      </c>
      <c r="BM180" s="64">
        <f t="shared" si="23"/>
        <v>0</v>
      </c>
      <c r="BN180" s="64">
        <f t="shared" si="24"/>
        <v>0</v>
      </c>
      <c r="BO180" s="64">
        <f t="shared" si="25"/>
        <v>0</v>
      </c>
      <c r="BP180" s="64">
        <f t="shared" si="26"/>
        <v>0</v>
      </c>
    </row>
    <row r="181" spans="1:68" ht="27" hidden="1" customHeight="1" x14ac:dyDescent="0.25">
      <c r="A181" s="54" t="s">
        <v>309</v>
      </c>
      <c r="B181" s="54" t="s">
        <v>312</v>
      </c>
      <c r="C181" s="31">
        <v>4301031510</v>
      </c>
      <c r="D181" s="633">
        <v>4680115887763</v>
      </c>
      <c r="E181" s="634"/>
      <c r="F181" s="628">
        <v>0.09</v>
      </c>
      <c r="G181" s="32">
        <v>8</v>
      </c>
      <c r="H181" s="628">
        <v>0.72</v>
      </c>
      <c r="I181" s="628">
        <v>0.90800000000000003</v>
      </c>
      <c r="J181" s="32">
        <v>336</v>
      </c>
      <c r="K181" s="32" t="s">
        <v>120</v>
      </c>
      <c r="L181" s="32"/>
      <c r="M181" s="33" t="s">
        <v>65</v>
      </c>
      <c r="N181" s="33"/>
      <c r="O181" s="32">
        <v>45</v>
      </c>
      <c r="P181" s="95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66</v>
      </c>
      <c r="X181" s="629">
        <v>0</v>
      </c>
      <c r="Y181" s="630">
        <f t="shared" si="22"/>
        <v>0</v>
      </c>
      <c r="Z181" s="36" t="str">
        <f>IFERROR(IF(Y181=0,"",ROUNDUP(Y181/H181,0)*0.00417),"")</f>
        <v/>
      </c>
      <c r="AA181" s="56"/>
      <c r="AB181" s="57"/>
      <c r="AC181" s="241" t="s">
        <v>311</v>
      </c>
      <c r="AG181" s="64"/>
      <c r="AJ181" s="68"/>
      <c r="AK181" s="68">
        <v>0</v>
      </c>
      <c r="BB181" s="242" t="s">
        <v>1</v>
      </c>
      <c r="BM181" s="64">
        <f t="shared" si="23"/>
        <v>0</v>
      </c>
      <c r="BN181" s="64">
        <f t="shared" si="24"/>
        <v>0</v>
      </c>
      <c r="BO181" s="64">
        <f t="shared" si="25"/>
        <v>0</v>
      </c>
      <c r="BP181" s="64">
        <f t="shared" si="26"/>
        <v>0</v>
      </c>
    </row>
    <row r="182" spans="1:68" ht="27" customHeight="1" x14ac:dyDescent="0.25">
      <c r="A182" s="54" t="s">
        <v>313</v>
      </c>
      <c r="B182" s="54" t="s">
        <v>314</v>
      </c>
      <c r="C182" s="31">
        <v>4301031454</v>
      </c>
      <c r="D182" s="633">
        <v>4680115887480</v>
      </c>
      <c r="E182" s="634"/>
      <c r="F182" s="628">
        <v>0.28000000000000003</v>
      </c>
      <c r="G182" s="32">
        <v>6</v>
      </c>
      <c r="H182" s="628">
        <v>1.68</v>
      </c>
      <c r="I182" s="628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7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66</v>
      </c>
      <c r="X182" s="629">
        <v>20</v>
      </c>
      <c r="Y182" s="630">
        <f t="shared" si="22"/>
        <v>20.16</v>
      </c>
      <c r="Z182" s="36">
        <f>IFERROR(IF(Y182=0,"",ROUNDUP(Y182/H182,0)*0.00502),"")</f>
        <v>6.0240000000000002E-2</v>
      </c>
      <c r="AA182" s="56"/>
      <c r="AB182" s="57"/>
      <c r="AC182" s="243" t="s">
        <v>300</v>
      </c>
      <c r="AG182" s="64"/>
      <c r="AJ182" s="68"/>
      <c r="AK182" s="68">
        <v>0</v>
      </c>
      <c r="BB182" s="244" t="s">
        <v>1</v>
      </c>
      <c r="BM182" s="64">
        <f t="shared" si="23"/>
        <v>21.190476190476193</v>
      </c>
      <c r="BN182" s="64">
        <f t="shared" si="24"/>
        <v>21.36</v>
      </c>
      <c r="BO182" s="64">
        <f t="shared" si="25"/>
        <v>5.0875050875050884E-2</v>
      </c>
      <c r="BP182" s="64">
        <f t="shared" si="26"/>
        <v>5.1282051282051287E-2</v>
      </c>
    </row>
    <row r="183" spans="1:68" ht="27" customHeight="1" x14ac:dyDescent="0.25">
      <c r="A183" s="54" t="s">
        <v>315</v>
      </c>
      <c r="B183" s="54" t="s">
        <v>316</v>
      </c>
      <c r="C183" s="31">
        <v>4301031434</v>
      </c>
      <c r="D183" s="633">
        <v>4680115888067</v>
      </c>
      <c r="E183" s="634"/>
      <c r="F183" s="628">
        <v>0.09</v>
      </c>
      <c r="G183" s="32">
        <v>10</v>
      </c>
      <c r="H183" s="628">
        <v>0.9</v>
      </c>
      <c r="I183" s="628">
        <v>1</v>
      </c>
      <c r="J183" s="32">
        <v>336</v>
      </c>
      <c r="K183" s="32" t="s">
        <v>120</v>
      </c>
      <c r="L183" s="32"/>
      <c r="M183" s="33" t="s">
        <v>65</v>
      </c>
      <c r="N183" s="33"/>
      <c r="O183" s="32">
        <v>45</v>
      </c>
      <c r="P183" s="93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66</v>
      </c>
      <c r="X183" s="629">
        <v>3</v>
      </c>
      <c r="Y183" s="630">
        <f t="shared" si="22"/>
        <v>3.6</v>
      </c>
      <c r="Z183" s="36">
        <f>IFERROR(IF(Y183=0,"",ROUNDUP(Y183/H183,0)*0.00417),"")</f>
        <v>1.668E-2</v>
      </c>
      <c r="AA183" s="56"/>
      <c r="AB183" s="57"/>
      <c r="AC183" s="245" t="s">
        <v>317</v>
      </c>
      <c r="AG183" s="64"/>
      <c r="AJ183" s="68"/>
      <c r="AK183" s="68">
        <v>0</v>
      </c>
      <c r="BB183" s="246" t="s">
        <v>1</v>
      </c>
      <c r="BM183" s="64">
        <f t="shared" si="23"/>
        <v>3.333333333333333</v>
      </c>
      <c r="BN183" s="64">
        <f t="shared" si="24"/>
        <v>4</v>
      </c>
      <c r="BO183" s="64">
        <f t="shared" si="25"/>
        <v>9.9206349206349183E-3</v>
      </c>
      <c r="BP183" s="64">
        <f t="shared" si="26"/>
        <v>1.1904761904761904E-2</v>
      </c>
    </row>
    <row r="184" spans="1:68" ht="27" customHeight="1" x14ac:dyDescent="0.25">
      <c r="A184" s="54" t="s">
        <v>318</v>
      </c>
      <c r="B184" s="54" t="s">
        <v>319</v>
      </c>
      <c r="C184" s="31">
        <v>4301031519</v>
      </c>
      <c r="D184" s="633">
        <v>4680115887435</v>
      </c>
      <c r="E184" s="634"/>
      <c r="F184" s="628">
        <v>0.28000000000000003</v>
      </c>
      <c r="G184" s="32">
        <v>6</v>
      </c>
      <c r="H184" s="628">
        <v>1.68</v>
      </c>
      <c r="I184" s="628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20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36"/>
      <c r="R184" s="636"/>
      <c r="S184" s="636"/>
      <c r="T184" s="637"/>
      <c r="U184" s="34"/>
      <c r="V184" s="34"/>
      <c r="W184" s="35" t="s">
        <v>66</v>
      </c>
      <c r="X184" s="629">
        <v>14</v>
      </c>
      <c r="Y184" s="630">
        <f t="shared" si="22"/>
        <v>15.12</v>
      </c>
      <c r="Z184" s="36">
        <f>IFERROR(IF(Y184=0,"",ROUNDUP(Y184/H184,0)*0.00502),"")</f>
        <v>4.5179999999999998E-2</v>
      </c>
      <c r="AA184" s="56"/>
      <c r="AB184" s="57"/>
      <c r="AC184" s="247" t="s">
        <v>320</v>
      </c>
      <c r="AG184" s="64"/>
      <c r="AJ184" s="68"/>
      <c r="AK184" s="68">
        <v>0</v>
      </c>
      <c r="BB184" s="248" t="s">
        <v>1</v>
      </c>
      <c r="BM184" s="64">
        <f t="shared" si="23"/>
        <v>14.833333333333336</v>
      </c>
      <c r="BN184" s="64">
        <f t="shared" si="24"/>
        <v>16.02</v>
      </c>
      <c r="BO184" s="64">
        <f t="shared" si="25"/>
        <v>3.561253561253562E-2</v>
      </c>
      <c r="BP184" s="64">
        <f t="shared" si="26"/>
        <v>3.8461538461538464E-2</v>
      </c>
    </row>
    <row r="185" spans="1:68" x14ac:dyDescent="0.2">
      <c r="A185" s="642"/>
      <c r="B185" s="643"/>
      <c r="C185" s="643"/>
      <c r="D185" s="643"/>
      <c r="E185" s="643"/>
      <c r="F185" s="643"/>
      <c r="G185" s="643"/>
      <c r="H185" s="643"/>
      <c r="I185" s="643"/>
      <c r="J185" s="643"/>
      <c r="K185" s="643"/>
      <c r="L185" s="643"/>
      <c r="M185" s="643"/>
      <c r="N185" s="643"/>
      <c r="O185" s="644"/>
      <c r="P185" s="646" t="s">
        <v>71</v>
      </c>
      <c r="Q185" s="647"/>
      <c r="R185" s="647"/>
      <c r="S185" s="647"/>
      <c r="T185" s="647"/>
      <c r="U185" s="647"/>
      <c r="V185" s="648"/>
      <c r="W185" s="37" t="s">
        <v>72</v>
      </c>
      <c r="X185" s="631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87.476190476190467</v>
      </c>
      <c r="Y185" s="631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89</v>
      </c>
      <c r="Z185" s="63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0.65137999999999996</v>
      </c>
      <c r="AA185" s="632"/>
      <c r="AB185" s="632"/>
      <c r="AC185" s="632"/>
    </row>
    <row r="186" spans="1:68" x14ac:dyDescent="0.2">
      <c r="A186" s="643"/>
      <c r="B186" s="643"/>
      <c r="C186" s="643"/>
      <c r="D186" s="643"/>
      <c r="E186" s="643"/>
      <c r="F186" s="643"/>
      <c r="G186" s="643"/>
      <c r="H186" s="643"/>
      <c r="I186" s="643"/>
      <c r="J186" s="643"/>
      <c r="K186" s="643"/>
      <c r="L186" s="643"/>
      <c r="M186" s="643"/>
      <c r="N186" s="643"/>
      <c r="O186" s="644"/>
      <c r="P186" s="646" t="s">
        <v>71</v>
      </c>
      <c r="Q186" s="647"/>
      <c r="R186" s="647"/>
      <c r="S186" s="647"/>
      <c r="T186" s="647"/>
      <c r="U186" s="647"/>
      <c r="V186" s="648"/>
      <c r="W186" s="37" t="s">
        <v>66</v>
      </c>
      <c r="X186" s="631">
        <f>IFERROR(SUM(X174:X184),"0")</f>
        <v>239</v>
      </c>
      <c r="Y186" s="631">
        <f>IFERROR(SUM(Y174:Y184),"0")</f>
        <v>241.04</v>
      </c>
      <c r="Z186" s="37"/>
      <c r="AA186" s="632"/>
      <c r="AB186" s="632"/>
      <c r="AC186" s="632"/>
    </row>
    <row r="187" spans="1:68" ht="14.25" hidden="1" customHeight="1" x14ac:dyDescent="0.25">
      <c r="A187" s="653" t="s">
        <v>73</v>
      </c>
      <c r="B187" s="643"/>
      <c r="C187" s="643"/>
      <c r="D187" s="643"/>
      <c r="E187" s="643"/>
      <c r="F187" s="643"/>
      <c r="G187" s="643"/>
      <c r="H187" s="643"/>
      <c r="I187" s="643"/>
      <c r="J187" s="643"/>
      <c r="K187" s="643"/>
      <c r="L187" s="643"/>
      <c r="M187" s="643"/>
      <c r="N187" s="643"/>
      <c r="O187" s="643"/>
      <c r="P187" s="643"/>
      <c r="Q187" s="643"/>
      <c r="R187" s="643"/>
      <c r="S187" s="643"/>
      <c r="T187" s="643"/>
      <c r="U187" s="643"/>
      <c r="V187" s="643"/>
      <c r="W187" s="643"/>
      <c r="X187" s="643"/>
      <c r="Y187" s="643"/>
      <c r="Z187" s="643"/>
      <c r="AA187" s="625"/>
      <c r="AB187" s="625"/>
      <c r="AC187" s="625"/>
    </row>
    <row r="188" spans="1:68" ht="16.5" hidden="1" customHeight="1" x14ac:dyDescent="0.25">
      <c r="A188" s="54" t="s">
        <v>321</v>
      </c>
      <c r="B188" s="54" t="s">
        <v>322</v>
      </c>
      <c r="C188" s="31">
        <v>4301052193</v>
      </c>
      <c r="D188" s="633">
        <v>4680115888395</v>
      </c>
      <c r="E188" s="634"/>
      <c r="F188" s="628">
        <v>0.42</v>
      </c>
      <c r="G188" s="32">
        <v>6</v>
      </c>
      <c r="H188" s="628">
        <v>2.52</v>
      </c>
      <c r="I188" s="628">
        <v>2.766</v>
      </c>
      <c r="J188" s="32">
        <v>182</v>
      </c>
      <c r="K188" s="32" t="s">
        <v>76</v>
      </c>
      <c r="L188" s="32"/>
      <c r="M188" s="33" t="s">
        <v>83</v>
      </c>
      <c r="N188" s="33"/>
      <c r="O188" s="32">
        <v>40</v>
      </c>
      <c r="P188" s="9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36"/>
      <c r="R188" s="636"/>
      <c r="S188" s="636"/>
      <c r="T188" s="637"/>
      <c r="U188" s="34"/>
      <c r="V188" s="34"/>
      <c r="W188" s="35" t="s">
        <v>66</v>
      </c>
      <c r="X188" s="629">
        <v>0</v>
      </c>
      <c r="Y188" s="630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323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16.5" hidden="1" customHeight="1" x14ac:dyDescent="0.25">
      <c r="A189" s="54" t="s">
        <v>324</v>
      </c>
      <c r="B189" s="54" t="s">
        <v>325</v>
      </c>
      <c r="C189" s="31">
        <v>4301052191</v>
      </c>
      <c r="D189" s="633">
        <v>4680115888371</v>
      </c>
      <c r="E189" s="634"/>
      <c r="F189" s="628">
        <v>0.42</v>
      </c>
      <c r="G189" s="32">
        <v>6</v>
      </c>
      <c r="H189" s="628">
        <v>2.52</v>
      </c>
      <c r="I189" s="628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75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36"/>
      <c r="R189" s="636"/>
      <c r="S189" s="636"/>
      <c r="T189" s="637"/>
      <c r="U189" s="34"/>
      <c r="V189" s="34"/>
      <c r="W189" s="35" t="s">
        <v>66</v>
      </c>
      <c r="X189" s="629">
        <v>0</v>
      </c>
      <c r="Y189" s="630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326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27" hidden="1" customHeight="1" x14ac:dyDescent="0.25">
      <c r="A190" s="54" t="s">
        <v>327</v>
      </c>
      <c r="B190" s="54" t="s">
        <v>328</v>
      </c>
      <c r="C190" s="31">
        <v>4301052064</v>
      </c>
      <c r="D190" s="633">
        <v>4680115887459</v>
      </c>
      <c r="E190" s="634"/>
      <c r="F190" s="628">
        <v>0.3</v>
      </c>
      <c r="G190" s="32">
        <v>6</v>
      </c>
      <c r="H190" s="628">
        <v>1.8</v>
      </c>
      <c r="I190" s="628">
        <v>2.0579999999999998</v>
      </c>
      <c r="J190" s="32">
        <v>182</v>
      </c>
      <c r="K190" s="32" t="s">
        <v>76</v>
      </c>
      <c r="L190" s="32"/>
      <c r="M190" s="33" t="s">
        <v>77</v>
      </c>
      <c r="N190" s="33"/>
      <c r="O190" s="32">
        <v>45</v>
      </c>
      <c r="P190" s="91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36"/>
      <c r="R190" s="636"/>
      <c r="S190" s="636"/>
      <c r="T190" s="637"/>
      <c r="U190" s="34"/>
      <c r="V190" s="34"/>
      <c r="W190" s="35" t="s">
        <v>66</v>
      </c>
      <c r="X190" s="629">
        <v>0</v>
      </c>
      <c r="Y190" s="630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642"/>
      <c r="B191" s="643"/>
      <c r="C191" s="643"/>
      <c r="D191" s="643"/>
      <c r="E191" s="643"/>
      <c r="F191" s="643"/>
      <c r="G191" s="643"/>
      <c r="H191" s="643"/>
      <c r="I191" s="643"/>
      <c r="J191" s="643"/>
      <c r="K191" s="643"/>
      <c r="L191" s="643"/>
      <c r="M191" s="643"/>
      <c r="N191" s="643"/>
      <c r="O191" s="644"/>
      <c r="P191" s="646" t="s">
        <v>71</v>
      </c>
      <c r="Q191" s="647"/>
      <c r="R191" s="647"/>
      <c r="S191" s="647"/>
      <c r="T191" s="647"/>
      <c r="U191" s="647"/>
      <c r="V191" s="648"/>
      <c r="W191" s="37" t="s">
        <v>72</v>
      </c>
      <c r="X191" s="631">
        <f>IFERROR(X188/H188,"0")+IFERROR(X189/H189,"0")+IFERROR(X190/H190,"0")</f>
        <v>0</v>
      </c>
      <c r="Y191" s="631">
        <f>IFERROR(Y188/H188,"0")+IFERROR(Y189/H189,"0")+IFERROR(Y190/H190,"0")</f>
        <v>0</v>
      </c>
      <c r="Z191" s="631">
        <f>IFERROR(IF(Z188="",0,Z188),"0")+IFERROR(IF(Z189="",0,Z189),"0")+IFERROR(IF(Z190="",0,Z190),"0")</f>
        <v>0</v>
      </c>
      <c r="AA191" s="632"/>
      <c r="AB191" s="632"/>
      <c r="AC191" s="632"/>
    </row>
    <row r="192" spans="1:68" hidden="1" x14ac:dyDescent="0.2">
      <c r="A192" s="643"/>
      <c r="B192" s="643"/>
      <c r="C192" s="643"/>
      <c r="D192" s="643"/>
      <c r="E192" s="643"/>
      <c r="F192" s="643"/>
      <c r="G192" s="643"/>
      <c r="H192" s="643"/>
      <c r="I192" s="643"/>
      <c r="J192" s="643"/>
      <c r="K192" s="643"/>
      <c r="L192" s="643"/>
      <c r="M192" s="643"/>
      <c r="N192" s="643"/>
      <c r="O192" s="644"/>
      <c r="P192" s="646" t="s">
        <v>71</v>
      </c>
      <c r="Q192" s="647"/>
      <c r="R192" s="647"/>
      <c r="S192" s="647"/>
      <c r="T192" s="647"/>
      <c r="U192" s="647"/>
      <c r="V192" s="648"/>
      <c r="W192" s="37" t="s">
        <v>66</v>
      </c>
      <c r="X192" s="631">
        <f>IFERROR(SUM(X188:X190),"0")</f>
        <v>0</v>
      </c>
      <c r="Y192" s="631">
        <f>IFERROR(SUM(Y188:Y190),"0")</f>
        <v>0</v>
      </c>
      <c r="Z192" s="37"/>
      <c r="AA192" s="632"/>
      <c r="AB192" s="632"/>
      <c r="AC192" s="632"/>
    </row>
    <row r="193" spans="1:68" ht="14.25" hidden="1" customHeight="1" x14ac:dyDescent="0.25">
      <c r="A193" s="653" t="s">
        <v>270</v>
      </c>
      <c r="B193" s="643"/>
      <c r="C193" s="643"/>
      <c r="D193" s="643"/>
      <c r="E193" s="643"/>
      <c r="F193" s="643"/>
      <c r="G193" s="643"/>
      <c r="H193" s="643"/>
      <c r="I193" s="643"/>
      <c r="J193" s="643"/>
      <c r="K193" s="643"/>
      <c r="L193" s="643"/>
      <c r="M193" s="643"/>
      <c r="N193" s="643"/>
      <c r="O193" s="643"/>
      <c r="P193" s="643"/>
      <c r="Q193" s="643"/>
      <c r="R193" s="643"/>
      <c r="S193" s="643"/>
      <c r="T193" s="643"/>
      <c r="U193" s="643"/>
      <c r="V193" s="643"/>
      <c r="W193" s="643"/>
      <c r="X193" s="643"/>
      <c r="Y193" s="643"/>
      <c r="Z193" s="643"/>
      <c r="AA193" s="625"/>
      <c r="AB193" s="625"/>
      <c r="AC193" s="625"/>
    </row>
    <row r="194" spans="1:68" ht="16.5" hidden="1" customHeight="1" x14ac:dyDescent="0.25">
      <c r="A194" s="54" t="s">
        <v>330</v>
      </c>
      <c r="B194" s="54" t="s">
        <v>331</v>
      </c>
      <c r="C194" s="31">
        <v>4301032058</v>
      </c>
      <c r="D194" s="633">
        <v>4680115889026</v>
      </c>
      <c r="E194" s="634"/>
      <c r="F194" s="628">
        <v>0.06</v>
      </c>
      <c r="G194" s="32">
        <v>18</v>
      </c>
      <c r="H194" s="628">
        <v>1.08</v>
      </c>
      <c r="I194" s="628">
        <v>1.36</v>
      </c>
      <c r="J194" s="32">
        <v>216</v>
      </c>
      <c r="K194" s="32" t="s">
        <v>332</v>
      </c>
      <c r="L194" s="32"/>
      <c r="M194" s="33" t="s">
        <v>274</v>
      </c>
      <c r="N194" s="33"/>
      <c r="O194" s="32">
        <v>60</v>
      </c>
      <c r="P194" s="74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636"/>
      <c r="R194" s="636"/>
      <c r="S194" s="636"/>
      <c r="T194" s="637"/>
      <c r="U194" s="34"/>
      <c r="V194" s="34"/>
      <c r="W194" s="35" t="s">
        <v>66</v>
      </c>
      <c r="X194" s="629">
        <v>0</v>
      </c>
      <c r="Y194" s="630">
        <f>IFERROR(IF(X194="",0,CEILING((X194/$H194),1)*$H194),"")</f>
        <v>0</v>
      </c>
      <c r="Z194" s="36" t="str">
        <f>IFERROR(IF(Y194=0,"",ROUNDUP(Y194/H194,0)*0.0059),"")</f>
        <v/>
      </c>
      <c r="AA194" s="56"/>
      <c r="AB194" s="57"/>
      <c r="AC194" s="255" t="s">
        <v>333</v>
      </c>
      <c r="AG194" s="64"/>
      <c r="AJ194" s="68"/>
      <c r="AK194" s="68">
        <v>0</v>
      </c>
      <c r="BB194" s="256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642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44"/>
      <c r="P195" s="646" t="s">
        <v>71</v>
      </c>
      <c r="Q195" s="647"/>
      <c r="R195" s="647"/>
      <c r="S195" s="647"/>
      <c r="T195" s="647"/>
      <c r="U195" s="647"/>
      <c r="V195" s="648"/>
      <c r="W195" s="37" t="s">
        <v>72</v>
      </c>
      <c r="X195" s="631">
        <f>IFERROR(X194/H194,"0")</f>
        <v>0</v>
      </c>
      <c r="Y195" s="631">
        <f>IFERROR(Y194/H194,"0")</f>
        <v>0</v>
      </c>
      <c r="Z195" s="631">
        <f>IFERROR(IF(Z194="",0,Z194),"0")</f>
        <v>0</v>
      </c>
      <c r="AA195" s="632"/>
      <c r="AB195" s="632"/>
      <c r="AC195" s="632"/>
    </row>
    <row r="196" spans="1:68" hidden="1" x14ac:dyDescent="0.2">
      <c r="A196" s="643"/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4"/>
      <c r="P196" s="646" t="s">
        <v>71</v>
      </c>
      <c r="Q196" s="647"/>
      <c r="R196" s="647"/>
      <c r="S196" s="647"/>
      <c r="T196" s="647"/>
      <c r="U196" s="647"/>
      <c r="V196" s="648"/>
      <c r="W196" s="37" t="s">
        <v>66</v>
      </c>
      <c r="X196" s="631">
        <f>IFERROR(SUM(X194:X194),"0")</f>
        <v>0</v>
      </c>
      <c r="Y196" s="631">
        <f>IFERROR(SUM(Y194:Y194),"0")</f>
        <v>0</v>
      </c>
      <c r="Z196" s="37"/>
      <c r="AA196" s="632"/>
      <c r="AB196" s="632"/>
      <c r="AC196" s="632"/>
    </row>
    <row r="197" spans="1:68" ht="14.25" hidden="1" customHeight="1" x14ac:dyDescent="0.25">
      <c r="A197" s="653" t="s">
        <v>334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25"/>
      <c r="AB197" s="625"/>
      <c r="AC197" s="625"/>
    </row>
    <row r="198" spans="1:68" ht="27" hidden="1" customHeight="1" x14ac:dyDescent="0.25">
      <c r="A198" s="54" t="s">
        <v>335</v>
      </c>
      <c r="B198" s="54" t="s">
        <v>336</v>
      </c>
      <c r="C198" s="31">
        <v>4301041009</v>
      </c>
      <c r="D198" s="633">
        <v>4680115889033</v>
      </c>
      <c r="E198" s="634"/>
      <c r="F198" s="628">
        <v>0.11</v>
      </c>
      <c r="G198" s="32">
        <v>15</v>
      </c>
      <c r="H198" s="628">
        <v>1.65</v>
      </c>
      <c r="I198" s="628">
        <v>1.9</v>
      </c>
      <c r="J198" s="32">
        <v>216</v>
      </c>
      <c r="K198" s="32" t="s">
        <v>332</v>
      </c>
      <c r="L198" s="32"/>
      <c r="M198" s="33" t="s">
        <v>274</v>
      </c>
      <c r="N198" s="33"/>
      <c r="O198" s="32">
        <v>60</v>
      </c>
      <c r="P198" s="94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636"/>
      <c r="R198" s="636"/>
      <c r="S198" s="636"/>
      <c r="T198" s="637"/>
      <c r="U198" s="34"/>
      <c r="V198" s="34"/>
      <c r="W198" s="35" t="s">
        <v>66</v>
      </c>
      <c r="X198" s="629">
        <v>0</v>
      </c>
      <c r="Y198" s="630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337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idden="1" x14ac:dyDescent="0.2">
      <c r="A199" s="642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44"/>
      <c r="P199" s="646" t="s">
        <v>71</v>
      </c>
      <c r="Q199" s="647"/>
      <c r="R199" s="647"/>
      <c r="S199" s="647"/>
      <c r="T199" s="647"/>
      <c r="U199" s="647"/>
      <c r="V199" s="648"/>
      <c r="W199" s="37" t="s">
        <v>72</v>
      </c>
      <c r="X199" s="631">
        <f>IFERROR(X198/H198,"0")</f>
        <v>0</v>
      </c>
      <c r="Y199" s="631">
        <f>IFERROR(Y198/H198,"0")</f>
        <v>0</v>
      </c>
      <c r="Z199" s="631">
        <f>IFERROR(IF(Z198="",0,Z198),"0")</f>
        <v>0</v>
      </c>
      <c r="AA199" s="632"/>
      <c r="AB199" s="632"/>
      <c r="AC199" s="632"/>
    </row>
    <row r="200" spans="1:68" hidden="1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44"/>
      <c r="P200" s="646" t="s">
        <v>71</v>
      </c>
      <c r="Q200" s="647"/>
      <c r="R200" s="647"/>
      <c r="S200" s="647"/>
      <c r="T200" s="647"/>
      <c r="U200" s="647"/>
      <c r="V200" s="648"/>
      <c r="W200" s="37" t="s">
        <v>66</v>
      </c>
      <c r="X200" s="631">
        <f>IFERROR(SUM(X198:X198),"0")</f>
        <v>0</v>
      </c>
      <c r="Y200" s="631">
        <f>IFERROR(SUM(Y198:Y198),"0")</f>
        <v>0</v>
      </c>
      <c r="Z200" s="37"/>
      <c r="AA200" s="632"/>
      <c r="AB200" s="632"/>
      <c r="AC200" s="632"/>
    </row>
    <row r="201" spans="1:68" ht="27.75" hidden="1" customHeight="1" x14ac:dyDescent="0.2">
      <c r="A201" s="649" t="s">
        <v>338</v>
      </c>
      <c r="B201" s="650"/>
      <c r="C201" s="650"/>
      <c r="D201" s="650"/>
      <c r="E201" s="650"/>
      <c r="F201" s="650"/>
      <c r="G201" s="650"/>
      <c r="H201" s="650"/>
      <c r="I201" s="650"/>
      <c r="J201" s="650"/>
      <c r="K201" s="650"/>
      <c r="L201" s="650"/>
      <c r="M201" s="650"/>
      <c r="N201" s="650"/>
      <c r="O201" s="650"/>
      <c r="P201" s="650"/>
      <c r="Q201" s="650"/>
      <c r="R201" s="650"/>
      <c r="S201" s="650"/>
      <c r="T201" s="650"/>
      <c r="U201" s="650"/>
      <c r="V201" s="650"/>
      <c r="W201" s="650"/>
      <c r="X201" s="650"/>
      <c r="Y201" s="650"/>
      <c r="Z201" s="650"/>
      <c r="AA201" s="48"/>
      <c r="AB201" s="48"/>
      <c r="AC201" s="48"/>
    </row>
    <row r="202" spans="1:68" ht="16.5" hidden="1" customHeight="1" x14ac:dyDescent="0.25">
      <c r="A202" s="677" t="s">
        <v>339</v>
      </c>
      <c r="B202" s="643"/>
      <c r="C202" s="643"/>
      <c r="D202" s="643"/>
      <c r="E202" s="643"/>
      <c r="F202" s="643"/>
      <c r="G202" s="643"/>
      <c r="H202" s="643"/>
      <c r="I202" s="643"/>
      <c r="J202" s="643"/>
      <c r="K202" s="643"/>
      <c r="L202" s="643"/>
      <c r="M202" s="643"/>
      <c r="N202" s="643"/>
      <c r="O202" s="643"/>
      <c r="P202" s="643"/>
      <c r="Q202" s="643"/>
      <c r="R202" s="643"/>
      <c r="S202" s="643"/>
      <c r="T202" s="643"/>
      <c r="U202" s="643"/>
      <c r="V202" s="643"/>
      <c r="W202" s="643"/>
      <c r="X202" s="643"/>
      <c r="Y202" s="643"/>
      <c r="Z202" s="643"/>
      <c r="AA202" s="624"/>
      <c r="AB202" s="624"/>
      <c r="AC202" s="624"/>
    </row>
    <row r="203" spans="1:68" ht="14.25" hidden="1" customHeight="1" x14ac:dyDescent="0.25">
      <c r="A203" s="653" t="s">
        <v>112</v>
      </c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43"/>
      <c r="P203" s="643"/>
      <c r="Q203" s="643"/>
      <c r="R203" s="643"/>
      <c r="S203" s="643"/>
      <c r="T203" s="643"/>
      <c r="U203" s="643"/>
      <c r="V203" s="643"/>
      <c r="W203" s="643"/>
      <c r="X203" s="643"/>
      <c r="Y203" s="643"/>
      <c r="Z203" s="643"/>
      <c r="AA203" s="625"/>
      <c r="AB203" s="625"/>
      <c r="AC203" s="625"/>
    </row>
    <row r="204" spans="1:68" ht="27" hidden="1" customHeight="1" x14ac:dyDescent="0.25">
      <c r="A204" s="54" t="s">
        <v>340</v>
      </c>
      <c r="B204" s="54" t="s">
        <v>341</v>
      </c>
      <c r="C204" s="31">
        <v>4301011223</v>
      </c>
      <c r="D204" s="633">
        <v>4607091383423</v>
      </c>
      <c r="E204" s="634"/>
      <c r="F204" s="628">
        <v>1.35</v>
      </c>
      <c r="G204" s="32">
        <v>8</v>
      </c>
      <c r="H204" s="628">
        <v>10.8</v>
      </c>
      <c r="I204" s="628">
        <v>11.305999999999999</v>
      </c>
      <c r="J204" s="32">
        <v>64</v>
      </c>
      <c r="K204" s="32" t="s">
        <v>115</v>
      </c>
      <c r="L204" s="32"/>
      <c r="M204" s="33" t="s">
        <v>77</v>
      </c>
      <c r="N204" s="33"/>
      <c r="O204" s="32">
        <v>35</v>
      </c>
      <c r="P204" s="84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636"/>
      <c r="R204" s="636"/>
      <c r="S204" s="636"/>
      <c r="T204" s="637"/>
      <c r="U204" s="34"/>
      <c r="V204" s="34"/>
      <c r="W204" s="35" t="s">
        <v>66</v>
      </c>
      <c r="X204" s="629">
        <v>0</v>
      </c>
      <c r="Y204" s="630">
        <f t="shared" ref="Y204:Y210" si="27">IFERROR(IF(X204="",0,CEILING((X204/$H204),1)*$H204),"")</f>
        <v>0</v>
      </c>
      <c r="Z204" s="36" t="str">
        <f t="shared" ref="Z204:Z210" si="28">IFERROR(IF(Y204=0,"",ROUNDUP(Y204/H204,0)*0.01898),"")</f>
        <v/>
      </c>
      <c r="AA204" s="56"/>
      <c r="AB204" s="57"/>
      <c r="AC204" s="259" t="s">
        <v>117</v>
      </c>
      <c r="AG204" s="64"/>
      <c r="AJ204" s="68"/>
      <c r="AK204" s="68">
        <v>0</v>
      </c>
      <c r="BB204" s="260" t="s">
        <v>1</v>
      </c>
      <c r="BM204" s="64">
        <f t="shared" ref="BM204:BM210" si="29">IFERROR(X204*I204/H204,"0")</f>
        <v>0</v>
      </c>
      <c r="BN204" s="64">
        <f t="shared" ref="BN204:BN210" si="30">IFERROR(Y204*I204/H204,"0")</f>
        <v>0</v>
      </c>
      <c r="BO204" s="64">
        <f t="shared" ref="BO204:BO210" si="31">IFERROR(1/J204*(X204/H204),"0")</f>
        <v>0</v>
      </c>
      <c r="BP204" s="64">
        <f t="shared" ref="BP204:BP210" si="32">IFERROR(1/J204*(Y204/H204),"0")</f>
        <v>0</v>
      </c>
    </row>
    <row r="205" spans="1:68" ht="27" hidden="1" customHeight="1" x14ac:dyDescent="0.25">
      <c r="A205" s="54" t="s">
        <v>342</v>
      </c>
      <c r="B205" s="54" t="s">
        <v>343</v>
      </c>
      <c r="C205" s="31">
        <v>4301012340</v>
      </c>
      <c r="D205" s="633">
        <v>4680115888760</v>
      </c>
      <c r="E205" s="634"/>
      <c r="F205" s="628">
        <v>1.4</v>
      </c>
      <c r="G205" s="32">
        <v>6</v>
      </c>
      <c r="H205" s="628">
        <v>8.4</v>
      </c>
      <c r="I205" s="628">
        <v>8.81</v>
      </c>
      <c r="J205" s="32">
        <v>64</v>
      </c>
      <c r="K205" s="32" t="s">
        <v>115</v>
      </c>
      <c r="L205" s="32"/>
      <c r="M205" s="33" t="s">
        <v>77</v>
      </c>
      <c r="N205" s="33"/>
      <c r="O205" s="32">
        <v>35</v>
      </c>
      <c r="P205" s="76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636"/>
      <c r="R205" s="636"/>
      <c r="S205" s="636"/>
      <c r="T205" s="637"/>
      <c r="U205" s="34"/>
      <c r="V205" s="34"/>
      <c r="W205" s="35" t="s">
        <v>66</v>
      </c>
      <c r="X205" s="629">
        <v>0</v>
      </c>
      <c r="Y205" s="630">
        <f t="shared" si="27"/>
        <v>0</v>
      </c>
      <c r="Z205" s="36" t="str">
        <f t="shared" si="28"/>
        <v/>
      </c>
      <c r="AA205" s="56"/>
      <c r="AB205" s="57"/>
      <c r="AC205" s="261" t="s">
        <v>344</v>
      </c>
      <c r="AG205" s="64"/>
      <c r="AJ205" s="68"/>
      <c r="AK205" s="68">
        <v>0</v>
      </c>
      <c r="BB205" s="262" t="s">
        <v>1</v>
      </c>
      <c r="BM205" s="64">
        <f t="shared" si="29"/>
        <v>0</v>
      </c>
      <c r="BN205" s="64">
        <f t="shared" si="30"/>
        <v>0</v>
      </c>
      <c r="BO205" s="64">
        <f t="shared" si="31"/>
        <v>0</v>
      </c>
      <c r="BP205" s="64">
        <f t="shared" si="32"/>
        <v>0</v>
      </c>
    </row>
    <row r="206" spans="1:68" ht="27" hidden="1" customHeight="1" x14ac:dyDescent="0.25">
      <c r="A206" s="54" t="s">
        <v>345</v>
      </c>
      <c r="B206" s="54" t="s">
        <v>346</v>
      </c>
      <c r="C206" s="31">
        <v>4301012341</v>
      </c>
      <c r="D206" s="633">
        <v>4680115888807</v>
      </c>
      <c r="E206" s="634"/>
      <c r="F206" s="628">
        <v>1.4</v>
      </c>
      <c r="G206" s="32">
        <v>6</v>
      </c>
      <c r="H206" s="628">
        <v>8.4</v>
      </c>
      <c r="I206" s="628">
        <v>8.81</v>
      </c>
      <c r="J206" s="32">
        <v>64</v>
      </c>
      <c r="K206" s="32" t="s">
        <v>115</v>
      </c>
      <c r="L206" s="32"/>
      <c r="M206" s="33" t="s">
        <v>77</v>
      </c>
      <c r="N206" s="33"/>
      <c r="O206" s="32">
        <v>35</v>
      </c>
      <c r="P206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636"/>
      <c r="R206" s="636"/>
      <c r="S206" s="636"/>
      <c r="T206" s="637"/>
      <c r="U206" s="34"/>
      <c r="V206" s="34"/>
      <c r="W206" s="35" t="s">
        <v>66</v>
      </c>
      <c r="X206" s="629">
        <v>0</v>
      </c>
      <c r="Y206" s="630">
        <f t="shared" si="27"/>
        <v>0</v>
      </c>
      <c r="Z206" s="36" t="str">
        <f t="shared" si="28"/>
        <v/>
      </c>
      <c r="AA206" s="56"/>
      <c r="AB206" s="57"/>
      <c r="AC206" s="263" t="s">
        <v>347</v>
      </c>
      <c r="AG206" s="64"/>
      <c r="AJ206" s="68"/>
      <c r="AK206" s="68">
        <v>0</v>
      </c>
      <c r="BB206" s="264" t="s">
        <v>1</v>
      </c>
      <c r="BM206" s="64">
        <f t="shared" si="29"/>
        <v>0</v>
      </c>
      <c r="BN206" s="64">
        <f t="shared" si="30"/>
        <v>0</v>
      </c>
      <c r="BO206" s="64">
        <f t="shared" si="31"/>
        <v>0</v>
      </c>
      <c r="BP206" s="64">
        <f t="shared" si="32"/>
        <v>0</v>
      </c>
    </row>
    <row r="207" spans="1:68" ht="27" hidden="1" customHeight="1" x14ac:dyDescent="0.25">
      <c r="A207" s="54" t="s">
        <v>348</v>
      </c>
      <c r="B207" s="54" t="s">
        <v>349</v>
      </c>
      <c r="C207" s="31">
        <v>4301012342</v>
      </c>
      <c r="D207" s="633">
        <v>4680115888852</v>
      </c>
      <c r="E207" s="634"/>
      <c r="F207" s="628">
        <v>0.9</v>
      </c>
      <c r="G207" s="32">
        <v>6</v>
      </c>
      <c r="H207" s="628">
        <v>5.4</v>
      </c>
      <c r="I207" s="628">
        <v>5.81</v>
      </c>
      <c r="J207" s="32">
        <v>64</v>
      </c>
      <c r="K207" s="32" t="s">
        <v>115</v>
      </c>
      <c r="L207" s="32"/>
      <c r="M207" s="33" t="s">
        <v>77</v>
      </c>
      <c r="N207" s="33"/>
      <c r="O207" s="32">
        <v>35</v>
      </c>
      <c r="P207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636"/>
      <c r="R207" s="636"/>
      <c r="S207" s="636"/>
      <c r="T207" s="637"/>
      <c r="U207" s="34"/>
      <c r="V207" s="34"/>
      <c r="W207" s="35" t="s">
        <v>66</v>
      </c>
      <c r="X207" s="629">
        <v>0</v>
      </c>
      <c r="Y207" s="630">
        <f t="shared" si="27"/>
        <v>0</v>
      </c>
      <c r="Z207" s="36" t="str">
        <f t="shared" si="28"/>
        <v/>
      </c>
      <c r="AA207" s="56"/>
      <c r="AB207" s="57"/>
      <c r="AC207" s="265" t="s">
        <v>350</v>
      </c>
      <c r="AG207" s="64"/>
      <c r="AJ207" s="68"/>
      <c r="AK207" s="68">
        <v>0</v>
      </c>
      <c r="BB207" s="266" t="s">
        <v>1</v>
      </c>
      <c r="BM207" s="64">
        <f t="shared" si="29"/>
        <v>0</v>
      </c>
      <c r="BN207" s="64">
        <f t="shared" si="30"/>
        <v>0</v>
      </c>
      <c r="BO207" s="64">
        <f t="shared" si="31"/>
        <v>0</v>
      </c>
      <c r="BP207" s="64">
        <f t="shared" si="32"/>
        <v>0</v>
      </c>
    </row>
    <row r="208" spans="1:68" ht="37.5" hidden="1" customHeight="1" x14ac:dyDescent="0.25">
      <c r="A208" s="54" t="s">
        <v>351</v>
      </c>
      <c r="B208" s="54" t="s">
        <v>352</v>
      </c>
      <c r="C208" s="31">
        <v>4301012370</v>
      </c>
      <c r="D208" s="633">
        <v>4680115886957</v>
      </c>
      <c r="E208" s="634"/>
      <c r="F208" s="628">
        <v>1.35</v>
      </c>
      <c r="G208" s="32">
        <v>8</v>
      </c>
      <c r="H208" s="628">
        <v>10.8</v>
      </c>
      <c r="I208" s="628">
        <v>11.29</v>
      </c>
      <c r="J208" s="32">
        <v>64</v>
      </c>
      <c r="K208" s="32" t="s">
        <v>115</v>
      </c>
      <c r="L208" s="32"/>
      <c r="M208" s="33" t="s">
        <v>77</v>
      </c>
      <c r="N208" s="33"/>
      <c r="O208" s="32">
        <v>35</v>
      </c>
      <c r="P208" s="79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636"/>
      <c r="R208" s="636"/>
      <c r="S208" s="636"/>
      <c r="T208" s="637"/>
      <c r="U208" s="34"/>
      <c r="V208" s="34"/>
      <c r="W208" s="35" t="s">
        <v>66</v>
      </c>
      <c r="X208" s="629">
        <v>0</v>
      </c>
      <c r="Y208" s="630">
        <f t="shared" si="27"/>
        <v>0</v>
      </c>
      <c r="Z208" s="36" t="str">
        <f t="shared" si="28"/>
        <v/>
      </c>
      <c r="AA208" s="56"/>
      <c r="AB208" s="57"/>
      <c r="AC208" s="267" t="s">
        <v>353</v>
      </c>
      <c r="AG208" s="64"/>
      <c r="AJ208" s="68"/>
      <c r="AK208" s="68">
        <v>0</v>
      </c>
      <c r="BB208" s="268" t="s">
        <v>1</v>
      </c>
      <c r="BM208" s="64">
        <f t="shared" si="29"/>
        <v>0</v>
      </c>
      <c r="BN208" s="64">
        <f t="shared" si="30"/>
        <v>0</v>
      </c>
      <c r="BO208" s="64">
        <f t="shared" si="31"/>
        <v>0</v>
      </c>
      <c r="BP208" s="64">
        <f t="shared" si="32"/>
        <v>0</v>
      </c>
    </row>
    <row r="209" spans="1:68" ht="27" hidden="1" customHeight="1" x14ac:dyDescent="0.25">
      <c r="A209" s="54" t="s">
        <v>354</v>
      </c>
      <c r="B209" s="54" t="s">
        <v>355</v>
      </c>
      <c r="C209" s="31">
        <v>4301012098</v>
      </c>
      <c r="D209" s="633">
        <v>4680115885660</v>
      </c>
      <c r="E209" s="634"/>
      <c r="F209" s="628">
        <v>1.35</v>
      </c>
      <c r="G209" s="32">
        <v>8</v>
      </c>
      <c r="H209" s="628">
        <v>10.8</v>
      </c>
      <c r="I209" s="628">
        <v>11.21</v>
      </c>
      <c r="J209" s="32">
        <v>64</v>
      </c>
      <c r="K209" s="32" t="s">
        <v>115</v>
      </c>
      <c r="L209" s="32"/>
      <c r="M209" s="33" t="s">
        <v>77</v>
      </c>
      <c r="N209" s="33"/>
      <c r="O209" s="32">
        <v>35</v>
      </c>
      <c r="P209" s="69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636"/>
      <c r="R209" s="636"/>
      <c r="S209" s="636"/>
      <c r="T209" s="637"/>
      <c r="U209" s="34"/>
      <c r="V209" s="34"/>
      <c r="W209" s="35" t="s">
        <v>66</v>
      </c>
      <c r="X209" s="629">
        <v>0</v>
      </c>
      <c r="Y209" s="630">
        <f t="shared" si="27"/>
        <v>0</v>
      </c>
      <c r="Z209" s="36" t="str">
        <f t="shared" si="28"/>
        <v/>
      </c>
      <c r="AA209" s="56"/>
      <c r="AB209" s="57"/>
      <c r="AC209" s="269" t="s">
        <v>356</v>
      </c>
      <c r="AG209" s="64"/>
      <c r="AJ209" s="68"/>
      <c r="AK209" s="68">
        <v>0</v>
      </c>
      <c r="BB209" s="270" t="s">
        <v>1</v>
      </c>
      <c r="BM209" s="64">
        <f t="shared" si="29"/>
        <v>0</v>
      </c>
      <c r="BN209" s="64">
        <f t="shared" si="30"/>
        <v>0</v>
      </c>
      <c r="BO209" s="64">
        <f t="shared" si="31"/>
        <v>0</v>
      </c>
      <c r="BP209" s="64">
        <f t="shared" si="32"/>
        <v>0</v>
      </c>
    </row>
    <row r="210" spans="1:68" ht="27" hidden="1" customHeight="1" x14ac:dyDescent="0.25">
      <c r="A210" s="54" t="s">
        <v>357</v>
      </c>
      <c r="B210" s="54" t="s">
        <v>358</v>
      </c>
      <c r="C210" s="31">
        <v>4301012369</v>
      </c>
      <c r="D210" s="633">
        <v>4680115886773</v>
      </c>
      <c r="E210" s="634"/>
      <c r="F210" s="628">
        <v>0.9</v>
      </c>
      <c r="G210" s="32">
        <v>10</v>
      </c>
      <c r="H210" s="628">
        <v>9</v>
      </c>
      <c r="I210" s="628">
        <v>9.51</v>
      </c>
      <c r="J210" s="32">
        <v>64</v>
      </c>
      <c r="K210" s="32" t="s">
        <v>115</v>
      </c>
      <c r="L210" s="32"/>
      <c r="M210" s="33" t="s">
        <v>77</v>
      </c>
      <c r="N210" s="33"/>
      <c r="O210" s="32">
        <v>35</v>
      </c>
      <c r="P210" s="8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636"/>
      <c r="R210" s="636"/>
      <c r="S210" s="636"/>
      <c r="T210" s="637"/>
      <c r="U210" s="34"/>
      <c r="V210" s="34"/>
      <c r="W210" s="35" t="s">
        <v>66</v>
      </c>
      <c r="X210" s="629">
        <v>0</v>
      </c>
      <c r="Y210" s="630">
        <f t="shared" si="27"/>
        <v>0</v>
      </c>
      <c r="Z210" s="36" t="str">
        <f t="shared" si="28"/>
        <v/>
      </c>
      <c r="AA210" s="56"/>
      <c r="AB210" s="57"/>
      <c r="AC210" s="271" t="s">
        <v>359</v>
      </c>
      <c r="AG210" s="64"/>
      <c r="AJ210" s="68"/>
      <c r="AK210" s="68">
        <v>0</v>
      </c>
      <c r="BB210" s="272" t="s">
        <v>1</v>
      </c>
      <c r="BM210" s="64">
        <f t="shared" si="29"/>
        <v>0</v>
      </c>
      <c r="BN210" s="64">
        <f t="shared" si="30"/>
        <v>0</v>
      </c>
      <c r="BO210" s="64">
        <f t="shared" si="31"/>
        <v>0</v>
      </c>
      <c r="BP210" s="64">
        <f t="shared" si="32"/>
        <v>0</v>
      </c>
    </row>
    <row r="211" spans="1:68" hidden="1" x14ac:dyDescent="0.2">
      <c r="A211" s="642"/>
      <c r="B211" s="643"/>
      <c r="C211" s="643"/>
      <c r="D211" s="643"/>
      <c r="E211" s="643"/>
      <c r="F211" s="643"/>
      <c r="G211" s="643"/>
      <c r="H211" s="643"/>
      <c r="I211" s="643"/>
      <c r="J211" s="643"/>
      <c r="K211" s="643"/>
      <c r="L211" s="643"/>
      <c r="M211" s="643"/>
      <c r="N211" s="643"/>
      <c r="O211" s="644"/>
      <c r="P211" s="646" t="s">
        <v>71</v>
      </c>
      <c r="Q211" s="647"/>
      <c r="R211" s="647"/>
      <c r="S211" s="647"/>
      <c r="T211" s="647"/>
      <c r="U211" s="647"/>
      <c r="V211" s="648"/>
      <c r="W211" s="37" t="s">
        <v>72</v>
      </c>
      <c r="X211" s="631">
        <f>IFERROR(X204/H204,"0")+IFERROR(X205/H205,"0")+IFERROR(X206/H206,"0")+IFERROR(X207/H207,"0")+IFERROR(X208/H208,"0")+IFERROR(X209/H209,"0")+IFERROR(X210/H210,"0")</f>
        <v>0</v>
      </c>
      <c r="Y211" s="631">
        <f>IFERROR(Y204/H204,"0")+IFERROR(Y205/H205,"0")+IFERROR(Y206/H206,"0")+IFERROR(Y207/H207,"0")+IFERROR(Y208/H208,"0")+IFERROR(Y209/H209,"0")+IFERROR(Y210/H210,"0")</f>
        <v>0</v>
      </c>
      <c r="Z211" s="631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32"/>
      <c r="AB211" s="632"/>
      <c r="AC211" s="632"/>
    </row>
    <row r="212" spans="1:68" hidden="1" x14ac:dyDescent="0.2">
      <c r="A212" s="643"/>
      <c r="B212" s="643"/>
      <c r="C212" s="643"/>
      <c r="D212" s="643"/>
      <c r="E212" s="643"/>
      <c r="F212" s="643"/>
      <c r="G212" s="643"/>
      <c r="H212" s="643"/>
      <c r="I212" s="643"/>
      <c r="J212" s="643"/>
      <c r="K212" s="643"/>
      <c r="L212" s="643"/>
      <c r="M212" s="643"/>
      <c r="N212" s="643"/>
      <c r="O212" s="644"/>
      <c r="P212" s="646" t="s">
        <v>71</v>
      </c>
      <c r="Q212" s="647"/>
      <c r="R212" s="647"/>
      <c r="S212" s="647"/>
      <c r="T212" s="647"/>
      <c r="U212" s="647"/>
      <c r="V212" s="648"/>
      <c r="W212" s="37" t="s">
        <v>66</v>
      </c>
      <c r="X212" s="631">
        <f>IFERROR(SUM(X204:X210),"0")</f>
        <v>0</v>
      </c>
      <c r="Y212" s="631">
        <f>IFERROR(SUM(Y204:Y210),"0")</f>
        <v>0</v>
      </c>
      <c r="Z212" s="37"/>
      <c r="AA212" s="632"/>
      <c r="AB212" s="632"/>
      <c r="AC212" s="632"/>
    </row>
    <row r="213" spans="1:68" ht="16.5" hidden="1" customHeight="1" x14ac:dyDescent="0.25">
      <c r="A213" s="677" t="s">
        <v>360</v>
      </c>
      <c r="B213" s="643"/>
      <c r="C213" s="643"/>
      <c r="D213" s="643"/>
      <c r="E213" s="643"/>
      <c r="F213" s="643"/>
      <c r="G213" s="643"/>
      <c r="H213" s="643"/>
      <c r="I213" s="643"/>
      <c r="J213" s="643"/>
      <c r="K213" s="643"/>
      <c r="L213" s="643"/>
      <c r="M213" s="643"/>
      <c r="N213" s="643"/>
      <c r="O213" s="643"/>
      <c r="P213" s="643"/>
      <c r="Q213" s="643"/>
      <c r="R213" s="643"/>
      <c r="S213" s="643"/>
      <c r="T213" s="643"/>
      <c r="U213" s="643"/>
      <c r="V213" s="643"/>
      <c r="W213" s="643"/>
      <c r="X213" s="643"/>
      <c r="Y213" s="643"/>
      <c r="Z213" s="643"/>
      <c r="AA213" s="624"/>
      <c r="AB213" s="624"/>
      <c r="AC213" s="624"/>
    </row>
    <row r="214" spans="1:68" ht="14.25" hidden="1" customHeight="1" x14ac:dyDescent="0.25">
      <c r="A214" s="653" t="s">
        <v>145</v>
      </c>
      <c r="B214" s="643"/>
      <c r="C214" s="643"/>
      <c r="D214" s="643"/>
      <c r="E214" s="643"/>
      <c r="F214" s="643"/>
      <c r="G214" s="643"/>
      <c r="H214" s="643"/>
      <c r="I214" s="643"/>
      <c r="J214" s="643"/>
      <c r="K214" s="643"/>
      <c r="L214" s="643"/>
      <c r="M214" s="643"/>
      <c r="N214" s="643"/>
      <c r="O214" s="643"/>
      <c r="P214" s="643"/>
      <c r="Q214" s="643"/>
      <c r="R214" s="643"/>
      <c r="S214" s="643"/>
      <c r="T214" s="643"/>
      <c r="U214" s="643"/>
      <c r="V214" s="643"/>
      <c r="W214" s="643"/>
      <c r="X214" s="643"/>
      <c r="Y214" s="643"/>
      <c r="Z214" s="643"/>
      <c r="AA214" s="625"/>
      <c r="AB214" s="625"/>
      <c r="AC214" s="625"/>
    </row>
    <row r="215" spans="1:68" ht="27" hidden="1" customHeight="1" x14ac:dyDescent="0.25">
      <c r="A215" s="54" t="s">
        <v>361</v>
      </c>
      <c r="B215" s="54" t="s">
        <v>362</v>
      </c>
      <c r="C215" s="31">
        <v>4301020323</v>
      </c>
      <c r="D215" s="633">
        <v>4680115886223</v>
      </c>
      <c r="E215" s="634"/>
      <c r="F215" s="628">
        <v>0.33</v>
      </c>
      <c r="G215" s="32">
        <v>6</v>
      </c>
      <c r="H215" s="628">
        <v>1.98</v>
      </c>
      <c r="I215" s="628">
        <v>2.08</v>
      </c>
      <c r="J215" s="32">
        <v>234</v>
      </c>
      <c r="K215" s="32" t="s">
        <v>64</v>
      </c>
      <c r="L215" s="32"/>
      <c r="M215" s="33" t="s">
        <v>65</v>
      </c>
      <c r="N215" s="33"/>
      <c r="O215" s="32">
        <v>40</v>
      </c>
      <c r="P215" s="6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636"/>
      <c r="R215" s="636"/>
      <c r="S215" s="636"/>
      <c r="T215" s="637"/>
      <c r="U215" s="34"/>
      <c r="V215" s="34"/>
      <c r="W215" s="35" t="s">
        <v>66</v>
      </c>
      <c r="X215" s="629">
        <v>0</v>
      </c>
      <c r="Y215" s="630">
        <f>IFERROR(IF(X215="",0,CEILING((X215/$H215),1)*$H215),"")</f>
        <v>0</v>
      </c>
      <c r="Z215" s="36" t="str">
        <f>IFERROR(IF(Y215=0,"",ROUNDUP(Y215/H215,0)*0.00502),"")</f>
        <v/>
      </c>
      <c r="AA215" s="56"/>
      <c r="AB215" s="57"/>
      <c r="AC215" s="273" t="s">
        <v>363</v>
      </c>
      <c r="AG215" s="64"/>
      <c r="AJ215" s="68"/>
      <c r="AK215" s="68">
        <v>0</v>
      </c>
      <c r="BB215" s="274" t="s">
        <v>1</v>
      </c>
      <c r="BM215" s="64">
        <f>IFERROR(X215*I215/H215,"0")</f>
        <v>0</v>
      </c>
      <c r="BN215" s="64">
        <f>IFERROR(Y215*I215/H215,"0")</f>
        <v>0</v>
      </c>
      <c r="BO215" s="64">
        <f>IFERROR(1/J215*(X215/H215),"0")</f>
        <v>0</v>
      </c>
      <c r="BP215" s="64">
        <f>IFERROR(1/J215*(Y215/H215),"0")</f>
        <v>0</v>
      </c>
    </row>
    <row r="216" spans="1:68" hidden="1" x14ac:dyDescent="0.2">
      <c r="A216" s="642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44"/>
      <c r="P216" s="646" t="s">
        <v>71</v>
      </c>
      <c r="Q216" s="647"/>
      <c r="R216" s="647"/>
      <c r="S216" s="647"/>
      <c r="T216" s="647"/>
      <c r="U216" s="647"/>
      <c r="V216" s="648"/>
      <c r="W216" s="37" t="s">
        <v>72</v>
      </c>
      <c r="X216" s="631">
        <f>IFERROR(X215/H215,"0")</f>
        <v>0</v>
      </c>
      <c r="Y216" s="631">
        <f>IFERROR(Y215/H215,"0")</f>
        <v>0</v>
      </c>
      <c r="Z216" s="631">
        <f>IFERROR(IF(Z215="",0,Z215),"0")</f>
        <v>0</v>
      </c>
      <c r="AA216" s="632"/>
      <c r="AB216" s="632"/>
      <c r="AC216" s="632"/>
    </row>
    <row r="217" spans="1:68" hidden="1" x14ac:dyDescent="0.2">
      <c r="A217" s="643"/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4"/>
      <c r="P217" s="646" t="s">
        <v>71</v>
      </c>
      <c r="Q217" s="647"/>
      <c r="R217" s="647"/>
      <c r="S217" s="647"/>
      <c r="T217" s="647"/>
      <c r="U217" s="647"/>
      <c r="V217" s="648"/>
      <c r="W217" s="37" t="s">
        <v>66</v>
      </c>
      <c r="X217" s="631">
        <f>IFERROR(SUM(X215:X215),"0")</f>
        <v>0</v>
      </c>
      <c r="Y217" s="631">
        <f>IFERROR(SUM(Y215:Y215),"0")</f>
        <v>0</v>
      </c>
      <c r="Z217" s="37"/>
      <c r="AA217" s="632"/>
      <c r="AB217" s="632"/>
      <c r="AC217" s="632"/>
    </row>
    <row r="218" spans="1:68" ht="14.25" hidden="1" customHeight="1" x14ac:dyDescent="0.25">
      <c r="A218" s="653" t="s">
        <v>61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5"/>
      <c r="AB218" s="625"/>
      <c r="AC218" s="625"/>
    </row>
    <row r="219" spans="1:68" ht="27" customHeight="1" x14ac:dyDescent="0.25">
      <c r="A219" s="54" t="s">
        <v>364</v>
      </c>
      <c r="B219" s="54" t="s">
        <v>365</v>
      </c>
      <c r="C219" s="31">
        <v>4301031191</v>
      </c>
      <c r="D219" s="633">
        <v>4680115880993</v>
      </c>
      <c r="E219" s="634"/>
      <c r="F219" s="628">
        <v>0.7</v>
      </c>
      <c r="G219" s="32">
        <v>6</v>
      </c>
      <c r="H219" s="628">
        <v>4.2</v>
      </c>
      <c r="I219" s="628">
        <v>4.45</v>
      </c>
      <c r="J219" s="32">
        <v>132</v>
      </c>
      <c r="K219" s="32" t="s">
        <v>124</v>
      </c>
      <c r="L219" s="32"/>
      <c r="M219" s="33" t="s">
        <v>65</v>
      </c>
      <c r="N219" s="33"/>
      <c r="O219" s="32">
        <v>40</v>
      </c>
      <c r="P219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636"/>
      <c r="R219" s="636"/>
      <c r="S219" s="636"/>
      <c r="T219" s="637"/>
      <c r="U219" s="34"/>
      <c r="V219" s="34"/>
      <c r="W219" s="35" t="s">
        <v>66</v>
      </c>
      <c r="X219" s="629">
        <v>30</v>
      </c>
      <c r="Y219" s="630">
        <f t="shared" ref="Y219:Y232" si="33">IFERROR(IF(X219="",0,CEILING((X219/$H219),1)*$H219),"")</f>
        <v>33.6</v>
      </c>
      <c r="Z219" s="36">
        <f>IFERROR(IF(Y219=0,"",ROUNDUP(Y219/H219,0)*0.00902),"")</f>
        <v>7.2160000000000002E-2</v>
      </c>
      <c r="AA219" s="56"/>
      <c r="AB219" s="57"/>
      <c r="AC219" s="275" t="s">
        <v>366</v>
      </c>
      <c r="AG219" s="64"/>
      <c r="AJ219" s="68"/>
      <c r="AK219" s="68">
        <v>0</v>
      </c>
      <c r="BB219" s="276" t="s">
        <v>1</v>
      </c>
      <c r="BM219" s="64">
        <f t="shared" ref="BM219:BM232" si="34">IFERROR(X219*I219/H219,"0")</f>
        <v>31.785714285714285</v>
      </c>
      <c r="BN219" s="64">
        <f t="shared" ref="BN219:BN232" si="35">IFERROR(Y219*I219/H219,"0")</f>
        <v>35.6</v>
      </c>
      <c r="BO219" s="64">
        <f t="shared" ref="BO219:BO232" si="36">IFERROR(1/J219*(X219/H219),"0")</f>
        <v>5.4112554112554112E-2</v>
      </c>
      <c r="BP219" s="64">
        <f t="shared" ref="BP219:BP232" si="37">IFERROR(1/J219*(Y219/H219),"0")</f>
        <v>6.0606060606060608E-2</v>
      </c>
    </row>
    <row r="220" spans="1:68" ht="27" hidden="1" customHeight="1" x14ac:dyDescent="0.25">
      <c r="A220" s="54" t="s">
        <v>367</v>
      </c>
      <c r="B220" s="54" t="s">
        <v>368</v>
      </c>
      <c r="C220" s="31">
        <v>4301031204</v>
      </c>
      <c r="D220" s="633">
        <v>4680115881761</v>
      </c>
      <c r="E220" s="634"/>
      <c r="F220" s="628">
        <v>0.7</v>
      </c>
      <c r="G220" s="32">
        <v>6</v>
      </c>
      <c r="H220" s="628">
        <v>4.2</v>
      </c>
      <c r="I220" s="628">
        <v>4.45</v>
      </c>
      <c r="J220" s="32">
        <v>132</v>
      </c>
      <c r="K220" s="32" t="s">
        <v>124</v>
      </c>
      <c r="L220" s="32"/>
      <c r="M220" s="33" t="s">
        <v>65</v>
      </c>
      <c r="N220" s="33"/>
      <c r="O220" s="32">
        <v>40</v>
      </c>
      <c r="P220" s="65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636"/>
      <c r="R220" s="636"/>
      <c r="S220" s="636"/>
      <c r="T220" s="637"/>
      <c r="U220" s="34"/>
      <c r="V220" s="34"/>
      <c r="W220" s="35" t="s">
        <v>66</v>
      </c>
      <c r="X220" s="629">
        <v>0</v>
      </c>
      <c r="Y220" s="630">
        <f t="shared" si="33"/>
        <v>0</v>
      </c>
      <c r="Z220" s="36" t="str">
        <f>IFERROR(IF(Y220=0,"",ROUNDUP(Y220/H220,0)*0.00902),"")</f>
        <v/>
      </c>
      <c r="AA220" s="56"/>
      <c r="AB220" s="57"/>
      <c r="AC220" s="277" t="s">
        <v>369</v>
      </c>
      <c r="AG220" s="64"/>
      <c r="AJ220" s="68"/>
      <c r="AK220" s="68">
        <v>0</v>
      </c>
      <c r="BB220" s="278" t="s">
        <v>1</v>
      </c>
      <c r="BM220" s="64">
        <f t="shared" si="34"/>
        <v>0</v>
      </c>
      <c r="BN220" s="64">
        <f t="shared" si="35"/>
        <v>0</v>
      </c>
      <c r="BO220" s="64">
        <f t="shared" si="36"/>
        <v>0</v>
      </c>
      <c r="BP220" s="64">
        <f t="shared" si="37"/>
        <v>0</v>
      </c>
    </row>
    <row r="221" spans="1:68" ht="27" customHeight="1" x14ac:dyDescent="0.25">
      <c r="A221" s="54" t="s">
        <v>370</v>
      </c>
      <c r="B221" s="54" t="s">
        <v>371</v>
      </c>
      <c r="C221" s="31">
        <v>4301031201</v>
      </c>
      <c r="D221" s="633">
        <v>4680115881563</v>
      </c>
      <c r="E221" s="634"/>
      <c r="F221" s="628">
        <v>0.7</v>
      </c>
      <c r="G221" s="32">
        <v>6</v>
      </c>
      <c r="H221" s="628">
        <v>4.2</v>
      </c>
      <c r="I221" s="628">
        <v>4.3899999999999997</v>
      </c>
      <c r="J221" s="32">
        <v>132</v>
      </c>
      <c r="K221" s="32" t="s">
        <v>124</v>
      </c>
      <c r="L221" s="32"/>
      <c r="M221" s="33" t="s">
        <v>65</v>
      </c>
      <c r="N221" s="33"/>
      <c r="O221" s="32">
        <v>40</v>
      </c>
      <c r="P221" s="6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636"/>
      <c r="R221" s="636"/>
      <c r="S221" s="636"/>
      <c r="T221" s="637"/>
      <c r="U221" s="34"/>
      <c r="V221" s="34"/>
      <c r="W221" s="35" t="s">
        <v>66</v>
      </c>
      <c r="X221" s="629">
        <v>42</v>
      </c>
      <c r="Y221" s="630">
        <f t="shared" si="33"/>
        <v>42</v>
      </c>
      <c r="Z221" s="36">
        <f>IFERROR(IF(Y221=0,"",ROUNDUP(Y221/H221,0)*0.00902),"")</f>
        <v>9.0200000000000002E-2</v>
      </c>
      <c r="AA221" s="56"/>
      <c r="AB221" s="57"/>
      <c r="AC221" s="279" t="s">
        <v>372</v>
      </c>
      <c r="AG221" s="64"/>
      <c r="AJ221" s="68"/>
      <c r="AK221" s="68">
        <v>0</v>
      </c>
      <c r="BB221" s="280" t="s">
        <v>1</v>
      </c>
      <c r="BM221" s="64">
        <f t="shared" si="34"/>
        <v>43.9</v>
      </c>
      <c r="BN221" s="64">
        <f t="shared" si="35"/>
        <v>43.9</v>
      </c>
      <c r="BO221" s="64">
        <f t="shared" si="36"/>
        <v>7.575757575757576E-2</v>
      </c>
      <c r="BP221" s="64">
        <f t="shared" si="37"/>
        <v>7.575757575757576E-2</v>
      </c>
    </row>
    <row r="222" spans="1:68" ht="37.5" hidden="1" customHeight="1" x14ac:dyDescent="0.25">
      <c r="A222" s="54" t="s">
        <v>373</v>
      </c>
      <c r="B222" s="54" t="s">
        <v>374</v>
      </c>
      <c r="C222" s="31">
        <v>4301031447</v>
      </c>
      <c r="D222" s="633">
        <v>4680115887565</v>
      </c>
      <c r="E222" s="634"/>
      <c r="F222" s="628">
        <v>0.08</v>
      </c>
      <c r="G222" s="32">
        <v>10</v>
      </c>
      <c r="H222" s="628">
        <v>0.8</v>
      </c>
      <c r="I222" s="628">
        <v>0.93</v>
      </c>
      <c r="J222" s="32">
        <v>252</v>
      </c>
      <c r="K222" s="32" t="s">
        <v>64</v>
      </c>
      <c r="L222" s="32"/>
      <c r="M222" s="33" t="s">
        <v>65</v>
      </c>
      <c r="N222" s="33"/>
      <c r="O222" s="32">
        <v>45</v>
      </c>
      <c r="P222" s="88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636"/>
      <c r="R222" s="636"/>
      <c r="S222" s="636"/>
      <c r="T222" s="637"/>
      <c r="U222" s="34"/>
      <c r="V222" s="34"/>
      <c r="W222" s="35" t="s">
        <v>66</v>
      </c>
      <c r="X222" s="629">
        <v>0</v>
      </c>
      <c r="Y222" s="630">
        <f t="shared" si="33"/>
        <v>0</v>
      </c>
      <c r="Z222" s="36" t="str">
        <f>IFERROR(IF(Y222=0,"",ROUNDUP(Y222/H222,0)*0.00556),"")</f>
        <v/>
      </c>
      <c r="AA222" s="56"/>
      <c r="AB222" s="57"/>
      <c r="AC222" s="281" t="s">
        <v>375</v>
      </c>
      <c r="AG222" s="64"/>
      <c r="AJ222" s="68"/>
      <c r="AK222" s="68">
        <v>0</v>
      </c>
      <c r="BB222" s="282" t="s">
        <v>1</v>
      </c>
      <c r="BM222" s="64">
        <f t="shared" si="34"/>
        <v>0</v>
      </c>
      <c r="BN222" s="64">
        <f t="shared" si="35"/>
        <v>0</v>
      </c>
      <c r="BO222" s="64">
        <f t="shared" si="36"/>
        <v>0</v>
      </c>
      <c r="BP222" s="64">
        <f t="shared" si="37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4301031199</v>
      </c>
      <c r="D223" s="633">
        <v>4680115880986</v>
      </c>
      <c r="E223" s="634"/>
      <c r="F223" s="628">
        <v>0.35</v>
      </c>
      <c r="G223" s="32">
        <v>6</v>
      </c>
      <c r="H223" s="628">
        <v>2.1</v>
      </c>
      <c r="I223" s="628">
        <v>2.23</v>
      </c>
      <c r="J223" s="32">
        <v>234</v>
      </c>
      <c r="K223" s="32" t="s">
        <v>64</v>
      </c>
      <c r="L223" s="32"/>
      <c r="M223" s="33" t="s">
        <v>65</v>
      </c>
      <c r="N223" s="33"/>
      <c r="O223" s="32">
        <v>40</v>
      </c>
      <c r="P223" s="7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636"/>
      <c r="R223" s="636"/>
      <c r="S223" s="636"/>
      <c r="T223" s="637"/>
      <c r="U223" s="34"/>
      <c r="V223" s="34"/>
      <c r="W223" s="35" t="s">
        <v>66</v>
      </c>
      <c r="X223" s="629">
        <v>15</v>
      </c>
      <c r="Y223" s="630">
        <f t="shared" si="33"/>
        <v>16.8</v>
      </c>
      <c r="Z223" s="36">
        <f t="shared" ref="Z223:Z228" si="38">IFERROR(IF(Y223=0,"",ROUNDUP(Y223/H223,0)*0.00502),"")</f>
        <v>4.0160000000000001E-2</v>
      </c>
      <c r="AA223" s="56"/>
      <c r="AB223" s="57"/>
      <c r="AC223" s="283" t="s">
        <v>366</v>
      </c>
      <c r="AG223" s="64"/>
      <c r="AJ223" s="68"/>
      <c r="AK223" s="68">
        <v>0</v>
      </c>
      <c r="BB223" s="284" t="s">
        <v>1</v>
      </c>
      <c r="BM223" s="64">
        <f t="shared" si="34"/>
        <v>15.928571428571429</v>
      </c>
      <c r="BN223" s="64">
        <f t="shared" si="35"/>
        <v>17.84</v>
      </c>
      <c r="BO223" s="64">
        <f t="shared" si="36"/>
        <v>3.0525030525030528E-2</v>
      </c>
      <c r="BP223" s="64">
        <f t="shared" si="37"/>
        <v>3.4188034188034191E-2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4301031443</v>
      </c>
      <c r="D224" s="633">
        <v>4680115887213</v>
      </c>
      <c r="E224" s="634"/>
      <c r="F224" s="628">
        <v>0.3</v>
      </c>
      <c r="G224" s="32">
        <v>6</v>
      </c>
      <c r="H224" s="628">
        <v>1.8</v>
      </c>
      <c r="I224" s="628">
        <v>1.9</v>
      </c>
      <c r="J224" s="32">
        <v>234</v>
      </c>
      <c r="K224" s="32" t="s">
        <v>64</v>
      </c>
      <c r="L224" s="32"/>
      <c r="M224" s="33" t="s">
        <v>65</v>
      </c>
      <c r="N224" s="33"/>
      <c r="O224" s="32">
        <v>45</v>
      </c>
      <c r="P224" s="8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636"/>
      <c r="R224" s="636"/>
      <c r="S224" s="636"/>
      <c r="T224" s="637"/>
      <c r="U224" s="34"/>
      <c r="V224" s="34"/>
      <c r="W224" s="35" t="s">
        <v>66</v>
      </c>
      <c r="X224" s="629">
        <v>0</v>
      </c>
      <c r="Y224" s="630">
        <f t="shared" si="33"/>
        <v>0</v>
      </c>
      <c r="Z224" s="36" t="str">
        <f t="shared" si="38"/>
        <v/>
      </c>
      <c r="AA224" s="56"/>
      <c r="AB224" s="57"/>
      <c r="AC224" s="285" t="s">
        <v>380</v>
      </c>
      <c r="AG224" s="64"/>
      <c r="AJ224" s="68"/>
      <c r="AK224" s="68">
        <v>0</v>
      </c>
      <c r="BB224" s="286" t="s">
        <v>1</v>
      </c>
      <c r="BM224" s="64">
        <f t="shared" si="34"/>
        <v>0</v>
      </c>
      <c r="BN224" s="64">
        <f t="shared" si="35"/>
        <v>0</v>
      </c>
      <c r="BO224" s="64">
        <f t="shared" si="36"/>
        <v>0</v>
      </c>
      <c r="BP224" s="64">
        <f t="shared" si="37"/>
        <v>0</v>
      </c>
    </row>
    <row r="225" spans="1:68" ht="27" hidden="1" customHeight="1" x14ac:dyDescent="0.25">
      <c r="A225" s="54" t="s">
        <v>381</v>
      </c>
      <c r="B225" s="54" t="s">
        <v>382</v>
      </c>
      <c r="C225" s="31">
        <v>4301031205</v>
      </c>
      <c r="D225" s="633">
        <v>4680115881785</v>
      </c>
      <c r="E225" s="634"/>
      <c r="F225" s="628">
        <v>0.35</v>
      </c>
      <c r="G225" s="32">
        <v>6</v>
      </c>
      <c r="H225" s="628">
        <v>2.1</v>
      </c>
      <c r="I225" s="628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89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636"/>
      <c r="R225" s="636"/>
      <c r="S225" s="636"/>
      <c r="T225" s="637"/>
      <c r="U225" s="34"/>
      <c r="V225" s="34"/>
      <c r="W225" s="35" t="s">
        <v>66</v>
      </c>
      <c r="X225" s="629">
        <v>0</v>
      </c>
      <c r="Y225" s="630">
        <f t="shared" si="33"/>
        <v>0</v>
      </c>
      <c r="Z225" s="36" t="str">
        <f t="shared" si="38"/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34"/>
        <v>0</v>
      </c>
      <c r="BN225" s="64">
        <f t="shared" si="35"/>
        <v>0</v>
      </c>
      <c r="BO225" s="64">
        <f t="shared" si="36"/>
        <v>0</v>
      </c>
      <c r="BP225" s="64">
        <f t="shared" si="37"/>
        <v>0</v>
      </c>
    </row>
    <row r="226" spans="1:68" ht="27" hidden="1" customHeight="1" x14ac:dyDescent="0.25">
      <c r="A226" s="54" t="s">
        <v>383</v>
      </c>
      <c r="B226" s="54" t="s">
        <v>384</v>
      </c>
      <c r="C226" s="31">
        <v>4301031499</v>
      </c>
      <c r="D226" s="633">
        <v>4680115888432</v>
      </c>
      <c r="E226" s="634"/>
      <c r="F226" s="628">
        <v>0.3</v>
      </c>
      <c r="G226" s="32">
        <v>6</v>
      </c>
      <c r="H226" s="628">
        <v>1.8</v>
      </c>
      <c r="I226" s="628">
        <v>1.93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0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636"/>
      <c r="R226" s="636"/>
      <c r="S226" s="636"/>
      <c r="T226" s="637"/>
      <c r="U226" s="34"/>
      <c r="V226" s="34"/>
      <c r="W226" s="35" t="s">
        <v>66</v>
      </c>
      <c r="X226" s="629">
        <v>0</v>
      </c>
      <c r="Y226" s="630">
        <f t="shared" si="33"/>
        <v>0</v>
      </c>
      <c r="Z226" s="36" t="str">
        <f t="shared" si="38"/>
        <v/>
      </c>
      <c r="AA226" s="56"/>
      <c r="AB226" s="57"/>
      <c r="AC226" s="289" t="s">
        <v>385</v>
      </c>
      <c r="AG226" s="64"/>
      <c r="AJ226" s="68"/>
      <c r="AK226" s="68">
        <v>0</v>
      </c>
      <c r="BB226" s="290" t="s">
        <v>1</v>
      </c>
      <c r="BM226" s="64">
        <f t="shared" si="34"/>
        <v>0</v>
      </c>
      <c r="BN226" s="64">
        <f t="shared" si="35"/>
        <v>0</v>
      </c>
      <c r="BO226" s="64">
        <f t="shared" si="36"/>
        <v>0</v>
      </c>
      <c r="BP226" s="64">
        <f t="shared" si="37"/>
        <v>0</v>
      </c>
    </row>
    <row r="227" spans="1:68" ht="27" hidden="1" customHeight="1" x14ac:dyDescent="0.25">
      <c r="A227" s="54" t="s">
        <v>386</v>
      </c>
      <c r="B227" s="54" t="s">
        <v>387</v>
      </c>
      <c r="C227" s="31">
        <v>4301031427</v>
      </c>
      <c r="D227" s="633">
        <v>4680115888104</v>
      </c>
      <c r="E227" s="634"/>
      <c r="F227" s="628">
        <v>0.35</v>
      </c>
      <c r="G227" s="32">
        <v>6</v>
      </c>
      <c r="H227" s="628">
        <v>2.1</v>
      </c>
      <c r="I227" s="628">
        <v>2.2000000000000002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45</v>
      </c>
      <c r="P227" s="89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636"/>
      <c r="R227" s="636"/>
      <c r="S227" s="636"/>
      <c r="T227" s="637"/>
      <c r="U227" s="34"/>
      <c r="V227" s="34"/>
      <c r="W227" s="35" t="s">
        <v>66</v>
      </c>
      <c r="X227" s="629">
        <v>0</v>
      </c>
      <c r="Y227" s="630">
        <f t="shared" si="33"/>
        <v>0</v>
      </c>
      <c r="Z227" s="36" t="str">
        <f t="shared" si="38"/>
        <v/>
      </c>
      <c r="AA227" s="56"/>
      <c r="AB227" s="57"/>
      <c r="AC227" s="291" t="s">
        <v>388</v>
      </c>
      <c r="AG227" s="64"/>
      <c r="AJ227" s="68"/>
      <c r="AK227" s="68">
        <v>0</v>
      </c>
      <c r="BB227" s="292" t="s">
        <v>1</v>
      </c>
      <c r="BM227" s="64">
        <f t="shared" si="34"/>
        <v>0</v>
      </c>
      <c r="BN227" s="64">
        <f t="shared" si="35"/>
        <v>0</v>
      </c>
      <c r="BO227" s="64">
        <f t="shared" si="36"/>
        <v>0</v>
      </c>
      <c r="BP227" s="64">
        <f t="shared" si="37"/>
        <v>0</v>
      </c>
    </row>
    <row r="228" spans="1:68" ht="27" customHeight="1" x14ac:dyDescent="0.25">
      <c r="A228" s="54" t="s">
        <v>389</v>
      </c>
      <c r="B228" s="54" t="s">
        <v>390</v>
      </c>
      <c r="C228" s="31">
        <v>4301031399</v>
      </c>
      <c r="D228" s="633">
        <v>4680115886537</v>
      </c>
      <c r="E228" s="634"/>
      <c r="F228" s="628">
        <v>0.3</v>
      </c>
      <c r="G228" s="32">
        <v>6</v>
      </c>
      <c r="H228" s="628">
        <v>1.8</v>
      </c>
      <c r="I228" s="628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40</v>
      </c>
      <c r="P228" s="97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66</v>
      </c>
      <c r="X228" s="629">
        <v>21</v>
      </c>
      <c r="Y228" s="630">
        <f t="shared" si="33"/>
        <v>21.6</v>
      </c>
      <c r="Z228" s="36">
        <f t="shared" si="38"/>
        <v>6.0240000000000002E-2</v>
      </c>
      <c r="AA228" s="56"/>
      <c r="AB228" s="57"/>
      <c r="AC228" s="293" t="s">
        <v>391</v>
      </c>
      <c r="AG228" s="64"/>
      <c r="AJ228" s="68"/>
      <c r="AK228" s="68">
        <v>0</v>
      </c>
      <c r="BB228" s="294" t="s">
        <v>1</v>
      </c>
      <c r="BM228" s="64">
        <f t="shared" si="34"/>
        <v>22.516666666666666</v>
      </c>
      <c r="BN228" s="64">
        <f t="shared" si="35"/>
        <v>23.16</v>
      </c>
      <c r="BO228" s="64">
        <f t="shared" si="36"/>
        <v>4.9857549857549859E-2</v>
      </c>
      <c r="BP228" s="64">
        <f t="shared" si="37"/>
        <v>5.1282051282051287E-2</v>
      </c>
    </row>
    <row r="229" spans="1:68" ht="27" hidden="1" customHeight="1" x14ac:dyDescent="0.25">
      <c r="A229" s="54" t="s">
        <v>392</v>
      </c>
      <c r="B229" s="54" t="s">
        <v>393</v>
      </c>
      <c r="C229" s="31">
        <v>4301031279</v>
      </c>
      <c r="D229" s="633">
        <v>4680115887596</v>
      </c>
      <c r="E229" s="634"/>
      <c r="F229" s="628">
        <v>0.08</v>
      </c>
      <c r="G229" s="32">
        <v>10</v>
      </c>
      <c r="H229" s="628">
        <v>0.8</v>
      </c>
      <c r="I229" s="628">
        <v>1.01</v>
      </c>
      <c r="J229" s="32">
        <v>336</v>
      </c>
      <c r="K229" s="32" t="s">
        <v>120</v>
      </c>
      <c r="L229" s="32"/>
      <c r="M229" s="33" t="s">
        <v>65</v>
      </c>
      <c r="N229" s="33"/>
      <c r="O229" s="32">
        <v>45</v>
      </c>
      <c r="P229" s="84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36"/>
      <c r="R229" s="636"/>
      <c r="S229" s="636"/>
      <c r="T229" s="637"/>
      <c r="U229" s="34"/>
      <c r="V229" s="34"/>
      <c r="W229" s="35" t="s">
        <v>66</v>
      </c>
      <c r="X229" s="629">
        <v>0</v>
      </c>
      <c r="Y229" s="630">
        <f t="shared" si="33"/>
        <v>0</v>
      </c>
      <c r="Z229" s="36" t="str">
        <f>IFERROR(IF(Y229=0,"",ROUNDUP(Y229/H229,0)*0.00417),"")</f>
        <v/>
      </c>
      <c r="AA229" s="56"/>
      <c r="AB229" s="57"/>
      <c r="AC229" s="295" t="s">
        <v>394</v>
      </c>
      <c r="AG229" s="64"/>
      <c r="AJ229" s="68"/>
      <c r="AK229" s="68">
        <v>0</v>
      </c>
      <c r="BB229" s="296" t="s">
        <v>1</v>
      </c>
      <c r="BM229" s="64">
        <f t="shared" si="34"/>
        <v>0</v>
      </c>
      <c r="BN229" s="64">
        <f t="shared" si="35"/>
        <v>0</v>
      </c>
      <c r="BO229" s="64">
        <f t="shared" si="36"/>
        <v>0</v>
      </c>
      <c r="BP229" s="64">
        <f t="shared" si="37"/>
        <v>0</v>
      </c>
    </row>
    <row r="230" spans="1:68" ht="37.5" customHeight="1" x14ac:dyDescent="0.25">
      <c r="A230" s="54" t="s">
        <v>395</v>
      </c>
      <c r="B230" s="54" t="s">
        <v>396</v>
      </c>
      <c r="C230" s="31">
        <v>4301031202</v>
      </c>
      <c r="D230" s="633">
        <v>4680115881679</v>
      </c>
      <c r="E230" s="634"/>
      <c r="F230" s="628">
        <v>0.35</v>
      </c>
      <c r="G230" s="32">
        <v>6</v>
      </c>
      <c r="H230" s="628">
        <v>2.1</v>
      </c>
      <c r="I230" s="628">
        <v>2.2000000000000002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73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636"/>
      <c r="R230" s="636"/>
      <c r="S230" s="636"/>
      <c r="T230" s="637"/>
      <c r="U230" s="34"/>
      <c r="V230" s="34"/>
      <c r="W230" s="35" t="s">
        <v>66</v>
      </c>
      <c r="X230" s="629">
        <v>37</v>
      </c>
      <c r="Y230" s="630">
        <f t="shared" si="33"/>
        <v>37.800000000000004</v>
      </c>
      <c r="Z230" s="36">
        <f>IFERROR(IF(Y230=0,"",ROUNDUP(Y230/H230,0)*0.00502),"")</f>
        <v>9.0359999999999996E-2</v>
      </c>
      <c r="AA230" s="56"/>
      <c r="AB230" s="57"/>
      <c r="AC230" s="297" t="s">
        <v>372</v>
      </c>
      <c r="AG230" s="64"/>
      <c r="AJ230" s="68"/>
      <c r="AK230" s="68">
        <v>0</v>
      </c>
      <c r="BB230" s="298" t="s">
        <v>1</v>
      </c>
      <c r="BM230" s="64">
        <f t="shared" si="34"/>
        <v>38.761904761904766</v>
      </c>
      <c r="BN230" s="64">
        <f t="shared" si="35"/>
        <v>39.6</v>
      </c>
      <c r="BO230" s="64">
        <f t="shared" si="36"/>
        <v>7.5295075295075287E-2</v>
      </c>
      <c r="BP230" s="64">
        <f t="shared" si="37"/>
        <v>7.6923076923076927E-2</v>
      </c>
    </row>
    <row r="231" spans="1:68" ht="27" hidden="1" customHeight="1" x14ac:dyDescent="0.25">
      <c r="A231" s="54" t="s">
        <v>397</v>
      </c>
      <c r="B231" s="54" t="s">
        <v>398</v>
      </c>
      <c r="C231" s="31">
        <v>4301031158</v>
      </c>
      <c r="D231" s="633">
        <v>4680115880191</v>
      </c>
      <c r="E231" s="634"/>
      <c r="F231" s="628">
        <v>0.4</v>
      </c>
      <c r="G231" s="32">
        <v>6</v>
      </c>
      <c r="H231" s="628">
        <v>2.4</v>
      </c>
      <c r="I231" s="628">
        <v>2.58</v>
      </c>
      <c r="J231" s="32">
        <v>182</v>
      </c>
      <c r="K231" s="32" t="s">
        <v>76</v>
      </c>
      <c r="L231" s="32"/>
      <c r="M231" s="33" t="s">
        <v>65</v>
      </c>
      <c r="N231" s="33"/>
      <c r="O231" s="32">
        <v>40</v>
      </c>
      <c r="P231" s="6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636"/>
      <c r="R231" s="636"/>
      <c r="S231" s="636"/>
      <c r="T231" s="637"/>
      <c r="U231" s="34"/>
      <c r="V231" s="34"/>
      <c r="W231" s="35" t="s">
        <v>66</v>
      </c>
      <c r="X231" s="629">
        <v>0</v>
      </c>
      <c r="Y231" s="630">
        <f t="shared" si="33"/>
        <v>0</v>
      </c>
      <c r="Z231" s="36" t="str">
        <f>IFERROR(IF(Y231=0,"",ROUNDUP(Y231/H231,0)*0.00651),"")</f>
        <v/>
      </c>
      <c r="AA231" s="56"/>
      <c r="AB231" s="57"/>
      <c r="AC231" s="299" t="s">
        <v>372</v>
      </c>
      <c r="AG231" s="64"/>
      <c r="AJ231" s="68"/>
      <c r="AK231" s="68">
        <v>0</v>
      </c>
      <c r="BB231" s="300" t="s">
        <v>1</v>
      </c>
      <c r="BM231" s="64">
        <f t="shared" si="34"/>
        <v>0</v>
      </c>
      <c r="BN231" s="64">
        <f t="shared" si="35"/>
        <v>0</v>
      </c>
      <c r="BO231" s="64">
        <f t="shared" si="36"/>
        <v>0</v>
      </c>
      <c r="BP231" s="64">
        <f t="shared" si="37"/>
        <v>0</v>
      </c>
    </row>
    <row r="232" spans="1:68" ht="27" hidden="1" customHeight="1" x14ac:dyDescent="0.25">
      <c r="A232" s="54" t="s">
        <v>399</v>
      </c>
      <c r="B232" s="54" t="s">
        <v>400</v>
      </c>
      <c r="C232" s="31">
        <v>4301031245</v>
      </c>
      <c r="D232" s="633">
        <v>4680115883963</v>
      </c>
      <c r="E232" s="634"/>
      <c r="F232" s="628">
        <v>0.28000000000000003</v>
      </c>
      <c r="G232" s="32">
        <v>6</v>
      </c>
      <c r="H232" s="628">
        <v>1.68</v>
      </c>
      <c r="I232" s="628">
        <v>1.78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5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36"/>
      <c r="R232" s="636"/>
      <c r="S232" s="636"/>
      <c r="T232" s="637"/>
      <c r="U232" s="34"/>
      <c r="V232" s="34"/>
      <c r="W232" s="35" t="s">
        <v>66</v>
      </c>
      <c r="X232" s="629">
        <v>0</v>
      </c>
      <c r="Y232" s="630">
        <f t="shared" si="33"/>
        <v>0</v>
      </c>
      <c r="Z232" s="36" t="str">
        <f>IFERROR(IF(Y232=0,"",ROUNDUP(Y232/H232,0)*0.00502),"")</f>
        <v/>
      </c>
      <c r="AA232" s="56"/>
      <c r="AB232" s="57"/>
      <c r="AC232" s="301" t="s">
        <v>401</v>
      </c>
      <c r="AG232" s="64"/>
      <c r="AJ232" s="68"/>
      <c r="AK232" s="68">
        <v>0</v>
      </c>
      <c r="BB232" s="302" t="s">
        <v>1</v>
      </c>
      <c r="BM232" s="64">
        <f t="shared" si="34"/>
        <v>0</v>
      </c>
      <c r="BN232" s="64">
        <f t="shared" si="35"/>
        <v>0</v>
      </c>
      <c r="BO232" s="64">
        <f t="shared" si="36"/>
        <v>0</v>
      </c>
      <c r="BP232" s="64">
        <f t="shared" si="37"/>
        <v>0</v>
      </c>
    </row>
    <row r="233" spans="1:68" x14ac:dyDescent="0.2">
      <c r="A233" s="642"/>
      <c r="B233" s="643"/>
      <c r="C233" s="643"/>
      <c r="D233" s="643"/>
      <c r="E233" s="643"/>
      <c r="F233" s="643"/>
      <c r="G233" s="643"/>
      <c r="H233" s="643"/>
      <c r="I233" s="643"/>
      <c r="J233" s="643"/>
      <c r="K233" s="643"/>
      <c r="L233" s="643"/>
      <c r="M233" s="643"/>
      <c r="N233" s="643"/>
      <c r="O233" s="644"/>
      <c r="P233" s="646" t="s">
        <v>71</v>
      </c>
      <c r="Q233" s="647"/>
      <c r="R233" s="647"/>
      <c r="S233" s="647"/>
      <c r="T233" s="647"/>
      <c r="U233" s="647"/>
      <c r="V233" s="648"/>
      <c r="W233" s="37" t="s">
        <v>72</v>
      </c>
      <c r="X233" s="631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53.571428571428569</v>
      </c>
      <c r="Y233" s="631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56</v>
      </c>
      <c r="Z233" s="631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0.35311999999999999</v>
      </c>
      <c r="AA233" s="632"/>
      <c r="AB233" s="632"/>
      <c r="AC233" s="632"/>
    </row>
    <row r="234" spans="1:68" x14ac:dyDescent="0.2">
      <c r="A234" s="643"/>
      <c r="B234" s="643"/>
      <c r="C234" s="643"/>
      <c r="D234" s="643"/>
      <c r="E234" s="643"/>
      <c r="F234" s="643"/>
      <c r="G234" s="643"/>
      <c r="H234" s="643"/>
      <c r="I234" s="643"/>
      <c r="J234" s="643"/>
      <c r="K234" s="643"/>
      <c r="L234" s="643"/>
      <c r="M234" s="643"/>
      <c r="N234" s="643"/>
      <c r="O234" s="644"/>
      <c r="P234" s="646" t="s">
        <v>71</v>
      </c>
      <c r="Q234" s="647"/>
      <c r="R234" s="647"/>
      <c r="S234" s="647"/>
      <c r="T234" s="647"/>
      <c r="U234" s="647"/>
      <c r="V234" s="648"/>
      <c r="W234" s="37" t="s">
        <v>66</v>
      </c>
      <c r="X234" s="631">
        <f>IFERROR(SUM(X219:X232),"0")</f>
        <v>145</v>
      </c>
      <c r="Y234" s="631">
        <f>IFERROR(SUM(Y219:Y232),"0")</f>
        <v>151.80000000000001</v>
      </c>
      <c r="Z234" s="37"/>
      <c r="AA234" s="632"/>
      <c r="AB234" s="632"/>
      <c r="AC234" s="632"/>
    </row>
    <row r="235" spans="1:68" ht="14.25" hidden="1" customHeight="1" x14ac:dyDescent="0.25">
      <c r="A235" s="653" t="s">
        <v>73</v>
      </c>
      <c r="B235" s="643"/>
      <c r="C235" s="643"/>
      <c r="D235" s="643"/>
      <c r="E235" s="643"/>
      <c r="F235" s="643"/>
      <c r="G235" s="643"/>
      <c r="H235" s="643"/>
      <c r="I235" s="643"/>
      <c r="J235" s="643"/>
      <c r="K235" s="643"/>
      <c r="L235" s="643"/>
      <c r="M235" s="643"/>
      <c r="N235" s="643"/>
      <c r="O235" s="643"/>
      <c r="P235" s="643"/>
      <c r="Q235" s="643"/>
      <c r="R235" s="643"/>
      <c r="S235" s="643"/>
      <c r="T235" s="643"/>
      <c r="U235" s="643"/>
      <c r="V235" s="643"/>
      <c r="W235" s="643"/>
      <c r="X235" s="643"/>
      <c r="Y235" s="643"/>
      <c r="Z235" s="643"/>
      <c r="AA235" s="625"/>
      <c r="AB235" s="625"/>
      <c r="AC235" s="625"/>
    </row>
    <row r="236" spans="1:68" ht="16.5" hidden="1" customHeight="1" x14ac:dyDescent="0.25">
      <c r="A236" s="54" t="s">
        <v>402</v>
      </c>
      <c r="B236" s="54" t="s">
        <v>403</v>
      </c>
      <c r="C236" s="31">
        <v>4301052209</v>
      </c>
      <c r="D236" s="633">
        <v>4680115888692</v>
      </c>
      <c r="E236" s="634"/>
      <c r="F236" s="628">
        <v>0.8</v>
      </c>
      <c r="G236" s="32">
        <v>6</v>
      </c>
      <c r="H236" s="628">
        <v>4.8</v>
      </c>
      <c r="I236" s="628">
        <v>5.2220000000000004</v>
      </c>
      <c r="J236" s="32">
        <v>104</v>
      </c>
      <c r="K236" s="32" t="s">
        <v>115</v>
      </c>
      <c r="L236" s="32"/>
      <c r="M236" s="33" t="s">
        <v>83</v>
      </c>
      <c r="N236" s="33"/>
      <c r="O236" s="32">
        <v>35</v>
      </c>
      <c r="P236" s="69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36"/>
      <c r="R236" s="636"/>
      <c r="S236" s="636"/>
      <c r="T236" s="637"/>
      <c r="U236" s="34"/>
      <c r="V236" s="34"/>
      <c r="W236" s="35" t="s">
        <v>66</v>
      </c>
      <c r="X236" s="629">
        <v>0</v>
      </c>
      <c r="Y236" s="630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404</v>
      </c>
      <c r="AG236" s="64"/>
      <c r="AJ236" s="68"/>
      <c r="AK236" s="68">
        <v>0</v>
      </c>
      <c r="BB236" s="304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405</v>
      </c>
      <c r="B237" s="54" t="s">
        <v>406</v>
      </c>
      <c r="C237" s="31">
        <v>4301052213</v>
      </c>
      <c r="D237" s="633">
        <v>4680115888722</v>
      </c>
      <c r="E237" s="634"/>
      <c r="F237" s="628">
        <v>0.8</v>
      </c>
      <c r="G237" s="32">
        <v>6</v>
      </c>
      <c r="H237" s="628">
        <v>4.8</v>
      </c>
      <c r="I237" s="628">
        <v>5.2220000000000004</v>
      </c>
      <c r="J237" s="32">
        <v>104</v>
      </c>
      <c r="K237" s="32" t="s">
        <v>115</v>
      </c>
      <c r="L237" s="32"/>
      <c r="M237" s="33" t="s">
        <v>83</v>
      </c>
      <c r="N237" s="33"/>
      <c r="O237" s="32">
        <v>35</v>
      </c>
      <c r="P237" s="70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636"/>
      <c r="R237" s="636"/>
      <c r="S237" s="636"/>
      <c r="T237" s="637"/>
      <c r="U237" s="34"/>
      <c r="V237" s="34"/>
      <c r="W237" s="35" t="s">
        <v>66</v>
      </c>
      <c r="X237" s="629">
        <v>0</v>
      </c>
      <c r="Y237" s="630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305" t="s">
        <v>407</v>
      </c>
      <c r="AG237" s="64"/>
      <c r="AJ237" s="68"/>
      <c r="AK237" s="68">
        <v>0</v>
      </c>
      <c r="BB237" s="30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408</v>
      </c>
      <c r="B238" s="54" t="s">
        <v>409</v>
      </c>
      <c r="C238" s="31">
        <v>4301052177</v>
      </c>
      <c r="D238" s="633">
        <v>4680115888951</v>
      </c>
      <c r="E238" s="634"/>
      <c r="F238" s="628">
        <v>0.36</v>
      </c>
      <c r="G238" s="32">
        <v>6</v>
      </c>
      <c r="H238" s="628">
        <v>2.16</v>
      </c>
      <c r="I238" s="628">
        <v>2.4220000000000002</v>
      </c>
      <c r="J238" s="32">
        <v>132</v>
      </c>
      <c r="K238" s="32" t="s">
        <v>124</v>
      </c>
      <c r="L238" s="32"/>
      <c r="M238" s="33" t="s">
        <v>83</v>
      </c>
      <c r="N238" s="33"/>
      <c r="O238" s="32">
        <v>35</v>
      </c>
      <c r="P238" s="84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636"/>
      <c r="R238" s="636"/>
      <c r="S238" s="636"/>
      <c r="T238" s="637"/>
      <c r="U238" s="34"/>
      <c r="V238" s="34"/>
      <c r="W238" s="35" t="s">
        <v>66</v>
      </c>
      <c r="X238" s="629">
        <v>0</v>
      </c>
      <c r="Y238" s="630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7" t="s">
        <v>410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411</v>
      </c>
      <c r="B239" s="54" t="s">
        <v>412</v>
      </c>
      <c r="C239" s="31">
        <v>4301052178</v>
      </c>
      <c r="D239" s="633">
        <v>4680115888975</v>
      </c>
      <c r="E239" s="634"/>
      <c r="F239" s="628">
        <v>0.32</v>
      </c>
      <c r="G239" s="32">
        <v>6</v>
      </c>
      <c r="H239" s="628">
        <v>1.92</v>
      </c>
      <c r="I239" s="628">
        <v>2.1819999999999999</v>
      </c>
      <c r="J239" s="32">
        <v>132</v>
      </c>
      <c r="K239" s="32" t="s">
        <v>124</v>
      </c>
      <c r="L239" s="32"/>
      <c r="M239" s="33" t="s">
        <v>83</v>
      </c>
      <c r="N239" s="33"/>
      <c r="O239" s="32">
        <v>35</v>
      </c>
      <c r="P239" s="79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36"/>
      <c r="R239" s="636"/>
      <c r="S239" s="636"/>
      <c r="T239" s="637"/>
      <c r="U239" s="34"/>
      <c r="V239" s="34"/>
      <c r="W239" s="35" t="s">
        <v>66</v>
      </c>
      <c r="X239" s="629">
        <v>0</v>
      </c>
      <c r="Y239" s="630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9" t="s">
        <v>413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414</v>
      </c>
      <c r="B240" s="54" t="s">
        <v>415</v>
      </c>
      <c r="C240" s="31">
        <v>4301052176</v>
      </c>
      <c r="D240" s="633">
        <v>4680115888982</v>
      </c>
      <c r="E240" s="634"/>
      <c r="F240" s="628">
        <v>0.36</v>
      </c>
      <c r="G240" s="32">
        <v>6</v>
      </c>
      <c r="H240" s="628">
        <v>2.16</v>
      </c>
      <c r="I240" s="628">
        <v>2.4220000000000002</v>
      </c>
      <c r="J240" s="32">
        <v>132</v>
      </c>
      <c r="K240" s="32" t="s">
        <v>124</v>
      </c>
      <c r="L240" s="32"/>
      <c r="M240" s="33" t="s">
        <v>83</v>
      </c>
      <c r="N240" s="33"/>
      <c r="O240" s="32">
        <v>35</v>
      </c>
      <c r="P240" s="72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36"/>
      <c r="R240" s="636"/>
      <c r="S240" s="636"/>
      <c r="T240" s="637"/>
      <c r="U240" s="34"/>
      <c r="V240" s="34"/>
      <c r="W240" s="35" t="s">
        <v>66</v>
      </c>
      <c r="X240" s="629">
        <v>0</v>
      </c>
      <c r="Y240" s="630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407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42"/>
      <c r="B241" s="643"/>
      <c r="C241" s="643"/>
      <c r="D241" s="643"/>
      <c r="E241" s="643"/>
      <c r="F241" s="643"/>
      <c r="G241" s="643"/>
      <c r="H241" s="643"/>
      <c r="I241" s="643"/>
      <c r="J241" s="643"/>
      <c r="K241" s="643"/>
      <c r="L241" s="643"/>
      <c r="M241" s="643"/>
      <c r="N241" s="643"/>
      <c r="O241" s="644"/>
      <c r="P241" s="646" t="s">
        <v>71</v>
      </c>
      <c r="Q241" s="647"/>
      <c r="R241" s="647"/>
      <c r="S241" s="647"/>
      <c r="T241" s="647"/>
      <c r="U241" s="647"/>
      <c r="V241" s="648"/>
      <c r="W241" s="37" t="s">
        <v>72</v>
      </c>
      <c r="X241" s="631">
        <f>IFERROR(X236/H236,"0")+IFERROR(X237/H237,"0")+IFERROR(X238/H238,"0")+IFERROR(X239/H239,"0")+IFERROR(X240/H240,"0")</f>
        <v>0</v>
      </c>
      <c r="Y241" s="631">
        <f>IFERROR(Y236/H236,"0")+IFERROR(Y237/H237,"0")+IFERROR(Y238/H238,"0")+IFERROR(Y239/H239,"0")+IFERROR(Y240/H240,"0")</f>
        <v>0</v>
      </c>
      <c r="Z241" s="631">
        <f>IFERROR(IF(Z236="",0,Z236),"0")+IFERROR(IF(Z237="",0,Z237),"0")+IFERROR(IF(Z238="",0,Z238),"0")+IFERROR(IF(Z239="",0,Z239),"0")+IFERROR(IF(Z240="",0,Z240),"0")</f>
        <v>0</v>
      </c>
      <c r="AA241" s="632"/>
      <c r="AB241" s="632"/>
      <c r="AC241" s="632"/>
    </row>
    <row r="242" spans="1:68" hidden="1" x14ac:dyDescent="0.2">
      <c r="A242" s="643"/>
      <c r="B242" s="643"/>
      <c r="C242" s="643"/>
      <c r="D242" s="643"/>
      <c r="E242" s="643"/>
      <c r="F242" s="643"/>
      <c r="G242" s="643"/>
      <c r="H242" s="643"/>
      <c r="I242" s="643"/>
      <c r="J242" s="643"/>
      <c r="K242" s="643"/>
      <c r="L242" s="643"/>
      <c r="M242" s="643"/>
      <c r="N242" s="643"/>
      <c r="O242" s="644"/>
      <c r="P242" s="646" t="s">
        <v>71</v>
      </c>
      <c r="Q242" s="647"/>
      <c r="R242" s="647"/>
      <c r="S242" s="647"/>
      <c r="T242" s="647"/>
      <c r="U242" s="647"/>
      <c r="V242" s="648"/>
      <c r="W242" s="37" t="s">
        <v>66</v>
      </c>
      <c r="X242" s="631">
        <f>IFERROR(SUM(X236:X240),"0")</f>
        <v>0</v>
      </c>
      <c r="Y242" s="631">
        <f>IFERROR(SUM(Y236:Y240),"0")</f>
        <v>0</v>
      </c>
      <c r="Z242" s="37"/>
      <c r="AA242" s="632"/>
      <c r="AB242" s="632"/>
      <c r="AC242" s="632"/>
    </row>
    <row r="243" spans="1:68" ht="14.25" hidden="1" customHeight="1" x14ac:dyDescent="0.25">
      <c r="A243" s="653" t="s">
        <v>270</v>
      </c>
      <c r="B243" s="643"/>
      <c r="C243" s="643"/>
      <c r="D243" s="643"/>
      <c r="E243" s="643"/>
      <c r="F243" s="643"/>
      <c r="G243" s="643"/>
      <c r="H243" s="643"/>
      <c r="I243" s="643"/>
      <c r="J243" s="643"/>
      <c r="K243" s="643"/>
      <c r="L243" s="643"/>
      <c r="M243" s="643"/>
      <c r="N243" s="643"/>
      <c r="O243" s="643"/>
      <c r="P243" s="643"/>
      <c r="Q243" s="643"/>
      <c r="R243" s="643"/>
      <c r="S243" s="643"/>
      <c r="T243" s="643"/>
      <c r="U243" s="643"/>
      <c r="V243" s="643"/>
      <c r="W243" s="643"/>
      <c r="X243" s="643"/>
      <c r="Y243" s="643"/>
      <c r="Z243" s="643"/>
      <c r="AA243" s="625"/>
      <c r="AB243" s="625"/>
      <c r="AC243" s="625"/>
    </row>
    <row r="244" spans="1:68" ht="27" hidden="1" customHeight="1" x14ac:dyDescent="0.25">
      <c r="A244" s="54" t="s">
        <v>416</v>
      </c>
      <c r="B244" s="54" t="s">
        <v>417</v>
      </c>
      <c r="C244" s="31">
        <v>4301032053</v>
      </c>
      <c r="D244" s="633">
        <v>4680115886780</v>
      </c>
      <c r="E244" s="634"/>
      <c r="F244" s="628">
        <v>7.0000000000000007E-2</v>
      </c>
      <c r="G244" s="32">
        <v>18</v>
      </c>
      <c r="H244" s="628">
        <v>1.26</v>
      </c>
      <c r="I244" s="628">
        <v>1.45</v>
      </c>
      <c r="J244" s="32">
        <v>216</v>
      </c>
      <c r="K244" s="32" t="s">
        <v>332</v>
      </c>
      <c r="L244" s="32"/>
      <c r="M244" s="33" t="s">
        <v>274</v>
      </c>
      <c r="N244" s="33"/>
      <c r="O244" s="32">
        <v>60</v>
      </c>
      <c r="P244" s="6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36"/>
      <c r="R244" s="636"/>
      <c r="S244" s="636"/>
      <c r="T244" s="637"/>
      <c r="U244" s="34"/>
      <c r="V244" s="34"/>
      <c r="W244" s="35" t="s">
        <v>66</v>
      </c>
      <c r="X244" s="629">
        <v>0</v>
      </c>
      <c r="Y244" s="630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13" t="s">
        <v>418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customHeight="1" x14ac:dyDescent="0.25">
      <c r="A245" s="54" t="s">
        <v>419</v>
      </c>
      <c r="B245" s="54" t="s">
        <v>420</v>
      </c>
      <c r="C245" s="31">
        <v>4301032051</v>
      </c>
      <c r="D245" s="633">
        <v>4680115886742</v>
      </c>
      <c r="E245" s="634"/>
      <c r="F245" s="628">
        <v>7.0000000000000007E-2</v>
      </c>
      <c r="G245" s="32">
        <v>18</v>
      </c>
      <c r="H245" s="628">
        <v>1.26</v>
      </c>
      <c r="I245" s="628">
        <v>1.45</v>
      </c>
      <c r="J245" s="32">
        <v>216</v>
      </c>
      <c r="K245" s="32" t="s">
        <v>332</v>
      </c>
      <c r="L245" s="32"/>
      <c r="M245" s="33" t="s">
        <v>274</v>
      </c>
      <c r="N245" s="33"/>
      <c r="O245" s="32">
        <v>90</v>
      </c>
      <c r="P245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36"/>
      <c r="R245" s="636"/>
      <c r="S245" s="636"/>
      <c r="T245" s="637"/>
      <c r="U245" s="34"/>
      <c r="V245" s="34"/>
      <c r="W245" s="35" t="s">
        <v>66</v>
      </c>
      <c r="X245" s="629">
        <v>3</v>
      </c>
      <c r="Y245" s="630">
        <f>IFERROR(IF(X245="",0,CEILING((X245/$H245),1)*$H245),"")</f>
        <v>3.7800000000000002</v>
      </c>
      <c r="Z245" s="36">
        <f>IFERROR(IF(Y245=0,"",ROUNDUP(Y245/H245,0)*0.0059),"")</f>
        <v>1.77E-2</v>
      </c>
      <c r="AA245" s="56"/>
      <c r="AB245" s="57"/>
      <c r="AC245" s="315" t="s">
        <v>421</v>
      </c>
      <c r="AG245" s="64"/>
      <c r="AJ245" s="68"/>
      <c r="AK245" s="68">
        <v>0</v>
      </c>
      <c r="BB245" s="316" t="s">
        <v>1</v>
      </c>
      <c r="BM245" s="64">
        <f>IFERROR(X245*I245/H245,"0")</f>
        <v>3.4523809523809521</v>
      </c>
      <c r="BN245" s="64">
        <f>IFERROR(Y245*I245/H245,"0")</f>
        <v>4.3499999999999996</v>
      </c>
      <c r="BO245" s="64">
        <f>IFERROR(1/J245*(X245/H245),"0")</f>
        <v>1.1022927689594356E-2</v>
      </c>
      <c r="BP245" s="64">
        <f>IFERROR(1/J245*(Y245/H245),"0")</f>
        <v>1.3888888888888888E-2</v>
      </c>
    </row>
    <row r="246" spans="1:68" ht="27" customHeight="1" x14ac:dyDescent="0.25">
      <c r="A246" s="54" t="s">
        <v>422</v>
      </c>
      <c r="B246" s="54" t="s">
        <v>423</v>
      </c>
      <c r="C246" s="31">
        <v>4301032052</v>
      </c>
      <c r="D246" s="633">
        <v>4680115886766</v>
      </c>
      <c r="E246" s="634"/>
      <c r="F246" s="628">
        <v>7.0000000000000007E-2</v>
      </c>
      <c r="G246" s="32">
        <v>18</v>
      </c>
      <c r="H246" s="628">
        <v>1.26</v>
      </c>
      <c r="I246" s="628">
        <v>1.45</v>
      </c>
      <c r="J246" s="32">
        <v>216</v>
      </c>
      <c r="K246" s="32" t="s">
        <v>332</v>
      </c>
      <c r="L246" s="32"/>
      <c r="M246" s="33" t="s">
        <v>274</v>
      </c>
      <c r="N246" s="33"/>
      <c r="O246" s="32">
        <v>90</v>
      </c>
      <c r="P246" s="78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36"/>
      <c r="R246" s="636"/>
      <c r="S246" s="636"/>
      <c r="T246" s="637"/>
      <c r="U246" s="34"/>
      <c r="V246" s="34"/>
      <c r="W246" s="35" t="s">
        <v>66</v>
      </c>
      <c r="X246" s="629">
        <v>4</v>
      </c>
      <c r="Y246" s="630">
        <f>IFERROR(IF(X246="",0,CEILING((X246/$H246),1)*$H246),"")</f>
        <v>5.04</v>
      </c>
      <c r="Z246" s="36">
        <f>IFERROR(IF(Y246=0,"",ROUNDUP(Y246/H246,0)*0.0059),"")</f>
        <v>2.3599999999999999E-2</v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4.6031746031746028</v>
      </c>
      <c r="BN246" s="64">
        <f>IFERROR(Y246*I246/H246,"0")</f>
        <v>5.8</v>
      </c>
      <c r="BO246" s="64">
        <f>IFERROR(1/J246*(X246/H246),"0")</f>
        <v>1.469723691945914E-2</v>
      </c>
      <c r="BP246" s="64">
        <f>IFERROR(1/J246*(Y246/H246),"0")</f>
        <v>1.8518518518518517E-2</v>
      </c>
    </row>
    <row r="247" spans="1:68" x14ac:dyDescent="0.2">
      <c r="A247" s="642"/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4"/>
      <c r="P247" s="646" t="s">
        <v>71</v>
      </c>
      <c r="Q247" s="647"/>
      <c r="R247" s="647"/>
      <c r="S247" s="647"/>
      <c r="T247" s="647"/>
      <c r="U247" s="647"/>
      <c r="V247" s="648"/>
      <c r="W247" s="37" t="s">
        <v>72</v>
      </c>
      <c r="X247" s="631">
        <f>IFERROR(X244/H244,"0")+IFERROR(X245/H245,"0")+IFERROR(X246/H246,"0")</f>
        <v>5.5555555555555554</v>
      </c>
      <c r="Y247" s="631">
        <f>IFERROR(Y244/H244,"0")+IFERROR(Y245/H245,"0")+IFERROR(Y246/H246,"0")</f>
        <v>7</v>
      </c>
      <c r="Z247" s="631">
        <f>IFERROR(IF(Z244="",0,Z244),"0")+IFERROR(IF(Z245="",0,Z245),"0")+IFERROR(IF(Z246="",0,Z246),"0")</f>
        <v>4.1300000000000003E-2</v>
      </c>
      <c r="AA247" s="632"/>
      <c r="AB247" s="632"/>
      <c r="AC247" s="632"/>
    </row>
    <row r="248" spans="1:68" x14ac:dyDescent="0.2">
      <c r="A248" s="643"/>
      <c r="B248" s="643"/>
      <c r="C248" s="643"/>
      <c r="D248" s="643"/>
      <c r="E248" s="643"/>
      <c r="F248" s="643"/>
      <c r="G248" s="643"/>
      <c r="H248" s="643"/>
      <c r="I248" s="643"/>
      <c r="J248" s="643"/>
      <c r="K248" s="643"/>
      <c r="L248" s="643"/>
      <c r="M248" s="643"/>
      <c r="N248" s="643"/>
      <c r="O248" s="644"/>
      <c r="P248" s="646" t="s">
        <v>71</v>
      </c>
      <c r="Q248" s="647"/>
      <c r="R248" s="647"/>
      <c r="S248" s="647"/>
      <c r="T248" s="647"/>
      <c r="U248" s="647"/>
      <c r="V248" s="648"/>
      <c r="W248" s="37" t="s">
        <v>66</v>
      </c>
      <c r="X248" s="631">
        <f>IFERROR(SUM(X244:X246),"0")</f>
        <v>7</v>
      </c>
      <c r="Y248" s="631">
        <f>IFERROR(SUM(Y244:Y246),"0")</f>
        <v>8.82</v>
      </c>
      <c r="Z248" s="37"/>
      <c r="AA248" s="632"/>
      <c r="AB248" s="632"/>
      <c r="AC248" s="632"/>
    </row>
    <row r="249" spans="1:68" ht="14.25" hidden="1" customHeight="1" x14ac:dyDescent="0.25">
      <c r="A249" s="653" t="s">
        <v>424</v>
      </c>
      <c r="B249" s="643"/>
      <c r="C249" s="643"/>
      <c r="D249" s="643"/>
      <c r="E249" s="643"/>
      <c r="F249" s="643"/>
      <c r="G249" s="643"/>
      <c r="H249" s="643"/>
      <c r="I249" s="643"/>
      <c r="J249" s="643"/>
      <c r="K249" s="643"/>
      <c r="L249" s="643"/>
      <c r="M249" s="643"/>
      <c r="N249" s="643"/>
      <c r="O249" s="643"/>
      <c r="P249" s="643"/>
      <c r="Q249" s="643"/>
      <c r="R249" s="643"/>
      <c r="S249" s="643"/>
      <c r="T249" s="643"/>
      <c r="U249" s="643"/>
      <c r="V249" s="643"/>
      <c r="W249" s="643"/>
      <c r="X249" s="643"/>
      <c r="Y249" s="643"/>
      <c r="Z249" s="643"/>
      <c r="AA249" s="625"/>
      <c r="AB249" s="625"/>
      <c r="AC249" s="625"/>
    </row>
    <row r="250" spans="1:68" ht="27" hidden="1" customHeight="1" x14ac:dyDescent="0.25">
      <c r="A250" s="54" t="s">
        <v>425</v>
      </c>
      <c r="B250" s="54" t="s">
        <v>426</v>
      </c>
      <c r="C250" s="31">
        <v>4301170013</v>
      </c>
      <c r="D250" s="633">
        <v>4680115886797</v>
      </c>
      <c r="E250" s="634"/>
      <c r="F250" s="628">
        <v>7.0000000000000007E-2</v>
      </c>
      <c r="G250" s="32">
        <v>18</v>
      </c>
      <c r="H250" s="628">
        <v>1.26</v>
      </c>
      <c r="I250" s="628">
        <v>1.45</v>
      </c>
      <c r="J250" s="32">
        <v>216</v>
      </c>
      <c r="K250" s="32" t="s">
        <v>332</v>
      </c>
      <c r="L250" s="32"/>
      <c r="M250" s="33" t="s">
        <v>274</v>
      </c>
      <c r="N250" s="33"/>
      <c r="O250" s="32">
        <v>90</v>
      </c>
      <c r="P250" s="75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66</v>
      </c>
      <c r="X250" s="629">
        <v>0</v>
      </c>
      <c r="Y250" s="630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421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42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44"/>
      <c r="P251" s="646" t="s">
        <v>71</v>
      </c>
      <c r="Q251" s="647"/>
      <c r="R251" s="647"/>
      <c r="S251" s="647"/>
      <c r="T251" s="647"/>
      <c r="U251" s="647"/>
      <c r="V251" s="648"/>
      <c r="W251" s="37" t="s">
        <v>72</v>
      </c>
      <c r="X251" s="631">
        <f>IFERROR(X250/H250,"0")</f>
        <v>0</v>
      </c>
      <c r="Y251" s="631">
        <f>IFERROR(Y250/H250,"0")</f>
        <v>0</v>
      </c>
      <c r="Z251" s="631">
        <f>IFERROR(IF(Z250="",0,Z250),"0")</f>
        <v>0</v>
      </c>
      <c r="AA251" s="632"/>
      <c r="AB251" s="632"/>
      <c r="AC251" s="632"/>
    </row>
    <row r="252" spans="1:68" hidden="1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44"/>
      <c r="P252" s="646" t="s">
        <v>71</v>
      </c>
      <c r="Q252" s="647"/>
      <c r="R252" s="647"/>
      <c r="S252" s="647"/>
      <c r="T252" s="647"/>
      <c r="U252" s="647"/>
      <c r="V252" s="648"/>
      <c r="W252" s="37" t="s">
        <v>66</v>
      </c>
      <c r="X252" s="631">
        <f>IFERROR(SUM(X250:X250),"0")</f>
        <v>0</v>
      </c>
      <c r="Y252" s="631">
        <f>IFERROR(SUM(Y250:Y250),"0")</f>
        <v>0</v>
      </c>
      <c r="Z252" s="37"/>
      <c r="AA252" s="632"/>
      <c r="AB252" s="632"/>
      <c r="AC252" s="632"/>
    </row>
    <row r="253" spans="1:68" ht="16.5" hidden="1" customHeight="1" x14ac:dyDescent="0.25">
      <c r="A253" s="677" t="s">
        <v>427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4"/>
      <c r="AB253" s="624"/>
      <c r="AC253" s="624"/>
    </row>
    <row r="254" spans="1:68" ht="14.25" hidden="1" customHeight="1" x14ac:dyDescent="0.25">
      <c r="A254" s="653" t="s">
        <v>112</v>
      </c>
      <c r="B254" s="643"/>
      <c r="C254" s="643"/>
      <c r="D254" s="643"/>
      <c r="E254" s="643"/>
      <c r="F254" s="643"/>
      <c r="G254" s="643"/>
      <c r="H254" s="643"/>
      <c r="I254" s="643"/>
      <c r="J254" s="643"/>
      <c r="K254" s="643"/>
      <c r="L254" s="643"/>
      <c r="M254" s="643"/>
      <c r="N254" s="643"/>
      <c r="O254" s="643"/>
      <c r="P254" s="643"/>
      <c r="Q254" s="643"/>
      <c r="R254" s="643"/>
      <c r="S254" s="643"/>
      <c r="T254" s="643"/>
      <c r="U254" s="643"/>
      <c r="V254" s="643"/>
      <c r="W254" s="643"/>
      <c r="X254" s="643"/>
      <c r="Y254" s="643"/>
      <c r="Z254" s="643"/>
      <c r="AA254" s="625"/>
      <c r="AB254" s="625"/>
      <c r="AC254" s="625"/>
    </row>
    <row r="255" spans="1:68" ht="27" hidden="1" customHeight="1" x14ac:dyDescent="0.25">
      <c r="A255" s="54" t="s">
        <v>428</v>
      </c>
      <c r="B255" s="54" t="s">
        <v>429</v>
      </c>
      <c r="C255" s="31">
        <v>4301011450</v>
      </c>
      <c r="D255" s="633">
        <v>4680115881402</v>
      </c>
      <c r="E255" s="634"/>
      <c r="F255" s="628">
        <v>1.35</v>
      </c>
      <c r="G255" s="32">
        <v>8</v>
      </c>
      <c r="H255" s="628">
        <v>10.8</v>
      </c>
      <c r="I255" s="628">
        <v>11.21</v>
      </c>
      <c r="J255" s="32">
        <v>64</v>
      </c>
      <c r="K255" s="32" t="s">
        <v>115</v>
      </c>
      <c r="L255" s="32"/>
      <c r="M255" s="33" t="s">
        <v>116</v>
      </c>
      <c r="N255" s="33"/>
      <c r="O255" s="32">
        <v>55</v>
      </c>
      <c r="P255" s="74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36"/>
      <c r="R255" s="636"/>
      <c r="S255" s="636"/>
      <c r="T255" s="637"/>
      <c r="U255" s="34"/>
      <c r="V255" s="34"/>
      <c r="W255" s="35" t="s">
        <v>66</v>
      </c>
      <c r="X255" s="629">
        <v>0</v>
      </c>
      <c r="Y255" s="63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21" t="s">
        <v>430</v>
      </c>
      <c r="AG255" s="64"/>
      <c r="AJ255" s="68"/>
      <c r="AK255" s="68">
        <v>0</v>
      </c>
      <c r="BB255" s="32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431</v>
      </c>
      <c r="B256" s="54" t="s">
        <v>432</v>
      </c>
      <c r="C256" s="31">
        <v>4301011768</v>
      </c>
      <c r="D256" s="633">
        <v>4680115881396</v>
      </c>
      <c r="E256" s="634"/>
      <c r="F256" s="628">
        <v>0.45</v>
      </c>
      <c r="G256" s="32">
        <v>6</v>
      </c>
      <c r="H256" s="628">
        <v>2.7</v>
      </c>
      <c r="I256" s="628">
        <v>2.88</v>
      </c>
      <c r="J256" s="32">
        <v>182</v>
      </c>
      <c r="K256" s="32" t="s">
        <v>76</v>
      </c>
      <c r="L256" s="32"/>
      <c r="M256" s="33" t="s">
        <v>116</v>
      </c>
      <c r="N256" s="33"/>
      <c r="O256" s="32">
        <v>55</v>
      </c>
      <c r="P256" s="87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36"/>
      <c r="R256" s="636"/>
      <c r="S256" s="636"/>
      <c r="T256" s="637"/>
      <c r="U256" s="34"/>
      <c r="V256" s="34"/>
      <c r="W256" s="35" t="s">
        <v>66</v>
      </c>
      <c r="X256" s="629">
        <v>0</v>
      </c>
      <c r="Y256" s="630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23" t="s">
        <v>430</v>
      </c>
      <c r="AG256" s="64"/>
      <c r="AJ256" s="68"/>
      <c r="AK256" s="68">
        <v>0</v>
      </c>
      <c r="BB256" s="32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42"/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4"/>
      <c r="P257" s="646" t="s">
        <v>71</v>
      </c>
      <c r="Q257" s="647"/>
      <c r="R257" s="647"/>
      <c r="S257" s="647"/>
      <c r="T257" s="647"/>
      <c r="U257" s="647"/>
      <c r="V257" s="648"/>
      <c r="W257" s="37" t="s">
        <v>72</v>
      </c>
      <c r="X257" s="631">
        <f>IFERROR(X255/H255,"0")+IFERROR(X256/H256,"0")</f>
        <v>0</v>
      </c>
      <c r="Y257" s="631">
        <f>IFERROR(Y255/H255,"0")+IFERROR(Y256/H256,"0")</f>
        <v>0</v>
      </c>
      <c r="Z257" s="631">
        <f>IFERROR(IF(Z255="",0,Z255),"0")+IFERROR(IF(Z256="",0,Z256),"0")</f>
        <v>0</v>
      </c>
      <c r="AA257" s="632"/>
      <c r="AB257" s="632"/>
      <c r="AC257" s="632"/>
    </row>
    <row r="258" spans="1:68" hidden="1" x14ac:dyDescent="0.2">
      <c r="A258" s="643"/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4"/>
      <c r="P258" s="646" t="s">
        <v>71</v>
      </c>
      <c r="Q258" s="647"/>
      <c r="R258" s="647"/>
      <c r="S258" s="647"/>
      <c r="T258" s="647"/>
      <c r="U258" s="647"/>
      <c r="V258" s="648"/>
      <c r="W258" s="37" t="s">
        <v>66</v>
      </c>
      <c r="X258" s="631">
        <f>IFERROR(SUM(X255:X256),"0")</f>
        <v>0</v>
      </c>
      <c r="Y258" s="631">
        <f>IFERROR(SUM(Y255:Y256),"0")</f>
        <v>0</v>
      </c>
      <c r="Z258" s="37"/>
      <c r="AA258" s="632"/>
      <c r="AB258" s="632"/>
      <c r="AC258" s="632"/>
    </row>
    <row r="259" spans="1:68" ht="14.25" hidden="1" customHeight="1" x14ac:dyDescent="0.25">
      <c r="A259" s="653" t="s">
        <v>145</v>
      </c>
      <c r="B259" s="643"/>
      <c r="C259" s="643"/>
      <c r="D259" s="643"/>
      <c r="E259" s="643"/>
      <c r="F259" s="643"/>
      <c r="G259" s="643"/>
      <c r="H259" s="643"/>
      <c r="I259" s="643"/>
      <c r="J259" s="643"/>
      <c r="K259" s="643"/>
      <c r="L259" s="643"/>
      <c r="M259" s="643"/>
      <c r="N259" s="643"/>
      <c r="O259" s="643"/>
      <c r="P259" s="643"/>
      <c r="Q259" s="643"/>
      <c r="R259" s="643"/>
      <c r="S259" s="643"/>
      <c r="T259" s="643"/>
      <c r="U259" s="643"/>
      <c r="V259" s="643"/>
      <c r="W259" s="643"/>
      <c r="X259" s="643"/>
      <c r="Y259" s="643"/>
      <c r="Z259" s="643"/>
      <c r="AA259" s="625"/>
      <c r="AB259" s="625"/>
      <c r="AC259" s="625"/>
    </row>
    <row r="260" spans="1:68" ht="16.5" hidden="1" customHeight="1" x14ac:dyDescent="0.25">
      <c r="A260" s="54" t="s">
        <v>433</v>
      </c>
      <c r="B260" s="54" t="s">
        <v>434</v>
      </c>
      <c r="C260" s="31">
        <v>4301020261</v>
      </c>
      <c r="D260" s="633">
        <v>4680115882935</v>
      </c>
      <c r="E260" s="634"/>
      <c r="F260" s="628">
        <v>1.35</v>
      </c>
      <c r="G260" s="32">
        <v>8</v>
      </c>
      <c r="H260" s="628">
        <v>10.8</v>
      </c>
      <c r="I260" s="628">
        <v>11.21</v>
      </c>
      <c r="J260" s="32">
        <v>64</v>
      </c>
      <c r="K260" s="32" t="s">
        <v>115</v>
      </c>
      <c r="L260" s="32"/>
      <c r="M260" s="33" t="s">
        <v>116</v>
      </c>
      <c r="N260" s="33"/>
      <c r="O260" s="32">
        <v>50</v>
      </c>
      <c r="P260" s="83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36"/>
      <c r="R260" s="636"/>
      <c r="S260" s="636"/>
      <c r="T260" s="637"/>
      <c r="U260" s="34"/>
      <c r="V260" s="34"/>
      <c r="W260" s="35" t="s">
        <v>66</v>
      </c>
      <c r="X260" s="629">
        <v>0</v>
      </c>
      <c r="Y260" s="630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25" t="s">
        <v>435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436</v>
      </c>
      <c r="B261" s="54" t="s">
        <v>437</v>
      </c>
      <c r="C261" s="31">
        <v>4301020220</v>
      </c>
      <c r="D261" s="633">
        <v>4680115880764</v>
      </c>
      <c r="E261" s="634"/>
      <c r="F261" s="628">
        <v>0.35</v>
      </c>
      <c r="G261" s="32">
        <v>6</v>
      </c>
      <c r="H261" s="628">
        <v>2.1</v>
      </c>
      <c r="I261" s="628">
        <v>2.2799999999999998</v>
      </c>
      <c r="J261" s="32">
        <v>182</v>
      </c>
      <c r="K261" s="32" t="s">
        <v>76</v>
      </c>
      <c r="L261" s="32"/>
      <c r="M261" s="33" t="s">
        <v>116</v>
      </c>
      <c r="N261" s="33"/>
      <c r="O261" s="32">
        <v>50</v>
      </c>
      <c r="P261" s="8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36"/>
      <c r="R261" s="636"/>
      <c r="S261" s="636"/>
      <c r="T261" s="637"/>
      <c r="U261" s="34"/>
      <c r="V261" s="34"/>
      <c r="W261" s="35" t="s">
        <v>66</v>
      </c>
      <c r="X261" s="629">
        <v>0</v>
      </c>
      <c r="Y261" s="630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7" t="s">
        <v>435</v>
      </c>
      <c r="AG261" s="64"/>
      <c r="AJ261" s="68"/>
      <c r="AK261" s="68">
        <v>0</v>
      </c>
      <c r="BB261" s="328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42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44"/>
      <c r="P262" s="646" t="s">
        <v>71</v>
      </c>
      <c r="Q262" s="647"/>
      <c r="R262" s="647"/>
      <c r="S262" s="647"/>
      <c r="T262" s="647"/>
      <c r="U262" s="647"/>
      <c r="V262" s="648"/>
      <c r="W262" s="37" t="s">
        <v>72</v>
      </c>
      <c r="X262" s="631">
        <f>IFERROR(X260/H260,"0")+IFERROR(X261/H261,"0")</f>
        <v>0</v>
      </c>
      <c r="Y262" s="631">
        <f>IFERROR(Y260/H260,"0")+IFERROR(Y261/H261,"0")</f>
        <v>0</v>
      </c>
      <c r="Z262" s="631">
        <f>IFERROR(IF(Z260="",0,Z260),"0")+IFERROR(IF(Z261="",0,Z261),"0")</f>
        <v>0</v>
      </c>
      <c r="AA262" s="632"/>
      <c r="AB262" s="632"/>
      <c r="AC262" s="632"/>
    </row>
    <row r="263" spans="1:68" hidden="1" x14ac:dyDescent="0.2">
      <c r="A263" s="643"/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4"/>
      <c r="P263" s="646" t="s">
        <v>71</v>
      </c>
      <c r="Q263" s="647"/>
      <c r="R263" s="647"/>
      <c r="S263" s="647"/>
      <c r="T263" s="647"/>
      <c r="U263" s="647"/>
      <c r="V263" s="648"/>
      <c r="W263" s="37" t="s">
        <v>66</v>
      </c>
      <c r="X263" s="631">
        <f>IFERROR(SUM(X260:X261),"0")</f>
        <v>0</v>
      </c>
      <c r="Y263" s="631">
        <f>IFERROR(SUM(Y260:Y261),"0")</f>
        <v>0</v>
      </c>
      <c r="Z263" s="37"/>
      <c r="AA263" s="632"/>
      <c r="AB263" s="632"/>
      <c r="AC263" s="632"/>
    </row>
    <row r="264" spans="1:68" ht="14.25" hidden="1" customHeight="1" x14ac:dyDescent="0.25">
      <c r="A264" s="653" t="s">
        <v>61</v>
      </c>
      <c r="B264" s="643"/>
      <c r="C264" s="643"/>
      <c r="D264" s="643"/>
      <c r="E264" s="643"/>
      <c r="F264" s="643"/>
      <c r="G264" s="643"/>
      <c r="H264" s="643"/>
      <c r="I264" s="643"/>
      <c r="J264" s="643"/>
      <c r="K264" s="643"/>
      <c r="L264" s="643"/>
      <c r="M264" s="643"/>
      <c r="N264" s="643"/>
      <c r="O264" s="643"/>
      <c r="P264" s="643"/>
      <c r="Q264" s="643"/>
      <c r="R264" s="643"/>
      <c r="S264" s="643"/>
      <c r="T264" s="643"/>
      <c r="U264" s="643"/>
      <c r="V264" s="643"/>
      <c r="W264" s="643"/>
      <c r="X264" s="643"/>
      <c r="Y264" s="643"/>
      <c r="Z264" s="643"/>
      <c r="AA264" s="625"/>
      <c r="AB264" s="625"/>
      <c r="AC264" s="625"/>
    </row>
    <row r="265" spans="1:68" ht="27" customHeight="1" x14ac:dyDescent="0.25">
      <c r="A265" s="54" t="s">
        <v>438</v>
      </c>
      <c r="B265" s="54" t="s">
        <v>439</v>
      </c>
      <c r="C265" s="31">
        <v>4301031224</v>
      </c>
      <c r="D265" s="633">
        <v>4680115882683</v>
      </c>
      <c r="E265" s="634"/>
      <c r="F265" s="628">
        <v>0.9</v>
      </c>
      <c r="G265" s="32">
        <v>6</v>
      </c>
      <c r="H265" s="628">
        <v>5.4</v>
      </c>
      <c r="I265" s="628">
        <v>5.59</v>
      </c>
      <c r="J265" s="32">
        <v>132</v>
      </c>
      <c r="K265" s="32" t="s">
        <v>124</v>
      </c>
      <c r="L265" s="32"/>
      <c r="M265" s="33" t="s">
        <v>65</v>
      </c>
      <c r="N265" s="33"/>
      <c r="O265" s="32">
        <v>40</v>
      </c>
      <c r="P265" s="70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36"/>
      <c r="R265" s="636"/>
      <c r="S265" s="636"/>
      <c r="T265" s="637"/>
      <c r="U265" s="34"/>
      <c r="V265" s="34"/>
      <c r="W265" s="35" t="s">
        <v>66</v>
      </c>
      <c r="X265" s="629">
        <v>70</v>
      </c>
      <c r="Y265" s="630">
        <f t="shared" ref="Y265:Y272" si="39">IFERROR(IF(X265="",0,CEILING((X265/$H265),1)*$H265),"")</f>
        <v>70.2</v>
      </c>
      <c r="Z265" s="36">
        <f>IFERROR(IF(Y265=0,"",ROUNDUP(Y265/H265,0)*0.00902),"")</f>
        <v>0.11726</v>
      </c>
      <c r="AA265" s="56"/>
      <c r="AB265" s="57"/>
      <c r="AC265" s="329" t="s">
        <v>440</v>
      </c>
      <c r="AG265" s="64"/>
      <c r="AJ265" s="68"/>
      <c r="AK265" s="68">
        <v>0</v>
      </c>
      <c r="BB265" s="330" t="s">
        <v>1</v>
      </c>
      <c r="BM265" s="64">
        <f t="shared" ref="BM265:BM272" si="40">IFERROR(X265*I265/H265,"0")</f>
        <v>72.462962962962962</v>
      </c>
      <c r="BN265" s="64">
        <f t="shared" ref="BN265:BN272" si="41">IFERROR(Y265*I265/H265,"0")</f>
        <v>72.67</v>
      </c>
      <c r="BO265" s="64">
        <f t="shared" ref="BO265:BO272" si="42">IFERROR(1/J265*(X265/H265),"0")</f>
        <v>9.8204264870931535E-2</v>
      </c>
      <c r="BP265" s="64">
        <f t="shared" ref="BP265:BP272" si="43">IFERROR(1/J265*(Y265/H265),"0")</f>
        <v>9.8484848484848481E-2</v>
      </c>
    </row>
    <row r="266" spans="1:68" ht="27" customHeight="1" x14ac:dyDescent="0.25">
      <c r="A266" s="54" t="s">
        <v>441</v>
      </c>
      <c r="B266" s="54" t="s">
        <v>442</v>
      </c>
      <c r="C266" s="31">
        <v>4301031230</v>
      </c>
      <c r="D266" s="633">
        <v>4680115882690</v>
      </c>
      <c r="E266" s="634"/>
      <c r="F266" s="628">
        <v>0.9</v>
      </c>
      <c r="G266" s="32">
        <v>6</v>
      </c>
      <c r="H266" s="628">
        <v>5.4</v>
      </c>
      <c r="I266" s="628">
        <v>5.59</v>
      </c>
      <c r="J266" s="32">
        <v>132</v>
      </c>
      <c r="K266" s="32" t="s">
        <v>124</v>
      </c>
      <c r="L266" s="32"/>
      <c r="M266" s="33" t="s">
        <v>65</v>
      </c>
      <c r="N266" s="33"/>
      <c r="O266" s="32">
        <v>40</v>
      </c>
      <c r="P266" s="71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36"/>
      <c r="R266" s="636"/>
      <c r="S266" s="636"/>
      <c r="T266" s="637"/>
      <c r="U266" s="34"/>
      <c r="V266" s="34"/>
      <c r="W266" s="35" t="s">
        <v>66</v>
      </c>
      <c r="X266" s="629">
        <v>49</v>
      </c>
      <c r="Y266" s="630">
        <f t="shared" si="39"/>
        <v>54</v>
      </c>
      <c r="Z266" s="36">
        <f>IFERROR(IF(Y266=0,"",ROUNDUP(Y266/H266,0)*0.00902),"")</f>
        <v>9.0200000000000002E-2</v>
      </c>
      <c r="AA266" s="56"/>
      <c r="AB266" s="57"/>
      <c r="AC266" s="331" t="s">
        <v>443</v>
      </c>
      <c r="AG266" s="64"/>
      <c r="AJ266" s="68"/>
      <c r="AK266" s="68">
        <v>0</v>
      </c>
      <c r="BB266" s="332" t="s">
        <v>1</v>
      </c>
      <c r="BM266" s="64">
        <f t="shared" si="40"/>
        <v>50.724074074074068</v>
      </c>
      <c r="BN266" s="64">
        <f t="shared" si="41"/>
        <v>55.9</v>
      </c>
      <c r="BO266" s="64">
        <f t="shared" si="42"/>
        <v>6.8742985409652069E-2</v>
      </c>
      <c r="BP266" s="64">
        <f t="shared" si="43"/>
        <v>7.575757575757576E-2</v>
      </c>
    </row>
    <row r="267" spans="1:68" ht="27" customHeight="1" x14ac:dyDescent="0.25">
      <c r="A267" s="54" t="s">
        <v>444</v>
      </c>
      <c r="B267" s="54" t="s">
        <v>445</v>
      </c>
      <c r="C267" s="31">
        <v>4301031220</v>
      </c>
      <c r="D267" s="633">
        <v>4680115882669</v>
      </c>
      <c r="E267" s="634"/>
      <c r="F267" s="628">
        <v>0.9</v>
      </c>
      <c r="G267" s="32">
        <v>6</v>
      </c>
      <c r="H267" s="628">
        <v>5.4</v>
      </c>
      <c r="I267" s="628">
        <v>5.59</v>
      </c>
      <c r="J267" s="32">
        <v>132</v>
      </c>
      <c r="K267" s="32" t="s">
        <v>124</v>
      </c>
      <c r="L267" s="32"/>
      <c r="M267" s="33" t="s">
        <v>65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36"/>
      <c r="R267" s="636"/>
      <c r="S267" s="636"/>
      <c r="T267" s="637"/>
      <c r="U267" s="34"/>
      <c r="V267" s="34"/>
      <c r="W267" s="35" t="s">
        <v>66</v>
      </c>
      <c r="X267" s="629">
        <v>280</v>
      </c>
      <c r="Y267" s="630">
        <f t="shared" si="39"/>
        <v>280.8</v>
      </c>
      <c r="Z267" s="36">
        <f>IFERROR(IF(Y267=0,"",ROUNDUP(Y267/H267,0)*0.00902),"")</f>
        <v>0.46904000000000001</v>
      </c>
      <c r="AA267" s="56"/>
      <c r="AB267" s="57"/>
      <c r="AC267" s="333" t="s">
        <v>446</v>
      </c>
      <c r="AG267" s="64"/>
      <c r="AJ267" s="68"/>
      <c r="AK267" s="68">
        <v>0</v>
      </c>
      <c r="BB267" s="334" t="s">
        <v>1</v>
      </c>
      <c r="BM267" s="64">
        <f t="shared" si="40"/>
        <v>289.85185185185185</v>
      </c>
      <c r="BN267" s="64">
        <f t="shared" si="41"/>
        <v>290.68</v>
      </c>
      <c r="BO267" s="64">
        <f t="shared" si="42"/>
        <v>0.39281705948372614</v>
      </c>
      <c r="BP267" s="64">
        <f t="shared" si="43"/>
        <v>0.39393939393939392</v>
      </c>
    </row>
    <row r="268" spans="1:68" ht="27" customHeight="1" x14ac:dyDescent="0.25">
      <c r="A268" s="54" t="s">
        <v>447</v>
      </c>
      <c r="B268" s="54" t="s">
        <v>448</v>
      </c>
      <c r="C268" s="31">
        <v>4301031221</v>
      </c>
      <c r="D268" s="633">
        <v>4680115882676</v>
      </c>
      <c r="E268" s="634"/>
      <c r="F268" s="628">
        <v>0.9</v>
      </c>
      <c r="G268" s="32">
        <v>6</v>
      </c>
      <c r="H268" s="628">
        <v>5.4</v>
      </c>
      <c r="I268" s="628">
        <v>5.59</v>
      </c>
      <c r="J268" s="32">
        <v>132</v>
      </c>
      <c r="K268" s="32" t="s">
        <v>124</v>
      </c>
      <c r="L268" s="32"/>
      <c r="M268" s="33" t="s">
        <v>65</v>
      </c>
      <c r="N268" s="33"/>
      <c r="O268" s="32">
        <v>40</v>
      </c>
      <c r="P268" s="73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36"/>
      <c r="R268" s="636"/>
      <c r="S268" s="636"/>
      <c r="T268" s="637"/>
      <c r="U268" s="34"/>
      <c r="V268" s="34"/>
      <c r="W268" s="35" t="s">
        <v>66</v>
      </c>
      <c r="X268" s="629">
        <v>70</v>
      </c>
      <c r="Y268" s="630">
        <f t="shared" si="39"/>
        <v>70.2</v>
      </c>
      <c r="Z268" s="36">
        <f>IFERROR(IF(Y268=0,"",ROUNDUP(Y268/H268,0)*0.00902),"")</f>
        <v>0.11726</v>
      </c>
      <c r="AA268" s="56"/>
      <c r="AB268" s="57"/>
      <c r="AC268" s="335" t="s">
        <v>449</v>
      </c>
      <c r="AG268" s="64"/>
      <c r="AJ268" s="68"/>
      <c r="AK268" s="68">
        <v>0</v>
      </c>
      <c r="BB268" s="336" t="s">
        <v>1</v>
      </c>
      <c r="BM268" s="64">
        <f t="shared" si="40"/>
        <v>72.462962962962962</v>
      </c>
      <c r="BN268" s="64">
        <f t="shared" si="41"/>
        <v>72.67</v>
      </c>
      <c r="BO268" s="64">
        <f t="shared" si="42"/>
        <v>9.8204264870931535E-2</v>
      </c>
      <c r="BP268" s="64">
        <f t="shared" si="43"/>
        <v>9.8484848484848481E-2</v>
      </c>
    </row>
    <row r="269" spans="1:68" ht="27" customHeight="1" x14ac:dyDescent="0.25">
      <c r="A269" s="54" t="s">
        <v>450</v>
      </c>
      <c r="B269" s="54" t="s">
        <v>451</v>
      </c>
      <c r="C269" s="31">
        <v>4301031223</v>
      </c>
      <c r="D269" s="633">
        <v>4680115884014</v>
      </c>
      <c r="E269" s="634"/>
      <c r="F269" s="628">
        <v>0.3</v>
      </c>
      <c r="G269" s="32">
        <v>6</v>
      </c>
      <c r="H269" s="628">
        <v>1.8</v>
      </c>
      <c r="I269" s="628">
        <v>1.93</v>
      </c>
      <c r="J269" s="32">
        <v>234</v>
      </c>
      <c r="K269" s="32" t="s">
        <v>64</v>
      </c>
      <c r="L269" s="32"/>
      <c r="M269" s="33" t="s">
        <v>65</v>
      </c>
      <c r="N269" s="33"/>
      <c r="O269" s="32">
        <v>40</v>
      </c>
      <c r="P269" s="90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36"/>
      <c r="R269" s="636"/>
      <c r="S269" s="636"/>
      <c r="T269" s="637"/>
      <c r="U269" s="34"/>
      <c r="V269" s="34"/>
      <c r="W269" s="35" t="s">
        <v>66</v>
      </c>
      <c r="X269" s="629">
        <v>25</v>
      </c>
      <c r="Y269" s="630">
        <f t="shared" si="39"/>
        <v>25.2</v>
      </c>
      <c r="Z269" s="36">
        <f>IFERROR(IF(Y269=0,"",ROUNDUP(Y269/H269,0)*0.00502),"")</f>
        <v>7.0280000000000009E-2</v>
      </c>
      <c r="AA269" s="56"/>
      <c r="AB269" s="57"/>
      <c r="AC269" s="337" t="s">
        <v>440</v>
      </c>
      <c r="AG269" s="64"/>
      <c r="AJ269" s="68"/>
      <c r="AK269" s="68">
        <v>0</v>
      </c>
      <c r="BB269" s="338" t="s">
        <v>1</v>
      </c>
      <c r="BM269" s="64">
        <f t="shared" si="40"/>
        <v>26.805555555555554</v>
      </c>
      <c r="BN269" s="64">
        <f t="shared" si="41"/>
        <v>27.019999999999996</v>
      </c>
      <c r="BO269" s="64">
        <f t="shared" si="42"/>
        <v>5.9354226020892693E-2</v>
      </c>
      <c r="BP269" s="64">
        <f t="shared" si="43"/>
        <v>5.9829059829059839E-2</v>
      </c>
    </row>
    <row r="270" spans="1:68" ht="27" customHeight="1" x14ac:dyDescent="0.25">
      <c r="A270" s="54" t="s">
        <v>452</v>
      </c>
      <c r="B270" s="54" t="s">
        <v>453</v>
      </c>
      <c r="C270" s="31">
        <v>4301031222</v>
      </c>
      <c r="D270" s="633">
        <v>4680115884007</v>
      </c>
      <c r="E270" s="634"/>
      <c r="F270" s="628">
        <v>0.3</v>
      </c>
      <c r="G270" s="32">
        <v>6</v>
      </c>
      <c r="H270" s="628">
        <v>1.8</v>
      </c>
      <c r="I270" s="628">
        <v>1.9</v>
      </c>
      <c r="J270" s="32">
        <v>234</v>
      </c>
      <c r="K270" s="32" t="s">
        <v>64</v>
      </c>
      <c r="L270" s="32"/>
      <c r="M270" s="33" t="s">
        <v>65</v>
      </c>
      <c r="N270" s="33"/>
      <c r="O270" s="32">
        <v>40</v>
      </c>
      <c r="P270" s="92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36"/>
      <c r="R270" s="636"/>
      <c r="S270" s="636"/>
      <c r="T270" s="637"/>
      <c r="U270" s="34"/>
      <c r="V270" s="34"/>
      <c r="W270" s="35" t="s">
        <v>66</v>
      </c>
      <c r="X270" s="629">
        <v>15</v>
      </c>
      <c r="Y270" s="630">
        <f t="shared" si="39"/>
        <v>16.2</v>
      </c>
      <c r="Z270" s="36">
        <f>IFERROR(IF(Y270=0,"",ROUNDUP(Y270/H270,0)*0.00502),"")</f>
        <v>4.5179999999999998E-2</v>
      </c>
      <c r="AA270" s="56"/>
      <c r="AB270" s="57"/>
      <c r="AC270" s="339" t="s">
        <v>443</v>
      </c>
      <c r="AG270" s="64"/>
      <c r="AJ270" s="68"/>
      <c r="AK270" s="68">
        <v>0</v>
      </c>
      <c r="BB270" s="340" t="s">
        <v>1</v>
      </c>
      <c r="BM270" s="64">
        <f t="shared" si="40"/>
        <v>15.833333333333332</v>
      </c>
      <c r="BN270" s="64">
        <f t="shared" si="41"/>
        <v>17.099999999999998</v>
      </c>
      <c r="BO270" s="64">
        <f t="shared" si="42"/>
        <v>3.561253561253562E-2</v>
      </c>
      <c r="BP270" s="64">
        <f t="shared" si="43"/>
        <v>3.8461538461538464E-2</v>
      </c>
    </row>
    <row r="271" spans="1:68" ht="27" hidden="1" customHeight="1" x14ac:dyDescent="0.25">
      <c r="A271" s="54" t="s">
        <v>454</v>
      </c>
      <c r="B271" s="54" t="s">
        <v>455</v>
      </c>
      <c r="C271" s="31">
        <v>4301031229</v>
      </c>
      <c r="D271" s="633">
        <v>4680115884038</v>
      </c>
      <c r="E271" s="634"/>
      <c r="F271" s="628">
        <v>0.3</v>
      </c>
      <c r="G271" s="32">
        <v>6</v>
      </c>
      <c r="H271" s="628">
        <v>1.8</v>
      </c>
      <c r="I271" s="628">
        <v>1.9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70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36"/>
      <c r="R271" s="636"/>
      <c r="S271" s="636"/>
      <c r="T271" s="637"/>
      <c r="U271" s="34"/>
      <c r="V271" s="34"/>
      <c r="W271" s="35" t="s">
        <v>66</v>
      </c>
      <c r="X271" s="629">
        <v>0</v>
      </c>
      <c r="Y271" s="630">
        <f t="shared" si="39"/>
        <v>0</v>
      </c>
      <c r="Z271" s="36" t="str">
        <f>IFERROR(IF(Y271=0,"",ROUNDUP(Y271/H271,0)*0.00502),"")</f>
        <v/>
      </c>
      <c r="AA271" s="56"/>
      <c r="AB271" s="57"/>
      <c r="AC271" s="341" t="s">
        <v>446</v>
      </c>
      <c r="AG271" s="64"/>
      <c r="AJ271" s="68"/>
      <c r="AK271" s="68">
        <v>0</v>
      </c>
      <c r="BB271" s="342" t="s">
        <v>1</v>
      </c>
      <c r="BM271" s="64">
        <f t="shared" si="40"/>
        <v>0</v>
      </c>
      <c r="BN271" s="64">
        <f t="shared" si="41"/>
        <v>0</v>
      </c>
      <c r="BO271" s="64">
        <f t="shared" si="42"/>
        <v>0</v>
      </c>
      <c r="BP271" s="64">
        <f t="shared" si="43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4301031225</v>
      </c>
      <c r="D272" s="633">
        <v>4680115884021</v>
      </c>
      <c r="E272" s="634"/>
      <c r="F272" s="628">
        <v>0.3</v>
      </c>
      <c r="G272" s="32">
        <v>6</v>
      </c>
      <c r="H272" s="628">
        <v>1.8</v>
      </c>
      <c r="I272" s="628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36"/>
      <c r="R272" s="636"/>
      <c r="S272" s="636"/>
      <c r="T272" s="637"/>
      <c r="U272" s="34"/>
      <c r="V272" s="34"/>
      <c r="W272" s="35" t="s">
        <v>66</v>
      </c>
      <c r="X272" s="629">
        <v>13</v>
      </c>
      <c r="Y272" s="630">
        <f t="shared" si="39"/>
        <v>14.4</v>
      </c>
      <c r="Z272" s="36">
        <f>IFERROR(IF(Y272=0,"",ROUNDUP(Y272/H272,0)*0.00502),"")</f>
        <v>4.0160000000000001E-2</v>
      </c>
      <c r="AA272" s="56"/>
      <c r="AB272" s="57"/>
      <c r="AC272" s="343" t="s">
        <v>449</v>
      </c>
      <c r="AG272" s="64"/>
      <c r="AJ272" s="68"/>
      <c r="AK272" s="68">
        <v>0</v>
      </c>
      <c r="BB272" s="344" t="s">
        <v>1</v>
      </c>
      <c r="BM272" s="64">
        <f t="shared" si="40"/>
        <v>13.722222222222221</v>
      </c>
      <c r="BN272" s="64">
        <f t="shared" si="41"/>
        <v>15.2</v>
      </c>
      <c r="BO272" s="64">
        <f t="shared" si="42"/>
        <v>3.0864197530864203E-2</v>
      </c>
      <c r="BP272" s="64">
        <f t="shared" si="43"/>
        <v>3.4188034188034191E-2</v>
      </c>
    </row>
    <row r="273" spans="1:68" x14ac:dyDescent="0.2">
      <c r="A273" s="642"/>
      <c r="B273" s="643"/>
      <c r="C273" s="643"/>
      <c r="D273" s="643"/>
      <c r="E273" s="643"/>
      <c r="F273" s="643"/>
      <c r="G273" s="643"/>
      <c r="H273" s="643"/>
      <c r="I273" s="643"/>
      <c r="J273" s="643"/>
      <c r="K273" s="643"/>
      <c r="L273" s="643"/>
      <c r="M273" s="643"/>
      <c r="N273" s="643"/>
      <c r="O273" s="644"/>
      <c r="P273" s="646" t="s">
        <v>71</v>
      </c>
      <c r="Q273" s="647"/>
      <c r="R273" s="647"/>
      <c r="S273" s="647"/>
      <c r="T273" s="647"/>
      <c r="U273" s="647"/>
      <c r="V273" s="648"/>
      <c r="W273" s="37" t="s">
        <v>72</v>
      </c>
      <c r="X273" s="631">
        <f>IFERROR(X265/H265,"0")+IFERROR(X266/H266,"0")+IFERROR(X267/H267,"0")+IFERROR(X268/H268,"0")+IFERROR(X269/H269,"0")+IFERROR(X270/H270,"0")+IFERROR(X271/H271,"0")+IFERROR(X272/H272,"0")</f>
        <v>116.29629629629629</v>
      </c>
      <c r="Y273" s="631">
        <f>IFERROR(Y265/H265,"0")+IFERROR(Y266/H266,"0")+IFERROR(Y267/H267,"0")+IFERROR(Y268/H268,"0")+IFERROR(Y269/H269,"0")+IFERROR(Y270/H270,"0")+IFERROR(Y271/H271,"0")+IFERROR(Y272/H272,"0")</f>
        <v>119</v>
      </c>
      <c r="Z273" s="631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0.94938</v>
      </c>
      <c r="AA273" s="632"/>
      <c r="AB273" s="632"/>
      <c r="AC273" s="632"/>
    </row>
    <row r="274" spans="1:68" x14ac:dyDescent="0.2">
      <c r="A274" s="643"/>
      <c r="B274" s="643"/>
      <c r="C274" s="643"/>
      <c r="D274" s="643"/>
      <c r="E274" s="643"/>
      <c r="F274" s="643"/>
      <c r="G274" s="643"/>
      <c r="H274" s="643"/>
      <c r="I274" s="643"/>
      <c r="J274" s="643"/>
      <c r="K274" s="643"/>
      <c r="L274" s="643"/>
      <c r="M274" s="643"/>
      <c r="N274" s="643"/>
      <c r="O274" s="644"/>
      <c r="P274" s="646" t="s">
        <v>71</v>
      </c>
      <c r="Q274" s="647"/>
      <c r="R274" s="647"/>
      <c r="S274" s="647"/>
      <c r="T274" s="647"/>
      <c r="U274" s="647"/>
      <c r="V274" s="648"/>
      <c r="W274" s="37" t="s">
        <v>66</v>
      </c>
      <c r="X274" s="631">
        <f>IFERROR(SUM(X265:X272),"0")</f>
        <v>522</v>
      </c>
      <c r="Y274" s="631">
        <f>IFERROR(SUM(Y265:Y272),"0")</f>
        <v>531</v>
      </c>
      <c r="Z274" s="37"/>
      <c r="AA274" s="632"/>
      <c r="AB274" s="632"/>
      <c r="AC274" s="632"/>
    </row>
    <row r="275" spans="1:68" ht="14.25" hidden="1" customHeight="1" x14ac:dyDescent="0.25">
      <c r="A275" s="653" t="s">
        <v>73</v>
      </c>
      <c r="B275" s="643"/>
      <c r="C275" s="643"/>
      <c r="D275" s="643"/>
      <c r="E275" s="643"/>
      <c r="F275" s="643"/>
      <c r="G275" s="643"/>
      <c r="H275" s="643"/>
      <c r="I275" s="643"/>
      <c r="J275" s="643"/>
      <c r="K275" s="643"/>
      <c r="L275" s="643"/>
      <c r="M275" s="643"/>
      <c r="N275" s="643"/>
      <c r="O275" s="643"/>
      <c r="P275" s="643"/>
      <c r="Q275" s="643"/>
      <c r="R275" s="643"/>
      <c r="S275" s="643"/>
      <c r="T275" s="643"/>
      <c r="U275" s="643"/>
      <c r="V275" s="643"/>
      <c r="W275" s="643"/>
      <c r="X275" s="643"/>
      <c r="Y275" s="643"/>
      <c r="Z275" s="643"/>
      <c r="AA275" s="625"/>
      <c r="AB275" s="625"/>
      <c r="AC275" s="625"/>
    </row>
    <row r="276" spans="1:68" ht="27" customHeight="1" x14ac:dyDescent="0.25">
      <c r="A276" s="54" t="s">
        <v>458</v>
      </c>
      <c r="B276" s="54" t="s">
        <v>459</v>
      </c>
      <c r="C276" s="31">
        <v>4301051408</v>
      </c>
      <c r="D276" s="633">
        <v>4680115881594</v>
      </c>
      <c r="E276" s="634"/>
      <c r="F276" s="628">
        <v>1.35</v>
      </c>
      <c r="G276" s="32">
        <v>6</v>
      </c>
      <c r="H276" s="628">
        <v>8.1</v>
      </c>
      <c r="I276" s="628">
        <v>8.5939999999999994</v>
      </c>
      <c r="J276" s="32">
        <v>64</v>
      </c>
      <c r="K276" s="32" t="s">
        <v>115</v>
      </c>
      <c r="L276" s="32"/>
      <c r="M276" s="33" t="s">
        <v>77</v>
      </c>
      <c r="N276" s="33"/>
      <c r="O276" s="32">
        <v>40</v>
      </c>
      <c r="P276" s="9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636"/>
      <c r="R276" s="636"/>
      <c r="S276" s="636"/>
      <c r="T276" s="637"/>
      <c r="U276" s="34"/>
      <c r="V276" s="34"/>
      <c r="W276" s="35" t="s">
        <v>66</v>
      </c>
      <c r="X276" s="629">
        <v>105</v>
      </c>
      <c r="Y276" s="630">
        <f t="shared" ref="Y276:Y287" si="44">IFERROR(IF(X276="",0,CEILING((X276/$H276),1)*$H276),"")</f>
        <v>105.3</v>
      </c>
      <c r="Z276" s="36">
        <f>IFERROR(IF(Y276=0,"",ROUNDUP(Y276/H276,0)*0.01898),"")</f>
        <v>0.24674000000000001</v>
      </c>
      <c r="AA276" s="56"/>
      <c r="AB276" s="57"/>
      <c r="AC276" s="345" t="s">
        <v>460</v>
      </c>
      <c r="AG276" s="64"/>
      <c r="AJ276" s="68"/>
      <c r="AK276" s="68">
        <v>0</v>
      </c>
      <c r="BB276" s="346" t="s">
        <v>1</v>
      </c>
      <c r="BM276" s="64">
        <f t="shared" ref="BM276:BM287" si="45">IFERROR(X276*I276/H276,"0")</f>
        <v>111.4037037037037</v>
      </c>
      <c r="BN276" s="64">
        <f t="shared" ref="BN276:BN287" si="46">IFERROR(Y276*I276/H276,"0")</f>
        <v>111.72199999999999</v>
      </c>
      <c r="BO276" s="64">
        <f t="shared" ref="BO276:BO287" si="47">IFERROR(1/J276*(X276/H276),"0")</f>
        <v>0.20254629629629631</v>
      </c>
      <c r="BP276" s="64">
        <f t="shared" ref="BP276:BP287" si="48">IFERROR(1/J276*(Y276/H276),"0")</f>
        <v>0.203125</v>
      </c>
    </row>
    <row r="277" spans="1:68" ht="27" customHeight="1" x14ac:dyDescent="0.25">
      <c r="A277" s="54" t="s">
        <v>461</v>
      </c>
      <c r="B277" s="54" t="s">
        <v>462</v>
      </c>
      <c r="C277" s="31">
        <v>4301051411</v>
      </c>
      <c r="D277" s="633">
        <v>4680115881617</v>
      </c>
      <c r="E277" s="634"/>
      <c r="F277" s="628">
        <v>1.35</v>
      </c>
      <c r="G277" s="32">
        <v>6</v>
      </c>
      <c r="H277" s="628">
        <v>8.1</v>
      </c>
      <c r="I277" s="628">
        <v>8.5760000000000005</v>
      </c>
      <c r="J277" s="32">
        <v>64</v>
      </c>
      <c r="K277" s="32" t="s">
        <v>115</v>
      </c>
      <c r="L277" s="32"/>
      <c r="M277" s="33" t="s">
        <v>77</v>
      </c>
      <c r="N277" s="33"/>
      <c r="O277" s="32">
        <v>40</v>
      </c>
      <c r="P277" s="80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636"/>
      <c r="R277" s="636"/>
      <c r="S277" s="636"/>
      <c r="T277" s="637"/>
      <c r="U277" s="34"/>
      <c r="V277" s="34"/>
      <c r="W277" s="35" t="s">
        <v>66</v>
      </c>
      <c r="X277" s="629">
        <v>172</v>
      </c>
      <c r="Y277" s="630">
        <f t="shared" si="44"/>
        <v>178.2</v>
      </c>
      <c r="Z277" s="36">
        <f>IFERROR(IF(Y277=0,"",ROUNDUP(Y277/H277,0)*0.01898),"")</f>
        <v>0.41755999999999999</v>
      </c>
      <c r="AA277" s="56"/>
      <c r="AB277" s="57"/>
      <c r="AC277" s="347" t="s">
        <v>463</v>
      </c>
      <c r="AG277" s="64"/>
      <c r="AJ277" s="68"/>
      <c r="AK277" s="68">
        <v>0</v>
      </c>
      <c r="BB277" s="348" t="s">
        <v>1</v>
      </c>
      <c r="BM277" s="64">
        <f t="shared" si="45"/>
        <v>182.10765432098768</v>
      </c>
      <c r="BN277" s="64">
        <f t="shared" si="46"/>
        <v>188.672</v>
      </c>
      <c r="BO277" s="64">
        <f t="shared" si="47"/>
        <v>0.33179012345679015</v>
      </c>
      <c r="BP277" s="64">
        <f t="shared" si="48"/>
        <v>0.34375</v>
      </c>
    </row>
    <row r="278" spans="1:68" ht="27" customHeight="1" x14ac:dyDescent="0.25">
      <c r="A278" s="54" t="s">
        <v>464</v>
      </c>
      <c r="B278" s="54" t="s">
        <v>465</v>
      </c>
      <c r="C278" s="31">
        <v>4301051656</v>
      </c>
      <c r="D278" s="633">
        <v>4680115880573</v>
      </c>
      <c r="E278" s="634"/>
      <c r="F278" s="628">
        <v>1.45</v>
      </c>
      <c r="G278" s="32">
        <v>6</v>
      </c>
      <c r="H278" s="628">
        <v>8.6999999999999993</v>
      </c>
      <c r="I278" s="628">
        <v>9.1940000000000008</v>
      </c>
      <c r="J278" s="32">
        <v>64</v>
      </c>
      <c r="K278" s="32" t="s">
        <v>115</v>
      </c>
      <c r="L278" s="32"/>
      <c r="M278" s="33" t="s">
        <v>77</v>
      </c>
      <c r="N278" s="33"/>
      <c r="O278" s="32">
        <v>45</v>
      </c>
      <c r="P278" s="93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636"/>
      <c r="R278" s="636"/>
      <c r="S278" s="636"/>
      <c r="T278" s="637"/>
      <c r="U278" s="34"/>
      <c r="V278" s="34"/>
      <c r="W278" s="35" t="s">
        <v>66</v>
      </c>
      <c r="X278" s="629">
        <v>90</v>
      </c>
      <c r="Y278" s="630">
        <f t="shared" si="44"/>
        <v>95.699999999999989</v>
      </c>
      <c r="Z278" s="36">
        <f>IFERROR(IF(Y278=0,"",ROUNDUP(Y278/H278,0)*0.01898),"")</f>
        <v>0.20877999999999999</v>
      </c>
      <c r="AA278" s="56"/>
      <c r="AB278" s="57"/>
      <c r="AC278" s="349" t="s">
        <v>466</v>
      </c>
      <c r="AG278" s="64"/>
      <c r="AJ278" s="68"/>
      <c r="AK278" s="68">
        <v>0</v>
      </c>
      <c r="BB278" s="350" t="s">
        <v>1</v>
      </c>
      <c r="BM278" s="64">
        <f t="shared" si="45"/>
        <v>95.110344827586218</v>
      </c>
      <c r="BN278" s="64">
        <f t="shared" si="46"/>
        <v>101.134</v>
      </c>
      <c r="BO278" s="64">
        <f t="shared" si="47"/>
        <v>0.16163793103448276</v>
      </c>
      <c r="BP278" s="64">
        <f t="shared" si="48"/>
        <v>0.171875</v>
      </c>
    </row>
    <row r="279" spans="1:68" ht="27" hidden="1" customHeight="1" x14ac:dyDescent="0.25">
      <c r="A279" s="54" t="s">
        <v>467</v>
      </c>
      <c r="B279" s="54" t="s">
        <v>468</v>
      </c>
      <c r="C279" s="31">
        <v>4301051407</v>
      </c>
      <c r="D279" s="633">
        <v>4680115882195</v>
      </c>
      <c r="E279" s="634"/>
      <c r="F279" s="628">
        <v>0.4</v>
      </c>
      <c r="G279" s="32">
        <v>6</v>
      </c>
      <c r="H279" s="628">
        <v>2.4</v>
      </c>
      <c r="I279" s="628">
        <v>2.67</v>
      </c>
      <c r="J279" s="32">
        <v>182</v>
      </c>
      <c r="K279" s="32" t="s">
        <v>76</v>
      </c>
      <c r="L279" s="32"/>
      <c r="M279" s="33" t="s">
        <v>77</v>
      </c>
      <c r="N279" s="33"/>
      <c r="O279" s="32">
        <v>40</v>
      </c>
      <c r="P279" s="87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636"/>
      <c r="R279" s="636"/>
      <c r="S279" s="636"/>
      <c r="T279" s="637"/>
      <c r="U279" s="34"/>
      <c r="V279" s="34"/>
      <c r="W279" s="35" t="s">
        <v>66</v>
      </c>
      <c r="X279" s="629">
        <v>0</v>
      </c>
      <c r="Y279" s="630">
        <f t="shared" si="44"/>
        <v>0</v>
      </c>
      <c r="Z279" s="36" t="str">
        <f>IFERROR(IF(Y279=0,"",ROUNDUP(Y279/H279,0)*0.00651),"")</f>
        <v/>
      </c>
      <c r="AA279" s="56"/>
      <c r="AB279" s="57"/>
      <c r="AC279" s="351" t="s">
        <v>460</v>
      </c>
      <c r="AG279" s="64"/>
      <c r="AJ279" s="68"/>
      <c r="AK279" s="68">
        <v>0</v>
      </c>
      <c r="BB279" s="352" t="s">
        <v>1</v>
      </c>
      <c r="BM279" s="64">
        <f t="shared" si="45"/>
        <v>0</v>
      </c>
      <c r="BN279" s="64">
        <f t="shared" si="46"/>
        <v>0</v>
      </c>
      <c r="BO279" s="64">
        <f t="shared" si="47"/>
        <v>0</v>
      </c>
      <c r="BP279" s="64">
        <f t="shared" si="48"/>
        <v>0</v>
      </c>
    </row>
    <row r="280" spans="1:68" ht="27" hidden="1" customHeight="1" x14ac:dyDescent="0.25">
      <c r="A280" s="54" t="s">
        <v>469</v>
      </c>
      <c r="B280" s="54" t="s">
        <v>470</v>
      </c>
      <c r="C280" s="31">
        <v>4301051752</v>
      </c>
      <c r="D280" s="633">
        <v>4680115882607</v>
      </c>
      <c r="E280" s="634"/>
      <c r="F280" s="628">
        <v>0.3</v>
      </c>
      <c r="G280" s="32">
        <v>6</v>
      </c>
      <c r="H280" s="628">
        <v>1.8</v>
      </c>
      <c r="I280" s="628">
        <v>2.052</v>
      </c>
      <c r="J280" s="32">
        <v>182</v>
      </c>
      <c r="K280" s="32" t="s">
        <v>76</v>
      </c>
      <c r="L280" s="32"/>
      <c r="M280" s="33" t="s">
        <v>83</v>
      </c>
      <c r="N280" s="33"/>
      <c r="O280" s="32">
        <v>45</v>
      </c>
      <c r="P280" s="77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636"/>
      <c r="R280" s="636"/>
      <c r="S280" s="636"/>
      <c r="T280" s="637"/>
      <c r="U280" s="34"/>
      <c r="V280" s="34"/>
      <c r="W280" s="35" t="s">
        <v>66</v>
      </c>
      <c r="X280" s="629">
        <v>0</v>
      </c>
      <c r="Y280" s="630">
        <f t="shared" si="44"/>
        <v>0</v>
      </c>
      <c r="Z280" s="36" t="str">
        <f>IFERROR(IF(Y280=0,"",ROUNDUP(Y280/H280,0)*0.00651),"")</f>
        <v/>
      </c>
      <c r="AA280" s="56"/>
      <c r="AB280" s="57"/>
      <c r="AC280" s="353" t="s">
        <v>466</v>
      </c>
      <c r="AG280" s="64"/>
      <c r="AJ280" s="68"/>
      <c r="AK280" s="68">
        <v>0</v>
      </c>
      <c r="BB280" s="354" t="s">
        <v>1</v>
      </c>
      <c r="BM280" s="64">
        <f t="shared" si="45"/>
        <v>0</v>
      </c>
      <c r="BN280" s="64">
        <f t="shared" si="46"/>
        <v>0</v>
      </c>
      <c r="BO280" s="64">
        <f t="shared" si="47"/>
        <v>0</v>
      </c>
      <c r="BP280" s="64">
        <f t="shared" si="48"/>
        <v>0</v>
      </c>
    </row>
    <row r="281" spans="1:68" ht="27" hidden="1" customHeight="1" x14ac:dyDescent="0.25">
      <c r="A281" s="54" t="s">
        <v>471</v>
      </c>
      <c r="B281" s="54" t="s">
        <v>472</v>
      </c>
      <c r="C281" s="31">
        <v>4301052143</v>
      </c>
      <c r="D281" s="633">
        <v>4680115882607</v>
      </c>
      <c r="E281" s="634"/>
      <c r="F281" s="628">
        <v>0.3</v>
      </c>
      <c r="G281" s="32">
        <v>6</v>
      </c>
      <c r="H281" s="628">
        <v>1.8</v>
      </c>
      <c r="I281" s="628">
        <v>2.0619999999999998</v>
      </c>
      <c r="J281" s="32">
        <v>132</v>
      </c>
      <c r="K281" s="32" t="s">
        <v>124</v>
      </c>
      <c r="L281" s="32"/>
      <c r="M281" s="33" t="s">
        <v>77</v>
      </c>
      <c r="N281" s="33"/>
      <c r="O281" s="32">
        <v>45</v>
      </c>
      <c r="P281" s="7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636"/>
      <c r="R281" s="636"/>
      <c r="S281" s="636"/>
      <c r="T281" s="637"/>
      <c r="U281" s="34"/>
      <c r="V281" s="34"/>
      <c r="W281" s="35" t="s">
        <v>66</v>
      </c>
      <c r="X281" s="629">
        <v>0</v>
      </c>
      <c r="Y281" s="630">
        <f t="shared" si="44"/>
        <v>0</v>
      </c>
      <c r="Z281" s="36" t="str">
        <f>IFERROR(IF(Y281=0,"",ROUNDUP(Y281/H281,0)*0.00902),"")</f>
        <v/>
      </c>
      <c r="AA281" s="56"/>
      <c r="AB281" s="57"/>
      <c r="AC281" s="355" t="s">
        <v>473</v>
      </c>
      <c r="AG281" s="64"/>
      <c r="AJ281" s="68"/>
      <c r="AK281" s="68">
        <v>0</v>
      </c>
      <c r="BB281" s="356" t="s">
        <v>1</v>
      </c>
      <c r="BM281" s="64">
        <f t="shared" si="45"/>
        <v>0</v>
      </c>
      <c r="BN281" s="64">
        <f t="shared" si="46"/>
        <v>0</v>
      </c>
      <c r="BO281" s="64">
        <f t="shared" si="47"/>
        <v>0</v>
      </c>
      <c r="BP281" s="64">
        <f t="shared" si="48"/>
        <v>0</v>
      </c>
    </row>
    <row r="282" spans="1:68" ht="27" customHeight="1" x14ac:dyDescent="0.25">
      <c r="A282" s="54" t="s">
        <v>474</v>
      </c>
      <c r="B282" s="54" t="s">
        <v>475</v>
      </c>
      <c r="C282" s="31">
        <v>4301051666</v>
      </c>
      <c r="D282" s="633">
        <v>4680115880092</v>
      </c>
      <c r="E282" s="634"/>
      <c r="F282" s="628">
        <v>0.4</v>
      </c>
      <c r="G282" s="32">
        <v>6</v>
      </c>
      <c r="H282" s="628">
        <v>2.4</v>
      </c>
      <c r="I282" s="628">
        <v>2.6520000000000001</v>
      </c>
      <c r="J282" s="32">
        <v>182</v>
      </c>
      <c r="K282" s="32" t="s">
        <v>76</v>
      </c>
      <c r="L282" s="32"/>
      <c r="M282" s="33" t="s">
        <v>77</v>
      </c>
      <c r="N282" s="33"/>
      <c r="O282" s="32">
        <v>45</v>
      </c>
      <c r="P282" s="91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36"/>
      <c r="R282" s="636"/>
      <c r="S282" s="636"/>
      <c r="T282" s="637"/>
      <c r="U282" s="34"/>
      <c r="V282" s="34"/>
      <c r="W282" s="35" t="s">
        <v>66</v>
      </c>
      <c r="X282" s="629">
        <v>168</v>
      </c>
      <c r="Y282" s="630">
        <f t="shared" si="44"/>
        <v>168</v>
      </c>
      <c r="Z282" s="36">
        <f>IFERROR(IF(Y282=0,"",ROUNDUP(Y282/H282,0)*0.00651),"")</f>
        <v>0.45569999999999999</v>
      </c>
      <c r="AA282" s="56"/>
      <c r="AB282" s="57"/>
      <c r="AC282" s="357" t="s">
        <v>466</v>
      </c>
      <c r="AG282" s="64"/>
      <c r="AJ282" s="68"/>
      <c r="AK282" s="68">
        <v>0</v>
      </c>
      <c r="BB282" s="358" t="s">
        <v>1</v>
      </c>
      <c r="BM282" s="64">
        <f t="shared" si="45"/>
        <v>185.64000000000001</v>
      </c>
      <c r="BN282" s="64">
        <f t="shared" si="46"/>
        <v>185.64000000000001</v>
      </c>
      <c r="BO282" s="64">
        <f t="shared" si="47"/>
        <v>0.38461538461538464</v>
      </c>
      <c r="BP282" s="64">
        <f t="shared" si="48"/>
        <v>0.38461538461538464</v>
      </c>
    </row>
    <row r="283" spans="1:68" ht="27" hidden="1" customHeight="1" x14ac:dyDescent="0.25">
      <c r="A283" s="54" t="s">
        <v>476</v>
      </c>
      <c r="B283" s="54" t="s">
        <v>477</v>
      </c>
      <c r="C283" s="31">
        <v>4301052214</v>
      </c>
      <c r="D283" s="633">
        <v>4680115889064</v>
      </c>
      <c r="E283" s="634"/>
      <c r="F283" s="628">
        <v>0.7</v>
      </c>
      <c r="G283" s="32">
        <v>6</v>
      </c>
      <c r="H283" s="628">
        <v>4.2</v>
      </c>
      <c r="I283" s="628">
        <v>4.6159999999999997</v>
      </c>
      <c r="J283" s="32">
        <v>104</v>
      </c>
      <c r="K283" s="32" t="s">
        <v>115</v>
      </c>
      <c r="L283" s="32"/>
      <c r="M283" s="33" t="s">
        <v>77</v>
      </c>
      <c r="N283" s="33"/>
      <c r="O283" s="32">
        <v>45</v>
      </c>
      <c r="P283" s="80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36"/>
      <c r="R283" s="636"/>
      <c r="S283" s="636"/>
      <c r="T283" s="637"/>
      <c r="U283" s="34"/>
      <c r="V283" s="34"/>
      <c r="W283" s="35" t="s">
        <v>66</v>
      </c>
      <c r="X283" s="629">
        <v>0</v>
      </c>
      <c r="Y283" s="630">
        <f t="shared" si="44"/>
        <v>0</v>
      </c>
      <c r="Z283" s="36" t="str">
        <f>IFERROR(IF(Y283=0,"",ROUNDUP(Y283/H283,0)*0.01196),"")</f>
        <v/>
      </c>
      <c r="AA283" s="56"/>
      <c r="AB283" s="57"/>
      <c r="AC283" s="359" t="s">
        <v>473</v>
      </c>
      <c r="AG283" s="64"/>
      <c r="AJ283" s="68"/>
      <c r="AK283" s="68">
        <v>0</v>
      </c>
      <c r="BB283" s="360" t="s">
        <v>1</v>
      </c>
      <c r="BM283" s="64">
        <f t="shared" si="45"/>
        <v>0</v>
      </c>
      <c r="BN283" s="64">
        <f t="shared" si="46"/>
        <v>0</v>
      </c>
      <c r="BO283" s="64">
        <f t="shared" si="47"/>
        <v>0</v>
      </c>
      <c r="BP283" s="64">
        <f t="shared" si="48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4301051668</v>
      </c>
      <c r="D284" s="633">
        <v>4680115880221</v>
      </c>
      <c r="E284" s="634"/>
      <c r="F284" s="628">
        <v>0.4</v>
      </c>
      <c r="G284" s="32">
        <v>6</v>
      </c>
      <c r="H284" s="628">
        <v>2.4</v>
      </c>
      <c r="I284" s="628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36"/>
      <c r="R284" s="636"/>
      <c r="S284" s="636"/>
      <c r="T284" s="637"/>
      <c r="U284" s="34"/>
      <c r="V284" s="34"/>
      <c r="W284" s="35" t="s">
        <v>66</v>
      </c>
      <c r="X284" s="629">
        <v>70</v>
      </c>
      <c r="Y284" s="630">
        <f t="shared" si="44"/>
        <v>72</v>
      </c>
      <c r="Z284" s="36">
        <f>IFERROR(IF(Y284=0,"",ROUNDUP(Y284/H284,0)*0.00651),"")</f>
        <v>0.1953</v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5"/>
        <v>77.350000000000009</v>
      </c>
      <c r="BN284" s="64">
        <f t="shared" si="46"/>
        <v>79.560000000000016</v>
      </c>
      <c r="BO284" s="64">
        <f t="shared" si="47"/>
        <v>0.16025641025641027</v>
      </c>
      <c r="BP284" s="64">
        <f t="shared" si="48"/>
        <v>0.16483516483516486</v>
      </c>
    </row>
    <row r="285" spans="1:68" ht="27" customHeight="1" x14ac:dyDescent="0.25">
      <c r="A285" s="54" t="s">
        <v>480</v>
      </c>
      <c r="B285" s="54" t="s">
        <v>481</v>
      </c>
      <c r="C285" s="31">
        <v>4301051945</v>
      </c>
      <c r="D285" s="633">
        <v>4680115880504</v>
      </c>
      <c r="E285" s="634"/>
      <c r="F285" s="628">
        <v>0.4</v>
      </c>
      <c r="G285" s="32">
        <v>6</v>
      </c>
      <c r="H285" s="628">
        <v>2.4</v>
      </c>
      <c r="I285" s="628">
        <v>2.6520000000000001</v>
      </c>
      <c r="J285" s="32">
        <v>182</v>
      </c>
      <c r="K285" s="32" t="s">
        <v>76</v>
      </c>
      <c r="L285" s="32"/>
      <c r="M285" s="33" t="s">
        <v>83</v>
      </c>
      <c r="N285" s="33"/>
      <c r="O285" s="32">
        <v>40</v>
      </c>
      <c r="P285" s="81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36"/>
      <c r="R285" s="636"/>
      <c r="S285" s="636"/>
      <c r="T285" s="637"/>
      <c r="U285" s="34"/>
      <c r="V285" s="34"/>
      <c r="W285" s="35" t="s">
        <v>66</v>
      </c>
      <c r="X285" s="629">
        <v>169</v>
      </c>
      <c r="Y285" s="630">
        <f t="shared" si="44"/>
        <v>170.4</v>
      </c>
      <c r="Z285" s="36">
        <f>IFERROR(IF(Y285=0,"",ROUNDUP(Y285/H285,0)*0.00651),"")</f>
        <v>0.46221000000000001</v>
      </c>
      <c r="AA285" s="56"/>
      <c r="AB285" s="57"/>
      <c r="AC285" s="363" t="s">
        <v>482</v>
      </c>
      <c r="AG285" s="64"/>
      <c r="AJ285" s="68"/>
      <c r="AK285" s="68">
        <v>0</v>
      </c>
      <c r="BB285" s="364" t="s">
        <v>1</v>
      </c>
      <c r="BM285" s="64">
        <f t="shared" si="45"/>
        <v>186.74500000000003</v>
      </c>
      <c r="BN285" s="64">
        <f t="shared" si="46"/>
        <v>188.29200000000003</v>
      </c>
      <c r="BO285" s="64">
        <f t="shared" si="47"/>
        <v>0.38690476190476197</v>
      </c>
      <c r="BP285" s="64">
        <f t="shared" si="48"/>
        <v>0.39010989010989017</v>
      </c>
    </row>
    <row r="286" spans="1:68" ht="27" customHeight="1" x14ac:dyDescent="0.25">
      <c r="A286" s="54" t="s">
        <v>483</v>
      </c>
      <c r="B286" s="54" t="s">
        <v>484</v>
      </c>
      <c r="C286" s="31">
        <v>4301051410</v>
      </c>
      <c r="D286" s="633">
        <v>4680115882164</v>
      </c>
      <c r="E286" s="634"/>
      <c r="F286" s="628">
        <v>0.4</v>
      </c>
      <c r="G286" s="32">
        <v>6</v>
      </c>
      <c r="H286" s="628">
        <v>2.4</v>
      </c>
      <c r="I286" s="628">
        <v>2.6579999999999999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40</v>
      </c>
      <c r="P286" s="75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66</v>
      </c>
      <c r="X286" s="629">
        <v>47</v>
      </c>
      <c r="Y286" s="630">
        <f t="shared" si="44"/>
        <v>48</v>
      </c>
      <c r="Z286" s="36">
        <f>IFERROR(IF(Y286=0,"",ROUNDUP(Y286/H286,0)*0.00651),"")</f>
        <v>0.13020000000000001</v>
      </c>
      <c r="AA286" s="56"/>
      <c r="AB286" s="57"/>
      <c r="AC286" s="365" t="s">
        <v>485</v>
      </c>
      <c r="AG286" s="64"/>
      <c r="AJ286" s="68"/>
      <c r="AK286" s="68">
        <v>0</v>
      </c>
      <c r="BB286" s="366" t="s">
        <v>1</v>
      </c>
      <c r="BM286" s="64">
        <f t="shared" si="45"/>
        <v>52.052500000000002</v>
      </c>
      <c r="BN286" s="64">
        <f t="shared" si="46"/>
        <v>53.160000000000004</v>
      </c>
      <c r="BO286" s="64">
        <f t="shared" si="47"/>
        <v>0.10760073260073262</v>
      </c>
      <c r="BP286" s="64">
        <f t="shared" si="48"/>
        <v>0.1098901098901099</v>
      </c>
    </row>
    <row r="287" spans="1:68" ht="27" hidden="1" customHeight="1" x14ac:dyDescent="0.25">
      <c r="A287" s="54" t="s">
        <v>486</v>
      </c>
      <c r="B287" s="54" t="s">
        <v>487</v>
      </c>
      <c r="C287" s="31">
        <v>4301052180</v>
      </c>
      <c r="D287" s="633">
        <v>4680115888340</v>
      </c>
      <c r="E287" s="634"/>
      <c r="F287" s="628">
        <v>0.4</v>
      </c>
      <c r="G287" s="32">
        <v>6</v>
      </c>
      <c r="H287" s="628">
        <v>2.4</v>
      </c>
      <c r="I287" s="628">
        <v>2.6520000000000001</v>
      </c>
      <c r="J287" s="32">
        <v>182</v>
      </c>
      <c r="K287" s="32" t="s">
        <v>76</v>
      </c>
      <c r="L287" s="32"/>
      <c r="M287" s="33" t="s">
        <v>77</v>
      </c>
      <c r="N287" s="33"/>
      <c r="O287" s="32">
        <v>45</v>
      </c>
      <c r="P287" s="75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36"/>
      <c r="R287" s="636"/>
      <c r="S287" s="636"/>
      <c r="T287" s="637"/>
      <c r="U287" s="34"/>
      <c r="V287" s="34"/>
      <c r="W287" s="35" t="s">
        <v>66</v>
      </c>
      <c r="X287" s="629">
        <v>0</v>
      </c>
      <c r="Y287" s="630">
        <f t="shared" si="44"/>
        <v>0</v>
      </c>
      <c r="Z287" s="36" t="str">
        <f>IFERROR(IF(Y287=0,"",ROUNDUP(Y287/H287,0)*0.00651),"")</f>
        <v/>
      </c>
      <c r="AA287" s="56"/>
      <c r="AB287" s="57"/>
      <c r="AC287" s="367" t="s">
        <v>488</v>
      </c>
      <c r="AG287" s="64"/>
      <c r="AJ287" s="68"/>
      <c r="AK287" s="68">
        <v>0</v>
      </c>
      <c r="BB287" s="368" t="s">
        <v>1</v>
      </c>
      <c r="BM287" s="64">
        <f t="shared" si="45"/>
        <v>0</v>
      </c>
      <c r="BN287" s="64">
        <f t="shared" si="46"/>
        <v>0</v>
      </c>
      <c r="BO287" s="64">
        <f t="shared" si="47"/>
        <v>0</v>
      </c>
      <c r="BP287" s="64">
        <f t="shared" si="48"/>
        <v>0</v>
      </c>
    </row>
    <row r="288" spans="1:68" x14ac:dyDescent="0.2">
      <c r="A288" s="642"/>
      <c r="B288" s="643"/>
      <c r="C288" s="643"/>
      <c r="D288" s="643"/>
      <c r="E288" s="643"/>
      <c r="F288" s="643"/>
      <c r="G288" s="643"/>
      <c r="H288" s="643"/>
      <c r="I288" s="643"/>
      <c r="J288" s="643"/>
      <c r="K288" s="643"/>
      <c r="L288" s="643"/>
      <c r="M288" s="643"/>
      <c r="N288" s="643"/>
      <c r="O288" s="644"/>
      <c r="P288" s="646" t="s">
        <v>71</v>
      </c>
      <c r="Q288" s="647"/>
      <c r="R288" s="647"/>
      <c r="S288" s="647"/>
      <c r="T288" s="647"/>
      <c r="U288" s="647"/>
      <c r="V288" s="648"/>
      <c r="W288" s="37" t="s">
        <v>72</v>
      </c>
      <c r="X288" s="631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233.70902511707109</v>
      </c>
      <c r="Y288" s="631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237</v>
      </c>
      <c r="Z288" s="631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2.1164900000000002</v>
      </c>
      <c r="AA288" s="632"/>
      <c r="AB288" s="632"/>
      <c r="AC288" s="632"/>
    </row>
    <row r="289" spans="1:68" x14ac:dyDescent="0.2">
      <c r="A289" s="643"/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4"/>
      <c r="P289" s="646" t="s">
        <v>71</v>
      </c>
      <c r="Q289" s="647"/>
      <c r="R289" s="647"/>
      <c r="S289" s="647"/>
      <c r="T289" s="647"/>
      <c r="U289" s="647"/>
      <c r="V289" s="648"/>
      <c r="W289" s="37" t="s">
        <v>66</v>
      </c>
      <c r="X289" s="631">
        <f>IFERROR(SUM(X276:X287),"0")</f>
        <v>821</v>
      </c>
      <c r="Y289" s="631">
        <f>IFERROR(SUM(Y276:Y287),"0")</f>
        <v>837.6</v>
      </c>
      <c r="Z289" s="37"/>
      <c r="AA289" s="632"/>
      <c r="AB289" s="632"/>
      <c r="AC289" s="632"/>
    </row>
    <row r="290" spans="1:68" ht="14.25" hidden="1" customHeight="1" x14ac:dyDescent="0.25">
      <c r="A290" s="653" t="s">
        <v>162</v>
      </c>
      <c r="B290" s="643"/>
      <c r="C290" s="643"/>
      <c r="D290" s="643"/>
      <c r="E290" s="643"/>
      <c r="F290" s="643"/>
      <c r="G290" s="643"/>
      <c r="H290" s="643"/>
      <c r="I290" s="643"/>
      <c r="J290" s="643"/>
      <c r="K290" s="643"/>
      <c r="L290" s="643"/>
      <c r="M290" s="643"/>
      <c r="N290" s="643"/>
      <c r="O290" s="643"/>
      <c r="P290" s="643"/>
      <c r="Q290" s="643"/>
      <c r="R290" s="643"/>
      <c r="S290" s="643"/>
      <c r="T290" s="643"/>
      <c r="U290" s="643"/>
      <c r="V290" s="643"/>
      <c r="W290" s="643"/>
      <c r="X290" s="643"/>
      <c r="Y290" s="643"/>
      <c r="Z290" s="643"/>
      <c r="AA290" s="625"/>
      <c r="AB290" s="625"/>
      <c r="AC290" s="625"/>
    </row>
    <row r="291" spans="1:68" ht="27" customHeight="1" x14ac:dyDescent="0.25">
      <c r="A291" s="54" t="s">
        <v>489</v>
      </c>
      <c r="B291" s="54" t="s">
        <v>490</v>
      </c>
      <c r="C291" s="31">
        <v>4301060463</v>
      </c>
      <c r="D291" s="633">
        <v>4680115880818</v>
      </c>
      <c r="E291" s="634"/>
      <c r="F291" s="628">
        <v>0.4</v>
      </c>
      <c r="G291" s="32">
        <v>6</v>
      </c>
      <c r="H291" s="628">
        <v>2.4</v>
      </c>
      <c r="I291" s="628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7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36"/>
      <c r="R291" s="636"/>
      <c r="S291" s="636"/>
      <c r="T291" s="637"/>
      <c r="U291" s="34"/>
      <c r="V291" s="34"/>
      <c r="W291" s="35" t="s">
        <v>66</v>
      </c>
      <c r="X291" s="629">
        <v>14</v>
      </c>
      <c r="Y291" s="630">
        <f>IFERROR(IF(X291="",0,CEILING((X291/$H291),1)*$H291),"")</f>
        <v>14.399999999999999</v>
      </c>
      <c r="Z291" s="36">
        <f>IFERROR(IF(Y291=0,"",ROUNDUP(Y291/H291,0)*0.00651),"")</f>
        <v>3.9059999999999997E-2</v>
      </c>
      <c r="AA291" s="56"/>
      <c r="AB291" s="57"/>
      <c r="AC291" s="369" t="s">
        <v>491</v>
      </c>
      <c r="AG291" s="64"/>
      <c r="AJ291" s="68"/>
      <c r="AK291" s="68">
        <v>0</v>
      </c>
      <c r="BB291" s="370" t="s">
        <v>1</v>
      </c>
      <c r="BM291" s="64">
        <f>IFERROR(X291*I291/H291,"0")</f>
        <v>15.47</v>
      </c>
      <c r="BN291" s="64">
        <f>IFERROR(Y291*I291/H291,"0")</f>
        <v>15.912000000000001</v>
      </c>
      <c r="BO291" s="64">
        <f>IFERROR(1/J291*(X291/H291),"0")</f>
        <v>3.2051282051282055E-2</v>
      </c>
      <c r="BP291" s="64">
        <f>IFERROR(1/J291*(Y291/H291),"0")</f>
        <v>3.2967032967032968E-2</v>
      </c>
    </row>
    <row r="292" spans="1:68" ht="27" customHeight="1" x14ac:dyDescent="0.25">
      <c r="A292" s="54" t="s">
        <v>492</v>
      </c>
      <c r="B292" s="54" t="s">
        <v>493</v>
      </c>
      <c r="C292" s="31">
        <v>4301060389</v>
      </c>
      <c r="D292" s="633">
        <v>4680115880801</v>
      </c>
      <c r="E292" s="634"/>
      <c r="F292" s="628">
        <v>0.4</v>
      </c>
      <c r="G292" s="32">
        <v>6</v>
      </c>
      <c r="H292" s="628">
        <v>2.4</v>
      </c>
      <c r="I292" s="628">
        <v>2.6520000000000001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7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36"/>
      <c r="R292" s="636"/>
      <c r="S292" s="636"/>
      <c r="T292" s="637"/>
      <c r="U292" s="34"/>
      <c r="V292" s="34"/>
      <c r="W292" s="35" t="s">
        <v>66</v>
      </c>
      <c r="X292" s="629">
        <v>14</v>
      </c>
      <c r="Y292" s="630">
        <f>IFERROR(IF(X292="",0,CEILING((X292/$H292),1)*$H292),"")</f>
        <v>14.399999999999999</v>
      </c>
      <c r="Z292" s="36">
        <f>IFERROR(IF(Y292=0,"",ROUNDUP(Y292/H292,0)*0.00651),"")</f>
        <v>3.9059999999999997E-2</v>
      </c>
      <c r="AA292" s="56"/>
      <c r="AB292" s="57"/>
      <c r="AC292" s="371" t="s">
        <v>494</v>
      </c>
      <c r="AG292" s="64"/>
      <c r="AJ292" s="68"/>
      <c r="AK292" s="68">
        <v>0</v>
      </c>
      <c r="BB292" s="372" t="s">
        <v>1</v>
      </c>
      <c r="BM292" s="64">
        <f>IFERROR(X292*I292/H292,"0")</f>
        <v>15.47</v>
      </c>
      <c r="BN292" s="64">
        <f>IFERROR(Y292*I292/H292,"0")</f>
        <v>15.912000000000001</v>
      </c>
      <c r="BO292" s="64">
        <f>IFERROR(1/J292*(X292/H292),"0")</f>
        <v>3.2051282051282055E-2</v>
      </c>
      <c r="BP292" s="64">
        <f>IFERROR(1/J292*(Y292/H292),"0")</f>
        <v>3.2967032967032968E-2</v>
      </c>
    </row>
    <row r="293" spans="1:68" x14ac:dyDescent="0.2">
      <c r="A293" s="642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44"/>
      <c r="P293" s="646" t="s">
        <v>71</v>
      </c>
      <c r="Q293" s="647"/>
      <c r="R293" s="647"/>
      <c r="S293" s="647"/>
      <c r="T293" s="647"/>
      <c r="U293" s="647"/>
      <c r="V293" s="648"/>
      <c r="W293" s="37" t="s">
        <v>72</v>
      </c>
      <c r="X293" s="631">
        <f>IFERROR(X291/H291,"0")+IFERROR(X292/H292,"0")</f>
        <v>11.666666666666668</v>
      </c>
      <c r="Y293" s="631">
        <f>IFERROR(Y291/H291,"0")+IFERROR(Y292/H292,"0")</f>
        <v>12</v>
      </c>
      <c r="Z293" s="631">
        <f>IFERROR(IF(Z291="",0,Z291),"0")+IFERROR(IF(Z292="",0,Z292),"0")</f>
        <v>7.8119999999999995E-2</v>
      </c>
      <c r="AA293" s="632"/>
      <c r="AB293" s="632"/>
      <c r="AC293" s="632"/>
    </row>
    <row r="294" spans="1:68" x14ac:dyDescent="0.2">
      <c r="A294" s="643"/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4"/>
      <c r="P294" s="646" t="s">
        <v>71</v>
      </c>
      <c r="Q294" s="647"/>
      <c r="R294" s="647"/>
      <c r="S294" s="647"/>
      <c r="T294" s="647"/>
      <c r="U294" s="647"/>
      <c r="V294" s="648"/>
      <c r="W294" s="37" t="s">
        <v>66</v>
      </c>
      <c r="X294" s="631">
        <f>IFERROR(SUM(X291:X292),"0")</f>
        <v>28</v>
      </c>
      <c r="Y294" s="631">
        <f>IFERROR(SUM(Y291:Y292),"0")</f>
        <v>28.799999999999997</v>
      </c>
      <c r="Z294" s="37"/>
      <c r="AA294" s="632"/>
      <c r="AB294" s="632"/>
      <c r="AC294" s="632"/>
    </row>
    <row r="295" spans="1:68" ht="16.5" hidden="1" customHeight="1" x14ac:dyDescent="0.25">
      <c r="A295" s="677" t="s">
        <v>495</v>
      </c>
      <c r="B295" s="643"/>
      <c r="C295" s="643"/>
      <c r="D295" s="643"/>
      <c r="E295" s="643"/>
      <c r="F295" s="643"/>
      <c r="G295" s="643"/>
      <c r="H295" s="643"/>
      <c r="I295" s="643"/>
      <c r="J295" s="643"/>
      <c r="K295" s="643"/>
      <c r="L295" s="643"/>
      <c r="M295" s="643"/>
      <c r="N295" s="643"/>
      <c r="O295" s="643"/>
      <c r="P295" s="643"/>
      <c r="Q295" s="643"/>
      <c r="R295" s="643"/>
      <c r="S295" s="643"/>
      <c r="T295" s="643"/>
      <c r="U295" s="643"/>
      <c r="V295" s="643"/>
      <c r="W295" s="643"/>
      <c r="X295" s="643"/>
      <c r="Y295" s="643"/>
      <c r="Z295" s="643"/>
      <c r="AA295" s="624"/>
      <c r="AB295" s="624"/>
      <c r="AC295" s="624"/>
    </row>
    <row r="296" spans="1:68" ht="14.25" hidden="1" customHeight="1" x14ac:dyDescent="0.25">
      <c r="A296" s="653" t="s">
        <v>112</v>
      </c>
      <c r="B296" s="643"/>
      <c r="C296" s="643"/>
      <c r="D296" s="643"/>
      <c r="E296" s="643"/>
      <c r="F296" s="643"/>
      <c r="G296" s="643"/>
      <c r="H296" s="643"/>
      <c r="I296" s="643"/>
      <c r="J296" s="643"/>
      <c r="K296" s="643"/>
      <c r="L296" s="643"/>
      <c r="M296" s="643"/>
      <c r="N296" s="643"/>
      <c r="O296" s="643"/>
      <c r="P296" s="643"/>
      <c r="Q296" s="643"/>
      <c r="R296" s="643"/>
      <c r="S296" s="643"/>
      <c r="T296" s="643"/>
      <c r="U296" s="643"/>
      <c r="V296" s="643"/>
      <c r="W296" s="643"/>
      <c r="X296" s="643"/>
      <c r="Y296" s="643"/>
      <c r="Z296" s="643"/>
      <c r="AA296" s="625"/>
      <c r="AB296" s="625"/>
      <c r="AC296" s="625"/>
    </row>
    <row r="297" spans="1:68" ht="27" hidden="1" customHeight="1" x14ac:dyDescent="0.25">
      <c r="A297" s="54" t="s">
        <v>496</v>
      </c>
      <c r="B297" s="54" t="s">
        <v>497</v>
      </c>
      <c r="C297" s="31">
        <v>4301011826</v>
      </c>
      <c r="D297" s="633">
        <v>4680115884137</v>
      </c>
      <c r="E297" s="634"/>
      <c r="F297" s="628">
        <v>1.45</v>
      </c>
      <c r="G297" s="32">
        <v>8</v>
      </c>
      <c r="H297" s="628">
        <v>11.6</v>
      </c>
      <c r="I297" s="628">
        <v>12.01</v>
      </c>
      <c r="J297" s="32">
        <v>64</v>
      </c>
      <c r="K297" s="32" t="s">
        <v>115</v>
      </c>
      <c r="L297" s="32"/>
      <c r="M297" s="33" t="s">
        <v>116</v>
      </c>
      <c r="N297" s="33"/>
      <c r="O297" s="32">
        <v>55</v>
      </c>
      <c r="P297" s="96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36"/>
      <c r="R297" s="636"/>
      <c r="S297" s="636"/>
      <c r="T297" s="637"/>
      <c r="U297" s="34"/>
      <c r="V297" s="34"/>
      <c r="W297" s="35" t="s">
        <v>66</v>
      </c>
      <c r="X297" s="629">
        <v>0</v>
      </c>
      <c r="Y297" s="630">
        <f t="shared" ref="Y297:Y303" si="49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73" t="s">
        <v>498</v>
      </c>
      <c r="AG297" s="64"/>
      <c r="AJ297" s="68"/>
      <c r="AK297" s="68">
        <v>0</v>
      </c>
      <c r="BB297" s="374" t="s">
        <v>1</v>
      </c>
      <c r="BM297" s="64">
        <f t="shared" ref="BM297:BM303" si="50">IFERROR(X297*I297/H297,"0")</f>
        <v>0</v>
      </c>
      <c r="BN297" s="64">
        <f t="shared" ref="BN297:BN303" si="51">IFERROR(Y297*I297/H297,"0")</f>
        <v>0</v>
      </c>
      <c r="BO297" s="64">
        <f t="shared" ref="BO297:BO303" si="52">IFERROR(1/J297*(X297/H297),"0")</f>
        <v>0</v>
      </c>
      <c r="BP297" s="64">
        <f t="shared" ref="BP297:BP303" si="53">IFERROR(1/J297*(Y297/H297),"0")</f>
        <v>0</v>
      </c>
    </row>
    <row r="298" spans="1:68" ht="27" hidden="1" customHeight="1" x14ac:dyDescent="0.25">
      <c r="A298" s="54" t="s">
        <v>499</v>
      </c>
      <c r="B298" s="54" t="s">
        <v>500</v>
      </c>
      <c r="C298" s="31">
        <v>4301011724</v>
      </c>
      <c r="D298" s="633">
        <v>4680115884236</v>
      </c>
      <c r="E298" s="634"/>
      <c r="F298" s="628">
        <v>1.45</v>
      </c>
      <c r="G298" s="32">
        <v>8</v>
      </c>
      <c r="H298" s="628">
        <v>11.6</v>
      </c>
      <c r="I298" s="628">
        <v>12.01</v>
      </c>
      <c r="J298" s="32">
        <v>64</v>
      </c>
      <c r="K298" s="32" t="s">
        <v>115</v>
      </c>
      <c r="L298" s="32"/>
      <c r="M298" s="33" t="s">
        <v>116</v>
      </c>
      <c r="N298" s="33"/>
      <c r="O298" s="32">
        <v>55</v>
      </c>
      <c r="P298" s="93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36"/>
      <c r="R298" s="636"/>
      <c r="S298" s="636"/>
      <c r="T298" s="637"/>
      <c r="U298" s="34"/>
      <c r="V298" s="34"/>
      <c r="W298" s="35" t="s">
        <v>66</v>
      </c>
      <c r="X298" s="629">
        <v>0</v>
      </c>
      <c r="Y298" s="630">
        <f t="shared" si="49"/>
        <v>0</v>
      </c>
      <c r="Z298" s="36" t="str">
        <f>IFERROR(IF(Y298=0,"",ROUNDUP(Y298/H298,0)*0.01898),"")</f>
        <v/>
      </c>
      <c r="AA298" s="56"/>
      <c r="AB298" s="57"/>
      <c r="AC298" s="375" t="s">
        <v>501</v>
      </c>
      <c r="AG298" s="64"/>
      <c r="AJ298" s="68"/>
      <c r="AK298" s="68">
        <v>0</v>
      </c>
      <c r="BB298" s="376" t="s">
        <v>1</v>
      </c>
      <c r="BM298" s="64">
        <f t="shared" si="50"/>
        <v>0</v>
      </c>
      <c r="BN298" s="64">
        <f t="shared" si="51"/>
        <v>0</v>
      </c>
      <c r="BO298" s="64">
        <f t="shared" si="52"/>
        <v>0</v>
      </c>
      <c r="BP298" s="64">
        <f t="shared" si="53"/>
        <v>0</v>
      </c>
    </row>
    <row r="299" spans="1:68" ht="27" hidden="1" customHeight="1" x14ac:dyDescent="0.25">
      <c r="A299" s="54" t="s">
        <v>502</v>
      </c>
      <c r="B299" s="54" t="s">
        <v>503</v>
      </c>
      <c r="C299" s="31">
        <v>4301011721</v>
      </c>
      <c r="D299" s="633">
        <v>4680115884175</v>
      </c>
      <c r="E299" s="634"/>
      <c r="F299" s="628">
        <v>1.45</v>
      </c>
      <c r="G299" s="32">
        <v>8</v>
      </c>
      <c r="H299" s="628">
        <v>11.6</v>
      </c>
      <c r="I299" s="628">
        <v>12.01</v>
      </c>
      <c r="J299" s="32">
        <v>64</v>
      </c>
      <c r="K299" s="32" t="s">
        <v>115</v>
      </c>
      <c r="L299" s="32"/>
      <c r="M299" s="33" t="s">
        <v>116</v>
      </c>
      <c r="N299" s="33"/>
      <c r="O299" s="32">
        <v>55</v>
      </c>
      <c r="P299" s="8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36"/>
      <c r="R299" s="636"/>
      <c r="S299" s="636"/>
      <c r="T299" s="637"/>
      <c r="U299" s="34"/>
      <c r="V299" s="34"/>
      <c r="W299" s="35" t="s">
        <v>66</v>
      </c>
      <c r="X299" s="629">
        <v>0</v>
      </c>
      <c r="Y299" s="630">
        <f t="shared" si="49"/>
        <v>0</v>
      </c>
      <c r="Z299" s="36" t="str">
        <f>IFERROR(IF(Y299=0,"",ROUNDUP(Y299/H299,0)*0.01898),"")</f>
        <v/>
      </c>
      <c r="AA299" s="56"/>
      <c r="AB299" s="57"/>
      <c r="AC299" s="377" t="s">
        <v>356</v>
      </c>
      <c r="AG299" s="64"/>
      <c r="AJ299" s="68"/>
      <c r="AK299" s="68">
        <v>0</v>
      </c>
      <c r="BB299" s="378" t="s">
        <v>1</v>
      </c>
      <c r="BM299" s="64">
        <f t="shared" si="50"/>
        <v>0</v>
      </c>
      <c r="BN299" s="64">
        <f t="shared" si="51"/>
        <v>0</v>
      </c>
      <c r="BO299" s="64">
        <f t="shared" si="52"/>
        <v>0</v>
      </c>
      <c r="BP299" s="64">
        <f t="shared" si="53"/>
        <v>0</v>
      </c>
    </row>
    <row r="300" spans="1:68" ht="27" hidden="1" customHeight="1" x14ac:dyDescent="0.25">
      <c r="A300" s="54" t="s">
        <v>504</v>
      </c>
      <c r="B300" s="54" t="s">
        <v>505</v>
      </c>
      <c r="C300" s="31">
        <v>4301011824</v>
      </c>
      <c r="D300" s="633">
        <v>4680115884144</v>
      </c>
      <c r="E300" s="634"/>
      <c r="F300" s="628">
        <v>0.4</v>
      </c>
      <c r="G300" s="32">
        <v>10</v>
      </c>
      <c r="H300" s="628">
        <v>4</v>
      </c>
      <c r="I300" s="628">
        <v>4.1900000000000004</v>
      </c>
      <c r="J300" s="32">
        <v>132</v>
      </c>
      <c r="K300" s="32" t="s">
        <v>124</v>
      </c>
      <c r="L300" s="32"/>
      <c r="M300" s="33" t="s">
        <v>116</v>
      </c>
      <c r="N300" s="33"/>
      <c r="O300" s="32">
        <v>55</v>
      </c>
      <c r="P300" s="78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36"/>
      <c r="R300" s="636"/>
      <c r="S300" s="636"/>
      <c r="T300" s="637"/>
      <c r="U300" s="34"/>
      <c r="V300" s="34"/>
      <c r="W300" s="35" t="s">
        <v>66</v>
      </c>
      <c r="X300" s="629">
        <v>0</v>
      </c>
      <c r="Y300" s="630">
        <f t="shared" si="49"/>
        <v>0</v>
      </c>
      <c r="Z300" s="36" t="str">
        <f>IFERROR(IF(Y300=0,"",ROUNDUP(Y300/H300,0)*0.00902),"")</f>
        <v/>
      </c>
      <c r="AA300" s="56"/>
      <c r="AB300" s="57"/>
      <c r="AC300" s="379" t="s">
        <v>498</v>
      </c>
      <c r="AG300" s="64"/>
      <c r="AJ300" s="68"/>
      <c r="AK300" s="68">
        <v>0</v>
      </c>
      <c r="BB300" s="380" t="s">
        <v>1</v>
      </c>
      <c r="BM300" s="64">
        <f t="shared" si="50"/>
        <v>0</v>
      </c>
      <c r="BN300" s="64">
        <f t="shared" si="51"/>
        <v>0</v>
      </c>
      <c r="BO300" s="64">
        <f t="shared" si="52"/>
        <v>0</v>
      </c>
      <c r="BP300" s="64">
        <f t="shared" si="53"/>
        <v>0</v>
      </c>
    </row>
    <row r="301" spans="1:68" ht="27" hidden="1" customHeight="1" x14ac:dyDescent="0.25">
      <c r="A301" s="54" t="s">
        <v>506</v>
      </c>
      <c r="B301" s="54" t="s">
        <v>507</v>
      </c>
      <c r="C301" s="31">
        <v>4301012149</v>
      </c>
      <c r="D301" s="633">
        <v>4680115886551</v>
      </c>
      <c r="E301" s="634"/>
      <c r="F301" s="628">
        <v>0.4</v>
      </c>
      <c r="G301" s="32">
        <v>10</v>
      </c>
      <c r="H301" s="628">
        <v>4</v>
      </c>
      <c r="I301" s="628">
        <v>4.1900000000000004</v>
      </c>
      <c r="J301" s="32">
        <v>132</v>
      </c>
      <c r="K301" s="32" t="s">
        <v>124</v>
      </c>
      <c r="L301" s="32"/>
      <c r="M301" s="33" t="s">
        <v>116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36"/>
      <c r="R301" s="636"/>
      <c r="S301" s="636"/>
      <c r="T301" s="637"/>
      <c r="U301" s="34"/>
      <c r="V301" s="34"/>
      <c r="W301" s="35" t="s">
        <v>66</v>
      </c>
      <c r="X301" s="629">
        <v>0</v>
      </c>
      <c r="Y301" s="630">
        <f t="shared" si="49"/>
        <v>0</v>
      </c>
      <c r="Z301" s="36" t="str">
        <f>IFERROR(IF(Y301=0,"",ROUNDUP(Y301/H301,0)*0.00902),"")</f>
        <v/>
      </c>
      <c r="AA301" s="56"/>
      <c r="AB301" s="57"/>
      <c r="AC301" s="381" t="s">
        <v>508</v>
      </c>
      <c r="AG301" s="64"/>
      <c r="AJ301" s="68"/>
      <c r="AK301" s="68">
        <v>0</v>
      </c>
      <c r="BB301" s="382" t="s">
        <v>1</v>
      </c>
      <c r="BM301" s="64">
        <f t="shared" si="50"/>
        <v>0</v>
      </c>
      <c r="BN301" s="64">
        <f t="shared" si="51"/>
        <v>0</v>
      </c>
      <c r="BO301" s="64">
        <f t="shared" si="52"/>
        <v>0</v>
      </c>
      <c r="BP301" s="64">
        <f t="shared" si="53"/>
        <v>0</v>
      </c>
    </row>
    <row r="302" spans="1:68" ht="27" hidden="1" customHeight="1" x14ac:dyDescent="0.25">
      <c r="A302" s="54" t="s">
        <v>509</v>
      </c>
      <c r="B302" s="54" t="s">
        <v>510</v>
      </c>
      <c r="C302" s="31">
        <v>4301012228</v>
      </c>
      <c r="D302" s="633">
        <v>4680115887282</v>
      </c>
      <c r="E302" s="634"/>
      <c r="F302" s="628">
        <v>0.4</v>
      </c>
      <c r="G302" s="32">
        <v>6</v>
      </c>
      <c r="H302" s="628">
        <v>2.4</v>
      </c>
      <c r="I302" s="628">
        <v>2.58</v>
      </c>
      <c r="J302" s="32">
        <v>182</v>
      </c>
      <c r="K302" s="32" t="s">
        <v>76</v>
      </c>
      <c r="L302" s="32"/>
      <c r="M302" s="33" t="s">
        <v>116</v>
      </c>
      <c r="N302" s="33"/>
      <c r="O302" s="32">
        <v>55</v>
      </c>
      <c r="P302" s="64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36"/>
      <c r="R302" s="636"/>
      <c r="S302" s="636"/>
      <c r="T302" s="637"/>
      <c r="U302" s="34"/>
      <c r="V302" s="34"/>
      <c r="W302" s="35" t="s">
        <v>66</v>
      </c>
      <c r="X302" s="629">
        <v>0</v>
      </c>
      <c r="Y302" s="630">
        <f t="shared" si="49"/>
        <v>0</v>
      </c>
      <c r="Z302" s="36" t="str">
        <f>IFERROR(IF(Y302=0,"",ROUNDUP(Y302/H302,0)*0.00651),"")</f>
        <v/>
      </c>
      <c r="AA302" s="56"/>
      <c r="AB302" s="57"/>
      <c r="AC302" s="383" t="s">
        <v>511</v>
      </c>
      <c r="AG302" s="64"/>
      <c r="AJ302" s="68"/>
      <c r="AK302" s="68">
        <v>0</v>
      </c>
      <c r="BB302" s="384" t="s">
        <v>1</v>
      </c>
      <c r="BM302" s="64">
        <f t="shared" si="50"/>
        <v>0</v>
      </c>
      <c r="BN302" s="64">
        <f t="shared" si="51"/>
        <v>0</v>
      </c>
      <c r="BO302" s="64">
        <f t="shared" si="52"/>
        <v>0</v>
      </c>
      <c r="BP302" s="64">
        <f t="shared" si="53"/>
        <v>0</v>
      </c>
    </row>
    <row r="303" spans="1:68" ht="27" hidden="1" customHeight="1" x14ac:dyDescent="0.25">
      <c r="A303" s="54" t="s">
        <v>512</v>
      </c>
      <c r="B303" s="54" t="s">
        <v>513</v>
      </c>
      <c r="C303" s="31">
        <v>4301011722</v>
      </c>
      <c r="D303" s="633">
        <v>4680115884205</v>
      </c>
      <c r="E303" s="634"/>
      <c r="F303" s="628">
        <v>0.4</v>
      </c>
      <c r="G303" s="32">
        <v>10</v>
      </c>
      <c r="H303" s="628">
        <v>4</v>
      </c>
      <c r="I303" s="628">
        <v>4.1900000000000004</v>
      </c>
      <c r="J303" s="32">
        <v>132</v>
      </c>
      <c r="K303" s="32" t="s">
        <v>124</v>
      </c>
      <c r="L303" s="32"/>
      <c r="M303" s="33" t="s">
        <v>116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36"/>
      <c r="R303" s="636"/>
      <c r="S303" s="636"/>
      <c r="T303" s="637"/>
      <c r="U303" s="34"/>
      <c r="V303" s="34"/>
      <c r="W303" s="35" t="s">
        <v>66</v>
      </c>
      <c r="X303" s="629">
        <v>0</v>
      </c>
      <c r="Y303" s="630">
        <f t="shared" si="49"/>
        <v>0</v>
      </c>
      <c r="Z303" s="36" t="str">
        <f>IFERROR(IF(Y303=0,"",ROUNDUP(Y303/H303,0)*0.00902),"")</f>
        <v/>
      </c>
      <c r="AA303" s="56"/>
      <c r="AB303" s="57"/>
      <c r="AC303" s="385" t="s">
        <v>356</v>
      </c>
      <c r="AG303" s="64"/>
      <c r="AJ303" s="68"/>
      <c r="AK303" s="68">
        <v>0</v>
      </c>
      <c r="BB303" s="386" t="s">
        <v>1</v>
      </c>
      <c r="BM303" s="64">
        <f t="shared" si="50"/>
        <v>0</v>
      </c>
      <c r="BN303" s="64">
        <f t="shared" si="51"/>
        <v>0</v>
      </c>
      <c r="BO303" s="64">
        <f t="shared" si="52"/>
        <v>0</v>
      </c>
      <c r="BP303" s="64">
        <f t="shared" si="53"/>
        <v>0</v>
      </c>
    </row>
    <row r="304" spans="1:68" hidden="1" x14ac:dyDescent="0.2">
      <c r="A304" s="642"/>
      <c r="B304" s="643"/>
      <c r="C304" s="643"/>
      <c r="D304" s="643"/>
      <c r="E304" s="643"/>
      <c r="F304" s="643"/>
      <c r="G304" s="643"/>
      <c r="H304" s="643"/>
      <c r="I304" s="643"/>
      <c r="J304" s="643"/>
      <c r="K304" s="643"/>
      <c r="L304" s="643"/>
      <c r="M304" s="643"/>
      <c r="N304" s="643"/>
      <c r="O304" s="644"/>
      <c r="P304" s="646" t="s">
        <v>71</v>
      </c>
      <c r="Q304" s="647"/>
      <c r="R304" s="647"/>
      <c r="S304" s="647"/>
      <c r="T304" s="647"/>
      <c r="U304" s="647"/>
      <c r="V304" s="648"/>
      <c r="W304" s="37" t="s">
        <v>72</v>
      </c>
      <c r="X304" s="631">
        <f>IFERROR(X297/H297,"0")+IFERROR(X298/H298,"0")+IFERROR(X299/H299,"0")+IFERROR(X300/H300,"0")+IFERROR(X301/H301,"0")+IFERROR(X302/H302,"0")+IFERROR(X303/H303,"0")</f>
        <v>0</v>
      </c>
      <c r="Y304" s="631">
        <f>IFERROR(Y297/H297,"0")+IFERROR(Y298/H298,"0")+IFERROR(Y299/H299,"0")+IFERROR(Y300/H300,"0")+IFERROR(Y301/H301,"0")+IFERROR(Y302/H302,"0")+IFERROR(Y303/H303,"0")</f>
        <v>0</v>
      </c>
      <c r="Z304" s="63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2"/>
      <c r="AB304" s="632"/>
      <c r="AC304" s="632"/>
    </row>
    <row r="305" spans="1:68" hidden="1" x14ac:dyDescent="0.2">
      <c r="A305" s="643"/>
      <c r="B305" s="643"/>
      <c r="C305" s="643"/>
      <c r="D305" s="643"/>
      <c r="E305" s="643"/>
      <c r="F305" s="643"/>
      <c r="G305" s="643"/>
      <c r="H305" s="643"/>
      <c r="I305" s="643"/>
      <c r="J305" s="643"/>
      <c r="K305" s="643"/>
      <c r="L305" s="643"/>
      <c r="M305" s="643"/>
      <c r="N305" s="643"/>
      <c r="O305" s="644"/>
      <c r="P305" s="646" t="s">
        <v>71</v>
      </c>
      <c r="Q305" s="647"/>
      <c r="R305" s="647"/>
      <c r="S305" s="647"/>
      <c r="T305" s="647"/>
      <c r="U305" s="647"/>
      <c r="V305" s="648"/>
      <c r="W305" s="37" t="s">
        <v>66</v>
      </c>
      <c r="X305" s="631">
        <f>IFERROR(SUM(X297:X303),"0")</f>
        <v>0</v>
      </c>
      <c r="Y305" s="631">
        <f>IFERROR(SUM(Y297:Y303),"0")</f>
        <v>0</v>
      </c>
      <c r="Z305" s="37"/>
      <c r="AA305" s="632"/>
      <c r="AB305" s="632"/>
      <c r="AC305" s="632"/>
    </row>
    <row r="306" spans="1:68" ht="14.25" hidden="1" customHeight="1" x14ac:dyDescent="0.25">
      <c r="A306" s="653" t="s">
        <v>145</v>
      </c>
      <c r="B306" s="643"/>
      <c r="C306" s="643"/>
      <c r="D306" s="643"/>
      <c r="E306" s="643"/>
      <c r="F306" s="643"/>
      <c r="G306" s="643"/>
      <c r="H306" s="643"/>
      <c r="I306" s="643"/>
      <c r="J306" s="643"/>
      <c r="K306" s="643"/>
      <c r="L306" s="643"/>
      <c r="M306" s="643"/>
      <c r="N306" s="643"/>
      <c r="O306" s="643"/>
      <c r="P306" s="643"/>
      <c r="Q306" s="643"/>
      <c r="R306" s="643"/>
      <c r="S306" s="643"/>
      <c r="T306" s="643"/>
      <c r="U306" s="643"/>
      <c r="V306" s="643"/>
      <c r="W306" s="643"/>
      <c r="X306" s="643"/>
      <c r="Y306" s="643"/>
      <c r="Z306" s="643"/>
      <c r="AA306" s="625"/>
      <c r="AB306" s="625"/>
      <c r="AC306" s="625"/>
    </row>
    <row r="307" spans="1:68" ht="27" hidden="1" customHeight="1" x14ac:dyDescent="0.25">
      <c r="A307" s="54" t="s">
        <v>514</v>
      </c>
      <c r="B307" s="54" t="s">
        <v>515</v>
      </c>
      <c r="C307" s="31">
        <v>4301020377</v>
      </c>
      <c r="D307" s="633">
        <v>4680115885981</v>
      </c>
      <c r="E307" s="634"/>
      <c r="F307" s="628">
        <v>0.33</v>
      </c>
      <c r="G307" s="32">
        <v>6</v>
      </c>
      <c r="H307" s="628">
        <v>1.98</v>
      </c>
      <c r="I307" s="628">
        <v>2.08</v>
      </c>
      <c r="J307" s="32">
        <v>234</v>
      </c>
      <c r="K307" s="32" t="s">
        <v>64</v>
      </c>
      <c r="L307" s="32"/>
      <c r="M307" s="33" t="s">
        <v>77</v>
      </c>
      <c r="N307" s="33"/>
      <c r="O307" s="32">
        <v>50</v>
      </c>
      <c r="P307" s="99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36"/>
      <c r="R307" s="636"/>
      <c r="S307" s="636"/>
      <c r="T307" s="637"/>
      <c r="U307" s="34"/>
      <c r="V307" s="34"/>
      <c r="W307" s="35" t="s">
        <v>66</v>
      </c>
      <c r="X307" s="629">
        <v>0</v>
      </c>
      <c r="Y307" s="630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7" t="s">
        <v>516</v>
      </c>
      <c r="AG307" s="64"/>
      <c r="AJ307" s="68"/>
      <c r="AK307" s="68">
        <v>0</v>
      </c>
      <c r="BB307" s="388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42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44"/>
      <c r="P308" s="646" t="s">
        <v>71</v>
      </c>
      <c r="Q308" s="647"/>
      <c r="R308" s="647"/>
      <c r="S308" s="647"/>
      <c r="T308" s="647"/>
      <c r="U308" s="647"/>
      <c r="V308" s="648"/>
      <c r="W308" s="37" t="s">
        <v>72</v>
      </c>
      <c r="X308" s="631">
        <f>IFERROR(X307/H307,"0")</f>
        <v>0</v>
      </c>
      <c r="Y308" s="631">
        <f>IFERROR(Y307/H307,"0")</f>
        <v>0</v>
      </c>
      <c r="Z308" s="631">
        <f>IFERROR(IF(Z307="",0,Z307),"0")</f>
        <v>0</v>
      </c>
      <c r="AA308" s="632"/>
      <c r="AB308" s="632"/>
      <c r="AC308" s="632"/>
    </row>
    <row r="309" spans="1:68" hidden="1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44"/>
      <c r="P309" s="646" t="s">
        <v>71</v>
      </c>
      <c r="Q309" s="647"/>
      <c r="R309" s="647"/>
      <c r="S309" s="647"/>
      <c r="T309" s="647"/>
      <c r="U309" s="647"/>
      <c r="V309" s="648"/>
      <c r="W309" s="37" t="s">
        <v>66</v>
      </c>
      <c r="X309" s="631">
        <f>IFERROR(SUM(X307:X307),"0")</f>
        <v>0</v>
      </c>
      <c r="Y309" s="631">
        <f>IFERROR(SUM(Y307:Y307),"0")</f>
        <v>0</v>
      </c>
      <c r="Z309" s="37"/>
      <c r="AA309" s="632"/>
      <c r="AB309" s="632"/>
      <c r="AC309" s="632"/>
    </row>
    <row r="310" spans="1:68" ht="14.25" hidden="1" customHeight="1" x14ac:dyDescent="0.25">
      <c r="A310" s="653" t="s">
        <v>517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5"/>
      <c r="AB310" s="625"/>
      <c r="AC310" s="625"/>
    </row>
    <row r="311" spans="1:68" ht="27" customHeight="1" x14ac:dyDescent="0.25">
      <c r="A311" s="54" t="s">
        <v>518</v>
      </c>
      <c r="B311" s="54" t="s">
        <v>519</v>
      </c>
      <c r="C311" s="31">
        <v>4301040362</v>
      </c>
      <c r="D311" s="633">
        <v>4680115886803</v>
      </c>
      <c r="E311" s="634"/>
      <c r="F311" s="628">
        <v>0.12</v>
      </c>
      <c r="G311" s="32">
        <v>15</v>
      </c>
      <c r="H311" s="628">
        <v>1.8</v>
      </c>
      <c r="I311" s="628">
        <v>1.9750000000000001</v>
      </c>
      <c r="J311" s="32">
        <v>216</v>
      </c>
      <c r="K311" s="32" t="s">
        <v>332</v>
      </c>
      <c r="L311" s="32"/>
      <c r="M311" s="33" t="s">
        <v>274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36"/>
      <c r="R311" s="636"/>
      <c r="S311" s="636"/>
      <c r="T311" s="637"/>
      <c r="U311" s="34"/>
      <c r="V311" s="34"/>
      <c r="W311" s="35" t="s">
        <v>66</v>
      </c>
      <c r="X311" s="629">
        <v>4</v>
      </c>
      <c r="Y311" s="630">
        <f>IFERROR(IF(X311="",0,CEILING((X311/$H311),1)*$H311),"")</f>
        <v>5.4</v>
      </c>
      <c r="Z311" s="36">
        <f>IFERROR(IF(Y311=0,"",ROUNDUP(Y311/H311,0)*0.0059),"")</f>
        <v>1.77E-2</v>
      </c>
      <c r="AA311" s="56"/>
      <c r="AB311" s="57"/>
      <c r="AC311" s="389" t="s">
        <v>520</v>
      </c>
      <c r="AG311" s="64"/>
      <c r="AJ311" s="68"/>
      <c r="AK311" s="68">
        <v>0</v>
      </c>
      <c r="BB311" s="390" t="s">
        <v>1</v>
      </c>
      <c r="BM311" s="64">
        <f>IFERROR(X311*I311/H311,"0")</f>
        <v>4.3888888888888893</v>
      </c>
      <c r="BN311" s="64">
        <f>IFERROR(Y311*I311/H311,"0")</f>
        <v>5.9250000000000007</v>
      </c>
      <c r="BO311" s="64">
        <f>IFERROR(1/J311*(X311/H311),"0")</f>
        <v>1.0288065843621399E-2</v>
      </c>
      <c r="BP311" s="64">
        <f>IFERROR(1/J311*(Y311/H311),"0")</f>
        <v>1.3888888888888888E-2</v>
      </c>
    </row>
    <row r="312" spans="1:68" x14ac:dyDescent="0.2">
      <c r="A312" s="642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44"/>
      <c r="P312" s="646" t="s">
        <v>71</v>
      </c>
      <c r="Q312" s="647"/>
      <c r="R312" s="647"/>
      <c r="S312" s="647"/>
      <c r="T312" s="647"/>
      <c r="U312" s="647"/>
      <c r="V312" s="648"/>
      <c r="W312" s="37" t="s">
        <v>72</v>
      </c>
      <c r="X312" s="631">
        <f>IFERROR(X311/H311,"0")</f>
        <v>2.2222222222222223</v>
      </c>
      <c r="Y312" s="631">
        <f>IFERROR(Y311/H311,"0")</f>
        <v>3</v>
      </c>
      <c r="Z312" s="631">
        <f>IFERROR(IF(Z311="",0,Z311),"0")</f>
        <v>1.77E-2</v>
      </c>
      <c r="AA312" s="632"/>
      <c r="AB312" s="632"/>
      <c r="AC312" s="632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4"/>
      <c r="P313" s="646" t="s">
        <v>71</v>
      </c>
      <c r="Q313" s="647"/>
      <c r="R313" s="647"/>
      <c r="S313" s="647"/>
      <c r="T313" s="647"/>
      <c r="U313" s="647"/>
      <c r="V313" s="648"/>
      <c r="W313" s="37" t="s">
        <v>66</v>
      </c>
      <c r="X313" s="631">
        <f>IFERROR(SUM(X311:X311),"0")</f>
        <v>4</v>
      </c>
      <c r="Y313" s="631">
        <f>IFERROR(SUM(Y311:Y311),"0")</f>
        <v>5.4</v>
      </c>
      <c r="Z313" s="37"/>
      <c r="AA313" s="632"/>
      <c r="AB313" s="632"/>
      <c r="AC313" s="632"/>
    </row>
    <row r="314" spans="1:68" ht="14.25" hidden="1" customHeight="1" x14ac:dyDescent="0.25">
      <c r="A314" s="653" t="s">
        <v>334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5"/>
      <c r="AB314" s="625"/>
      <c r="AC314" s="625"/>
    </row>
    <row r="315" spans="1:68" ht="27" hidden="1" customHeight="1" x14ac:dyDescent="0.25">
      <c r="A315" s="54" t="s">
        <v>521</v>
      </c>
      <c r="B315" s="54" t="s">
        <v>522</v>
      </c>
      <c r="C315" s="31">
        <v>4301041004</v>
      </c>
      <c r="D315" s="633">
        <v>4680115886704</v>
      </c>
      <c r="E315" s="634"/>
      <c r="F315" s="628">
        <v>5.5E-2</v>
      </c>
      <c r="G315" s="32">
        <v>18</v>
      </c>
      <c r="H315" s="628">
        <v>0.99</v>
      </c>
      <c r="I315" s="628">
        <v>1.18</v>
      </c>
      <c r="J315" s="32">
        <v>216</v>
      </c>
      <c r="K315" s="32" t="s">
        <v>332</v>
      </c>
      <c r="L315" s="32"/>
      <c r="M315" s="33" t="s">
        <v>274</v>
      </c>
      <c r="N315" s="33"/>
      <c r="O315" s="32">
        <v>90</v>
      </c>
      <c r="P315" s="64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636"/>
      <c r="R315" s="636"/>
      <c r="S315" s="636"/>
      <c r="T315" s="637"/>
      <c r="U315" s="34"/>
      <c r="V315" s="34"/>
      <c r="W315" s="35" t="s">
        <v>66</v>
      </c>
      <c r="X315" s="629">
        <v>0</v>
      </c>
      <c r="Y315" s="630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523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524</v>
      </c>
      <c r="B316" s="54" t="s">
        <v>525</v>
      </c>
      <c r="C316" s="31">
        <v>4301041008</v>
      </c>
      <c r="D316" s="633">
        <v>4680115886681</v>
      </c>
      <c r="E316" s="634"/>
      <c r="F316" s="628">
        <v>0.12</v>
      </c>
      <c r="G316" s="32">
        <v>15</v>
      </c>
      <c r="H316" s="628">
        <v>1.8</v>
      </c>
      <c r="I316" s="628">
        <v>1.9750000000000001</v>
      </c>
      <c r="J316" s="32">
        <v>216</v>
      </c>
      <c r="K316" s="32" t="s">
        <v>332</v>
      </c>
      <c r="L316" s="32"/>
      <c r="M316" s="33" t="s">
        <v>274</v>
      </c>
      <c r="N316" s="33"/>
      <c r="O316" s="32">
        <v>90</v>
      </c>
      <c r="P316" s="68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36"/>
      <c r="R316" s="636"/>
      <c r="S316" s="636"/>
      <c r="T316" s="637"/>
      <c r="U316" s="34"/>
      <c r="V316" s="34"/>
      <c r="W316" s="35" t="s">
        <v>66</v>
      </c>
      <c r="X316" s="629">
        <v>0</v>
      </c>
      <c r="Y316" s="630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93" t="s">
        <v>523</v>
      </c>
      <c r="AG316" s="64"/>
      <c r="AJ316" s="68"/>
      <c r="AK316" s="68">
        <v>0</v>
      </c>
      <c r="BB316" s="39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526</v>
      </c>
      <c r="B317" s="54" t="s">
        <v>527</v>
      </c>
      <c r="C317" s="31">
        <v>4301041007</v>
      </c>
      <c r="D317" s="633">
        <v>4680115886735</v>
      </c>
      <c r="E317" s="634"/>
      <c r="F317" s="628">
        <v>0.05</v>
      </c>
      <c r="G317" s="32">
        <v>18</v>
      </c>
      <c r="H317" s="628">
        <v>0.9</v>
      </c>
      <c r="I317" s="628">
        <v>1.0900000000000001</v>
      </c>
      <c r="J317" s="32">
        <v>216</v>
      </c>
      <c r="K317" s="32" t="s">
        <v>332</v>
      </c>
      <c r="L317" s="32"/>
      <c r="M317" s="33" t="s">
        <v>274</v>
      </c>
      <c r="N317" s="33"/>
      <c r="O317" s="32">
        <v>90</v>
      </c>
      <c r="P317" s="95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636"/>
      <c r="R317" s="636"/>
      <c r="S317" s="636"/>
      <c r="T317" s="637"/>
      <c r="U317" s="34"/>
      <c r="V317" s="34"/>
      <c r="W317" s="35" t="s">
        <v>66</v>
      </c>
      <c r="X317" s="629">
        <v>0</v>
      </c>
      <c r="Y317" s="630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523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42"/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4"/>
      <c r="P318" s="646" t="s">
        <v>71</v>
      </c>
      <c r="Q318" s="647"/>
      <c r="R318" s="647"/>
      <c r="S318" s="647"/>
      <c r="T318" s="647"/>
      <c r="U318" s="647"/>
      <c r="V318" s="648"/>
      <c r="W318" s="37" t="s">
        <v>72</v>
      </c>
      <c r="X318" s="631">
        <f>IFERROR(X315/H315,"0")+IFERROR(X316/H316,"0")+IFERROR(X317/H317,"0")</f>
        <v>0</v>
      </c>
      <c r="Y318" s="631">
        <f>IFERROR(Y315/H315,"0")+IFERROR(Y316/H316,"0")+IFERROR(Y317/H317,"0")</f>
        <v>0</v>
      </c>
      <c r="Z318" s="631">
        <f>IFERROR(IF(Z315="",0,Z315),"0")+IFERROR(IF(Z316="",0,Z316),"0")+IFERROR(IF(Z317="",0,Z317),"0")</f>
        <v>0</v>
      </c>
      <c r="AA318" s="632"/>
      <c r="AB318" s="632"/>
      <c r="AC318" s="632"/>
    </row>
    <row r="319" spans="1:68" hidden="1" x14ac:dyDescent="0.2">
      <c r="A319" s="643"/>
      <c r="B319" s="643"/>
      <c r="C319" s="643"/>
      <c r="D319" s="643"/>
      <c r="E319" s="643"/>
      <c r="F319" s="643"/>
      <c r="G319" s="643"/>
      <c r="H319" s="643"/>
      <c r="I319" s="643"/>
      <c r="J319" s="643"/>
      <c r="K319" s="643"/>
      <c r="L319" s="643"/>
      <c r="M319" s="643"/>
      <c r="N319" s="643"/>
      <c r="O319" s="644"/>
      <c r="P319" s="646" t="s">
        <v>71</v>
      </c>
      <c r="Q319" s="647"/>
      <c r="R319" s="647"/>
      <c r="S319" s="647"/>
      <c r="T319" s="647"/>
      <c r="U319" s="647"/>
      <c r="V319" s="648"/>
      <c r="W319" s="37" t="s">
        <v>66</v>
      </c>
      <c r="X319" s="631">
        <f>IFERROR(SUM(X315:X317),"0")</f>
        <v>0</v>
      </c>
      <c r="Y319" s="631">
        <f>IFERROR(SUM(Y315:Y317),"0")</f>
        <v>0</v>
      </c>
      <c r="Z319" s="37"/>
      <c r="AA319" s="632"/>
      <c r="AB319" s="632"/>
      <c r="AC319" s="632"/>
    </row>
    <row r="320" spans="1:68" ht="16.5" hidden="1" customHeight="1" x14ac:dyDescent="0.25">
      <c r="A320" s="677" t="s">
        <v>528</v>
      </c>
      <c r="B320" s="643"/>
      <c r="C320" s="643"/>
      <c r="D320" s="643"/>
      <c r="E320" s="643"/>
      <c r="F320" s="643"/>
      <c r="G320" s="643"/>
      <c r="H320" s="643"/>
      <c r="I320" s="643"/>
      <c r="J320" s="643"/>
      <c r="K320" s="643"/>
      <c r="L320" s="643"/>
      <c r="M320" s="643"/>
      <c r="N320" s="643"/>
      <c r="O320" s="643"/>
      <c r="P320" s="643"/>
      <c r="Q320" s="643"/>
      <c r="R320" s="643"/>
      <c r="S320" s="643"/>
      <c r="T320" s="643"/>
      <c r="U320" s="643"/>
      <c r="V320" s="643"/>
      <c r="W320" s="643"/>
      <c r="X320" s="643"/>
      <c r="Y320" s="643"/>
      <c r="Z320" s="643"/>
      <c r="AA320" s="624"/>
      <c r="AB320" s="624"/>
      <c r="AC320" s="624"/>
    </row>
    <row r="321" spans="1:68" ht="14.25" hidden="1" customHeight="1" x14ac:dyDescent="0.25">
      <c r="A321" s="653" t="s">
        <v>112</v>
      </c>
      <c r="B321" s="643"/>
      <c r="C321" s="643"/>
      <c r="D321" s="643"/>
      <c r="E321" s="643"/>
      <c r="F321" s="643"/>
      <c r="G321" s="643"/>
      <c r="H321" s="643"/>
      <c r="I321" s="643"/>
      <c r="J321" s="643"/>
      <c r="K321" s="643"/>
      <c r="L321" s="643"/>
      <c r="M321" s="643"/>
      <c r="N321" s="643"/>
      <c r="O321" s="643"/>
      <c r="P321" s="643"/>
      <c r="Q321" s="643"/>
      <c r="R321" s="643"/>
      <c r="S321" s="643"/>
      <c r="T321" s="643"/>
      <c r="U321" s="643"/>
      <c r="V321" s="643"/>
      <c r="W321" s="643"/>
      <c r="X321" s="643"/>
      <c r="Y321" s="643"/>
      <c r="Z321" s="643"/>
      <c r="AA321" s="625"/>
      <c r="AB321" s="625"/>
      <c r="AC321" s="625"/>
    </row>
    <row r="322" spans="1:68" ht="27" hidden="1" customHeight="1" x14ac:dyDescent="0.25">
      <c r="A322" s="54" t="s">
        <v>529</v>
      </c>
      <c r="B322" s="54" t="s">
        <v>530</v>
      </c>
      <c r="C322" s="31">
        <v>4301011855</v>
      </c>
      <c r="D322" s="633">
        <v>4680115885837</v>
      </c>
      <c r="E322" s="634"/>
      <c r="F322" s="628">
        <v>1.35</v>
      </c>
      <c r="G322" s="32">
        <v>8</v>
      </c>
      <c r="H322" s="628">
        <v>10.8</v>
      </c>
      <c r="I322" s="628">
        <v>11.21</v>
      </c>
      <c r="J322" s="32">
        <v>64</v>
      </c>
      <c r="K322" s="32" t="s">
        <v>115</v>
      </c>
      <c r="L322" s="32"/>
      <c r="M322" s="33" t="s">
        <v>116</v>
      </c>
      <c r="N322" s="33"/>
      <c r="O322" s="32">
        <v>55</v>
      </c>
      <c r="P322" s="83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36"/>
      <c r="R322" s="636"/>
      <c r="S322" s="636"/>
      <c r="T322" s="637"/>
      <c r="U322" s="34"/>
      <c r="V322" s="34"/>
      <c r="W322" s="35" t="s">
        <v>66</v>
      </c>
      <c r="X322" s="629">
        <v>0</v>
      </c>
      <c r="Y322" s="630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97" t="s">
        <v>531</v>
      </c>
      <c r="AG322" s="64"/>
      <c r="AJ322" s="68"/>
      <c r="AK322" s="68">
        <v>0</v>
      </c>
      <c r="BB322" s="398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37.5" hidden="1" customHeight="1" x14ac:dyDescent="0.25">
      <c r="A323" s="54" t="s">
        <v>532</v>
      </c>
      <c r="B323" s="54" t="s">
        <v>533</v>
      </c>
      <c r="C323" s="31">
        <v>4301012234</v>
      </c>
      <c r="D323" s="633">
        <v>4680115887237</v>
      </c>
      <c r="E323" s="634"/>
      <c r="F323" s="628">
        <v>1.35</v>
      </c>
      <c r="G323" s="32">
        <v>8</v>
      </c>
      <c r="H323" s="628">
        <v>10.8</v>
      </c>
      <c r="I323" s="628">
        <v>11.21</v>
      </c>
      <c r="J323" s="32">
        <v>64</v>
      </c>
      <c r="K323" s="32" t="s">
        <v>115</v>
      </c>
      <c r="L323" s="32"/>
      <c r="M323" s="33" t="s">
        <v>116</v>
      </c>
      <c r="N323" s="33"/>
      <c r="O323" s="32">
        <v>55</v>
      </c>
      <c r="P323" s="91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36"/>
      <c r="R323" s="636"/>
      <c r="S323" s="636"/>
      <c r="T323" s="637"/>
      <c r="U323" s="34"/>
      <c r="V323" s="34"/>
      <c r="W323" s="35" t="s">
        <v>66</v>
      </c>
      <c r="X323" s="629">
        <v>0</v>
      </c>
      <c r="Y323" s="630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9" t="s">
        <v>534</v>
      </c>
      <c r="AG323" s="64"/>
      <c r="AJ323" s="68"/>
      <c r="AK323" s="68">
        <v>0</v>
      </c>
      <c r="BB323" s="400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535</v>
      </c>
      <c r="B324" s="54" t="s">
        <v>536</v>
      </c>
      <c r="C324" s="31">
        <v>4301011850</v>
      </c>
      <c r="D324" s="633">
        <v>4680115885806</v>
      </c>
      <c r="E324" s="634"/>
      <c r="F324" s="628">
        <v>1.35</v>
      </c>
      <c r="G324" s="32">
        <v>8</v>
      </c>
      <c r="H324" s="628">
        <v>10.8</v>
      </c>
      <c r="I324" s="628">
        <v>11.21</v>
      </c>
      <c r="J324" s="32">
        <v>64</v>
      </c>
      <c r="K324" s="32" t="s">
        <v>115</v>
      </c>
      <c r="L324" s="32"/>
      <c r="M324" s="33" t="s">
        <v>116</v>
      </c>
      <c r="N324" s="33"/>
      <c r="O324" s="32">
        <v>55</v>
      </c>
      <c r="P324" s="83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36"/>
      <c r="R324" s="636"/>
      <c r="S324" s="636"/>
      <c r="T324" s="637"/>
      <c r="U324" s="34"/>
      <c r="V324" s="34"/>
      <c r="W324" s="35" t="s">
        <v>66</v>
      </c>
      <c r="X324" s="629">
        <v>0</v>
      </c>
      <c r="Y324" s="630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537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538</v>
      </c>
      <c r="B325" s="54" t="s">
        <v>539</v>
      </c>
      <c r="C325" s="31">
        <v>4301011852</v>
      </c>
      <c r="D325" s="633">
        <v>4680115885844</v>
      </c>
      <c r="E325" s="634"/>
      <c r="F325" s="628">
        <v>0.4</v>
      </c>
      <c r="G325" s="32">
        <v>10</v>
      </c>
      <c r="H325" s="628">
        <v>4</v>
      </c>
      <c r="I325" s="628">
        <v>4.1900000000000004</v>
      </c>
      <c r="J325" s="32">
        <v>132</v>
      </c>
      <c r="K325" s="32" t="s">
        <v>124</v>
      </c>
      <c r="L325" s="32"/>
      <c r="M325" s="33" t="s">
        <v>116</v>
      </c>
      <c r="N325" s="33"/>
      <c r="O325" s="32">
        <v>55</v>
      </c>
      <c r="P325" s="8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36"/>
      <c r="R325" s="636"/>
      <c r="S325" s="636"/>
      <c r="T325" s="637"/>
      <c r="U325" s="34"/>
      <c r="V325" s="34"/>
      <c r="W325" s="35" t="s">
        <v>66</v>
      </c>
      <c r="X325" s="629">
        <v>0</v>
      </c>
      <c r="Y325" s="630">
        <f>IFERROR(IF(X325="",0,CEILING((X325/$H325),1)*$H325),"")</f>
        <v>0</v>
      </c>
      <c r="Z325" s="36" t="str">
        <f>IFERROR(IF(Y325=0,"",ROUNDUP(Y325/H325,0)*0.00902),"")</f>
        <v/>
      </c>
      <c r="AA325" s="56"/>
      <c r="AB325" s="57"/>
      <c r="AC325" s="403" t="s">
        <v>540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37.5" hidden="1" customHeight="1" x14ac:dyDescent="0.25">
      <c r="A326" s="54" t="s">
        <v>541</v>
      </c>
      <c r="B326" s="54" t="s">
        <v>542</v>
      </c>
      <c r="C326" s="31">
        <v>4301011851</v>
      </c>
      <c r="D326" s="633">
        <v>4680115885820</v>
      </c>
      <c r="E326" s="634"/>
      <c r="F326" s="628">
        <v>0.4</v>
      </c>
      <c r="G326" s="32">
        <v>10</v>
      </c>
      <c r="H326" s="628">
        <v>4</v>
      </c>
      <c r="I326" s="628">
        <v>4.1900000000000004</v>
      </c>
      <c r="J326" s="32">
        <v>132</v>
      </c>
      <c r="K326" s="32" t="s">
        <v>124</v>
      </c>
      <c r="L326" s="32"/>
      <c r="M326" s="33" t="s">
        <v>116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36"/>
      <c r="R326" s="636"/>
      <c r="S326" s="636"/>
      <c r="T326" s="637"/>
      <c r="U326" s="34"/>
      <c r="V326" s="34"/>
      <c r="W326" s="35" t="s">
        <v>66</v>
      </c>
      <c r="X326" s="629">
        <v>0</v>
      </c>
      <c r="Y326" s="630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405" t="s">
        <v>543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idden="1" x14ac:dyDescent="0.2">
      <c r="A327" s="642"/>
      <c r="B327" s="643"/>
      <c r="C327" s="643"/>
      <c r="D327" s="643"/>
      <c r="E327" s="643"/>
      <c r="F327" s="643"/>
      <c r="G327" s="643"/>
      <c r="H327" s="643"/>
      <c r="I327" s="643"/>
      <c r="J327" s="643"/>
      <c r="K327" s="643"/>
      <c r="L327" s="643"/>
      <c r="M327" s="643"/>
      <c r="N327" s="643"/>
      <c r="O327" s="644"/>
      <c r="P327" s="646" t="s">
        <v>71</v>
      </c>
      <c r="Q327" s="647"/>
      <c r="R327" s="647"/>
      <c r="S327" s="647"/>
      <c r="T327" s="647"/>
      <c r="U327" s="647"/>
      <c r="V327" s="648"/>
      <c r="W327" s="37" t="s">
        <v>72</v>
      </c>
      <c r="X327" s="631">
        <f>IFERROR(X322/H322,"0")+IFERROR(X323/H323,"0")+IFERROR(X324/H324,"0")+IFERROR(X325/H325,"0")+IFERROR(X326/H326,"0")</f>
        <v>0</v>
      </c>
      <c r="Y327" s="631">
        <f>IFERROR(Y322/H322,"0")+IFERROR(Y323/H323,"0")+IFERROR(Y324/H324,"0")+IFERROR(Y325/H325,"0")+IFERROR(Y326/H326,"0")</f>
        <v>0</v>
      </c>
      <c r="Z327" s="631">
        <f>IFERROR(IF(Z322="",0,Z322),"0")+IFERROR(IF(Z323="",0,Z323),"0")+IFERROR(IF(Z324="",0,Z324),"0")+IFERROR(IF(Z325="",0,Z325),"0")+IFERROR(IF(Z326="",0,Z326),"0")</f>
        <v>0</v>
      </c>
      <c r="AA327" s="632"/>
      <c r="AB327" s="632"/>
      <c r="AC327" s="632"/>
    </row>
    <row r="328" spans="1:68" hidden="1" x14ac:dyDescent="0.2">
      <c r="A328" s="643"/>
      <c r="B328" s="643"/>
      <c r="C328" s="643"/>
      <c r="D328" s="643"/>
      <c r="E328" s="643"/>
      <c r="F328" s="643"/>
      <c r="G328" s="643"/>
      <c r="H328" s="643"/>
      <c r="I328" s="643"/>
      <c r="J328" s="643"/>
      <c r="K328" s="643"/>
      <c r="L328" s="643"/>
      <c r="M328" s="643"/>
      <c r="N328" s="643"/>
      <c r="O328" s="644"/>
      <c r="P328" s="646" t="s">
        <v>71</v>
      </c>
      <c r="Q328" s="647"/>
      <c r="R328" s="647"/>
      <c r="S328" s="647"/>
      <c r="T328" s="647"/>
      <c r="U328" s="647"/>
      <c r="V328" s="648"/>
      <c r="W328" s="37" t="s">
        <v>66</v>
      </c>
      <c r="X328" s="631">
        <f>IFERROR(SUM(X322:X326),"0")</f>
        <v>0</v>
      </c>
      <c r="Y328" s="631">
        <f>IFERROR(SUM(Y322:Y326),"0")</f>
        <v>0</v>
      </c>
      <c r="Z328" s="37"/>
      <c r="AA328" s="632"/>
      <c r="AB328" s="632"/>
      <c r="AC328" s="632"/>
    </row>
    <row r="329" spans="1:68" ht="16.5" hidden="1" customHeight="1" x14ac:dyDescent="0.25">
      <c r="A329" s="677" t="s">
        <v>544</v>
      </c>
      <c r="B329" s="643"/>
      <c r="C329" s="643"/>
      <c r="D329" s="643"/>
      <c r="E329" s="643"/>
      <c r="F329" s="643"/>
      <c r="G329" s="643"/>
      <c r="H329" s="643"/>
      <c r="I329" s="643"/>
      <c r="J329" s="643"/>
      <c r="K329" s="643"/>
      <c r="L329" s="643"/>
      <c r="M329" s="643"/>
      <c r="N329" s="643"/>
      <c r="O329" s="643"/>
      <c r="P329" s="643"/>
      <c r="Q329" s="643"/>
      <c r="R329" s="643"/>
      <c r="S329" s="643"/>
      <c r="T329" s="643"/>
      <c r="U329" s="643"/>
      <c r="V329" s="643"/>
      <c r="W329" s="643"/>
      <c r="X329" s="643"/>
      <c r="Y329" s="643"/>
      <c r="Z329" s="643"/>
      <c r="AA329" s="624"/>
      <c r="AB329" s="624"/>
      <c r="AC329" s="624"/>
    </row>
    <row r="330" spans="1:68" ht="14.25" hidden="1" customHeight="1" x14ac:dyDescent="0.25">
      <c r="A330" s="653" t="s">
        <v>73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25"/>
      <c r="AB330" s="625"/>
      <c r="AC330" s="625"/>
    </row>
    <row r="331" spans="1:68" ht="27" hidden="1" customHeight="1" x14ac:dyDescent="0.25">
      <c r="A331" s="54" t="s">
        <v>545</v>
      </c>
      <c r="B331" s="54" t="s">
        <v>546</v>
      </c>
      <c r="C331" s="31">
        <v>4301051893</v>
      </c>
      <c r="D331" s="633">
        <v>4680115886186</v>
      </c>
      <c r="E331" s="634"/>
      <c r="F331" s="628">
        <v>0.3</v>
      </c>
      <c r="G331" s="32">
        <v>6</v>
      </c>
      <c r="H331" s="628">
        <v>1.8</v>
      </c>
      <c r="I331" s="628">
        <v>1.98</v>
      </c>
      <c r="J331" s="32">
        <v>182</v>
      </c>
      <c r="K331" s="32" t="s">
        <v>76</v>
      </c>
      <c r="L331" s="32"/>
      <c r="M331" s="33" t="s">
        <v>77</v>
      </c>
      <c r="N331" s="33"/>
      <c r="O331" s="32">
        <v>45</v>
      </c>
      <c r="P331" s="71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36"/>
      <c r="R331" s="636"/>
      <c r="S331" s="636"/>
      <c r="T331" s="637"/>
      <c r="U331" s="34"/>
      <c r="V331" s="34"/>
      <c r="W331" s="35" t="s">
        <v>66</v>
      </c>
      <c r="X331" s="629">
        <v>0</v>
      </c>
      <c r="Y331" s="630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407" t="s">
        <v>547</v>
      </c>
      <c r="AG331" s="64"/>
      <c r="AJ331" s="68"/>
      <c r="AK331" s="68">
        <v>0</v>
      </c>
      <c r="BB331" s="40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customHeight="1" x14ac:dyDescent="0.25">
      <c r="A332" s="54" t="s">
        <v>548</v>
      </c>
      <c r="B332" s="54" t="s">
        <v>549</v>
      </c>
      <c r="C332" s="31">
        <v>4301051795</v>
      </c>
      <c r="D332" s="633">
        <v>4680115881228</v>
      </c>
      <c r="E332" s="634"/>
      <c r="F332" s="628">
        <v>0.4</v>
      </c>
      <c r="G332" s="32">
        <v>6</v>
      </c>
      <c r="H332" s="628">
        <v>2.4</v>
      </c>
      <c r="I332" s="628">
        <v>2.6520000000000001</v>
      </c>
      <c r="J332" s="32">
        <v>182</v>
      </c>
      <c r="K332" s="32" t="s">
        <v>76</v>
      </c>
      <c r="L332" s="32"/>
      <c r="M332" s="33" t="s">
        <v>83</v>
      </c>
      <c r="N332" s="33"/>
      <c r="O332" s="32">
        <v>40</v>
      </c>
      <c r="P332" s="8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36"/>
      <c r="R332" s="636"/>
      <c r="S332" s="636"/>
      <c r="T332" s="637"/>
      <c r="U332" s="34"/>
      <c r="V332" s="34"/>
      <c r="W332" s="35" t="s">
        <v>66</v>
      </c>
      <c r="X332" s="629">
        <v>28</v>
      </c>
      <c r="Y332" s="630">
        <f>IFERROR(IF(X332="",0,CEILING((X332/$H332),1)*$H332),"")</f>
        <v>28.799999999999997</v>
      </c>
      <c r="Z332" s="36">
        <f>IFERROR(IF(Y332=0,"",ROUNDUP(Y332/H332,0)*0.00651),"")</f>
        <v>7.8119999999999995E-2</v>
      </c>
      <c r="AA332" s="56"/>
      <c r="AB332" s="57"/>
      <c r="AC332" s="409" t="s">
        <v>550</v>
      </c>
      <c r="AG332" s="64"/>
      <c r="AJ332" s="68"/>
      <c r="AK332" s="68">
        <v>0</v>
      </c>
      <c r="BB332" s="410" t="s">
        <v>1</v>
      </c>
      <c r="BM332" s="64">
        <f>IFERROR(X332*I332/H332,"0")</f>
        <v>30.94</v>
      </c>
      <c r="BN332" s="64">
        <f>IFERROR(Y332*I332/H332,"0")</f>
        <v>31.824000000000002</v>
      </c>
      <c r="BO332" s="64">
        <f>IFERROR(1/J332*(X332/H332),"0")</f>
        <v>6.4102564102564111E-2</v>
      </c>
      <c r="BP332" s="64">
        <f>IFERROR(1/J332*(Y332/H332),"0")</f>
        <v>6.5934065934065936E-2</v>
      </c>
    </row>
    <row r="333" spans="1:68" ht="27" customHeight="1" x14ac:dyDescent="0.25">
      <c r="A333" s="54" t="s">
        <v>551</v>
      </c>
      <c r="B333" s="54" t="s">
        <v>552</v>
      </c>
      <c r="C333" s="31">
        <v>4301051388</v>
      </c>
      <c r="D333" s="633">
        <v>4680115881211</v>
      </c>
      <c r="E333" s="634"/>
      <c r="F333" s="628">
        <v>0.4</v>
      </c>
      <c r="G333" s="32">
        <v>6</v>
      </c>
      <c r="H333" s="628">
        <v>2.4</v>
      </c>
      <c r="I333" s="628">
        <v>2.58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90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36"/>
      <c r="R333" s="636"/>
      <c r="S333" s="636"/>
      <c r="T333" s="637"/>
      <c r="U333" s="34"/>
      <c r="V333" s="34"/>
      <c r="W333" s="35" t="s">
        <v>66</v>
      </c>
      <c r="X333" s="629">
        <v>34</v>
      </c>
      <c r="Y333" s="630">
        <f>IFERROR(IF(X333="",0,CEILING((X333/$H333),1)*$H333),"")</f>
        <v>36</v>
      </c>
      <c r="Z333" s="36">
        <f>IFERROR(IF(Y333=0,"",ROUNDUP(Y333/H333,0)*0.00651),"")</f>
        <v>9.7650000000000001E-2</v>
      </c>
      <c r="AA333" s="56"/>
      <c r="AB333" s="57"/>
      <c r="AC333" s="411" t="s">
        <v>547</v>
      </c>
      <c r="AG333" s="64"/>
      <c r="AJ333" s="68"/>
      <c r="AK333" s="68">
        <v>0</v>
      </c>
      <c r="BB333" s="412" t="s">
        <v>1</v>
      </c>
      <c r="BM333" s="64">
        <f>IFERROR(X333*I333/H333,"0")</f>
        <v>36.550000000000004</v>
      </c>
      <c r="BN333" s="64">
        <f>IFERROR(Y333*I333/H333,"0")</f>
        <v>38.700000000000003</v>
      </c>
      <c r="BO333" s="64">
        <f>IFERROR(1/J333*(X333/H333),"0")</f>
        <v>7.7838827838827854E-2</v>
      </c>
      <c r="BP333" s="64">
        <f>IFERROR(1/J333*(Y333/H333),"0")</f>
        <v>8.241758241758243E-2</v>
      </c>
    </row>
    <row r="334" spans="1:68" x14ac:dyDescent="0.2">
      <c r="A334" s="642"/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4"/>
      <c r="P334" s="646" t="s">
        <v>71</v>
      </c>
      <c r="Q334" s="647"/>
      <c r="R334" s="647"/>
      <c r="S334" s="647"/>
      <c r="T334" s="647"/>
      <c r="U334" s="647"/>
      <c r="V334" s="648"/>
      <c r="W334" s="37" t="s">
        <v>72</v>
      </c>
      <c r="X334" s="631">
        <f>IFERROR(X331/H331,"0")+IFERROR(X332/H332,"0")+IFERROR(X333/H333,"0")</f>
        <v>25.833333333333336</v>
      </c>
      <c r="Y334" s="631">
        <f>IFERROR(Y331/H331,"0")+IFERROR(Y332/H332,"0")+IFERROR(Y333/H333,"0")</f>
        <v>27</v>
      </c>
      <c r="Z334" s="631">
        <f>IFERROR(IF(Z331="",0,Z331),"0")+IFERROR(IF(Z332="",0,Z332),"0")+IFERROR(IF(Z333="",0,Z333),"0")</f>
        <v>0.17576999999999998</v>
      </c>
      <c r="AA334" s="632"/>
      <c r="AB334" s="632"/>
      <c r="AC334" s="632"/>
    </row>
    <row r="335" spans="1:68" x14ac:dyDescent="0.2">
      <c r="A335" s="643"/>
      <c r="B335" s="643"/>
      <c r="C335" s="643"/>
      <c r="D335" s="643"/>
      <c r="E335" s="643"/>
      <c r="F335" s="643"/>
      <c r="G335" s="643"/>
      <c r="H335" s="643"/>
      <c r="I335" s="643"/>
      <c r="J335" s="643"/>
      <c r="K335" s="643"/>
      <c r="L335" s="643"/>
      <c r="M335" s="643"/>
      <c r="N335" s="643"/>
      <c r="O335" s="644"/>
      <c r="P335" s="646" t="s">
        <v>71</v>
      </c>
      <c r="Q335" s="647"/>
      <c r="R335" s="647"/>
      <c r="S335" s="647"/>
      <c r="T335" s="647"/>
      <c r="U335" s="647"/>
      <c r="V335" s="648"/>
      <c r="W335" s="37" t="s">
        <v>66</v>
      </c>
      <c r="X335" s="631">
        <f>IFERROR(SUM(X331:X333),"0")</f>
        <v>62</v>
      </c>
      <c r="Y335" s="631">
        <f>IFERROR(SUM(Y331:Y333),"0")</f>
        <v>64.8</v>
      </c>
      <c r="Z335" s="37"/>
      <c r="AA335" s="632"/>
      <c r="AB335" s="632"/>
      <c r="AC335" s="632"/>
    </row>
    <row r="336" spans="1:68" ht="16.5" hidden="1" customHeight="1" x14ac:dyDescent="0.25">
      <c r="A336" s="677" t="s">
        <v>553</v>
      </c>
      <c r="B336" s="643"/>
      <c r="C336" s="643"/>
      <c r="D336" s="643"/>
      <c r="E336" s="643"/>
      <c r="F336" s="643"/>
      <c r="G336" s="643"/>
      <c r="H336" s="643"/>
      <c r="I336" s="643"/>
      <c r="J336" s="643"/>
      <c r="K336" s="643"/>
      <c r="L336" s="643"/>
      <c r="M336" s="643"/>
      <c r="N336" s="643"/>
      <c r="O336" s="643"/>
      <c r="P336" s="643"/>
      <c r="Q336" s="643"/>
      <c r="R336" s="643"/>
      <c r="S336" s="643"/>
      <c r="T336" s="643"/>
      <c r="U336" s="643"/>
      <c r="V336" s="643"/>
      <c r="W336" s="643"/>
      <c r="X336" s="643"/>
      <c r="Y336" s="643"/>
      <c r="Z336" s="643"/>
      <c r="AA336" s="624"/>
      <c r="AB336" s="624"/>
      <c r="AC336" s="624"/>
    </row>
    <row r="337" spans="1:68" ht="14.25" hidden="1" customHeight="1" x14ac:dyDescent="0.25">
      <c r="A337" s="653" t="s">
        <v>61</v>
      </c>
      <c r="B337" s="643"/>
      <c r="C337" s="643"/>
      <c r="D337" s="643"/>
      <c r="E337" s="643"/>
      <c r="F337" s="643"/>
      <c r="G337" s="643"/>
      <c r="H337" s="643"/>
      <c r="I337" s="643"/>
      <c r="J337" s="643"/>
      <c r="K337" s="643"/>
      <c r="L337" s="643"/>
      <c r="M337" s="643"/>
      <c r="N337" s="643"/>
      <c r="O337" s="643"/>
      <c r="P337" s="643"/>
      <c r="Q337" s="643"/>
      <c r="R337" s="643"/>
      <c r="S337" s="643"/>
      <c r="T337" s="643"/>
      <c r="U337" s="643"/>
      <c r="V337" s="643"/>
      <c r="W337" s="643"/>
      <c r="X337" s="643"/>
      <c r="Y337" s="643"/>
      <c r="Z337" s="643"/>
      <c r="AA337" s="625"/>
      <c r="AB337" s="625"/>
      <c r="AC337" s="625"/>
    </row>
    <row r="338" spans="1:68" ht="27" hidden="1" customHeight="1" x14ac:dyDescent="0.25">
      <c r="A338" s="54" t="s">
        <v>554</v>
      </c>
      <c r="B338" s="54" t="s">
        <v>555</v>
      </c>
      <c r="C338" s="31">
        <v>4301031445</v>
      </c>
      <c r="D338" s="633">
        <v>4680115888319</v>
      </c>
      <c r="E338" s="634"/>
      <c r="F338" s="628">
        <v>0.35</v>
      </c>
      <c r="G338" s="32">
        <v>6</v>
      </c>
      <c r="H338" s="628">
        <v>2.1</v>
      </c>
      <c r="I338" s="628">
        <v>2.23</v>
      </c>
      <c r="J338" s="32">
        <v>234</v>
      </c>
      <c r="K338" s="32" t="s">
        <v>64</v>
      </c>
      <c r="L338" s="32"/>
      <c r="M338" s="33" t="s">
        <v>65</v>
      </c>
      <c r="N338" s="33"/>
      <c r="O338" s="32">
        <v>45</v>
      </c>
      <c r="P338" s="99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36"/>
      <c r="R338" s="636"/>
      <c r="S338" s="636"/>
      <c r="T338" s="637"/>
      <c r="U338" s="34"/>
      <c r="V338" s="34"/>
      <c r="W338" s="35" t="s">
        <v>66</v>
      </c>
      <c r="X338" s="629">
        <v>0</v>
      </c>
      <c r="Y338" s="630">
        <f>IFERROR(IF(X338="",0,CEILING((X338/$H338),1)*$H338),"")</f>
        <v>0</v>
      </c>
      <c r="Z338" s="36" t="str">
        <f>IFERROR(IF(Y338=0,"",ROUNDUP(Y338/H338,0)*0.00502),"")</f>
        <v/>
      </c>
      <c r="AA338" s="56"/>
      <c r="AB338" s="57"/>
      <c r="AC338" s="413" t="s">
        <v>388</v>
      </c>
      <c r="AG338" s="64"/>
      <c r="AJ338" s="68"/>
      <c r="AK338" s="68">
        <v>0</v>
      </c>
      <c r="BB338" s="414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hidden="1" customHeight="1" x14ac:dyDescent="0.25">
      <c r="A339" s="54" t="s">
        <v>556</v>
      </c>
      <c r="B339" s="54" t="s">
        <v>557</v>
      </c>
      <c r="C339" s="31">
        <v>4301031502</v>
      </c>
      <c r="D339" s="633">
        <v>4680115884700</v>
      </c>
      <c r="E339" s="634"/>
      <c r="F339" s="628">
        <v>0.57999999999999996</v>
      </c>
      <c r="G339" s="32">
        <v>4</v>
      </c>
      <c r="H339" s="628">
        <v>2.3199999999999998</v>
      </c>
      <c r="I339" s="628">
        <v>2.42</v>
      </c>
      <c r="J339" s="32">
        <v>234</v>
      </c>
      <c r="K339" s="32" t="s">
        <v>64</v>
      </c>
      <c r="L339" s="32"/>
      <c r="M339" s="33" t="s">
        <v>65</v>
      </c>
      <c r="N339" s="33"/>
      <c r="O339" s="32">
        <v>40</v>
      </c>
      <c r="P339" s="73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36"/>
      <c r="R339" s="636"/>
      <c r="S339" s="636"/>
      <c r="T339" s="637"/>
      <c r="U339" s="34"/>
      <c r="V339" s="34"/>
      <c r="W339" s="35" t="s">
        <v>66</v>
      </c>
      <c r="X339" s="629">
        <v>0</v>
      </c>
      <c r="Y339" s="630">
        <f>IFERROR(IF(X339="",0,CEILING((X339/$H339),1)*$H339),"")</f>
        <v>0</v>
      </c>
      <c r="Z339" s="36" t="str">
        <f>IFERROR(IF(Y339=0,"",ROUNDUP(Y339/H339,0)*0.00502),"")</f>
        <v/>
      </c>
      <c r="AA339" s="56"/>
      <c r="AB339" s="57"/>
      <c r="AC339" s="415" t="s">
        <v>558</v>
      </c>
      <c r="AG339" s="64"/>
      <c r="AJ339" s="68"/>
      <c r="AK339" s="68">
        <v>0</v>
      </c>
      <c r="BB339" s="416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t="27" hidden="1" customHeight="1" x14ac:dyDescent="0.25">
      <c r="A340" s="54" t="s">
        <v>559</v>
      </c>
      <c r="B340" s="54" t="s">
        <v>560</v>
      </c>
      <c r="C340" s="31">
        <v>4301031307</v>
      </c>
      <c r="D340" s="633">
        <v>4680115880344</v>
      </c>
      <c r="E340" s="634"/>
      <c r="F340" s="628">
        <v>0.28000000000000003</v>
      </c>
      <c r="G340" s="32">
        <v>6</v>
      </c>
      <c r="H340" s="628">
        <v>1.68</v>
      </c>
      <c r="I340" s="628">
        <v>1.78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40</v>
      </c>
      <c r="P340" s="78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36"/>
      <c r="R340" s="636"/>
      <c r="S340" s="636"/>
      <c r="T340" s="637"/>
      <c r="U340" s="34"/>
      <c r="V340" s="34"/>
      <c r="W340" s="35" t="s">
        <v>66</v>
      </c>
      <c r="X340" s="629">
        <v>0</v>
      </c>
      <c r="Y340" s="630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561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562</v>
      </c>
      <c r="B341" s="54" t="s">
        <v>563</v>
      </c>
      <c r="C341" s="31">
        <v>4301031501</v>
      </c>
      <c r="D341" s="633">
        <v>4680115886919</v>
      </c>
      <c r="E341" s="634"/>
      <c r="F341" s="628">
        <v>0.4</v>
      </c>
      <c r="G341" s="32">
        <v>6</v>
      </c>
      <c r="H341" s="628">
        <v>2.4</v>
      </c>
      <c r="I341" s="628">
        <v>2.58</v>
      </c>
      <c r="J341" s="32">
        <v>182</v>
      </c>
      <c r="K341" s="32" t="s">
        <v>76</v>
      </c>
      <c r="L341" s="32"/>
      <c r="M341" s="33" t="s">
        <v>65</v>
      </c>
      <c r="N341" s="33"/>
      <c r="O341" s="32">
        <v>40</v>
      </c>
      <c r="P341" s="92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36"/>
      <c r="R341" s="636"/>
      <c r="S341" s="636"/>
      <c r="T341" s="637"/>
      <c r="U341" s="34"/>
      <c r="V341" s="34"/>
      <c r="W341" s="35" t="s">
        <v>66</v>
      </c>
      <c r="X341" s="629">
        <v>0</v>
      </c>
      <c r="Y341" s="630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419" t="s">
        <v>564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565</v>
      </c>
      <c r="B342" s="54" t="s">
        <v>566</v>
      </c>
      <c r="C342" s="31">
        <v>4301031246</v>
      </c>
      <c r="D342" s="633">
        <v>4680115883970</v>
      </c>
      <c r="E342" s="634"/>
      <c r="F342" s="628">
        <v>0.28000000000000003</v>
      </c>
      <c r="G342" s="32">
        <v>6</v>
      </c>
      <c r="H342" s="628">
        <v>1.68</v>
      </c>
      <c r="I342" s="628">
        <v>2.5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95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36"/>
      <c r="R342" s="636"/>
      <c r="S342" s="636"/>
      <c r="T342" s="637"/>
      <c r="U342" s="34"/>
      <c r="V342" s="34"/>
      <c r="W342" s="35" t="s">
        <v>66</v>
      </c>
      <c r="X342" s="629">
        <v>0</v>
      </c>
      <c r="Y342" s="630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567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642"/>
      <c r="B343" s="643"/>
      <c r="C343" s="643"/>
      <c r="D343" s="643"/>
      <c r="E343" s="643"/>
      <c r="F343" s="643"/>
      <c r="G343" s="643"/>
      <c r="H343" s="643"/>
      <c r="I343" s="643"/>
      <c r="J343" s="643"/>
      <c r="K343" s="643"/>
      <c r="L343" s="643"/>
      <c r="M343" s="643"/>
      <c r="N343" s="643"/>
      <c r="O343" s="644"/>
      <c r="P343" s="646" t="s">
        <v>71</v>
      </c>
      <c r="Q343" s="647"/>
      <c r="R343" s="647"/>
      <c r="S343" s="647"/>
      <c r="T343" s="647"/>
      <c r="U343" s="647"/>
      <c r="V343" s="648"/>
      <c r="W343" s="37" t="s">
        <v>72</v>
      </c>
      <c r="X343" s="631">
        <f>IFERROR(X338/H338,"0")+IFERROR(X339/H339,"0")+IFERROR(X340/H340,"0")+IFERROR(X341/H341,"0")+IFERROR(X342/H342,"0")</f>
        <v>0</v>
      </c>
      <c r="Y343" s="631">
        <f>IFERROR(Y338/H338,"0")+IFERROR(Y339/H339,"0")+IFERROR(Y340/H340,"0")+IFERROR(Y341/H341,"0")+IFERROR(Y342/H342,"0")</f>
        <v>0</v>
      </c>
      <c r="Z343" s="631">
        <f>IFERROR(IF(Z338="",0,Z338),"0")+IFERROR(IF(Z339="",0,Z339),"0")+IFERROR(IF(Z340="",0,Z340),"0")+IFERROR(IF(Z341="",0,Z341),"0")+IFERROR(IF(Z342="",0,Z342),"0")</f>
        <v>0</v>
      </c>
      <c r="AA343" s="632"/>
      <c r="AB343" s="632"/>
      <c r="AC343" s="632"/>
    </row>
    <row r="344" spans="1:68" hidden="1" x14ac:dyDescent="0.2">
      <c r="A344" s="643"/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4"/>
      <c r="P344" s="646" t="s">
        <v>71</v>
      </c>
      <c r="Q344" s="647"/>
      <c r="R344" s="647"/>
      <c r="S344" s="647"/>
      <c r="T344" s="647"/>
      <c r="U344" s="647"/>
      <c r="V344" s="648"/>
      <c r="W344" s="37" t="s">
        <v>66</v>
      </c>
      <c r="X344" s="631">
        <f>IFERROR(SUM(X338:X342),"0")</f>
        <v>0</v>
      </c>
      <c r="Y344" s="631">
        <f>IFERROR(SUM(Y338:Y342),"0")</f>
        <v>0</v>
      </c>
      <c r="Z344" s="37"/>
      <c r="AA344" s="632"/>
      <c r="AB344" s="632"/>
      <c r="AC344" s="632"/>
    </row>
    <row r="345" spans="1:68" ht="14.25" hidden="1" customHeight="1" x14ac:dyDescent="0.25">
      <c r="A345" s="653" t="s">
        <v>73</v>
      </c>
      <c r="B345" s="643"/>
      <c r="C345" s="643"/>
      <c r="D345" s="643"/>
      <c r="E345" s="643"/>
      <c r="F345" s="643"/>
      <c r="G345" s="643"/>
      <c r="H345" s="643"/>
      <c r="I345" s="643"/>
      <c r="J345" s="643"/>
      <c r="K345" s="643"/>
      <c r="L345" s="643"/>
      <c r="M345" s="643"/>
      <c r="N345" s="643"/>
      <c r="O345" s="643"/>
      <c r="P345" s="643"/>
      <c r="Q345" s="643"/>
      <c r="R345" s="643"/>
      <c r="S345" s="643"/>
      <c r="T345" s="643"/>
      <c r="U345" s="643"/>
      <c r="V345" s="643"/>
      <c r="W345" s="643"/>
      <c r="X345" s="643"/>
      <c r="Y345" s="643"/>
      <c r="Z345" s="643"/>
      <c r="AA345" s="625"/>
      <c r="AB345" s="625"/>
      <c r="AC345" s="625"/>
    </row>
    <row r="346" spans="1:68" ht="27" hidden="1" customHeight="1" x14ac:dyDescent="0.25">
      <c r="A346" s="54" t="s">
        <v>568</v>
      </c>
      <c r="B346" s="54" t="s">
        <v>569</v>
      </c>
      <c r="C346" s="31">
        <v>4301051782</v>
      </c>
      <c r="D346" s="633">
        <v>4680115884618</v>
      </c>
      <c r="E346" s="634"/>
      <c r="F346" s="628">
        <v>0.6</v>
      </c>
      <c r="G346" s="32">
        <v>6</v>
      </c>
      <c r="H346" s="628">
        <v>3.6</v>
      </c>
      <c r="I346" s="628">
        <v>3.79</v>
      </c>
      <c r="J346" s="32">
        <v>132</v>
      </c>
      <c r="K346" s="32" t="s">
        <v>124</v>
      </c>
      <c r="L346" s="32"/>
      <c r="M346" s="33" t="s">
        <v>77</v>
      </c>
      <c r="N346" s="33"/>
      <c r="O346" s="32">
        <v>45</v>
      </c>
      <c r="P346" s="91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36"/>
      <c r="R346" s="636"/>
      <c r="S346" s="636"/>
      <c r="T346" s="637"/>
      <c r="U346" s="34"/>
      <c r="V346" s="34"/>
      <c r="W346" s="35" t="s">
        <v>66</v>
      </c>
      <c r="X346" s="629">
        <v>0</v>
      </c>
      <c r="Y346" s="630">
        <f>IFERROR(IF(X346="",0,CEILING((X346/$H346),1)*$H346),"")</f>
        <v>0</v>
      </c>
      <c r="Z346" s="36" t="str">
        <f>IFERROR(IF(Y346=0,"",ROUNDUP(Y346/H346,0)*0.00902),"")</f>
        <v/>
      </c>
      <c r="AA346" s="56"/>
      <c r="AB346" s="57"/>
      <c r="AC346" s="423" t="s">
        <v>570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t="27" hidden="1" customHeight="1" x14ac:dyDescent="0.25">
      <c r="A347" s="54" t="s">
        <v>571</v>
      </c>
      <c r="B347" s="54" t="s">
        <v>572</v>
      </c>
      <c r="C347" s="31">
        <v>4301052057</v>
      </c>
      <c r="D347" s="633">
        <v>4680115887114</v>
      </c>
      <c r="E347" s="634"/>
      <c r="F347" s="628">
        <v>0.55000000000000004</v>
      </c>
      <c r="G347" s="32">
        <v>6</v>
      </c>
      <c r="H347" s="628">
        <v>3.3</v>
      </c>
      <c r="I347" s="628">
        <v>3.49</v>
      </c>
      <c r="J347" s="32">
        <v>132</v>
      </c>
      <c r="K347" s="32" t="s">
        <v>124</v>
      </c>
      <c r="L347" s="32"/>
      <c r="M347" s="33" t="s">
        <v>77</v>
      </c>
      <c r="N347" s="33"/>
      <c r="O347" s="32">
        <v>45</v>
      </c>
      <c r="P347" s="9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36"/>
      <c r="R347" s="636"/>
      <c r="S347" s="636"/>
      <c r="T347" s="637"/>
      <c r="U347" s="34"/>
      <c r="V347" s="34"/>
      <c r="W347" s="35" t="s">
        <v>66</v>
      </c>
      <c r="X347" s="629">
        <v>0</v>
      </c>
      <c r="Y347" s="630">
        <f>IFERROR(IF(X347="",0,CEILING((X347/$H347),1)*$H347),"")</f>
        <v>0</v>
      </c>
      <c r="Z347" s="36" t="str">
        <f>IFERROR(IF(Y347=0,"",ROUNDUP(Y347/H347,0)*0.00902),"")</f>
        <v/>
      </c>
      <c r="AA347" s="56"/>
      <c r="AB347" s="57"/>
      <c r="AC347" s="425" t="s">
        <v>573</v>
      </c>
      <c r="AG347" s="64"/>
      <c r="AJ347" s="68"/>
      <c r="AK347" s="68">
        <v>0</v>
      </c>
      <c r="BB347" s="426" t="s">
        <v>1</v>
      </c>
      <c r="BM347" s="64">
        <f>IFERROR(X347*I347/H347,"0")</f>
        <v>0</v>
      </c>
      <c r="BN347" s="64">
        <f>IFERROR(Y347*I347/H347,"0")</f>
        <v>0</v>
      </c>
      <c r="BO347" s="64">
        <f>IFERROR(1/J347*(X347/H347),"0")</f>
        <v>0</v>
      </c>
      <c r="BP347" s="64">
        <f>IFERROR(1/J347*(Y347/H347),"0")</f>
        <v>0</v>
      </c>
    </row>
    <row r="348" spans="1:68" hidden="1" x14ac:dyDescent="0.2">
      <c r="A348" s="642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44"/>
      <c r="P348" s="646" t="s">
        <v>71</v>
      </c>
      <c r="Q348" s="647"/>
      <c r="R348" s="647"/>
      <c r="S348" s="647"/>
      <c r="T348" s="647"/>
      <c r="U348" s="647"/>
      <c r="V348" s="648"/>
      <c r="W348" s="37" t="s">
        <v>72</v>
      </c>
      <c r="X348" s="631">
        <f>IFERROR(X346/H346,"0")+IFERROR(X347/H347,"0")</f>
        <v>0</v>
      </c>
      <c r="Y348" s="631">
        <f>IFERROR(Y346/H346,"0")+IFERROR(Y347/H347,"0")</f>
        <v>0</v>
      </c>
      <c r="Z348" s="631">
        <f>IFERROR(IF(Z346="",0,Z346),"0")+IFERROR(IF(Z347="",0,Z347),"0")</f>
        <v>0</v>
      </c>
      <c r="AA348" s="632"/>
      <c r="AB348" s="632"/>
      <c r="AC348" s="632"/>
    </row>
    <row r="349" spans="1:68" hidden="1" x14ac:dyDescent="0.2">
      <c r="A349" s="643"/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4"/>
      <c r="P349" s="646" t="s">
        <v>71</v>
      </c>
      <c r="Q349" s="647"/>
      <c r="R349" s="647"/>
      <c r="S349" s="647"/>
      <c r="T349" s="647"/>
      <c r="U349" s="647"/>
      <c r="V349" s="648"/>
      <c r="W349" s="37" t="s">
        <v>66</v>
      </c>
      <c r="X349" s="631">
        <f>IFERROR(SUM(X346:X347),"0")</f>
        <v>0</v>
      </c>
      <c r="Y349" s="631">
        <f>IFERROR(SUM(Y346:Y347),"0")</f>
        <v>0</v>
      </c>
      <c r="Z349" s="37"/>
      <c r="AA349" s="632"/>
      <c r="AB349" s="632"/>
      <c r="AC349" s="632"/>
    </row>
    <row r="350" spans="1:68" ht="16.5" hidden="1" customHeight="1" x14ac:dyDescent="0.25">
      <c r="A350" s="677" t="s">
        <v>574</v>
      </c>
      <c r="B350" s="643"/>
      <c r="C350" s="643"/>
      <c r="D350" s="643"/>
      <c r="E350" s="643"/>
      <c r="F350" s="643"/>
      <c r="G350" s="643"/>
      <c r="H350" s="643"/>
      <c r="I350" s="643"/>
      <c r="J350" s="643"/>
      <c r="K350" s="643"/>
      <c r="L350" s="643"/>
      <c r="M350" s="643"/>
      <c r="N350" s="643"/>
      <c r="O350" s="643"/>
      <c r="P350" s="643"/>
      <c r="Q350" s="643"/>
      <c r="R350" s="643"/>
      <c r="S350" s="643"/>
      <c r="T350" s="643"/>
      <c r="U350" s="643"/>
      <c r="V350" s="643"/>
      <c r="W350" s="643"/>
      <c r="X350" s="643"/>
      <c r="Y350" s="643"/>
      <c r="Z350" s="643"/>
      <c r="AA350" s="624"/>
      <c r="AB350" s="624"/>
      <c r="AC350" s="624"/>
    </row>
    <row r="351" spans="1:68" ht="14.25" hidden="1" customHeight="1" x14ac:dyDescent="0.25">
      <c r="A351" s="653" t="s">
        <v>112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25"/>
      <c r="AB351" s="625"/>
      <c r="AC351" s="625"/>
    </row>
    <row r="352" spans="1:68" ht="27" hidden="1" customHeight="1" x14ac:dyDescent="0.25">
      <c r="A352" s="54" t="s">
        <v>575</v>
      </c>
      <c r="B352" s="54" t="s">
        <v>576</v>
      </c>
      <c r="C352" s="31">
        <v>4301012324</v>
      </c>
      <c r="D352" s="633">
        <v>4680115887947</v>
      </c>
      <c r="E352" s="634"/>
      <c r="F352" s="628">
        <v>1.3</v>
      </c>
      <c r="G352" s="32">
        <v>6</v>
      </c>
      <c r="H352" s="628">
        <v>7.8</v>
      </c>
      <c r="I352" s="628">
        <v>8.2100000000000009</v>
      </c>
      <c r="J352" s="32">
        <v>64</v>
      </c>
      <c r="K352" s="32" t="s">
        <v>115</v>
      </c>
      <c r="L352" s="32"/>
      <c r="M352" s="33" t="s">
        <v>77</v>
      </c>
      <c r="N352" s="33"/>
      <c r="O352" s="32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36"/>
      <c r="R352" s="636"/>
      <c r="S352" s="636"/>
      <c r="T352" s="637"/>
      <c r="U352" s="34"/>
      <c r="V352" s="34"/>
      <c r="W352" s="35" t="s">
        <v>66</v>
      </c>
      <c r="X352" s="629">
        <v>0</v>
      </c>
      <c r="Y352" s="630">
        <f>IFERROR(IF(X352="",0,CEILING((X352/$H352),1)*$H352),"")</f>
        <v>0</v>
      </c>
      <c r="Z352" s="36" t="str">
        <f>IFERROR(IF(Y352=0,"",ROUNDUP(Y352/H352,0)*0.01898),"")</f>
        <v/>
      </c>
      <c r="AA352" s="56"/>
      <c r="AB352" s="57"/>
      <c r="AC352" s="427" t="s">
        <v>347</v>
      </c>
      <c r="AG352" s="64"/>
      <c r="AJ352" s="68"/>
      <c r="AK352" s="68">
        <v>0</v>
      </c>
      <c r="BB352" s="428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577</v>
      </c>
      <c r="B353" s="54" t="s">
        <v>578</v>
      </c>
      <c r="C353" s="31">
        <v>4301012325</v>
      </c>
      <c r="D353" s="633">
        <v>4680115887978</v>
      </c>
      <c r="E353" s="634"/>
      <c r="F353" s="628">
        <v>1.3</v>
      </c>
      <c r="G353" s="32">
        <v>6</v>
      </c>
      <c r="H353" s="628">
        <v>7.8</v>
      </c>
      <c r="I353" s="628">
        <v>8.2100000000000009</v>
      </c>
      <c r="J353" s="32">
        <v>64</v>
      </c>
      <c r="K353" s="32" t="s">
        <v>115</v>
      </c>
      <c r="L353" s="32"/>
      <c r="M353" s="33" t="s">
        <v>77</v>
      </c>
      <c r="N353" s="33"/>
      <c r="O353" s="32">
        <v>60</v>
      </c>
      <c r="P353" s="79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36"/>
      <c r="R353" s="636"/>
      <c r="S353" s="636"/>
      <c r="T353" s="637"/>
      <c r="U353" s="34"/>
      <c r="V353" s="34"/>
      <c r="W353" s="35" t="s">
        <v>66</v>
      </c>
      <c r="X353" s="629">
        <v>89</v>
      </c>
      <c r="Y353" s="630">
        <f>IFERROR(IF(X353="",0,CEILING((X353/$H353),1)*$H353),"")</f>
        <v>93.6</v>
      </c>
      <c r="Z353" s="36">
        <f>IFERROR(IF(Y353=0,"",ROUNDUP(Y353/H353,0)*0.01898),"")</f>
        <v>0.22776000000000002</v>
      </c>
      <c r="AA353" s="56"/>
      <c r="AB353" s="57"/>
      <c r="AC353" s="429" t="s">
        <v>579</v>
      </c>
      <c r="AG353" s="64"/>
      <c r="AJ353" s="68"/>
      <c r="AK353" s="68">
        <v>0</v>
      </c>
      <c r="BB353" s="430" t="s">
        <v>1</v>
      </c>
      <c r="BM353" s="64">
        <f>IFERROR(X353*I353/H353,"0")</f>
        <v>93.678205128205136</v>
      </c>
      <c r="BN353" s="64">
        <f>IFERROR(Y353*I353/H353,"0")</f>
        <v>98.52000000000001</v>
      </c>
      <c r="BO353" s="64">
        <f>IFERROR(1/J353*(X353/H353),"0")</f>
        <v>0.17828525641025642</v>
      </c>
      <c r="BP353" s="64">
        <f>IFERROR(1/J353*(Y353/H353),"0")</f>
        <v>0.1875</v>
      </c>
    </row>
    <row r="354" spans="1:68" ht="27" customHeight="1" x14ac:dyDescent="0.25">
      <c r="A354" s="54" t="s">
        <v>580</v>
      </c>
      <c r="B354" s="54" t="s">
        <v>581</v>
      </c>
      <c r="C354" s="31">
        <v>4301012327</v>
      </c>
      <c r="D354" s="633">
        <v>4680115887992</v>
      </c>
      <c r="E354" s="634"/>
      <c r="F354" s="628">
        <v>1.3</v>
      </c>
      <c r="G354" s="32">
        <v>6</v>
      </c>
      <c r="H354" s="628">
        <v>7.8</v>
      </c>
      <c r="I354" s="628">
        <v>8.2100000000000009</v>
      </c>
      <c r="J354" s="32">
        <v>64</v>
      </c>
      <c r="K354" s="32" t="s">
        <v>115</v>
      </c>
      <c r="L354" s="32"/>
      <c r="M354" s="33" t="s">
        <v>77</v>
      </c>
      <c r="N354" s="33"/>
      <c r="O354" s="32">
        <v>60</v>
      </c>
      <c r="P354" s="9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36"/>
      <c r="R354" s="636"/>
      <c r="S354" s="636"/>
      <c r="T354" s="637"/>
      <c r="U354" s="34"/>
      <c r="V354" s="34"/>
      <c r="W354" s="35" t="s">
        <v>66</v>
      </c>
      <c r="X354" s="629">
        <v>48</v>
      </c>
      <c r="Y354" s="630">
        <f>IFERROR(IF(X354="",0,CEILING((X354/$H354),1)*$H354),"")</f>
        <v>54.6</v>
      </c>
      <c r="Z354" s="36">
        <f>IFERROR(IF(Y354=0,"",ROUNDUP(Y354/H354,0)*0.01898),"")</f>
        <v>0.13286000000000001</v>
      </c>
      <c r="AA354" s="56"/>
      <c r="AB354" s="57"/>
      <c r="AC354" s="431" t="s">
        <v>582</v>
      </c>
      <c r="AG354" s="64"/>
      <c r="AJ354" s="68"/>
      <c r="AK354" s="68">
        <v>0</v>
      </c>
      <c r="BB354" s="432" t="s">
        <v>1</v>
      </c>
      <c r="BM354" s="64">
        <f>IFERROR(X354*I354/H354,"0")</f>
        <v>50.523076923076928</v>
      </c>
      <c r="BN354" s="64">
        <f>IFERROR(Y354*I354/H354,"0")</f>
        <v>57.470000000000013</v>
      </c>
      <c r="BO354" s="64">
        <f>IFERROR(1/J354*(X354/H354),"0")</f>
        <v>9.6153846153846159E-2</v>
      </c>
      <c r="BP354" s="64">
        <f>IFERROR(1/J354*(Y354/H354),"0")</f>
        <v>0.109375</v>
      </c>
    </row>
    <row r="355" spans="1:68" x14ac:dyDescent="0.2">
      <c r="A355" s="642"/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4"/>
      <c r="P355" s="646" t="s">
        <v>71</v>
      </c>
      <c r="Q355" s="647"/>
      <c r="R355" s="647"/>
      <c r="S355" s="647"/>
      <c r="T355" s="647"/>
      <c r="U355" s="647"/>
      <c r="V355" s="648"/>
      <c r="W355" s="37" t="s">
        <v>72</v>
      </c>
      <c r="X355" s="631">
        <f>IFERROR(X352/H352,"0")+IFERROR(X353/H353,"0")+IFERROR(X354/H354,"0")</f>
        <v>17.564102564102566</v>
      </c>
      <c r="Y355" s="631">
        <f>IFERROR(Y352/H352,"0")+IFERROR(Y353/H353,"0")+IFERROR(Y354/H354,"0")</f>
        <v>19</v>
      </c>
      <c r="Z355" s="631">
        <f>IFERROR(IF(Z352="",0,Z352),"0")+IFERROR(IF(Z353="",0,Z353),"0")+IFERROR(IF(Z354="",0,Z354),"0")</f>
        <v>0.36062000000000005</v>
      </c>
      <c r="AA355" s="632"/>
      <c r="AB355" s="632"/>
      <c r="AC355" s="632"/>
    </row>
    <row r="356" spans="1:68" x14ac:dyDescent="0.2">
      <c r="A356" s="643"/>
      <c r="B356" s="643"/>
      <c r="C356" s="643"/>
      <c r="D356" s="643"/>
      <c r="E356" s="643"/>
      <c r="F356" s="643"/>
      <c r="G356" s="643"/>
      <c r="H356" s="643"/>
      <c r="I356" s="643"/>
      <c r="J356" s="643"/>
      <c r="K356" s="643"/>
      <c r="L356" s="643"/>
      <c r="M356" s="643"/>
      <c r="N356" s="643"/>
      <c r="O356" s="644"/>
      <c r="P356" s="646" t="s">
        <v>71</v>
      </c>
      <c r="Q356" s="647"/>
      <c r="R356" s="647"/>
      <c r="S356" s="647"/>
      <c r="T356" s="647"/>
      <c r="U356" s="647"/>
      <c r="V356" s="648"/>
      <c r="W356" s="37" t="s">
        <v>66</v>
      </c>
      <c r="X356" s="631">
        <f>IFERROR(SUM(X352:X354),"0")</f>
        <v>137</v>
      </c>
      <c r="Y356" s="631">
        <f>IFERROR(SUM(Y352:Y354),"0")</f>
        <v>148.19999999999999</v>
      </c>
      <c r="Z356" s="37"/>
      <c r="AA356" s="632"/>
      <c r="AB356" s="632"/>
      <c r="AC356" s="632"/>
    </row>
    <row r="357" spans="1:68" ht="16.5" hidden="1" customHeight="1" x14ac:dyDescent="0.25">
      <c r="A357" s="677" t="s">
        <v>583</v>
      </c>
      <c r="B357" s="643"/>
      <c r="C357" s="643"/>
      <c r="D357" s="643"/>
      <c r="E357" s="643"/>
      <c r="F357" s="643"/>
      <c r="G357" s="643"/>
      <c r="H357" s="643"/>
      <c r="I357" s="643"/>
      <c r="J357" s="643"/>
      <c r="K357" s="643"/>
      <c r="L357" s="643"/>
      <c r="M357" s="643"/>
      <c r="N357" s="643"/>
      <c r="O357" s="643"/>
      <c r="P357" s="643"/>
      <c r="Q357" s="643"/>
      <c r="R357" s="643"/>
      <c r="S357" s="643"/>
      <c r="T357" s="643"/>
      <c r="U357" s="643"/>
      <c r="V357" s="643"/>
      <c r="W357" s="643"/>
      <c r="X357" s="643"/>
      <c r="Y357" s="643"/>
      <c r="Z357" s="643"/>
      <c r="AA357" s="624"/>
      <c r="AB357" s="624"/>
      <c r="AC357" s="624"/>
    </row>
    <row r="358" spans="1:68" ht="14.25" hidden="1" customHeight="1" x14ac:dyDescent="0.25">
      <c r="A358" s="653" t="s">
        <v>112</v>
      </c>
      <c r="B358" s="643"/>
      <c r="C358" s="643"/>
      <c r="D358" s="643"/>
      <c r="E358" s="643"/>
      <c r="F358" s="643"/>
      <c r="G358" s="643"/>
      <c r="H358" s="643"/>
      <c r="I358" s="643"/>
      <c r="J358" s="643"/>
      <c r="K358" s="643"/>
      <c r="L358" s="643"/>
      <c r="M358" s="643"/>
      <c r="N358" s="643"/>
      <c r="O358" s="643"/>
      <c r="P358" s="643"/>
      <c r="Q358" s="643"/>
      <c r="R358" s="643"/>
      <c r="S358" s="643"/>
      <c r="T358" s="643"/>
      <c r="U358" s="643"/>
      <c r="V358" s="643"/>
      <c r="W358" s="643"/>
      <c r="X358" s="643"/>
      <c r="Y358" s="643"/>
      <c r="Z358" s="643"/>
      <c r="AA358" s="625"/>
      <c r="AB358" s="625"/>
      <c r="AC358" s="625"/>
    </row>
    <row r="359" spans="1:68" ht="27" hidden="1" customHeight="1" x14ac:dyDescent="0.25">
      <c r="A359" s="54" t="s">
        <v>584</v>
      </c>
      <c r="B359" s="54" t="s">
        <v>585</v>
      </c>
      <c r="C359" s="31">
        <v>4301012235</v>
      </c>
      <c r="D359" s="633">
        <v>4680115887190</v>
      </c>
      <c r="E359" s="634"/>
      <c r="F359" s="628">
        <v>1.35</v>
      </c>
      <c r="G359" s="32">
        <v>8</v>
      </c>
      <c r="H359" s="628">
        <v>10.8</v>
      </c>
      <c r="I359" s="628">
        <v>11.21</v>
      </c>
      <c r="J359" s="32">
        <v>64</v>
      </c>
      <c r="K359" s="32" t="s">
        <v>115</v>
      </c>
      <c r="L359" s="32"/>
      <c r="M359" s="33" t="s">
        <v>116</v>
      </c>
      <c r="N359" s="33"/>
      <c r="O359" s="32">
        <v>55</v>
      </c>
      <c r="P359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9" s="636"/>
      <c r="R359" s="636"/>
      <c r="S359" s="636"/>
      <c r="T359" s="637"/>
      <c r="U359" s="34"/>
      <c r="V359" s="34"/>
      <c r="W359" s="35" t="s">
        <v>66</v>
      </c>
      <c r="X359" s="629">
        <v>0</v>
      </c>
      <c r="Y359" s="630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33" t="s">
        <v>586</v>
      </c>
      <c r="AG359" s="64"/>
      <c r="AJ359" s="68"/>
      <c r="AK359" s="68">
        <v>0</v>
      </c>
      <c r="BB359" s="434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37.5" hidden="1" customHeight="1" x14ac:dyDescent="0.25">
      <c r="A360" s="54" t="s">
        <v>587</v>
      </c>
      <c r="B360" s="54" t="s">
        <v>588</v>
      </c>
      <c r="C360" s="31">
        <v>4301012233</v>
      </c>
      <c r="D360" s="633">
        <v>4680115887138</v>
      </c>
      <c r="E360" s="634"/>
      <c r="F360" s="628">
        <v>1.35</v>
      </c>
      <c r="G360" s="32">
        <v>8</v>
      </c>
      <c r="H360" s="628">
        <v>10.8</v>
      </c>
      <c r="I360" s="628">
        <v>11.21</v>
      </c>
      <c r="J360" s="32">
        <v>64</v>
      </c>
      <c r="K360" s="32" t="s">
        <v>115</v>
      </c>
      <c r="L360" s="32"/>
      <c r="M360" s="33" t="s">
        <v>116</v>
      </c>
      <c r="N360" s="33"/>
      <c r="O360" s="32">
        <v>55</v>
      </c>
      <c r="P360" s="99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0" s="636"/>
      <c r="R360" s="636"/>
      <c r="S360" s="636"/>
      <c r="T360" s="637"/>
      <c r="U360" s="34"/>
      <c r="V360" s="34"/>
      <c r="W360" s="35" t="s">
        <v>66</v>
      </c>
      <c r="X360" s="629">
        <v>0</v>
      </c>
      <c r="Y360" s="630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35" t="s">
        <v>589</v>
      </c>
      <c r="AG360" s="64"/>
      <c r="AJ360" s="68"/>
      <c r="AK360" s="68">
        <v>0</v>
      </c>
      <c r="BB360" s="436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590</v>
      </c>
      <c r="B361" s="54" t="s">
        <v>591</v>
      </c>
      <c r="C361" s="31">
        <v>4301012016</v>
      </c>
      <c r="D361" s="633">
        <v>4680115885554</v>
      </c>
      <c r="E361" s="634"/>
      <c r="F361" s="628">
        <v>1.35</v>
      </c>
      <c r="G361" s="32">
        <v>8</v>
      </c>
      <c r="H361" s="628">
        <v>10.8</v>
      </c>
      <c r="I361" s="628">
        <v>11.21</v>
      </c>
      <c r="J361" s="32">
        <v>64</v>
      </c>
      <c r="K361" s="32" t="s">
        <v>115</v>
      </c>
      <c r="L361" s="32"/>
      <c r="M361" s="33" t="s">
        <v>77</v>
      </c>
      <c r="N361" s="33"/>
      <c r="O361" s="32">
        <v>55</v>
      </c>
      <c r="P361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1" s="636"/>
      <c r="R361" s="636"/>
      <c r="S361" s="636"/>
      <c r="T361" s="637"/>
      <c r="U361" s="34"/>
      <c r="V361" s="34"/>
      <c r="W361" s="35" t="s">
        <v>66</v>
      </c>
      <c r="X361" s="629">
        <v>0</v>
      </c>
      <c r="Y361" s="630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592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593</v>
      </c>
      <c r="B362" s="54" t="s">
        <v>594</v>
      </c>
      <c r="C362" s="31">
        <v>4301012236</v>
      </c>
      <c r="D362" s="633">
        <v>4680115887220</v>
      </c>
      <c r="E362" s="634"/>
      <c r="F362" s="628">
        <v>0.4</v>
      </c>
      <c r="G362" s="32">
        <v>10</v>
      </c>
      <c r="H362" s="628">
        <v>4</v>
      </c>
      <c r="I362" s="628">
        <v>4.1900000000000004</v>
      </c>
      <c r="J362" s="32">
        <v>132</v>
      </c>
      <c r="K362" s="32" t="s">
        <v>124</v>
      </c>
      <c r="L362" s="32"/>
      <c r="M362" s="33" t="s">
        <v>116</v>
      </c>
      <c r="N362" s="33"/>
      <c r="O362" s="32">
        <v>55</v>
      </c>
      <c r="P362" s="94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2" s="636"/>
      <c r="R362" s="636"/>
      <c r="S362" s="636"/>
      <c r="T362" s="637"/>
      <c r="U362" s="34"/>
      <c r="V362" s="34"/>
      <c r="W362" s="35" t="s">
        <v>66</v>
      </c>
      <c r="X362" s="629">
        <v>0</v>
      </c>
      <c r="Y362" s="630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39" t="s">
        <v>586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595</v>
      </c>
      <c r="B363" s="54" t="s">
        <v>596</v>
      </c>
      <c r="C363" s="31">
        <v>4301011859</v>
      </c>
      <c r="D363" s="633">
        <v>4680115885608</v>
      </c>
      <c r="E363" s="634"/>
      <c r="F363" s="628">
        <v>0.4</v>
      </c>
      <c r="G363" s="32">
        <v>10</v>
      </c>
      <c r="H363" s="628">
        <v>4</v>
      </c>
      <c r="I363" s="628">
        <v>4.1900000000000004</v>
      </c>
      <c r="J363" s="32">
        <v>132</v>
      </c>
      <c r="K363" s="32" t="s">
        <v>124</v>
      </c>
      <c r="L363" s="32"/>
      <c r="M363" s="33" t="s">
        <v>116</v>
      </c>
      <c r="N363" s="33"/>
      <c r="O363" s="32">
        <v>55</v>
      </c>
      <c r="P363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3" s="636"/>
      <c r="R363" s="636"/>
      <c r="S363" s="636"/>
      <c r="T363" s="637"/>
      <c r="U363" s="34"/>
      <c r="V363" s="34"/>
      <c r="W363" s="35" t="s">
        <v>66</v>
      </c>
      <c r="X363" s="629">
        <v>0</v>
      </c>
      <c r="Y363" s="630">
        <f>IFERROR(IF(X363="",0,CEILING((X363/$H363),1)*$H363),"")</f>
        <v>0</v>
      </c>
      <c r="Z363" s="36" t="str">
        <f>IFERROR(IF(Y363=0,"",ROUNDUP(Y363/H363,0)*0.00902),"")</f>
        <v/>
      </c>
      <c r="AA363" s="56"/>
      <c r="AB363" s="57"/>
      <c r="AC363" s="441" t="s">
        <v>597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642"/>
      <c r="B364" s="643"/>
      <c r="C364" s="643"/>
      <c r="D364" s="643"/>
      <c r="E364" s="643"/>
      <c r="F364" s="643"/>
      <c r="G364" s="643"/>
      <c r="H364" s="643"/>
      <c r="I364" s="643"/>
      <c r="J364" s="643"/>
      <c r="K364" s="643"/>
      <c r="L364" s="643"/>
      <c r="M364" s="643"/>
      <c r="N364" s="643"/>
      <c r="O364" s="644"/>
      <c r="P364" s="646" t="s">
        <v>71</v>
      </c>
      <c r="Q364" s="647"/>
      <c r="R364" s="647"/>
      <c r="S364" s="647"/>
      <c r="T364" s="647"/>
      <c r="U364" s="647"/>
      <c r="V364" s="648"/>
      <c r="W364" s="37" t="s">
        <v>72</v>
      </c>
      <c r="X364" s="631">
        <f>IFERROR(X359/H359,"0")+IFERROR(X360/H360,"0")+IFERROR(X361/H361,"0")+IFERROR(X362/H362,"0")+IFERROR(X363/H363,"0")</f>
        <v>0</v>
      </c>
      <c r="Y364" s="631">
        <f>IFERROR(Y359/H359,"0")+IFERROR(Y360/H360,"0")+IFERROR(Y361/H361,"0")+IFERROR(Y362/H362,"0")+IFERROR(Y363/H363,"0")</f>
        <v>0</v>
      </c>
      <c r="Z364" s="631">
        <f>IFERROR(IF(Z359="",0,Z359),"0")+IFERROR(IF(Z360="",0,Z360),"0")+IFERROR(IF(Z361="",0,Z361),"0")+IFERROR(IF(Z362="",0,Z362),"0")+IFERROR(IF(Z363="",0,Z363),"0")</f>
        <v>0</v>
      </c>
      <c r="AA364" s="632"/>
      <c r="AB364" s="632"/>
      <c r="AC364" s="632"/>
    </row>
    <row r="365" spans="1:68" hidden="1" x14ac:dyDescent="0.2">
      <c r="A365" s="643"/>
      <c r="B365" s="643"/>
      <c r="C365" s="643"/>
      <c r="D365" s="643"/>
      <c r="E365" s="643"/>
      <c r="F365" s="643"/>
      <c r="G365" s="643"/>
      <c r="H365" s="643"/>
      <c r="I365" s="643"/>
      <c r="J365" s="643"/>
      <c r="K365" s="643"/>
      <c r="L365" s="643"/>
      <c r="M365" s="643"/>
      <c r="N365" s="643"/>
      <c r="O365" s="644"/>
      <c r="P365" s="646" t="s">
        <v>71</v>
      </c>
      <c r="Q365" s="647"/>
      <c r="R365" s="647"/>
      <c r="S365" s="647"/>
      <c r="T365" s="647"/>
      <c r="U365" s="647"/>
      <c r="V365" s="648"/>
      <c r="W365" s="37" t="s">
        <v>66</v>
      </c>
      <c r="X365" s="631">
        <f>IFERROR(SUM(X359:X363),"0")</f>
        <v>0</v>
      </c>
      <c r="Y365" s="631">
        <f>IFERROR(SUM(Y359:Y363),"0")</f>
        <v>0</v>
      </c>
      <c r="Z365" s="37"/>
      <c r="AA365" s="632"/>
      <c r="AB365" s="632"/>
      <c r="AC365" s="632"/>
    </row>
    <row r="366" spans="1:68" ht="14.25" hidden="1" customHeight="1" x14ac:dyDescent="0.25">
      <c r="A366" s="653" t="s">
        <v>61</v>
      </c>
      <c r="B366" s="643"/>
      <c r="C366" s="643"/>
      <c r="D366" s="643"/>
      <c r="E366" s="643"/>
      <c r="F366" s="643"/>
      <c r="G366" s="643"/>
      <c r="H366" s="643"/>
      <c r="I366" s="643"/>
      <c r="J366" s="643"/>
      <c r="K366" s="643"/>
      <c r="L366" s="643"/>
      <c r="M366" s="643"/>
      <c r="N366" s="643"/>
      <c r="O366" s="643"/>
      <c r="P366" s="643"/>
      <c r="Q366" s="643"/>
      <c r="R366" s="643"/>
      <c r="S366" s="643"/>
      <c r="T366" s="643"/>
      <c r="U366" s="643"/>
      <c r="V366" s="643"/>
      <c r="W366" s="643"/>
      <c r="X366" s="643"/>
      <c r="Y366" s="643"/>
      <c r="Z366" s="643"/>
      <c r="AA366" s="625"/>
      <c r="AB366" s="625"/>
      <c r="AC366" s="625"/>
    </row>
    <row r="367" spans="1:68" ht="27" hidden="1" customHeight="1" x14ac:dyDescent="0.25">
      <c r="A367" s="54" t="s">
        <v>598</v>
      </c>
      <c r="B367" s="54" t="s">
        <v>599</v>
      </c>
      <c r="C367" s="31">
        <v>4301030878</v>
      </c>
      <c r="D367" s="633">
        <v>4607091387193</v>
      </c>
      <c r="E367" s="634"/>
      <c r="F367" s="628">
        <v>0.7</v>
      </c>
      <c r="G367" s="32">
        <v>6</v>
      </c>
      <c r="H367" s="628">
        <v>4.2</v>
      </c>
      <c r="I367" s="628">
        <v>4.45</v>
      </c>
      <c r="J367" s="32">
        <v>132</v>
      </c>
      <c r="K367" s="32" t="s">
        <v>124</v>
      </c>
      <c r="L367" s="32"/>
      <c r="M367" s="33" t="s">
        <v>65</v>
      </c>
      <c r="N367" s="33"/>
      <c r="O367" s="32">
        <v>35</v>
      </c>
      <c r="P367" s="95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7" s="636"/>
      <c r="R367" s="636"/>
      <c r="S367" s="636"/>
      <c r="T367" s="637"/>
      <c r="U367" s="34"/>
      <c r="V367" s="34"/>
      <c r="W367" s="35" t="s">
        <v>66</v>
      </c>
      <c r="X367" s="629">
        <v>0</v>
      </c>
      <c r="Y367" s="630">
        <f t="shared" ref="Y367:Y373" si="54"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600</v>
      </c>
      <c r="AG367" s="64"/>
      <c r="AJ367" s="68"/>
      <c r="AK367" s="68">
        <v>0</v>
      </c>
      <c r="BB367" s="444" t="s">
        <v>1</v>
      </c>
      <c r="BM367" s="64">
        <f t="shared" ref="BM367:BM373" si="55">IFERROR(X367*I367/H367,"0")</f>
        <v>0</v>
      </c>
      <c r="BN367" s="64">
        <f t="shared" ref="BN367:BN373" si="56">IFERROR(Y367*I367/H367,"0")</f>
        <v>0</v>
      </c>
      <c r="BO367" s="64">
        <f t="shared" ref="BO367:BO373" si="57">IFERROR(1/J367*(X367/H367),"0")</f>
        <v>0</v>
      </c>
      <c r="BP367" s="64">
        <f t="shared" ref="BP367:BP373" si="58">IFERROR(1/J367*(Y367/H367),"0")</f>
        <v>0</v>
      </c>
    </row>
    <row r="368" spans="1:68" ht="27" hidden="1" customHeight="1" x14ac:dyDescent="0.25">
      <c r="A368" s="54" t="s">
        <v>601</v>
      </c>
      <c r="B368" s="54" t="s">
        <v>602</v>
      </c>
      <c r="C368" s="31">
        <v>4301031153</v>
      </c>
      <c r="D368" s="633">
        <v>4607091387230</v>
      </c>
      <c r="E368" s="634"/>
      <c r="F368" s="628">
        <v>0.7</v>
      </c>
      <c r="G368" s="32">
        <v>6</v>
      </c>
      <c r="H368" s="628">
        <v>4.2</v>
      </c>
      <c r="I368" s="628">
        <v>4.45</v>
      </c>
      <c r="J368" s="32">
        <v>132</v>
      </c>
      <c r="K368" s="32" t="s">
        <v>124</v>
      </c>
      <c r="L368" s="32"/>
      <c r="M368" s="33" t="s">
        <v>65</v>
      </c>
      <c r="N368" s="33"/>
      <c r="O368" s="32">
        <v>40</v>
      </c>
      <c r="P368" s="9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8" s="636"/>
      <c r="R368" s="636"/>
      <c r="S368" s="636"/>
      <c r="T368" s="637"/>
      <c r="U368" s="34"/>
      <c r="V368" s="34"/>
      <c r="W368" s="35" t="s">
        <v>66</v>
      </c>
      <c r="X368" s="629">
        <v>0</v>
      </c>
      <c r="Y368" s="630">
        <f t="shared" si="54"/>
        <v>0</v>
      </c>
      <c r="Z368" s="36" t="str">
        <f>IFERROR(IF(Y368=0,"",ROUNDUP(Y368/H368,0)*0.00902),"")</f>
        <v/>
      </c>
      <c r="AA368" s="56"/>
      <c r="AB368" s="57"/>
      <c r="AC368" s="445" t="s">
        <v>603</v>
      </c>
      <c r="AG368" s="64"/>
      <c r="AJ368" s="68"/>
      <c r="AK368" s="68">
        <v>0</v>
      </c>
      <c r="BB368" s="446" t="s">
        <v>1</v>
      </c>
      <c r="BM368" s="64">
        <f t="shared" si="55"/>
        <v>0</v>
      </c>
      <c r="BN368" s="64">
        <f t="shared" si="56"/>
        <v>0</v>
      </c>
      <c r="BO368" s="64">
        <f t="shared" si="57"/>
        <v>0</v>
      </c>
      <c r="BP368" s="64">
        <f t="shared" si="58"/>
        <v>0</v>
      </c>
    </row>
    <row r="369" spans="1:68" ht="27" hidden="1" customHeight="1" x14ac:dyDescent="0.25">
      <c r="A369" s="54" t="s">
        <v>604</v>
      </c>
      <c r="B369" s="54" t="s">
        <v>605</v>
      </c>
      <c r="C369" s="31">
        <v>4301031154</v>
      </c>
      <c r="D369" s="633">
        <v>4607091387292</v>
      </c>
      <c r="E369" s="634"/>
      <c r="F369" s="628">
        <v>0.73</v>
      </c>
      <c r="G369" s="32">
        <v>6</v>
      </c>
      <c r="H369" s="628">
        <v>4.38</v>
      </c>
      <c r="I369" s="628">
        <v>4.63</v>
      </c>
      <c r="J369" s="32">
        <v>132</v>
      </c>
      <c r="K369" s="32" t="s">
        <v>124</v>
      </c>
      <c r="L369" s="32"/>
      <c r="M369" s="33" t="s">
        <v>65</v>
      </c>
      <c r="N369" s="33"/>
      <c r="O369" s="32">
        <v>45</v>
      </c>
      <c r="P369" s="94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9" s="636"/>
      <c r="R369" s="636"/>
      <c r="S369" s="636"/>
      <c r="T369" s="637"/>
      <c r="U369" s="34"/>
      <c r="V369" s="34"/>
      <c r="W369" s="35" t="s">
        <v>66</v>
      </c>
      <c r="X369" s="629">
        <v>0</v>
      </c>
      <c r="Y369" s="630">
        <f t="shared" si="54"/>
        <v>0</v>
      </c>
      <c r="Z369" s="36" t="str">
        <f>IFERROR(IF(Y369=0,"",ROUNDUP(Y369/H369,0)*0.00902),"")</f>
        <v/>
      </c>
      <c r="AA369" s="56"/>
      <c r="AB369" s="57"/>
      <c r="AC369" s="447" t="s">
        <v>606</v>
      </c>
      <c r="AG369" s="64"/>
      <c r="AJ369" s="68"/>
      <c r="AK369" s="68">
        <v>0</v>
      </c>
      <c r="BB369" s="448" t="s">
        <v>1</v>
      </c>
      <c r="BM369" s="64">
        <f t="shared" si="55"/>
        <v>0</v>
      </c>
      <c r="BN369" s="64">
        <f t="shared" si="56"/>
        <v>0</v>
      </c>
      <c r="BO369" s="64">
        <f t="shared" si="57"/>
        <v>0</v>
      </c>
      <c r="BP369" s="64">
        <f t="shared" si="58"/>
        <v>0</v>
      </c>
    </row>
    <row r="370" spans="1:68" ht="27" hidden="1" customHeight="1" x14ac:dyDescent="0.25">
      <c r="A370" s="54" t="s">
        <v>607</v>
      </c>
      <c r="B370" s="54" t="s">
        <v>608</v>
      </c>
      <c r="C370" s="31">
        <v>4301031152</v>
      </c>
      <c r="D370" s="633">
        <v>4607091387285</v>
      </c>
      <c r="E370" s="634"/>
      <c r="F370" s="628">
        <v>0.35</v>
      </c>
      <c r="G370" s="32">
        <v>6</v>
      </c>
      <c r="H370" s="628">
        <v>2.1</v>
      </c>
      <c r="I370" s="628">
        <v>2.23</v>
      </c>
      <c r="J370" s="32">
        <v>234</v>
      </c>
      <c r="K370" s="32" t="s">
        <v>64</v>
      </c>
      <c r="L370" s="32"/>
      <c r="M370" s="33" t="s">
        <v>65</v>
      </c>
      <c r="N370" s="33"/>
      <c r="O370" s="32">
        <v>40</v>
      </c>
      <c r="P370" s="9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0" s="636"/>
      <c r="R370" s="636"/>
      <c r="S370" s="636"/>
      <c r="T370" s="637"/>
      <c r="U370" s="34"/>
      <c r="V370" s="34"/>
      <c r="W370" s="35" t="s">
        <v>66</v>
      </c>
      <c r="X370" s="629">
        <v>0</v>
      </c>
      <c r="Y370" s="630">
        <f t="shared" si="54"/>
        <v>0</v>
      </c>
      <c r="Z370" s="36" t="str">
        <f>IFERROR(IF(Y370=0,"",ROUNDUP(Y370/H370,0)*0.00502),"")</f>
        <v/>
      </c>
      <c r="AA370" s="56"/>
      <c r="AB370" s="57"/>
      <c r="AC370" s="449" t="s">
        <v>603</v>
      </c>
      <c r="AG370" s="64"/>
      <c r="AJ370" s="68"/>
      <c r="AK370" s="68">
        <v>0</v>
      </c>
      <c r="BB370" s="450" t="s">
        <v>1</v>
      </c>
      <c r="BM370" s="64">
        <f t="shared" si="55"/>
        <v>0</v>
      </c>
      <c r="BN370" s="64">
        <f t="shared" si="56"/>
        <v>0</v>
      </c>
      <c r="BO370" s="64">
        <f t="shared" si="57"/>
        <v>0</v>
      </c>
      <c r="BP370" s="64">
        <f t="shared" si="58"/>
        <v>0</v>
      </c>
    </row>
    <row r="371" spans="1:68" ht="27" hidden="1" customHeight="1" x14ac:dyDescent="0.25">
      <c r="A371" s="54" t="s">
        <v>609</v>
      </c>
      <c r="B371" s="54" t="s">
        <v>610</v>
      </c>
      <c r="C371" s="31">
        <v>4301031305</v>
      </c>
      <c r="D371" s="633">
        <v>4607091389845</v>
      </c>
      <c r="E371" s="634"/>
      <c r="F371" s="628">
        <v>0.35</v>
      </c>
      <c r="G371" s="32">
        <v>6</v>
      </c>
      <c r="H371" s="628">
        <v>2.1</v>
      </c>
      <c r="I371" s="628">
        <v>2.2000000000000002</v>
      </c>
      <c r="J371" s="32">
        <v>234</v>
      </c>
      <c r="K371" s="32" t="s">
        <v>64</v>
      </c>
      <c r="L371" s="32"/>
      <c r="M371" s="33" t="s">
        <v>65</v>
      </c>
      <c r="N371" s="33"/>
      <c r="O371" s="32">
        <v>40</v>
      </c>
      <c r="P371" s="7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1" s="636"/>
      <c r="R371" s="636"/>
      <c r="S371" s="636"/>
      <c r="T371" s="637"/>
      <c r="U371" s="34"/>
      <c r="V371" s="34"/>
      <c r="W371" s="35" t="s">
        <v>66</v>
      </c>
      <c r="X371" s="629">
        <v>0</v>
      </c>
      <c r="Y371" s="630">
        <f t="shared" si="54"/>
        <v>0</v>
      </c>
      <c r="Z371" s="36" t="str">
        <f>IFERROR(IF(Y371=0,"",ROUNDUP(Y371/H371,0)*0.00502),"")</f>
        <v/>
      </c>
      <c r="AA371" s="56"/>
      <c r="AB371" s="57"/>
      <c r="AC371" s="451" t="s">
        <v>611</v>
      </c>
      <c r="AG371" s="64"/>
      <c r="AJ371" s="68"/>
      <c r="AK371" s="68">
        <v>0</v>
      </c>
      <c r="BB371" s="452" t="s">
        <v>1</v>
      </c>
      <c r="BM371" s="64">
        <f t="shared" si="55"/>
        <v>0</v>
      </c>
      <c r="BN371" s="64">
        <f t="shared" si="56"/>
        <v>0</v>
      </c>
      <c r="BO371" s="64">
        <f t="shared" si="57"/>
        <v>0</v>
      </c>
      <c r="BP371" s="64">
        <f t="shared" si="58"/>
        <v>0</v>
      </c>
    </row>
    <row r="372" spans="1:68" ht="27" hidden="1" customHeight="1" x14ac:dyDescent="0.25">
      <c r="A372" s="54" t="s">
        <v>612</v>
      </c>
      <c r="B372" s="54" t="s">
        <v>613</v>
      </c>
      <c r="C372" s="31">
        <v>4301031460</v>
      </c>
      <c r="D372" s="633">
        <v>4680115887442</v>
      </c>
      <c r="E372" s="634"/>
      <c r="F372" s="628">
        <v>0.73</v>
      </c>
      <c r="G372" s="32">
        <v>6</v>
      </c>
      <c r="H372" s="628">
        <v>4.38</v>
      </c>
      <c r="I372" s="628">
        <v>4.63</v>
      </c>
      <c r="J372" s="32">
        <v>132</v>
      </c>
      <c r="K372" s="32" t="s">
        <v>124</v>
      </c>
      <c r="L372" s="32"/>
      <c r="M372" s="33" t="s">
        <v>65</v>
      </c>
      <c r="N372" s="33"/>
      <c r="O372" s="32">
        <v>45</v>
      </c>
      <c r="P372" s="81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2" s="636"/>
      <c r="R372" s="636"/>
      <c r="S372" s="636"/>
      <c r="T372" s="637"/>
      <c r="U372" s="34"/>
      <c r="V372" s="34"/>
      <c r="W372" s="35" t="s">
        <v>66</v>
      </c>
      <c r="X372" s="629">
        <v>0</v>
      </c>
      <c r="Y372" s="630">
        <f t="shared" si="54"/>
        <v>0</v>
      </c>
      <c r="Z372" s="36" t="str">
        <f>IFERROR(IF(Y372=0,"",ROUNDUP(Y372/H372,0)*0.00902),"")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55"/>
        <v>0</v>
      </c>
      <c r="BN372" s="64">
        <f t="shared" si="56"/>
        <v>0</v>
      </c>
      <c r="BO372" s="64">
        <f t="shared" si="57"/>
        <v>0</v>
      </c>
      <c r="BP372" s="64">
        <f t="shared" si="58"/>
        <v>0</v>
      </c>
    </row>
    <row r="373" spans="1:68" ht="27" customHeight="1" x14ac:dyDescent="0.25">
      <c r="A373" s="54" t="s">
        <v>614</v>
      </c>
      <c r="B373" s="54" t="s">
        <v>615</v>
      </c>
      <c r="C373" s="31">
        <v>4301031066</v>
      </c>
      <c r="D373" s="633">
        <v>4607091383836</v>
      </c>
      <c r="E373" s="634"/>
      <c r="F373" s="628">
        <v>0.3</v>
      </c>
      <c r="G373" s="32">
        <v>6</v>
      </c>
      <c r="H373" s="628">
        <v>1.8</v>
      </c>
      <c r="I373" s="628">
        <v>2.028</v>
      </c>
      <c r="J373" s="32">
        <v>182</v>
      </c>
      <c r="K373" s="32" t="s">
        <v>76</v>
      </c>
      <c r="L373" s="32"/>
      <c r="M373" s="33" t="s">
        <v>65</v>
      </c>
      <c r="N373" s="33"/>
      <c r="O373" s="32">
        <v>40</v>
      </c>
      <c r="P373" s="99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3" s="636"/>
      <c r="R373" s="636"/>
      <c r="S373" s="636"/>
      <c r="T373" s="637"/>
      <c r="U373" s="34"/>
      <c r="V373" s="34"/>
      <c r="W373" s="35" t="s">
        <v>66</v>
      </c>
      <c r="X373" s="629">
        <v>13</v>
      </c>
      <c r="Y373" s="630">
        <f t="shared" si="54"/>
        <v>14.4</v>
      </c>
      <c r="Z373" s="36">
        <f>IFERROR(IF(Y373=0,"",ROUNDUP(Y373/H373,0)*0.00651),"")</f>
        <v>5.2080000000000001E-2</v>
      </c>
      <c r="AA373" s="56"/>
      <c r="AB373" s="57"/>
      <c r="AC373" s="455" t="s">
        <v>616</v>
      </c>
      <c r="AG373" s="64"/>
      <c r="AJ373" s="68"/>
      <c r="AK373" s="68">
        <v>0</v>
      </c>
      <c r="BB373" s="456" t="s">
        <v>1</v>
      </c>
      <c r="BM373" s="64">
        <f t="shared" si="55"/>
        <v>14.646666666666667</v>
      </c>
      <c r="BN373" s="64">
        <f t="shared" si="56"/>
        <v>16.224</v>
      </c>
      <c r="BO373" s="64">
        <f t="shared" si="57"/>
        <v>3.9682539682539687E-2</v>
      </c>
      <c r="BP373" s="64">
        <f t="shared" si="58"/>
        <v>4.3956043956043959E-2</v>
      </c>
    </row>
    <row r="374" spans="1:68" x14ac:dyDescent="0.2">
      <c r="A374" s="642"/>
      <c r="B374" s="643"/>
      <c r="C374" s="643"/>
      <c r="D374" s="643"/>
      <c r="E374" s="643"/>
      <c r="F374" s="643"/>
      <c r="G374" s="643"/>
      <c r="H374" s="643"/>
      <c r="I374" s="643"/>
      <c r="J374" s="643"/>
      <c r="K374" s="643"/>
      <c r="L374" s="643"/>
      <c r="M374" s="643"/>
      <c r="N374" s="643"/>
      <c r="O374" s="644"/>
      <c r="P374" s="646" t="s">
        <v>71</v>
      </c>
      <c r="Q374" s="647"/>
      <c r="R374" s="647"/>
      <c r="S374" s="647"/>
      <c r="T374" s="647"/>
      <c r="U374" s="647"/>
      <c r="V374" s="648"/>
      <c r="W374" s="37" t="s">
        <v>72</v>
      </c>
      <c r="X374" s="631">
        <f>IFERROR(X367/H367,"0")+IFERROR(X368/H368,"0")+IFERROR(X369/H369,"0")+IFERROR(X370/H370,"0")+IFERROR(X371/H371,"0")+IFERROR(X372/H372,"0")+IFERROR(X373/H373,"0")</f>
        <v>7.2222222222222223</v>
      </c>
      <c r="Y374" s="631">
        <f>IFERROR(Y367/H367,"0")+IFERROR(Y368/H368,"0")+IFERROR(Y369/H369,"0")+IFERROR(Y370/H370,"0")+IFERROR(Y371/H371,"0")+IFERROR(Y372/H372,"0")+IFERROR(Y373/H373,"0")</f>
        <v>8</v>
      </c>
      <c r="Z374" s="631">
        <f>IFERROR(IF(Z367="",0,Z367),"0")+IFERROR(IF(Z368="",0,Z368),"0")+IFERROR(IF(Z369="",0,Z369),"0")+IFERROR(IF(Z370="",0,Z370),"0")+IFERROR(IF(Z371="",0,Z371),"0")+IFERROR(IF(Z372="",0,Z372),"0")+IFERROR(IF(Z373="",0,Z373),"0")</f>
        <v>5.2080000000000001E-2</v>
      </c>
      <c r="AA374" s="632"/>
      <c r="AB374" s="632"/>
      <c r="AC374" s="632"/>
    </row>
    <row r="375" spans="1:68" x14ac:dyDescent="0.2">
      <c r="A375" s="643"/>
      <c r="B375" s="643"/>
      <c r="C375" s="643"/>
      <c r="D375" s="643"/>
      <c r="E375" s="643"/>
      <c r="F375" s="643"/>
      <c r="G375" s="643"/>
      <c r="H375" s="643"/>
      <c r="I375" s="643"/>
      <c r="J375" s="643"/>
      <c r="K375" s="643"/>
      <c r="L375" s="643"/>
      <c r="M375" s="643"/>
      <c r="N375" s="643"/>
      <c r="O375" s="644"/>
      <c r="P375" s="646" t="s">
        <v>71</v>
      </c>
      <c r="Q375" s="647"/>
      <c r="R375" s="647"/>
      <c r="S375" s="647"/>
      <c r="T375" s="647"/>
      <c r="U375" s="647"/>
      <c r="V375" s="648"/>
      <c r="W375" s="37" t="s">
        <v>66</v>
      </c>
      <c r="X375" s="631">
        <f>IFERROR(SUM(X367:X373),"0")</f>
        <v>13</v>
      </c>
      <c r="Y375" s="631">
        <f>IFERROR(SUM(Y367:Y373),"0")</f>
        <v>14.4</v>
      </c>
      <c r="Z375" s="37"/>
      <c r="AA375" s="632"/>
      <c r="AB375" s="632"/>
      <c r="AC375" s="632"/>
    </row>
    <row r="376" spans="1:68" ht="14.25" hidden="1" customHeight="1" x14ac:dyDescent="0.25">
      <c r="A376" s="653" t="s">
        <v>73</v>
      </c>
      <c r="B376" s="643"/>
      <c r="C376" s="643"/>
      <c r="D376" s="643"/>
      <c r="E376" s="643"/>
      <c r="F376" s="643"/>
      <c r="G376" s="643"/>
      <c r="H376" s="643"/>
      <c r="I376" s="643"/>
      <c r="J376" s="643"/>
      <c r="K376" s="643"/>
      <c r="L376" s="643"/>
      <c r="M376" s="643"/>
      <c r="N376" s="643"/>
      <c r="O376" s="643"/>
      <c r="P376" s="643"/>
      <c r="Q376" s="643"/>
      <c r="R376" s="643"/>
      <c r="S376" s="643"/>
      <c r="T376" s="643"/>
      <c r="U376" s="643"/>
      <c r="V376" s="643"/>
      <c r="W376" s="643"/>
      <c r="X376" s="643"/>
      <c r="Y376" s="643"/>
      <c r="Z376" s="643"/>
      <c r="AA376" s="625"/>
      <c r="AB376" s="625"/>
      <c r="AC376" s="625"/>
    </row>
    <row r="377" spans="1:68" ht="27" hidden="1" customHeight="1" x14ac:dyDescent="0.25">
      <c r="A377" s="54" t="s">
        <v>617</v>
      </c>
      <c r="B377" s="54" t="s">
        <v>618</v>
      </c>
      <c r="C377" s="31">
        <v>4301051100</v>
      </c>
      <c r="D377" s="633">
        <v>4607091387766</v>
      </c>
      <c r="E377" s="634"/>
      <c r="F377" s="628">
        <v>1.3</v>
      </c>
      <c r="G377" s="32">
        <v>6</v>
      </c>
      <c r="H377" s="628">
        <v>7.8</v>
      </c>
      <c r="I377" s="628">
        <v>8.2880000000000003</v>
      </c>
      <c r="J377" s="32">
        <v>64</v>
      </c>
      <c r="K377" s="32" t="s">
        <v>115</v>
      </c>
      <c r="L377" s="32"/>
      <c r="M377" s="33" t="s">
        <v>77</v>
      </c>
      <c r="N377" s="33"/>
      <c r="O377" s="32">
        <v>40</v>
      </c>
      <c r="P377" s="84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7" s="636"/>
      <c r="R377" s="636"/>
      <c r="S377" s="636"/>
      <c r="T377" s="637"/>
      <c r="U377" s="34"/>
      <c r="V377" s="34"/>
      <c r="W377" s="35" t="s">
        <v>66</v>
      </c>
      <c r="X377" s="629">
        <v>0</v>
      </c>
      <c r="Y377" s="63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57" t="s">
        <v>619</v>
      </c>
      <c r="AG377" s="64"/>
      <c r="AJ377" s="68"/>
      <c r="AK377" s="68">
        <v>0</v>
      </c>
      <c r="BB377" s="458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hidden="1" customHeight="1" x14ac:dyDescent="0.25">
      <c r="A378" s="54" t="s">
        <v>620</v>
      </c>
      <c r="B378" s="54" t="s">
        <v>621</v>
      </c>
      <c r="C378" s="31">
        <v>4301051818</v>
      </c>
      <c r="D378" s="633">
        <v>4607091387957</v>
      </c>
      <c r="E378" s="634"/>
      <c r="F378" s="628">
        <v>1.3</v>
      </c>
      <c r="G378" s="32">
        <v>6</v>
      </c>
      <c r="H378" s="628">
        <v>7.8</v>
      </c>
      <c r="I378" s="628">
        <v>8.2940000000000005</v>
      </c>
      <c r="J378" s="32">
        <v>64</v>
      </c>
      <c r="K378" s="32" t="s">
        <v>115</v>
      </c>
      <c r="L378" s="32"/>
      <c r="M378" s="33" t="s">
        <v>77</v>
      </c>
      <c r="N378" s="33"/>
      <c r="O378" s="32">
        <v>40</v>
      </c>
      <c r="P37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8" s="636"/>
      <c r="R378" s="636"/>
      <c r="S378" s="636"/>
      <c r="T378" s="637"/>
      <c r="U378" s="34"/>
      <c r="V378" s="34"/>
      <c r="W378" s="35" t="s">
        <v>66</v>
      </c>
      <c r="X378" s="629">
        <v>0</v>
      </c>
      <c r="Y378" s="630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59" t="s">
        <v>622</v>
      </c>
      <c r="AG378" s="64"/>
      <c r="AJ378" s="68"/>
      <c r="AK378" s="68">
        <v>0</v>
      </c>
      <c r="BB378" s="46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623</v>
      </c>
      <c r="B379" s="54" t="s">
        <v>624</v>
      </c>
      <c r="C379" s="31">
        <v>4301051819</v>
      </c>
      <c r="D379" s="633">
        <v>4607091387964</v>
      </c>
      <c r="E379" s="634"/>
      <c r="F379" s="628">
        <v>1.35</v>
      </c>
      <c r="G379" s="32">
        <v>6</v>
      </c>
      <c r="H379" s="628">
        <v>8.1</v>
      </c>
      <c r="I379" s="628">
        <v>8.5760000000000005</v>
      </c>
      <c r="J379" s="32">
        <v>64</v>
      </c>
      <c r="K379" s="32" t="s">
        <v>115</v>
      </c>
      <c r="L379" s="32"/>
      <c r="M379" s="33" t="s">
        <v>77</v>
      </c>
      <c r="N379" s="33"/>
      <c r="O379" s="32">
        <v>40</v>
      </c>
      <c r="P379" s="68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9" s="636"/>
      <c r="R379" s="636"/>
      <c r="S379" s="636"/>
      <c r="T379" s="637"/>
      <c r="U379" s="34"/>
      <c r="V379" s="34"/>
      <c r="W379" s="35" t="s">
        <v>66</v>
      </c>
      <c r="X379" s="629">
        <v>0</v>
      </c>
      <c r="Y379" s="630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625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626</v>
      </c>
      <c r="B380" s="54" t="s">
        <v>627</v>
      </c>
      <c r="C380" s="31">
        <v>4301051734</v>
      </c>
      <c r="D380" s="633">
        <v>4680115884588</v>
      </c>
      <c r="E380" s="634"/>
      <c r="F380" s="628">
        <v>0.5</v>
      </c>
      <c r="G380" s="32">
        <v>6</v>
      </c>
      <c r="H380" s="628">
        <v>3</v>
      </c>
      <c r="I380" s="628">
        <v>3.246</v>
      </c>
      <c r="J380" s="32">
        <v>182</v>
      </c>
      <c r="K380" s="32" t="s">
        <v>76</v>
      </c>
      <c r="L380" s="32"/>
      <c r="M380" s="33" t="s">
        <v>77</v>
      </c>
      <c r="N380" s="33"/>
      <c r="O380" s="32">
        <v>40</v>
      </c>
      <c r="P380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0" s="636"/>
      <c r="R380" s="636"/>
      <c r="S380" s="636"/>
      <c r="T380" s="637"/>
      <c r="U380" s="34"/>
      <c r="V380" s="34"/>
      <c r="W380" s="35" t="s">
        <v>66</v>
      </c>
      <c r="X380" s="629">
        <v>0</v>
      </c>
      <c r="Y380" s="630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63" t="s">
        <v>619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642"/>
      <c r="B381" s="643"/>
      <c r="C381" s="643"/>
      <c r="D381" s="643"/>
      <c r="E381" s="643"/>
      <c r="F381" s="643"/>
      <c r="G381" s="643"/>
      <c r="H381" s="643"/>
      <c r="I381" s="643"/>
      <c r="J381" s="643"/>
      <c r="K381" s="643"/>
      <c r="L381" s="643"/>
      <c r="M381" s="643"/>
      <c r="N381" s="643"/>
      <c r="O381" s="644"/>
      <c r="P381" s="646" t="s">
        <v>71</v>
      </c>
      <c r="Q381" s="647"/>
      <c r="R381" s="647"/>
      <c r="S381" s="647"/>
      <c r="T381" s="647"/>
      <c r="U381" s="647"/>
      <c r="V381" s="648"/>
      <c r="W381" s="37" t="s">
        <v>72</v>
      </c>
      <c r="X381" s="631">
        <f>IFERROR(X377/H377,"0")+IFERROR(X378/H378,"0")+IFERROR(X379/H379,"0")+IFERROR(X380/H380,"0")</f>
        <v>0</v>
      </c>
      <c r="Y381" s="631">
        <f>IFERROR(Y377/H377,"0")+IFERROR(Y378/H378,"0")+IFERROR(Y379/H379,"0")+IFERROR(Y380/H380,"0")</f>
        <v>0</v>
      </c>
      <c r="Z381" s="631">
        <f>IFERROR(IF(Z377="",0,Z377),"0")+IFERROR(IF(Z378="",0,Z378),"0")+IFERROR(IF(Z379="",0,Z379),"0")+IFERROR(IF(Z380="",0,Z380),"0")</f>
        <v>0</v>
      </c>
      <c r="AA381" s="632"/>
      <c r="AB381" s="632"/>
      <c r="AC381" s="632"/>
    </row>
    <row r="382" spans="1:68" hidden="1" x14ac:dyDescent="0.2">
      <c r="A382" s="643"/>
      <c r="B382" s="643"/>
      <c r="C382" s="643"/>
      <c r="D382" s="643"/>
      <c r="E382" s="643"/>
      <c r="F382" s="643"/>
      <c r="G382" s="643"/>
      <c r="H382" s="643"/>
      <c r="I382" s="643"/>
      <c r="J382" s="643"/>
      <c r="K382" s="643"/>
      <c r="L382" s="643"/>
      <c r="M382" s="643"/>
      <c r="N382" s="643"/>
      <c r="O382" s="644"/>
      <c r="P382" s="646" t="s">
        <v>71</v>
      </c>
      <c r="Q382" s="647"/>
      <c r="R382" s="647"/>
      <c r="S382" s="647"/>
      <c r="T382" s="647"/>
      <c r="U382" s="647"/>
      <c r="V382" s="648"/>
      <c r="W382" s="37" t="s">
        <v>66</v>
      </c>
      <c r="X382" s="631">
        <f>IFERROR(SUM(X377:X380),"0")</f>
        <v>0</v>
      </c>
      <c r="Y382" s="631">
        <f>IFERROR(SUM(Y377:Y380),"0")</f>
        <v>0</v>
      </c>
      <c r="Z382" s="37"/>
      <c r="AA382" s="632"/>
      <c r="AB382" s="632"/>
      <c r="AC382" s="632"/>
    </row>
    <row r="383" spans="1:68" ht="14.25" hidden="1" customHeight="1" x14ac:dyDescent="0.25">
      <c r="A383" s="653" t="s">
        <v>162</v>
      </c>
      <c r="B383" s="643"/>
      <c r="C383" s="643"/>
      <c r="D383" s="643"/>
      <c r="E383" s="643"/>
      <c r="F383" s="643"/>
      <c r="G383" s="643"/>
      <c r="H383" s="643"/>
      <c r="I383" s="643"/>
      <c r="J383" s="643"/>
      <c r="K383" s="643"/>
      <c r="L383" s="643"/>
      <c r="M383" s="643"/>
      <c r="N383" s="643"/>
      <c r="O383" s="643"/>
      <c r="P383" s="643"/>
      <c r="Q383" s="643"/>
      <c r="R383" s="643"/>
      <c r="S383" s="643"/>
      <c r="T383" s="643"/>
      <c r="U383" s="643"/>
      <c r="V383" s="643"/>
      <c r="W383" s="643"/>
      <c r="X383" s="643"/>
      <c r="Y383" s="643"/>
      <c r="Z383" s="643"/>
      <c r="AA383" s="625"/>
      <c r="AB383" s="625"/>
      <c r="AC383" s="625"/>
    </row>
    <row r="384" spans="1:68" ht="27" customHeight="1" x14ac:dyDescent="0.25">
      <c r="A384" s="54" t="s">
        <v>628</v>
      </c>
      <c r="B384" s="54" t="s">
        <v>629</v>
      </c>
      <c r="C384" s="31">
        <v>4301060387</v>
      </c>
      <c r="D384" s="633">
        <v>4607091380880</v>
      </c>
      <c r="E384" s="634"/>
      <c r="F384" s="628">
        <v>1.4</v>
      </c>
      <c r="G384" s="32">
        <v>6</v>
      </c>
      <c r="H384" s="628">
        <v>8.4</v>
      </c>
      <c r="I384" s="628">
        <v>8.8940000000000001</v>
      </c>
      <c r="J384" s="32">
        <v>64</v>
      </c>
      <c r="K384" s="32" t="s">
        <v>115</v>
      </c>
      <c r="L384" s="32"/>
      <c r="M384" s="33" t="s">
        <v>77</v>
      </c>
      <c r="N384" s="33"/>
      <c r="O384" s="32">
        <v>30</v>
      </c>
      <c r="P384" s="65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4" s="636"/>
      <c r="R384" s="636"/>
      <c r="S384" s="636"/>
      <c r="T384" s="637"/>
      <c r="U384" s="34"/>
      <c r="V384" s="34"/>
      <c r="W384" s="35" t="s">
        <v>66</v>
      </c>
      <c r="X384" s="629">
        <v>270</v>
      </c>
      <c r="Y384" s="630">
        <f>IFERROR(IF(X384="",0,CEILING((X384/$H384),1)*$H384),"")</f>
        <v>277.2</v>
      </c>
      <c r="Z384" s="36">
        <f>IFERROR(IF(Y384=0,"",ROUNDUP(Y384/H384,0)*0.01898),"")</f>
        <v>0.62634000000000001</v>
      </c>
      <c r="AA384" s="56"/>
      <c r="AB384" s="57"/>
      <c r="AC384" s="465" t="s">
        <v>630</v>
      </c>
      <c r="AG384" s="64"/>
      <c r="AJ384" s="68"/>
      <c r="AK384" s="68">
        <v>0</v>
      </c>
      <c r="BB384" s="466" t="s">
        <v>1</v>
      </c>
      <c r="BM384" s="64">
        <f>IFERROR(X384*I384/H384,"0")</f>
        <v>285.87857142857143</v>
      </c>
      <c r="BN384" s="64">
        <f>IFERROR(Y384*I384/H384,"0")</f>
        <v>293.50200000000001</v>
      </c>
      <c r="BO384" s="64">
        <f>IFERROR(1/J384*(X384/H384),"0")</f>
        <v>0.50223214285714279</v>
      </c>
      <c r="BP384" s="64">
        <f>IFERROR(1/J384*(Y384/H384),"0")</f>
        <v>0.515625</v>
      </c>
    </row>
    <row r="385" spans="1:68" ht="27" customHeight="1" x14ac:dyDescent="0.25">
      <c r="A385" s="54" t="s">
        <v>631</v>
      </c>
      <c r="B385" s="54" t="s">
        <v>632</v>
      </c>
      <c r="C385" s="31">
        <v>4301060406</v>
      </c>
      <c r="D385" s="633">
        <v>4607091384482</v>
      </c>
      <c r="E385" s="634"/>
      <c r="F385" s="628">
        <v>1.3</v>
      </c>
      <c r="G385" s="32">
        <v>6</v>
      </c>
      <c r="H385" s="628">
        <v>7.8</v>
      </c>
      <c r="I385" s="628">
        <v>8.2940000000000005</v>
      </c>
      <c r="J385" s="32">
        <v>64</v>
      </c>
      <c r="K385" s="32" t="s">
        <v>115</v>
      </c>
      <c r="L385" s="32"/>
      <c r="M385" s="33" t="s">
        <v>77</v>
      </c>
      <c r="N385" s="33"/>
      <c r="O385" s="32">
        <v>30</v>
      </c>
      <c r="P385" s="98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5" s="636"/>
      <c r="R385" s="636"/>
      <c r="S385" s="636"/>
      <c r="T385" s="637"/>
      <c r="U385" s="34"/>
      <c r="V385" s="34"/>
      <c r="W385" s="35" t="s">
        <v>66</v>
      </c>
      <c r="X385" s="629">
        <v>37</v>
      </c>
      <c r="Y385" s="630">
        <f>IFERROR(IF(X385="",0,CEILING((X385/$H385),1)*$H385),"")</f>
        <v>39</v>
      </c>
      <c r="Z385" s="36">
        <f>IFERROR(IF(Y385=0,"",ROUNDUP(Y385/H385,0)*0.01898),"")</f>
        <v>9.4899999999999998E-2</v>
      </c>
      <c r="AA385" s="56"/>
      <c r="AB385" s="57"/>
      <c r="AC385" s="467" t="s">
        <v>633</v>
      </c>
      <c r="AG385" s="64"/>
      <c r="AJ385" s="68"/>
      <c r="AK385" s="68">
        <v>0</v>
      </c>
      <c r="BB385" s="468" t="s">
        <v>1</v>
      </c>
      <c r="BM385" s="64">
        <f>IFERROR(X385*I385/H385,"0")</f>
        <v>39.343333333333341</v>
      </c>
      <c r="BN385" s="64">
        <f>IFERROR(Y385*I385/H385,"0")</f>
        <v>41.47</v>
      </c>
      <c r="BO385" s="64">
        <f>IFERROR(1/J385*(X385/H385),"0")</f>
        <v>7.4118589743589744E-2</v>
      </c>
      <c r="BP385" s="64">
        <f>IFERROR(1/J385*(Y385/H385),"0")</f>
        <v>7.8125E-2</v>
      </c>
    </row>
    <row r="386" spans="1:68" ht="27" customHeight="1" x14ac:dyDescent="0.25">
      <c r="A386" s="54" t="s">
        <v>634</v>
      </c>
      <c r="B386" s="54" t="s">
        <v>635</v>
      </c>
      <c r="C386" s="31">
        <v>4301060484</v>
      </c>
      <c r="D386" s="633">
        <v>4607091380897</v>
      </c>
      <c r="E386" s="634"/>
      <c r="F386" s="628">
        <v>1.4</v>
      </c>
      <c r="G386" s="32">
        <v>6</v>
      </c>
      <c r="H386" s="628">
        <v>8.4</v>
      </c>
      <c r="I386" s="628">
        <v>8.8940000000000001</v>
      </c>
      <c r="J386" s="32">
        <v>64</v>
      </c>
      <c r="K386" s="32" t="s">
        <v>115</v>
      </c>
      <c r="L386" s="32"/>
      <c r="M386" s="33" t="s">
        <v>83</v>
      </c>
      <c r="N386" s="33"/>
      <c r="O386" s="32">
        <v>30</v>
      </c>
      <c r="P386" s="66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6" s="636"/>
      <c r="R386" s="636"/>
      <c r="S386" s="636"/>
      <c r="T386" s="637"/>
      <c r="U386" s="34"/>
      <c r="V386" s="34"/>
      <c r="W386" s="35" t="s">
        <v>66</v>
      </c>
      <c r="X386" s="629">
        <v>116</v>
      </c>
      <c r="Y386" s="630">
        <f>IFERROR(IF(X386="",0,CEILING((X386/$H386),1)*$H386),"")</f>
        <v>117.60000000000001</v>
      </c>
      <c r="Z386" s="36">
        <f>IFERROR(IF(Y386=0,"",ROUNDUP(Y386/H386,0)*0.01898),"")</f>
        <v>0.26572000000000001</v>
      </c>
      <c r="AA386" s="56"/>
      <c r="AB386" s="57"/>
      <c r="AC386" s="469" t="s">
        <v>636</v>
      </c>
      <c r="AG386" s="64"/>
      <c r="AJ386" s="68"/>
      <c r="AK386" s="68">
        <v>0</v>
      </c>
      <c r="BB386" s="470" t="s">
        <v>1</v>
      </c>
      <c r="BM386" s="64">
        <f>IFERROR(X386*I386/H386,"0")</f>
        <v>122.82190476190475</v>
      </c>
      <c r="BN386" s="64">
        <f>IFERROR(Y386*I386/H386,"0")</f>
        <v>124.51600000000001</v>
      </c>
      <c r="BO386" s="64">
        <f>IFERROR(1/J386*(X386/H386),"0")</f>
        <v>0.21577380952380951</v>
      </c>
      <c r="BP386" s="64">
        <f>IFERROR(1/J386*(Y386/H386),"0")</f>
        <v>0.21875</v>
      </c>
    </row>
    <row r="387" spans="1:68" x14ac:dyDescent="0.2">
      <c r="A387" s="642"/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4"/>
      <c r="P387" s="646" t="s">
        <v>71</v>
      </c>
      <c r="Q387" s="647"/>
      <c r="R387" s="647"/>
      <c r="S387" s="647"/>
      <c r="T387" s="647"/>
      <c r="U387" s="647"/>
      <c r="V387" s="648"/>
      <c r="W387" s="37" t="s">
        <v>72</v>
      </c>
      <c r="X387" s="631">
        <f>IFERROR(X384/H384,"0")+IFERROR(X385/H385,"0")+IFERROR(X386/H386,"0")</f>
        <v>50.695970695970693</v>
      </c>
      <c r="Y387" s="631">
        <f>IFERROR(Y384/H384,"0")+IFERROR(Y385/H385,"0")+IFERROR(Y386/H386,"0")</f>
        <v>52</v>
      </c>
      <c r="Z387" s="631">
        <f>IFERROR(IF(Z384="",0,Z384),"0")+IFERROR(IF(Z385="",0,Z385),"0")+IFERROR(IF(Z386="",0,Z386),"0")</f>
        <v>0.98696000000000006</v>
      </c>
      <c r="AA387" s="632"/>
      <c r="AB387" s="632"/>
      <c r="AC387" s="632"/>
    </row>
    <row r="388" spans="1:68" x14ac:dyDescent="0.2">
      <c r="A388" s="643"/>
      <c r="B388" s="643"/>
      <c r="C388" s="643"/>
      <c r="D388" s="643"/>
      <c r="E388" s="643"/>
      <c r="F388" s="643"/>
      <c r="G388" s="643"/>
      <c r="H388" s="643"/>
      <c r="I388" s="643"/>
      <c r="J388" s="643"/>
      <c r="K388" s="643"/>
      <c r="L388" s="643"/>
      <c r="M388" s="643"/>
      <c r="N388" s="643"/>
      <c r="O388" s="644"/>
      <c r="P388" s="646" t="s">
        <v>71</v>
      </c>
      <c r="Q388" s="647"/>
      <c r="R388" s="647"/>
      <c r="S388" s="647"/>
      <c r="T388" s="647"/>
      <c r="U388" s="647"/>
      <c r="V388" s="648"/>
      <c r="W388" s="37" t="s">
        <v>66</v>
      </c>
      <c r="X388" s="631">
        <f>IFERROR(SUM(X384:X386),"0")</f>
        <v>423</v>
      </c>
      <c r="Y388" s="631">
        <f>IFERROR(SUM(Y384:Y386),"0")</f>
        <v>433.8</v>
      </c>
      <c r="Z388" s="37"/>
      <c r="AA388" s="632"/>
      <c r="AB388" s="632"/>
      <c r="AC388" s="632"/>
    </row>
    <row r="389" spans="1:68" ht="14.25" hidden="1" customHeight="1" x14ac:dyDescent="0.25">
      <c r="A389" s="653" t="s">
        <v>270</v>
      </c>
      <c r="B389" s="643"/>
      <c r="C389" s="643"/>
      <c r="D389" s="643"/>
      <c r="E389" s="643"/>
      <c r="F389" s="643"/>
      <c r="G389" s="643"/>
      <c r="H389" s="643"/>
      <c r="I389" s="643"/>
      <c r="J389" s="643"/>
      <c r="K389" s="643"/>
      <c r="L389" s="643"/>
      <c r="M389" s="643"/>
      <c r="N389" s="643"/>
      <c r="O389" s="643"/>
      <c r="P389" s="643"/>
      <c r="Q389" s="643"/>
      <c r="R389" s="643"/>
      <c r="S389" s="643"/>
      <c r="T389" s="643"/>
      <c r="U389" s="643"/>
      <c r="V389" s="643"/>
      <c r="W389" s="643"/>
      <c r="X389" s="643"/>
      <c r="Y389" s="643"/>
      <c r="Z389" s="643"/>
      <c r="AA389" s="625"/>
      <c r="AB389" s="625"/>
      <c r="AC389" s="625"/>
    </row>
    <row r="390" spans="1:68" ht="27" hidden="1" customHeight="1" x14ac:dyDescent="0.25">
      <c r="A390" s="54" t="s">
        <v>637</v>
      </c>
      <c r="B390" s="54" t="s">
        <v>638</v>
      </c>
      <c r="C390" s="31">
        <v>4301030235</v>
      </c>
      <c r="D390" s="633">
        <v>4607091388381</v>
      </c>
      <c r="E390" s="634"/>
      <c r="F390" s="628">
        <v>0.38</v>
      </c>
      <c r="G390" s="32">
        <v>8</v>
      </c>
      <c r="H390" s="628">
        <v>3.04</v>
      </c>
      <c r="I390" s="628">
        <v>3.31</v>
      </c>
      <c r="J390" s="32">
        <v>132</v>
      </c>
      <c r="K390" s="32" t="s">
        <v>124</v>
      </c>
      <c r="L390" s="32"/>
      <c r="M390" s="33" t="s">
        <v>237</v>
      </c>
      <c r="N390" s="33"/>
      <c r="O390" s="32">
        <v>180</v>
      </c>
      <c r="P390" s="86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0" s="636"/>
      <c r="R390" s="636"/>
      <c r="S390" s="636"/>
      <c r="T390" s="637"/>
      <c r="U390" s="34"/>
      <c r="V390" s="34"/>
      <c r="W390" s="35" t="s">
        <v>66</v>
      </c>
      <c r="X390" s="629">
        <v>0</v>
      </c>
      <c r="Y390" s="630">
        <f>IFERROR(IF(X390="",0,CEILING((X390/$H390),1)*$H390),"")</f>
        <v>0</v>
      </c>
      <c r="Z390" s="36" t="str">
        <f>IFERROR(IF(Y390=0,"",ROUNDUP(Y390/H390,0)*0.00902),"")</f>
        <v/>
      </c>
      <c r="AA390" s="56"/>
      <c r="AB390" s="57"/>
      <c r="AC390" s="471" t="s">
        <v>639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640</v>
      </c>
      <c r="B391" s="54" t="s">
        <v>641</v>
      </c>
      <c r="C391" s="31">
        <v>4301030232</v>
      </c>
      <c r="D391" s="633">
        <v>4607091388374</v>
      </c>
      <c r="E391" s="634"/>
      <c r="F391" s="628">
        <v>0.38</v>
      </c>
      <c r="G391" s="32">
        <v>8</v>
      </c>
      <c r="H391" s="628">
        <v>3.04</v>
      </c>
      <c r="I391" s="628">
        <v>3.27</v>
      </c>
      <c r="J391" s="32">
        <v>132</v>
      </c>
      <c r="K391" s="32" t="s">
        <v>124</v>
      </c>
      <c r="L391" s="32"/>
      <c r="M391" s="33" t="s">
        <v>237</v>
      </c>
      <c r="N391" s="33"/>
      <c r="O391" s="32">
        <v>180</v>
      </c>
      <c r="P391" s="65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1" s="636"/>
      <c r="R391" s="636"/>
      <c r="S391" s="636"/>
      <c r="T391" s="637"/>
      <c r="U391" s="34"/>
      <c r="V391" s="34"/>
      <c r="W391" s="35" t="s">
        <v>66</v>
      </c>
      <c r="X391" s="629">
        <v>17</v>
      </c>
      <c r="Y391" s="630">
        <f>IFERROR(IF(X391="",0,CEILING((X391/$H391),1)*$H391),"")</f>
        <v>18.240000000000002</v>
      </c>
      <c r="Z391" s="36">
        <f>IFERROR(IF(Y391=0,"",ROUNDUP(Y391/H391,0)*0.00902),"")</f>
        <v>5.4120000000000001E-2</v>
      </c>
      <c r="AA391" s="56"/>
      <c r="AB391" s="57"/>
      <c r="AC391" s="473" t="s">
        <v>639</v>
      </c>
      <c r="AG391" s="64"/>
      <c r="AJ391" s="68"/>
      <c r="AK391" s="68">
        <v>0</v>
      </c>
      <c r="BB391" s="474" t="s">
        <v>1</v>
      </c>
      <c r="BM391" s="64">
        <f>IFERROR(X391*I391/H391,"0")</f>
        <v>18.286184210526315</v>
      </c>
      <c r="BN391" s="64">
        <f>IFERROR(Y391*I391/H391,"0")</f>
        <v>19.62</v>
      </c>
      <c r="BO391" s="64">
        <f>IFERROR(1/J391*(X391/H391),"0")</f>
        <v>4.2364433811802236E-2</v>
      </c>
      <c r="BP391" s="64">
        <f>IFERROR(1/J391*(Y391/H391),"0")</f>
        <v>4.5454545454545463E-2</v>
      </c>
    </row>
    <row r="392" spans="1:68" ht="27" hidden="1" customHeight="1" x14ac:dyDescent="0.25">
      <c r="A392" s="54" t="s">
        <v>642</v>
      </c>
      <c r="B392" s="54" t="s">
        <v>643</v>
      </c>
      <c r="C392" s="31">
        <v>4301032015</v>
      </c>
      <c r="D392" s="633">
        <v>4607091383102</v>
      </c>
      <c r="E392" s="634"/>
      <c r="F392" s="628">
        <v>0.17</v>
      </c>
      <c r="G392" s="32">
        <v>15</v>
      </c>
      <c r="H392" s="628">
        <v>2.5499999999999998</v>
      </c>
      <c r="I392" s="628">
        <v>2.9550000000000001</v>
      </c>
      <c r="J392" s="32">
        <v>182</v>
      </c>
      <c r="K392" s="32" t="s">
        <v>76</v>
      </c>
      <c r="L392" s="32"/>
      <c r="M392" s="33" t="s">
        <v>237</v>
      </c>
      <c r="N392" s="33"/>
      <c r="O392" s="32">
        <v>180</v>
      </c>
      <c r="P392" s="66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2" s="636"/>
      <c r="R392" s="636"/>
      <c r="S392" s="636"/>
      <c r="T392" s="637"/>
      <c r="U392" s="34"/>
      <c r="V392" s="34"/>
      <c r="W392" s="35" t="s">
        <v>66</v>
      </c>
      <c r="X392" s="629">
        <v>0</v>
      </c>
      <c r="Y392" s="630">
        <f>IFERROR(IF(X392="",0,CEILING((X392/$H392),1)*$H392),"")</f>
        <v>0</v>
      </c>
      <c r="Z392" s="36" t="str">
        <f>IFERROR(IF(Y392=0,"",ROUNDUP(Y392/H392,0)*0.00651),"")</f>
        <v/>
      </c>
      <c r="AA392" s="56"/>
      <c r="AB392" s="57"/>
      <c r="AC392" s="475" t="s">
        <v>639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customHeight="1" x14ac:dyDescent="0.25">
      <c r="A393" s="54" t="s">
        <v>644</v>
      </c>
      <c r="B393" s="54" t="s">
        <v>645</v>
      </c>
      <c r="C393" s="31">
        <v>4301030233</v>
      </c>
      <c r="D393" s="633">
        <v>4607091388404</v>
      </c>
      <c r="E393" s="634"/>
      <c r="F393" s="628">
        <v>0.17</v>
      </c>
      <c r="G393" s="32">
        <v>15</v>
      </c>
      <c r="H393" s="628">
        <v>2.5499999999999998</v>
      </c>
      <c r="I393" s="628">
        <v>2.88</v>
      </c>
      <c r="J393" s="32">
        <v>182</v>
      </c>
      <c r="K393" s="32" t="s">
        <v>76</v>
      </c>
      <c r="L393" s="32"/>
      <c r="M393" s="33" t="s">
        <v>237</v>
      </c>
      <c r="N393" s="33"/>
      <c r="O393" s="32">
        <v>180</v>
      </c>
      <c r="P393" s="85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3" s="636"/>
      <c r="R393" s="636"/>
      <c r="S393" s="636"/>
      <c r="T393" s="637"/>
      <c r="U393" s="34"/>
      <c r="V393" s="34"/>
      <c r="W393" s="35" t="s">
        <v>66</v>
      </c>
      <c r="X393" s="629">
        <v>41</v>
      </c>
      <c r="Y393" s="630">
        <f>IFERROR(IF(X393="",0,CEILING((X393/$H393),1)*$H393),"")</f>
        <v>43.349999999999994</v>
      </c>
      <c r="Z393" s="36">
        <f>IFERROR(IF(Y393=0,"",ROUNDUP(Y393/H393,0)*0.00651),"")</f>
        <v>0.11067</v>
      </c>
      <c r="AA393" s="56"/>
      <c r="AB393" s="57"/>
      <c r="AC393" s="477" t="s">
        <v>639</v>
      </c>
      <c r="AG393" s="64"/>
      <c r="AJ393" s="68"/>
      <c r="AK393" s="68">
        <v>0</v>
      </c>
      <c r="BB393" s="478" t="s">
        <v>1</v>
      </c>
      <c r="BM393" s="64">
        <f>IFERROR(X393*I393/H393,"0")</f>
        <v>46.305882352941182</v>
      </c>
      <c r="BN393" s="64">
        <f>IFERROR(Y393*I393/H393,"0")</f>
        <v>48.96</v>
      </c>
      <c r="BO393" s="64">
        <f>IFERROR(1/J393*(X393/H393),"0")</f>
        <v>8.8343029519500113E-2</v>
      </c>
      <c r="BP393" s="64">
        <f>IFERROR(1/J393*(Y393/H393),"0")</f>
        <v>9.3406593406593408E-2</v>
      </c>
    </row>
    <row r="394" spans="1:68" x14ac:dyDescent="0.2">
      <c r="A394" s="642"/>
      <c r="B394" s="643"/>
      <c r="C394" s="643"/>
      <c r="D394" s="643"/>
      <c r="E394" s="643"/>
      <c r="F394" s="643"/>
      <c r="G394" s="643"/>
      <c r="H394" s="643"/>
      <c r="I394" s="643"/>
      <c r="J394" s="643"/>
      <c r="K394" s="643"/>
      <c r="L394" s="643"/>
      <c r="M394" s="643"/>
      <c r="N394" s="643"/>
      <c r="O394" s="644"/>
      <c r="P394" s="646" t="s">
        <v>71</v>
      </c>
      <c r="Q394" s="647"/>
      <c r="R394" s="647"/>
      <c r="S394" s="647"/>
      <c r="T394" s="647"/>
      <c r="U394" s="647"/>
      <c r="V394" s="648"/>
      <c r="W394" s="37" t="s">
        <v>72</v>
      </c>
      <c r="X394" s="631">
        <f>IFERROR(X390/H390,"0")+IFERROR(X391/H391,"0")+IFERROR(X392/H392,"0")+IFERROR(X393/H393,"0")</f>
        <v>21.670536635706913</v>
      </c>
      <c r="Y394" s="631">
        <f>IFERROR(Y390/H390,"0")+IFERROR(Y391/H391,"0")+IFERROR(Y392/H392,"0")+IFERROR(Y393/H393,"0")</f>
        <v>23</v>
      </c>
      <c r="Z394" s="631">
        <f>IFERROR(IF(Z390="",0,Z390),"0")+IFERROR(IF(Z391="",0,Z391),"0")+IFERROR(IF(Z392="",0,Z392),"0")+IFERROR(IF(Z393="",0,Z393),"0")</f>
        <v>0.16478999999999999</v>
      </c>
      <c r="AA394" s="632"/>
      <c r="AB394" s="632"/>
      <c r="AC394" s="632"/>
    </row>
    <row r="395" spans="1:68" x14ac:dyDescent="0.2">
      <c r="A395" s="643"/>
      <c r="B395" s="643"/>
      <c r="C395" s="643"/>
      <c r="D395" s="643"/>
      <c r="E395" s="643"/>
      <c r="F395" s="643"/>
      <c r="G395" s="643"/>
      <c r="H395" s="643"/>
      <c r="I395" s="643"/>
      <c r="J395" s="643"/>
      <c r="K395" s="643"/>
      <c r="L395" s="643"/>
      <c r="M395" s="643"/>
      <c r="N395" s="643"/>
      <c r="O395" s="644"/>
      <c r="P395" s="646" t="s">
        <v>71</v>
      </c>
      <c r="Q395" s="647"/>
      <c r="R395" s="647"/>
      <c r="S395" s="647"/>
      <c r="T395" s="647"/>
      <c r="U395" s="647"/>
      <c r="V395" s="648"/>
      <c r="W395" s="37" t="s">
        <v>66</v>
      </c>
      <c r="X395" s="631">
        <f>IFERROR(SUM(X390:X393),"0")</f>
        <v>58</v>
      </c>
      <c r="Y395" s="631">
        <f>IFERROR(SUM(Y390:Y393),"0")</f>
        <v>61.589999999999996</v>
      </c>
      <c r="Z395" s="37"/>
      <c r="AA395" s="632"/>
      <c r="AB395" s="632"/>
      <c r="AC395" s="632"/>
    </row>
    <row r="396" spans="1:68" ht="14.25" hidden="1" customHeight="1" x14ac:dyDescent="0.25">
      <c r="A396" s="653" t="s">
        <v>646</v>
      </c>
      <c r="B396" s="643"/>
      <c r="C396" s="643"/>
      <c r="D396" s="643"/>
      <c r="E396" s="643"/>
      <c r="F396" s="643"/>
      <c r="G396" s="643"/>
      <c r="H396" s="643"/>
      <c r="I396" s="643"/>
      <c r="J396" s="643"/>
      <c r="K396" s="643"/>
      <c r="L396" s="643"/>
      <c r="M396" s="643"/>
      <c r="N396" s="643"/>
      <c r="O396" s="643"/>
      <c r="P396" s="643"/>
      <c r="Q396" s="643"/>
      <c r="R396" s="643"/>
      <c r="S396" s="643"/>
      <c r="T396" s="643"/>
      <c r="U396" s="643"/>
      <c r="V396" s="643"/>
      <c r="W396" s="643"/>
      <c r="X396" s="643"/>
      <c r="Y396" s="643"/>
      <c r="Z396" s="643"/>
      <c r="AA396" s="625"/>
      <c r="AB396" s="625"/>
      <c r="AC396" s="625"/>
    </row>
    <row r="397" spans="1:68" ht="16.5" hidden="1" customHeight="1" x14ac:dyDescent="0.25">
      <c r="A397" s="54" t="s">
        <v>647</v>
      </c>
      <c r="B397" s="54" t="s">
        <v>648</v>
      </c>
      <c r="C397" s="31">
        <v>4301180007</v>
      </c>
      <c r="D397" s="633">
        <v>4680115881808</v>
      </c>
      <c r="E397" s="634"/>
      <c r="F397" s="628">
        <v>0.1</v>
      </c>
      <c r="G397" s="32">
        <v>20</v>
      </c>
      <c r="H397" s="628">
        <v>2</v>
      </c>
      <c r="I397" s="628">
        <v>2.2400000000000002</v>
      </c>
      <c r="J397" s="32">
        <v>238</v>
      </c>
      <c r="K397" s="32" t="s">
        <v>76</v>
      </c>
      <c r="L397" s="32"/>
      <c r="M397" s="33" t="s">
        <v>649</v>
      </c>
      <c r="N397" s="33"/>
      <c r="O397" s="32">
        <v>731</v>
      </c>
      <c r="P397" s="8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7" s="636"/>
      <c r="R397" s="636"/>
      <c r="S397" s="636"/>
      <c r="T397" s="637"/>
      <c r="U397" s="34"/>
      <c r="V397" s="34"/>
      <c r="W397" s="35" t="s">
        <v>66</v>
      </c>
      <c r="X397" s="629">
        <v>0</v>
      </c>
      <c r="Y397" s="630">
        <f>IFERROR(IF(X397="",0,CEILING((X397/$H397),1)*$H397),"")</f>
        <v>0</v>
      </c>
      <c r="Z397" s="36" t="str">
        <f>IFERROR(IF(Y397=0,"",ROUNDUP(Y397/H397,0)*0.00474),"")</f>
        <v/>
      </c>
      <c r="AA397" s="56"/>
      <c r="AB397" s="57"/>
      <c r="AC397" s="479" t="s">
        <v>650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651</v>
      </c>
      <c r="B398" s="54" t="s">
        <v>652</v>
      </c>
      <c r="C398" s="31">
        <v>4301180006</v>
      </c>
      <c r="D398" s="633">
        <v>4680115881822</v>
      </c>
      <c r="E398" s="634"/>
      <c r="F398" s="628">
        <v>0.1</v>
      </c>
      <c r="G398" s="32">
        <v>20</v>
      </c>
      <c r="H398" s="628">
        <v>2</v>
      </c>
      <c r="I398" s="628">
        <v>2.2400000000000002</v>
      </c>
      <c r="J398" s="32">
        <v>238</v>
      </c>
      <c r="K398" s="32" t="s">
        <v>76</v>
      </c>
      <c r="L398" s="32"/>
      <c r="M398" s="33" t="s">
        <v>649</v>
      </c>
      <c r="N398" s="33"/>
      <c r="O398" s="32">
        <v>731</v>
      </c>
      <c r="P398" s="89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8" s="636"/>
      <c r="R398" s="636"/>
      <c r="S398" s="636"/>
      <c r="T398" s="637"/>
      <c r="U398" s="34"/>
      <c r="V398" s="34"/>
      <c r="W398" s="35" t="s">
        <v>66</v>
      </c>
      <c r="X398" s="629">
        <v>6</v>
      </c>
      <c r="Y398" s="630">
        <f>IFERROR(IF(X398="",0,CEILING((X398/$H398),1)*$H398),"")</f>
        <v>6</v>
      </c>
      <c r="Z398" s="36">
        <f>IFERROR(IF(Y398=0,"",ROUNDUP(Y398/H398,0)*0.00474),"")</f>
        <v>1.422E-2</v>
      </c>
      <c r="AA398" s="56"/>
      <c r="AB398" s="57"/>
      <c r="AC398" s="481" t="s">
        <v>650</v>
      </c>
      <c r="AG398" s="64"/>
      <c r="AJ398" s="68"/>
      <c r="AK398" s="68">
        <v>0</v>
      </c>
      <c r="BB398" s="482" t="s">
        <v>1</v>
      </c>
      <c r="BM398" s="64">
        <f>IFERROR(X398*I398/H398,"0")</f>
        <v>6.7200000000000006</v>
      </c>
      <c r="BN398" s="64">
        <f>IFERROR(Y398*I398/H398,"0")</f>
        <v>6.7200000000000006</v>
      </c>
      <c r="BO398" s="64">
        <f>IFERROR(1/J398*(X398/H398),"0")</f>
        <v>1.2605042016806723E-2</v>
      </c>
      <c r="BP398" s="64">
        <f>IFERROR(1/J398*(Y398/H398),"0")</f>
        <v>1.2605042016806723E-2</v>
      </c>
    </row>
    <row r="399" spans="1:68" ht="27" customHeight="1" x14ac:dyDescent="0.25">
      <c r="A399" s="54" t="s">
        <v>653</v>
      </c>
      <c r="B399" s="54" t="s">
        <v>654</v>
      </c>
      <c r="C399" s="31">
        <v>4301180001</v>
      </c>
      <c r="D399" s="633">
        <v>4680115880016</v>
      </c>
      <c r="E399" s="634"/>
      <c r="F399" s="628">
        <v>0.1</v>
      </c>
      <c r="G399" s="32">
        <v>20</v>
      </c>
      <c r="H399" s="628">
        <v>2</v>
      </c>
      <c r="I399" s="628">
        <v>2.2400000000000002</v>
      </c>
      <c r="J399" s="32">
        <v>238</v>
      </c>
      <c r="K399" s="32" t="s">
        <v>76</v>
      </c>
      <c r="L399" s="32"/>
      <c r="M399" s="33" t="s">
        <v>649</v>
      </c>
      <c r="N399" s="33"/>
      <c r="O399" s="32">
        <v>731</v>
      </c>
      <c r="P399" s="90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9" s="636"/>
      <c r="R399" s="636"/>
      <c r="S399" s="636"/>
      <c r="T399" s="637"/>
      <c r="U399" s="34"/>
      <c r="V399" s="34"/>
      <c r="W399" s="35" t="s">
        <v>66</v>
      </c>
      <c r="X399" s="629">
        <v>3</v>
      </c>
      <c r="Y399" s="630">
        <f>IFERROR(IF(X399="",0,CEILING((X399/$H399),1)*$H399),"")</f>
        <v>4</v>
      </c>
      <c r="Z399" s="36">
        <f>IFERROR(IF(Y399=0,"",ROUNDUP(Y399/H399,0)*0.00474),"")</f>
        <v>9.4800000000000006E-3</v>
      </c>
      <c r="AA399" s="56"/>
      <c r="AB399" s="57"/>
      <c r="AC399" s="483" t="s">
        <v>650</v>
      </c>
      <c r="AG399" s="64"/>
      <c r="AJ399" s="68"/>
      <c r="AK399" s="68">
        <v>0</v>
      </c>
      <c r="BB399" s="484" t="s">
        <v>1</v>
      </c>
      <c r="BM399" s="64">
        <f>IFERROR(X399*I399/H399,"0")</f>
        <v>3.3600000000000003</v>
      </c>
      <c r="BN399" s="64">
        <f>IFERROR(Y399*I399/H399,"0")</f>
        <v>4.4800000000000004</v>
      </c>
      <c r="BO399" s="64">
        <f>IFERROR(1/J399*(X399/H399),"0")</f>
        <v>6.3025210084033615E-3</v>
      </c>
      <c r="BP399" s="64">
        <f>IFERROR(1/J399*(Y399/H399),"0")</f>
        <v>8.4033613445378148E-3</v>
      </c>
    </row>
    <row r="400" spans="1:68" x14ac:dyDescent="0.2">
      <c r="A400" s="642"/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4"/>
      <c r="P400" s="646" t="s">
        <v>71</v>
      </c>
      <c r="Q400" s="647"/>
      <c r="R400" s="647"/>
      <c r="S400" s="647"/>
      <c r="T400" s="647"/>
      <c r="U400" s="647"/>
      <c r="V400" s="648"/>
      <c r="W400" s="37" t="s">
        <v>72</v>
      </c>
      <c r="X400" s="631">
        <f>IFERROR(X397/H397,"0")+IFERROR(X398/H398,"0")+IFERROR(X399/H399,"0")</f>
        <v>4.5</v>
      </c>
      <c r="Y400" s="631">
        <f>IFERROR(Y397/H397,"0")+IFERROR(Y398/H398,"0")+IFERROR(Y399/H399,"0")</f>
        <v>5</v>
      </c>
      <c r="Z400" s="631">
        <f>IFERROR(IF(Z397="",0,Z397),"0")+IFERROR(IF(Z398="",0,Z398),"0")+IFERROR(IF(Z399="",0,Z399),"0")</f>
        <v>2.3699999999999999E-2</v>
      </c>
      <c r="AA400" s="632"/>
      <c r="AB400" s="632"/>
      <c r="AC400" s="632"/>
    </row>
    <row r="401" spans="1:68" x14ac:dyDescent="0.2">
      <c r="A401" s="643"/>
      <c r="B401" s="643"/>
      <c r="C401" s="643"/>
      <c r="D401" s="643"/>
      <c r="E401" s="643"/>
      <c r="F401" s="643"/>
      <c r="G401" s="643"/>
      <c r="H401" s="643"/>
      <c r="I401" s="643"/>
      <c r="J401" s="643"/>
      <c r="K401" s="643"/>
      <c r="L401" s="643"/>
      <c r="M401" s="643"/>
      <c r="N401" s="643"/>
      <c r="O401" s="644"/>
      <c r="P401" s="646" t="s">
        <v>71</v>
      </c>
      <c r="Q401" s="647"/>
      <c r="R401" s="647"/>
      <c r="S401" s="647"/>
      <c r="T401" s="647"/>
      <c r="U401" s="647"/>
      <c r="V401" s="648"/>
      <c r="W401" s="37" t="s">
        <v>66</v>
      </c>
      <c r="X401" s="631">
        <f>IFERROR(SUM(X397:X399),"0")</f>
        <v>9</v>
      </c>
      <c r="Y401" s="631">
        <f>IFERROR(SUM(Y397:Y399),"0")</f>
        <v>10</v>
      </c>
      <c r="Z401" s="37"/>
      <c r="AA401" s="632"/>
      <c r="AB401" s="632"/>
      <c r="AC401" s="632"/>
    </row>
    <row r="402" spans="1:68" ht="14.25" hidden="1" customHeight="1" x14ac:dyDescent="0.25">
      <c r="A402" s="653" t="s">
        <v>655</v>
      </c>
      <c r="B402" s="643"/>
      <c r="C402" s="643"/>
      <c r="D402" s="643"/>
      <c r="E402" s="643"/>
      <c r="F402" s="643"/>
      <c r="G402" s="643"/>
      <c r="H402" s="643"/>
      <c r="I402" s="643"/>
      <c r="J402" s="643"/>
      <c r="K402" s="643"/>
      <c r="L402" s="643"/>
      <c r="M402" s="643"/>
      <c r="N402" s="643"/>
      <c r="O402" s="643"/>
      <c r="P402" s="643"/>
      <c r="Q402" s="643"/>
      <c r="R402" s="643"/>
      <c r="S402" s="643"/>
      <c r="T402" s="643"/>
      <c r="U402" s="643"/>
      <c r="V402" s="643"/>
      <c r="W402" s="643"/>
      <c r="X402" s="643"/>
      <c r="Y402" s="643"/>
      <c r="Z402" s="643"/>
      <c r="AA402" s="625"/>
      <c r="AB402" s="625"/>
      <c r="AC402" s="625"/>
    </row>
    <row r="403" spans="1:68" ht="27" customHeight="1" x14ac:dyDescent="0.25">
      <c r="A403" s="54" t="s">
        <v>656</v>
      </c>
      <c r="B403" s="54" t="s">
        <v>657</v>
      </c>
      <c r="C403" s="31">
        <v>4301220003</v>
      </c>
      <c r="D403" s="633">
        <v>4680115888678</v>
      </c>
      <c r="E403" s="634"/>
      <c r="F403" s="628">
        <v>0.25</v>
      </c>
      <c r="G403" s="32">
        <v>12</v>
      </c>
      <c r="H403" s="628">
        <v>3</v>
      </c>
      <c r="I403" s="628">
        <v>3.22</v>
      </c>
      <c r="J403" s="32">
        <v>224</v>
      </c>
      <c r="K403" s="32" t="s">
        <v>76</v>
      </c>
      <c r="L403" s="32"/>
      <c r="M403" s="33" t="s">
        <v>649</v>
      </c>
      <c r="N403" s="33"/>
      <c r="O403" s="32">
        <v>1096</v>
      </c>
      <c r="P403" s="77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3" s="636"/>
      <c r="R403" s="636"/>
      <c r="S403" s="636"/>
      <c r="T403" s="637"/>
      <c r="U403" s="34"/>
      <c r="V403" s="34"/>
      <c r="W403" s="35" t="s">
        <v>66</v>
      </c>
      <c r="X403" s="629">
        <v>35</v>
      </c>
      <c r="Y403" s="630">
        <f>IFERROR(IF(X403="",0,CEILING((X403/$H403),1)*$H403),"")</f>
        <v>36</v>
      </c>
      <c r="Z403" s="36">
        <f>IFERROR(IF(Y403=0,"",ROUNDUP(Y403/H403,0)*0.0045),"")</f>
        <v>5.3999999999999992E-2</v>
      </c>
      <c r="AA403" s="56"/>
      <c r="AB403" s="57"/>
      <c r="AC403" s="485" t="s">
        <v>658</v>
      </c>
      <c r="AG403" s="64"/>
      <c r="AJ403" s="68"/>
      <c r="AK403" s="68">
        <v>0</v>
      </c>
      <c r="BB403" s="486" t="s">
        <v>1</v>
      </c>
      <c r="BM403" s="64">
        <f>IFERROR(X403*I403/H403,"0")</f>
        <v>37.56666666666667</v>
      </c>
      <c r="BN403" s="64">
        <f>IFERROR(Y403*I403/H403,"0")</f>
        <v>38.64</v>
      </c>
      <c r="BO403" s="64">
        <f>IFERROR(1/J403*(X403/H403),"0")</f>
        <v>5.2083333333333329E-2</v>
      </c>
      <c r="BP403" s="64">
        <f>IFERROR(1/J403*(Y403/H403),"0")</f>
        <v>5.3571428571428568E-2</v>
      </c>
    </row>
    <row r="404" spans="1:68" ht="27" customHeight="1" x14ac:dyDescent="0.25">
      <c r="A404" s="54" t="s">
        <v>659</v>
      </c>
      <c r="B404" s="54" t="s">
        <v>660</v>
      </c>
      <c r="C404" s="31">
        <v>4301220001</v>
      </c>
      <c r="D404" s="633">
        <v>4680115888654</v>
      </c>
      <c r="E404" s="634"/>
      <c r="F404" s="628">
        <v>0.32500000000000001</v>
      </c>
      <c r="G404" s="32">
        <v>12</v>
      </c>
      <c r="H404" s="628">
        <v>3.9</v>
      </c>
      <c r="I404" s="628">
        <v>4.17</v>
      </c>
      <c r="J404" s="32">
        <v>144</v>
      </c>
      <c r="K404" s="32" t="s">
        <v>124</v>
      </c>
      <c r="L404" s="32"/>
      <c r="M404" s="33" t="s">
        <v>649</v>
      </c>
      <c r="N404" s="33"/>
      <c r="O404" s="32">
        <v>1096</v>
      </c>
      <c r="P404" s="68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4" s="636"/>
      <c r="R404" s="636"/>
      <c r="S404" s="636"/>
      <c r="T404" s="637"/>
      <c r="U404" s="34"/>
      <c r="V404" s="34"/>
      <c r="W404" s="35" t="s">
        <v>66</v>
      </c>
      <c r="X404" s="629">
        <v>28</v>
      </c>
      <c r="Y404" s="630">
        <f>IFERROR(IF(X404="",0,CEILING((X404/$H404),1)*$H404),"")</f>
        <v>31.2</v>
      </c>
      <c r="Z404" s="36">
        <f>IFERROR(IF(Y404=0,"",ROUNDUP(Y404/H404,0)*0.006),"")</f>
        <v>4.8000000000000001E-2</v>
      </c>
      <c r="AA404" s="56"/>
      <c r="AB404" s="57"/>
      <c r="AC404" s="487" t="s">
        <v>661</v>
      </c>
      <c r="AG404" s="64"/>
      <c r="AJ404" s="68"/>
      <c r="AK404" s="68">
        <v>0</v>
      </c>
      <c r="BB404" s="488" t="s">
        <v>1</v>
      </c>
      <c r="BM404" s="64">
        <f>IFERROR(X404*I404/H404,"0")</f>
        <v>29.938461538461535</v>
      </c>
      <c r="BN404" s="64">
        <f>IFERROR(Y404*I404/H404,"0")</f>
        <v>33.36</v>
      </c>
      <c r="BO404" s="64">
        <f>IFERROR(1/J404*(X404/H404),"0")</f>
        <v>4.9857549857549859E-2</v>
      </c>
      <c r="BP404" s="64">
        <f>IFERROR(1/J404*(Y404/H404),"0")</f>
        <v>5.5555555555555552E-2</v>
      </c>
    </row>
    <row r="405" spans="1:68" ht="27" customHeight="1" x14ac:dyDescent="0.25">
      <c r="A405" s="54" t="s">
        <v>662</v>
      </c>
      <c r="B405" s="54" t="s">
        <v>663</v>
      </c>
      <c r="C405" s="31">
        <v>4301220002</v>
      </c>
      <c r="D405" s="633">
        <v>4680115888753</v>
      </c>
      <c r="E405" s="634"/>
      <c r="F405" s="628">
        <v>0.25</v>
      </c>
      <c r="G405" s="32">
        <v>12</v>
      </c>
      <c r="H405" s="628">
        <v>3</v>
      </c>
      <c r="I405" s="628">
        <v>3.22</v>
      </c>
      <c r="J405" s="32">
        <v>224</v>
      </c>
      <c r="K405" s="32" t="s">
        <v>76</v>
      </c>
      <c r="L405" s="32"/>
      <c r="M405" s="33" t="s">
        <v>649</v>
      </c>
      <c r="N405" s="33"/>
      <c r="O405" s="32">
        <v>1096</v>
      </c>
      <c r="P405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5" s="636"/>
      <c r="R405" s="636"/>
      <c r="S405" s="636"/>
      <c r="T405" s="637"/>
      <c r="U405" s="34"/>
      <c r="V405" s="34"/>
      <c r="W405" s="35" t="s">
        <v>66</v>
      </c>
      <c r="X405" s="629">
        <v>120</v>
      </c>
      <c r="Y405" s="630">
        <f>IFERROR(IF(X405="",0,CEILING((X405/$H405),1)*$H405),"")</f>
        <v>120</v>
      </c>
      <c r="Z405" s="36">
        <f>IFERROR(IF(Y405=0,"",ROUNDUP(Y405/H405,0)*0.0045),"")</f>
        <v>0.18</v>
      </c>
      <c r="AA405" s="56"/>
      <c r="AB405" s="57"/>
      <c r="AC405" s="489" t="s">
        <v>658</v>
      </c>
      <c r="AG405" s="64"/>
      <c r="AJ405" s="68"/>
      <c r="AK405" s="68">
        <v>0</v>
      </c>
      <c r="BB405" s="490" t="s">
        <v>1</v>
      </c>
      <c r="BM405" s="64">
        <f>IFERROR(X405*I405/H405,"0")</f>
        <v>128.80000000000001</v>
      </c>
      <c r="BN405" s="64">
        <f>IFERROR(Y405*I405/H405,"0")</f>
        <v>128.80000000000001</v>
      </c>
      <c r="BO405" s="64">
        <f>IFERROR(1/J405*(X405/H405),"0")</f>
        <v>0.17857142857142855</v>
      </c>
      <c r="BP405" s="64">
        <f>IFERROR(1/J405*(Y405/H405),"0")</f>
        <v>0.17857142857142855</v>
      </c>
    </row>
    <row r="406" spans="1:68" x14ac:dyDescent="0.2">
      <c r="A406" s="642"/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4"/>
      <c r="P406" s="646" t="s">
        <v>71</v>
      </c>
      <c r="Q406" s="647"/>
      <c r="R406" s="647"/>
      <c r="S406" s="647"/>
      <c r="T406" s="647"/>
      <c r="U406" s="647"/>
      <c r="V406" s="648"/>
      <c r="W406" s="37" t="s">
        <v>72</v>
      </c>
      <c r="X406" s="631">
        <f>IFERROR(X403/H403,"0")+IFERROR(X404/H404,"0")+IFERROR(X405/H405,"0")</f>
        <v>58.846153846153847</v>
      </c>
      <c r="Y406" s="631">
        <f>IFERROR(Y403/H403,"0")+IFERROR(Y404/H404,"0")+IFERROR(Y405/H405,"0")</f>
        <v>60</v>
      </c>
      <c r="Z406" s="631">
        <f>IFERROR(IF(Z403="",0,Z403),"0")+IFERROR(IF(Z404="",0,Z404),"0")+IFERROR(IF(Z405="",0,Z405),"0")</f>
        <v>0.28199999999999997</v>
      </c>
      <c r="AA406" s="632"/>
      <c r="AB406" s="632"/>
      <c r="AC406" s="632"/>
    </row>
    <row r="407" spans="1:68" x14ac:dyDescent="0.2">
      <c r="A407" s="643"/>
      <c r="B407" s="643"/>
      <c r="C407" s="643"/>
      <c r="D407" s="643"/>
      <c r="E407" s="643"/>
      <c r="F407" s="643"/>
      <c r="G407" s="643"/>
      <c r="H407" s="643"/>
      <c r="I407" s="643"/>
      <c r="J407" s="643"/>
      <c r="K407" s="643"/>
      <c r="L407" s="643"/>
      <c r="M407" s="643"/>
      <c r="N407" s="643"/>
      <c r="O407" s="644"/>
      <c r="P407" s="646" t="s">
        <v>71</v>
      </c>
      <c r="Q407" s="647"/>
      <c r="R407" s="647"/>
      <c r="S407" s="647"/>
      <c r="T407" s="647"/>
      <c r="U407" s="647"/>
      <c r="V407" s="648"/>
      <c r="W407" s="37" t="s">
        <v>66</v>
      </c>
      <c r="X407" s="631">
        <f>IFERROR(SUM(X403:X405),"0")</f>
        <v>183</v>
      </c>
      <c r="Y407" s="631">
        <f>IFERROR(SUM(Y403:Y405),"0")</f>
        <v>187.2</v>
      </c>
      <c r="Z407" s="37"/>
      <c r="AA407" s="632"/>
      <c r="AB407" s="632"/>
      <c r="AC407" s="632"/>
    </row>
    <row r="408" spans="1:68" ht="16.5" hidden="1" customHeight="1" x14ac:dyDescent="0.25">
      <c r="A408" s="677" t="s">
        <v>664</v>
      </c>
      <c r="B408" s="643"/>
      <c r="C408" s="643"/>
      <c r="D408" s="643"/>
      <c r="E408" s="643"/>
      <c r="F408" s="643"/>
      <c r="G408" s="643"/>
      <c r="H408" s="643"/>
      <c r="I408" s="643"/>
      <c r="J408" s="643"/>
      <c r="K408" s="643"/>
      <c r="L408" s="643"/>
      <c r="M408" s="643"/>
      <c r="N408" s="643"/>
      <c r="O408" s="643"/>
      <c r="P408" s="643"/>
      <c r="Q408" s="643"/>
      <c r="R408" s="643"/>
      <c r="S408" s="643"/>
      <c r="T408" s="643"/>
      <c r="U408" s="643"/>
      <c r="V408" s="643"/>
      <c r="W408" s="643"/>
      <c r="X408" s="643"/>
      <c r="Y408" s="643"/>
      <c r="Z408" s="643"/>
      <c r="AA408" s="624"/>
      <c r="AB408" s="624"/>
      <c r="AC408" s="624"/>
    </row>
    <row r="409" spans="1:68" ht="14.25" hidden="1" customHeight="1" x14ac:dyDescent="0.25">
      <c r="A409" s="653" t="s">
        <v>73</v>
      </c>
      <c r="B409" s="643"/>
      <c r="C409" s="643"/>
      <c r="D409" s="643"/>
      <c r="E409" s="643"/>
      <c r="F409" s="643"/>
      <c r="G409" s="643"/>
      <c r="H409" s="643"/>
      <c r="I409" s="643"/>
      <c r="J409" s="643"/>
      <c r="K409" s="643"/>
      <c r="L409" s="643"/>
      <c r="M409" s="643"/>
      <c r="N409" s="643"/>
      <c r="O409" s="643"/>
      <c r="P409" s="643"/>
      <c r="Q409" s="643"/>
      <c r="R409" s="643"/>
      <c r="S409" s="643"/>
      <c r="T409" s="643"/>
      <c r="U409" s="643"/>
      <c r="V409" s="643"/>
      <c r="W409" s="643"/>
      <c r="X409" s="643"/>
      <c r="Y409" s="643"/>
      <c r="Z409" s="643"/>
      <c r="AA409" s="625"/>
      <c r="AB409" s="625"/>
      <c r="AC409" s="625"/>
    </row>
    <row r="410" spans="1:68" ht="16.5" hidden="1" customHeight="1" x14ac:dyDescent="0.25">
      <c r="A410" s="54" t="s">
        <v>665</v>
      </c>
      <c r="B410" s="54" t="s">
        <v>666</v>
      </c>
      <c r="C410" s="31">
        <v>4301052235</v>
      </c>
      <c r="D410" s="633">
        <v>4680115889415</v>
      </c>
      <c r="E410" s="634"/>
      <c r="F410" s="628">
        <v>1.3</v>
      </c>
      <c r="G410" s="32">
        <v>6</v>
      </c>
      <c r="H410" s="628">
        <v>7.8</v>
      </c>
      <c r="I410" s="628">
        <v>8.2100000000000009</v>
      </c>
      <c r="J410" s="32">
        <v>64</v>
      </c>
      <c r="K410" s="32" t="s">
        <v>115</v>
      </c>
      <c r="L410" s="32"/>
      <c r="M410" s="33" t="s">
        <v>77</v>
      </c>
      <c r="N410" s="33"/>
      <c r="O410" s="32">
        <v>40</v>
      </c>
      <c r="P410" s="98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0" s="636"/>
      <c r="R410" s="636"/>
      <c r="S410" s="636"/>
      <c r="T410" s="637"/>
      <c r="U410" s="34"/>
      <c r="V410" s="34"/>
      <c r="W410" s="35" t="s">
        <v>66</v>
      </c>
      <c r="X410" s="629">
        <v>0</v>
      </c>
      <c r="Y410" s="630">
        <f>IFERROR(IF(X410="",0,CEILING((X410/$H410),1)*$H410),"")</f>
        <v>0</v>
      </c>
      <c r="Z410" s="36" t="str">
        <f>IFERROR(IF(Y410=0,"",ROUNDUP(Y410/H410,0)*0.01898),"")</f>
        <v/>
      </c>
      <c r="AA410" s="56"/>
      <c r="AB410" s="57"/>
      <c r="AC410" s="491" t="s">
        <v>667</v>
      </c>
      <c r="AG410" s="64"/>
      <c r="AJ410" s="68"/>
      <c r="AK410" s="68">
        <v>0</v>
      </c>
      <c r="BB410" s="492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16.5" hidden="1" customHeight="1" x14ac:dyDescent="0.25">
      <c r="A411" s="54" t="s">
        <v>668</v>
      </c>
      <c r="B411" s="54" t="s">
        <v>669</v>
      </c>
      <c r="C411" s="31">
        <v>4301052236</v>
      </c>
      <c r="D411" s="633">
        <v>4680115889422</v>
      </c>
      <c r="E411" s="634"/>
      <c r="F411" s="628">
        <v>1.3</v>
      </c>
      <c r="G411" s="32">
        <v>6</v>
      </c>
      <c r="H411" s="628">
        <v>7.8</v>
      </c>
      <c r="I411" s="628">
        <v>8.2100000000000009</v>
      </c>
      <c r="J411" s="32">
        <v>64</v>
      </c>
      <c r="K411" s="32" t="s">
        <v>115</v>
      </c>
      <c r="L411" s="32"/>
      <c r="M411" s="33" t="s">
        <v>77</v>
      </c>
      <c r="N411" s="33"/>
      <c r="O411" s="32">
        <v>40</v>
      </c>
      <c r="P411" s="780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1" s="636"/>
      <c r="R411" s="636"/>
      <c r="S411" s="636"/>
      <c r="T411" s="637"/>
      <c r="U411" s="34"/>
      <c r="V411" s="34"/>
      <c r="W411" s="35" t="s">
        <v>66</v>
      </c>
      <c r="X411" s="629">
        <v>0</v>
      </c>
      <c r="Y411" s="630">
        <f>IFERROR(IF(X411="",0,CEILING((X411/$H411),1)*$H411),"")</f>
        <v>0</v>
      </c>
      <c r="Z411" s="36" t="str">
        <f>IFERROR(IF(Y411=0,"",ROUNDUP(Y411/H411,0)*0.01898),"")</f>
        <v/>
      </c>
      <c r="AA411" s="56"/>
      <c r="AB411" s="57"/>
      <c r="AC411" s="493" t="s">
        <v>670</v>
      </c>
      <c r="AG411" s="64"/>
      <c r="AJ411" s="68"/>
      <c r="AK411" s="68">
        <v>0</v>
      </c>
      <c r="BB411" s="494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42"/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4"/>
      <c r="P412" s="646" t="s">
        <v>71</v>
      </c>
      <c r="Q412" s="647"/>
      <c r="R412" s="647"/>
      <c r="S412" s="647"/>
      <c r="T412" s="647"/>
      <c r="U412" s="647"/>
      <c r="V412" s="648"/>
      <c r="W412" s="37" t="s">
        <v>72</v>
      </c>
      <c r="X412" s="631">
        <f>IFERROR(X410/H410,"0")+IFERROR(X411/H411,"0")</f>
        <v>0</v>
      </c>
      <c r="Y412" s="631">
        <f>IFERROR(Y410/H410,"0")+IFERROR(Y411/H411,"0")</f>
        <v>0</v>
      </c>
      <c r="Z412" s="631">
        <f>IFERROR(IF(Z410="",0,Z410),"0")+IFERROR(IF(Z411="",0,Z411),"0")</f>
        <v>0</v>
      </c>
      <c r="AA412" s="632"/>
      <c r="AB412" s="632"/>
      <c r="AC412" s="632"/>
    </row>
    <row r="413" spans="1:68" hidden="1" x14ac:dyDescent="0.2">
      <c r="A413" s="643"/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4"/>
      <c r="P413" s="646" t="s">
        <v>71</v>
      </c>
      <c r="Q413" s="647"/>
      <c r="R413" s="647"/>
      <c r="S413" s="647"/>
      <c r="T413" s="647"/>
      <c r="U413" s="647"/>
      <c r="V413" s="648"/>
      <c r="W413" s="37" t="s">
        <v>66</v>
      </c>
      <c r="X413" s="631">
        <f>IFERROR(SUM(X410:X411),"0")</f>
        <v>0</v>
      </c>
      <c r="Y413" s="631">
        <f>IFERROR(SUM(Y410:Y411),"0")</f>
        <v>0</v>
      </c>
      <c r="Z413" s="37"/>
      <c r="AA413" s="632"/>
      <c r="AB413" s="632"/>
      <c r="AC413" s="632"/>
    </row>
    <row r="414" spans="1:68" ht="16.5" hidden="1" customHeight="1" x14ac:dyDescent="0.25">
      <c r="A414" s="677" t="s">
        <v>671</v>
      </c>
      <c r="B414" s="643"/>
      <c r="C414" s="643"/>
      <c r="D414" s="643"/>
      <c r="E414" s="643"/>
      <c r="F414" s="643"/>
      <c r="G414" s="643"/>
      <c r="H414" s="643"/>
      <c r="I414" s="643"/>
      <c r="J414" s="643"/>
      <c r="K414" s="643"/>
      <c r="L414" s="643"/>
      <c r="M414" s="643"/>
      <c r="N414" s="643"/>
      <c r="O414" s="643"/>
      <c r="P414" s="643"/>
      <c r="Q414" s="643"/>
      <c r="R414" s="643"/>
      <c r="S414" s="643"/>
      <c r="T414" s="643"/>
      <c r="U414" s="643"/>
      <c r="V414" s="643"/>
      <c r="W414" s="643"/>
      <c r="X414" s="643"/>
      <c r="Y414" s="643"/>
      <c r="Z414" s="643"/>
      <c r="AA414" s="624"/>
      <c r="AB414" s="624"/>
      <c r="AC414" s="624"/>
    </row>
    <row r="415" spans="1:68" ht="14.25" hidden="1" customHeight="1" x14ac:dyDescent="0.25">
      <c r="A415" s="653" t="s">
        <v>73</v>
      </c>
      <c r="B415" s="643"/>
      <c r="C415" s="643"/>
      <c r="D415" s="643"/>
      <c r="E415" s="643"/>
      <c r="F415" s="643"/>
      <c r="G415" s="643"/>
      <c r="H415" s="643"/>
      <c r="I415" s="643"/>
      <c r="J415" s="643"/>
      <c r="K415" s="643"/>
      <c r="L415" s="643"/>
      <c r="M415" s="643"/>
      <c r="N415" s="643"/>
      <c r="O415" s="643"/>
      <c r="P415" s="643"/>
      <c r="Q415" s="643"/>
      <c r="R415" s="643"/>
      <c r="S415" s="643"/>
      <c r="T415" s="643"/>
      <c r="U415" s="643"/>
      <c r="V415" s="643"/>
      <c r="W415" s="643"/>
      <c r="X415" s="643"/>
      <c r="Y415" s="643"/>
      <c r="Z415" s="643"/>
      <c r="AA415" s="625"/>
      <c r="AB415" s="625"/>
      <c r="AC415" s="625"/>
    </row>
    <row r="416" spans="1:68" ht="27" hidden="1" customHeight="1" x14ac:dyDescent="0.25">
      <c r="A416" s="54" t="s">
        <v>672</v>
      </c>
      <c r="B416" s="54" t="s">
        <v>673</v>
      </c>
      <c r="C416" s="31">
        <v>4301051489</v>
      </c>
      <c r="D416" s="633">
        <v>4607091387919</v>
      </c>
      <c r="E416" s="634"/>
      <c r="F416" s="628">
        <v>1.35</v>
      </c>
      <c r="G416" s="32">
        <v>6</v>
      </c>
      <c r="H416" s="628">
        <v>8.1</v>
      </c>
      <c r="I416" s="628">
        <v>8.5939999999999994</v>
      </c>
      <c r="J416" s="32">
        <v>64</v>
      </c>
      <c r="K416" s="32" t="s">
        <v>115</v>
      </c>
      <c r="L416" s="32"/>
      <c r="M416" s="33" t="s">
        <v>83</v>
      </c>
      <c r="N416" s="33"/>
      <c r="O416" s="32">
        <v>45</v>
      </c>
      <c r="P416" s="7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6" s="636"/>
      <c r="R416" s="636"/>
      <c r="S416" s="636"/>
      <c r="T416" s="637"/>
      <c r="U416" s="34"/>
      <c r="V416" s="34"/>
      <c r="W416" s="35" t="s">
        <v>66</v>
      </c>
      <c r="X416" s="629">
        <v>0</v>
      </c>
      <c r="Y416" s="630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95" t="s">
        <v>674</v>
      </c>
      <c r="AG416" s="64"/>
      <c r="AJ416" s="68"/>
      <c r="AK416" s="68">
        <v>0</v>
      </c>
      <c r="BB416" s="496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675</v>
      </c>
      <c r="B417" s="54" t="s">
        <v>676</v>
      </c>
      <c r="C417" s="31">
        <v>4301051461</v>
      </c>
      <c r="D417" s="633">
        <v>4680115883604</v>
      </c>
      <c r="E417" s="634"/>
      <c r="F417" s="628">
        <v>0.35</v>
      </c>
      <c r="G417" s="32">
        <v>6</v>
      </c>
      <c r="H417" s="628">
        <v>2.1</v>
      </c>
      <c r="I417" s="628">
        <v>2.3519999999999999</v>
      </c>
      <c r="J417" s="32">
        <v>182</v>
      </c>
      <c r="K417" s="32" t="s">
        <v>76</v>
      </c>
      <c r="L417" s="32"/>
      <c r="M417" s="33" t="s">
        <v>77</v>
      </c>
      <c r="N417" s="33"/>
      <c r="O417" s="32">
        <v>45</v>
      </c>
      <c r="P417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7" s="636"/>
      <c r="R417" s="636"/>
      <c r="S417" s="636"/>
      <c r="T417" s="637"/>
      <c r="U417" s="34"/>
      <c r="V417" s="34"/>
      <c r="W417" s="35" t="s">
        <v>66</v>
      </c>
      <c r="X417" s="629">
        <v>0</v>
      </c>
      <c r="Y417" s="630">
        <f>IFERROR(IF(X417="",0,CEILING((X417/$H417),1)*$H417),"")</f>
        <v>0</v>
      </c>
      <c r="Z417" s="36" t="str">
        <f>IFERROR(IF(Y417=0,"",ROUNDUP(Y417/H417,0)*0.00651),"")</f>
        <v/>
      </c>
      <c r="AA417" s="56"/>
      <c r="AB417" s="57"/>
      <c r="AC417" s="497" t="s">
        <v>677</v>
      </c>
      <c r="AG417" s="64"/>
      <c r="AJ417" s="68"/>
      <c r="AK417" s="68">
        <v>0</v>
      </c>
      <c r="BB417" s="498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678</v>
      </c>
      <c r="B418" s="54" t="s">
        <v>679</v>
      </c>
      <c r="C418" s="31">
        <v>4301051864</v>
      </c>
      <c r="D418" s="633">
        <v>4680115883567</v>
      </c>
      <c r="E418" s="634"/>
      <c r="F418" s="628">
        <v>0.35</v>
      </c>
      <c r="G418" s="32">
        <v>6</v>
      </c>
      <c r="H418" s="628">
        <v>2.1</v>
      </c>
      <c r="I418" s="628">
        <v>2.34</v>
      </c>
      <c r="J418" s="32">
        <v>182</v>
      </c>
      <c r="K418" s="32" t="s">
        <v>76</v>
      </c>
      <c r="L418" s="32"/>
      <c r="M418" s="33" t="s">
        <v>83</v>
      </c>
      <c r="N418" s="33"/>
      <c r="O418" s="32">
        <v>40</v>
      </c>
      <c r="P418" s="94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8" s="636"/>
      <c r="R418" s="636"/>
      <c r="S418" s="636"/>
      <c r="T418" s="637"/>
      <c r="U418" s="34"/>
      <c r="V418" s="34"/>
      <c r="W418" s="35" t="s">
        <v>66</v>
      </c>
      <c r="X418" s="629">
        <v>0</v>
      </c>
      <c r="Y418" s="630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642"/>
      <c r="B419" s="643"/>
      <c r="C419" s="643"/>
      <c r="D419" s="643"/>
      <c r="E419" s="643"/>
      <c r="F419" s="643"/>
      <c r="G419" s="643"/>
      <c r="H419" s="643"/>
      <c r="I419" s="643"/>
      <c r="J419" s="643"/>
      <c r="K419" s="643"/>
      <c r="L419" s="643"/>
      <c r="M419" s="643"/>
      <c r="N419" s="643"/>
      <c r="O419" s="644"/>
      <c r="P419" s="646" t="s">
        <v>71</v>
      </c>
      <c r="Q419" s="647"/>
      <c r="R419" s="647"/>
      <c r="S419" s="647"/>
      <c r="T419" s="647"/>
      <c r="U419" s="647"/>
      <c r="V419" s="648"/>
      <c r="W419" s="37" t="s">
        <v>72</v>
      </c>
      <c r="X419" s="631">
        <f>IFERROR(X416/H416,"0")+IFERROR(X417/H417,"0")+IFERROR(X418/H418,"0")</f>
        <v>0</v>
      </c>
      <c r="Y419" s="631">
        <f>IFERROR(Y416/H416,"0")+IFERROR(Y417/H417,"0")+IFERROR(Y418/H418,"0")</f>
        <v>0</v>
      </c>
      <c r="Z419" s="631">
        <f>IFERROR(IF(Z416="",0,Z416),"0")+IFERROR(IF(Z417="",0,Z417),"0")+IFERROR(IF(Z418="",0,Z418),"0")</f>
        <v>0</v>
      </c>
      <c r="AA419" s="632"/>
      <c r="AB419" s="632"/>
      <c r="AC419" s="632"/>
    </row>
    <row r="420" spans="1:68" hidden="1" x14ac:dyDescent="0.2">
      <c r="A420" s="643"/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4"/>
      <c r="P420" s="646" t="s">
        <v>71</v>
      </c>
      <c r="Q420" s="647"/>
      <c r="R420" s="647"/>
      <c r="S420" s="647"/>
      <c r="T420" s="647"/>
      <c r="U420" s="647"/>
      <c r="V420" s="648"/>
      <c r="W420" s="37" t="s">
        <v>66</v>
      </c>
      <c r="X420" s="631">
        <f>IFERROR(SUM(X416:X418),"0")</f>
        <v>0</v>
      </c>
      <c r="Y420" s="631">
        <f>IFERROR(SUM(Y416:Y418),"0")</f>
        <v>0</v>
      </c>
      <c r="Z420" s="37"/>
      <c r="AA420" s="632"/>
      <c r="AB420" s="632"/>
      <c r="AC420" s="632"/>
    </row>
    <row r="421" spans="1:68" ht="27.75" hidden="1" customHeight="1" x14ac:dyDescent="0.2">
      <c r="A421" s="649" t="s">
        <v>681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48"/>
      <c r="AB421" s="48"/>
      <c r="AC421" s="48"/>
    </row>
    <row r="422" spans="1:68" ht="16.5" hidden="1" customHeight="1" x14ac:dyDescent="0.25">
      <c r="A422" s="677" t="s">
        <v>682</v>
      </c>
      <c r="B422" s="643"/>
      <c r="C422" s="643"/>
      <c r="D422" s="643"/>
      <c r="E422" s="643"/>
      <c r="F422" s="643"/>
      <c r="G422" s="643"/>
      <c r="H422" s="643"/>
      <c r="I422" s="643"/>
      <c r="J422" s="643"/>
      <c r="K422" s="643"/>
      <c r="L422" s="643"/>
      <c r="M422" s="643"/>
      <c r="N422" s="643"/>
      <c r="O422" s="643"/>
      <c r="P422" s="643"/>
      <c r="Q422" s="643"/>
      <c r="R422" s="643"/>
      <c r="S422" s="643"/>
      <c r="T422" s="643"/>
      <c r="U422" s="643"/>
      <c r="V422" s="643"/>
      <c r="W422" s="643"/>
      <c r="X422" s="643"/>
      <c r="Y422" s="643"/>
      <c r="Z422" s="643"/>
      <c r="AA422" s="624"/>
      <c r="AB422" s="624"/>
      <c r="AC422" s="624"/>
    </row>
    <row r="423" spans="1:68" ht="14.25" hidden="1" customHeight="1" x14ac:dyDescent="0.25">
      <c r="A423" s="653" t="s">
        <v>112</v>
      </c>
      <c r="B423" s="643"/>
      <c r="C423" s="643"/>
      <c r="D423" s="643"/>
      <c r="E423" s="643"/>
      <c r="F423" s="643"/>
      <c r="G423" s="643"/>
      <c r="H423" s="643"/>
      <c r="I423" s="643"/>
      <c r="J423" s="643"/>
      <c r="K423" s="643"/>
      <c r="L423" s="643"/>
      <c r="M423" s="643"/>
      <c r="N423" s="643"/>
      <c r="O423" s="643"/>
      <c r="P423" s="643"/>
      <c r="Q423" s="643"/>
      <c r="R423" s="643"/>
      <c r="S423" s="643"/>
      <c r="T423" s="643"/>
      <c r="U423" s="643"/>
      <c r="V423" s="643"/>
      <c r="W423" s="643"/>
      <c r="X423" s="643"/>
      <c r="Y423" s="643"/>
      <c r="Z423" s="643"/>
      <c r="AA423" s="625"/>
      <c r="AB423" s="625"/>
      <c r="AC423" s="625"/>
    </row>
    <row r="424" spans="1:68" ht="27" hidden="1" customHeight="1" x14ac:dyDescent="0.25">
      <c r="A424" s="54" t="s">
        <v>683</v>
      </c>
      <c r="B424" s="54" t="s">
        <v>684</v>
      </c>
      <c r="C424" s="31">
        <v>4301012332</v>
      </c>
      <c r="D424" s="633">
        <v>4680115888401</v>
      </c>
      <c r="E424" s="634"/>
      <c r="F424" s="628">
        <v>2.5</v>
      </c>
      <c r="G424" s="32">
        <v>6</v>
      </c>
      <c r="H424" s="628">
        <v>15</v>
      </c>
      <c r="I424" s="628">
        <v>15.47</v>
      </c>
      <c r="J424" s="32">
        <v>48</v>
      </c>
      <c r="K424" s="32" t="s">
        <v>115</v>
      </c>
      <c r="L424" s="32"/>
      <c r="M424" s="33" t="s">
        <v>83</v>
      </c>
      <c r="N424" s="33"/>
      <c r="O424" s="32">
        <v>60</v>
      </c>
      <c r="P424" s="81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4" s="636"/>
      <c r="R424" s="636"/>
      <c r="S424" s="636"/>
      <c r="T424" s="637"/>
      <c r="U424" s="34"/>
      <c r="V424" s="34"/>
      <c r="W424" s="35" t="s">
        <v>66</v>
      </c>
      <c r="X424" s="629">
        <v>0</v>
      </c>
      <c r="Y424" s="630">
        <f t="shared" ref="Y424:Y431" si="59">IFERROR(IF(X424="",0,CEILING((X424/$H424),1)*$H424),"")</f>
        <v>0</v>
      </c>
      <c r="Z424" s="36" t="str">
        <f>IFERROR(IF(Y424=0,"",ROUNDUP(Y424/H424,0)*0.02175),"")</f>
        <v/>
      </c>
      <c r="AA424" s="56"/>
      <c r="AB424" s="57"/>
      <c r="AC424" s="501" t="s">
        <v>685</v>
      </c>
      <c r="AG424" s="64"/>
      <c r="AJ424" s="68"/>
      <c r="AK424" s="68">
        <v>0</v>
      </c>
      <c r="BB424" s="502" t="s">
        <v>1</v>
      </c>
      <c r="BM424" s="64">
        <f t="shared" ref="BM424:BM431" si="60">IFERROR(X424*I424/H424,"0")</f>
        <v>0</v>
      </c>
      <c r="BN424" s="64">
        <f t="shared" ref="BN424:BN431" si="61">IFERROR(Y424*I424/H424,"0")</f>
        <v>0</v>
      </c>
      <c r="BO424" s="64">
        <f t="shared" ref="BO424:BO431" si="62">IFERROR(1/J424*(X424/H424),"0")</f>
        <v>0</v>
      </c>
      <c r="BP424" s="64">
        <f t="shared" ref="BP424:BP431" si="63">IFERROR(1/J424*(Y424/H424),"0")</f>
        <v>0</v>
      </c>
    </row>
    <row r="425" spans="1:68" ht="37.5" hidden="1" customHeight="1" x14ac:dyDescent="0.25">
      <c r="A425" s="54" t="s">
        <v>686</v>
      </c>
      <c r="B425" s="54" t="s">
        <v>687</v>
      </c>
      <c r="C425" s="31">
        <v>4301011869</v>
      </c>
      <c r="D425" s="633">
        <v>4680115884847</v>
      </c>
      <c r="E425" s="634"/>
      <c r="F425" s="628">
        <v>2.5</v>
      </c>
      <c r="G425" s="32">
        <v>6</v>
      </c>
      <c r="H425" s="628">
        <v>15</v>
      </c>
      <c r="I425" s="628">
        <v>15.47</v>
      </c>
      <c r="J425" s="32">
        <v>48</v>
      </c>
      <c r="K425" s="32" t="s">
        <v>115</v>
      </c>
      <c r="L425" s="32"/>
      <c r="M425" s="33" t="s">
        <v>65</v>
      </c>
      <c r="N425" s="33"/>
      <c r="O425" s="32">
        <v>60</v>
      </c>
      <c r="P425" s="82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5" s="636"/>
      <c r="R425" s="636"/>
      <c r="S425" s="636"/>
      <c r="T425" s="637"/>
      <c r="U425" s="34"/>
      <c r="V425" s="34"/>
      <c r="W425" s="35" t="s">
        <v>66</v>
      </c>
      <c r="X425" s="629">
        <v>0</v>
      </c>
      <c r="Y425" s="630">
        <f t="shared" si="59"/>
        <v>0</v>
      </c>
      <c r="Z425" s="36" t="str">
        <f>IFERROR(IF(Y425=0,"",ROUNDUP(Y425/H425,0)*0.02175),"")</f>
        <v/>
      </c>
      <c r="AA425" s="56"/>
      <c r="AB425" s="57"/>
      <c r="AC425" s="503" t="s">
        <v>688</v>
      </c>
      <c r="AG425" s="64"/>
      <c r="AJ425" s="68"/>
      <c r="AK425" s="68">
        <v>0</v>
      </c>
      <c r="BB425" s="504" t="s">
        <v>1</v>
      </c>
      <c r="BM425" s="64">
        <f t="shared" si="60"/>
        <v>0</v>
      </c>
      <c r="BN425" s="64">
        <f t="shared" si="61"/>
        <v>0</v>
      </c>
      <c r="BO425" s="64">
        <f t="shared" si="62"/>
        <v>0</v>
      </c>
      <c r="BP425" s="64">
        <f t="shared" si="63"/>
        <v>0</v>
      </c>
    </row>
    <row r="426" spans="1:68" ht="27" hidden="1" customHeight="1" x14ac:dyDescent="0.25">
      <c r="A426" s="54" t="s">
        <v>689</v>
      </c>
      <c r="B426" s="54" t="s">
        <v>690</v>
      </c>
      <c r="C426" s="31">
        <v>4301012083</v>
      </c>
      <c r="D426" s="633">
        <v>4680115884854</v>
      </c>
      <c r="E426" s="634"/>
      <c r="F426" s="628">
        <v>2.5</v>
      </c>
      <c r="G426" s="32">
        <v>6</v>
      </c>
      <c r="H426" s="628">
        <v>15</v>
      </c>
      <c r="I426" s="628">
        <v>15.47</v>
      </c>
      <c r="J426" s="32">
        <v>48</v>
      </c>
      <c r="K426" s="32" t="s">
        <v>115</v>
      </c>
      <c r="L426" s="32"/>
      <c r="M426" s="33" t="s">
        <v>116</v>
      </c>
      <c r="N426" s="33"/>
      <c r="O426" s="32">
        <v>60</v>
      </c>
      <c r="P426" s="73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6" s="636"/>
      <c r="R426" s="636"/>
      <c r="S426" s="636"/>
      <c r="T426" s="637"/>
      <c r="U426" s="34"/>
      <c r="V426" s="34"/>
      <c r="W426" s="35" t="s">
        <v>66</v>
      </c>
      <c r="X426" s="629">
        <v>0</v>
      </c>
      <c r="Y426" s="630">
        <f t="shared" si="59"/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si="60"/>
        <v>0</v>
      </c>
      <c r="BN426" s="64">
        <f t="shared" si="61"/>
        <v>0</v>
      </c>
      <c r="BO426" s="64">
        <f t="shared" si="62"/>
        <v>0</v>
      </c>
      <c r="BP426" s="64">
        <f t="shared" si="63"/>
        <v>0</v>
      </c>
    </row>
    <row r="427" spans="1:68" ht="27" hidden="1" customHeight="1" x14ac:dyDescent="0.25">
      <c r="A427" s="54" t="s">
        <v>692</v>
      </c>
      <c r="B427" s="54" t="s">
        <v>693</v>
      </c>
      <c r="C427" s="31">
        <v>4301011867</v>
      </c>
      <c r="D427" s="633">
        <v>4680115884830</v>
      </c>
      <c r="E427" s="634"/>
      <c r="F427" s="628">
        <v>2.5</v>
      </c>
      <c r="G427" s="32">
        <v>6</v>
      </c>
      <c r="H427" s="628">
        <v>15</v>
      </c>
      <c r="I427" s="628">
        <v>15.47</v>
      </c>
      <c r="J427" s="32">
        <v>48</v>
      </c>
      <c r="K427" s="32" t="s">
        <v>115</v>
      </c>
      <c r="L427" s="32"/>
      <c r="M427" s="33" t="s">
        <v>65</v>
      </c>
      <c r="N427" s="33"/>
      <c r="O427" s="32">
        <v>60</v>
      </c>
      <c r="P427" s="80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7" s="636"/>
      <c r="R427" s="636"/>
      <c r="S427" s="636"/>
      <c r="T427" s="637"/>
      <c r="U427" s="34"/>
      <c r="V427" s="34"/>
      <c r="W427" s="35" t="s">
        <v>66</v>
      </c>
      <c r="X427" s="629">
        <v>0</v>
      </c>
      <c r="Y427" s="630">
        <f t="shared" si="59"/>
        <v>0</v>
      </c>
      <c r="Z427" s="36" t="str">
        <f>IFERROR(IF(Y427=0,"",ROUNDUP(Y427/H427,0)*0.02175),"")</f>
        <v/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60"/>
        <v>0</v>
      </c>
      <c r="BN427" s="64">
        <f t="shared" si="61"/>
        <v>0</v>
      </c>
      <c r="BO427" s="64">
        <f t="shared" si="62"/>
        <v>0</v>
      </c>
      <c r="BP427" s="64">
        <f t="shared" si="63"/>
        <v>0</v>
      </c>
    </row>
    <row r="428" spans="1:68" ht="27" customHeight="1" x14ac:dyDescent="0.25">
      <c r="A428" s="54" t="s">
        <v>695</v>
      </c>
      <c r="B428" s="54" t="s">
        <v>696</v>
      </c>
      <c r="C428" s="31">
        <v>4301012356</v>
      </c>
      <c r="D428" s="633">
        <v>4680115889231</v>
      </c>
      <c r="E428" s="634"/>
      <c r="F428" s="628">
        <v>2.5</v>
      </c>
      <c r="G428" s="32">
        <v>6</v>
      </c>
      <c r="H428" s="628">
        <v>15</v>
      </c>
      <c r="I428" s="628">
        <v>15.47</v>
      </c>
      <c r="J428" s="32">
        <v>48</v>
      </c>
      <c r="K428" s="32" t="s">
        <v>115</v>
      </c>
      <c r="L428" s="32"/>
      <c r="M428" s="33" t="s">
        <v>83</v>
      </c>
      <c r="N428" s="33"/>
      <c r="O428" s="32">
        <v>60</v>
      </c>
      <c r="P428" s="74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8" s="636"/>
      <c r="R428" s="636"/>
      <c r="S428" s="636"/>
      <c r="T428" s="637"/>
      <c r="U428" s="34"/>
      <c r="V428" s="34"/>
      <c r="W428" s="35" t="s">
        <v>66</v>
      </c>
      <c r="X428" s="629">
        <v>30</v>
      </c>
      <c r="Y428" s="630">
        <f t="shared" si="59"/>
        <v>30</v>
      </c>
      <c r="Z428" s="36">
        <f>IFERROR(IF(Y428=0,"",ROUNDUP(Y428/H428,0)*0.02175),"")</f>
        <v>4.3499999999999997E-2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60"/>
        <v>30.94</v>
      </c>
      <c r="BN428" s="64">
        <f t="shared" si="61"/>
        <v>30.94</v>
      </c>
      <c r="BO428" s="64">
        <f t="shared" si="62"/>
        <v>4.1666666666666664E-2</v>
      </c>
      <c r="BP428" s="64">
        <f t="shared" si="63"/>
        <v>4.1666666666666664E-2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4301011433</v>
      </c>
      <c r="D429" s="633">
        <v>4680115882638</v>
      </c>
      <c r="E429" s="634"/>
      <c r="F429" s="628">
        <v>0.4</v>
      </c>
      <c r="G429" s="32">
        <v>10</v>
      </c>
      <c r="H429" s="628">
        <v>4</v>
      </c>
      <c r="I429" s="628">
        <v>4.1900000000000004</v>
      </c>
      <c r="J429" s="32">
        <v>132</v>
      </c>
      <c r="K429" s="32" t="s">
        <v>124</v>
      </c>
      <c r="L429" s="32"/>
      <c r="M429" s="33" t="s">
        <v>116</v>
      </c>
      <c r="N429" s="33"/>
      <c r="O429" s="32">
        <v>90</v>
      </c>
      <c r="P429" s="7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9" s="636"/>
      <c r="R429" s="636"/>
      <c r="S429" s="636"/>
      <c r="T429" s="637"/>
      <c r="U429" s="34"/>
      <c r="V429" s="34"/>
      <c r="W429" s="35" t="s">
        <v>66</v>
      </c>
      <c r="X429" s="629">
        <v>0</v>
      </c>
      <c r="Y429" s="630">
        <f t="shared" si="59"/>
        <v>0</v>
      </c>
      <c r="Z429" s="36" t="str">
        <f>IFERROR(IF(Y429=0,"",ROUNDUP(Y429/H429,0)*0.00902),"")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60"/>
        <v>0</v>
      </c>
      <c r="BN429" s="64">
        <f t="shared" si="61"/>
        <v>0</v>
      </c>
      <c r="BO429" s="64">
        <f t="shared" si="62"/>
        <v>0</v>
      </c>
      <c r="BP429" s="64">
        <f t="shared" si="63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4301011952</v>
      </c>
      <c r="D430" s="633">
        <v>4680115884922</v>
      </c>
      <c r="E430" s="634"/>
      <c r="F430" s="628">
        <v>0.5</v>
      </c>
      <c r="G430" s="32">
        <v>10</v>
      </c>
      <c r="H430" s="628">
        <v>5</v>
      </c>
      <c r="I430" s="628">
        <v>5.19</v>
      </c>
      <c r="J430" s="32">
        <v>132</v>
      </c>
      <c r="K430" s="32" t="s">
        <v>124</v>
      </c>
      <c r="L430" s="32"/>
      <c r="M430" s="33" t="s">
        <v>65</v>
      </c>
      <c r="N430" s="33"/>
      <c r="O430" s="32">
        <v>60</v>
      </c>
      <c r="P430" s="9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0" s="636"/>
      <c r="R430" s="636"/>
      <c r="S430" s="636"/>
      <c r="T430" s="637"/>
      <c r="U430" s="34"/>
      <c r="V430" s="34"/>
      <c r="W430" s="35" t="s">
        <v>66</v>
      </c>
      <c r="X430" s="629">
        <v>0</v>
      </c>
      <c r="Y430" s="630">
        <f t="shared" si="59"/>
        <v>0</v>
      </c>
      <c r="Z430" s="36" t="str">
        <f>IFERROR(IF(Y430=0,"",ROUNDUP(Y430/H430,0)*0.00902),"")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60"/>
        <v>0</v>
      </c>
      <c r="BN430" s="64">
        <f t="shared" si="61"/>
        <v>0</v>
      </c>
      <c r="BO430" s="64">
        <f t="shared" si="62"/>
        <v>0</v>
      </c>
      <c r="BP430" s="64">
        <f t="shared" si="63"/>
        <v>0</v>
      </c>
    </row>
    <row r="431" spans="1:68" ht="37.5" hidden="1" customHeight="1" x14ac:dyDescent="0.25">
      <c r="A431" s="54" t="s">
        <v>704</v>
      </c>
      <c r="B431" s="54" t="s">
        <v>705</v>
      </c>
      <c r="C431" s="31">
        <v>4301011868</v>
      </c>
      <c r="D431" s="633">
        <v>4680115884861</v>
      </c>
      <c r="E431" s="634"/>
      <c r="F431" s="628">
        <v>0.5</v>
      </c>
      <c r="G431" s="32">
        <v>10</v>
      </c>
      <c r="H431" s="628">
        <v>5</v>
      </c>
      <c r="I431" s="628">
        <v>5.19</v>
      </c>
      <c r="J431" s="32">
        <v>132</v>
      </c>
      <c r="K431" s="32" t="s">
        <v>124</v>
      </c>
      <c r="L431" s="32"/>
      <c r="M431" s="33" t="s">
        <v>65</v>
      </c>
      <c r="N431" s="33"/>
      <c r="O431" s="32">
        <v>60</v>
      </c>
      <c r="P431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1" s="636"/>
      <c r="R431" s="636"/>
      <c r="S431" s="636"/>
      <c r="T431" s="637"/>
      <c r="U431" s="34"/>
      <c r="V431" s="34"/>
      <c r="W431" s="35" t="s">
        <v>66</v>
      </c>
      <c r="X431" s="629">
        <v>0</v>
      </c>
      <c r="Y431" s="630">
        <f t="shared" si="59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60"/>
        <v>0</v>
      </c>
      <c r="BN431" s="64">
        <f t="shared" si="61"/>
        <v>0</v>
      </c>
      <c r="BO431" s="64">
        <f t="shared" si="62"/>
        <v>0</v>
      </c>
      <c r="BP431" s="64">
        <f t="shared" si="63"/>
        <v>0</v>
      </c>
    </row>
    <row r="432" spans="1:68" x14ac:dyDescent="0.2">
      <c r="A432" s="642"/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4"/>
      <c r="P432" s="646" t="s">
        <v>71</v>
      </c>
      <c r="Q432" s="647"/>
      <c r="R432" s="647"/>
      <c r="S432" s="647"/>
      <c r="T432" s="647"/>
      <c r="U432" s="647"/>
      <c r="V432" s="648"/>
      <c r="W432" s="37" t="s">
        <v>72</v>
      </c>
      <c r="X432" s="631">
        <f>IFERROR(X424/H424,"0")+IFERROR(X425/H425,"0")+IFERROR(X426/H426,"0")+IFERROR(X427/H427,"0")+IFERROR(X428/H428,"0")+IFERROR(X429/H429,"0")+IFERROR(X430/H430,"0")+IFERROR(X431/H431,"0")</f>
        <v>2</v>
      </c>
      <c r="Y432" s="631">
        <f>IFERROR(Y424/H424,"0")+IFERROR(Y425/H425,"0")+IFERROR(Y426/H426,"0")+IFERROR(Y427/H427,"0")+IFERROR(Y428/H428,"0")+IFERROR(Y429/H429,"0")+IFERROR(Y430/H430,"0")+IFERROR(Y431/H431,"0")</f>
        <v>2</v>
      </c>
      <c r="Z432" s="631">
        <f>IFERROR(IF(Z424="",0,Z424),"0")+IFERROR(IF(Z425="",0,Z425),"0")+IFERROR(IF(Z426="",0,Z426),"0")+IFERROR(IF(Z427="",0,Z427),"0")+IFERROR(IF(Z428="",0,Z428),"0")+IFERROR(IF(Z429="",0,Z429),"0")+IFERROR(IF(Z430="",0,Z430),"0")+IFERROR(IF(Z431="",0,Z431),"0")</f>
        <v>4.3499999999999997E-2</v>
      </c>
      <c r="AA432" s="632"/>
      <c r="AB432" s="632"/>
      <c r="AC432" s="632"/>
    </row>
    <row r="433" spans="1:68" x14ac:dyDescent="0.2">
      <c r="A433" s="643"/>
      <c r="B433" s="643"/>
      <c r="C433" s="643"/>
      <c r="D433" s="643"/>
      <c r="E433" s="643"/>
      <c r="F433" s="643"/>
      <c r="G433" s="643"/>
      <c r="H433" s="643"/>
      <c r="I433" s="643"/>
      <c r="J433" s="643"/>
      <c r="K433" s="643"/>
      <c r="L433" s="643"/>
      <c r="M433" s="643"/>
      <c r="N433" s="643"/>
      <c r="O433" s="644"/>
      <c r="P433" s="646" t="s">
        <v>71</v>
      </c>
      <c r="Q433" s="647"/>
      <c r="R433" s="647"/>
      <c r="S433" s="647"/>
      <c r="T433" s="647"/>
      <c r="U433" s="647"/>
      <c r="V433" s="648"/>
      <c r="W433" s="37" t="s">
        <v>66</v>
      </c>
      <c r="X433" s="631">
        <f>IFERROR(SUM(X424:X431),"0")</f>
        <v>30</v>
      </c>
      <c r="Y433" s="631">
        <f>IFERROR(SUM(Y424:Y431),"0")</f>
        <v>30</v>
      </c>
      <c r="Z433" s="37"/>
      <c r="AA433" s="632"/>
      <c r="AB433" s="632"/>
      <c r="AC433" s="632"/>
    </row>
    <row r="434" spans="1:68" ht="14.25" hidden="1" customHeight="1" x14ac:dyDescent="0.25">
      <c r="A434" s="653" t="s">
        <v>145</v>
      </c>
      <c r="B434" s="643"/>
      <c r="C434" s="643"/>
      <c r="D434" s="643"/>
      <c r="E434" s="643"/>
      <c r="F434" s="643"/>
      <c r="G434" s="643"/>
      <c r="H434" s="643"/>
      <c r="I434" s="643"/>
      <c r="J434" s="643"/>
      <c r="K434" s="643"/>
      <c r="L434" s="643"/>
      <c r="M434" s="643"/>
      <c r="N434" s="643"/>
      <c r="O434" s="643"/>
      <c r="P434" s="643"/>
      <c r="Q434" s="643"/>
      <c r="R434" s="643"/>
      <c r="S434" s="643"/>
      <c r="T434" s="643"/>
      <c r="U434" s="643"/>
      <c r="V434" s="643"/>
      <c r="W434" s="643"/>
      <c r="X434" s="643"/>
      <c r="Y434" s="643"/>
      <c r="Z434" s="643"/>
      <c r="AA434" s="625"/>
      <c r="AB434" s="625"/>
      <c r="AC434" s="625"/>
    </row>
    <row r="435" spans="1:68" ht="27" customHeight="1" x14ac:dyDescent="0.25">
      <c r="A435" s="54" t="s">
        <v>707</v>
      </c>
      <c r="B435" s="54" t="s">
        <v>708</v>
      </c>
      <c r="C435" s="31">
        <v>4301020178</v>
      </c>
      <c r="D435" s="633">
        <v>4607091383980</v>
      </c>
      <c r="E435" s="634"/>
      <c r="F435" s="628">
        <v>2.5</v>
      </c>
      <c r="G435" s="32">
        <v>6</v>
      </c>
      <c r="H435" s="628">
        <v>15</v>
      </c>
      <c r="I435" s="628">
        <v>15.47</v>
      </c>
      <c r="J435" s="32">
        <v>48</v>
      </c>
      <c r="K435" s="32" t="s">
        <v>115</v>
      </c>
      <c r="L435" s="32"/>
      <c r="M435" s="33" t="s">
        <v>116</v>
      </c>
      <c r="N435" s="33"/>
      <c r="O435" s="32">
        <v>50</v>
      </c>
      <c r="P435" s="96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5" s="636"/>
      <c r="R435" s="636"/>
      <c r="S435" s="636"/>
      <c r="T435" s="637"/>
      <c r="U435" s="34"/>
      <c r="V435" s="34"/>
      <c r="W435" s="35" t="s">
        <v>66</v>
      </c>
      <c r="X435" s="629">
        <v>550</v>
      </c>
      <c r="Y435" s="630">
        <f>IFERROR(IF(X435="",0,CEILING((X435/$H435),1)*$H435),"")</f>
        <v>555</v>
      </c>
      <c r="Z435" s="36">
        <f>IFERROR(IF(Y435=0,"",ROUNDUP(Y435/H435,0)*0.02175),"")</f>
        <v>0.80474999999999997</v>
      </c>
      <c r="AA435" s="56"/>
      <c r="AB435" s="57"/>
      <c r="AC435" s="517" t="s">
        <v>709</v>
      </c>
      <c r="AG435" s="64"/>
      <c r="AJ435" s="68"/>
      <c r="AK435" s="68">
        <v>0</v>
      </c>
      <c r="BB435" s="518" t="s">
        <v>1</v>
      </c>
      <c r="BM435" s="64">
        <f>IFERROR(X435*I435/H435,"0")</f>
        <v>567.23333333333335</v>
      </c>
      <c r="BN435" s="64">
        <f>IFERROR(Y435*I435/H435,"0")</f>
        <v>572.39</v>
      </c>
      <c r="BO435" s="64">
        <f>IFERROR(1/J435*(X435/H435),"0")</f>
        <v>0.76388888888888884</v>
      </c>
      <c r="BP435" s="64">
        <f>IFERROR(1/J435*(Y435/H435),"0")</f>
        <v>0.77083333333333326</v>
      </c>
    </row>
    <row r="436" spans="1:68" ht="27" hidden="1" customHeight="1" x14ac:dyDescent="0.25">
      <c r="A436" s="54" t="s">
        <v>710</v>
      </c>
      <c r="B436" s="54" t="s">
        <v>711</v>
      </c>
      <c r="C436" s="31">
        <v>4301020355</v>
      </c>
      <c r="D436" s="633">
        <v>4680115888425</v>
      </c>
      <c r="E436" s="634"/>
      <c r="F436" s="628">
        <v>2.5</v>
      </c>
      <c r="G436" s="32">
        <v>6</v>
      </c>
      <c r="H436" s="628">
        <v>15</v>
      </c>
      <c r="I436" s="628">
        <v>15.47</v>
      </c>
      <c r="J436" s="32">
        <v>48</v>
      </c>
      <c r="K436" s="32" t="s">
        <v>115</v>
      </c>
      <c r="L436" s="32"/>
      <c r="M436" s="33" t="s">
        <v>116</v>
      </c>
      <c r="N436" s="33"/>
      <c r="O436" s="32">
        <v>50</v>
      </c>
      <c r="P436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6" s="636"/>
      <c r="R436" s="636"/>
      <c r="S436" s="636"/>
      <c r="T436" s="637"/>
      <c r="U436" s="34"/>
      <c r="V436" s="34"/>
      <c r="W436" s="35" t="s">
        <v>66</v>
      </c>
      <c r="X436" s="629">
        <v>0</v>
      </c>
      <c r="Y436" s="630">
        <f>IFERROR(IF(X436="",0,CEILING((X436/$H436),1)*$H436),"")</f>
        <v>0</v>
      </c>
      <c r="Z436" s="36" t="str">
        <f>IFERROR(IF(Y436=0,"",ROUNDUP(Y436/H436,0)*0.02175),"")</f>
        <v/>
      </c>
      <c r="AA436" s="56"/>
      <c r="AB436" s="57"/>
      <c r="AC436" s="519" t="s">
        <v>712</v>
      </c>
      <c r="AG436" s="64"/>
      <c r="AJ436" s="68"/>
      <c r="AK436" s="68">
        <v>0</v>
      </c>
      <c r="BB436" s="520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27" hidden="1" customHeight="1" x14ac:dyDescent="0.25">
      <c r="A437" s="54" t="s">
        <v>713</v>
      </c>
      <c r="B437" s="54" t="s">
        <v>714</v>
      </c>
      <c r="C437" s="31">
        <v>4301020179</v>
      </c>
      <c r="D437" s="633">
        <v>4607091384178</v>
      </c>
      <c r="E437" s="634"/>
      <c r="F437" s="628">
        <v>0.4</v>
      </c>
      <c r="G437" s="32">
        <v>10</v>
      </c>
      <c r="H437" s="628">
        <v>4</v>
      </c>
      <c r="I437" s="628">
        <v>4.1900000000000004</v>
      </c>
      <c r="J437" s="32">
        <v>132</v>
      </c>
      <c r="K437" s="32" t="s">
        <v>124</v>
      </c>
      <c r="L437" s="32"/>
      <c r="M437" s="33" t="s">
        <v>116</v>
      </c>
      <c r="N437" s="33"/>
      <c r="O437" s="32">
        <v>50</v>
      </c>
      <c r="P437" s="63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7" s="636"/>
      <c r="R437" s="636"/>
      <c r="S437" s="636"/>
      <c r="T437" s="637"/>
      <c r="U437" s="34"/>
      <c r="V437" s="34"/>
      <c r="W437" s="35" t="s">
        <v>66</v>
      </c>
      <c r="X437" s="629">
        <v>0</v>
      </c>
      <c r="Y437" s="630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642"/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4"/>
      <c r="P438" s="646" t="s">
        <v>71</v>
      </c>
      <c r="Q438" s="647"/>
      <c r="R438" s="647"/>
      <c r="S438" s="647"/>
      <c r="T438" s="647"/>
      <c r="U438" s="647"/>
      <c r="V438" s="648"/>
      <c r="W438" s="37" t="s">
        <v>72</v>
      </c>
      <c r="X438" s="631">
        <f>IFERROR(X435/H435,"0")+IFERROR(X436/H436,"0")+IFERROR(X437/H437,"0")</f>
        <v>36.666666666666664</v>
      </c>
      <c r="Y438" s="631">
        <f>IFERROR(Y435/H435,"0")+IFERROR(Y436/H436,"0")+IFERROR(Y437/H437,"0")</f>
        <v>37</v>
      </c>
      <c r="Z438" s="631">
        <f>IFERROR(IF(Z435="",0,Z435),"0")+IFERROR(IF(Z436="",0,Z436),"0")+IFERROR(IF(Z437="",0,Z437),"0")</f>
        <v>0.80474999999999997</v>
      </c>
      <c r="AA438" s="632"/>
      <c r="AB438" s="632"/>
      <c r="AC438" s="632"/>
    </row>
    <row r="439" spans="1:68" x14ac:dyDescent="0.2">
      <c r="A439" s="643"/>
      <c r="B439" s="643"/>
      <c r="C439" s="643"/>
      <c r="D439" s="643"/>
      <c r="E439" s="643"/>
      <c r="F439" s="643"/>
      <c r="G439" s="643"/>
      <c r="H439" s="643"/>
      <c r="I439" s="643"/>
      <c r="J439" s="643"/>
      <c r="K439" s="643"/>
      <c r="L439" s="643"/>
      <c r="M439" s="643"/>
      <c r="N439" s="643"/>
      <c r="O439" s="644"/>
      <c r="P439" s="646" t="s">
        <v>71</v>
      </c>
      <c r="Q439" s="647"/>
      <c r="R439" s="647"/>
      <c r="S439" s="647"/>
      <c r="T439" s="647"/>
      <c r="U439" s="647"/>
      <c r="V439" s="648"/>
      <c r="W439" s="37" t="s">
        <v>66</v>
      </c>
      <c r="X439" s="631">
        <f>IFERROR(SUM(X435:X437),"0")</f>
        <v>550</v>
      </c>
      <c r="Y439" s="631">
        <f>IFERROR(SUM(Y435:Y437),"0")</f>
        <v>555</v>
      </c>
      <c r="Z439" s="37"/>
      <c r="AA439" s="632"/>
      <c r="AB439" s="632"/>
      <c r="AC439" s="632"/>
    </row>
    <row r="440" spans="1:68" ht="14.25" hidden="1" customHeight="1" x14ac:dyDescent="0.25">
      <c r="A440" s="653" t="s">
        <v>73</v>
      </c>
      <c r="B440" s="643"/>
      <c r="C440" s="643"/>
      <c r="D440" s="643"/>
      <c r="E440" s="643"/>
      <c r="F440" s="643"/>
      <c r="G440" s="643"/>
      <c r="H440" s="643"/>
      <c r="I440" s="643"/>
      <c r="J440" s="643"/>
      <c r="K440" s="643"/>
      <c r="L440" s="643"/>
      <c r="M440" s="643"/>
      <c r="N440" s="643"/>
      <c r="O440" s="643"/>
      <c r="P440" s="643"/>
      <c r="Q440" s="643"/>
      <c r="R440" s="643"/>
      <c r="S440" s="643"/>
      <c r="T440" s="643"/>
      <c r="U440" s="643"/>
      <c r="V440" s="643"/>
      <c r="W440" s="643"/>
      <c r="X440" s="643"/>
      <c r="Y440" s="643"/>
      <c r="Z440" s="643"/>
      <c r="AA440" s="625"/>
      <c r="AB440" s="625"/>
      <c r="AC440" s="625"/>
    </row>
    <row r="441" spans="1:68" ht="27" hidden="1" customHeight="1" x14ac:dyDescent="0.25">
      <c r="A441" s="54" t="s">
        <v>716</v>
      </c>
      <c r="B441" s="54" t="s">
        <v>717</v>
      </c>
      <c r="C441" s="31">
        <v>4301051903</v>
      </c>
      <c r="D441" s="633">
        <v>4607091383928</v>
      </c>
      <c r="E441" s="634"/>
      <c r="F441" s="628">
        <v>1.5</v>
      </c>
      <c r="G441" s="32">
        <v>6</v>
      </c>
      <c r="H441" s="628">
        <v>9</v>
      </c>
      <c r="I441" s="628">
        <v>9.5</v>
      </c>
      <c r="J441" s="32">
        <v>64</v>
      </c>
      <c r="K441" s="32" t="s">
        <v>115</v>
      </c>
      <c r="L441" s="32"/>
      <c r="M441" s="33" t="s">
        <v>77</v>
      </c>
      <c r="N441" s="33"/>
      <c r="O441" s="32">
        <v>40</v>
      </c>
      <c r="P441" s="85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66</v>
      </c>
      <c r="X441" s="629">
        <v>0</v>
      </c>
      <c r="Y441" s="630">
        <f>IFERROR(IF(X441="",0,CEILING((X441/$H441),1)*$H441),"")</f>
        <v>0</v>
      </c>
      <c r="Z441" s="36" t="str">
        <f>IFERROR(IF(Y441=0,"",ROUNDUP(Y441/H441,0)*0.01898),"")</f>
        <v/>
      </c>
      <c r="AA441" s="56"/>
      <c r="AB441" s="57"/>
      <c r="AC441" s="523" t="s">
        <v>718</v>
      </c>
      <c r="AG441" s="64"/>
      <c r="AJ441" s="68"/>
      <c r="AK441" s="68">
        <v>0</v>
      </c>
      <c r="BB441" s="524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customHeight="1" x14ac:dyDescent="0.25">
      <c r="A442" s="54" t="s">
        <v>719</v>
      </c>
      <c r="B442" s="54" t="s">
        <v>720</v>
      </c>
      <c r="C442" s="31">
        <v>4301051897</v>
      </c>
      <c r="D442" s="633">
        <v>4607091384260</v>
      </c>
      <c r="E442" s="634"/>
      <c r="F442" s="628">
        <v>1.5</v>
      </c>
      <c r="G442" s="32">
        <v>6</v>
      </c>
      <c r="H442" s="628">
        <v>9</v>
      </c>
      <c r="I442" s="628">
        <v>9.4939999999999998</v>
      </c>
      <c r="J442" s="32">
        <v>64</v>
      </c>
      <c r="K442" s="32" t="s">
        <v>115</v>
      </c>
      <c r="L442" s="32"/>
      <c r="M442" s="33" t="s">
        <v>77</v>
      </c>
      <c r="N442" s="33"/>
      <c r="O442" s="32">
        <v>40</v>
      </c>
      <c r="P442" s="78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2" s="636"/>
      <c r="R442" s="636"/>
      <c r="S442" s="636"/>
      <c r="T442" s="637"/>
      <c r="U442" s="34"/>
      <c r="V442" s="34"/>
      <c r="W442" s="35" t="s">
        <v>66</v>
      </c>
      <c r="X442" s="629">
        <v>10</v>
      </c>
      <c r="Y442" s="630">
        <f>IFERROR(IF(X442="",0,CEILING((X442/$H442),1)*$H442),"")</f>
        <v>18</v>
      </c>
      <c r="Z442" s="36">
        <f>IFERROR(IF(Y442=0,"",ROUNDUP(Y442/H442,0)*0.01898),"")</f>
        <v>3.7960000000000001E-2</v>
      </c>
      <c r="AA442" s="56"/>
      <c r="AB442" s="57"/>
      <c r="AC442" s="525" t="s">
        <v>721</v>
      </c>
      <c r="AG442" s="64"/>
      <c r="AJ442" s="68"/>
      <c r="AK442" s="68">
        <v>0</v>
      </c>
      <c r="BB442" s="526" t="s">
        <v>1</v>
      </c>
      <c r="BM442" s="64">
        <f>IFERROR(X442*I442/H442,"0")</f>
        <v>10.548888888888889</v>
      </c>
      <c r="BN442" s="64">
        <f>IFERROR(Y442*I442/H442,"0")</f>
        <v>18.988</v>
      </c>
      <c r="BO442" s="64">
        <f>IFERROR(1/J442*(X442/H442),"0")</f>
        <v>1.7361111111111112E-2</v>
      </c>
      <c r="BP442" s="64">
        <f>IFERROR(1/J442*(Y442/H442),"0")</f>
        <v>3.125E-2</v>
      </c>
    </row>
    <row r="443" spans="1:68" ht="27" hidden="1" customHeight="1" x14ac:dyDescent="0.25">
      <c r="A443" s="54" t="s">
        <v>722</v>
      </c>
      <c r="B443" s="54" t="s">
        <v>723</v>
      </c>
      <c r="C443" s="31">
        <v>4301052220</v>
      </c>
      <c r="D443" s="633">
        <v>4680115889538</v>
      </c>
      <c r="E443" s="634"/>
      <c r="F443" s="628">
        <v>0.8</v>
      </c>
      <c r="G443" s="32">
        <v>6</v>
      </c>
      <c r="H443" s="628">
        <v>4.8</v>
      </c>
      <c r="I443" s="628">
        <v>5.2160000000000002</v>
      </c>
      <c r="J443" s="32">
        <v>104</v>
      </c>
      <c r="K443" s="32" t="s">
        <v>115</v>
      </c>
      <c r="L443" s="32"/>
      <c r="M443" s="33" t="s">
        <v>77</v>
      </c>
      <c r="N443" s="33"/>
      <c r="O443" s="32">
        <v>45</v>
      </c>
      <c r="P443" s="68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3" s="636"/>
      <c r="R443" s="636"/>
      <c r="S443" s="636"/>
      <c r="T443" s="637"/>
      <c r="U443" s="34"/>
      <c r="V443" s="34"/>
      <c r="W443" s="35" t="s">
        <v>66</v>
      </c>
      <c r="X443" s="629">
        <v>0</v>
      </c>
      <c r="Y443" s="630">
        <f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x14ac:dyDescent="0.2">
      <c r="A444" s="642"/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4"/>
      <c r="P444" s="646" t="s">
        <v>71</v>
      </c>
      <c r="Q444" s="647"/>
      <c r="R444" s="647"/>
      <c r="S444" s="647"/>
      <c r="T444" s="647"/>
      <c r="U444" s="647"/>
      <c r="V444" s="648"/>
      <c r="W444" s="37" t="s">
        <v>72</v>
      </c>
      <c r="X444" s="631">
        <f>IFERROR(X441/H441,"0")+IFERROR(X442/H442,"0")+IFERROR(X443/H443,"0")</f>
        <v>1.1111111111111112</v>
      </c>
      <c r="Y444" s="631">
        <f>IFERROR(Y441/H441,"0")+IFERROR(Y442/H442,"0")+IFERROR(Y443/H443,"0")</f>
        <v>2</v>
      </c>
      <c r="Z444" s="631">
        <f>IFERROR(IF(Z441="",0,Z441),"0")+IFERROR(IF(Z442="",0,Z442),"0")+IFERROR(IF(Z443="",0,Z443),"0")</f>
        <v>3.7960000000000001E-2</v>
      </c>
      <c r="AA444" s="632"/>
      <c r="AB444" s="632"/>
      <c r="AC444" s="632"/>
    </row>
    <row r="445" spans="1:68" x14ac:dyDescent="0.2">
      <c r="A445" s="643"/>
      <c r="B445" s="643"/>
      <c r="C445" s="643"/>
      <c r="D445" s="643"/>
      <c r="E445" s="643"/>
      <c r="F445" s="643"/>
      <c r="G445" s="643"/>
      <c r="H445" s="643"/>
      <c r="I445" s="643"/>
      <c r="J445" s="643"/>
      <c r="K445" s="643"/>
      <c r="L445" s="643"/>
      <c r="M445" s="643"/>
      <c r="N445" s="643"/>
      <c r="O445" s="644"/>
      <c r="P445" s="646" t="s">
        <v>71</v>
      </c>
      <c r="Q445" s="647"/>
      <c r="R445" s="647"/>
      <c r="S445" s="647"/>
      <c r="T445" s="647"/>
      <c r="U445" s="647"/>
      <c r="V445" s="648"/>
      <c r="W445" s="37" t="s">
        <v>66</v>
      </c>
      <c r="X445" s="631">
        <f>IFERROR(SUM(X441:X443),"0")</f>
        <v>10</v>
      </c>
      <c r="Y445" s="631">
        <f>IFERROR(SUM(Y441:Y443),"0")</f>
        <v>18</v>
      </c>
      <c r="Z445" s="37"/>
      <c r="AA445" s="632"/>
      <c r="AB445" s="632"/>
      <c r="AC445" s="632"/>
    </row>
    <row r="446" spans="1:68" ht="14.25" hidden="1" customHeight="1" x14ac:dyDescent="0.25">
      <c r="A446" s="653" t="s">
        <v>162</v>
      </c>
      <c r="B446" s="643"/>
      <c r="C446" s="643"/>
      <c r="D446" s="643"/>
      <c r="E446" s="643"/>
      <c r="F446" s="643"/>
      <c r="G446" s="643"/>
      <c r="H446" s="643"/>
      <c r="I446" s="643"/>
      <c r="J446" s="643"/>
      <c r="K446" s="643"/>
      <c r="L446" s="643"/>
      <c r="M446" s="643"/>
      <c r="N446" s="643"/>
      <c r="O446" s="643"/>
      <c r="P446" s="643"/>
      <c r="Q446" s="643"/>
      <c r="R446" s="643"/>
      <c r="S446" s="643"/>
      <c r="T446" s="643"/>
      <c r="U446" s="643"/>
      <c r="V446" s="643"/>
      <c r="W446" s="643"/>
      <c r="X446" s="643"/>
      <c r="Y446" s="643"/>
      <c r="Z446" s="643"/>
      <c r="AA446" s="625"/>
      <c r="AB446" s="625"/>
      <c r="AC446" s="625"/>
    </row>
    <row r="447" spans="1:68" ht="27" hidden="1" customHeight="1" x14ac:dyDescent="0.25">
      <c r="A447" s="54" t="s">
        <v>725</v>
      </c>
      <c r="B447" s="54" t="s">
        <v>726</v>
      </c>
      <c r="C447" s="31">
        <v>4301060537</v>
      </c>
      <c r="D447" s="633">
        <v>4680115889545</v>
      </c>
      <c r="E447" s="634"/>
      <c r="F447" s="628">
        <v>0.7</v>
      </c>
      <c r="G447" s="32">
        <v>6</v>
      </c>
      <c r="H447" s="628">
        <v>4.2</v>
      </c>
      <c r="I447" s="628">
        <v>4.6159999999999997</v>
      </c>
      <c r="J447" s="32">
        <v>104</v>
      </c>
      <c r="K447" s="32" t="s">
        <v>115</v>
      </c>
      <c r="L447" s="32"/>
      <c r="M447" s="33" t="s">
        <v>77</v>
      </c>
      <c r="N447" s="33"/>
      <c r="O447" s="32">
        <v>30</v>
      </c>
      <c r="P447" s="98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7" s="636"/>
      <c r="R447" s="636"/>
      <c r="S447" s="636"/>
      <c r="T447" s="637"/>
      <c r="U447" s="34"/>
      <c r="V447" s="34"/>
      <c r="W447" s="35" t="s">
        <v>66</v>
      </c>
      <c r="X447" s="629">
        <v>0</v>
      </c>
      <c r="Y447" s="630">
        <f>IFERROR(IF(X447="",0,CEILING((X447/$H447),1)*$H447),"")</f>
        <v>0</v>
      </c>
      <c r="Z447" s="36" t="str">
        <f>IFERROR(IF(Y447=0,"",ROUNDUP(Y447/H447,0)*0.01196),"")</f>
        <v/>
      </c>
      <c r="AA447" s="56"/>
      <c r="AB447" s="57"/>
      <c r="AC447" s="529" t="s">
        <v>727</v>
      </c>
      <c r="AG447" s="64"/>
      <c r="AJ447" s="68"/>
      <c r="AK447" s="68">
        <v>0</v>
      </c>
      <c r="BB447" s="530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16.5" customHeight="1" x14ac:dyDescent="0.25">
      <c r="A448" s="54" t="s">
        <v>728</v>
      </c>
      <c r="B448" s="54" t="s">
        <v>729</v>
      </c>
      <c r="C448" s="31">
        <v>4301060524</v>
      </c>
      <c r="D448" s="633">
        <v>4607091384673</v>
      </c>
      <c r="E448" s="634"/>
      <c r="F448" s="628">
        <v>1.5</v>
      </c>
      <c r="G448" s="32">
        <v>6</v>
      </c>
      <c r="H448" s="628">
        <v>9</v>
      </c>
      <c r="I448" s="628">
        <v>9.4939999999999998</v>
      </c>
      <c r="J448" s="32">
        <v>64</v>
      </c>
      <c r="K448" s="32" t="s">
        <v>115</v>
      </c>
      <c r="L448" s="32"/>
      <c r="M448" s="33" t="s">
        <v>77</v>
      </c>
      <c r="N448" s="33"/>
      <c r="O448" s="32">
        <v>40</v>
      </c>
      <c r="P448" s="85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8" s="636"/>
      <c r="R448" s="636"/>
      <c r="S448" s="636"/>
      <c r="T448" s="637"/>
      <c r="U448" s="34"/>
      <c r="V448" s="34"/>
      <c r="W448" s="35" t="s">
        <v>66</v>
      </c>
      <c r="X448" s="629">
        <v>70</v>
      </c>
      <c r="Y448" s="630">
        <f>IFERROR(IF(X448="",0,CEILING((X448/$H448),1)*$H448),"")</f>
        <v>72</v>
      </c>
      <c r="Z448" s="36">
        <f>IFERROR(IF(Y448=0,"",ROUNDUP(Y448/H448,0)*0.01898),"")</f>
        <v>0.15184</v>
      </c>
      <c r="AA448" s="56"/>
      <c r="AB448" s="57"/>
      <c r="AC448" s="531" t="s">
        <v>730</v>
      </c>
      <c r="AG448" s="64"/>
      <c r="AJ448" s="68"/>
      <c r="AK448" s="68">
        <v>0</v>
      </c>
      <c r="BB448" s="532" t="s">
        <v>1</v>
      </c>
      <c r="BM448" s="64">
        <f>IFERROR(X448*I448/H448,"0")</f>
        <v>73.842222222222219</v>
      </c>
      <c r="BN448" s="64">
        <f>IFERROR(Y448*I448/H448,"0")</f>
        <v>75.951999999999998</v>
      </c>
      <c r="BO448" s="64">
        <f>IFERROR(1/J448*(X448/H448),"0")</f>
        <v>0.12152777777777778</v>
      </c>
      <c r="BP448" s="64">
        <f>IFERROR(1/J448*(Y448/H448),"0")</f>
        <v>0.125</v>
      </c>
    </row>
    <row r="449" spans="1:68" x14ac:dyDescent="0.2">
      <c r="A449" s="642"/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4"/>
      <c r="P449" s="646" t="s">
        <v>71</v>
      </c>
      <c r="Q449" s="647"/>
      <c r="R449" s="647"/>
      <c r="S449" s="647"/>
      <c r="T449" s="647"/>
      <c r="U449" s="647"/>
      <c r="V449" s="648"/>
      <c r="W449" s="37" t="s">
        <v>72</v>
      </c>
      <c r="X449" s="631">
        <f>IFERROR(X447/H447,"0")+IFERROR(X448/H448,"0")</f>
        <v>7.7777777777777777</v>
      </c>
      <c r="Y449" s="631">
        <f>IFERROR(Y447/H447,"0")+IFERROR(Y448/H448,"0")</f>
        <v>8</v>
      </c>
      <c r="Z449" s="631">
        <f>IFERROR(IF(Z447="",0,Z447),"0")+IFERROR(IF(Z448="",0,Z448),"0")</f>
        <v>0.15184</v>
      </c>
      <c r="AA449" s="632"/>
      <c r="AB449" s="632"/>
      <c r="AC449" s="632"/>
    </row>
    <row r="450" spans="1:68" x14ac:dyDescent="0.2">
      <c r="A450" s="643"/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4"/>
      <c r="P450" s="646" t="s">
        <v>71</v>
      </c>
      <c r="Q450" s="647"/>
      <c r="R450" s="647"/>
      <c r="S450" s="647"/>
      <c r="T450" s="647"/>
      <c r="U450" s="647"/>
      <c r="V450" s="648"/>
      <c r="W450" s="37" t="s">
        <v>66</v>
      </c>
      <c r="X450" s="631">
        <f>IFERROR(SUM(X447:X448),"0")</f>
        <v>70</v>
      </c>
      <c r="Y450" s="631">
        <f>IFERROR(SUM(Y447:Y448),"0")</f>
        <v>72</v>
      </c>
      <c r="Z450" s="37"/>
      <c r="AA450" s="632"/>
      <c r="AB450" s="632"/>
      <c r="AC450" s="632"/>
    </row>
    <row r="451" spans="1:68" ht="16.5" hidden="1" customHeight="1" x14ac:dyDescent="0.25">
      <c r="A451" s="677" t="s">
        <v>731</v>
      </c>
      <c r="B451" s="643"/>
      <c r="C451" s="643"/>
      <c r="D451" s="643"/>
      <c r="E451" s="643"/>
      <c r="F451" s="643"/>
      <c r="G451" s="643"/>
      <c r="H451" s="643"/>
      <c r="I451" s="643"/>
      <c r="J451" s="643"/>
      <c r="K451" s="643"/>
      <c r="L451" s="643"/>
      <c r="M451" s="643"/>
      <c r="N451" s="643"/>
      <c r="O451" s="643"/>
      <c r="P451" s="643"/>
      <c r="Q451" s="643"/>
      <c r="R451" s="643"/>
      <c r="S451" s="643"/>
      <c r="T451" s="643"/>
      <c r="U451" s="643"/>
      <c r="V451" s="643"/>
      <c r="W451" s="643"/>
      <c r="X451" s="643"/>
      <c r="Y451" s="643"/>
      <c r="Z451" s="643"/>
      <c r="AA451" s="624"/>
      <c r="AB451" s="624"/>
      <c r="AC451" s="624"/>
    </row>
    <row r="452" spans="1:68" ht="14.25" hidden="1" customHeight="1" x14ac:dyDescent="0.25">
      <c r="A452" s="653" t="s">
        <v>112</v>
      </c>
      <c r="B452" s="643"/>
      <c r="C452" s="643"/>
      <c r="D452" s="643"/>
      <c r="E452" s="643"/>
      <c r="F452" s="643"/>
      <c r="G452" s="643"/>
      <c r="H452" s="643"/>
      <c r="I452" s="643"/>
      <c r="J452" s="643"/>
      <c r="K452" s="643"/>
      <c r="L452" s="643"/>
      <c r="M452" s="643"/>
      <c r="N452" s="643"/>
      <c r="O452" s="643"/>
      <c r="P452" s="643"/>
      <c r="Q452" s="643"/>
      <c r="R452" s="643"/>
      <c r="S452" s="643"/>
      <c r="T452" s="643"/>
      <c r="U452" s="643"/>
      <c r="V452" s="643"/>
      <c r="W452" s="643"/>
      <c r="X452" s="643"/>
      <c r="Y452" s="643"/>
      <c r="Z452" s="643"/>
      <c r="AA452" s="625"/>
      <c r="AB452" s="625"/>
      <c r="AC452" s="625"/>
    </row>
    <row r="453" spans="1:68" ht="27" hidden="1" customHeight="1" x14ac:dyDescent="0.25">
      <c r="A453" s="54" t="s">
        <v>732</v>
      </c>
      <c r="B453" s="54" t="s">
        <v>733</v>
      </c>
      <c r="C453" s="31">
        <v>4301011875</v>
      </c>
      <c r="D453" s="633">
        <v>4680115884885</v>
      </c>
      <c r="E453" s="634"/>
      <c r="F453" s="628">
        <v>0.8</v>
      </c>
      <c r="G453" s="32">
        <v>15</v>
      </c>
      <c r="H453" s="628">
        <v>12</v>
      </c>
      <c r="I453" s="628">
        <v>12.41</v>
      </c>
      <c r="J453" s="32">
        <v>64</v>
      </c>
      <c r="K453" s="32" t="s">
        <v>115</v>
      </c>
      <c r="L453" s="32"/>
      <c r="M453" s="33" t="s">
        <v>65</v>
      </c>
      <c r="N453" s="33"/>
      <c r="O453" s="32">
        <v>60</v>
      </c>
      <c r="P453" s="72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3" s="636"/>
      <c r="R453" s="636"/>
      <c r="S453" s="636"/>
      <c r="T453" s="637"/>
      <c r="U453" s="34"/>
      <c r="V453" s="34"/>
      <c r="W453" s="35" t="s">
        <v>66</v>
      </c>
      <c r="X453" s="629">
        <v>0</v>
      </c>
      <c r="Y453" s="630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33" t="s">
        <v>734</v>
      </c>
      <c r="AG453" s="64"/>
      <c r="AJ453" s="68"/>
      <c r="AK453" s="68">
        <v>0</v>
      </c>
      <c r="BB453" s="534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37.5" hidden="1" customHeight="1" x14ac:dyDescent="0.25">
      <c r="A454" s="54" t="s">
        <v>735</v>
      </c>
      <c r="B454" s="54" t="s">
        <v>736</v>
      </c>
      <c r="C454" s="31">
        <v>4301011871</v>
      </c>
      <c r="D454" s="633">
        <v>4680115884908</v>
      </c>
      <c r="E454" s="634"/>
      <c r="F454" s="628">
        <v>0.4</v>
      </c>
      <c r="G454" s="32">
        <v>10</v>
      </c>
      <c r="H454" s="628">
        <v>4</v>
      </c>
      <c r="I454" s="628">
        <v>4.1900000000000004</v>
      </c>
      <c r="J454" s="32">
        <v>132</v>
      </c>
      <c r="K454" s="32" t="s">
        <v>124</v>
      </c>
      <c r="L454" s="32"/>
      <c r="M454" s="33" t="s">
        <v>65</v>
      </c>
      <c r="N454" s="33"/>
      <c r="O454" s="32">
        <v>60</v>
      </c>
      <c r="P454" s="65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4" s="636"/>
      <c r="R454" s="636"/>
      <c r="S454" s="636"/>
      <c r="T454" s="637"/>
      <c r="U454" s="34"/>
      <c r="V454" s="34"/>
      <c r="W454" s="35" t="s">
        <v>66</v>
      </c>
      <c r="X454" s="629">
        <v>0</v>
      </c>
      <c r="Y454" s="630">
        <f>IFERROR(IF(X454="",0,CEILING((X454/$H454),1)*$H454),"")</f>
        <v>0</v>
      </c>
      <c r="Z454" s="36" t="str">
        <f>IFERROR(IF(Y454=0,"",ROUNDUP(Y454/H454,0)*0.00902),"")</f>
        <v/>
      </c>
      <c r="AA454" s="56"/>
      <c r="AB454" s="57"/>
      <c r="AC454" s="535" t="s">
        <v>734</v>
      </c>
      <c r="AG454" s="64"/>
      <c r="AJ454" s="68"/>
      <c r="AK454" s="68">
        <v>0</v>
      </c>
      <c r="BB454" s="536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642"/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4"/>
      <c r="P455" s="646" t="s">
        <v>71</v>
      </c>
      <c r="Q455" s="647"/>
      <c r="R455" s="647"/>
      <c r="S455" s="647"/>
      <c r="T455" s="647"/>
      <c r="U455" s="647"/>
      <c r="V455" s="648"/>
      <c r="W455" s="37" t="s">
        <v>72</v>
      </c>
      <c r="X455" s="631">
        <f>IFERROR(X453/H453,"0")+IFERROR(X454/H454,"0")</f>
        <v>0</v>
      </c>
      <c r="Y455" s="631">
        <f>IFERROR(Y453/H453,"0")+IFERROR(Y454/H454,"0")</f>
        <v>0</v>
      </c>
      <c r="Z455" s="631">
        <f>IFERROR(IF(Z453="",0,Z453),"0")+IFERROR(IF(Z454="",0,Z454),"0")</f>
        <v>0</v>
      </c>
      <c r="AA455" s="632"/>
      <c r="AB455" s="632"/>
      <c r="AC455" s="632"/>
    </row>
    <row r="456" spans="1:68" hidden="1" x14ac:dyDescent="0.2">
      <c r="A456" s="643"/>
      <c r="B456" s="643"/>
      <c r="C456" s="643"/>
      <c r="D456" s="643"/>
      <c r="E456" s="643"/>
      <c r="F456" s="643"/>
      <c r="G456" s="643"/>
      <c r="H456" s="643"/>
      <c r="I456" s="643"/>
      <c r="J456" s="643"/>
      <c r="K456" s="643"/>
      <c r="L456" s="643"/>
      <c r="M456" s="643"/>
      <c r="N456" s="643"/>
      <c r="O456" s="644"/>
      <c r="P456" s="646" t="s">
        <v>71</v>
      </c>
      <c r="Q456" s="647"/>
      <c r="R456" s="647"/>
      <c r="S456" s="647"/>
      <c r="T456" s="647"/>
      <c r="U456" s="647"/>
      <c r="V456" s="648"/>
      <c r="W456" s="37" t="s">
        <v>66</v>
      </c>
      <c r="X456" s="631">
        <f>IFERROR(SUM(X453:X454),"0")</f>
        <v>0</v>
      </c>
      <c r="Y456" s="631">
        <f>IFERROR(SUM(Y453:Y454),"0")</f>
        <v>0</v>
      </c>
      <c r="Z456" s="37"/>
      <c r="AA456" s="632"/>
      <c r="AB456" s="632"/>
      <c r="AC456" s="632"/>
    </row>
    <row r="457" spans="1:68" ht="14.25" hidden="1" customHeight="1" x14ac:dyDescent="0.25">
      <c r="A457" s="653" t="s">
        <v>61</v>
      </c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43"/>
      <c r="P457" s="643"/>
      <c r="Q457" s="643"/>
      <c r="R457" s="643"/>
      <c r="S457" s="643"/>
      <c r="T457" s="643"/>
      <c r="U457" s="643"/>
      <c r="V457" s="643"/>
      <c r="W457" s="643"/>
      <c r="X457" s="643"/>
      <c r="Y457" s="643"/>
      <c r="Z457" s="643"/>
      <c r="AA457" s="625"/>
      <c r="AB457" s="625"/>
      <c r="AC457" s="625"/>
    </row>
    <row r="458" spans="1:68" ht="27" hidden="1" customHeight="1" x14ac:dyDescent="0.25">
      <c r="A458" s="54" t="s">
        <v>737</v>
      </c>
      <c r="B458" s="54" t="s">
        <v>738</v>
      </c>
      <c r="C458" s="31">
        <v>4301031457</v>
      </c>
      <c r="D458" s="633">
        <v>4607091384802</v>
      </c>
      <c r="E458" s="634"/>
      <c r="F458" s="628">
        <v>0.7</v>
      </c>
      <c r="G458" s="32">
        <v>6</v>
      </c>
      <c r="H458" s="628">
        <v>4.2</v>
      </c>
      <c r="I458" s="628">
        <v>4.45</v>
      </c>
      <c r="J458" s="32">
        <v>132</v>
      </c>
      <c r="K458" s="32" t="s">
        <v>124</v>
      </c>
      <c r="L458" s="32"/>
      <c r="M458" s="33" t="s">
        <v>65</v>
      </c>
      <c r="N458" s="33"/>
      <c r="O458" s="32">
        <v>50</v>
      </c>
      <c r="P458" s="70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8" s="636"/>
      <c r="R458" s="636"/>
      <c r="S458" s="636"/>
      <c r="T458" s="637"/>
      <c r="U458" s="34"/>
      <c r="V458" s="34"/>
      <c r="W458" s="35" t="s">
        <v>66</v>
      </c>
      <c r="X458" s="629">
        <v>0</v>
      </c>
      <c r="Y458" s="630">
        <f>IFERROR(IF(X458="",0,CEILING((X458/$H458),1)*$H458),"")</f>
        <v>0</v>
      </c>
      <c r="Z458" s="36" t="str">
        <f>IFERROR(IF(Y458=0,"",ROUNDUP(Y458/H458,0)*0.00902),"")</f>
        <v/>
      </c>
      <c r="AA458" s="56"/>
      <c r="AB458" s="57"/>
      <c r="AC458" s="537" t="s">
        <v>739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42"/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4"/>
      <c r="P459" s="646" t="s">
        <v>71</v>
      </c>
      <c r="Q459" s="647"/>
      <c r="R459" s="647"/>
      <c r="S459" s="647"/>
      <c r="T459" s="647"/>
      <c r="U459" s="647"/>
      <c r="V459" s="648"/>
      <c r="W459" s="37" t="s">
        <v>72</v>
      </c>
      <c r="X459" s="631">
        <f>IFERROR(X458/H458,"0")</f>
        <v>0</v>
      </c>
      <c r="Y459" s="631">
        <f>IFERROR(Y458/H458,"0")</f>
        <v>0</v>
      </c>
      <c r="Z459" s="631">
        <f>IFERROR(IF(Z458="",0,Z458),"0")</f>
        <v>0</v>
      </c>
      <c r="AA459" s="632"/>
      <c r="AB459" s="632"/>
      <c r="AC459" s="632"/>
    </row>
    <row r="460" spans="1:68" hidden="1" x14ac:dyDescent="0.2">
      <c r="A460" s="643"/>
      <c r="B460" s="643"/>
      <c r="C460" s="643"/>
      <c r="D460" s="643"/>
      <c r="E460" s="643"/>
      <c r="F460" s="643"/>
      <c r="G460" s="643"/>
      <c r="H460" s="643"/>
      <c r="I460" s="643"/>
      <c r="J460" s="643"/>
      <c r="K460" s="643"/>
      <c r="L460" s="643"/>
      <c r="M460" s="643"/>
      <c r="N460" s="643"/>
      <c r="O460" s="644"/>
      <c r="P460" s="646" t="s">
        <v>71</v>
      </c>
      <c r="Q460" s="647"/>
      <c r="R460" s="647"/>
      <c r="S460" s="647"/>
      <c r="T460" s="647"/>
      <c r="U460" s="647"/>
      <c r="V460" s="648"/>
      <c r="W460" s="37" t="s">
        <v>66</v>
      </c>
      <c r="X460" s="631">
        <f>IFERROR(SUM(X458:X458),"0")</f>
        <v>0</v>
      </c>
      <c r="Y460" s="631">
        <f>IFERROR(SUM(Y458:Y458),"0")</f>
        <v>0</v>
      </c>
      <c r="Z460" s="37"/>
      <c r="AA460" s="632"/>
      <c r="AB460" s="632"/>
      <c r="AC460" s="632"/>
    </row>
    <row r="461" spans="1:68" ht="14.25" hidden="1" customHeight="1" x14ac:dyDescent="0.25">
      <c r="A461" s="653" t="s">
        <v>73</v>
      </c>
      <c r="B461" s="643"/>
      <c r="C461" s="643"/>
      <c r="D461" s="643"/>
      <c r="E461" s="643"/>
      <c r="F461" s="643"/>
      <c r="G461" s="643"/>
      <c r="H461" s="643"/>
      <c r="I461" s="643"/>
      <c r="J461" s="643"/>
      <c r="K461" s="643"/>
      <c r="L461" s="643"/>
      <c r="M461" s="643"/>
      <c r="N461" s="643"/>
      <c r="O461" s="643"/>
      <c r="P461" s="643"/>
      <c r="Q461" s="643"/>
      <c r="R461" s="643"/>
      <c r="S461" s="643"/>
      <c r="T461" s="643"/>
      <c r="U461" s="643"/>
      <c r="V461" s="643"/>
      <c r="W461" s="643"/>
      <c r="X461" s="643"/>
      <c r="Y461" s="643"/>
      <c r="Z461" s="643"/>
      <c r="AA461" s="625"/>
      <c r="AB461" s="625"/>
      <c r="AC461" s="625"/>
    </row>
    <row r="462" spans="1:68" ht="27" customHeight="1" x14ac:dyDescent="0.25">
      <c r="A462" s="54" t="s">
        <v>740</v>
      </c>
      <c r="B462" s="54" t="s">
        <v>741</v>
      </c>
      <c r="C462" s="31">
        <v>4301051899</v>
      </c>
      <c r="D462" s="633">
        <v>4607091384246</v>
      </c>
      <c r="E462" s="634"/>
      <c r="F462" s="628">
        <v>1.5</v>
      </c>
      <c r="G462" s="32">
        <v>6</v>
      </c>
      <c r="H462" s="628">
        <v>9</v>
      </c>
      <c r="I462" s="628">
        <v>9.4939999999999998</v>
      </c>
      <c r="J462" s="32">
        <v>64</v>
      </c>
      <c r="K462" s="32" t="s">
        <v>115</v>
      </c>
      <c r="L462" s="32"/>
      <c r="M462" s="33" t="s">
        <v>77</v>
      </c>
      <c r="N462" s="33"/>
      <c r="O462" s="32">
        <v>40</v>
      </c>
      <c r="P462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2" s="636"/>
      <c r="R462" s="636"/>
      <c r="S462" s="636"/>
      <c r="T462" s="637"/>
      <c r="U462" s="34"/>
      <c r="V462" s="34"/>
      <c r="W462" s="35" t="s">
        <v>66</v>
      </c>
      <c r="X462" s="629">
        <v>280</v>
      </c>
      <c r="Y462" s="630">
        <f>IFERROR(IF(X462="",0,CEILING((X462/$H462),1)*$H462),"")</f>
        <v>288</v>
      </c>
      <c r="Z462" s="36">
        <f>IFERROR(IF(Y462=0,"",ROUNDUP(Y462/H462,0)*0.01898),"")</f>
        <v>0.60736000000000001</v>
      </c>
      <c r="AA462" s="56"/>
      <c r="AB462" s="57"/>
      <c r="AC462" s="539" t="s">
        <v>742</v>
      </c>
      <c r="AG462" s="64"/>
      <c r="AJ462" s="68"/>
      <c r="AK462" s="68">
        <v>0</v>
      </c>
      <c r="BB462" s="540" t="s">
        <v>1</v>
      </c>
      <c r="BM462" s="64">
        <f>IFERROR(X462*I462/H462,"0")</f>
        <v>295.36888888888888</v>
      </c>
      <c r="BN462" s="64">
        <f>IFERROR(Y462*I462/H462,"0")</f>
        <v>303.80799999999999</v>
      </c>
      <c r="BO462" s="64">
        <f>IFERROR(1/J462*(X462/H462),"0")</f>
        <v>0.4861111111111111</v>
      </c>
      <c r="BP462" s="64">
        <f>IFERROR(1/J462*(Y462/H462),"0")</f>
        <v>0.5</v>
      </c>
    </row>
    <row r="463" spans="1:68" ht="27" customHeight="1" x14ac:dyDescent="0.25">
      <c r="A463" s="54" t="s">
        <v>743</v>
      </c>
      <c r="B463" s="54" t="s">
        <v>744</v>
      </c>
      <c r="C463" s="31">
        <v>4301051660</v>
      </c>
      <c r="D463" s="633">
        <v>4607091384253</v>
      </c>
      <c r="E463" s="634"/>
      <c r="F463" s="628">
        <v>0.4</v>
      </c>
      <c r="G463" s="32">
        <v>6</v>
      </c>
      <c r="H463" s="628">
        <v>2.4</v>
      </c>
      <c r="I463" s="628">
        <v>2.6640000000000001</v>
      </c>
      <c r="J463" s="32">
        <v>182</v>
      </c>
      <c r="K463" s="32" t="s">
        <v>76</v>
      </c>
      <c r="L463" s="32"/>
      <c r="M463" s="33" t="s">
        <v>77</v>
      </c>
      <c r="N463" s="33"/>
      <c r="O463" s="32">
        <v>40</v>
      </c>
      <c r="P463" s="92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3" s="636"/>
      <c r="R463" s="636"/>
      <c r="S463" s="636"/>
      <c r="T463" s="637"/>
      <c r="U463" s="34"/>
      <c r="V463" s="34"/>
      <c r="W463" s="35" t="s">
        <v>66</v>
      </c>
      <c r="X463" s="629">
        <v>17</v>
      </c>
      <c r="Y463" s="630">
        <f>IFERROR(IF(X463="",0,CEILING((X463/$H463),1)*$H463),"")</f>
        <v>19.2</v>
      </c>
      <c r="Z463" s="36">
        <f>IFERROR(IF(Y463=0,"",ROUNDUP(Y463/H463,0)*0.00651),"")</f>
        <v>5.2080000000000001E-2</v>
      </c>
      <c r="AA463" s="56"/>
      <c r="AB463" s="57"/>
      <c r="AC463" s="541" t="s">
        <v>742</v>
      </c>
      <c r="AG463" s="64"/>
      <c r="AJ463" s="68"/>
      <c r="AK463" s="68">
        <v>0</v>
      </c>
      <c r="BB463" s="542" t="s">
        <v>1</v>
      </c>
      <c r="BM463" s="64">
        <f>IFERROR(X463*I463/H463,"0")</f>
        <v>18.87</v>
      </c>
      <c r="BN463" s="64">
        <f>IFERROR(Y463*I463/H463,"0")</f>
        <v>21.312000000000001</v>
      </c>
      <c r="BO463" s="64">
        <f>IFERROR(1/J463*(X463/H463),"0")</f>
        <v>3.8919413919413927E-2</v>
      </c>
      <c r="BP463" s="64">
        <f>IFERROR(1/J463*(Y463/H463),"0")</f>
        <v>4.3956043956043959E-2</v>
      </c>
    </row>
    <row r="464" spans="1:68" ht="27" hidden="1" customHeight="1" x14ac:dyDescent="0.25">
      <c r="A464" s="54" t="s">
        <v>743</v>
      </c>
      <c r="B464" s="54" t="s">
        <v>745</v>
      </c>
      <c r="C464" s="31">
        <v>4301052069</v>
      </c>
      <c r="D464" s="633">
        <v>4607091384253</v>
      </c>
      <c r="E464" s="634"/>
      <c r="F464" s="628">
        <v>0.4</v>
      </c>
      <c r="G464" s="32">
        <v>6</v>
      </c>
      <c r="H464" s="628">
        <v>2.4</v>
      </c>
      <c r="I464" s="628">
        <v>2.6640000000000001</v>
      </c>
      <c r="J464" s="32">
        <v>182</v>
      </c>
      <c r="K464" s="32" t="s">
        <v>76</v>
      </c>
      <c r="L464" s="32"/>
      <c r="M464" s="33" t="s">
        <v>77</v>
      </c>
      <c r="N464" s="33"/>
      <c r="O464" s="32">
        <v>40</v>
      </c>
      <c r="P464" s="72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4" s="636"/>
      <c r="R464" s="636"/>
      <c r="S464" s="636"/>
      <c r="T464" s="637"/>
      <c r="U464" s="34"/>
      <c r="V464" s="34"/>
      <c r="W464" s="35" t="s">
        <v>66</v>
      </c>
      <c r="X464" s="629">
        <v>0</v>
      </c>
      <c r="Y464" s="630">
        <f>IFERROR(IF(X464="",0,CEILING((X464/$H464),1)*$H464),"")</f>
        <v>0</v>
      </c>
      <c r="Z464" s="36" t="str">
        <f>IFERROR(IF(Y464=0,"",ROUNDUP(Y464/H464,0)*0.00651),"")</f>
        <v/>
      </c>
      <c r="AA464" s="56"/>
      <c r="AB464" s="57"/>
      <c r="AC464" s="543" t="s">
        <v>746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x14ac:dyDescent="0.2">
      <c r="A465" s="642"/>
      <c r="B465" s="643"/>
      <c r="C465" s="643"/>
      <c r="D465" s="643"/>
      <c r="E465" s="643"/>
      <c r="F465" s="643"/>
      <c r="G465" s="643"/>
      <c r="H465" s="643"/>
      <c r="I465" s="643"/>
      <c r="J465" s="643"/>
      <c r="K465" s="643"/>
      <c r="L465" s="643"/>
      <c r="M465" s="643"/>
      <c r="N465" s="643"/>
      <c r="O465" s="644"/>
      <c r="P465" s="646" t="s">
        <v>71</v>
      </c>
      <c r="Q465" s="647"/>
      <c r="R465" s="647"/>
      <c r="S465" s="647"/>
      <c r="T465" s="647"/>
      <c r="U465" s="647"/>
      <c r="V465" s="648"/>
      <c r="W465" s="37" t="s">
        <v>72</v>
      </c>
      <c r="X465" s="631">
        <f>IFERROR(X462/H462,"0")+IFERROR(X463/H463,"0")+IFERROR(X464/H464,"0")</f>
        <v>38.194444444444443</v>
      </c>
      <c r="Y465" s="631">
        <f>IFERROR(Y462/H462,"0")+IFERROR(Y463/H463,"0")+IFERROR(Y464/H464,"0")</f>
        <v>40</v>
      </c>
      <c r="Z465" s="631">
        <f>IFERROR(IF(Z462="",0,Z462),"0")+IFERROR(IF(Z463="",0,Z463),"0")+IFERROR(IF(Z464="",0,Z464),"0")</f>
        <v>0.65944000000000003</v>
      </c>
      <c r="AA465" s="632"/>
      <c r="AB465" s="632"/>
      <c r="AC465" s="632"/>
    </row>
    <row r="466" spans="1:68" x14ac:dyDescent="0.2">
      <c r="A466" s="643"/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4"/>
      <c r="P466" s="646" t="s">
        <v>71</v>
      </c>
      <c r="Q466" s="647"/>
      <c r="R466" s="647"/>
      <c r="S466" s="647"/>
      <c r="T466" s="647"/>
      <c r="U466" s="647"/>
      <c r="V466" s="648"/>
      <c r="W466" s="37" t="s">
        <v>66</v>
      </c>
      <c r="X466" s="631">
        <f>IFERROR(SUM(X462:X464),"0")</f>
        <v>297</v>
      </c>
      <c r="Y466" s="631">
        <f>IFERROR(SUM(Y462:Y464),"0")</f>
        <v>307.2</v>
      </c>
      <c r="Z466" s="37"/>
      <c r="AA466" s="632"/>
      <c r="AB466" s="632"/>
      <c r="AC466" s="632"/>
    </row>
    <row r="467" spans="1:68" ht="27.75" hidden="1" customHeight="1" x14ac:dyDescent="0.2">
      <c r="A467" s="649" t="s">
        <v>747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48"/>
      <c r="AB467" s="48"/>
      <c r="AC467" s="48"/>
    </row>
    <row r="468" spans="1:68" ht="16.5" hidden="1" customHeight="1" x14ac:dyDescent="0.25">
      <c r="A468" s="677" t="s">
        <v>748</v>
      </c>
      <c r="B468" s="643"/>
      <c r="C468" s="643"/>
      <c r="D468" s="643"/>
      <c r="E468" s="643"/>
      <c r="F468" s="643"/>
      <c r="G468" s="643"/>
      <c r="H468" s="643"/>
      <c r="I468" s="643"/>
      <c r="J468" s="643"/>
      <c r="K468" s="643"/>
      <c r="L468" s="643"/>
      <c r="M468" s="643"/>
      <c r="N468" s="643"/>
      <c r="O468" s="643"/>
      <c r="P468" s="643"/>
      <c r="Q468" s="643"/>
      <c r="R468" s="643"/>
      <c r="S468" s="643"/>
      <c r="T468" s="643"/>
      <c r="U468" s="643"/>
      <c r="V468" s="643"/>
      <c r="W468" s="643"/>
      <c r="X468" s="643"/>
      <c r="Y468" s="643"/>
      <c r="Z468" s="643"/>
      <c r="AA468" s="624"/>
      <c r="AB468" s="624"/>
      <c r="AC468" s="624"/>
    </row>
    <row r="469" spans="1:68" ht="14.25" hidden="1" customHeight="1" x14ac:dyDescent="0.25">
      <c r="A469" s="653" t="s">
        <v>61</v>
      </c>
      <c r="B469" s="643"/>
      <c r="C469" s="643"/>
      <c r="D469" s="643"/>
      <c r="E469" s="643"/>
      <c r="F469" s="643"/>
      <c r="G469" s="643"/>
      <c r="H469" s="643"/>
      <c r="I469" s="643"/>
      <c r="J469" s="643"/>
      <c r="K469" s="643"/>
      <c r="L469" s="643"/>
      <c r="M469" s="643"/>
      <c r="N469" s="643"/>
      <c r="O469" s="643"/>
      <c r="P469" s="643"/>
      <c r="Q469" s="643"/>
      <c r="R469" s="643"/>
      <c r="S469" s="643"/>
      <c r="T469" s="643"/>
      <c r="U469" s="643"/>
      <c r="V469" s="643"/>
      <c r="W469" s="643"/>
      <c r="X469" s="643"/>
      <c r="Y469" s="643"/>
      <c r="Z469" s="643"/>
      <c r="AA469" s="625"/>
      <c r="AB469" s="625"/>
      <c r="AC469" s="625"/>
    </row>
    <row r="470" spans="1:68" ht="27" customHeight="1" x14ac:dyDescent="0.25">
      <c r="A470" s="54" t="s">
        <v>749</v>
      </c>
      <c r="B470" s="54" t="s">
        <v>750</v>
      </c>
      <c r="C470" s="31">
        <v>4301031405</v>
      </c>
      <c r="D470" s="633">
        <v>4680115886100</v>
      </c>
      <c r="E470" s="634"/>
      <c r="F470" s="628">
        <v>0.9</v>
      </c>
      <c r="G470" s="32">
        <v>6</v>
      </c>
      <c r="H470" s="628">
        <v>5.4</v>
      </c>
      <c r="I470" s="628">
        <v>5.59</v>
      </c>
      <c r="J470" s="32">
        <v>132</v>
      </c>
      <c r="K470" s="32" t="s">
        <v>124</v>
      </c>
      <c r="L470" s="32"/>
      <c r="M470" s="33" t="s">
        <v>65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0" s="636"/>
      <c r="R470" s="636"/>
      <c r="S470" s="636"/>
      <c r="T470" s="637"/>
      <c r="U470" s="34"/>
      <c r="V470" s="34"/>
      <c r="W470" s="35" t="s">
        <v>66</v>
      </c>
      <c r="X470" s="629">
        <v>124</v>
      </c>
      <c r="Y470" s="630">
        <f t="shared" ref="Y470:Y475" si="64">IFERROR(IF(X470="",0,CEILING((X470/$H470),1)*$H470),"")</f>
        <v>124.2</v>
      </c>
      <c r="Z470" s="36">
        <f>IFERROR(IF(Y470=0,"",ROUNDUP(Y470/H470,0)*0.00902),"")</f>
        <v>0.20746000000000001</v>
      </c>
      <c r="AA470" s="56"/>
      <c r="AB470" s="57"/>
      <c r="AC470" s="545" t="s">
        <v>751</v>
      </c>
      <c r="AG470" s="64"/>
      <c r="AJ470" s="68"/>
      <c r="AK470" s="68">
        <v>0</v>
      </c>
      <c r="BB470" s="546" t="s">
        <v>1</v>
      </c>
      <c r="BM470" s="64">
        <f t="shared" ref="BM470:BM475" si="65">IFERROR(X470*I470/H470,"0")</f>
        <v>128.36296296296294</v>
      </c>
      <c r="BN470" s="64">
        <f t="shared" ref="BN470:BN475" si="66">IFERROR(Y470*I470/H470,"0")</f>
        <v>128.57</v>
      </c>
      <c r="BO470" s="64">
        <f t="shared" ref="BO470:BO475" si="67">IFERROR(1/J470*(X470/H470),"0")</f>
        <v>0.17396184062850728</v>
      </c>
      <c r="BP470" s="64">
        <f t="shared" ref="BP470:BP475" si="68">IFERROR(1/J470*(Y470/H470),"0")</f>
        <v>0.17424242424242425</v>
      </c>
    </row>
    <row r="471" spans="1:68" ht="27" hidden="1" customHeight="1" x14ac:dyDescent="0.25">
      <c r="A471" s="54" t="s">
        <v>752</v>
      </c>
      <c r="B471" s="54" t="s">
        <v>753</v>
      </c>
      <c r="C471" s="31">
        <v>4301031402</v>
      </c>
      <c r="D471" s="633">
        <v>4680115886124</v>
      </c>
      <c r="E471" s="634"/>
      <c r="F471" s="628">
        <v>0.9</v>
      </c>
      <c r="G471" s="32">
        <v>6</v>
      </c>
      <c r="H471" s="628">
        <v>5.4</v>
      </c>
      <c r="I471" s="628">
        <v>5.59</v>
      </c>
      <c r="J471" s="32">
        <v>132</v>
      </c>
      <c r="K471" s="32" t="s">
        <v>124</v>
      </c>
      <c r="L471" s="32"/>
      <c r="M471" s="33" t="s">
        <v>65</v>
      </c>
      <c r="N471" s="33"/>
      <c r="O471" s="32">
        <v>50</v>
      </c>
      <c r="P471" s="72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1" s="636"/>
      <c r="R471" s="636"/>
      <c r="S471" s="636"/>
      <c r="T471" s="637"/>
      <c r="U471" s="34"/>
      <c r="V471" s="34"/>
      <c r="W471" s="35" t="s">
        <v>66</v>
      </c>
      <c r="X471" s="629">
        <v>0</v>
      </c>
      <c r="Y471" s="630">
        <f t="shared" si="64"/>
        <v>0</v>
      </c>
      <c r="Z471" s="36" t="str">
        <f>IFERROR(IF(Y471=0,"",ROUNDUP(Y471/H471,0)*0.00902),"")</f>
        <v/>
      </c>
      <c r="AA471" s="56"/>
      <c r="AB471" s="57"/>
      <c r="AC471" s="547" t="s">
        <v>754</v>
      </c>
      <c r="AG471" s="64"/>
      <c r="AJ471" s="68"/>
      <c r="AK471" s="68">
        <v>0</v>
      </c>
      <c r="BB471" s="548" t="s">
        <v>1</v>
      </c>
      <c r="BM471" s="64">
        <f t="shared" si="65"/>
        <v>0</v>
      </c>
      <c r="BN471" s="64">
        <f t="shared" si="66"/>
        <v>0</v>
      </c>
      <c r="BO471" s="64">
        <f t="shared" si="67"/>
        <v>0</v>
      </c>
      <c r="BP471" s="64">
        <f t="shared" si="68"/>
        <v>0</v>
      </c>
    </row>
    <row r="472" spans="1:68" ht="27" hidden="1" customHeight="1" x14ac:dyDescent="0.25">
      <c r="A472" s="54" t="s">
        <v>755</v>
      </c>
      <c r="B472" s="54" t="s">
        <v>756</v>
      </c>
      <c r="C472" s="31">
        <v>4301031362</v>
      </c>
      <c r="D472" s="633">
        <v>4607091384338</v>
      </c>
      <c r="E472" s="634"/>
      <c r="F472" s="628">
        <v>0.35</v>
      </c>
      <c r="G472" s="32">
        <v>6</v>
      </c>
      <c r="H472" s="628">
        <v>2.1</v>
      </c>
      <c r="I472" s="628">
        <v>2.23</v>
      </c>
      <c r="J472" s="32">
        <v>234</v>
      </c>
      <c r="K472" s="32" t="s">
        <v>64</v>
      </c>
      <c r="L472" s="32"/>
      <c r="M472" s="33" t="s">
        <v>65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2" s="636"/>
      <c r="R472" s="636"/>
      <c r="S472" s="636"/>
      <c r="T472" s="637"/>
      <c r="U472" s="34"/>
      <c r="V472" s="34"/>
      <c r="W472" s="35" t="s">
        <v>66</v>
      </c>
      <c r="X472" s="629">
        <v>0</v>
      </c>
      <c r="Y472" s="630">
        <f t="shared" si="64"/>
        <v>0</v>
      </c>
      <c r="Z472" s="36" t="str">
        <f>IFERROR(IF(Y472=0,"",ROUNDUP(Y472/H472,0)*0.00502),"")</f>
        <v/>
      </c>
      <c r="AA472" s="56"/>
      <c r="AB472" s="57"/>
      <c r="AC472" s="549" t="s">
        <v>751</v>
      </c>
      <c r="AG472" s="64"/>
      <c r="AJ472" s="68"/>
      <c r="AK472" s="68">
        <v>0</v>
      </c>
      <c r="BB472" s="550" t="s">
        <v>1</v>
      </c>
      <c r="BM472" s="64">
        <f t="shared" si="65"/>
        <v>0</v>
      </c>
      <c r="BN472" s="64">
        <f t="shared" si="66"/>
        <v>0</v>
      </c>
      <c r="BO472" s="64">
        <f t="shared" si="67"/>
        <v>0</v>
      </c>
      <c r="BP472" s="64">
        <f t="shared" si="68"/>
        <v>0</v>
      </c>
    </row>
    <row r="473" spans="1:68" ht="27" hidden="1" customHeight="1" x14ac:dyDescent="0.25">
      <c r="A473" s="54" t="s">
        <v>757</v>
      </c>
      <c r="B473" s="54" t="s">
        <v>758</v>
      </c>
      <c r="C473" s="31">
        <v>4301031364</v>
      </c>
      <c r="D473" s="633">
        <v>4680115883161</v>
      </c>
      <c r="E473" s="634"/>
      <c r="F473" s="628">
        <v>0.28000000000000003</v>
      </c>
      <c r="G473" s="32">
        <v>6</v>
      </c>
      <c r="H473" s="628">
        <v>1.68</v>
      </c>
      <c r="I473" s="628">
        <v>1.81</v>
      </c>
      <c r="J473" s="32">
        <v>234</v>
      </c>
      <c r="K473" s="32" t="s">
        <v>64</v>
      </c>
      <c r="L473" s="32"/>
      <c r="M473" s="33" t="s">
        <v>65</v>
      </c>
      <c r="N473" s="33"/>
      <c r="O473" s="32">
        <v>50</v>
      </c>
      <c r="P473" s="7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3" s="636"/>
      <c r="R473" s="636"/>
      <c r="S473" s="636"/>
      <c r="T473" s="637"/>
      <c r="U473" s="34"/>
      <c r="V473" s="34"/>
      <c r="W473" s="35" t="s">
        <v>66</v>
      </c>
      <c r="X473" s="629">
        <v>0</v>
      </c>
      <c r="Y473" s="630">
        <f t="shared" si="64"/>
        <v>0</v>
      </c>
      <c r="Z473" s="36" t="str">
        <f>IFERROR(IF(Y473=0,"",ROUNDUP(Y473/H473,0)*0.00502),"")</f>
        <v/>
      </c>
      <c r="AA473" s="56"/>
      <c r="AB473" s="57"/>
      <c r="AC473" s="551" t="s">
        <v>759</v>
      </c>
      <c r="AG473" s="64"/>
      <c r="AJ473" s="68"/>
      <c r="AK473" s="68">
        <v>0</v>
      </c>
      <c r="BB473" s="552" t="s">
        <v>1</v>
      </c>
      <c r="BM473" s="64">
        <f t="shared" si="65"/>
        <v>0</v>
      </c>
      <c r="BN473" s="64">
        <f t="shared" si="66"/>
        <v>0</v>
      </c>
      <c r="BO473" s="64">
        <f t="shared" si="67"/>
        <v>0</v>
      </c>
      <c r="BP473" s="64">
        <f t="shared" si="68"/>
        <v>0</v>
      </c>
    </row>
    <row r="474" spans="1:68" ht="27" hidden="1" customHeight="1" x14ac:dyDescent="0.25">
      <c r="A474" s="54" t="s">
        <v>760</v>
      </c>
      <c r="B474" s="54" t="s">
        <v>761</v>
      </c>
      <c r="C474" s="31">
        <v>4301031358</v>
      </c>
      <c r="D474" s="633">
        <v>4607091389531</v>
      </c>
      <c r="E474" s="634"/>
      <c r="F474" s="628">
        <v>0.35</v>
      </c>
      <c r="G474" s="32">
        <v>6</v>
      </c>
      <c r="H474" s="628">
        <v>2.1</v>
      </c>
      <c r="I474" s="628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73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4" s="636"/>
      <c r="R474" s="636"/>
      <c r="S474" s="636"/>
      <c r="T474" s="637"/>
      <c r="U474" s="34"/>
      <c r="V474" s="34"/>
      <c r="W474" s="35" t="s">
        <v>66</v>
      </c>
      <c r="X474" s="629">
        <v>0</v>
      </c>
      <c r="Y474" s="630">
        <f t="shared" si="64"/>
        <v>0</v>
      </c>
      <c r="Z474" s="36" t="str">
        <f>IFERROR(IF(Y474=0,"",ROUNDUP(Y474/H474,0)*0.00502),"")</f>
        <v/>
      </c>
      <c r="AA474" s="56"/>
      <c r="AB474" s="57"/>
      <c r="AC474" s="553" t="s">
        <v>762</v>
      </c>
      <c r="AG474" s="64"/>
      <c r="AJ474" s="68"/>
      <c r="AK474" s="68">
        <v>0</v>
      </c>
      <c r="BB474" s="554" t="s">
        <v>1</v>
      </c>
      <c r="BM474" s="64">
        <f t="shared" si="65"/>
        <v>0</v>
      </c>
      <c r="BN474" s="64">
        <f t="shared" si="66"/>
        <v>0</v>
      </c>
      <c r="BO474" s="64">
        <f t="shared" si="67"/>
        <v>0</v>
      </c>
      <c r="BP474" s="64">
        <f t="shared" si="68"/>
        <v>0</v>
      </c>
    </row>
    <row r="475" spans="1:68" ht="37.5" hidden="1" customHeight="1" x14ac:dyDescent="0.25">
      <c r="A475" s="54" t="s">
        <v>763</v>
      </c>
      <c r="B475" s="54" t="s">
        <v>764</v>
      </c>
      <c r="C475" s="31">
        <v>4301031360</v>
      </c>
      <c r="D475" s="633">
        <v>4607091384345</v>
      </c>
      <c r="E475" s="634"/>
      <c r="F475" s="628">
        <v>0.35</v>
      </c>
      <c r="G475" s="32">
        <v>6</v>
      </c>
      <c r="H475" s="628">
        <v>2.1</v>
      </c>
      <c r="I475" s="628">
        <v>2.23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90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5" s="636"/>
      <c r="R475" s="636"/>
      <c r="S475" s="636"/>
      <c r="T475" s="637"/>
      <c r="U475" s="34"/>
      <c r="V475" s="34"/>
      <c r="W475" s="35" t="s">
        <v>66</v>
      </c>
      <c r="X475" s="629">
        <v>0</v>
      </c>
      <c r="Y475" s="630">
        <f t="shared" si="64"/>
        <v>0</v>
      </c>
      <c r="Z475" s="36" t="str">
        <f>IFERROR(IF(Y475=0,"",ROUNDUP(Y475/H475,0)*0.00502),"")</f>
        <v/>
      </c>
      <c r="AA475" s="56"/>
      <c r="AB475" s="57"/>
      <c r="AC475" s="555" t="s">
        <v>759</v>
      </c>
      <c r="AG475" s="64"/>
      <c r="AJ475" s="68"/>
      <c r="AK475" s="68">
        <v>0</v>
      </c>
      <c r="BB475" s="556" t="s">
        <v>1</v>
      </c>
      <c r="BM475" s="64">
        <f t="shared" si="65"/>
        <v>0</v>
      </c>
      <c r="BN475" s="64">
        <f t="shared" si="66"/>
        <v>0</v>
      </c>
      <c r="BO475" s="64">
        <f t="shared" si="67"/>
        <v>0</v>
      </c>
      <c r="BP475" s="64">
        <f t="shared" si="68"/>
        <v>0</v>
      </c>
    </row>
    <row r="476" spans="1:68" x14ac:dyDescent="0.2">
      <c r="A476" s="642"/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4"/>
      <c r="P476" s="646" t="s">
        <v>71</v>
      </c>
      <c r="Q476" s="647"/>
      <c r="R476" s="647"/>
      <c r="S476" s="647"/>
      <c r="T476" s="647"/>
      <c r="U476" s="647"/>
      <c r="V476" s="648"/>
      <c r="W476" s="37" t="s">
        <v>72</v>
      </c>
      <c r="X476" s="631">
        <f>IFERROR(X470/H470,"0")+IFERROR(X471/H471,"0")+IFERROR(X472/H472,"0")+IFERROR(X473/H473,"0")+IFERROR(X474/H474,"0")+IFERROR(X475/H475,"0")</f>
        <v>22.962962962962962</v>
      </c>
      <c r="Y476" s="631">
        <f>IFERROR(Y470/H470,"0")+IFERROR(Y471/H471,"0")+IFERROR(Y472/H472,"0")+IFERROR(Y473/H473,"0")+IFERROR(Y474/H474,"0")+IFERROR(Y475/H475,"0")</f>
        <v>23</v>
      </c>
      <c r="Z476" s="631">
        <f>IFERROR(IF(Z470="",0,Z470),"0")+IFERROR(IF(Z471="",0,Z471),"0")+IFERROR(IF(Z472="",0,Z472),"0")+IFERROR(IF(Z473="",0,Z473),"0")+IFERROR(IF(Z474="",0,Z474),"0")+IFERROR(IF(Z475="",0,Z475),"0")</f>
        <v>0.20746000000000001</v>
      </c>
      <c r="AA476" s="632"/>
      <c r="AB476" s="632"/>
      <c r="AC476" s="632"/>
    </row>
    <row r="477" spans="1:68" x14ac:dyDescent="0.2">
      <c r="A477" s="643"/>
      <c r="B477" s="643"/>
      <c r="C477" s="643"/>
      <c r="D477" s="643"/>
      <c r="E477" s="643"/>
      <c r="F477" s="643"/>
      <c r="G477" s="643"/>
      <c r="H477" s="643"/>
      <c r="I477" s="643"/>
      <c r="J477" s="643"/>
      <c r="K477" s="643"/>
      <c r="L477" s="643"/>
      <c r="M477" s="643"/>
      <c r="N477" s="643"/>
      <c r="O477" s="644"/>
      <c r="P477" s="646" t="s">
        <v>71</v>
      </c>
      <c r="Q477" s="647"/>
      <c r="R477" s="647"/>
      <c r="S477" s="647"/>
      <c r="T477" s="647"/>
      <c r="U477" s="647"/>
      <c r="V477" s="648"/>
      <c r="W477" s="37" t="s">
        <v>66</v>
      </c>
      <c r="X477" s="631">
        <f>IFERROR(SUM(X470:X475),"0")</f>
        <v>124</v>
      </c>
      <c r="Y477" s="631">
        <f>IFERROR(SUM(Y470:Y475),"0")</f>
        <v>124.2</v>
      </c>
      <c r="Z477" s="37"/>
      <c r="AA477" s="632"/>
      <c r="AB477" s="632"/>
      <c r="AC477" s="632"/>
    </row>
    <row r="478" spans="1:68" ht="14.25" hidden="1" customHeight="1" x14ac:dyDescent="0.25">
      <c r="A478" s="653" t="s">
        <v>73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25"/>
      <c r="AB478" s="625"/>
      <c r="AC478" s="625"/>
    </row>
    <row r="479" spans="1:68" ht="27" hidden="1" customHeight="1" x14ac:dyDescent="0.25">
      <c r="A479" s="54" t="s">
        <v>765</v>
      </c>
      <c r="B479" s="54" t="s">
        <v>766</v>
      </c>
      <c r="C479" s="31">
        <v>4301051284</v>
      </c>
      <c r="D479" s="633">
        <v>4607091384352</v>
      </c>
      <c r="E479" s="634"/>
      <c r="F479" s="628">
        <v>0.6</v>
      </c>
      <c r="G479" s="32">
        <v>4</v>
      </c>
      <c r="H479" s="628">
        <v>2.4</v>
      </c>
      <c r="I479" s="628">
        <v>2.6259999999999999</v>
      </c>
      <c r="J479" s="32">
        <v>132</v>
      </c>
      <c r="K479" s="32" t="s">
        <v>124</v>
      </c>
      <c r="L479" s="32"/>
      <c r="M479" s="33" t="s">
        <v>77</v>
      </c>
      <c r="N479" s="33"/>
      <c r="O479" s="32">
        <v>45</v>
      </c>
      <c r="P479" s="75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9" s="636"/>
      <c r="R479" s="636"/>
      <c r="S479" s="636"/>
      <c r="T479" s="637"/>
      <c r="U479" s="34"/>
      <c r="V479" s="34"/>
      <c r="W479" s="35" t="s">
        <v>66</v>
      </c>
      <c r="X479" s="629">
        <v>0</v>
      </c>
      <c r="Y479" s="630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57" t="s">
        <v>767</v>
      </c>
      <c r="AG479" s="64"/>
      <c r="AJ479" s="68"/>
      <c r="AK479" s="68">
        <v>0</v>
      </c>
      <c r="BB479" s="55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768</v>
      </c>
      <c r="B480" s="54" t="s">
        <v>769</v>
      </c>
      <c r="C480" s="31">
        <v>4301051431</v>
      </c>
      <c r="D480" s="633">
        <v>4607091389654</v>
      </c>
      <c r="E480" s="634"/>
      <c r="F480" s="628">
        <v>0.33</v>
      </c>
      <c r="G480" s="32">
        <v>6</v>
      </c>
      <c r="H480" s="628">
        <v>1.98</v>
      </c>
      <c r="I480" s="628">
        <v>2.238</v>
      </c>
      <c r="J480" s="32">
        <v>182</v>
      </c>
      <c r="K480" s="32" t="s">
        <v>76</v>
      </c>
      <c r="L480" s="32"/>
      <c r="M480" s="33" t="s">
        <v>77</v>
      </c>
      <c r="N480" s="33"/>
      <c r="O480" s="32">
        <v>45</v>
      </c>
      <c r="P480" s="77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0" s="636"/>
      <c r="R480" s="636"/>
      <c r="S480" s="636"/>
      <c r="T480" s="637"/>
      <c r="U480" s="34"/>
      <c r="V480" s="34"/>
      <c r="W480" s="35" t="s">
        <v>66</v>
      </c>
      <c r="X480" s="629">
        <v>0</v>
      </c>
      <c r="Y480" s="630">
        <f>IFERROR(IF(X480="",0,CEILING((X480/$H480),1)*$H480),"")</f>
        <v>0</v>
      </c>
      <c r="Z480" s="36" t="str">
        <f>IFERROR(IF(Y480=0,"",ROUNDUP(Y480/H480,0)*0.00651),"")</f>
        <v/>
      </c>
      <c r="AA480" s="56"/>
      <c r="AB480" s="57"/>
      <c r="AC480" s="559" t="s">
        <v>770</v>
      </c>
      <c r="AG480" s="64"/>
      <c r="AJ480" s="68"/>
      <c r="AK480" s="68">
        <v>0</v>
      </c>
      <c r="BB480" s="560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642"/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4"/>
      <c r="P481" s="646" t="s">
        <v>71</v>
      </c>
      <c r="Q481" s="647"/>
      <c r="R481" s="647"/>
      <c r="S481" s="647"/>
      <c r="T481" s="647"/>
      <c r="U481" s="647"/>
      <c r="V481" s="648"/>
      <c r="W481" s="37" t="s">
        <v>72</v>
      </c>
      <c r="X481" s="631">
        <f>IFERROR(X479/H479,"0")+IFERROR(X480/H480,"0")</f>
        <v>0</v>
      </c>
      <c r="Y481" s="631">
        <f>IFERROR(Y479/H479,"0")+IFERROR(Y480/H480,"0")</f>
        <v>0</v>
      </c>
      <c r="Z481" s="631">
        <f>IFERROR(IF(Z479="",0,Z479),"0")+IFERROR(IF(Z480="",0,Z480),"0")</f>
        <v>0</v>
      </c>
      <c r="AA481" s="632"/>
      <c r="AB481" s="632"/>
      <c r="AC481" s="632"/>
    </row>
    <row r="482" spans="1:68" hidden="1" x14ac:dyDescent="0.2">
      <c r="A482" s="643"/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4"/>
      <c r="P482" s="646" t="s">
        <v>71</v>
      </c>
      <c r="Q482" s="647"/>
      <c r="R482" s="647"/>
      <c r="S482" s="647"/>
      <c r="T482" s="647"/>
      <c r="U482" s="647"/>
      <c r="V482" s="648"/>
      <c r="W482" s="37" t="s">
        <v>66</v>
      </c>
      <c r="X482" s="631">
        <f>IFERROR(SUM(X479:X480),"0")</f>
        <v>0</v>
      </c>
      <c r="Y482" s="631">
        <f>IFERROR(SUM(Y479:Y480),"0")</f>
        <v>0</v>
      </c>
      <c r="Z482" s="37"/>
      <c r="AA482" s="632"/>
      <c r="AB482" s="632"/>
      <c r="AC482" s="632"/>
    </row>
    <row r="483" spans="1:68" ht="16.5" hidden="1" customHeight="1" x14ac:dyDescent="0.25">
      <c r="A483" s="677" t="s">
        <v>771</v>
      </c>
      <c r="B483" s="643"/>
      <c r="C483" s="643"/>
      <c r="D483" s="643"/>
      <c r="E483" s="643"/>
      <c r="F483" s="643"/>
      <c r="G483" s="643"/>
      <c r="H483" s="643"/>
      <c r="I483" s="643"/>
      <c r="J483" s="643"/>
      <c r="K483" s="643"/>
      <c r="L483" s="643"/>
      <c r="M483" s="643"/>
      <c r="N483" s="643"/>
      <c r="O483" s="643"/>
      <c r="P483" s="643"/>
      <c r="Q483" s="643"/>
      <c r="R483" s="643"/>
      <c r="S483" s="643"/>
      <c r="T483" s="643"/>
      <c r="U483" s="643"/>
      <c r="V483" s="643"/>
      <c r="W483" s="643"/>
      <c r="X483" s="643"/>
      <c r="Y483" s="643"/>
      <c r="Z483" s="643"/>
      <c r="AA483" s="624"/>
      <c r="AB483" s="624"/>
      <c r="AC483" s="624"/>
    </row>
    <row r="484" spans="1:68" ht="14.25" hidden="1" customHeight="1" x14ac:dyDescent="0.25">
      <c r="A484" s="653" t="s">
        <v>145</v>
      </c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43"/>
      <c r="P484" s="643"/>
      <c r="Q484" s="643"/>
      <c r="R484" s="643"/>
      <c r="S484" s="643"/>
      <c r="T484" s="643"/>
      <c r="U484" s="643"/>
      <c r="V484" s="643"/>
      <c r="W484" s="643"/>
      <c r="X484" s="643"/>
      <c r="Y484" s="643"/>
      <c r="Z484" s="643"/>
      <c r="AA484" s="625"/>
      <c r="AB484" s="625"/>
      <c r="AC484" s="625"/>
    </row>
    <row r="485" spans="1:68" ht="27" hidden="1" customHeight="1" x14ac:dyDescent="0.25">
      <c r="A485" s="54" t="s">
        <v>772</v>
      </c>
      <c r="B485" s="54" t="s">
        <v>773</v>
      </c>
      <c r="C485" s="31">
        <v>4301020416</v>
      </c>
      <c r="D485" s="633">
        <v>4680115885240</v>
      </c>
      <c r="E485" s="634"/>
      <c r="F485" s="628">
        <v>0.35</v>
      </c>
      <c r="G485" s="32">
        <v>6</v>
      </c>
      <c r="H485" s="628">
        <v>2.1</v>
      </c>
      <c r="I485" s="628">
        <v>2.31</v>
      </c>
      <c r="J485" s="32">
        <v>182</v>
      </c>
      <c r="K485" s="32" t="s">
        <v>76</v>
      </c>
      <c r="L485" s="32"/>
      <c r="M485" s="33" t="s">
        <v>65</v>
      </c>
      <c r="N485" s="33"/>
      <c r="O485" s="32">
        <v>40</v>
      </c>
      <c r="P485" s="8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5" s="636"/>
      <c r="R485" s="636"/>
      <c r="S485" s="636"/>
      <c r="T485" s="637"/>
      <c r="U485" s="34"/>
      <c r="V485" s="34"/>
      <c r="W485" s="35" t="s">
        <v>66</v>
      </c>
      <c r="X485" s="629">
        <v>0</v>
      </c>
      <c r="Y485" s="630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1" t="s">
        <v>774</v>
      </c>
      <c r="AG485" s="64"/>
      <c r="AJ485" s="68"/>
      <c r="AK485" s="68">
        <v>0</v>
      </c>
      <c r="BB485" s="562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42"/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4"/>
      <c r="P486" s="646" t="s">
        <v>71</v>
      </c>
      <c r="Q486" s="647"/>
      <c r="R486" s="647"/>
      <c r="S486" s="647"/>
      <c r="T486" s="647"/>
      <c r="U486" s="647"/>
      <c r="V486" s="648"/>
      <c r="W486" s="37" t="s">
        <v>72</v>
      </c>
      <c r="X486" s="631">
        <f>IFERROR(X485/H485,"0")</f>
        <v>0</v>
      </c>
      <c r="Y486" s="631">
        <f>IFERROR(Y485/H485,"0")</f>
        <v>0</v>
      </c>
      <c r="Z486" s="631">
        <f>IFERROR(IF(Z485="",0,Z485),"0")</f>
        <v>0</v>
      </c>
      <c r="AA486" s="632"/>
      <c r="AB486" s="632"/>
      <c r="AC486" s="632"/>
    </row>
    <row r="487" spans="1:68" hidden="1" x14ac:dyDescent="0.2">
      <c r="A487" s="643"/>
      <c r="B487" s="643"/>
      <c r="C487" s="643"/>
      <c r="D487" s="643"/>
      <c r="E487" s="643"/>
      <c r="F487" s="643"/>
      <c r="G487" s="643"/>
      <c r="H487" s="643"/>
      <c r="I487" s="643"/>
      <c r="J487" s="643"/>
      <c r="K487" s="643"/>
      <c r="L487" s="643"/>
      <c r="M487" s="643"/>
      <c r="N487" s="643"/>
      <c r="O487" s="644"/>
      <c r="P487" s="646" t="s">
        <v>71</v>
      </c>
      <c r="Q487" s="647"/>
      <c r="R487" s="647"/>
      <c r="S487" s="647"/>
      <c r="T487" s="647"/>
      <c r="U487" s="647"/>
      <c r="V487" s="648"/>
      <c r="W487" s="37" t="s">
        <v>66</v>
      </c>
      <c r="X487" s="631">
        <f>IFERROR(SUM(X485:X485),"0")</f>
        <v>0</v>
      </c>
      <c r="Y487" s="631">
        <f>IFERROR(SUM(Y485:Y485),"0")</f>
        <v>0</v>
      </c>
      <c r="Z487" s="37"/>
      <c r="AA487" s="632"/>
      <c r="AB487" s="632"/>
      <c r="AC487" s="632"/>
    </row>
    <row r="488" spans="1:68" ht="14.25" hidden="1" customHeight="1" x14ac:dyDescent="0.25">
      <c r="A488" s="653" t="s">
        <v>61</v>
      </c>
      <c r="B488" s="643"/>
      <c r="C488" s="643"/>
      <c r="D488" s="643"/>
      <c r="E488" s="643"/>
      <c r="F488" s="643"/>
      <c r="G488" s="643"/>
      <c r="H488" s="643"/>
      <c r="I488" s="643"/>
      <c r="J488" s="643"/>
      <c r="K488" s="643"/>
      <c r="L488" s="643"/>
      <c r="M488" s="643"/>
      <c r="N488" s="643"/>
      <c r="O488" s="643"/>
      <c r="P488" s="643"/>
      <c r="Q488" s="643"/>
      <c r="R488" s="643"/>
      <c r="S488" s="643"/>
      <c r="T488" s="643"/>
      <c r="U488" s="643"/>
      <c r="V488" s="643"/>
      <c r="W488" s="643"/>
      <c r="X488" s="643"/>
      <c r="Y488" s="643"/>
      <c r="Z488" s="643"/>
      <c r="AA488" s="625"/>
      <c r="AB488" s="625"/>
      <c r="AC488" s="625"/>
    </row>
    <row r="489" spans="1:68" ht="27" hidden="1" customHeight="1" x14ac:dyDescent="0.25">
      <c r="A489" s="54" t="s">
        <v>775</v>
      </c>
      <c r="B489" s="54" t="s">
        <v>776</v>
      </c>
      <c r="C489" s="31">
        <v>4301031407</v>
      </c>
      <c r="D489" s="633">
        <v>4680115886094</v>
      </c>
      <c r="E489" s="634"/>
      <c r="F489" s="628">
        <v>0.9</v>
      </c>
      <c r="G489" s="32">
        <v>6</v>
      </c>
      <c r="H489" s="628">
        <v>5.4</v>
      </c>
      <c r="I489" s="628">
        <v>5.59</v>
      </c>
      <c r="J489" s="32">
        <v>132</v>
      </c>
      <c r="K489" s="32" t="s">
        <v>124</v>
      </c>
      <c r="L489" s="32"/>
      <c r="M489" s="33" t="s">
        <v>65</v>
      </c>
      <c r="N489" s="33"/>
      <c r="O489" s="32">
        <v>50</v>
      </c>
      <c r="P489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9" s="636"/>
      <c r="R489" s="636"/>
      <c r="S489" s="636"/>
      <c r="T489" s="637"/>
      <c r="U489" s="34"/>
      <c r="V489" s="34"/>
      <c r="W489" s="35" t="s">
        <v>66</v>
      </c>
      <c r="X489" s="629">
        <v>0</v>
      </c>
      <c r="Y489" s="630">
        <f>IFERROR(IF(X489="",0,CEILING((X489/$H489),1)*$H489),"")</f>
        <v>0</v>
      </c>
      <c r="Z489" s="36" t="str">
        <f>IFERROR(IF(Y489=0,"",ROUNDUP(Y489/H489,0)*0.00902),"")</f>
        <v/>
      </c>
      <c r="AA489" s="56"/>
      <c r="AB489" s="57"/>
      <c r="AC489" s="563" t="s">
        <v>777</v>
      </c>
      <c r="AG489" s="64"/>
      <c r="AJ489" s="68"/>
      <c r="AK489" s="68">
        <v>0</v>
      </c>
      <c r="BB489" s="564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t="27" hidden="1" customHeight="1" x14ac:dyDescent="0.25">
      <c r="A490" s="54" t="s">
        <v>778</v>
      </c>
      <c r="B490" s="54" t="s">
        <v>779</v>
      </c>
      <c r="C490" s="31">
        <v>4301031373</v>
      </c>
      <c r="D490" s="633">
        <v>4680115880771</v>
      </c>
      <c r="E490" s="634"/>
      <c r="F490" s="628">
        <v>0.28000000000000003</v>
      </c>
      <c r="G490" s="32">
        <v>6</v>
      </c>
      <c r="H490" s="628">
        <v>1.68</v>
      </c>
      <c r="I490" s="628">
        <v>1.81</v>
      </c>
      <c r="J490" s="32">
        <v>234</v>
      </c>
      <c r="K490" s="32" t="s">
        <v>64</v>
      </c>
      <c r="L490" s="32"/>
      <c r="M490" s="33" t="s">
        <v>65</v>
      </c>
      <c r="N490" s="33"/>
      <c r="O490" s="32">
        <v>50</v>
      </c>
      <c r="P490" s="91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0" s="636"/>
      <c r="R490" s="636"/>
      <c r="S490" s="636"/>
      <c r="T490" s="637"/>
      <c r="U490" s="34"/>
      <c r="V490" s="34"/>
      <c r="W490" s="35" t="s">
        <v>66</v>
      </c>
      <c r="X490" s="629">
        <v>0</v>
      </c>
      <c r="Y490" s="630">
        <f>IFERROR(IF(X490="",0,CEILING((X490/$H490),1)*$H490),"")</f>
        <v>0</v>
      </c>
      <c r="Z490" s="36" t="str">
        <f>IFERROR(IF(Y490=0,"",ROUNDUP(Y490/H490,0)*0.00502),"")</f>
        <v/>
      </c>
      <c r="AA490" s="56"/>
      <c r="AB490" s="57"/>
      <c r="AC490" s="565" t="s">
        <v>780</v>
      </c>
      <c r="AG490" s="64"/>
      <c r="AJ490" s="68"/>
      <c r="AK490" s="68">
        <v>0</v>
      </c>
      <c r="BB490" s="566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t="27" hidden="1" customHeight="1" x14ac:dyDescent="0.25">
      <c r="A491" s="54" t="s">
        <v>781</v>
      </c>
      <c r="B491" s="54" t="s">
        <v>782</v>
      </c>
      <c r="C491" s="31">
        <v>4301031359</v>
      </c>
      <c r="D491" s="633">
        <v>4607091389500</v>
      </c>
      <c r="E491" s="634"/>
      <c r="F491" s="628">
        <v>0.35</v>
      </c>
      <c r="G491" s="32">
        <v>6</v>
      </c>
      <c r="H491" s="628">
        <v>2.1</v>
      </c>
      <c r="I491" s="628">
        <v>2.23</v>
      </c>
      <c r="J491" s="32">
        <v>234</v>
      </c>
      <c r="K491" s="32" t="s">
        <v>64</v>
      </c>
      <c r="L491" s="32"/>
      <c r="M491" s="33" t="s">
        <v>65</v>
      </c>
      <c r="N491" s="33"/>
      <c r="O491" s="32">
        <v>50</v>
      </c>
      <c r="P491" s="83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1" s="636"/>
      <c r="R491" s="636"/>
      <c r="S491" s="636"/>
      <c r="T491" s="637"/>
      <c r="U491" s="34"/>
      <c r="V491" s="34"/>
      <c r="W491" s="35" t="s">
        <v>66</v>
      </c>
      <c r="X491" s="629">
        <v>0</v>
      </c>
      <c r="Y491" s="630">
        <f>IFERROR(IF(X491="",0,CEILING((X491/$H491),1)*$H491),"")</f>
        <v>0</v>
      </c>
      <c r="Z491" s="36" t="str">
        <f>IFERROR(IF(Y491=0,"",ROUNDUP(Y491/H491,0)*0.00502),"")</f>
        <v/>
      </c>
      <c r="AA491" s="56"/>
      <c r="AB491" s="57"/>
      <c r="AC491" s="567" t="s">
        <v>780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42"/>
      <c r="B492" s="643"/>
      <c r="C492" s="643"/>
      <c r="D492" s="643"/>
      <c r="E492" s="643"/>
      <c r="F492" s="643"/>
      <c r="G492" s="643"/>
      <c r="H492" s="643"/>
      <c r="I492" s="643"/>
      <c r="J492" s="643"/>
      <c r="K492" s="643"/>
      <c r="L492" s="643"/>
      <c r="M492" s="643"/>
      <c r="N492" s="643"/>
      <c r="O492" s="644"/>
      <c r="P492" s="646" t="s">
        <v>71</v>
      </c>
      <c r="Q492" s="647"/>
      <c r="R492" s="647"/>
      <c r="S492" s="647"/>
      <c r="T492" s="647"/>
      <c r="U492" s="647"/>
      <c r="V492" s="648"/>
      <c r="W492" s="37" t="s">
        <v>72</v>
      </c>
      <c r="X492" s="631">
        <f>IFERROR(X489/H489,"0")+IFERROR(X490/H490,"0")+IFERROR(X491/H491,"0")</f>
        <v>0</v>
      </c>
      <c r="Y492" s="631">
        <f>IFERROR(Y489/H489,"0")+IFERROR(Y490/H490,"0")+IFERROR(Y491/H491,"0")</f>
        <v>0</v>
      </c>
      <c r="Z492" s="631">
        <f>IFERROR(IF(Z489="",0,Z489),"0")+IFERROR(IF(Z490="",0,Z490),"0")+IFERROR(IF(Z491="",0,Z491),"0")</f>
        <v>0</v>
      </c>
      <c r="AA492" s="632"/>
      <c r="AB492" s="632"/>
      <c r="AC492" s="632"/>
    </row>
    <row r="493" spans="1:68" hidden="1" x14ac:dyDescent="0.2">
      <c r="A493" s="643"/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4"/>
      <c r="P493" s="646" t="s">
        <v>71</v>
      </c>
      <c r="Q493" s="647"/>
      <c r="R493" s="647"/>
      <c r="S493" s="647"/>
      <c r="T493" s="647"/>
      <c r="U493" s="647"/>
      <c r="V493" s="648"/>
      <c r="W493" s="37" t="s">
        <v>66</v>
      </c>
      <c r="X493" s="631">
        <f>IFERROR(SUM(X489:X491),"0")</f>
        <v>0</v>
      </c>
      <c r="Y493" s="631">
        <f>IFERROR(SUM(Y489:Y491),"0")</f>
        <v>0</v>
      </c>
      <c r="Z493" s="37"/>
      <c r="AA493" s="632"/>
      <c r="AB493" s="632"/>
      <c r="AC493" s="632"/>
    </row>
    <row r="494" spans="1:68" ht="27.75" hidden="1" customHeight="1" x14ac:dyDescent="0.2">
      <c r="A494" s="649" t="s">
        <v>783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48"/>
      <c r="AB494" s="48"/>
      <c r="AC494" s="48"/>
    </row>
    <row r="495" spans="1:68" ht="16.5" hidden="1" customHeight="1" x14ac:dyDescent="0.25">
      <c r="A495" s="677" t="s">
        <v>783</v>
      </c>
      <c r="B495" s="643"/>
      <c r="C495" s="643"/>
      <c r="D495" s="643"/>
      <c r="E495" s="643"/>
      <c r="F495" s="643"/>
      <c r="G495" s="643"/>
      <c r="H495" s="643"/>
      <c r="I495" s="643"/>
      <c r="J495" s="643"/>
      <c r="K495" s="643"/>
      <c r="L495" s="643"/>
      <c r="M495" s="643"/>
      <c r="N495" s="643"/>
      <c r="O495" s="643"/>
      <c r="P495" s="643"/>
      <c r="Q495" s="643"/>
      <c r="R495" s="643"/>
      <c r="S495" s="643"/>
      <c r="T495" s="643"/>
      <c r="U495" s="643"/>
      <c r="V495" s="643"/>
      <c r="W495" s="643"/>
      <c r="X495" s="643"/>
      <c r="Y495" s="643"/>
      <c r="Z495" s="643"/>
      <c r="AA495" s="624"/>
      <c r="AB495" s="624"/>
      <c r="AC495" s="624"/>
    </row>
    <row r="496" spans="1:68" ht="14.25" hidden="1" customHeight="1" x14ac:dyDescent="0.25">
      <c r="A496" s="653" t="s">
        <v>112</v>
      </c>
      <c r="B496" s="643"/>
      <c r="C496" s="643"/>
      <c r="D496" s="643"/>
      <c r="E496" s="643"/>
      <c r="F496" s="643"/>
      <c r="G496" s="643"/>
      <c r="H496" s="643"/>
      <c r="I496" s="643"/>
      <c r="J496" s="643"/>
      <c r="K496" s="643"/>
      <c r="L496" s="643"/>
      <c r="M496" s="643"/>
      <c r="N496" s="643"/>
      <c r="O496" s="643"/>
      <c r="P496" s="643"/>
      <c r="Q496" s="643"/>
      <c r="R496" s="643"/>
      <c r="S496" s="643"/>
      <c r="T496" s="643"/>
      <c r="U496" s="643"/>
      <c r="V496" s="643"/>
      <c r="W496" s="643"/>
      <c r="X496" s="643"/>
      <c r="Y496" s="643"/>
      <c r="Z496" s="643"/>
      <c r="AA496" s="625"/>
      <c r="AB496" s="625"/>
      <c r="AC496" s="625"/>
    </row>
    <row r="497" spans="1:68" ht="27" customHeight="1" x14ac:dyDescent="0.25">
      <c r="A497" s="54" t="s">
        <v>784</v>
      </c>
      <c r="B497" s="54" t="s">
        <v>785</v>
      </c>
      <c r="C497" s="31">
        <v>4301011769</v>
      </c>
      <c r="D497" s="633">
        <v>4607091389067</v>
      </c>
      <c r="E497" s="634"/>
      <c r="F497" s="628">
        <v>0.88</v>
      </c>
      <c r="G497" s="32">
        <v>6</v>
      </c>
      <c r="H497" s="628">
        <v>5.28</v>
      </c>
      <c r="I497" s="628">
        <v>5.63</v>
      </c>
      <c r="J497" s="32">
        <v>104</v>
      </c>
      <c r="K497" s="32" t="s">
        <v>115</v>
      </c>
      <c r="L497" s="32"/>
      <c r="M497" s="33" t="s">
        <v>77</v>
      </c>
      <c r="N497" s="33"/>
      <c r="O497" s="32">
        <v>60</v>
      </c>
      <c r="P497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7" s="636"/>
      <c r="R497" s="636"/>
      <c r="S497" s="636"/>
      <c r="T497" s="637"/>
      <c r="U497" s="34"/>
      <c r="V497" s="34"/>
      <c r="W497" s="35" t="s">
        <v>66</v>
      </c>
      <c r="X497" s="629">
        <v>29</v>
      </c>
      <c r="Y497" s="630">
        <f t="shared" ref="Y497:Y505" si="69">IFERROR(IF(X497="",0,CEILING((X497/$H497),1)*$H497),"")</f>
        <v>31.68</v>
      </c>
      <c r="Z497" s="36">
        <f t="shared" ref="Z497:Z502" si="70">IFERROR(IF(Y497=0,"",ROUNDUP(Y497/H497,0)*0.01196),"")</f>
        <v>7.1760000000000004E-2</v>
      </c>
      <c r="AA497" s="56"/>
      <c r="AB497" s="57"/>
      <c r="AC497" s="569" t="s">
        <v>117</v>
      </c>
      <c r="AG497" s="64"/>
      <c r="AJ497" s="68"/>
      <c r="AK497" s="68">
        <v>0</v>
      </c>
      <c r="BB497" s="570" t="s">
        <v>1</v>
      </c>
      <c r="BM497" s="64">
        <f t="shared" ref="BM497:BM505" si="71">IFERROR(X497*I497/H497,"0")</f>
        <v>30.922348484848484</v>
      </c>
      <c r="BN497" s="64">
        <f t="shared" ref="BN497:BN505" si="72">IFERROR(Y497*I497/H497,"0")</f>
        <v>33.779999999999994</v>
      </c>
      <c r="BO497" s="64">
        <f t="shared" ref="BO497:BO505" si="73">IFERROR(1/J497*(X497/H497),"0")</f>
        <v>5.281177156177156E-2</v>
      </c>
      <c r="BP497" s="64">
        <f t="shared" ref="BP497:BP505" si="74">IFERROR(1/J497*(Y497/H497),"0")</f>
        <v>5.7692307692307696E-2</v>
      </c>
    </row>
    <row r="498" spans="1:68" ht="16.5" hidden="1" customHeight="1" x14ac:dyDescent="0.25">
      <c r="A498" s="54" t="s">
        <v>786</v>
      </c>
      <c r="B498" s="54" t="s">
        <v>787</v>
      </c>
      <c r="C498" s="31">
        <v>4301012380</v>
      </c>
      <c r="D498" s="633">
        <v>4680115889576</v>
      </c>
      <c r="E498" s="634"/>
      <c r="F498" s="628">
        <v>0.88</v>
      </c>
      <c r="G498" s="32">
        <v>6</v>
      </c>
      <c r="H498" s="628">
        <v>5.28</v>
      </c>
      <c r="I498" s="628">
        <v>5.63</v>
      </c>
      <c r="J498" s="32">
        <v>104</v>
      </c>
      <c r="K498" s="32" t="s">
        <v>115</v>
      </c>
      <c r="L498" s="32"/>
      <c r="M498" s="33" t="s">
        <v>116</v>
      </c>
      <c r="N498" s="33"/>
      <c r="O498" s="32">
        <v>60</v>
      </c>
      <c r="P498" s="76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8" s="636"/>
      <c r="R498" s="636"/>
      <c r="S498" s="636"/>
      <c r="T498" s="637"/>
      <c r="U498" s="34"/>
      <c r="V498" s="34"/>
      <c r="W498" s="35" t="s">
        <v>66</v>
      </c>
      <c r="X498" s="629">
        <v>0</v>
      </c>
      <c r="Y498" s="630">
        <f t="shared" si="69"/>
        <v>0</v>
      </c>
      <c r="Z498" s="36" t="str">
        <f t="shared" si="70"/>
        <v/>
      </c>
      <c r="AA498" s="56"/>
      <c r="AB498" s="57"/>
      <c r="AC498" s="571" t="s">
        <v>788</v>
      </c>
      <c r="AG498" s="64"/>
      <c r="AJ498" s="68"/>
      <c r="AK498" s="68">
        <v>0</v>
      </c>
      <c r="BB498" s="572" t="s">
        <v>1</v>
      </c>
      <c r="BM498" s="64">
        <f t="shared" si="71"/>
        <v>0</v>
      </c>
      <c r="BN498" s="64">
        <f t="shared" si="72"/>
        <v>0</v>
      </c>
      <c r="BO498" s="64">
        <f t="shared" si="73"/>
        <v>0</v>
      </c>
      <c r="BP498" s="64">
        <f t="shared" si="74"/>
        <v>0</v>
      </c>
    </row>
    <row r="499" spans="1:68" ht="27" customHeight="1" x14ac:dyDescent="0.25">
      <c r="A499" s="54" t="s">
        <v>789</v>
      </c>
      <c r="B499" s="54" t="s">
        <v>790</v>
      </c>
      <c r="C499" s="31">
        <v>4301011961</v>
      </c>
      <c r="D499" s="633">
        <v>4680115885271</v>
      </c>
      <c r="E499" s="634"/>
      <c r="F499" s="628">
        <v>0.88</v>
      </c>
      <c r="G499" s="32">
        <v>6</v>
      </c>
      <c r="H499" s="628">
        <v>5.28</v>
      </c>
      <c r="I499" s="628">
        <v>5.63</v>
      </c>
      <c r="J499" s="32">
        <v>104</v>
      </c>
      <c r="K499" s="32" t="s">
        <v>115</v>
      </c>
      <c r="L499" s="32"/>
      <c r="M499" s="33" t="s">
        <v>116</v>
      </c>
      <c r="N499" s="33"/>
      <c r="O499" s="32">
        <v>60</v>
      </c>
      <c r="P499" s="97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9" s="636"/>
      <c r="R499" s="636"/>
      <c r="S499" s="636"/>
      <c r="T499" s="637"/>
      <c r="U499" s="34"/>
      <c r="V499" s="34"/>
      <c r="W499" s="35" t="s">
        <v>66</v>
      </c>
      <c r="X499" s="629">
        <v>21</v>
      </c>
      <c r="Y499" s="630">
        <f t="shared" si="69"/>
        <v>21.12</v>
      </c>
      <c r="Z499" s="36">
        <f t="shared" si="70"/>
        <v>4.7840000000000001E-2</v>
      </c>
      <c r="AA499" s="56"/>
      <c r="AB499" s="57"/>
      <c r="AC499" s="573" t="s">
        <v>791</v>
      </c>
      <c r="AG499" s="64"/>
      <c r="AJ499" s="68"/>
      <c r="AK499" s="68">
        <v>0</v>
      </c>
      <c r="BB499" s="574" t="s">
        <v>1</v>
      </c>
      <c r="BM499" s="64">
        <f t="shared" si="71"/>
        <v>22.392045454545453</v>
      </c>
      <c r="BN499" s="64">
        <f t="shared" si="72"/>
        <v>22.52</v>
      </c>
      <c r="BO499" s="64">
        <f t="shared" si="73"/>
        <v>3.8243006993006992E-2</v>
      </c>
      <c r="BP499" s="64">
        <f t="shared" si="74"/>
        <v>3.8461538461538464E-2</v>
      </c>
    </row>
    <row r="500" spans="1:68" ht="27" customHeight="1" x14ac:dyDescent="0.25">
      <c r="A500" s="54" t="s">
        <v>792</v>
      </c>
      <c r="B500" s="54" t="s">
        <v>793</v>
      </c>
      <c r="C500" s="31">
        <v>4301011369</v>
      </c>
      <c r="D500" s="633">
        <v>4680115885226</v>
      </c>
      <c r="E500" s="634"/>
      <c r="F500" s="628">
        <v>0.88</v>
      </c>
      <c r="G500" s="32">
        <v>6</v>
      </c>
      <c r="H500" s="628">
        <v>5.28</v>
      </c>
      <c r="I500" s="628">
        <v>5.63</v>
      </c>
      <c r="J500" s="32">
        <v>104</v>
      </c>
      <c r="K500" s="32" t="s">
        <v>115</v>
      </c>
      <c r="L500" s="32"/>
      <c r="M500" s="33" t="s">
        <v>116</v>
      </c>
      <c r="N500" s="33"/>
      <c r="O500" s="32">
        <v>60</v>
      </c>
      <c r="P500" s="86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0" s="636"/>
      <c r="R500" s="636"/>
      <c r="S500" s="636"/>
      <c r="T500" s="637"/>
      <c r="U500" s="34"/>
      <c r="V500" s="34"/>
      <c r="W500" s="35" t="s">
        <v>66</v>
      </c>
      <c r="X500" s="629">
        <v>121</v>
      </c>
      <c r="Y500" s="630">
        <f t="shared" si="69"/>
        <v>121.44000000000001</v>
      </c>
      <c r="Z500" s="36">
        <f t="shared" si="70"/>
        <v>0.27507999999999999</v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71"/>
        <v>129.02083333333334</v>
      </c>
      <c r="BN500" s="64">
        <f t="shared" si="72"/>
        <v>129.49</v>
      </c>
      <c r="BO500" s="64">
        <f t="shared" si="73"/>
        <v>0.2203525641025641</v>
      </c>
      <c r="BP500" s="64">
        <f t="shared" si="74"/>
        <v>0.22115384615384617</v>
      </c>
    </row>
    <row r="501" spans="1:68" ht="16.5" hidden="1" customHeight="1" x14ac:dyDescent="0.25">
      <c r="A501" s="54" t="s">
        <v>795</v>
      </c>
      <c r="B501" s="54" t="s">
        <v>796</v>
      </c>
      <c r="C501" s="31">
        <v>4301011797</v>
      </c>
      <c r="D501" s="633">
        <v>4680115884502</v>
      </c>
      <c r="E501" s="634"/>
      <c r="F501" s="628">
        <v>0.88</v>
      </c>
      <c r="G501" s="32">
        <v>6</v>
      </c>
      <c r="H501" s="628">
        <v>5.28</v>
      </c>
      <c r="I501" s="628">
        <v>5.63</v>
      </c>
      <c r="J501" s="32">
        <v>104</v>
      </c>
      <c r="K501" s="32" t="s">
        <v>115</v>
      </c>
      <c r="L501" s="32"/>
      <c r="M501" s="33" t="s">
        <v>77</v>
      </c>
      <c r="N501" s="33"/>
      <c r="O501" s="32">
        <v>60</v>
      </c>
      <c r="P501" s="81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1" s="636"/>
      <c r="R501" s="636"/>
      <c r="S501" s="636"/>
      <c r="T501" s="637"/>
      <c r="U501" s="34"/>
      <c r="V501" s="34"/>
      <c r="W501" s="35" t="s">
        <v>66</v>
      </c>
      <c r="X501" s="629">
        <v>0</v>
      </c>
      <c r="Y501" s="630">
        <f t="shared" si="69"/>
        <v>0</v>
      </c>
      <c r="Z501" s="36" t="str">
        <f t="shared" si="70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71"/>
        <v>0</v>
      </c>
      <c r="BN501" s="64">
        <f t="shared" si="72"/>
        <v>0</v>
      </c>
      <c r="BO501" s="64">
        <f t="shared" si="73"/>
        <v>0</v>
      </c>
      <c r="BP501" s="64">
        <f t="shared" si="74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4301011771</v>
      </c>
      <c r="D502" s="633">
        <v>4607091389104</v>
      </c>
      <c r="E502" s="634"/>
      <c r="F502" s="628">
        <v>0.88</v>
      </c>
      <c r="G502" s="32">
        <v>6</v>
      </c>
      <c r="H502" s="628">
        <v>5.28</v>
      </c>
      <c r="I502" s="628">
        <v>5.63</v>
      </c>
      <c r="J502" s="32">
        <v>104</v>
      </c>
      <c r="K502" s="32" t="s">
        <v>115</v>
      </c>
      <c r="L502" s="32"/>
      <c r="M502" s="33" t="s">
        <v>116</v>
      </c>
      <c r="N502" s="33"/>
      <c r="O502" s="32">
        <v>60</v>
      </c>
      <c r="P502" s="71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2" s="636"/>
      <c r="R502" s="636"/>
      <c r="S502" s="636"/>
      <c r="T502" s="637"/>
      <c r="U502" s="34"/>
      <c r="V502" s="34"/>
      <c r="W502" s="35" t="s">
        <v>66</v>
      </c>
      <c r="X502" s="629">
        <v>0</v>
      </c>
      <c r="Y502" s="630">
        <f t="shared" si="69"/>
        <v>0</v>
      </c>
      <c r="Z502" s="36" t="str">
        <f t="shared" si="70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71"/>
        <v>0</v>
      </c>
      <c r="BN502" s="64">
        <f t="shared" si="72"/>
        <v>0</v>
      </c>
      <c r="BO502" s="64">
        <f t="shared" si="73"/>
        <v>0</v>
      </c>
      <c r="BP502" s="64">
        <f t="shared" si="74"/>
        <v>0</v>
      </c>
    </row>
    <row r="503" spans="1:68" ht="27" hidden="1" customHeight="1" x14ac:dyDescent="0.25">
      <c r="A503" s="54" t="s">
        <v>801</v>
      </c>
      <c r="B503" s="54" t="s">
        <v>802</v>
      </c>
      <c r="C503" s="31">
        <v>4301012125</v>
      </c>
      <c r="D503" s="633">
        <v>4680115886391</v>
      </c>
      <c r="E503" s="634"/>
      <c r="F503" s="628">
        <v>0.4</v>
      </c>
      <c r="G503" s="32">
        <v>6</v>
      </c>
      <c r="H503" s="628">
        <v>2.4</v>
      </c>
      <c r="I503" s="628">
        <v>2.58</v>
      </c>
      <c r="J503" s="32">
        <v>182</v>
      </c>
      <c r="K503" s="32" t="s">
        <v>76</v>
      </c>
      <c r="L503" s="32"/>
      <c r="M503" s="33" t="s">
        <v>77</v>
      </c>
      <c r="N503" s="33"/>
      <c r="O503" s="32">
        <v>60</v>
      </c>
      <c r="P503" s="8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3" s="636"/>
      <c r="R503" s="636"/>
      <c r="S503" s="636"/>
      <c r="T503" s="637"/>
      <c r="U503" s="34"/>
      <c r="V503" s="34"/>
      <c r="W503" s="35" t="s">
        <v>66</v>
      </c>
      <c r="X503" s="629">
        <v>0</v>
      </c>
      <c r="Y503" s="630">
        <f t="shared" si="69"/>
        <v>0</v>
      </c>
      <c r="Z503" s="36" t="str">
        <f>IFERROR(IF(Y503=0,"",ROUNDUP(Y503/H503,0)*0.00651),"")</f>
        <v/>
      </c>
      <c r="AA503" s="56"/>
      <c r="AB503" s="57"/>
      <c r="AC503" s="581" t="s">
        <v>117</v>
      </c>
      <c r="AG503" s="64"/>
      <c r="AJ503" s="68"/>
      <c r="AK503" s="68">
        <v>0</v>
      </c>
      <c r="BB503" s="582" t="s">
        <v>1</v>
      </c>
      <c r="BM503" s="64">
        <f t="shared" si="71"/>
        <v>0</v>
      </c>
      <c r="BN503" s="64">
        <f t="shared" si="72"/>
        <v>0</v>
      </c>
      <c r="BO503" s="64">
        <f t="shared" si="73"/>
        <v>0</v>
      </c>
      <c r="BP503" s="64">
        <f t="shared" si="74"/>
        <v>0</v>
      </c>
    </row>
    <row r="504" spans="1:68" ht="27" hidden="1" customHeight="1" x14ac:dyDescent="0.25">
      <c r="A504" s="54" t="s">
        <v>803</v>
      </c>
      <c r="B504" s="54" t="s">
        <v>804</v>
      </c>
      <c r="C504" s="31">
        <v>4301012048</v>
      </c>
      <c r="D504" s="633">
        <v>4680115880603</v>
      </c>
      <c r="E504" s="634"/>
      <c r="F504" s="628">
        <v>0.6</v>
      </c>
      <c r="G504" s="32">
        <v>8</v>
      </c>
      <c r="H504" s="628">
        <v>4.8</v>
      </c>
      <c r="I504" s="628">
        <v>6.91</v>
      </c>
      <c r="J504" s="32">
        <v>132</v>
      </c>
      <c r="K504" s="32" t="s">
        <v>124</v>
      </c>
      <c r="L504" s="32"/>
      <c r="M504" s="33" t="s">
        <v>77</v>
      </c>
      <c r="N504" s="33"/>
      <c r="O504" s="32">
        <v>60</v>
      </c>
      <c r="P504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4" s="636"/>
      <c r="R504" s="636"/>
      <c r="S504" s="636"/>
      <c r="T504" s="637"/>
      <c r="U504" s="34"/>
      <c r="V504" s="34"/>
      <c r="W504" s="35" t="s">
        <v>66</v>
      </c>
      <c r="X504" s="629">
        <v>0</v>
      </c>
      <c r="Y504" s="630">
        <f t="shared" si="69"/>
        <v>0</v>
      </c>
      <c r="Z504" s="36" t="str">
        <f>IFERROR(IF(Y504=0,"",ROUNDUP(Y504/H504,0)*0.00902),"")</f>
        <v/>
      </c>
      <c r="AA504" s="56"/>
      <c r="AB504" s="57"/>
      <c r="AC504" s="583" t="s">
        <v>117</v>
      </c>
      <c r="AG504" s="64"/>
      <c r="AJ504" s="68"/>
      <c r="AK504" s="68">
        <v>0</v>
      </c>
      <c r="BB504" s="584" t="s">
        <v>1</v>
      </c>
      <c r="BM504" s="64">
        <f t="shared" si="71"/>
        <v>0</v>
      </c>
      <c r="BN504" s="64">
        <f t="shared" si="72"/>
        <v>0</v>
      </c>
      <c r="BO504" s="64">
        <f t="shared" si="73"/>
        <v>0</v>
      </c>
      <c r="BP504" s="64">
        <f t="shared" si="74"/>
        <v>0</v>
      </c>
    </row>
    <row r="505" spans="1:68" ht="27" customHeight="1" x14ac:dyDescent="0.25">
      <c r="A505" s="54" t="s">
        <v>805</v>
      </c>
      <c r="B505" s="54" t="s">
        <v>806</v>
      </c>
      <c r="C505" s="31">
        <v>4301012034</v>
      </c>
      <c r="D505" s="633">
        <v>4607091389982</v>
      </c>
      <c r="E505" s="634"/>
      <c r="F505" s="628">
        <v>0.6</v>
      </c>
      <c r="G505" s="32">
        <v>8</v>
      </c>
      <c r="H505" s="628">
        <v>4.8</v>
      </c>
      <c r="I505" s="628">
        <v>6.91</v>
      </c>
      <c r="J505" s="32">
        <v>132</v>
      </c>
      <c r="K505" s="32" t="s">
        <v>124</v>
      </c>
      <c r="L505" s="32"/>
      <c r="M505" s="33" t="s">
        <v>116</v>
      </c>
      <c r="N505" s="33"/>
      <c r="O505" s="32">
        <v>60</v>
      </c>
      <c r="P505" s="99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5" s="636"/>
      <c r="R505" s="636"/>
      <c r="S505" s="636"/>
      <c r="T505" s="637"/>
      <c r="U505" s="34"/>
      <c r="V505" s="34"/>
      <c r="W505" s="35" t="s">
        <v>66</v>
      </c>
      <c r="X505" s="629">
        <v>44</v>
      </c>
      <c r="Y505" s="630">
        <f t="shared" si="69"/>
        <v>48</v>
      </c>
      <c r="Z505" s="36">
        <f>IFERROR(IF(Y505=0,"",ROUNDUP(Y505/H505,0)*0.00902),"")</f>
        <v>9.0200000000000002E-2</v>
      </c>
      <c r="AA505" s="56"/>
      <c r="AB505" s="57"/>
      <c r="AC505" s="585" t="s">
        <v>800</v>
      </c>
      <c r="AG505" s="64"/>
      <c r="AJ505" s="68"/>
      <c r="AK505" s="68">
        <v>0</v>
      </c>
      <c r="BB505" s="586" t="s">
        <v>1</v>
      </c>
      <c r="BM505" s="64">
        <f t="shared" si="71"/>
        <v>63.341666666666676</v>
      </c>
      <c r="BN505" s="64">
        <f t="shared" si="72"/>
        <v>69.100000000000009</v>
      </c>
      <c r="BO505" s="64">
        <f t="shared" si="73"/>
        <v>6.9444444444444461E-2</v>
      </c>
      <c r="BP505" s="64">
        <f t="shared" si="74"/>
        <v>7.575757575757576E-2</v>
      </c>
    </row>
    <row r="506" spans="1:68" x14ac:dyDescent="0.2">
      <c r="A506" s="642"/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4"/>
      <c r="P506" s="646" t="s">
        <v>71</v>
      </c>
      <c r="Q506" s="647"/>
      <c r="R506" s="647"/>
      <c r="S506" s="647"/>
      <c r="T506" s="647"/>
      <c r="U506" s="647"/>
      <c r="V506" s="648"/>
      <c r="W506" s="37" t="s">
        <v>72</v>
      </c>
      <c r="X506" s="631">
        <f>IFERROR(X497/H497,"0")+IFERROR(X498/H498,"0")+IFERROR(X499/H499,"0")+IFERROR(X500/H500,"0")+IFERROR(X501/H501,"0")+IFERROR(X502/H502,"0")+IFERROR(X503/H503,"0")+IFERROR(X504/H504,"0")+IFERROR(X505/H505,"0")</f>
        <v>41.553030303030297</v>
      </c>
      <c r="Y506" s="631">
        <f>IFERROR(Y497/H497,"0")+IFERROR(Y498/H498,"0")+IFERROR(Y499/H499,"0")+IFERROR(Y500/H500,"0")+IFERROR(Y501/H501,"0")+IFERROR(Y502/H502,"0")+IFERROR(Y503/H503,"0")+IFERROR(Y504/H504,"0")+IFERROR(Y505/H505,"0")</f>
        <v>43</v>
      </c>
      <c r="Z506" s="631">
        <f>IFERROR(IF(Z497="",0,Z497),"0")+IFERROR(IF(Z498="",0,Z498),"0")+IFERROR(IF(Z499="",0,Z499),"0")+IFERROR(IF(Z500="",0,Z500),"0")+IFERROR(IF(Z501="",0,Z501),"0")+IFERROR(IF(Z502="",0,Z502),"0")+IFERROR(IF(Z503="",0,Z503),"0")+IFERROR(IF(Z504="",0,Z504),"0")+IFERROR(IF(Z505="",0,Z505),"0")</f>
        <v>0.48488000000000003</v>
      </c>
      <c r="AA506" s="632"/>
      <c r="AB506" s="632"/>
      <c r="AC506" s="632"/>
    </row>
    <row r="507" spans="1:68" x14ac:dyDescent="0.2">
      <c r="A507" s="643"/>
      <c r="B507" s="643"/>
      <c r="C507" s="643"/>
      <c r="D507" s="643"/>
      <c r="E507" s="643"/>
      <c r="F507" s="643"/>
      <c r="G507" s="643"/>
      <c r="H507" s="643"/>
      <c r="I507" s="643"/>
      <c r="J507" s="643"/>
      <c r="K507" s="643"/>
      <c r="L507" s="643"/>
      <c r="M507" s="643"/>
      <c r="N507" s="643"/>
      <c r="O507" s="644"/>
      <c r="P507" s="646" t="s">
        <v>71</v>
      </c>
      <c r="Q507" s="647"/>
      <c r="R507" s="647"/>
      <c r="S507" s="647"/>
      <c r="T507" s="647"/>
      <c r="U507" s="647"/>
      <c r="V507" s="648"/>
      <c r="W507" s="37" t="s">
        <v>66</v>
      </c>
      <c r="X507" s="631">
        <f>IFERROR(SUM(X497:X505),"0")</f>
        <v>215</v>
      </c>
      <c r="Y507" s="631">
        <f>IFERROR(SUM(Y497:Y505),"0")</f>
        <v>222.24</v>
      </c>
      <c r="Z507" s="37"/>
      <c r="AA507" s="632"/>
      <c r="AB507" s="632"/>
      <c r="AC507" s="632"/>
    </row>
    <row r="508" spans="1:68" ht="14.25" hidden="1" customHeight="1" x14ac:dyDescent="0.25">
      <c r="A508" s="653" t="s">
        <v>145</v>
      </c>
      <c r="B508" s="643"/>
      <c r="C508" s="643"/>
      <c r="D508" s="643"/>
      <c r="E508" s="643"/>
      <c r="F508" s="643"/>
      <c r="G508" s="643"/>
      <c r="H508" s="643"/>
      <c r="I508" s="643"/>
      <c r="J508" s="643"/>
      <c r="K508" s="643"/>
      <c r="L508" s="643"/>
      <c r="M508" s="643"/>
      <c r="N508" s="643"/>
      <c r="O508" s="643"/>
      <c r="P508" s="643"/>
      <c r="Q508" s="643"/>
      <c r="R508" s="643"/>
      <c r="S508" s="643"/>
      <c r="T508" s="643"/>
      <c r="U508" s="643"/>
      <c r="V508" s="643"/>
      <c r="W508" s="643"/>
      <c r="X508" s="643"/>
      <c r="Y508" s="643"/>
      <c r="Z508" s="643"/>
      <c r="AA508" s="625"/>
      <c r="AB508" s="625"/>
      <c r="AC508" s="625"/>
    </row>
    <row r="509" spans="1:68" ht="16.5" customHeight="1" x14ac:dyDescent="0.25">
      <c r="A509" s="54" t="s">
        <v>807</v>
      </c>
      <c r="B509" s="54" t="s">
        <v>808</v>
      </c>
      <c r="C509" s="31">
        <v>4301020334</v>
      </c>
      <c r="D509" s="633">
        <v>4607091388930</v>
      </c>
      <c r="E509" s="634"/>
      <c r="F509" s="628">
        <v>0.88</v>
      </c>
      <c r="G509" s="32">
        <v>6</v>
      </c>
      <c r="H509" s="628">
        <v>5.28</v>
      </c>
      <c r="I509" s="628">
        <v>5.63</v>
      </c>
      <c r="J509" s="32">
        <v>104</v>
      </c>
      <c r="K509" s="32" t="s">
        <v>115</v>
      </c>
      <c r="L509" s="32"/>
      <c r="M509" s="33" t="s">
        <v>77</v>
      </c>
      <c r="N509" s="33"/>
      <c r="O509" s="32">
        <v>70</v>
      </c>
      <c r="P509" s="9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9" s="636"/>
      <c r="R509" s="636"/>
      <c r="S509" s="636"/>
      <c r="T509" s="637"/>
      <c r="U509" s="34"/>
      <c r="V509" s="34"/>
      <c r="W509" s="35" t="s">
        <v>66</v>
      </c>
      <c r="X509" s="629">
        <v>327</v>
      </c>
      <c r="Y509" s="630">
        <f>IFERROR(IF(X509="",0,CEILING((X509/$H509),1)*$H509),"")</f>
        <v>327.36</v>
      </c>
      <c r="Z509" s="36">
        <f>IFERROR(IF(Y509=0,"",ROUNDUP(Y509/H509,0)*0.01196),"")</f>
        <v>0.74151999999999996</v>
      </c>
      <c r="AA509" s="56"/>
      <c r="AB509" s="57"/>
      <c r="AC509" s="587" t="s">
        <v>809</v>
      </c>
      <c r="AG509" s="64"/>
      <c r="AJ509" s="68"/>
      <c r="AK509" s="68">
        <v>0</v>
      </c>
      <c r="BB509" s="588" t="s">
        <v>1</v>
      </c>
      <c r="BM509" s="64">
        <f>IFERROR(X509*I509/H509,"0")</f>
        <v>348.67613636363632</v>
      </c>
      <c r="BN509" s="64">
        <f>IFERROR(Y509*I509/H509,"0")</f>
        <v>349.06</v>
      </c>
      <c r="BO509" s="64">
        <f>IFERROR(1/J509*(X509/H509),"0")</f>
        <v>0.59549825174825177</v>
      </c>
      <c r="BP509" s="64">
        <f>IFERROR(1/J509*(Y509/H509),"0")</f>
        <v>0.59615384615384615</v>
      </c>
    </row>
    <row r="510" spans="1:68" ht="16.5" hidden="1" customHeight="1" x14ac:dyDescent="0.25">
      <c r="A510" s="54" t="s">
        <v>810</v>
      </c>
      <c r="B510" s="54" t="s">
        <v>811</v>
      </c>
      <c r="C510" s="31">
        <v>4301020374</v>
      </c>
      <c r="D510" s="633">
        <v>4680115886407</v>
      </c>
      <c r="E510" s="634"/>
      <c r="F510" s="628">
        <v>0.4</v>
      </c>
      <c r="G510" s="32">
        <v>6</v>
      </c>
      <c r="H510" s="628">
        <v>2.4</v>
      </c>
      <c r="I510" s="628">
        <v>2.58</v>
      </c>
      <c r="J510" s="32">
        <v>182</v>
      </c>
      <c r="K510" s="32" t="s">
        <v>76</v>
      </c>
      <c r="L510" s="32"/>
      <c r="M510" s="33" t="s">
        <v>116</v>
      </c>
      <c r="N510" s="33"/>
      <c r="O510" s="32">
        <v>70</v>
      </c>
      <c r="P510" s="97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0" s="636"/>
      <c r="R510" s="636"/>
      <c r="S510" s="636"/>
      <c r="T510" s="637"/>
      <c r="U510" s="34"/>
      <c r="V510" s="34"/>
      <c r="W510" s="35" t="s">
        <v>66</v>
      </c>
      <c r="X510" s="629">
        <v>0</v>
      </c>
      <c r="Y510" s="630">
        <f>IFERROR(IF(X510="",0,CEILING((X510/$H510),1)*$H510),"")</f>
        <v>0</v>
      </c>
      <c r="Z510" s="36" t="str">
        <f>IFERROR(IF(Y510=0,"",ROUNDUP(Y510/H510,0)*0.00651),"")</f>
        <v/>
      </c>
      <c r="AA510" s="56"/>
      <c r="AB510" s="57"/>
      <c r="AC510" s="589" t="s">
        <v>809</v>
      </c>
      <c r="AG510" s="64"/>
      <c r="AJ510" s="68"/>
      <c r="AK510" s="68">
        <v>0</v>
      </c>
      <c r="BB510" s="590" t="s">
        <v>1</v>
      </c>
      <c r="BM510" s="64">
        <f>IFERROR(X510*I510/H510,"0")</f>
        <v>0</v>
      </c>
      <c r="BN510" s="64">
        <f>IFERROR(Y510*I510/H510,"0")</f>
        <v>0</v>
      </c>
      <c r="BO510" s="64">
        <f>IFERROR(1/J510*(X510/H510),"0")</f>
        <v>0</v>
      </c>
      <c r="BP510" s="64">
        <f>IFERROR(1/J510*(Y510/H510),"0")</f>
        <v>0</v>
      </c>
    </row>
    <row r="511" spans="1:68" ht="16.5" customHeight="1" x14ac:dyDescent="0.25">
      <c r="A511" s="54" t="s">
        <v>812</v>
      </c>
      <c r="B511" s="54" t="s">
        <v>813</v>
      </c>
      <c r="C511" s="31">
        <v>4301020385</v>
      </c>
      <c r="D511" s="633">
        <v>4680115880054</v>
      </c>
      <c r="E511" s="634"/>
      <c r="F511" s="628">
        <v>0.6</v>
      </c>
      <c r="G511" s="32">
        <v>8</v>
      </c>
      <c r="H511" s="628">
        <v>4.8</v>
      </c>
      <c r="I511" s="628">
        <v>6.91</v>
      </c>
      <c r="J511" s="32">
        <v>132</v>
      </c>
      <c r="K511" s="32" t="s">
        <v>124</v>
      </c>
      <c r="L511" s="32"/>
      <c r="M511" s="33" t="s">
        <v>116</v>
      </c>
      <c r="N511" s="33"/>
      <c r="O511" s="32">
        <v>70</v>
      </c>
      <c r="P511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1" s="636"/>
      <c r="R511" s="636"/>
      <c r="S511" s="636"/>
      <c r="T511" s="637"/>
      <c r="U511" s="34"/>
      <c r="V511" s="34"/>
      <c r="W511" s="35" t="s">
        <v>66</v>
      </c>
      <c r="X511" s="629">
        <v>4</v>
      </c>
      <c r="Y511" s="630">
        <f>IFERROR(IF(X511="",0,CEILING((X511/$H511),1)*$H511),"")</f>
        <v>4.8</v>
      </c>
      <c r="Z511" s="36">
        <f>IFERROR(IF(Y511=0,"",ROUNDUP(Y511/H511,0)*0.00902),"")</f>
        <v>9.0200000000000002E-3</v>
      </c>
      <c r="AA511" s="56"/>
      <c r="AB511" s="57"/>
      <c r="AC511" s="591" t="s">
        <v>809</v>
      </c>
      <c r="AG511" s="64"/>
      <c r="AJ511" s="68"/>
      <c r="AK511" s="68">
        <v>0</v>
      </c>
      <c r="BB511" s="592" t="s">
        <v>1</v>
      </c>
      <c r="BM511" s="64">
        <f>IFERROR(X511*I511/H511,"0")</f>
        <v>5.7583333333333337</v>
      </c>
      <c r="BN511" s="64">
        <f>IFERROR(Y511*I511/H511,"0")</f>
        <v>6.91</v>
      </c>
      <c r="BO511" s="64">
        <f>IFERROR(1/J511*(X511/H511),"0")</f>
        <v>6.3131313131313139E-3</v>
      </c>
      <c r="BP511" s="64">
        <f>IFERROR(1/J511*(Y511/H511),"0")</f>
        <v>7.575757575757576E-3</v>
      </c>
    </row>
    <row r="512" spans="1:68" x14ac:dyDescent="0.2">
      <c r="A512" s="642"/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4"/>
      <c r="P512" s="646" t="s">
        <v>71</v>
      </c>
      <c r="Q512" s="647"/>
      <c r="R512" s="647"/>
      <c r="S512" s="647"/>
      <c r="T512" s="647"/>
      <c r="U512" s="647"/>
      <c r="V512" s="648"/>
      <c r="W512" s="37" t="s">
        <v>72</v>
      </c>
      <c r="X512" s="631">
        <f>IFERROR(X509/H509,"0")+IFERROR(X510/H510,"0")+IFERROR(X511/H511,"0")</f>
        <v>62.765151515151516</v>
      </c>
      <c r="Y512" s="631">
        <f>IFERROR(Y509/H509,"0")+IFERROR(Y510/H510,"0")+IFERROR(Y511/H511,"0")</f>
        <v>63</v>
      </c>
      <c r="Z512" s="631">
        <f>IFERROR(IF(Z509="",0,Z509),"0")+IFERROR(IF(Z510="",0,Z510),"0")+IFERROR(IF(Z511="",0,Z511),"0")</f>
        <v>0.75053999999999998</v>
      </c>
      <c r="AA512" s="632"/>
      <c r="AB512" s="632"/>
      <c r="AC512" s="632"/>
    </row>
    <row r="513" spans="1:68" x14ac:dyDescent="0.2">
      <c r="A513" s="643"/>
      <c r="B513" s="643"/>
      <c r="C513" s="643"/>
      <c r="D513" s="643"/>
      <c r="E513" s="643"/>
      <c r="F513" s="643"/>
      <c r="G513" s="643"/>
      <c r="H513" s="643"/>
      <c r="I513" s="643"/>
      <c r="J513" s="643"/>
      <c r="K513" s="643"/>
      <c r="L513" s="643"/>
      <c r="M513" s="643"/>
      <c r="N513" s="643"/>
      <c r="O513" s="644"/>
      <c r="P513" s="646" t="s">
        <v>71</v>
      </c>
      <c r="Q513" s="647"/>
      <c r="R513" s="647"/>
      <c r="S513" s="647"/>
      <c r="T513" s="647"/>
      <c r="U513" s="647"/>
      <c r="V513" s="648"/>
      <c r="W513" s="37" t="s">
        <v>66</v>
      </c>
      <c r="X513" s="631">
        <f>IFERROR(SUM(X509:X511),"0")</f>
        <v>331</v>
      </c>
      <c r="Y513" s="631">
        <f>IFERROR(SUM(Y509:Y511),"0")</f>
        <v>332.16</v>
      </c>
      <c r="Z513" s="37"/>
      <c r="AA513" s="632"/>
      <c r="AB513" s="632"/>
      <c r="AC513" s="632"/>
    </row>
    <row r="514" spans="1:68" ht="14.25" hidden="1" customHeight="1" x14ac:dyDescent="0.25">
      <c r="A514" s="653" t="s">
        <v>61</v>
      </c>
      <c r="B514" s="643"/>
      <c r="C514" s="643"/>
      <c r="D514" s="643"/>
      <c r="E514" s="643"/>
      <c r="F514" s="643"/>
      <c r="G514" s="643"/>
      <c r="H514" s="643"/>
      <c r="I514" s="643"/>
      <c r="J514" s="643"/>
      <c r="K514" s="643"/>
      <c r="L514" s="643"/>
      <c r="M514" s="643"/>
      <c r="N514" s="643"/>
      <c r="O514" s="643"/>
      <c r="P514" s="643"/>
      <c r="Q514" s="643"/>
      <c r="R514" s="643"/>
      <c r="S514" s="643"/>
      <c r="T514" s="643"/>
      <c r="U514" s="643"/>
      <c r="V514" s="643"/>
      <c r="W514" s="643"/>
      <c r="X514" s="643"/>
      <c r="Y514" s="643"/>
      <c r="Z514" s="643"/>
      <c r="AA514" s="625"/>
      <c r="AB514" s="625"/>
      <c r="AC514" s="625"/>
    </row>
    <row r="515" spans="1:68" ht="27" customHeight="1" x14ac:dyDescent="0.25">
      <c r="A515" s="54" t="s">
        <v>814</v>
      </c>
      <c r="B515" s="54" t="s">
        <v>815</v>
      </c>
      <c r="C515" s="31">
        <v>4301031349</v>
      </c>
      <c r="D515" s="633">
        <v>4680115883116</v>
      </c>
      <c r="E515" s="634"/>
      <c r="F515" s="628">
        <v>0.88</v>
      </c>
      <c r="G515" s="32">
        <v>6</v>
      </c>
      <c r="H515" s="628">
        <v>5.28</v>
      </c>
      <c r="I515" s="628">
        <v>5.63</v>
      </c>
      <c r="J515" s="32">
        <v>104</v>
      </c>
      <c r="K515" s="32" t="s">
        <v>115</v>
      </c>
      <c r="L515" s="32"/>
      <c r="M515" s="33" t="s">
        <v>116</v>
      </c>
      <c r="N515" s="33"/>
      <c r="O515" s="32">
        <v>70</v>
      </c>
      <c r="P515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66</v>
      </c>
      <c r="X515" s="629">
        <v>162</v>
      </c>
      <c r="Y515" s="630">
        <f t="shared" ref="Y515:Y521" si="75">IFERROR(IF(X515="",0,CEILING((X515/$H515),1)*$H515),"")</f>
        <v>163.68</v>
      </c>
      <c r="Z515" s="36">
        <f>IFERROR(IF(Y515=0,"",ROUNDUP(Y515/H515,0)*0.01196),"")</f>
        <v>0.37075999999999998</v>
      </c>
      <c r="AA515" s="56"/>
      <c r="AB515" s="57"/>
      <c r="AC515" s="593" t="s">
        <v>816</v>
      </c>
      <c r="AG515" s="64"/>
      <c r="AJ515" s="68"/>
      <c r="AK515" s="68">
        <v>0</v>
      </c>
      <c r="BB515" s="594" t="s">
        <v>1</v>
      </c>
      <c r="BM515" s="64">
        <f t="shared" ref="BM515:BM521" si="76">IFERROR(X515*I515/H515,"0")</f>
        <v>172.73863636363635</v>
      </c>
      <c r="BN515" s="64">
        <f t="shared" ref="BN515:BN521" si="77">IFERROR(Y515*I515/H515,"0")</f>
        <v>174.53</v>
      </c>
      <c r="BO515" s="64">
        <f t="shared" ref="BO515:BO521" si="78">IFERROR(1/J515*(X515/H515),"0")</f>
        <v>0.2950174825174825</v>
      </c>
      <c r="BP515" s="64">
        <f t="shared" ref="BP515:BP521" si="79">IFERROR(1/J515*(Y515/H515),"0")</f>
        <v>0.29807692307692307</v>
      </c>
    </row>
    <row r="516" spans="1:68" ht="27" customHeight="1" x14ac:dyDescent="0.25">
      <c r="A516" s="54" t="s">
        <v>817</v>
      </c>
      <c r="B516" s="54" t="s">
        <v>818</v>
      </c>
      <c r="C516" s="31">
        <v>4301031350</v>
      </c>
      <c r="D516" s="633">
        <v>4680115883093</v>
      </c>
      <c r="E516" s="634"/>
      <c r="F516" s="628">
        <v>0.88</v>
      </c>
      <c r="G516" s="32">
        <v>6</v>
      </c>
      <c r="H516" s="628">
        <v>5.28</v>
      </c>
      <c r="I516" s="628">
        <v>5.63</v>
      </c>
      <c r="J516" s="32">
        <v>104</v>
      </c>
      <c r="K516" s="32" t="s">
        <v>115</v>
      </c>
      <c r="L516" s="32"/>
      <c r="M516" s="33" t="s">
        <v>65</v>
      </c>
      <c r="N516" s="33"/>
      <c r="O516" s="32">
        <v>70</v>
      </c>
      <c r="P516" s="82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6" s="636"/>
      <c r="R516" s="636"/>
      <c r="S516" s="636"/>
      <c r="T516" s="637"/>
      <c r="U516" s="34"/>
      <c r="V516" s="34"/>
      <c r="W516" s="35" t="s">
        <v>66</v>
      </c>
      <c r="X516" s="629">
        <v>70</v>
      </c>
      <c r="Y516" s="630">
        <f t="shared" si="75"/>
        <v>73.92</v>
      </c>
      <c r="Z516" s="36">
        <f>IFERROR(IF(Y516=0,"",ROUNDUP(Y516/H516,0)*0.01196),"")</f>
        <v>0.16744000000000001</v>
      </c>
      <c r="AA516" s="56"/>
      <c r="AB516" s="57"/>
      <c r="AC516" s="595" t="s">
        <v>819</v>
      </c>
      <c r="AG516" s="64"/>
      <c r="AJ516" s="68"/>
      <c r="AK516" s="68">
        <v>0</v>
      </c>
      <c r="BB516" s="596" t="s">
        <v>1</v>
      </c>
      <c r="BM516" s="64">
        <f t="shared" si="76"/>
        <v>74.640151515151501</v>
      </c>
      <c r="BN516" s="64">
        <f t="shared" si="77"/>
        <v>78.819999999999993</v>
      </c>
      <c r="BO516" s="64">
        <f t="shared" si="78"/>
        <v>0.12747668997668998</v>
      </c>
      <c r="BP516" s="64">
        <f t="shared" si="79"/>
        <v>0.13461538461538464</v>
      </c>
    </row>
    <row r="517" spans="1:68" ht="27" customHeight="1" x14ac:dyDescent="0.25">
      <c r="A517" s="54" t="s">
        <v>820</v>
      </c>
      <c r="B517" s="54" t="s">
        <v>821</v>
      </c>
      <c r="C517" s="31">
        <v>4301031353</v>
      </c>
      <c r="D517" s="633">
        <v>4680115883109</v>
      </c>
      <c r="E517" s="634"/>
      <c r="F517" s="628">
        <v>0.88</v>
      </c>
      <c r="G517" s="32">
        <v>6</v>
      </c>
      <c r="H517" s="628">
        <v>5.28</v>
      </c>
      <c r="I517" s="628">
        <v>5.63</v>
      </c>
      <c r="J517" s="32">
        <v>104</v>
      </c>
      <c r="K517" s="32" t="s">
        <v>115</v>
      </c>
      <c r="L517" s="32"/>
      <c r="M517" s="33" t="s">
        <v>65</v>
      </c>
      <c r="N517" s="33"/>
      <c r="O517" s="32">
        <v>70</v>
      </c>
      <c r="P517" s="8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7" s="636"/>
      <c r="R517" s="636"/>
      <c r="S517" s="636"/>
      <c r="T517" s="637"/>
      <c r="U517" s="34"/>
      <c r="V517" s="34"/>
      <c r="W517" s="35" t="s">
        <v>66</v>
      </c>
      <c r="X517" s="629">
        <v>70</v>
      </c>
      <c r="Y517" s="630">
        <f t="shared" si="75"/>
        <v>73.92</v>
      </c>
      <c r="Z517" s="36">
        <f>IFERROR(IF(Y517=0,"",ROUNDUP(Y517/H517,0)*0.01196),"")</f>
        <v>0.16744000000000001</v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si="76"/>
        <v>74.640151515151501</v>
      </c>
      <c r="BN517" s="64">
        <f t="shared" si="77"/>
        <v>78.819999999999993</v>
      </c>
      <c r="BO517" s="64">
        <f t="shared" si="78"/>
        <v>0.12747668997668998</v>
      </c>
      <c r="BP517" s="64">
        <f t="shared" si="79"/>
        <v>0.13461538461538464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4301031419</v>
      </c>
      <c r="D518" s="633">
        <v>4680115882072</v>
      </c>
      <c r="E518" s="634"/>
      <c r="F518" s="628">
        <v>0.6</v>
      </c>
      <c r="G518" s="32">
        <v>8</v>
      </c>
      <c r="H518" s="628">
        <v>4.8</v>
      </c>
      <c r="I518" s="628">
        <v>6.91</v>
      </c>
      <c r="J518" s="32">
        <v>132</v>
      </c>
      <c r="K518" s="32" t="s">
        <v>124</v>
      </c>
      <c r="L518" s="32"/>
      <c r="M518" s="33" t="s">
        <v>116</v>
      </c>
      <c r="N518" s="33"/>
      <c r="O518" s="32">
        <v>70</v>
      </c>
      <c r="P518" s="65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8" s="636"/>
      <c r="R518" s="636"/>
      <c r="S518" s="636"/>
      <c r="T518" s="637"/>
      <c r="U518" s="34"/>
      <c r="V518" s="34"/>
      <c r="W518" s="35" t="s">
        <v>66</v>
      </c>
      <c r="X518" s="629">
        <v>0</v>
      </c>
      <c r="Y518" s="630">
        <f t="shared" si="75"/>
        <v>0</v>
      </c>
      <c r="Z518" s="36" t="str">
        <f>IFERROR(IF(Y518=0,"",ROUNDUP(Y518/H518,0)*0.00902),"")</f>
        <v/>
      </c>
      <c r="AA518" s="56"/>
      <c r="AB518" s="57"/>
      <c r="AC518" s="599" t="s">
        <v>816</v>
      </c>
      <c r="AG518" s="64"/>
      <c r="AJ518" s="68"/>
      <c r="AK518" s="68">
        <v>0</v>
      </c>
      <c r="BB518" s="600" t="s">
        <v>1</v>
      </c>
      <c r="BM518" s="64">
        <f t="shared" si="76"/>
        <v>0</v>
      </c>
      <c r="BN518" s="64">
        <f t="shared" si="77"/>
        <v>0</v>
      </c>
      <c r="BO518" s="64">
        <f t="shared" si="78"/>
        <v>0</v>
      </c>
      <c r="BP518" s="64">
        <f t="shared" si="79"/>
        <v>0</v>
      </c>
    </row>
    <row r="519" spans="1:68" ht="27" hidden="1" customHeight="1" x14ac:dyDescent="0.25">
      <c r="A519" s="54" t="s">
        <v>825</v>
      </c>
      <c r="B519" s="54" t="s">
        <v>826</v>
      </c>
      <c r="C519" s="31">
        <v>4301031352</v>
      </c>
      <c r="D519" s="633">
        <v>4680115882102</v>
      </c>
      <c r="E519" s="634"/>
      <c r="F519" s="628">
        <v>0.6</v>
      </c>
      <c r="G519" s="32">
        <v>6</v>
      </c>
      <c r="H519" s="628">
        <v>3.6</v>
      </c>
      <c r="I519" s="628">
        <v>3.79</v>
      </c>
      <c r="J519" s="32">
        <v>132</v>
      </c>
      <c r="K519" s="32" t="s">
        <v>124</v>
      </c>
      <c r="L519" s="32"/>
      <c r="M519" s="33" t="s">
        <v>65</v>
      </c>
      <c r="N519" s="33"/>
      <c r="O519" s="32">
        <v>70</v>
      </c>
      <c r="P519" s="8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66</v>
      </c>
      <c r="X519" s="629">
        <v>0</v>
      </c>
      <c r="Y519" s="630">
        <f t="shared" si="75"/>
        <v>0</v>
      </c>
      <c r="Z519" s="36" t="str">
        <f>IFERROR(IF(Y519=0,"",ROUNDUP(Y519/H519,0)*0.00902),"")</f>
        <v/>
      </c>
      <c r="AA519" s="56"/>
      <c r="AB519" s="57"/>
      <c r="AC519" s="601" t="s">
        <v>819</v>
      </c>
      <c r="AG519" s="64"/>
      <c r="AJ519" s="68"/>
      <c r="AK519" s="68">
        <v>0</v>
      </c>
      <c r="BB519" s="602" t="s">
        <v>1</v>
      </c>
      <c r="BM519" s="64">
        <f t="shared" si="76"/>
        <v>0</v>
      </c>
      <c r="BN519" s="64">
        <f t="shared" si="77"/>
        <v>0</v>
      </c>
      <c r="BO519" s="64">
        <f t="shared" si="78"/>
        <v>0</v>
      </c>
      <c r="BP519" s="64">
        <f t="shared" si="79"/>
        <v>0</v>
      </c>
    </row>
    <row r="520" spans="1:68" ht="27" hidden="1" customHeight="1" x14ac:dyDescent="0.25">
      <c r="A520" s="54" t="s">
        <v>825</v>
      </c>
      <c r="B520" s="54" t="s">
        <v>827</v>
      </c>
      <c r="C520" s="31">
        <v>4301031418</v>
      </c>
      <c r="D520" s="633">
        <v>4680115882102</v>
      </c>
      <c r="E520" s="634"/>
      <c r="F520" s="628">
        <v>0.6</v>
      </c>
      <c r="G520" s="32">
        <v>8</v>
      </c>
      <c r="H520" s="628">
        <v>4.8</v>
      </c>
      <c r="I520" s="628">
        <v>6.67</v>
      </c>
      <c r="J520" s="32">
        <v>132</v>
      </c>
      <c r="K520" s="32" t="s">
        <v>124</v>
      </c>
      <c r="L520" s="32"/>
      <c r="M520" s="33" t="s">
        <v>65</v>
      </c>
      <c r="N520" s="33"/>
      <c r="O520" s="32">
        <v>70</v>
      </c>
      <c r="P520" s="6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0" s="636"/>
      <c r="R520" s="636"/>
      <c r="S520" s="636"/>
      <c r="T520" s="637"/>
      <c r="U520" s="34"/>
      <c r="V520" s="34"/>
      <c r="W520" s="35" t="s">
        <v>66</v>
      </c>
      <c r="X520" s="629">
        <v>0</v>
      </c>
      <c r="Y520" s="630">
        <f t="shared" si="75"/>
        <v>0</v>
      </c>
      <c r="Z520" s="36" t="str">
        <f>IFERROR(IF(Y520=0,"",ROUNDUP(Y520/H520,0)*0.00902),"")</f>
        <v/>
      </c>
      <c r="AA520" s="56"/>
      <c r="AB520" s="57"/>
      <c r="AC520" s="603" t="s">
        <v>819</v>
      </c>
      <c r="AG520" s="64"/>
      <c r="AJ520" s="68"/>
      <c r="AK520" s="68">
        <v>0</v>
      </c>
      <c r="BB520" s="604" t="s">
        <v>1</v>
      </c>
      <c r="BM520" s="64">
        <f t="shared" si="76"/>
        <v>0</v>
      </c>
      <c r="BN520" s="64">
        <f t="shared" si="77"/>
        <v>0</v>
      </c>
      <c r="BO520" s="64">
        <f t="shared" si="78"/>
        <v>0</v>
      </c>
      <c r="BP520" s="64">
        <f t="shared" si="79"/>
        <v>0</v>
      </c>
    </row>
    <row r="521" spans="1:68" ht="27" hidden="1" customHeight="1" x14ac:dyDescent="0.25">
      <c r="A521" s="54" t="s">
        <v>828</v>
      </c>
      <c r="B521" s="54" t="s">
        <v>829</v>
      </c>
      <c r="C521" s="31">
        <v>4301031417</v>
      </c>
      <c r="D521" s="633">
        <v>4680115882096</v>
      </c>
      <c r="E521" s="634"/>
      <c r="F521" s="628">
        <v>0.6</v>
      </c>
      <c r="G521" s="32">
        <v>8</v>
      </c>
      <c r="H521" s="628">
        <v>4.8</v>
      </c>
      <c r="I521" s="628">
        <v>6.67</v>
      </c>
      <c r="J521" s="32">
        <v>132</v>
      </c>
      <c r="K521" s="32" t="s">
        <v>124</v>
      </c>
      <c r="L521" s="32"/>
      <c r="M521" s="33" t="s">
        <v>65</v>
      </c>
      <c r="N521" s="33"/>
      <c r="O521" s="32">
        <v>70</v>
      </c>
      <c r="P521" s="69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1" s="636"/>
      <c r="R521" s="636"/>
      <c r="S521" s="636"/>
      <c r="T521" s="637"/>
      <c r="U521" s="34"/>
      <c r="V521" s="34"/>
      <c r="W521" s="35" t="s">
        <v>66</v>
      </c>
      <c r="X521" s="629">
        <v>0</v>
      </c>
      <c r="Y521" s="630">
        <f t="shared" si="75"/>
        <v>0</v>
      </c>
      <c r="Z521" s="36" t="str">
        <f>IFERROR(IF(Y521=0,"",ROUNDUP(Y521/H521,0)*0.00902),"")</f>
        <v/>
      </c>
      <c r="AA521" s="56"/>
      <c r="AB521" s="57"/>
      <c r="AC521" s="605" t="s">
        <v>822</v>
      </c>
      <c r="AG521" s="64"/>
      <c r="AJ521" s="68"/>
      <c r="AK521" s="68">
        <v>0</v>
      </c>
      <c r="BB521" s="606" t="s">
        <v>1</v>
      </c>
      <c r="BM521" s="64">
        <f t="shared" si="76"/>
        <v>0</v>
      </c>
      <c r="BN521" s="64">
        <f t="shared" si="77"/>
        <v>0</v>
      </c>
      <c r="BO521" s="64">
        <f t="shared" si="78"/>
        <v>0</v>
      </c>
      <c r="BP521" s="64">
        <f t="shared" si="79"/>
        <v>0</v>
      </c>
    </row>
    <row r="522" spans="1:68" x14ac:dyDescent="0.2">
      <c r="A522" s="642"/>
      <c r="B522" s="643"/>
      <c r="C522" s="643"/>
      <c r="D522" s="643"/>
      <c r="E522" s="643"/>
      <c r="F522" s="643"/>
      <c r="G522" s="643"/>
      <c r="H522" s="643"/>
      <c r="I522" s="643"/>
      <c r="J522" s="643"/>
      <c r="K522" s="643"/>
      <c r="L522" s="643"/>
      <c r="M522" s="643"/>
      <c r="N522" s="643"/>
      <c r="O522" s="644"/>
      <c r="P522" s="646" t="s">
        <v>71</v>
      </c>
      <c r="Q522" s="647"/>
      <c r="R522" s="647"/>
      <c r="S522" s="647"/>
      <c r="T522" s="647"/>
      <c r="U522" s="647"/>
      <c r="V522" s="648"/>
      <c r="W522" s="37" t="s">
        <v>72</v>
      </c>
      <c r="X522" s="631">
        <f>IFERROR(X515/H515,"0")+IFERROR(X516/H516,"0")+IFERROR(X517/H517,"0")+IFERROR(X518/H518,"0")+IFERROR(X519/H519,"0")+IFERROR(X520/H520,"0")+IFERROR(X521/H521,"0")</f>
        <v>57.196969696969695</v>
      </c>
      <c r="Y522" s="631">
        <f>IFERROR(Y515/H515,"0")+IFERROR(Y516/H516,"0")+IFERROR(Y517/H517,"0")+IFERROR(Y518/H518,"0")+IFERROR(Y519/H519,"0")+IFERROR(Y520/H520,"0")+IFERROR(Y521/H521,"0")</f>
        <v>59</v>
      </c>
      <c r="Z522" s="631">
        <f>IFERROR(IF(Z515="",0,Z515),"0")+IFERROR(IF(Z516="",0,Z516),"0")+IFERROR(IF(Z517="",0,Z517),"0")+IFERROR(IF(Z518="",0,Z518),"0")+IFERROR(IF(Z519="",0,Z519),"0")+IFERROR(IF(Z520="",0,Z520),"0")+IFERROR(IF(Z521="",0,Z521),"0")</f>
        <v>0.70564000000000004</v>
      </c>
      <c r="AA522" s="632"/>
      <c r="AB522" s="632"/>
      <c r="AC522" s="632"/>
    </row>
    <row r="523" spans="1:68" x14ac:dyDescent="0.2">
      <c r="A523" s="643"/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4"/>
      <c r="P523" s="646" t="s">
        <v>71</v>
      </c>
      <c r="Q523" s="647"/>
      <c r="R523" s="647"/>
      <c r="S523" s="647"/>
      <c r="T523" s="647"/>
      <c r="U523" s="647"/>
      <c r="V523" s="648"/>
      <c r="W523" s="37" t="s">
        <v>66</v>
      </c>
      <c r="X523" s="631">
        <f>IFERROR(SUM(X515:X521),"0")</f>
        <v>302</v>
      </c>
      <c r="Y523" s="631">
        <f>IFERROR(SUM(Y515:Y521),"0")</f>
        <v>311.52000000000004</v>
      </c>
      <c r="Z523" s="37"/>
      <c r="AA523" s="632"/>
      <c r="AB523" s="632"/>
      <c r="AC523" s="632"/>
    </row>
    <row r="524" spans="1:68" ht="27.75" hidden="1" customHeight="1" x14ac:dyDescent="0.2">
      <c r="A524" s="649" t="s">
        <v>830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48"/>
      <c r="AB524" s="48"/>
      <c r="AC524" s="48"/>
    </row>
    <row r="525" spans="1:68" ht="16.5" hidden="1" customHeight="1" x14ac:dyDescent="0.25">
      <c r="A525" s="677" t="s">
        <v>830</v>
      </c>
      <c r="B525" s="643"/>
      <c r="C525" s="643"/>
      <c r="D525" s="643"/>
      <c r="E525" s="643"/>
      <c r="F525" s="643"/>
      <c r="G525" s="643"/>
      <c r="H525" s="643"/>
      <c r="I525" s="643"/>
      <c r="J525" s="643"/>
      <c r="K525" s="643"/>
      <c r="L525" s="643"/>
      <c r="M525" s="643"/>
      <c r="N525" s="643"/>
      <c r="O525" s="643"/>
      <c r="P525" s="643"/>
      <c r="Q525" s="643"/>
      <c r="R525" s="643"/>
      <c r="S525" s="643"/>
      <c r="T525" s="643"/>
      <c r="U525" s="643"/>
      <c r="V525" s="643"/>
      <c r="W525" s="643"/>
      <c r="X525" s="643"/>
      <c r="Y525" s="643"/>
      <c r="Z525" s="643"/>
      <c r="AA525" s="624"/>
      <c r="AB525" s="624"/>
      <c r="AC525" s="624"/>
    </row>
    <row r="526" spans="1:68" ht="14.25" hidden="1" customHeight="1" x14ac:dyDescent="0.25">
      <c r="A526" s="653" t="s">
        <v>112</v>
      </c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43"/>
      <c r="P526" s="643"/>
      <c r="Q526" s="643"/>
      <c r="R526" s="643"/>
      <c r="S526" s="643"/>
      <c r="T526" s="643"/>
      <c r="U526" s="643"/>
      <c r="V526" s="643"/>
      <c r="W526" s="643"/>
      <c r="X526" s="643"/>
      <c r="Y526" s="643"/>
      <c r="Z526" s="643"/>
      <c r="AA526" s="625"/>
      <c r="AB526" s="625"/>
      <c r="AC526" s="625"/>
    </row>
    <row r="527" spans="1:68" ht="27" hidden="1" customHeight="1" x14ac:dyDescent="0.25">
      <c r="A527" s="54" t="s">
        <v>831</v>
      </c>
      <c r="B527" s="54" t="s">
        <v>832</v>
      </c>
      <c r="C527" s="31">
        <v>4301011584</v>
      </c>
      <c r="D527" s="633">
        <v>4640242180564</v>
      </c>
      <c r="E527" s="634"/>
      <c r="F527" s="628">
        <v>1.5</v>
      </c>
      <c r="G527" s="32">
        <v>8</v>
      </c>
      <c r="H527" s="628">
        <v>12</v>
      </c>
      <c r="I527" s="628">
        <v>12.41</v>
      </c>
      <c r="J527" s="32">
        <v>64</v>
      </c>
      <c r="K527" s="32" t="s">
        <v>115</v>
      </c>
      <c r="L527" s="32"/>
      <c r="M527" s="33" t="s">
        <v>116</v>
      </c>
      <c r="N527" s="33"/>
      <c r="O527" s="32">
        <v>50</v>
      </c>
      <c r="P527" s="71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7" s="636"/>
      <c r="R527" s="636"/>
      <c r="S527" s="636"/>
      <c r="T527" s="637"/>
      <c r="U527" s="34"/>
      <c r="V527" s="34"/>
      <c r="W527" s="35" t="s">
        <v>66</v>
      </c>
      <c r="X527" s="629">
        <v>0</v>
      </c>
      <c r="Y527" s="630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607" t="s">
        <v>833</v>
      </c>
      <c r="AG527" s="64"/>
      <c r="AJ527" s="68"/>
      <c r="AK527" s="68">
        <v>0</v>
      </c>
      <c r="BB527" s="608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idden="1" x14ac:dyDescent="0.2">
      <c r="A528" s="642"/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4"/>
      <c r="P528" s="646" t="s">
        <v>71</v>
      </c>
      <c r="Q528" s="647"/>
      <c r="R528" s="647"/>
      <c r="S528" s="647"/>
      <c r="T528" s="647"/>
      <c r="U528" s="647"/>
      <c r="V528" s="648"/>
      <c r="W528" s="37" t="s">
        <v>72</v>
      </c>
      <c r="X528" s="631">
        <f>IFERROR(X527/H527,"0")</f>
        <v>0</v>
      </c>
      <c r="Y528" s="631">
        <f>IFERROR(Y527/H527,"0")</f>
        <v>0</v>
      </c>
      <c r="Z528" s="631">
        <f>IFERROR(IF(Z527="",0,Z527),"0")</f>
        <v>0</v>
      </c>
      <c r="AA528" s="632"/>
      <c r="AB528" s="632"/>
      <c r="AC528" s="632"/>
    </row>
    <row r="529" spans="1:68" hidden="1" x14ac:dyDescent="0.2">
      <c r="A529" s="643"/>
      <c r="B529" s="643"/>
      <c r="C529" s="643"/>
      <c r="D529" s="643"/>
      <c r="E529" s="643"/>
      <c r="F529" s="643"/>
      <c r="G529" s="643"/>
      <c r="H529" s="643"/>
      <c r="I529" s="643"/>
      <c r="J529" s="643"/>
      <c r="K529" s="643"/>
      <c r="L529" s="643"/>
      <c r="M529" s="643"/>
      <c r="N529" s="643"/>
      <c r="O529" s="644"/>
      <c r="P529" s="646" t="s">
        <v>71</v>
      </c>
      <c r="Q529" s="647"/>
      <c r="R529" s="647"/>
      <c r="S529" s="647"/>
      <c r="T529" s="647"/>
      <c r="U529" s="647"/>
      <c r="V529" s="648"/>
      <c r="W529" s="37" t="s">
        <v>66</v>
      </c>
      <c r="X529" s="631">
        <f>IFERROR(SUM(X527:X527),"0")</f>
        <v>0</v>
      </c>
      <c r="Y529" s="631">
        <f>IFERROR(SUM(Y527:Y527),"0")</f>
        <v>0</v>
      </c>
      <c r="Z529" s="37"/>
      <c r="AA529" s="632"/>
      <c r="AB529" s="632"/>
      <c r="AC529" s="632"/>
    </row>
    <row r="530" spans="1:68" ht="14.25" hidden="1" customHeight="1" x14ac:dyDescent="0.25">
      <c r="A530" s="653" t="s">
        <v>145</v>
      </c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43"/>
      <c r="P530" s="643"/>
      <c r="Q530" s="643"/>
      <c r="R530" s="643"/>
      <c r="S530" s="643"/>
      <c r="T530" s="643"/>
      <c r="U530" s="643"/>
      <c r="V530" s="643"/>
      <c r="W530" s="643"/>
      <c r="X530" s="643"/>
      <c r="Y530" s="643"/>
      <c r="Z530" s="643"/>
      <c r="AA530" s="625"/>
      <c r="AB530" s="625"/>
      <c r="AC530" s="625"/>
    </row>
    <row r="531" spans="1:68" ht="27" hidden="1" customHeight="1" x14ac:dyDescent="0.25">
      <c r="A531" s="54" t="s">
        <v>834</v>
      </c>
      <c r="B531" s="54" t="s">
        <v>835</v>
      </c>
      <c r="C531" s="31">
        <v>4301020400</v>
      </c>
      <c r="D531" s="633">
        <v>4640242180519</v>
      </c>
      <c r="E531" s="634"/>
      <c r="F531" s="628">
        <v>1.5</v>
      </c>
      <c r="G531" s="32">
        <v>8</v>
      </c>
      <c r="H531" s="628">
        <v>12</v>
      </c>
      <c r="I531" s="628">
        <v>12.41</v>
      </c>
      <c r="J531" s="32">
        <v>64</v>
      </c>
      <c r="K531" s="32" t="s">
        <v>115</v>
      </c>
      <c r="L531" s="32"/>
      <c r="M531" s="33" t="s">
        <v>116</v>
      </c>
      <c r="N531" s="33"/>
      <c r="O531" s="32">
        <v>50</v>
      </c>
      <c r="P531" s="6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1" s="636"/>
      <c r="R531" s="636"/>
      <c r="S531" s="636"/>
      <c r="T531" s="637"/>
      <c r="U531" s="34"/>
      <c r="V531" s="34"/>
      <c r="W531" s="35" t="s">
        <v>66</v>
      </c>
      <c r="X531" s="629">
        <v>0</v>
      </c>
      <c r="Y531" s="630">
        <f>IFERROR(IF(X531="",0,CEILING((X531/$H531),1)*$H531),"")</f>
        <v>0</v>
      </c>
      <c r="Z531" s="36" t="str">
        <f>IFERROR(IF(Y531=0,"",ROUNDUP(Y531/H531,0)*0.01898),"")</f>
        <v/>
      </c>
      <c r="AA531" s="56"/>
      <c r="AB531" s="57"/>
      <c r="AC531" s="609" t="s">
        <v>836</v>
      </c>
      <c r="AG531" s="64"/>
      <c r="AJ531" s="68"/>
      <c r="AK531" s="68">
        <v>0</v>
      </c>
      <c r="BB531" s="610" t="s">
        <v>1</v>
      </c>
      <c r="BM531" s="64">
        <f>IFERROR(X531*I531/H531,"0")</f>
        <v>0</v>
      </c>
      <c r="BN531" s="64">
        <f>IFERROR(Y531*I531/H531,"0")</f>
        <v>0</v>
      </c>
      <c r="BO531" s="64">
        <f>IFERROR(1/J531*(X531/H531),"0")</f>
        <v>0</v>
      </c>
      <c r="BP531" s="64">
        <f>IFERROR(1/J531*(Y531/H531),"0")</f>
        <v>0</v>
      </c>
    </row>
    <row r="532" spans="1:68" hidden="1" x14ac:dyDescent="0.2">
      <c r="A532" s="642"/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4"/>
      <c r="P532" s="646" t="s">
        <v>71</v>
      </c>
      <c r="Q532" s="647"/>
      <c r="R532" s="647"/>
      <c r="S532" s="647"/>
      <c r="T532" s="647"/>
      <c r="U532" s="647"/>
      <c r="V532" s="648"/>
      <c r="W532" s="37" t="s">
        <v>72</v>
      </c>
      <c r="X532" s="631">
        <f>IFERROR(X531/H531,"0")</f>
        <v>0</v>
      </c>
      <c r="Y532" s="631">
        <f>IFERROR(Y531/H531,"0")</f>
        <v>0</v>
      </c>
      <c r="Z532" s="631">
        <f>IFERROR(IF(Z531="",0,Z531),"0")</f>
        <v>0</v>
      </c>
      <c r="AA532" s="632"/>
      <c r="AB532" s="632"/>
      <c r="AC532" s="632"/>
    </row>
    <row r="533" spans="1:68" hidden="1" x14ac:dyDescent="0.2">
      <c r="A533" s="643"/>
      <c r="B533" s="643"/>
      <c r="C533" s="643"/>
      <c r="D533" s="643"/>
      <c r="E533" s="643"/>
      <c r="F533" s="643"/>
      <c r="G533" s="643"/>
      <c r="H533" s="643"/>
      <c r="I533" s="643"/>
      <c r="J533" s="643"/>
      <c r="K533" s="643"/>
      <c r="L533" s="643"/>
      <c r="M533" s="643"/>
      <c r="N533" s="643"/>
      <c r="O533" s="644"/>
      <c r="P533" s="646" t="s">
        <v>71</v>
      </c>
      <c r="Q533" s="647"/>
      <c r="R533" s="647"/>
      <c r="S533" s="647"/>
      <c r="T533" s="647"/>
      <c r="U533" s="647"/>
      <c r="V533" s="648"/>
      <c r="W533" s="37" t="s">
        <v>66</v>
      </c>
      <c r="X533" s="631">
        <f>IFERROR(SUM(X531:X531),"0")</f>
        <v>0</v>
      </c>
      <c r="Y533" s="631">
        <f>IFERROR(SUM(Y531:Y531),"0")</f>
        <v>0</v>
      </c>
      <c r="Z533" s="37"/>
      <c r="AA533" s="632"/>
      <c r="AB533" s="632"/>
      <c r="AC533" s="632"/>
    </row>
    <row r="534" spans="1:68" ht="14.25" hidden="1" customHeight="1" x14ac:dyDescent="0.25">
      <c r="A534" s="653" t="s">
        <v>61</v>
      </c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43"/>
      <c r="P534" s="643"/>
      <c r="Q534" s="643"/>
      <c r="R534" s="643"/>
      <c r="S534" s="643"/>
      <c r="T534" s="643"/>
      <c r="U534" s="643"/>
      <c r="V534" s="643"/>
      <c r="W534" s="643"/>
      <c r="X534" s="643"/>
      <c r="Y534" s="643"/>
      <c r="Z534" s="643"/>
      <c r="AA534" s="625"/>
      <c r="AB534" s="625"/>
      <c r="AC534" s="625"/>
    </row>
    <row r="535" spans="1:68" ht="27" hidden="1" customHeight="1" x14ac:dyDescent="0.25">
      <c r="A535" s="54" t="s">
        <v>837</v>
      </c>
      <c r="B535" s="54" t="s">
        <v>838</v>
      </c>
      <c r="C535" s="31">
        <v>4301031500</v>
      </c>
      <c r="D535" s="633">
        <v>4640242180595</v>
      </c>
      <c r="E535" s="634"/>
      <c r="F535" s="628">
        <v>0.7</v>
      </c>
      <c r="G535" s="32">
        <v>6</v>
      </c>
      <c r="H535" s="628">
        <v>4.2</v>
      </c>
      <c r="I535" s="628">
        <v>4.45</v>
      </c>
      <c r="J535" s="32">
        <v>132</v>
      </c>
      <c r="K535" s="32" t="s">
        <v>124</v>
      </c>
      <c r="L535" s="32"/>
      <c r="M535" s="33" t="s">
        <v>65</v>
      </c>
      <c r="N535" s="33"/>
      <c r="O535" s="32">
        <v>40</v>
      </c>
      <c r="P535" s="869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5" s="636"/>
      <c r="R535" s="636"/>
      <c r="S535" s="636"/>
      <c r="T535" s="637"/>
      <c r="U535" s="34"/>
      <c r="V535" s="34"/>
      <c r="W535" s="35" t="s">
        <v>66</v>
      </c>
      <c r="X535" s="629">
        <v>0</v>
      </c>
      <c r="Y535" s="630">
        <f>IFERROR(IF(X535="",0,CEILING((X535/$H535),1)*$H535),"")</f>
        <v>0</v>
      </c>
      <c r="Z535" s="36" t="str">
        <f>IFERROR(IF(Y535=0,"",ROUNDUP(Y535/H535,0)*0.00902),"")</f>
        <v/>
      </c>
      <c r="AA535" s="56"/>
      <c r="AB535" s="57"/>
      <c r="AC535" s="611" t="s">
        <v>839</v>
      </c>
      <c r="AG535" s="64"/>
      <c r="AJ535" s="68"/>
      <c r="AK535" s="68">
        <v>0</v>
      </c>
      <c r="BB535" s="612" t="s">
        <v>1</v>
      </c>
      <c r="BM535" s="64">
        <f>IFERROR(X535*I535/H535,"0")</f>
        <v>0</v>
      </c>
      <c r="BN535" s="64">
        <f>IFERROR(Y535*I535/H535,"0")</f>
        <v>0</v>
      </c>
      <c r="BO535" s="64">
        <f>IFERROR(1/J535*(X535/H535),"0")</f>
        <v>0</v>
      </c>
      <c r="BP535" s="64">
        <f>IFERROR(1/J535*(Y535/H535),"0")</f>
        <v>0</v>
      </c>
    </row>
    <row r="536" spans="1:68" hidden="1" x14ac:dyDescent="0.2">
      <c r="A536" s="642"/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4"/>
      <c r="P536" s="646" t="s">
        <v>71</v>
      </c>
      <c r="Q536" s="647"/>
      <c r="R536" s="647"/>
      <c r="S536" s="647"/>
      <c r="T536" s="647"/>
      <c r="U536" s="647"/>
      <c r="V536" s="648"/>
      <c r="W536" s="37" t="s">
        <v>72</v>
      </c>
      <c r="X536" s="631">
        <f>IFERROR(X535/H535,"0")</f>
        <v>0</v>
      </c>
      <c r="Y536" s="631">
        <f>IFERROR(Y535/H535,"0")</f>
        <v>0</v>
      </c>
      <c r="Z536" s="631">
        <f>IFERROR(IF(Z535="",0,Z535),"0")</f>
        <v>0</v>
      </c>
      <c r="AA536" s="632"/>
      <c r="AB536" s="632"/>
      <c r="AC536" s="632"/>
    </row>
    <row r="537" spans="1:68" hidden="1" x14ac:dyDescent="0.2">
      <c r="A537" s="643"/>
      <c r="B537" s="643"/>
      <c r="C537" s="643"/>
      <c r="D537" s="643"/>
      <c r="E537" s="643"/>
      <c r="F537" s="643"/>
      <c r="G537" s="643"/>
      <c r="H537" s="643"/>
      <c r="I537" s="643"/>
      <c r="J537" s="643"/>
      <c r="K537" s="643"/>
      <c r="L537" s="643"/>
      <c r="M537" s="643"/>
      <c r="N537" s="643"/>
      <c r="O537" s="644"/>
      <c r="P537" s="646" t="s">
        <v>71</v>
      </c>
      <c r="Q537" s="647"/>
      <c r="R537" s="647"/>
      <c r="S537" s="647"/>
      <c r="T537" s="647"/>
      <c r="U537" s="647"/>
      <c r="V537" s="648"/>
      <c r="W537" s="37" t="s">
        <v>66</v>
      </c>
      <c r="X537" s="631">
        <f>IFERROR(SUM(X535:X535),"0")</f>
        <v>0</v>
      </c>
      <c r="Y537" s="631">
        <f>IFERROR(SUM(Y535:Y535),"0")</f>
        <v>0</v>
      </c>
      <c r="Z537" s="37"/>
      <c r="AA537" s="632"/>
      <c r="AB537" s="632"/>
      <c r="AC537" s="632"/>
    </row>
    <row r="538" spans="1:68" ht="14.25" hidden="1" customHeight="1" x14ac:dyDescent="0.25">
      <c r="A538" s="653" t="s">
        <v>73</v>
      </c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43"/>
      <c r="P538" s="643"/>
      <c r="Q538" s="643"/>
      <c r="R538" s="643"/>
      <c r="S538" s="643"/>
      <c r="T538" s="643"/>
      <c r="U538" s="643"/>
      <c r="V538" s="643"/>
      <c r="W538" s="643"/>
      <c r="X538" s="643"/>
      <c r="Y538" s="643"/>
      <c r="Z538" s="643"/>
      <c r="AA538" s="625"/>
      <c r="AB538" s="625"/>
      <c r="AC538" s="625"/>
    </row>
    <row r="539" spans="1:68" ht="27" customHeight="1" x14ac:dyDescent="0.25">
      <c r="A539" s="54" t="s">
        <v>840</v>
      </c>
      <c r="B539" s="54" t="s">
        <v>841</v>
      </c>
      <c r="C539" s="31">
        <v>4301052043</v>
      </c>
      <c r="D539" s="633">
        <v>4640242180533</v>
      </c>
      <c r="E539" s="634"/>
      <c r="F539" s="628">
        <v>1.5</v>
      </c>
      <c r="G539" s="32">
        <v>6</v>
      </c>
      <c r="H539" s="628">
        <v>9</v>
      </c>
      <c r="I539" s="628">
        <v>9.4939999999999998</v>
      </c>
      <c r="J539" s="32">
        <v>64</v>
      </c>
      <c r="K539" s="32" t="s">
        <v>115</v>
      </c>
      <c r="L539" s="32"/>
      <c r="M539" s="33" t="s">
        <v>77</v>
      </c>
      <c r="N539" s="33"/>
      <c r="O539" s="32">
        <v>45</v>
      </c>
      <c r="P539" s="71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9" s="636"/>
      <c r="R539" s="636"/>
      <c r="S539" s="636"/>
      <c r="T539" s="637"/>
      <c r="U539" s="34"/>
      <c r="V539" s="34"/>
      <c r="W539" s="35" t="s">
        <v>66</v>
      </c>
      <c r="X539" s="629">
        <v>84</v>
      </c>
      <c r="Y539" s="630">
        <f>IFERROR(IF(X539="",0,CEILING((X539/$H539),1)*$H539),"")</f>
        <v>90</v>
      </c>
      <c r="Z539" s="36">
        <f>IFERROR(IF(Y539=0,"",ROUNDUP(Y539/H539,0)*0.01898),"")</f>
        <v>0.1898</v>
      </c>
      <c r="AA539" s="56"/>
      <c r="AB539" s="57"/>
      <c r="AC539" s="613" t="s">
        <v>842</v>
      </c>
      <c r="AG539" s="64"/>
      <c r="AJ539" s="68"/>
      <c r="AK539" s="68">
        <v>0</v>
      </c>
      <c r="BB539" s="614" t="s">
        <v>1</v>
      </c>
      <c r="BM539" s="64">
        <f>IFERROR(X539*I539/H539,"0")</f>
        <v>88.61066666666666</v>
      </c>
      <c r="BN539" s="64">
        <f>IFERROR(Y539*I539/H539,"0")</f>
        <v>94.94</v>
      </c>
      <c r="BO539" s="64">
        <f>IFERROR(1/J539*(X539/H539),"0")</f>
        <v>0.14583333333333334</v>
      </c>
      <c r="BP539" s="64">
        <f>IFERROR(1/J539*(Y539/H539),"0")</f>
        <v>0.15625</v>
      </c>
    </row>
    <row r="540" spans="1:68" x14ac:dyDescent="0.2">
      <c r="A540" s="642"/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4"/>
      <c r="P540" s="646" t="s">
        <v>71</v>
      </c>
      <c r="Q540" s="647"/>
      <c r="R540" s="647"/>
      <c r="S540" s="647"/>
      <c r="T540" s="647"/>
      <c r="U540" s="647"/>
      <c r="V540" s="648"/>
      <c r="W540" s="37" t="s">
        <v>72</v>
      </c>
      <c r="X540" s="631">
        <f>IFERROR(X539/H539,"0")</f>
        <v>9.3333333333333339</v>
      </c>
      <c r="Y540" s="631">
        <f>IFERROR(Y539/H539,"0")</f>
        <v>10</v>
      </c>
      <c r="Z540" s="631">
        <f>IFERROR(IF(Z539="",0,Z539),"0")</f>
        <v>0.1898</v>
      </c>
      <c r="AA540" s="632"/>
      <c r="AB540" s="632"/>
      <c r="AC540" s="632"/>
    </row>
    <row r="541" spans="1:68" x14ac:dyDescent="0.2">
      <c r="A541" s="643"/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4"/>
      <c r="P541" s="646" t="s">
        <v>71</v>
      </c>
      <c r="Q541" s="647"/>
      <c r="R541" s="647"/>
      <c r="S541" s="647"/>
      <c r="T541" s="647"/>
      <c r="U541" s="647"/>
      <c r="V541" s="648"/>
      <c r="W541" s="37" t="s">
        <v>66</v>
      </c>
      <c r="X541" s="631">
        <f>IFERROR(SUM(X539:X539),"0")</f>
        <v>84</v>
      </c>
      <c r="Y541" s="631">
        <f>IFERROR(SUM(Y539:Y539),"0")</f>
        <v>90</v>
      </c>
      <c r="Z541" s="37"/>
      <c r="AA541" s="632"/>
      <c r="AB541" s="632"/>
      <c r="AC541" s="632"/>
    </row>
    <row r="542" spans="1:68" ht="14.25" hidden="1" customHeight="1" x14ac:dyDescent="0.25">
      <c r="A542" s="653" t="s">
        <v>162</v>
      </c>
      <c r="B542" s="643"/>
      <c r="C542" s="643"/>
      <c r="D542" s="643"/>
      <c r="E542" s="643"/>
      <c r="F542" s="643"/>
      <c r="G542" s="643"/>
      <c r="H542" s="643"/>
      <c r="I542" s="643"/>
      <c r="J542" s="643"/>
      <c r="K542" s="643"/>
      <c r="L542" s="643"/>
      <c r="M542" s="643"/>
      <c r="N542" s="643"/>
      <c r="O542" s="643"/>
      <c r="P542" s="643"/>
      <c r="Q542" s="643"/>
      <c r="R542" s="643"/>
      <c r="S542" s="643"/>
      <c r="T542" s="643"/>
      <c r="U542" s="643"/>
      <c r="V542" s="643"/>
      <c r="W542" s="643"/>
      <c r="X542" s="643"/>
      <c r="Y542" s="643"/>
      <c r="Z542" s="643"/>
      <c r="AA542" s="625"/>
      <c r="AB542" s="625"/>
      <c r="AC542" s="625"/>
    </row>
    <row r="543" spans="1:68" ht="27" hidden="1" customHeight="1" x14ac:dyDescent="0.25">
      <c r="A543" s="54" t="s">
        <v>843</v>
      </c>
      <c r="B543" s="54" t="s">
        <v>844</v>
      </c>
      <c r="C543" s="31">
        <v>4301060535</v>
      </c>
      <c r="D543" s="633">
        <v>4640242180120</v>
      </c>
      <c r="E543" s="634"/>
      <c r="F543" s="628">
        <v>1.5</v>
      </c>
      <c r="G543" s="32">
        <v>6</v>
      </c>
      <c r="H543" s="628">
        <v>9</v>
      </c>
      <c r="I543" s="628">
        <v>9.41</v>
      </c>
      <c r="J543" s="32">
        <v>64</v>
      </c>
      <c r="K543" s="32" t="s">
        <v>115</v>
      </c>
      <c r="L543" s="32"/>
      <c r="M543" s="33" t="s">
        <v>77</v>
      </c>
      <c r="N543" s="33"/>
      <c r="O543" s="32">
        <v>40</v>
      </c>
      <c r="P543" s="83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3" s="636"/>
      <c r="R543" s="636"/>
      <c r="S543" s="636"/>
      <c r="T543" s="637"/>
      <c r="U543" s="34"/>
      <c r="V543" s="34"/>
      <c r="W543" s="35" t="s">
        <v>66</v>
      </c>
      <c r="X543" s="629">
        <v>0</v>
      </c>
      <c r="Y543" s="630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15" t="s">
        <v>845</v>
      </c>
      <c r="AG543" s="64"/>
      <c r="AJ543" s="68"/>
      <c r="AK543" s="68">
        <v>0</v>
      </c>
      <c r="BB543" s="616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846</v>
      </c>
      <c r="B544" s="54" t="s">
        <v>847</v>
      </c>
      <c r="C544" s="31">
        <v>4301060536</v>
      </c>
      <c r="D544" s="633">
        <v>4640242180137</v>
      </c>
      <c r="E544" s="634"/>
      <c r="F544" s="628">
        <v>1.5</v>
      </c>
      <c r="G544" s="32">
        <v>6</v>
      </c>
      <c r="H544" s="628">
        <v>9</v>
      </c>
      <c r="I544" s="628">
        <v>9.41</v>
      </c>
      <c r="J544" s="32">
        <v>64</v>
      </c>
      <c r="K544" s="32" t="s">
        <v>115</v>
      </c>
      <c r="L544" s="32"/>
      <c r="M544" s="33" t="s">
        <v>77</v>
      </c>
      <c r="N544" s="33"/>
      <c r="O544" s="32">
        <v>40</v>
      </c>
      <c r="P544" s="8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4" s="636"/>
      <c r="R544" s="636"/>
      <c r="S544" s="636"/>
      <c r="T544" s="637"/>
      <c r="U544" s="34"/>
      <c r="V544" s="34"/>
      <c r="W544" s="35" t="s">
        <v>66</v>
      </c>
      <c r="X544" s="629">
        <v>0</v>
      </c>
      <c r="Y544" s="630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7" t="s">
        <v>848</v>
      </c>
      <c r="AG544" s="64"/>
      <c r="AJ544" s="68"/>
      <c r="AK544" s="68">
        <v>0</v>
      </c>
      <c r="BB544" s="618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42"/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4"/>
      <c r="P545" s="646" t="s">
        <v>71</v>
      </c>
      <c r="Q545" s="647"/>
      <c r="R545" s="647"/>
      <c r="S545" s="647"/>
      <c r="T545" s="647"/>
      <c r="U545" s="647"/>
      <c r="V545" s="648"/>
      <c r="W545" s="37" t="s">
        <v>72</v>
      </c>
      <c r="X545" s="631">
        <f>IFERROR(X543/H543,"0")+IFERROR(X544/H544,"0")</f>
        <v>0</v>
      </c>
      <c r="Y545" s="631">
        <f>IFERROR(Y543/H543,"0")+IFERROR(Y544/H544,"0")</f>
        <v>0</v>
      </c>
      <c r="Z545" s="631">
        <f>IFERROR(IF(Z543="",0,Z543),"0")+IFERROR(IF(Z544="",0,Z544),"0")</f>
        <v>0</v>
      </c>
      <c r="AA545" s="632"/>
      <c r="AB545" s="632"/>
      <c r="AC545" s="632"/>
    </row>
    <row r="546" spans="1:68" hidden="1" x14ac:dyDescent="0.2">
      <c r="A546" s="643"/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4"/>
      <c r="P546" s="646" t="s">
        <v>71</v>
      </c>
      <c r="Q546" s="647"/>
      <c r="R546" s="647"/>
      <c r="S546" s="647"/>
      <c r="T546" s="647"/>
      <c r="U546" s="647"/>
      <c r="V546" s="648"/>
      <c r="W546" s="37" t="s">
        <v>66</v>
      </c>
      <c r="X546" s="631">
        <f>IFERROR(SUM(X543:X544),"0")</f>
        <v>0</v>
      </c>
      <c r="Y546" s="631">
        <f>IFERROR(SUM(Y543:Y544),"0")</f>
        <v>0</v>
      </c>
      <c r="Z546" s="37"/>
      <c r="AA546" s="632"/>
      <c r="AB546" s="632"/>
      <c r="AC546" s="632"/>
    </row>
    <row r="547" spans="1:68" ht="16.5" hidden="1" customHeight="1" x14ac:dyDescent="0.25">
      <c r="A547" s="677" t="s">
        <v>849</v>
      </c>
      <c r="B547" s="643"/>
      <c r="C547" s="643"/>
      <c r="D547" s="643"/>
      <c r="E547" s="643"/>
      <c r="F547" s="643"/>
      <c r="G547" s="643"/>
      <c r="H547" s="643"/>
      <c r="I547" s="643"/>
      <c r="J547" s="643"/>
      <c r="K547" s="643"/>
      <c r="L547" s="643"/>
      <c r="M547" s="643"/>
      <c r="N547" s="643"/>
      <c r="O547" s="643"/>
      <c r="P547" s="643"/>
      <c r="Q547" s="643"/>
      <c r="R547" s="643"/>
      <c r="S547" s="643"/>
      <c r="T547" s="643"/>
      <c r="U547" s="643"/>
      <c r="V547" s="643"/>
      <c r="W547" s="643"/>
      <c r="X547" s="643"/>
      <c r="Y547" s="643"/>
      <c r="Z547" s="643"/>
      <c r="AA547" s="624"/>
      <c r="AB547" s="624"/>
      <c r="AC547" s="624"/>
    </row>
    <row r="548" spans="1:68" ht="14.25" hidden="1" customHeight="1" x14ac:dyDescent="0.25">
      <c r="A548" s="653" t="s">
        <v>145</v>
      </c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43"/>
      <c r="P548" s="643"/>
      <c r="Q548" s="643"/>
      <c r="R548" s="643"/>
      <c r="S548" s="643"/>
      <c r="T548" s="643"/>
      <c r="U548" s="643"/>
      <c r="V548" s="643"/>
      <c r="W548" s="643"/>
      <c r="X548" s="643"/>
      <c r="Y548" s="643"/>
      <c r="Z548" s="643"/>
      <c r="AA548" s="625"/>
      <c r="AB548" s="625"/>
      <c r="AC548" s="625"/>
    </row>
    <row r="549" spans="1:68" ht="27" hidden="1" customHeight="1" x14ac:dyDescent="0.25">
      <c r="A549" s="54" t="s">
        <v>850</v>
      </c>
      <c r="B549" s="54" t="s">
        <v>851</v>
      </c>
      <c r="C549" s="31">
        <v>4301020428</v>
      </c>
      <c r="D549" s="633">
        <v>4640242180090</v>
      </c>
      <c r="E549" s="634"/>
      <c r="F549" s="628">
        <v>1.5</v>
      </c>
      <c r="G549" s="32">
        <v>8</v>
      </c>
      <c r="H549" s="628">
        <v>12</v>
      </c>
      <c r="I549" s="628">
        <v>12.41</v>
      </c>
      <c r="J549" s="32">
        <v>64</v>
      </c>
      <c r="K549" s="32" t="s">
        <v>115</v>
      </c>
      <c r="L549" s="32"/>
      <c r="M549" s="33" t="s">
        <v>116</v>
      </c>
      <c r="N549" s="33"/>
      <c r="O549" s="32">
        <v>50</v>
      </c>
      <c r="P549" s="67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9" s="636"/>
      <c r="R549" s="636"/>
      <c r="S549" s="636"/>
      <c r="T549" s="637"/>
      <c r="U549" s="34"/>
      <c r="V549" s="34"/>
      <c r="W549" s="35" t="s">
        <v>66</v>
      </c>
      <c r="X549" s="629">
        <v>0</v>
      </c>
      <c r="Y549" s="630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19" t="s">
        <v>852</v>
      </c>
      <c r="AG549" s="64"/>
      <c r="AJ549" s="68"/>
      <c r="AK549" s="68">
        <v>0</v>
      </c>
      <c r="BB549" s="620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42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644"/>
      <c r="P550" s="646" t="s">
        <v>71</v>
      </c>
      <c r="Q550" s="647"/>
      <c r="R550" s="647"/>
      <c r="S550" s="647"/>
      <c r="T550" s="647"/>
      <c r="U550" s="647"/>
      <c r="V550" s="648"/>
      <c r="W550" s="37" t="s">
        <v>72</v>
      </c>
      <c r="X550" s="631">
        <f>IFERROR(X549/H549,"0")</f>
        <v>0</v>
      </c>
      <c r="Y550" s="631">
        <f>IFERROR(Y549/H549,"0")</f>
        <v>0</v>
      </c>
      <c r="Z550" s="631">
        <f>IFERROR(IF(Z549="",0,Z549),"0")</f>
        <v>0</v>
      </c>
      <c r="AA550" s="632"/>
      <c r="AB550" s="632"/>
      <c r="AC550" s="632"/>
    </row>
    <row r="551" spans="1:68" hidden="1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644"/>
      <c r="P551" s="646" t="s">
        <v>71</v>
      </c>
      <c r="Q551" s="647"/>
      <c r="R551" s="647"/>
      <c r="S551" s="647"/>
      <c r="T551" s="647"/>
      <c r="U551" s="647"/>
      <c r="V551" s="648"/>
      <c r="W551" s="37" t="s">
        <v>66</v>
      </c>
      <c r="X551" s="631">
        <f>IFERROR(SUM(X549:X549),"0")</f>
        <v>0</v>
      </c>
      <c r="Y551" s="631">
        <f>IFERROR(SUM(Y549:Y549),"0")</f>
        <v>0</v>
      </c>
      <c r="Z551" s="37"/>
      <c r="AA551" s="632"/>
      <c r="AB551" s="632"/>
      <c r="AC551" s="632"/>
    </row>
    <row r="552" spans="1:68" ht="15" customHeight="1" x14ac:dyDescent="0.2">
      <c r="A552" s="789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90"/>
      <c r="P552" s="736" t="s">
        <v>853</v>
      </c>
      <c r="Q552" s="737"/>
      <c r="R552" s="737"/>
      <c r="S552" s="737"/>
      <c r="T552" s="737"/>
      <c r="U552" s="737"/>
      <c r="V552" s="738"/>
      <c r="W552" s="37" t="s">
        <v>66</v>
      </c>
      <c r="X552" s="631">
        <f>IFERROR(X25+X33+X44+X53+X63+X70+X75+X80+X88+X95+X106+X114+X121+X125+X132+X139+X145+X156+X160+X167+X172+X186+X192+X196+X200+X212+X217+X234+X242+X248+X252+X258+X263+X274+X289+X294+X305+X309+X313+X319+X328+X335+X344+X349+X356+X365+X375+X382+X388+X395+X401+X407+X413+X420+X433+X439+X445+X450+X456+X460+X466+X477+X482+X487+X493+X507+X513+X523+X529+X533+X537+X541+X546+X551,"0")</f>
        <v>6573</v>
      </c>
      <c r="Y552" s="631">
        <f>IFERROR(Y25+Y33+Y44+Y53+Y63+Y70+Y75+Y80+Y88+Y95+Y106+Y114+Y121+Y125+Y132+Y139+Y145+Y156+Y160+Y167+Y172+Y186+Y192+Y196+Y200+Y212+Y217+Y234+Y242+Y248+Y252+Y258+Y263+Y274+Y289+Y294+Y305+Y309+Y313+Y319+Y328+Y335+Y344+Y349+Y356+Y365+Y375+Y382+Y388+Y395+Y401+Y407+Y413+Y420+Y433+Y439+Y445+Y450+Y456+Y460+Y466+Y477+Y482+Y487+Y493+Y507+Y513+Y523+Y529+Y533+Y537+Y541+Y546+Y551,"0")</f>
        <v>6731.05</v>
      </c>
      <c r="Z552" s="37"/>
      <c r="AA552" s="632"/>
      <c r="AB552" s="632"/>
      <c r="AC552" s="632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90"/>
      <c r="P553" s="736" t="s">
        <v>854</v>
      </c>
      <c r="Q553" s="737"/>
      <c r="R553" s="737"/>
      <c r="S553" s="737"/>
      <c r="T553" s="737"/>
      <c r="U553" s="737"/>
      <c r="V553" s="738"/>
      <c r="W553" s="37" t="s">
        <v>66</v>
      </c>
      <c r="X553" s="631">
        <f>IFERROR(SUM(BM22:BM549),"0")</f>
        <v>6987.9755911310649</v>
      </c>
      <c r="Y553" s="631">
        <f>IFERROR(SUM(BN22:BN549),"0")</f>
        <v>7157.8689999999997</v>
      </c>
      <c r="Z553" s="37"/>
      <c r="AA553" s="632"/>
      <c r="AB553" s="632"/>
      <c r="AC553" s="632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90"/>
      <c r="P554" s="736" t="s">
        <v>855</v>
      </c>
      <c r="Q554" s="737"/>
      <c r="R554" s="737"/>
      <c r="S554" s="737"/>
      <c r="T554" s="737"/>
      <c r="U554" s="737"/>
      <c r="V554" s="738"/>
      <c r="W554" s="37" t="s">
        <v>856</v>
      </c>
      <c r="X554" s="38">
        <f>ROUNDUP(SUM(BO22:BO549),0)</f>
        <v>13</v>
      </c>
      <c r="Y554" s="38">
        <f>ROUNDUP(SUM(BP22:BP549),0)</f>
        <v>13</v>
      </c>
      <c r="Z554" s="37"/>
      <c r="AA554" s="632"/>
      <c r="AB554" s="632"/>
      <c r="AC554" s="632"/>
    </row>
    <row r="555" spans="1:68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90"/>
      <c r="P555" s="736" t="s">
        <v>857</v>
      </c>
      <c r="Q555" s="737"/>
      <c r="R555" s="737"/>
      <c r="S555" s="737"/>
      <c r="T555" s="737"/>
      <c r="U555" s="737"/>
      <c r="V555" s="738"/>
      <c r="W555" s="37" t="s">
        <v>66</v>
      </c>
      <c r="X555" s="631">
        <f>GrossWeightTotal+PalletQtyTotal*25</f>
        <v>7312.9755911310649</v>
      </c>
      <c r="Y555" s="631">
        <f>GrossWeightTotalR+PalletQtyTotalR*25</f>
        <v>7482.8689999999997</v>
      </c>
      <c r="Z555" s="37"/>
      <c r="AA555" s="632"/>
      <c r="AB555" s="632"/>
      <c r="AC555" s="632"/>
    </row>
    <row r="556" spans="1:68" x14ac:dyDescent="0.2">
      <c r="A556" s="643"/>
      <c r="B556" s="643"/>
      <c r="C556" s="643"/>
      <c r="D556" s="643"/>
      <c r="E556" s="643"/>
      <c r="F556" s="643"/>
      <c r="G556" s="643"/>
      <c r="H556" s="643"/>
      <c r="I556" s="643"/>
      <c r="J556" s="643"/>
      <c r="K556" s="643"/>
      <c r="L556" s="643"/>
      <c r="M556" s="643"/>
      <c r="N556" s="643"/>
      <c r="O556" s="790"/>
      <c r="P556" s="736" t="s">
        <v>858</v>
      </c>
      <c r="Q556" s="737"/>
      <c r="R556" s="737"/>
      <c r="S556" s="737"/>
      <c r="T556" s="737"/>
      <c r="U556" s="737"/>
      <c r="V556" s="738"/>
      <c r="W556" s="37" t="s">
        <v>856</v>
      </c>
      <c r="X556" s="631">
        <f>IFERROR(X24+X32+X43+X52+X62+X69+X74+X79+X87+X94+X105+X113+X120+X124+X131+X138+X144+X155+X159+X166+X171+X185+X191+X195+X199+X211+X216+X233+X241+X247+X251+X257+X262+X273+X288+X293+X304+X308+X312+X318+X327+X334+X343+X348+X355+X364+X374+X381+X387+X394+X400+X406+X412+X419+X432+X438+X444+X449+X455+X459+X465+X476+X481+X486+X492+X506+X512+X522+X528+X532+X536+X540+X545+X550,"0")</f>
        <v>1292.3236176968335</v>
      </c>
      <c r="Y556" s="631">
        <f>IFERROR(Y24+Y32+Y43+Y52+Y62+Y69+Y74+Y79+Y87+Y94+Y105+Y113+Y120+Y124+Y131+Y138+Y144+Y155+Y159+Y166+Y171+Y185+Y191+Y195+Y199+Y211+Y216+Y233+Y241+Y247+Y251+Y257+Y262+Y273+Y288+Y293+Y304+Y308+Y312+Y318+Y327+Y334+Y343+Y348+Y355+Y364+Y374+Y381+Y387+Y394+Y400+Y406+Y412+Y419+Y432+Y438+Y444+Y449+Y455+Y459+Y465+Y476+Y481+Y486+Y492+Y506+Y512+Y522+Y528+Y532+Y536+Y540+Y545+Y550,"0")</f>
        <v>1326</v>
      </c>
      <c r="Z556" s="37"/>
      <c r="AA556" s="632"/>
      <c r="AB556" s="632"/>
      <c r="AC556" s="632"/>
    </row>
    <row r="557" spans="1:68" ht="14.25" hidden="1" customHeight="1" x14ac:dyDescent="0.2">
      <c r="A557" s="643"/>
      <c r="B557" s="643"/>
      <c r="C557" s="643"/>
      <c r="D557" s="643"/>
      <c r="E557" s="643"/>
      <c r="F557" s="643"/>
      <c r="G557" s="643"/>
      <c r="H557" s="643"/>
      <c r="I557" s="643"/>
      <c r="J557" s="643"/>
      <c r="K557" s="643"/>
      <c r="L557" s="643"/>
      <c r="M557" s="643"/>
      <c r="N557" s="643"/>
      <c r="O557" s="790"/>
      <c r="P557" s="736" t="s">
        <v>859</v>
      </c>
      <c r="Q557" s="737"/>
      <c r="R557" s="737"/>
      <c r="S557" s="737"/>
      <c r="T557" s="737"/>
      <c r="U557" s="737"/>
      <c r="V557" s="738"/>
      <c r="W557" s="39" t="s">
        <v>860</v>
      </c>
      <c r="X557" s="37"/>
      <c r="Y557" s="37"/>
      <c r="Z557" s="37">
        <f>IFERROR(Z24+Z32+Z43+Z52+Z62+Z69+Z74+Z79+Z87+Z94+Z105+Z113+Z120+Z124+Z131+Z138+Z144+Z155+Z159+Z166+Z171+Z185+Z191+Z195+Z199+Z211+Z216+Z233+Z241+Z247+Z251+Z257+Z262+Z273+Z288+Z293+Z304+Z308+Z312+Z318+Z327+Z334+Z343+Z348+Z355+Z364+Z374+Z381+Z387+Z394+Z400+Z406+Z412+Z419+Z432+Z438+Z444+Z449+Z455+Z459+Z465+Z476+Z481+Z486+Z492+Z506+Z512+Z522+Z528+Z532+Z536+Z540+Z545+Z550,"0")</f>
        <v>14.79805</v>
      </c>
      <c r="AA557" s="632"/>
      <c r="AB557" s="632"/>
      <c r="AC557" s="632"/>
    </row>
    <row r="558" spans="1:68" ht="13.5" customHeight="1" thickBot="1" x14ac:dyDescent="0.25"/>
    <row r="559" spans="1:68" ht="27" customHeight="1" thickTop="1" thickBot="1" x14ac:dyDescent="0.25">
      <c r="A559" s="40" t="s">
        <v>861</v>
      </c>
      <c r="B559" s="626" t="s">
        <v>60</v>
      </c>
      <c r="C559" s="626" t="s">
        <v>91</v>
      </c>
      <c r="D559" s="674" t="s">
        <v>110</v>
      </c>
      <c r="E559" s="704"/>
      <c r="F559" s="704"/>
      <c r="G559" s="704"/>
      <c r="H559" s="704"/>
      <c r="I559" s="704"/>
      <c r="J559" s="705"/>
      <c r="K559" s="674" t="s">
        <v>338</v>
      </c>
      <c r="L559" s="704"/>
      <c r="M559" s="704"/>
      <c r="N559" s="704"/>
      <c r="O559" s="704"/>
      <c r="P559" s="704"/>
      <c r="Q559" s="704"/>
      <c r="R559" s="704"/>
      <c r="S559" s="704"/>
      <c r="T559" s="704"/>
      <c r="U559" s="704"/>
      <c r="V559" s="705"/>
      <c r="W559" s="674" t="s">
        <v>681</v>
      </c>
      <c r="X559" s="705"/>
      <c r="Y559" s="674" t="s">
        <v>747</v>
      </c>
      <c r="Z559" s="705"/>
      <c r="AA559" s="626" t="s">
        <v>783</v>
      </c>
      <c r="AB559" s="674" t="s">
        <v>830</v>
      </c>
      <c r="AC559" s="705"/>
      <c r="AF559" s="627"/>
    </row>
    <row r="560" spans="1:68" ht="14.25" customHeight="1" thickTop="1" x14ac:dyDescent="0.2">
      <c r="A560" s="698" t="s">
        <v>862</v>
      </c>
      <c r="B560" s="674" t="s">
        <v>60</v>
      </c>
      <c r="C560" s="674" t="s">
        <v>92</v>
      </c>
      <c r="D560" s="674" t="s">
        <v>111</v>
      </c>
      <c r="E560" s="674" t="s">
        <v>127</v>
      </c>
      <c r="F560" s="674" t="s">
        <v>169</v>
      </c>
      <c r="G560" s="674" t="s">
        <v>190</v>
      </c>
      <c r="H560" s="674" t="s">
        <v>230</v>
      </c>
      <c r="I560" s="674" t="s">
        <v>254</v>
      </c>
      <c r="J560" s="674" t="s">
        <v>110</v>
      </c>
      <c r="K560" s="674" t="s">
        <v>339</v>
      </c>
      <c r="L560" s="674" t="s">
        <v>360</v>
      </c>
      <c r="M560" s="674" t="s">
        <v>427</v>
      </c>
      <c r="N560" s="627"/>
      <c r="O560" s="674" t="s">
        <v>495</v>
      </c>
      <c r="P560" s="674" t="s">
        <v>528</v>
      </c>
      <c r="Q560" s="674" t="s">
        <v>544</v>
      </c>
      <c r="R560" s="674" t="s">
        <v>553</v>
      </c>
      <c r="S560" s="674" t="s">
        <v>574</v>
      </c>
      <c r="T560" s="674" t="s">
        <v>583</v>
      </c>
      <c r="U560" s="674" t="s">
        <v>664</v>
      </c>
      <c r="V560" s="674" t="s">
        <v>671</v>
      </c>
      <c r="W560" s="674" t="s">
        <v>682</v>
      </c>
      <c r="X560" s="674" t="s">
        <v>731</v>
      </c>
      <c r="Y560" s="674" t="s">
        <v>748</v>
      </c>
      <c r="Z560" s="674" t="s">
        <v>771</v>
      </c>
      <c r="AA560" s="674" t="s">
        <v>783</v>
      </c>
      <c r="AB560" s="674" t="s">
        <v>830</v>
      </c>
      <c r="AC560" s="674" t="s">
        <v>849</v>
      </c>
      <c r="AF560" s="627"/>
    </row>
    <row r="561" spans="1:32" ht="13.5" customHeight="1" thickBot="1" x14ac:dyDescent="0.25">
      <c r="A561" s="699"/>
      <c r="B561" s="675"/>
      <c r="C561" s="675"/>
      <c r="D561" s="675"/>
      <c r="E561" s="675"/>
      <c r="F561" s="675"/>
      <c r="G561" s="675"/>
      <c r="H561" s="675"/>
      <c r="I561" s="675"/>
      <c r="J561" s="675"/>
      <c r="K561" s="675"/>
      <c r="L561" s="675"/>
      <c r="M561" s="675"/>
      <c r="N561" s="627"/>
      <c r="O561" s="675"/>
      <c r="P561" s="675"/>
      <c r="Q561" s="675"/>
      <c r="R561" s="675"/>
      <c r="S561" s="675"/>
      <c r="T561" s="675"/>
      <c r="U561" s="675"/>
      <c r="V561" s="675"/>
      <c r="W561" s="675"/>
      <c r="X561" s="675"/>
      <c r="Y561" s="675"/>
      <c r="Z561" s="675"/>
      <c r="AA561" s="675"/>
      <c r="AB561" s="675"/>
      <c r="AC561" s="675"/>
      <c r="AF561" s="627"/>
    </row>
    <row r="562" spans="1:32" ht="18" customHeight="1" thickTop="1" thickBot="1" x14ac:dyDescent="0.25">
      <c r="A562" s="40" t="s">
        <v>863</v>
      </c>
      <c r="B562" s="46">
        <f>IFERROR(Y22*1,"0")+IFERROR(Y23*1,"0")+IFERROR(Y27*1,"0")+IFERROR(Y28*1,"0")+IFERROR(Y29*1,"0")+IFERROR(Y30*1,"0")+IFERROR(Y31*1,"0")</f>
        <v>0</v>
      </c>
      <c r="C562" s="46">
        <f>IFERROR(Y37*1,"0")+IFERROR(Y38*1,"0")+IFERROR(Y39*1,"0")+IFERROR(Y40*1,"0")+IFERROR(Y41*1,"0")+IFERROR(Y42*1,"0")</f>
        <v>0</v>
      </c>
      <c r="D562" s="46">
        <f>IFERROR(Y48*1,"0")+IFERROR(Y49*1,"0")+IFERROR(Y50*1,"0")+IFERROR(Y51*1,"0")</f>
        <v>0</v>
      </c>
      <c r="E562" s="46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281.60000000000002</v>
      </c>
      <c r="F562" s="46">
        <f>IFERROR(Y83*1,"0")+IFERROR(Y84*1,"0")+IFERROR(Y85*1,"0")+IFERROR(Y86*1,"0")+IFERROR(Y90*1,"0")+IFERROR(Y91*1,"0")+IFERROR(Y92*1,"0")+IFERROR(Y93*1,"0")</f>
        <v>918.9</v>
      </c>
      <c r="G562" s="46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580.02</v>
      </c>
      <c r="H562" s="46">
        <f>IFERROR(Y128*1,"0")+IFERROR(Y129*1,"0")+IFERROR(Y130*1,"0")+IFERROR(Y134*1,"0")+IFERROR(Y135*1,"0")+IFERROR(Y136*1,"0")+IFERROR(Y137*1,"0")+IFERROR(Y141*1,"0")+IFERROR(Y142*1,"0")+IFERROR(Y143*1,"0")</f>
        <v>163.76</v>
      </c>
      <c r="I562" s="46">
        <f>IFERROR(Y148*1,"0")+IFERROR(Y149*1,"0")+IFERROR(Y150*1,"0")+IFERROR(Y151*1,"0")+IFERROR(Y152*1,"0")+IFERROR(Y153*1,"0")+IFERROR(Y154*1,"0")+IFERROR(Y158*1,"0")</f>
        <v>0</v>
      </c>
      <c r="J562" s="46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241.04</v>
      </c>
      <c r="K562" s="46">
        <f>IFERROR(Y204*1,"0")+IFERROR(Y205*1,"0")+IFERROR(Y206*1,"0")+IFERROR(Y207*1,"0")+IFERROR(Y208*1,"0")+IFERROR(Y209*1,"0")+IFERROR(Y210*1,"0")</f>
        <v>0</v>
      </c>
      <c r="L562" s="46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160.62</v>
      </c>
      <c r="M562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1397.4000000000003</v>
      </c>
      <c r="N562" s="627"/>
      <c r="O562" s="46">
        <f>IFERROR(Y297*1,"0")+IFERROR(Y298*1,"0")+IFERROR(Y299*1,"0")+IFERROR(Y300*1,"0")+IFERROR(Y301*1,"0")+IFERROR(Y302*1,"0")+IFERROR(Y303*1,"0")+IFERROR(Y307*1,"0")+IFERROR(Y311*1,"0")+IFERROR(Y315*1,"0")+IFERROR(Y316*1,"0")+IFERROR(Y317*1,"0")</f>
        <v>5.4</v>
      </c>
      <c r="P562" s="46">
        <f>IFERROR(Y322*1,"0")+IFERROR(Y323*1,"0")+IFERROR(Y324*1,"0")+IFERROR(Y325*1,"0")+IFERROR(Y326*1,"0")</f>
        <v>0</v>
      </c>
      <c r="Q562" s="46">
        <f>IFERROR(Y331*1,"0")+IFERROR(Y332*1,"0")+IFERROR(Y333*1,"0")</f>
        <v>64.8</v>
      </c>
      <c r="R562" s="46">
        <f>IFERROR(Y338*1,"0")+IFERROR(Y339*1,"0")+IFERROR(Y340*1,"0")+IFERROR(Y341*1,"0")+IFERROR(Y342*1,"0")+IFERROR(Y346*1,"0")+IFERROR(Y347*1,"0")</f>
        <v>0</v>
      </c>
      <c r="S562" s="46">
        <f>IFERROR(Y352*1,"0")+IFERROR(Y353*1,"0")+IFERROR(Y354*1,"0")</f>
        <v>148.19999999999999</v>
      </c>
      <c r="T562" s="46">
        <f>IFERROR(Y359*1,"0")+IFERROR(Y360*1,"0")+IFERROR(Y361*1,"0")+IFERROR(Y362*1,"0")+IFERROR(Y363*1,"0")+IFERROR(Y367*1,"0")+IFERROR(Y368*1,"0")+IFERROR(Y369*1,"0")+IFERROR(Y370*1,"0")+IFERROR(Y371*1,"0")+IFERROR(Y372*1,"0")+IFERROR(Y373*1,"0")+IFERROR(Y377*1,"0")+IFERROR(Y378*1,"0")+IFERROR(Y379*1,"0")+IFERROR(Y380*1,"0")+IFERROR(Y384*1,"0")+IFERROR(Y385*1,"0")+IFERROR(Y386*1,"0")+IFERROR(Y390*1,"0")+IFERROR(Y391*1,"0")+IFERROR(Y392*1,"0")+IFERROR(Y393*1,"0")+IFERROR(Y397*1,"0")+IFERROR(Y398*1,"0")+IFERROR(Y399*1,"0")+IFERROR(Y403*1,"0")+IFERROR(Y404*1,"0")+IFERROR(Y405*1,"0")</f>
        <v>706.99</v>
      </c>
      <c r="U562" s="46">
        <f>IFERROR(Y410*1,"0")+IFERROR(Y411*1,"0")</f>
        <v>0</v>
      </c>
      <c r="V562" s="46">
        <f>IFERROR(Y416*1,"0")+IFERROR(Y417*1,"0")+IFERROR(Y418*1,"0")</f>
        <v>0</v>
      </c>
      <c r="W562" s="46">
        <f>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447*1,"0")+IFERROR(Y448*1,"0")</f>
        <v>675</v>
      </c>
      <c r="X562" s="46">
        <f>IFERROR(Y453*1,"0")+IFERROR(Y454*1,"0")+IFERROR(Y458*1,"0")+IFERROR(Y462*1,"0")+IFERROR(Y463*1,"0")+IFERROR(Y464*1,"0")</f>
        <v>307.2</v>
      </c>
      <c r="Y562" s="46">
        <f>IFERROR(Y470*1,"0")+IFERROR(Y471*1,"0")+IFERROR(Y472*1,"0")+IFERROR(Y473*1,"0")+IFERROR(Y474*1,"0")+IFERROR(Y475*1,"0")+IFERROR(Y479*1,"0")+IFERROR(Y480*1,"0")</f>
        <v>124.2</v>
      </c>
      <c r="Z562" s="46">
        <f>IFERROR(Y485*1,"0")+IFERROR(Y489*1,"0")+IFERROR(Y490*1,"0")+IFERROR(Y491*1,"0")</f>
        <v>0</v>
      </c>
      <c r="AA562" s="46">
        <f>IFERROR(Y497*1,"0")+IFERROR(Y498*1,"0")+IFERROR(Y499*1,"0")+IFERROR(Y500*1,"0")+IFERROR(Y501*1,"0")+IFERROR(Y502*1,"0")+IFERROR(Y503*1,"0")+IFERROR(Y504*1,"0")+IFERROR(Y505*1,"0")+IFERROR(Y509*1,"0")+IFERROR(Y510*1,"0")+IFERROR(Y511*1,"0")+IFERROR(Y515*1,"0")+IFERROR(Y516*1,"0")+IFERROR(Y517*1,"0")+IFERROR(Y518*1,"0")+IFERROR(Y519*1,"0")+IFERROR(Y520*1,"0")+IFERROR(Y521*1,"0")</f>
        <v>865.91999999999985</v>
      </c>
      <c r="AB562" s="46">
        <f>IFERROR(Y527*1,"0")+IFERROR(Y531*1,"0")+IFERROR(Y535*1,"0")+IFERROR(Y539*1,"0")+IFERROR(Y543*1,"0")+IFERROR(Y544*1,"0")</f>
        <v>90</v>
      </c>
      <c r="AC562" s="46">
        <f>IFERROR(Y549*1,"0")</f>
        <v>0</v>
      </c>
      <c r="AF562" s="627"/>
    </row>
  </sheetData>
  <sheetProtection algorithmName="SHA-512" hashValue="xgRDqrS7xejZMPXeIhx42tsihUbzdMzoB3I3QgRpwNHjQQgMydzKIG/gCJbn/cw8/6DuvJ4enz+SyZGp0xPXfQ==" saltValue="YWWkJMYjK1HbNzI6Lruy5Q==" spinCount="100000" sheet="1" objects="1" scenarios="1" sort="0" autoFilter="0" pivotTables="0"/>
  <autoFilter ref="A18:AF55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92,32"/>
        <filter val="1,11"/>
        <filter val="10,00"/>
        <filter val="105,00"/>
        <filter val="108,02"/>
        <filter val="11,67"/>
        <filter val="116,00"/>
        <filter val="116,30"/>
        <filter val="120,00"/>
        <filter val="121,00"/>
        <filter val="124,00"/>
        <filter val="13"/>
        <filter val="13,00"/>
        <filter val="13,13"/>
        <filter val="137,00"/>
        <filter val="14,00"/>
        <filter val="145,00"/>
        <filter val="148,00"/>
        <filter val="15,00"/>
        <filter val="15,78"/>
        <filter val="162,00"/>
        <filter val="168,00"/>
        <filter val="169,00"/>
        <filter val="17,00"/>
        <filter val="17,56"/>
        <filter val="172,00"/>
        <filter val="183,00"/>
        <filter val="2,00"/>
        <filter val="2,22"/>
        <filter val="20,00"/>
        <filter val="204,00"/>
        <filter val="21,00"/>
        <filter val="21,67"/>
        <filter val="215,00"/>
        <filter val="22,96"/>
        <filter val="23,00"/>
        <filter val="233,71"/>
        <filter val="239,00"/>
        <filter val="25,00"/>
        <filter val="25,83"/>
        <filter val="26,00"/>
        <filter val="26,15"/>
        <filter val="270,00"/>
        <filter val="28,00"/>
        <filter val="280,00"/>
        <filter val="29,00"/>
        <filter val="297,00"/>
        <filter val="3,00"/>
        <filter val="30,00"/>
        <filter val="302,00"/>
        <filter val="32,00"/>
        <filter val="32,89"/>
        <filter val="327,00"/>
        <filter val="33,71"/>
        <filter val="331,00"/>
        <filter val="34,00"/>
        <filter val="35,00"/>
        <filter val="352,00"/>
        <filter val="36,67"/>
        <filter val="366,00"/>
        <filter val="37,00"/>
        <filter val="38,19"/>
        <filter val="4,00"/>
        <filter val="4,50"/>
        <filter val="41,00"/>
        <filter val="41,55"/>
        <filter val="42,00"/>
        <filter val="423,00"/>
        <filter val="44,00"/>
        <filter val="47,00"/>
        <filter val="48,00"/>
        <filter val="48,64"/>
        <filter val="49,00"/>
        <filter val="5,05"/>
        <filter val="5,56"/>
        <filter val="50,70"/>
        <filter val="522,00"/>
        <filter val="53,57"/>
        <filter val="550,00"/>
        <filter val="56,00"/>
        <filter val="57,20"/>
        <filter val="58,00"/>
        <filter val="58,85"/>
        <filter val="6 573,00"/>
        <filter val="6 987,98"/>
        <filter val="6,00"/>
        <filter val="62,00"/>
        <filter val="62,77"/>
        <filter val="7 312,98"/>
        <filter val="7,00"/>
        <filter val="7,22"/>
        <filter val="7,56"/>
        <filter val="7,78"/>
        <filter val="70,00"/>
        <filter val="8,00"/>
        <filter val="821,00"/>
        <filter val="84,00"/>
        <filter val="87,48"/>
        <filter val="875,00"/>
        <filter val="89,00"/>
        <filter val="9,00"/>
        <filter val="9,33"/>
        <filter val="90,00"/>
      </filters>
    </filterColumn>
    <filterColumn colId="29" showButton="0"/>
    <filterColumn colId="30" showButton="0"/>
  </autoFilter>
  <mergeCells count="989">
    <mergeCell ref="X17:X18"/>
    <mergeCell ref="D286:E286"/>
    <mergeCell ref="P216:V216"/>
    <mergeCell ref="D17:E18"/>
    <mergeCell ref="D471:E471"/>
    <mergeCell ref="A449:O450"/>
    <mergeCell ref="P373:T373"/>
    <mergeCell ref="P307:T307"/>
    <mergeCell ref="D123:E123"/>
    <mergeCell ref="D250:E250"/>
    <mergeCell ref="D50:E50"/>
    <mergeCell ref="P560:P561"/>
    <mergeCell ref="P58:T58"/>
    <mergeCell ref="O560:O561"/>
    <mergeCell ref="D331:E331"/>
    <mergeCell ref="D57:E57"/>
    <mergeCell ref="Q560:Q561"/>
    <mergeCell ref="Y17:Y18"/>
    <mergeCell ref="U17:V17"/>
    <mergeCell ref="A8:C8"/>
    <mergeCell ref="P360:T360"/>
    <mergeCell ref="D268:E268"/>
    <mergeCell ref="P151:T151"/>
    <mergeCell ref="P138:V138"/>
    <mergeCell ref="P374:V374"/>
    <mergeCell ref="A10:C10"/>
    <mergeCell ref="A484:Z484"/>
    <mergeCell ref="P69:V69"/>
    <mergeCell ref="A21:Z21"/>
    <mergeCell ref="P438:V438"/>
    <mergeCell ref="D184:E184"/>
    <mergeCell ref="P505:T505"/>
    <mergeCell ref="A355:O356"/>
    <mergeCell ref="A415:Z415"/>
    <mergeCell ref="P356:V356"/>
    <mergeCell ref="D42:E42"/>
    <mergeCell ref="P363:T363"/>
    <mergeCell ref="A35:Z35"/>
    <mergeCell ref="P510:T510"/>
    <mergeCell ref="P308:V308"/>
    <mergeCell ref="P185:V185"/>
    <mergeCell ref="P160:V160"/>
    <mergeCell ref="P83:T83"/>
    <mergeCell ref="D271:E271"/>
    <mergeCell ref="V12:W12"/>
    <mergeCell ref="D458:E458"/>
    <mergeCell ref="P368:T368"/>
    <mergeCell ref="D237:E237"/>
    <mergeCell ref="P43:V43"/>
    <mergeCell ref="A310:Z310"/>
    <mergeCell ref="A337:Z337"/>
    <mergeCell ref="P85:T85"/>
    <mergeCell ref="P60:T60"/>
    <mergeCell ref="D291:E291"/>
    <mergeCell ref="D239:E239"/>
    <mergeCell ref="D266:E266"/>
    <mergeCell ref="P174:T174"/>
    <mergeCell ref="P149:T149"/>
    <mergeCell ref="P74:V74"/>
    <mergeCell ref="P447:T447"/>
    <mergeCell ref="P410:T410"/>
    <mergeCell ref="N17:N18"/>
    <mergeCell ref="P370:T370"/>
    <mergeCell ref="F17:F18"/>
    <mergeCell ref="Q5:R5"/>
    <mergeCell ref="P497:T497"/>
    <mergeCell ref="P297:T297"/>
    <mergeCell ref="P435:T435"/>
    <mergeCell ref="D278:E278"/>
    <mergeCell ref="D549:E549"/>
    <mergeCell ref="P291:T291"/>
    <mergeCell ref="D405:E405"/>
    <mergeCell ref="D163:E163"/>
    <mergeCell ref="A478:Z478"/>
    <mergeCell ref="A24:O25"/>
    <mergeCell ref="P65:T65"/>
    <mergeCell ref="P136:T136"/>
    <mergeCell ref="P305:V305"/>
    <mergeCell ref="D244:E244"/>
    <mergeCell ref="P228:T228"/>
    <mergeCell ref="P499:T499"/>
    <mergeCell ref="D342:E342"/>
    <mergeCell ref="Q6:R6"/>
    <mergeCell ref="P513:V513"/>
    <mergeCell ref="P134:T134"/>
    <mergeCell ref="A534:Z534"/>
    <mergeCell ref="A64:Z64"/>
    <mergeCell ref="P432:V432"/>
    <mergeCell ref="D276:E276"/>
    <mergeCell ref="A107:Z107"/>
    <mergeCell ref="D341:E341"/>
    <mergeCell ref="D170:E170"/>
    <mergeCell ref="P93:T93"/>
    <mergeCell ref="P132:V132"/>
    <mergeCell ref="P72:T72"/>
    <mergeCell ref="A124:O125"/>
    <mergeCell ref="P436:T436"/>
    <mergeCell ref="A251:O252"/>
    <mergeCell ref="P292:T292"/>
    <mergeCell ref="D102:E102"/>
    <mergeCell ref="P450:V450"/>
    <mergeCell ref="A440:Z440"/>
    <mergeCell ref="P419:V419"/>
    <mergeCell ref="P145:V145"/>
    <mergeCell ref="P381:V381"/>
    <mergeCell ref="P385:T385"/>
    <mergeCell ref="P338:T338"/>
    <mergeCell ref="D515:E515"/>
    <mergeCell ref="AD17:AF18"/>
    <mergeCell ref="A481:O482"/>
    <mergeCell ref="P167:V167"/>
    <mergeCell ref="D101:E101"/>
    <mergeCell ref="F5:G5"/>
    <mergeCell ref="P365:V365"/>
    <mergeCell ref="A488:Z488"/>
    <mergeCell ref="P144:V144"/>
    <mergeCell ref="P67:T67"/>
    <mergeCell ref="D430:E430"/>
    <mergeCell ref="D175:E175"/>
    <mergeCell ref="A334:O335"/>
    <mergeCell ref="D392:E392"/>
    <mergeCell ref="D221:E221"/>
    <mergeCell ref="V11:W11"/>
    <mergeCell ref="P57:T57"/>
    <mergeCell ref="P367:T367"/>
    <mergeCell ref="D165:E165"/>
    <mergeCell ref="D475:E475"/>
    <mergeCell ref="P406:V406"/>
    <mergeCell ref="P342:T342"/>
    <mergeCell ref="D323:E323"/>
    <mergeCell ref="P317:T317"/>
    <mergeCell ref="D223:E223"/>
    <mergeCell ref="D544:E544"/>
    <mergeCell ref="A308:O309"/>
    <mergeCell ref="D270:E270"/>
    <mergeCell ref="Z560:Z561"/>
    <mergeCell ref="A550:O551"/>
    <mergeCell ref="D397:E397"/>
    <mergeCell ref="AB560:AB561"/>
    <mergeCell ref="D99:E99"/>
    <mergeCell ref="A201:Z201"/>
    <mergeCell ref="P128:T128"/>
    <mergeCell ref="D503:E503"/>
    <mergeCell ref="P509:T509"/>
    <mergeCell ref="D279:E279"/>
    <mergeCell ref="D152:E152"/>
    <mergeCell ref="D521:E521"/>
    <mergeCell ref="A254:Z254"/>
    <mergeCell ref="P181:T181"/>
    <mergeCell ref="P515:T515"/>
    <mergeCell ref="D265:E265"/>
    <mergeCell ref="P195:V195"/>
    <mergeCell ref="P493:V493"/>
    <mergeCell ref="P123:T123"/>
    <mergeCell ref="P529:V529"/>
    <mergeCell ref="P110:T110"/>
    <mergeCell ref="D462:E462"/>
    <mergeCell ref="P2:W3"/>
    <mergeCell ref="P298:T298"/>
    <mergeCell ref="D437:E437"/>
    <mergeCell ref="P369:T369"/>
    <mergeCell ref="P198:T198"/>
    <mergeCell ref="P347:T347"/>
    <mergeCell ref="D539:E539"/>
    <mergeCell ref="P418:T418"/>
    <mergeCell ref="D228:E228"/>
    <mergeCell ref="D333:E333"/>
    <mergeCell ref="D404:E404"/>
    <mergeCell ref="P312:V312"/>
    <mergeCell ref="D10:E10"/>
    <mergeCell ref="P135:T135"/>
    <mergeCell ref="P362:T362"/>
    <mergeCell ref="F10:G10"/>
    <mergeCell ref="A52:O53"/>
    <mergeCell ref="D29:E29"/>
    <mergeCell ref="D23:E23"/>
    <mergeCell ref="A20:Z20"/>
    <mergeCell ref="A249:Z249"/>
    <mergeCell ref="A127:Z127"/>
    <mergeCell ref="A320:Z320"/>
    <mergeCell ref="P492:V492"/>
    <mergeCell ref="M17:M18"/>
    <mergeCell ref="A409:Z409"/>
    <mergeCell ref="A469:Z469"/>
    <mergeCell ref="O17:O18"/>
    <mergeCell ref="E560:E561"/>
    <mergeCell ref="P131:V131"/>
    <mergeCell ref="G560:G561"/>
    <mergeCell ref="P258:V258"/>
    <mergeCell ref="P556:V556"/>
    <mergeCell ref="P52:V52"/>
    <mergeCell ref="P430:T430"/>
    <mergeCell ref="A235:Z235"/>
    <mergeCell ref="P481:V481"/>
    <mergeCell ref="P417:T417"/>
    <mergeCell ref="D531:E531"/>
    <mergeCell ref="P102:T102"/>
    <mergeCell ref="P456:V456"/>
    <mergeCell ref="A508:Z508"/>
    <mergeCell ref="A483:Z483"/>
    <mergeCell ref="D177:E177"/>
    <mergeCell ref="P354:T354"/>
    <mergeCell ref="P523:V523"/>
    <mergeCell ref="D226:E226"/>
    <mergeCell ref="P192:V192"/>
    <mergeCell ref="D151:E151"/>
    <mergeCell ref="P49:T49"/>
    <mergeCell ref="A166:O167"/>
    <mergeCell ref="P278:T278"/>
    <mergeCell ref="D150:E150"/>
    <mergeCell ref="P101:T101"/>
    <mergeCell ref="P63:V63"/>
    <mergeCell ref="D386:E386"/>
    <mergeCell ref="D215:E215"/>
    <mergeCell ref="A364:O365"/>
    <mergeCell ref="P183:T183"/>
    <mergeCell ref="D164:E164"/>
    <mergeCell ref="P53:V53"/>
    <mergeCell ref="A314:Z314"/>
    <mergeCell ref="P289:V289"/>
    <mergeCell ref="D49:E49"/>
    <mergeCell ref="A9:C9"/>
    <mergeCell ref="D373:E373"/>
    <mergeCell ref="D58:E58"/>
    <mergeCell ref="D500:E500"/>
    <mergeCell ref="P112:T112"/>
    <mergeCell ref="P273:V273"/>
    <mergeCell ref="A465:O466"/>
    <mergeCell ref="P323:T323"/>
    <mergeCell ref="A113:O114"/>
    <mergeCell ref="A414:Z414"/>
    <mergeCell ref="D231:E231"/>
    <mergeCell ref="P70:V70"/>
    <mergeCell ref="A389:Z389"/>
    <mergeCell ref="P32:V32"/>
    <mergeCell ref="Q13:R13"/>
    <mergeCell ref="P401:V401"/>
    <mergeCell ref="A318:O319"/>
    <mergeCell ref="P176:T176"/>
    <mergeCell ref="D84:E84"/>
    <mergeCell ref="P41:T41"/>
    <mergeCell ref="A157:Z157"/>
    <mergeCell ref="D22:E22"/>
    <mergeCell ref="A62:O63"/>
    <mergeCell ref="D149:E149"/>
    <mergeCell ref="AA560:AA561"/>
    <mergeCell ref="P482:V482"/>
    <mergeCell ref="A412:O413"/>
    <mergeCell ref="AC560:AC561"/>
    <mergeCell ref="P282:T282"/>
    <mergeCell ref="A241:O242"/>
    <mergeCell ref="D225:E225"/>
    <mergeCell ref="D154:E154"/>
    <mergeCell ref="P111:T111"/>
    <mergeCell ref="P359:T359"/>
    <mergeCell ref="D436:E436"/>
    <mergeCell ref="P490:T490"/>
    <mergeCell ref="A476:O477"/>
    <mergeCell ref="P346:T346"/>
    <mergeCell ref="D292:E292"/>
    <mergeCell ref="D227:E227"/>
    <mergeCell ref="P262:V262"/>
    <mergeCell ref="P537:V537"/>
    <mergeCell ref="P470:T470"/>
    <mergeCell ref="D447:E447"/>
    <mergeCell ref="D385:E385"/>
    <mergeCell ref="P301:T301"/>
    <mergeCell ref="P178:T178"/>
    <mergeCell ref="P276:T276"/>
    <mergeCell ref="H560:H561"/>
    <mergeCell ref="P269:T269"/>
    <mergeCell ref="P462:T462"/>
    <mergeCell ref="D207:E207"/>
    <mergeCell ref="P164:T164"/>
    <mergeCell ref="P120:V120"/>
    <mergeCell ref="D299:E299"/>
    <mergeCell ref="D85:E85"/>
    <mergeCell ref="D370:E370"/>
    <mergeCell ref="P476:V476"/>
    <mergeCell ref="D222:E222"/>
    <mergeCell ref="P399:T399"/>
    <mergeCell ref="P333:T333"/>
    <mergeCell ref="A295:Z295"/>
    <mergeCell ref="P171:V171"/>
    <mergeCell ref="P413:V413"/>
    <mergeCell ref="W559:X559"/>
    <mergeCell ref="P242:V242"/>
    <mergeCell ref="P407:V407"/>
    <mergeCell ref="A530:Z530"/>
    <mergeCell ref="P121:V121"/>
    <mergeCell ref="P553:V553"/>
    <mergeCell ref="P382:V382"/>
    <mergeCell ref="P188:T188"/>
    <mergeCell ref="H5:M5"/>
    <mergeCell ref="P98:T98"/>
    <mergeCell ref="P522:V522"/>
    <mergeCell ref="A214:Z214"/>
    <mergeCell ref="D317:E317"/>
    <mergeCell ref="P225:T225"/>
    <mergeCell ref="D510:E510"/>
    <mergeCell ref="D6:M6"/>
    <mergeCell ref="A306:Z306"/>
    <mergeCell ref="P175:T175"/>
    <mergeCell ref="P95:V95"/>
    <mergeCell ref="D83:E83"/>
    <mergeCell ref="D143:E143"/>
    <mergeCell ref="D441:E441"/>
    <mergeCell ref="P398:T398"/>
    <mergeCell ref="P227:T227"/>
    <mergeCell ref="D368:E368"/>
    <mergeCell ref="P177:T177"/>
    <mergeCell ref="P475:T475"/>
    <mergeCell ref="P226:T226"/>
    <mergeCell ref="D256:E256"/>
    <mergeCell ref="G17:G18"/>
    <mergeCell ref="A467:Z467"/>
    <mergeCell ref="A296:Z296"/>
    <mergeCell ref="V6:W9"/>
    <mergeCell ref="P38:T38"/>
    <mergeCell ref="D497:E497"/>
    <mergeCell ref="A348:O349"/>
    <mergeCell ref="D435:E435"/>
    <mergeCell ref="P234:V234"/>
    <mergeCell ref="A155:O156"/>
    <mergeCell ref="P109:T109"/>
    <mergeCell ref="P84:T84"/>
    <mergeCell ref="P222:T222"/>
    <mergeCell ref="D65:E65"/>
    <mergeCell ref="P22:T22"/>
    <mergeCell ref="D428:E428"/>
    <mergeCell ref="P40:T40"/>
    <mergeCell ref="P334:V334"/>
    <mergeCell ref="A455:O456"/>
    <mergeCell ref="P394:V394"/>
    <mergeCell ref="D194:E194"/>
    <mergeCell ref="A54:Z54"/>
    <mergeCell ref="P94:V94"/>
    <mergeCell ref="P44:V44"/>
    <mergeCell ref="D367:E367"/>
    <mergeCell ref="A461:Z461"/>
    <mergeCell ref="P59:T59"/>
    <mergeCell ref="P535:T535"/>
    <mergeCell ref="A144:O145"/>
    <mergeCell ref="AA17:AA18"/>
    <mergeCell ref="P552:V552"/>
    <mergeCell ref="H10:M10"/>
    <mergeCell ref="AC17:AC18"/>
    <mergeCell ref="P485:T485"/>
    <mergeCell ref="A122:Z122"/>
    <mergeCell ref="U560:U561"/>
    <mergeCell ref="D418:E418"/>
    <mergeCell ref="P472:T472"/>
    <mergeCell ref="D393:E393"/>
    <mergeCell ref="P279:T279"/>
    <mergeCell ref="P108:T108"/>
    <mergeCell ref="P445:V445"/>
    <mergeCell ref="D153:E153"/>
    <mergeCell ref="P256:T256"/>
    <mergeCell ref="D128:E128"/>
    <mergeCell ref="K559:V559"/>
    <mergeCell ref="Z17:Z18"/>
    <mergeCell ref="AB17:AB18"/>
    <mergeCell ref="P550:V550"/>
    <mergeCell ref="A528:O529"/>
    <mergeCell ref="F560:F561"/>
    <mergeCell ref="D298:E298"/>
    <mergeCell ref="D181:E181"/>
    <mergeCell ref="P91:T91"/>
    <mergeCell ref="A351:Z351"/>
    <mergeCell ref="P252:V252"/>
    <mergeCell ref="P500:T500"/>
    <mergeCell ref="A444:O445"/>
    <mergeCell ref="P105:V105"/>
    <mergeCell ref="D39:E39"/>
    <mergeCell ref="P130:T130"/>
    <mergeCell ref="D136:E136"/>
    <mergeCell ref="P190:T190"/>
    <mergeCell ref="P61:T61"/>
    <mergeCell ref="A105:O106"/>
    <mergeCell ref="P48:T48"/>
    <mergeCell ref="A400:O401"/>
    <mergeCell ref="P270:T270"/>
    <mergeCell ref="D86:E86"/>
    <mergeCell ref="P463:T463"/>
    <mergeCell ref="D384:E384"/>
    <mergeCell ref="A457:Z457"/>
    <mergeCell ref="A387:O388"/>
    <mergeCell ref="P341:T341"/>
    <mergeCell ref="A191:O192"/>
    <mergeCell ref="P517:T517"/>
    <mergeCell ref="D267:E267"/>
    <mergeCell ref="D509:E509"/>
    <mergeCell ref="D425:E425"/>
    <mergeCell ref="D359:E359"/>
    <mergeCell ref="H17:H18"/>
    <mergeCell ref="P261:T261"/>
    <mergeCell ref="A146:Z146"/>
    <mergeCell ref="P503:T503"/>
    <mergeCell ref="P332:T332"/>
    <mergeCell ref="D204:E204"/>
    <mergeCell ref="D198:E198"/>
    <mergeCell ref="P90:T90"/>
    <mergeCell ref="D269:E269"/>
    <mergeCell ref="D489:E489"/>
    <mergeCell ref="D427:E427"/>
    <mergeCell ref="P27:T27"/>
    <mergeCell ref="P325:T325"/>
    <mergeCell ref="P154:T154"/>
    <mergeCell ref="P247:V247"/>
    <mergeCell ref="P390:T390"/>
    <mergeCell ref="D206:E206"/>
    <mergeCell ref="D504:E504"/>
    <mergeCell ref="P241:V241"/>
    <mergeCell ref="J9:M9"/>
    <mergeCell ref="D283:E283"/>
    <mergeCell ref="D112:E112"/>
    <mergeCell ref="A532:O533"/>
    <mergeCell ref="D519:E519"/>
    <mergeCell ref="P141:T141"/>
    <mergeCell ref="D56:E56"/>
    <mergeCell ref="P377:T377"/>
    <mergeCell ref="P206:T206"/>
    <mergeCell ref="P504:T504"/>
    <mergeCell ref="D491:E491"/>
    <mergeCell ref="P448:T448"/>
    <mergeCell ref="D347:E347"/>
    <mergeCell ref="D285:E285"/>
    <mergeCell ref="D176:E176"/>
    <mergeCell ref="P155:V155"/>
    <mergeCell ref="P37:T37"/>
    <mergeCell ref="A273:O274"/>
    <mergeCell ref="A514:Z514"/>
    <mergeCell ref="P143:T143"/>
    <mergeCell ref="P441:T441"/>
    <mergeCell ref="D362:E362"/>
    <mergeCell ref="D51:E51"/>
    <mergeCell ref="P328:V328"/>
    <mergeCell ref="A13:M13"/>
    <mergeCell ref="P536:V536"/>
    <mergeCell ref="P79:V79"/>
    <mergeCell ref="A548:Z548"/>
    <mergeCell ref="D61:E61"/>
    <mergeCell ref="A15:M15"/>
    <mergeCell ref="P238:T238"/>
    <mergeCell ref="D48:E48"/>
    <mergeCell ref="D490:E490"/>
    <mergeCell ref="D346:E346"/>
    <mergeCell ref="P229:T229"/>
    <mergeCell ref="A133:Z133"/>
    <mergeCell ref="P77:T77"/>
    <mergeCell ref="A193:Z193"/>
    <mergeCell ref="P204:T204"/>
    <mergeCell ref="A264:Z264"/>
    <mergeCell ref="P179:T179"/>
    <mergeCell ref="P455:V455"/>
    <mergeCell ref="A451:Z451"/>
    <mergeCell ref="A147:Z147"/>
    <mergeCell ref="P207:T207"/>
    <mergeCell ref="A131:O132"/>
    <mergeCell ref="P299:T299"/>
    <mergeCell ref="P172:V172"/>
    <mergeCell ref="P260:T260"/>
    <mergeCell ref="D399:E399"/>
    <mergeCell ref="D59:E59"/>
    <mergeCell ref="D178:E178"/>
    <mergeCell ref="P51:T51"/>
    <mergeCell ref="P324:T324"/>
    <mergeCell ref="D463:E463"/>
    <mergeCell ref="P153:T153"/>
    <mergeCell ref="R560:R561"/>
    <mergeCell ref="A199:O200"/>
    <mergeCell ref="P511:T511"/>
    <mergeCell ref="T560:T561"/>
    <mergeCell ref="P507:V507"/>
    <mergeCell ref="A506:O507"/>
    <mergeCell ref="A350:Z350"/>
    <mergeCell ref="P313:V313"/>
    <mergeCell ref="P444:V444"/>
    <mergeCell ref="P380:T380"/>
    <mergeCell ref="A496:Z496"/>
    <mergeCell ref="S560:S561"/>
    <mergeCell ref="P393:T393"/>
    <mergeCell ref="P232:T232"/>
    <mergeCell ref="A82:Z82"/>
    <mergeCell ref="A275:Z275"/>
    <mergeCell ref="Q10:R10"/>
    <mergeCell ref="D41:E41"/>
    <mergeCell ref="A486:O487"/>
    <mergeCell ref="P318:V318"/>
    <mergeCell ref="D277:E277"/>
    <mergeCell ref="P25:V25"/>
    <mergeCell ref="P554:V554"/>
    <mergeCell ref="D371:E371"/>
    <mergeCell ref="D485:E485"/>
    <mergeCell ref="D137:E137"/>
    <mergeCell ref="P124:V124"/>
    <mergeCell ref="P489:T489"/>
    <mergeCell ref="P80:V80"/>
    <mergeCell ref="D130:E130"/>
    <mergeCell ref="D372:E372"/>
    <mergeCell ref="P449:V449"/>
    <mergeCell ref="A203:Z203"/>
    <mergeCell ref="D68:E68"/>
    <mergeCell ref="P245:T245"/>
    <mergeCell ref="P516:T516"/>
    <mergeCell ref="D188:E188"/>
    <mergeCell ref="P543:T543"/>
    <mergeCell ref="D424:E424"/>
    <mergeCell ref="P224:T224"/>
    <mergeCell ref="T5:U5"/>
    <mergeCell ref="D119:E119"/>
    <mergeCell ref="I560:I561"/>
    <mergeCell ref="D246:E246"/>
    <mergeCell ref="D190:E190"/>
    <mergeCell ref="P294:V294"/>
    <mergeCell ref="V5:W5"/>
    <mergeCell ref="D40:E40"/>
    <mergeCell ref="P361:T361"/>
    <mergeCell ref="D338:E338"/>
    <mergeCell ref="D282:E282"/>
    <mergeCell ref="P212:V212"/>
    <mergeCell ref="D111:E111"/>
    <mergeCell ref="Q8:R8"/>
    <mergeCell ref="P311:T311"/>
    <mergeCell ref="D183:E183"/>
    <mergeCell ref="P267:T267"/>
    <mergeCell ref="A257:O258"/>
    <mergeCell ref="D219:E219"/>
    <mergeCell ref="A288:O289"/>
    <mergeCell ref="D104:E104"/>
    <mergeCell ref="P425:T425"/>
    <mergeCell ref="D340:E340"/>
    <mergeCell ref="T6:U9"/>
    <mergeCell ref="A126:Z126"/>
    <mergeCell ref="P501:T501"/>
    <mergeCell ref="A253:Z253"/>
    <mergeCell ref="A495:Z495"/>
    <mergeCell ref="P355:V355"/>
    <mergeCell ref="A12:M12"/>
    <mergeCell ref="P293:V293"/>
    <mergeCell ref="P397:T397"/>
    <mergeCell ref="A538:Z538"/>
    <mergeCell ref="P200:V200"/>
    <mergeCell ref="A19:Z19"/>
    <mergeCell ref="P372:T372"/>
    <mergeCell ref="D182:E182"/>
    <mergeCell ref="D480:E480"/>
    <mergeCell ref="D280:E280"/>
    <mergeCell ref="P528:V528"/>
    <mergeCell ref="P163:T163"/>
    <mergeCell ref="D109:E109"/>
    <mergeCell ref="A14:M14"/>
    <mergeCell ref="P424:T424"/>
    <mergeCell ref="P319:V319"/>
    <mergeCell ref="P512:V512"/>
    <mergeCell ref="P491:T491"/>
    <mergeCell ref="P322:T322"/>
    <mergeCell ref="P15:T16"/>
    <mergeCell ref="D116:E116"/>
    <mergeCell ref="D352:E352"/>
    <mergeCell ref="P219:T219"/>
    <mergeCell ref="D91:E91"/>
    <mergeCell ref="P23:T23"/>
    <mergeCell ref="A536:O537"/>
    <mergeCell ref="P272:T272"/>
    <mergeCell ref="P210:T210"/>
    <mergeCell ref="P439:V439"/>
    <mergeCell ref="D454:E454"/>
    <mergeCell ref="A438:O439"/>
    <mergeCell ref="P433:V433"/>
    <mergeCell ref="D398:E398"/>
    <mergeCell ref="A69:O70"/>
    <mergeCell ref="D416:E416"/>
    <mergeCell ref="P427:T427"/>
    <mergeCell ref="P283:T283"/>
    <mergeCell ref="D93:E93"/>
    <mergeCell ref="P277:T277"/>
    <mergeCell ref="P519:T519"/>
    <mergeCell ref="D391:E391"/>
    <mergeCell ref="D220:E220"/>
    <mergeCell ref="A394:O395"/>
    <mergeCell ref="D9:E9"/>
    <mergeCell ref="F9:G9"/>
    <mergeCell ref="A47:Z47"/>
    <mergeCell ref="A419:O420"/>
    <mergeCell ref="D403:E403"/>
    <mergeCell ref="D232:E232"/>
    <mergeCell ref="A406:O407"/>
    <mergeCell ref="P239:T239"/>
    <mergeCell ref="P68:T68"/>
    <mergeCell ref="A247:O248"/>
    <mergeCell ref="P186:V186"/>
    <mergeCell ref="A185:O186"/>
    <mergeCell ref="D38:E38"/>
    <mergeCell ref="A312:O313"/>
    <mergeCell ref="P353:T353"/>
    <mergeCell ref="D169:E169"/>
    <mergeCell ref="A262:O263"/>
    <mergeCell ref="P303:T303"/>
    <mergeCell ref="A357:Z357"/>
    <mergeCell ref="P75:V75"/>
    <mergeCell ref="A329:Z329"/>
    <mergeCell ref="P304:V304"/>
    <mergeCell ref="P344:V344"/>
    <mergeCell ref="A396:Z396"/>
    <mergeCell ref="A5:C5"/>
    <mergeCell ref="P412:V412"/>
    <mergeCell ref="A408:Z408"/>
    <mergeCell ref="P340:T340"/>
    <mergeCell ref="J560:J561"/>
    <mergeCell ref="P191:V191"/>
    <mergeCell ref="A187:Z187"/>
    <mergeCell ref="L560:L561"/>
    <mergeCell ref="D179:E179"/>
    <mergeCell ref="A423:Z423"/>
    <mergeCell ref="P349:V349"/>
    <mergeCell ref="P420:V420"/>
    <mergeCell ref="D464:E464"/>
    <mergeCell ref="A17:A18"/>
    <mergeCell ref="P364:V364"/>
    <mergeCell ref="P300:T300"/>
    <mergeCell ref="P371:T371"/>
    <mergeCell ref="C17:C18"/>
    <mergeCell ref="P431:T431"/>
    <mergeCell ref="D103:E103"/>
    <mergeCell ref="D37:E37"/>
    <mergeCell ref="K17:K18"/>
    <mergeCell ref="D230:E230"/>
    <mergeCell ref="A552:O557"/>
    <mergeCell ref="A6:C6"/>
    <mergeCell ref="P118:T118"/>
    <mergeCell ref="A96:Z96"/>
    <mergeCell ref="P416:T416"/>
    <mergeCell ref="P142:T142"/>
    <mergeCell ref="A161:Z161"/>
    <mergeCell ref="D148:E148"/>
    <mergeCell ref="P403:T403"/>
    <mergeCell ref="P378:T378"/>
    <mergeCell ref="D324:E324"/>
    <mergeCell ref="P117:T117"/>
    <mergeCell ref="D311:E311"/>
    <mergeCell ref="P182:T182"/>
    <mergeCell ref="P280:T280"/>
    <mergeCell ref="Q12:R12"/>
    <mergeCell ref="D261:E261"/>
    <mergeCell ref="P169:T169"/>
    <mergeCell ref="P411:T411"/>
    <mergeCell ref="D90:E90"/>
    <mergeCell ref="P196:V196"/>
    <mergeCell ref="P119:T119"/>
    <mergeCell ref="P246:T246"/>
    <mergeCell ref="A43:O44"/>
    <mergeCell ref="P62:V62"/>
    <mergeCell ref="Q9:R9"/>
    <mergeCell ref="D255:E255"/>
    <mergeCell ref="A524:Z524"/>
    <mergeCell ref="P78:T78"/>
    <mergeCell ref="A97:Z97"/>
    <mergeCell ref="Q11:R11"/>
    <mergeCell ref="K560:K561"/>
    <mergeCell ref="P465:V465"/>
    <mergeCell ref="M560:M561"/>
    <mergeCell ref="D453:E453"/>
    <mergeCell ref="D322:E322"/>
    <mergeCell ref="A290:Z290"/>
    <mergeCell ref="D260:E260"/>
    <mergeCell ref="P205:T205"/>
    <mergeCell ref="A195:O196"/>
    <mergeCell ref="P180:T180"/>
    <mergeCell ref="D517:E517"/>
    <mergeCell ref="P480:T480"/>
    <mergeCell ref="P442:T442"/>
    <mergeCell ref="D448:E448"/>
    <mergeCell ref="D390:E390"/>
    <mergeCell ref="D339:E339"/>
    <mergeCell ref="P66:T66"/>
    <mergeCell ref="D180:E180"/>
    <mergeCell ref="I17:I18"/>
    <mergeCell ref="D141:E141"/>
    <mergeCell ref="D135:E135"/>
    <mergeCell ref="P189:T189"/>
    <mergeCell ref="D377:E377"/>
    <mergeCell ref="P114:V114"/>
    <mergeCell ref="P287:T287"/>
    <mergeCell ref="A547:Z547"/>
    <mergeCell ref="P281:T281"/>
    <mergeCell ref="P352:T352"/>
    <mergeCell ref="D72:E72"/>
    <mergeCell ref="P498:T498"/>
    <mergeCell ref="P137:T137"/>
    <mergeCell ref="D118:E118"/>
    <mergeCell ref="P486:V486"/>
    <mergeCell ref="P540:V540"/>
    <mergeCell ref="A421:Z421"/>
    <mergeCell ref="A162:Z162"/>
    <mergeCell ref="D27:E27"/>
    <mergeCell ref="D325:E325"/>
    <mergeCell ref="P208:T208"/>
    <mergeCell ref="A138:O139"/>
    <mergeCell ref="P544:T544"/>
    <mergeCell ref="P199:V199"/>
    <mergeCell ref="AB559:AC559"/>
    <mergeCell ref="A336:Z336"/>
    <mergeCell ref="A293:O294"/>
    <mergeCell ref="P125:V125"/>
    <mergeCell ref="P557:V557"/>
    <mergeCell ref="A115:Z115"/>
    <mergeCell ref="P428:T428"/>
    <mergeCell ref="D100:E100"/>
    <mergeCell ref="P284:T284"/>
    <mergeCell ref="P348:V348"/>
    <mergeCell ref="A545:O546"/>
    <mergeCell ref="A173:Z173"/>
    <mergeCell ref="P129:T129"/>
    <mergeCell ref="A446:Z446"/>
    <mergeCell ref="P194:T194"/>
    <mergeCell ref="P250:T250"/>
    <mergeCell ref="P286:T286"/>
    <mergeCell ref="D158:E158"/>
    <mergeCell ref="P479:T479"/>
    <mergeCell ref="A402:Z402"/>
    <mergeCell ref="D229:E229"/>
    <mergeCell ref="A494:Z494"/>
    <mergeCell ref="D108:E108"/>
    <mergeCell ref="P429:T429"/>
    <mergeCell ref="A26:Z26"/>
    <mergeCell ref="D1:F1"/>
    <mergeCell ref="A71:Z71"/>
    <mergeCell ref="A512:O513"/>
    <mergeCell ref="J17:J18"/>
    <mergeCell ref="L17:L18"/>
    <mergeCell ref="B560:B561"/>
    <mergeCell ref="P555:V555"/>
    <mergeCell ref="A327:O328"/>
    <mergeCell ref="D560:D561"/>
    <mergeCell ref="D511:E511"/>
    <mergeCell ref="P426:T426"/>
    <mergeCell ref="P255:T255"/>
    <mergeCell ref="A542:Z542"/>
    <mergeCell ref="D240:E240"/>
    <mergeCell ref="P17:T18"/>
    <mergeCell ref="P50:T50"/>
    <mergeCell ref="D31:E31"/>
    <mergeCell ref="D77:E77"/>
    <mergeCell ref="D369:E369"/>
    <mergeCell ref="A304:O305"/>
    <mergeCell ref="P223:T223"/>
    <mergeCell ref="A168:Z168"/>
    <mergeCell ref="A540:O541"/>
    <mergeCell ref="W560:W561"/>
    <mergeCell ref="D527:E527"/>
    <mergeCell ref="P335:V335"/>
    <mergeCell ref="A45:Z45"/>
    <mergeCell ref="Y559:Z559"/>
    <mergeCell ref="A452:Z452"/>
    <mergeCell ref="P387:V387"/>
    <mergeCell ref="D316:E316"/>
    <mergeCell ref="A218:Z218"/>
    <mergeCell ref="D443:E443"/>
    <mergeCell ref="D272:E272"/>
    <mergeCell ref="A345:Z345"/>
    <mergeCell ref="D210:E210"/>
    <mergeCell ref="A492:O493"/>
    <mergeCell ref="A46:Z46"/>
    <mergeCell ref="D380:E380"/>
    <mergeCell ref="D209:E209"/>
    <mergeCell ref="A89:Z89"/>
    <mergeCell ref="P464:T464"/>
    <mergeCell ref="D245:E245"/>
    <mergeCell ref="D516:E516"/>
    <mergeCell ref="D301:E301"/>
    <mergeCell ref="P116:T116"/>
    <mergeCell ref="P551:V551"/>
    <mergeCell ref="V560:V561"/>
    <mergeCell ref="D501:E501"/>
    <mergeCell ref="X560:X561"/>
    <mergeCell ref="D28:E28"/>
    <mergeCell ref="P405:T405"/>
    <mergeCell ref="D326:E326"/>
    <mergeCell ref="P257:V257"/>
    <mergeCell ref="A76:Z76"/>
    <mergeCell ref="P184:T184"/>
    <mergeCell ref="D236:E236"/>
    <mergeCell ref="D117:E117"/>
    <mergeCell ref="D92:E92"/>
    <mergeCell ref="D30:E30"/>
    <mergeCell ref="D353:E353"/>
    <mergeCell ref="D67:E67"/>
    <mergeCell ref="A140:Z140"/>
    <mergeCell ref="D303:E303"/>
    <mergeCell ref="P453:T453"/>
    <mergeCell ref="P42:T42"/>
    <mergeCell ref="A32:O33"/>
    <mergeCell ref="D361:E361"/>
    <mergeCell ref="D417:E417"/>
    <mergeCell ref="P471:T471"/>
    <mergeCell ref="P148:T148"/>
    <mergeCell ref="A560:A561"/>
    <mergeCell ref="P271:T271"/>
    <mergeCell ref="P100:T100"/>
    <mergeCell ref="C560:C561"/>
    <mergeCell ref="P265:T265"/>
    <mergeCell ref="P458:T458"/>
    <mergeCell ref="D559:J559"/>
    <mergeCell ref="D379:E379"/>
    <mergeCell ref="A211:O212"/>
    <mergeCell ref="D208:E208"/>
    <mergeCell ref="D300:E300"/>
    <mergeCell ref="P237:T237"/>
    <mergeCell ref="P473:T473"/>
    <mergeCell ref="A459:O460"/>
    <mergeCell ref="P158:T158"/>
    <mergeCell ref="P251:V251"/>
    <mergeCell ref="P487:V487"/>
    <mergeCell ref="P343:V343"/>
    <mergeCell ref="P266:T266"/>
    <mergeCell ref="A526:Z526"/>
    <mergeCell ref="P527:T527"/>
    <mergeCell ref="P502:T502"/>
    <mergeCell ref="D470:E470"/>
    <mergeCell ref="P331:T331"/>
    <mergeCell ref="P546:V546"/>
    <mergeCell ref="D110:E110"/>
    <mergeCell ref="A321:Z321"/>
    <mergeCell ref="D142:E142"/>
    <mergeCell ref="A120:O121"/>
    <mergeCell ref="D378:E378"/>
    <mergeCell ref="D129:E129"/>
    <mergeCell ref="D7:M7"/>
    <mergeCell ref="P236:T236"/>
    <mergeCell ref="A81:Z81"/>
    <mergeCell ref="P327:V327"/>
    <mergeCell ref="P156:V156"/>
    <mergeCell ref="P92:T92"/>
    <mergeCell ref="D315:E315"/>
    <mergeCell ref="P521:T521"/>
    <mergeCell ref="D442:E442"/>
    <mergeCell ref="D502:E502"/>
    <mergeCell ref="D302:E302"/>
    <mergeCell ref="D429:E429"/>
    <mergeCell ref="A159:O160"/>
    <mergeCell ref="P29:T29"/>
    <mergeCell ref="D8:M8"/>
    <mergeCell ref="P31:T31"/>
    <mergeCell ref="A330:Z330"/>
    <mergeCell ref="Y560:Y561"/>
    <mergeCell ref="P166:V166"/>
    <mergeCell ref="P531:T531"/>
    <mergeCell ref="A525:Z525"/>
    <mergeCell ref="A202:Z202"/>
    <mergeCell ref="P233:V233"/>
    <mergeCell ref="P104:T104"/>
    <mergeCell ref="P466:V466"/>
    <mergeCell ref="B17:B18"/>
    <mergeCell ref="D479:E479"/>
    <mergeCell ref="P248:V248"/>
    <mergeCell ref="A171:O172"/>
    <mergeCell ref="P506:V506"/>
    <mergeCell ref="P477:V477"/>
    <mergeCell ref="P533:V533"/>
    <mergeCell ref="A358:Z358"/>
    <mergeCell ref="P404:T404"/>
    <mergeCell ref="D543:E543"/>
    <mergeCell ref="D518:E518"/>
    <mergeCell ref="P56:T56"/>
    <mergeCell ref="A197:Z197"/>
    <mergeCell ref="P379:T379"/>
    <mergeCell ref="D360:E360"/>
    <mergeCell ref="D189:E189"/>
    <mergeCell ref="P549:T549"/>
    <mergeCell ref="P165:T165"/>
    <mergeCell ref="P400:V400"/>
    <mergeCell ref="D98:E98"/>
    <mergeCell ref="P152:T152"/>
    <mergeCell ref="D73:E73"/>
    <mergeCell ref="P30:T30"/>
    <mergeCell ref="P375:V375"/>
    <mergeCell ref="A374:O375"/>
    <mergeCell ref="D431:E431"/>
    <mergeCell ref="P99:T99"/>
    <mergeCell ref="A422:Z422"/>
    <mergeCell ref="D287:E287"/>
    <mergeCell ref="P170:T170"/>
    <mergeCell ref="A94:O95"/>
    <mergeCell ref="D474:E474"/>
    <mergeCell ref="P316:T316"/>
    <mergeCell ref="P113:V113"/>
    <mergeCell ref="D66:E66"/>
    <mergeCell ref="P443:T443"/>
    <mergeCell ref="D411:E411"/>
    <mergeCell ref="P159:V159"/>
    <mergeCell ref="A522:O523"/>
    <mergeCell ref="P395:V395"/>
    <mergeCell ref="R1:T1"/>
    <mergeCell ref="P150:T150"/>
    <mergeCell ref="P28:T28"/>
    <mergeCell ref="P392:T392"/>
    <mergeCell ref="P326:T326"/>
    <mergeCell ref="D332:E332"/>
    <mergeCell ref="P386:T386"/>
    <mergeCell ref="D307:E307"/>
    <mergeCell ref="P221:T221"/>
    <mergeCell ref="P215:T215"/>
    <mergeCell ref="A74:O75"/>
    <mergeCell ref="A381:O382"/>
    <mergeCell ref="P209:T209"/>
    <mergeCell ref="P388:V388"/>
    <mergeCell ref="A213:Z213"/>
    <mergeCell ref="P217:V217"/>
    <mergeCell ref="H1:Q1"/>
    <mergeCell ref="A243:Z243"/>
    <mergeCell ref="P274:V274"/>
    <mergeCell ref="A366:Z366"/>
    <mergeCell ref="D284:E284"/>
    <mergeCell ref="D5:E5"/>
    <mergeCell ref="P240:T240"/>
    <mergeCell ref="D354:E354"/>
    <mergeCell ref="P545:V545"/>
    <mergeCell ref="P88:V88"/>
    <mergeCell ref="A79:O80"/>
    <mergeCell ref="P391:T391"/>
    <mergeCell ref="P220:T220"/>
    <mergeCell ref="D505:E505"/>
    <mergeCell ref="P518:T518"/>
    <mergeCell ref="D499:E499"/>
    <mergeCell ref="D238:E238"/>
    <mergeCell ref="D426:E426"/>
    <mergeCell ref="A216:O217"/>
    <mergeCell ref="P86:T86"/>
    <mergeCell ref="A343:O344"/>
    <mergeCell ref="P384:T384"/>
    <mergeCell ref="D134:E134"/>
    <mergeCell ref="D205:E205"/>
    <mergeCell ref="P520:T520"/>
    <mergeCell ref="D363:E363"/>
    <mergeCell ref="A87:O88"/>
    <mergeCell ref="A434:Z434"/>
    <mergeCell ref="P532:V532"/>
    <mergeCell ref="P459:V459"/>
    <mergeCell ref="P541:V541"/>
    <mergeCell ref="P539:T539"/>
    <mergeCell ref="A34:Z34"/>
    <mergeCell ref="H9:I9"/>
    <mergeCell ref="P24:V24"/>
    <mergeCell ref="D281:E281"/>
    <mergeCell ref="P211:V211"/>
    <mergeCell ref="A36:Z36"/>
    <mergeCell ref="A383:Z383"/>
    <mergeCell ref="P309:V309"/>
    <mergeCell ref="P454:T454"/>
    <mergeCell ref="D297:E297"/>
    <mergeCell ref="D78:E78"/>
    <mergeCell ref="A55:Z55"/>
    <mergeCell ref="V10:W10"/>
    <mergeCell ref="W17:W18"/>
    <mergeCell ref="P106:V106"/>
    <mergeCell ref="P33:V33"/>
    <mergeCell ref="P39:T39"/>
    <mergeCell ref="A376:Z376"/>
    <mergeCell ref="A233:O234"/>
    <mergeCell ref="D224:E224"/>
    <mergeCell ref="P103:T103"/>
    <mergeCell ref="P268:T268"/>
    <mergeCell ref="P339:T339"/>
    <mergeCell ref="P230:T230"/>
    <mergeCell ref="D535:E535"/>
    <mergeCell ref="D473:E473"/>
    <mergeCell ref="D60:E60"/>
    <mergeCell ref="P244:T244"/>
    <mergeCell ref="P73:T73"/>
    <mergeCell ref="P437:T437"/>
    <mergeCell ref="P315:T315"/>
    <mergeCell ref="P231:T231"/>
    <mergeCell ref="A432:O433"/>
    <mergeCell ref="P302:T302"/>
    <mergeCell ref="D174:E174"/>
    <mergeCell ref="D472:E472"/>
    <mergeCell ref="P87:V87"/>
    <mergeCell ref="D410:E410"/>
    <mergeCell ref="D520:E520"/>
    <mergeCell ref="D498:E498"/>
    <mergeCell ref="P460:V460"/>
    <mergeCell ref="P474:T474"/>
    <mergeCell ref="A468:Z468"/>
    <mergeCell ref="P139:V139"/>
    <mergeCell ref="P288:V288"/>
    <mergeCell ref="P285:T285"/>
    <mergeCell ref="P263:V263"/>
    <mergeCell ref="A259:Z259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864</v>
      </c>
      <c r="H1" s="52"/>
    </row>
    <row r="3" spans="2:8" x14ac:dyDescent="0.2">
      <c r="B3" s="47" t="s">
        <v>865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866</v>
      </c>
      <c r="C6" s="47" t="s">
        <v>867</v>
      </c>
      <c r="D6" s="47" t="s">
        <v>868</v>
      </c>
      <c r="E6" s="47"/>
    </row>
    <row r="7" spans="2:8" x14ac:dyDescent="0.2">
      <c r="B7" s="47" t="s">
        <v>869</v>
      </c>
      <c r="C7" s="47" t="s">
        <v>870</v>
      </c>
      <c r="D7" s="47" t="s">
        <v>871</v>
      </c>
      <c r="E7" s="47"/>
    </row>
    <row r="8" spans="2:8" x14ac:dyDescent="0.2">
      <c r="B8" s="47" t="s">
        <v>872</v>
      </c>
      <c r="C8" s="47" t="s">
        <v>873</v>
      </c>
      <c r="D8" s="47" t="s">
        <v>874</v>
      </c>
      <c r="E8" s="47"/>
    </row>
    <row r="9" spans="2:8" x14ac:dyDescent="0.2">
      <c r="B9" s="47" t="s">
        <v>875</v>
      </c>
      <c r="C9" s="47" t="s">
        <v>876</v>
      </c>
      <c r="D9" s="47" t="s">
        <v>877</v>
      </c>
      <c r="E9" s="47"/>
    </row>
    <row r="10" spans="2:8" x14ac:dyDescent="0.2">
      <c r="B10" s="47" t="s">
        <v>878</v>
      </c>
      <c r="C10" s="47" t="s">
        <v>879</v>
      </c>
      <c r="D10" s="47" t="s">
        <v>880</v>
      </c>
      <c r="E10" s="47"/>
    </row>
    <row r="11" spans="2:8" x14ac:dyDescent="0.2">
      <c r="B11" s="47" t="s">
        <v>881</v>
      </c>
      <c r="C11" s="47" t="s">
        <v>882</v>
      </c>
      <c r="D11" s="47" t="s">
        <v>883</v>
      </c>
      <c r="E11" s="47"/>
    </row>
    <row r="12" spans="2:8" x14ac:dyDescent="0.2">
      <c r="B12" s="47" t="s">
        <v>884</v>
      </c>
      <c r="C12" s="47" t="s">
        <v>885</v>
      </c>
      <c r="D12" s="47" t="s">
        <v>886</v>
      </c>
      <c r="E12" s="47"/>
    </row>
    <row r="14" spans="2:8" x14ac:dyDescent="0.2">
      <c r="B14" s="47" t="s">
        <v>887</v>
      </c>
      <c r="C14" s="47" t="s">
        <v>867</v>
      </c>
      <c r="D14" s="47"/>
      <c r="E14" s="47"/>
    </row>
    <row r="16" spans="2:8" x14ac:dyDescent="0.2">
      <c r="B16" s="47" t="s">
        <v>888</v>
      </c>
      <c r="C16" s="47" t="s">
        <v>870</v>
      </c>
      <c r="D16" s="47"/>
      <c r="E16" s="47"/>
    </row>
    <row r="18" spans="2:5" x14ac:dyDescent="0.2">
      <c r="B18" s="47" t="s">
        <v>889</v>
      </c>
      <c r="C18" s="47" t="s">
        <v>873</v>
      </c>
      <c r="D18" s="47"/>
      <c r="E18" s="47"/>
    </row>
    <row r="20" spans="2:5" x14ac:dyDescent="0.2">
      <c r="B20" s="47" t="s">
        <v>890</v>
      </c>
      <c r="C20" s="47" t="s">
        <v>876</v>
      </c>
      <c r="D20" s="47"/>
      <c r="E20" s="47"/>
    </row>
    <row r="22" spans="2:5" x14ac:dyDescent="0.2">
      <c r="B22" s="47" t="s">
        <v>891</v>
      </c>
      <c r="C22" s="47" t="s">
        <v>879</v>
      </c>
      <c r="D22" s="47"/>
      <c r="E22" s="47"/>
    </row>
    <row r="24" spans="2:5" x14ac:dyDescent="0.2">
      <c r="B24" s="47" t="s">
        <v>892</v>
      </c>
      <c r="C24" s="47" t="s">
        <v>882</v>
      </c>
      <c r="D24" s="47"/>
      <c r="E24" s="47"/>
    </row>
    <row r="26" spans="2:5" x14ac:dyDescent="0.2">
      <c r="B26" s="47" t="s">
        <v>893</v>
      </c>
      <c r="C26" s="47" t="s">
        <v>885</v>
      </c>
      <c r="D26" s="47"/>
      <c r="E26" s="47"/>
    </row>
    <row r="28" spans="2:5" x14ac:dyDescent="0.2">
      <c r="B28" s="47" t="s">
        <v>894</v>
      </c>
      <c r="C28" s="47"/>
      <c r="D28" s="47"/>
      <c r="E28" s="47"/>
    </row>
    <row r="29" spans="2:5" x14ac:dyDescent="0.2">
      <c r="B29" s="47" t="s">
        <v>895</v>
      </c>
      <c r="C29" s="47"/>
      <c r="D29" s="47"/>
      <c r="E29" s="47"/>
    </row>
    <row r="30" spans="2:5" x14ac:dyDescent="0.2">
      <c r="B30" s="47" t="s">
        <v>896</v>
      </c>
      <c r="C30" s="47"/>
      <c r="D30" s="47"/>
      <c r="E30" s="47"/>
    </row>
    <row r="31" spans="2:5" x14ac:dyDescent="0.2">
      <c r="B31" s="47" t="s">
        <v>897</v>
      </c>
      <c r="C31" s="47"/>
      <c r="D31" s="47"/>
      <c r="E31" s="47"/>
    </row>
    <row r="32" spans="2:5" x14ac:dyDescent="0.2">
      <c r="B32" s="47" t="s">
        <v>898</v>
      </c>
      <c r="C32" s="47"/>
      <c r="D32" s="47"/>
      <c r="E32" s="47"/>
    </row>
    <row r="33" spans="2:5" x14ac:dyDescent="0.2">
      <c r="B33" s="47" t="s">
        <v>899</v>
      </c>
      <c r="C33" s="47"/>
      <c r="D33" s="47"/>
      <c r="E33" s="47"/>
    </row>
    <row r="34" spans="2:5" x14ac:dyDescent="0.2">
      <c r="B34" s="47" t="s">
        <v>900</v>
      </c>
      <c r="C34" s="47"/>
      <c r="D34" s="47"/>
      <c r="E34" s="47"/>
    </row>
    <row r="35" spans="2:5" x14ac:dyDescent="0.2">
      <c r="B35" s="47" t="s">
        <v>901</v>
      </c>
      <c r="C35" s="47"/>
      <c r="D35" s="47"/>
      <c r="E35" s="47"/>
    </row>
    <row r="36" spans="2:5" x14ac:dyDescent="0.2">
      <c r="B36" s="47" t="s">
        <v>902</v>
      </c>
      <c r="C36" s="47"/>
      <c r="D36" s="47"/>
      <c r="E36" s="47"/>
    </row>
    <row r="37" spans="2:5" x14ac:dyDescent="0.2">
      <c r="B37" s="47" t="s">
        <v>903</v>
      </c>
      <c r="C37" s="47"/>
      <c r="D37" s="47"/>
      <c r="E37" s="47"/>
    </row>
    <row r="38" spans="2:5" x14ac:dyDescent="0.2">
      <c r="B38" s="47" t="s">
        <v>904</v>
      </c>
      <c r="C38" s="47"/>
      <c r="D38" s="47"/>
      <c r="E38" s="47"/>
    </row>
  </sheetData>
  <sheetProtection algorithmName="SHA-512" hashValue="9t5IKA0d1M0GATbgHtX4huM7q2GugqqfRpNt3Uk23pnusxQ9+lFKEtzzbgz1hfzcgWtqQ1OvEpAHGje8hLP+DQ==" saltValue="GyfKTQMoFAOmHn46o1lMj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1157</vt:i4>
      </vt:variant>
    </vt:vector>
  </HeadingPairs>
  <TitlesOfParts>
    <vt:vector size="115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2026-08-26T08:50:33Z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