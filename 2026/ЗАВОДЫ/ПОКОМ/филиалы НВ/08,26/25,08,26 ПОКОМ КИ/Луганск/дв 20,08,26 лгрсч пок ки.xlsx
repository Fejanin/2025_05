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E4831A0-4913-4D6E-850C-74969302D2C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2,08" sheetId="2" r:id="rId2"/>
    <sheet name="недогруз 24,08" sheetId="3" r:id="rId3"/>
  </sheets>
  <externalReferences>
    <externalReference r:id="rId4"/>
  </externalReferences>
  <definedNames>
    <definedName name="_xlnm._FilterDatabase" localSheetId="0" hidden="1">Sheet!$A$3:$AU$134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5" i="1" l="1"/>
  <c r="AV125" i="1" l="1"/>
  <c r="AV93" i="1"/>
  <c r="AV92" i="1"/>
  <c r="AV91" i="1"/>
  <c r="AV89" i="1"/>
  <c r="AV57" i="1"/>
  <c r="AV53" i="1"/>
  <c r="AV17" i="1"/>
  <c r="AV16" i="1"/>
  <c r="AV10" i="1"/>
  <c r="AU10" i="1"/>
  <c r="AB5" i="1"/>
  <c r="AV5" i="1" l="1"/>
  <c r="V5" i="1"/>
  <c r="R5" i="1" l="1"/>
  <c r="U5" i="1" l="1"/>
  <c r="T5" i="1"/>
  <c r="AU125" i="1"/>
  <c r="AU93" i="1"/>
  <c r="AU92" i="1"/>
  <c r="AU91" i="1"/>
  <c r="AU89" i="1"/>
  <c r="AU64" i="1"/>
  <c r="AU57" i="1"/>
  <c r="AU53" i="1"/>
  <c r="AU39" i="1"/>
  <c r="AU37" i="1"/>
  <c r="AU17" i="1"/>
  <c r="AU16" i="1"/>
  <c r="Q5" i="1"/>
  <c r="P5" i="1"/>
  <c r="AU5" i="1" l="1"/>
  <c r="AT10" i="1"/>
  <c r="AT16" i="1"/>
  <c r="AT17" i="1"/>
  <c r="AT53" i="1"/>
  <c r="AT57" i="1"/>
  <c r="AT89" i="1"/>
  <c r="AT91" i="1"/>
  <c r="AT92" i="1"/>
  <c r="AT93" i="1"/>
  <c r="AT125" i="1"/>
  <c r="AR134" i="1"/>
  <c r="Y134" i="1"/>
  <c r="Z134" i="1" s="1"/>
  <c r="AQ134" i="1" s="1"/>
  <c r="W134" i="1"/>
  <c r="AE134" i="1" s="1"/>
  <c r="L134" i="1"/>
  <c r="W133" i="1"/>
  <c r="AE133" i="1" s="1"/>
  <c r="L133" i="1"/>
  <c r="AC132" i="1"/>
  <c r="AR132" i="1" s="1"/>
  <c r="Z132" i="1"/>
  <c r="AQ132" i="1" s="1"/>
  <c r="Y132" i="1"/>
  <c r="W132" i="1"/>
  <c r="L132" i="1"/>
  <c r="W131" i="1"/>
  <c r="AE131" i="1" s="1"/>
  <c r="L131" i="1"/>
  <c r="AC130" i="1"/>
  <c r="AR130" i="1" s="1"/>
  <c r="Z130" i="1"/>
  <c r="AQ130" i="1" s="1"/>
  <c r="Y130" i="1"/>
  <c r="W130" i="1"/>
  <c r="L130" i="1"/>
  <c r="AC129" i="1"/>
  <c r="AR129" i="1" s="1"/>
  <c r="Z129" i="1"/>
  <c r="AQ129" i="1" s="1"/>
  <c r="Y129" i="1"/>
  <c r="W129" i="1"/>
  <c r="AE129" i="1" s="1"/>
  <c r="L129" i="1"/>
  <c r="AR128" i="1"/>
  <c r="Y128" i="1"/>
  <c r="Z128" i="1" s="1"/>
  <c r="W128" i="1"/>
  <c r="AE128" i="1" s="1"/>
  <c r="L128" i="1"/>
  <c r="AC127" i="1"/>
  <c r="AR127" i="1" s="1"/>
  <c r="Z127" i="1"/>
  <c r="AQ127" i="1" s="1"/>
  <c r="Y127" i="1"/>
  <c r="F127" i="1"/>
  <c r="F5" i="1" s="1"/>
  <c r="E127" i="1"/>
  <c r="W127" i="1" s="1"/>
  <c r="AC126" i="1"/>
  <c r="AR126" i="1" s="1"/>
  <c r="Z126" i="1"/>
  <c r="AQ126" i="1" s="1"/>
  <c r="Y126" i="1"/>
  <c r="W126" i="1"/>
  <c r="AE126" i="1" s="1"/>
  <c r="L126" i="1"/>
  <c r="W125" i="1"/>
  <c r="X125" i="1" s="1"/>
  <c r="Y125" i="1" s="1"/>
  <c r="L125" i="1"/>
  <c r="AR124" i="1"/>
  <c r="W124" i="1"/>
  <c r="AE124" i="1" s="1"/>
  <c r="L124" i="1"/>
  <c r="W123" i="1"/>
  <c r="AE123" i="1" s="1"/>
  <c r="L123" i="1"/>
  <c r="AR122" i="1"/>
  <c r="W122" i="1"/>
  <c r="AE122" i="1" s="1"/>
  <c r="L122" i="1"/>
  <c r="AR121" i="1"/>
  <c r="Y121" i="1"/>
  <c r="Z121" i="1" s="1"/>
  <c r="W121" i="1"/>
  <c r="AE121" i="1" s="1"/>
  <c r="L121" i="1"/>
  <c r="AR120" i="1"/>
  <c r="Y120" i="1"/>
  <c r="Z120" i="1" s="1"/>
  <c r="W120" i="1"/>
  <c r="AE120" i="1" s="1"/>
  <c r="L120" i="1"/>
  <c r="AR119" i="1"/>
  <c r="Y119" i="1"/>
  <c r="Z119" i="1" s="1"/>
  <c r="W119" i="1"/>
  <c r="AE119" i="1" s="1"/>
  <c r="L119" i="1"/>
  <c r="AR118" i="1"/>
  <c r="W118" i="1"/>
  <c r="AE118" i="1" s="1"/>
  <c r="L118" i="1"/>
  <c r="AR117" i="1"/>
  <c r="Y117" i="1"/>
  <c r="Z117" i="1" s="1"/>
  <c r="W117" i="1"/>
  <c r="AE117" i="1" s="1"/>
  <c r="L117" i="1"/>
  <c r="AC116" i="1"/>
  <c r="AR116" i="1" s="1"/>
  <c r="Z116" i="1"/>
  <c r="AQ116" i="1" s="1"/>
  <c r="Y116" i="1"/>
  <c r="W116" i="1"/>
  <c r="L116" i="1"/>
  <c r="AR115" i="1"/>
  <c r="Y115" i="1"/>
  <c r="Z115" i="1" s="1"/>
  <c r="AQ115" i="1" s="1"/>
  <c r="W115" i="1"/>
  <c r="AE115" i="1" s="1"/>
  <c r="L115" i="1"/>
  <c r="W114" i="1"/>
  <c r="AE114" i="1" s="1"/>
  <c r="L114" i="1"/>
  <c r="AR113" i="1"/>
  <c r="Y113" i="1"/>
  <c r="Z113" i="1" s="1"/>
  <c r="W113" i="1"/>
  <c r="AE113" i="1" s="1"/>
  <c r="L113" i="1"/>
  <c r="AR112" i="1"/>
  <c r="Y112" i="1"/>
  <c r="Z112" i="1" s="1"/>
  <c r="W112" i="1"/>
  <c r="AE112" i="1" s="1"/>
  <c r="L112" i="1"/>
  <c r="AC111" i="1"/>
  <c r="Z111" i="1"/>
  <c r="AQ111" i="1" s="1"/>
  <c r="Y111" i="1"/>
  <c r="W111" i="1"/>
  <c r="AE111" i="1" s="1"/>
  <c r="L111" i="1"/>
  <c r="AC110" i="1"/>
  <c r="AR110" i="1" s="1"/>
  <c r="Z110" i="1"/>
  <c r="AQ110" i="1" s="1"/>
  <c r="Y110" i="1"/>
  <c r="W110" i="1"/>
  <c r="AE110" i="1" s="1"/>
  <c r="L110" i="1"/>
  <c r="AC109" i="1"/>
  <c r="AR109" i="1" s="1"/>
  <c r="Z109" i="1"/>
  <c r="Y109" i="1"/>
  <c r="W109" i="1"/>
  <c r="AE109" i="1" s="1"/>
  <c r="L109" i="1"/>
  <c r="AR108" i="1"/>
  <c r="W108" i="1"/>
  <c r="AE108" i="1" s="1"/>
  <c r="L108" i="1"/>
  <c r="AR107" i="1"/>
  <c r="W107" i="1"/>
  <c r="X107" i="1" s="1"/>
  <c r="Y107" i="1" s="1"/>
  <c r="Z107" i="1" s="1"/>
  <c r="AQ107" i="1" s="1"/>
  <c r="L107" i="1"/>
  <c r="AR106" i="1"/>
  <c r="W106" i="1"/>
  <c r="AE106" i="1" s="1"/>
  <c r="L106" i="1"/>
  <c r="AR105" i="1"/>
  <c r="W105" i="1"/>
  <c r="AE105" i="1" s="1"/>
  <c r="L105" i="1"/>
  <c r="AR104" i="1"/>
  <c r="Y104" i="1"/>
  <c r="Z104" i="1" s="1"/>
  <c r="AQ104" i="1" s="1"/>
  <c r="W104" i="1"/>
  <c r="AE104" i="1" s="1"/>
  <c r="L104" i="1"/>
  <c r="AC103" i="1"/>
  <c r="AR103" i="1" s="1"/>
  <c r="Z103" i="1"/>
  <c r="AQ103" i="1" s="1"/>
  <c r="Y103" i="1"/>
  <c r="W103" i="1"/>
  <c r="AE103" i="1" s="1"/>
  <c r="L103" i="1"/>
  <c r="AR102" i="1"/>
  <c r="W102" i="1"/>
  <c r="X102" i="1" s="1"/>
  <c r="Y102" i="1" s="1"/>
  <c r="Z102" i="1" s="1"/>
  <c r="L102" i="1"/>
  <c r="AR101" i="1"/>
  <c r="Y101" i="1"/>
  <c r="Z101" i="1" s="1"/>
  <c r="W101" i="1"/>
  <c r="AE101" i="1" s="1"/>
  <c r="L101" i="1"/>
  <c r="W100" i="1"/>
  <c r="X100" i="1" s="1"/>
  <c r="Y100" i="1" s="1"/>
  <c r="L100" i="1"/>
  <c r="AC99" i="1"/>
  <c r="AR99" i="1" s="1"/>
  <c r="Z99" i="1"/>
  <c r="AQ99" i="1" s="1"/>
  <c r="Y99" i="1"/>
  <c r="W99" i="1"/>
  <c r="AE99" i="1" s="1"/>
  <c r="L99" i="1"/>
  <c r="AR98" i="1"/>
  <c r="Y98" i="1"/>
  <c r="Z98" i="1" s="1"/>
  <c r="W98" i="1"/>
  <c r="AE98" i="1" s="1"/>
  <c r="L98" i="1"/>
  <c r="AR97" i="1"/>
  <c r="W97" i="1"/>
  <c r="AE97" i="1" s="1"/>
  <c r="L97" i="1"/>
  <c r="AC96" i="1"/>
  <c r="AR96" i="1" s="1"/>
  <c r="Z96" i="1"/>
  <c r="Y96" i="1"/>
  <c r="W96" i="1"/>
  <c r="AE96" i="1" s="1"/>
  <c r="L96" i="1"/>
  <c r="AR95" i="1"/>
  <c r="Y95" i="1"/>
  <c r="Z95" i="1" s="1"/>
  <c r="AQ95" i="1" s="1"/>
  <c r="W95" i="1"/>
  <c r="AE95" i="1" s="1"/>
  <c r="L95" i="1"/>
  <c r="AR94" i="1"/>
  <c r="Y94" i="1"/>
  <c r="Z94" i="1" s="1"/>
  <c r="W94" i="1"/>
  <c r="AE94" i="1" s="1"/>
  <c r="L94" i="1"/>
  <c r="W93" i="1"/>
  <c r="AE93" i="1" s="1"/>
  <c r="L93" i="1"/>
  <c r="W92" i="1"/>
  <c r="X92" i="1" s="1"/>
  <c r="Y92" i="1" s="1"/>
  <c r="L92" i="1"/>
  <c r="W91" i="1"/>
  <c r="AE91" i="1" s="1"/>
  <c r="L91" i="1"/>
  <c r="AR90" i="1"/>
  <c r="Y90" i="1"/>
  <c r="Z90" i="1" s="1"/>
  <c r="AQ90" i="1" s="1"/>
  <c r="W90" i="1"/>
  <c r="AE90" i="1" s="1"/>
  <c r="L90" i="1"/>
  <c r="W89" i="1"/>
  <c r="X89" i="1" s="1"/>
  <c r="Y89" i="1" s="1"/>
  <c r="L89" i="1"/>
  <c r="W88" i="1"/>
  <c r="AE88" i="1" s="1"/>
  <c r="L88" i="1"/>
  <c r="AR87" i="1"/>
  <c r="Y87" i="1"/>
  <c r="Z87" i="1" s="1"/>
  <c r="AQ87" i="1" s="1"/>
  <c r="W87" i="1"/>
  <c r="AE87" i="1" s="1"/>
  <c r="L87" i="1"/>
  <c r="AR86" i="1"/>
  <c r="Y86" i="1"/>
  <c r="Z86" i="1" s="1"/>
  <c r="W86" i="1"/>
  <c r="AE86" i="1" s="1"/>
  <c r="L86" i="1"/>
  <c r="AR85" i="1"/>
  <c r="Y85" i="1"/>
  <c r="Z85" i="1" s="1"/>
  <c r="W85" i="1"/>
  <c r="AE85" i="1" s="1"/>
  <c r="L85" i="1"/>
  <c r="AR84" i="1"/>
  <c r="W84" i="1"/>
  <c r="AE84" i="1" s="1"/>
  <c r="L84" i="1"/>
  <c r="AC83" i="1"/>
  <c r="AR83" i="1" s="1"/>
  <c r="Z83" i="1"/>
  <c r="AQ83" i="1" s="1"/>
  <c r="Y83" i="1"/>
  <c r="W83" i="1"/>
  <c r="AE83" i="1" s="1"/>
  <c r="L83" i="1"/>
  <c r="W82" i="1"/>
  <c r="AE82" i="1" s="1"/>
  <c r="L82" i="1"/>
  <c r="AR81" i="1"/>
  <c r="W81" i="1"/>
  <c r="AE81" i="1" s="1"/>
  <c r="L81" i="1"/>
  <c r="AR80" i="1"/>
  <c r="W80" i="1"/>
  <c r="X80" i="1" s="1"/>
  <c r="Y80" i="1" s="1"/>
  <c r="Z80" i="1" s="1"/>
  <c r="L80" i="1"/>
  <c r="W79" i="1"/>
  <c r="AE79" i="1" s="1"/>
  <c r="L79" i="1"/>
  <c r="AR78" i="1"/>
  <c r="W78" i="1"/>
  <c r="X78" i="1" s="1"/>
  <c r="Y78" i="1" s="1"/>
  <c r="Z78" i="1" s="1"/>
  <c r="AQ78" i="1" s="1"/>
  <c r="L78" i="1"/>
  <c r="AR77" i="1"/>
  <c r="W77" i="1"/>
  <c r="AE77" i="1" s="1"/>
  <c r="L77" i="1"/>
  <c r="AR76" i="1"/>
  <c r="W76" i="1"/>
  <c r="AE76" i="1" s="1"/>
  <c r="L76" i="1"/>
  <c r="AR75" i="1"/>
  <c r="W75" i="1"/>
  <c r="X75" i="1" s="1"/>
  <c r="Y75" i="1" s="1"/>
  <c r="Z75" i="1" s="1"/>
  <c r="AD75" i="1" s="1"/>
  <c r="L75" i="1"/>
  <c r="AR74" i="1"/>
  <c r="W74" i="1"/>
  <c r="AE74" i="1" s="1"/>
  <c r="L74" i="1"/>
  <c r="AR73" i="1"/>
  <c r="W73" i="1"/>
  <c r="X73" i="1" s="1"/>
  <c r="Y73" i="1" s="1"/>
  <c r="Z73" i="1" s="1"/>
  <c r="L73" i="1"/>
  <c r="AR72" i="1"/>
  <c r="Y72" i="1"/>
  <c r="Z72" i="1" s="1"/>
  <c r="W72" i="1"/>
  <c r="AE72" i="1" s="1"/>
  <c r="L72" i="1"/>
  <c r="AR71" i="1"/>
  <c r="W71" i="1"/>
  <c r="AE71" i="1" s="1"/>
  <c r="L71" i="1"/>
  <c r="W70" i="1"/>
  <c r="AE70" i="1" s="1"/>
  <c r="L70" i="1"/>
  <c r="AC69" i="1"/>
  <c r="AR69" i="1" s="1"/>
  <c r="Z69" i="1"/>
  <c r="AQ69" i="1" s="1"/>
  <c r="Y69" i="1"/>
  <c r="W69" i="1"/>
  <c r="L69" i="1"/>
  <c r="W68" i="1"/>
  <c r="AE68" i="1" s="1"/>
  <c r="L68" i="1"/>
  <c r="AC67" i="1"/>
  <c r="AR67" i="1" s="1"/>
  <c r="Z67" i="1"/>
  <c r="AQ67" i="1" s="1"/>
  <c r="Y67" i="1"/>
  <c r="W67" i="1"/>
  <c r="AE67" i="1" s="1"/>
  <c r="L67" i="1"/>
  <c r="W66" i="1"/>
  <c r="AE66" i="1" s="1"/>
  <c r="L66" i="1"/>
  <c r="W65" i="1"/>
  <c r="L65" i="1"/>
  <c r="W64" i="1"/>
  <c r="AE64" i="1" s="1"/>
  <c r="L64" i="1"/>
  <c r="W63" i="1"/>
  <c r="L63" i="1"/>
  <c r="AR62" i="1"/>
  <c r="Y62" i="1"/>
  <c r="Z62" i="1" s="1"/>
  <c r="W62" i="1"/>
  <c r="AE62" i="1" s="1"/>
  <c r="L62" i="1"/>
  <c r="AR61" i="1"/>
  <c r="Y61" i="1"/>
  <c r="Z61" i="1" s="1"/>
  <c r="W61" i="1"/>
  <c r="AE61" i="1" s="1"/>
  <c r="L61" i="1"/>
  <c r="W60" i="1"/>
  <c r="X60" i="1" s="1"/>
  <c r="Y60" i="1" s="1"/>
  <c r="L60" i="1"/>
  <c r="AR59" i="1"/>
  <c r="W59" i="1"/>
  <c r="L59" i="1"/>
  <c r="AR58" i="1"/>
  <c r="Y58" i="1"/>
  <c r="Z58" i="1" s="1"/>
  <c r="W58" i="1"/>
  <c r="AE58" i="1" s="1"/>
  <c r="L58" i="1"/>
  <c r="W57" i="1"/>
  <c r="AE57" i="1" s="1"/>
  <c r="L57" i="1"/>
  <c r="W56" i="1"/>
  <c r="X56" i="1" s="1"/>
  <c r="AC56" i="1" s="1"/>
  <c r="AR56" i="1" s="1"/>
  <c r="L56" i="1"/>
  <c r="AC55" i="1"/>
  <c r="AR55" i="1" s="1"/>
  <c r="Z55" i="1"/>
  <c r="AQ55" i="1" s="1"/>
  <c r="Y55" i="1"/>
  <c r="W55" i="1"/>
  <c r="AE55" i="1" s="1"/>
  <c r="L55" i="1"/>
  <c r="W54" i="1"/>
  <c r="AE54" i="1" s="1"/>
  <c r="L54" i="1"/>
  <c r="AR53" i="1"/>
  <c r="Y53" i="1"/>
  <c r="Z53" i="1" s="1"/>
  <c r="W53" i="1"/>
  <c r="AE53" i="1" s="1"/>
  <c r="L53" i="1"/>
  <c r="AC52" i="1"/>
  <c r="AR52" i="1" s="1"/>
  <c r="Z52" i="1"/>
  <c r="AQ52" i="1" s="1"/>
  <c r="Y52" i="1"/>
  <c r="W52" i="1"/>
  <c r="AE52" i="1" s="1"/>
  <c r="L52" i="1"/>
  <c r="W51" i="1"/>
  <c r="AE51" i="1" s="1"/>
  <c r="L51" i="1"/>
  <c r="W50" i="1"/>
  <c r="AE50" i="1" s="1"/>
  <c r="L50" i="1"/>
  <c r="AC49" i="1"/>
  <c r="AR49" i="1" s="1"/>
  <c r="Z49" i="1"/>
  <c r="Y49" i="1"/>
  <c r="W49" i="1"/>
  <c r="AE49" i="1" s="1"/>
  <c r="L49" i="1"/>
  <c r="AC48" i="1"/>
  <c r="AR48" i="1" s="1"/>
  <c r="Z48" i="1"/>
  <c r="Y48" i="1"/>
  <c r="W48" i="1"/>
  <c r="AE48" i="1" s="1"/>
  <c r="L48" i="1"/>
  <c r="AR47" i="1"/>
  <c r="W47" i="1"/>
  <c r="X47" i="1" s="1"/>
  <c r="Y47" i="1" s="1"/>
  <c r="Z47" i="1" s="1"/>
  <c r="AQ47" i="1" s="1"/>
  <c r="L47" i="1"/>
  <c r="AC46" i="1"/>
  <c r="AR46" i="1" s="1"/>
  <c r="Z46" i="1"/>
  <c r="AQ46" i="1" s="1"/>
  <c r="Y46" i="1"/>
  <c r="W46" i="1"/>
  <c r="AE46" i="1" s="1"/>
  <c r="L46" i="1"/>
  <c r="AC45" i="1"/>
  <c r="AR45" i="1" s="1"/>
  <c r="Z45" i="1"/>
  <c r="AQ45" i="1" s="1"/>
  <c r="Y45" i="1"/>
  <c r="W45" i="1"/>
  <c r="AE45" i="1" s="1"/>
  <c r="L45" i="1"/>
  <c r="AC44" i="1"/>
  <c r="AR44" i="1" s="1"/>
  <c r="Z44" i="1"/>
  <c r="AQ44" i="1" s="1"/>
  <c r="Y44" i="1"/>
  <c r="W44" i="1"/>
  <c r="AE44" i="1" s="1"/>
  <c r="L44" i="1"/>
  <c r="AC43" i="1"/>
  <c r="AR43" i="1" s="1"/>
  <c r="Z43" i="1"/>
  <c r="AQ43" i="1" s="1"/>
  <c r="Y43" i="1"/>
  <c r="W43" i="1"/>
  <c r="AE43" i="1" s="1"/>
  <c r="L43" i="1"/>
  <c r="AR42" i="1"/>
  <c r="W42" i="1"/>
  <c r="AE42" i="1" s="1"/>
  <c r="L42" i="1"/>
  <c r="W41" i="1"/>
  <c r="X41" i="1" s="1"/>
  <c r="Y41" i="1" s="1"/>
  <c r="L41" i="1"/>
  <c r="AC40" i="1"/>
  <c r="AR40" i="1" s="1"/>
  <c r="Z40" i="1"/>
  <c r="AQ40" i="1" s="1"/>
  <c r="Y40" i="1"/>
  <c r="W40" i="1"/>
  <c r="AE40" i="1" s="1"/>
  <c r="L40" i="1"/>
  <c r="AC39" i="1"/>
  <c r="AR39" i="1" s="1"/>
  <c r="Z39" i="1"/>
  <c r="AQ39" i="1" s="1"/>
  <c r="Y39" i="1"/>
  <c r="W39" i="1"/>
  <c r="AE39" i="1" s="1"/>
  <c r="L39" i="1"/>
  <c r="W38" i="1"/>
  <c r="AE38" i="1" s="1"/>
  <c r="L38" i="1"/>
  <c r="AC37" i="1"/>
  <c r="AR37" i="1" s="1"/>
  <c r="Z37" i="1"/>
  <c r="Y37" i="1"/>
  <c r="W37" i="1"/>
  <c r="AE37" i="1" s="1"/>
  <c r="L37" i="1"/>
  <c r="AR36" i="1"/>
  <c r="Y36" i="1"/>
  <c r="Z36" i="1" s="1"/>
  <c r="W36" i="1"/>
  <c r="AE36" i="1" s="1"/>
  <c r="L36" i="1"/>
  <c r="AR35" i="1"/>
  <c r="Y35" i="1"/>
  <c r="Z35" i="1" s="1"/>
  <c r="AQ35" i="1" s="1"/>
  <c r="W35" i="1"/>
  <c r="AE35" i="1" s="1"/>
  <c r="L35" i="1"/>
  <c r="AC34" i="1"/>
  <c r="AR34" i="1" s="1"/>
  <c r="Z34" i="1"/>
  <c r="Y34" i="1"/>
  <c r="W34" i="1"/>
  <c r="AE34" i="1" s="1"/>
  <c r="L34" i="1"/>
  <c r="AR33" i="1"/>
  <c r="Y33" i="1"/>
  <c r="Z33" i="1" s="1"/>
  <c r="AQ33" i="1" s="1"/>
  <c r="W33" i="1"/>
  <c r="AE33" i="1" s="1"/>
  <c r="L33" i="1"/>
  <c r="AR32" i="1"/>
  <c r="Z32" i="1"/>
  <c r="AQ32" i="1" s="1"/>
  <c r="Y32" i="1"/>
  <c r="W32" i="1"/>
  <c r="AE32" i="1" s="1"/>
  <c r="L32" i="1"/>
  <c r="AR31" i="1"/>
  <c r="Y31" i="1"/>
  <c r="Z31" i="1" s="1"/>
  <c r="W31" i="1"/>
  <c r="AE31" i="1" s="1"/>
  <c r="L31" i="1"/>
  <c r="AR30" i="1"/>
  <c r="Y30" i="1"/>
  <c r="Z30" i="1" s="1"/>
  <c r="W30" i="1"/>
  <c r="AE30" i="1" s="1"/>
  <c r="L30" i="1"/>
  <c r="W29" i="1"/>
  <c r="X29" i="1" s="1"/>
  <c r="Y29" i="1" s="1"/>
  <c r="L29" i="1"/>
  <c r="AC28" i="1"/>
  <c r="AR28" i="1" s="1"/>
  <c r="Z28" i="1"/>
  <c r="AQ28" i="1" s="1"/>
  <c r="Y28" i="1"/>
  <c r="W28" i="1"/>
  <c r="AE28" i="1" s="1"/>
  <c r="L28" i="1"/>
  <c r="AR27" i="1"/>
  <c r="W27" i="1"/>
  <c r="AE27" i="1" s="1"/>
  <c r="L27" i="1"/>
  <c r="AC26" i="1"/>
  <c r="AR26" i="1" s="1"/>
  <c r="Z26" i="1"/>
  <c r="AQ26" i="1" s="1"/>
  <c r="Y26" i="1"/>
  <c r="W26" i="1"/>
  <c r="AE26" i="1" s="1"/>
  <c r="L26" i="1"/>
  <c r="W25" i="1"/>
  <c r="X25" i="1" s="1"/>
  <c r="Y25" i="1" s="1"/>
  <c r="L25" i="1"/>
  <c r="AR24" i="1"/>
  <c r="Y24" i="1"/>
  <c r="Z24" i="1" s="1"/>
  <c r="W24" i="1"/>
  <c r="AE24" i="1" s="1"/>
  <c r="L24" i="1"/>
  <c r="W23" i="1"/>
  <c r="L23" i="1"/>
  <c r="AR22" i="1"/>
  <c r="W22" i="1"/>
  <c r="AE22" i="1" s="1"/>
  <c r="L22" i="1"/>
  <c r="W21" i="1"/>
  <c r="AE21" i="1" s="1"/>
  <c r="L21" i="1"/>
  <c r="AR20" i="1"/>
  <c r="W20" i="1"/>
  <c r="AE20" i="1" s="1"/>
  <c r="L20" i="1"/>
  <c r="AR19" i="1"/>
  <c r="W19" i="1"/>
  <c r="AE19" i="1" s="1"/>
  <c r="L19" i="1"/>
  <c r="AR18" i="1"/>
  <c r="W18" i="1"/>
  <c r="X18" i="1" s="1"/>
  <c r="Y18" i="1" s="1"/>
  <c r="Z18" i="1" s="1"/>
  <c r="AQ18" i="1" s="1"/>
  <c r="L18" i="1"/>
  <c r="W17" i="1"/>
  <c r="AE17" i="1" s="1"/>
  <c r="L17" i="1"/>
  <c r="W16" i="1"/>
  <c r="X16" i="1" s="1"/>
  <c r="Y16" i="1" s="1"/>
  <c r="AC16" i="1" s="1"/>
  <c r="AR16" i="1" s="1"/>
  <c r="L16" i="1"/>
  <c r="AR15" i="1"/>
  <c r="Y15" i="1"/>
  <c r="Z15" i="1" s="1"/>
  <c r="AQ15" i="1" s="1"/>
  <c r="W15" i="1"/>
  <c r="AE15" i="1" s="1"/>
  <c r="L15" i="1"/>
  <c r="AR14" i="1"/>
  <c r="W14" i="1"/>
  <c r="X14" i="1" s="1"/>
  <c r="Y14" i="1" s="1"/>
  <c r="Z14" i="1" s="1"/>
  <c r="L14" i="1"/>
  <c r="AR13" i="1"/>
  <c r="W13" i="1"/>
  <c r="AE13" i="1" s="1"/>
  <c r="L13" i="1"/>
  <c r="AR12" i="1"/>
  <c r="W12" i="1"/>
  <c r="X12" i="1" s="1"/>
  <c r="Y12" i="1" s="1"/>
  <c r="Z12" i="1" s="1"/>
  <c r="L12" i="1"/>
  <c r="W11" i="1"/>
  <c r="AE11" i="1" s="1"/>
  <c r="L11" i="1"/>
  <c r="W10" i="1"/>
  <c r="AE10" i="1" s="1"/>
  <c r="L10" i="1"/>
  <c r="AR9" i="1"/>
  <c r="Y9" i="1"/>
  <c r="Z9" i="1" s="1"/>
  <c r="AQ9" i="1" s="1"/>
  <c r="W9" i="1"/>
  <c r="AE9" i="1" s="1"/>
  <c r="L9" i="1"/>
  <c r="W8" i="1"/>
  <c r="AE8" i="1" s="1"/>
  <c r="L8" i="1"/>
  <c r="W7" i="1"/>
  <c r="AE7" i="1" s="1"/>
  <c r="L7" i="1"/>
  <c r="W6" i="1"/>
  <c r="AE6" i="1" s="1"/>
  <c r="L6" i="1"/>
  <c r="AO5" i="1"/>
  <c r="AN5" i="1"/>
  <c r="AM5" i="1"/>
  <c r="AL5" i="1"/>
  <c r="AK5" i="1"/>
  <c r="AJ5" i="1"/>
  <c r="AI5" i="1"/>
  <c r="AH5" i="1"/>
  <c r="AG5" i="1"/>
  <c r="AF5" i="1"/>
  <c r="S5" i="1"/>
  <c r="O5" i="1"/>
  <c r="N5" i="1"/>
  <c r="M5" i="1"/>
  <c r="K5" i="1"/>
  <c r="AD53" i="1" l="1"/>
  <c r="AE127" i="1"/>
  <c r="AE47" i="1"/>
  <c r="X84" i="1"/>
  <c r="Y84" i="1" s="1"/>
  <c r="Z84" i="1" s="1"/>
  <c r="AQ84" i="1" s="1"/>
  <c r="AE102" i="1"/>
  <c r="AE80" i="1"/>
  <c r="AD86" i="1"/>
  <c r="X82" i="1"/>
  <c r="Y82" i="1" s="1"/>
  <c r="AC82" i="1" s="1"/>
  <c r="AR82" i="1" s="1"/>
  <c r="AD49" i="1"/>
  <c r="AD69" i="1"/>
  <c r="AE92" i="1"/>
  <c r="X20" i="1"/>
  <c r="Y20" i="1" s="1"/>
  <c r="Z20" i="1" s="1"/>
  <c r="AD20" i="1" s="1"/>
  <c r="X93" i="1"/>
  <c r="Y93" i="1" s="1"/>
  <c r="AD18" i="1"/>
  <c r="AE60" i="1"/>
  <c r="X91" i="1"/>
  <c r="Y91" i="1" s="1"/>
  <c r="AC91" i="1" s="1"/>
  <c r="AR91" i="1" s="1"/>
  <c r="AE14" i="1"/>
  <c r="AD132" i="1"/>
  <c r="X123" i="1"/>
  <c r="Y123" i="1" s="1"/>
  <c r="AC123" i="1" s="1"/>
  <c r="AR123" i="1" s="1"/>
  <c r="AD109" i="1"/>
  <c r="X118" i="1"/>
  <c r="Y118" i="1" s="1"/>
  <c r="Z118" i="1" s="1"/>
  <c r="AQ118" i="1" s="1"/>
  <c r="AE56" i="1"/>
  <c r="AE100" i="1"/>
  <c r="AE69" i="1"/>
  <c r="X105" i="1"/>
  <c r="Y105" i="1" s="1"/>
  <c r="Z105" i="1" s="1"/>
  <c r="AD105" i="1" s="1"/>
  <c r="AD47" i="1"/>
  <c r="AD116" i="1"/>
  <c r="X19" i="1"/>
  <c r="Y19" i="1" s="1"/>
  <c r="Z19" i="1" s="1"/>
  <c r="AD19" i="1" s="1"/>
  <c r="AD31" i="1"/>
  <c r="AQ98" i="1"/>
  <c r="AD98" i="1"/>
  <c r="AQ121" i="1"/>
  <c r="AD121" i="1"/>
  <c r="X10" i="1"/>
  <c r="Y10" i="1" s="1"/>
  <c r="X27" i="1"/>
  <c r="Y27" i="1" s="1"/>
  <c r="Z27" i="1" s="1"/>
  <c r="AD27" i="1" s="1"/>
  <c r="X71" i="1"/>
  <c r="Y71" i="1" s="1"/>
  <c r="Z71" i="1" s="1"/>
  <c r="AD71" i="1" s="1"/>
  <c r="X76" i="1"/>
  <c r="Y76" i="1" s="1"/>
  <c r="Z76" i="1" s="1"/>
  <c r="AQ76" i="1" s="1"/>
  <c r="AE16" i="1"/>
  <c r="AD39" i="1"/>
  <c r="AD67" i="1"/>
  <c r="X17" i="1"/>
  <c r="Y17" i="1" s="1"/>
  <c r="AC17" i="1" s="1"/>
  <c r="AR17" i="1" s="1"/>
  <c r="AD32" i="1"/>
  <c r="AQ86" i="1"/>
  <c r="AD95" i="1"/>
  <c r="AD110" i="1"/>
  <c r="AD36" i="1"/>
  <c r="AD44" i="1"/>
  <c r="X57" i="1"/>
  <c r="Y57" i="1" s="1"/>
  <c r="AC57" i="1" s="1"/>
  <c r="AE107" i="1"/>
  <c r="AE132" i="1"/>
  <c r="AE18" i="1"/>
  <c r="AQ36" i="1"/>
  <c r="AE73" i="1"/>
  <c r="AD83" i="1"/>
  <c r="E5" i="1"/>
  <c r="AD87" i="1"/>
  <c r="AE29" i="1"/>
  <c r="AE41" i="1"/>
  <c r="X64" i="1"/>
  <c r="Y64" i="1" s="1"/>
  <c r="AC64" i="1" s="1"/>
  <c r="AR64" i="1" s="1"/>
  <c r="AE125" i="1"/>
  <c r="AD104" i="1"/>
  <c r="X133" i="1"/>
  <c r="AC133" i="1" s="1"/>
  <c r="AR133" i="1" s="1"/>
  <c r="AE75" i="1"/>
  <c r="AQ49" i="1"/>
  <c r="X66" i="1"/>
  <c r="Y66" i="1" s="1"/>
  <c r="AC66" i="1" s="1"/>
  <c r="AR66" i="1" s="1"/>
  <c r="X97" i="1"/>
  <c r="Y97" i="1" s="1"/>
  <c r="Z97" i="1" s="1"/>
  <c r="AD97" i="1" s="1"/>
  <c r="AQ109" i="1"/>
  <c r="AQ102" i="1"/>
  <c r="AD102" i="1"/>
  <c r="AQ73" i="1"/>
  <c r="AD73" i="1"/>
  <c r="AC41" i="1"/>
  <c r="AR41" i="1" s="1"/>
  <c r="AQ58" i="1"/>
  <c r="AD58" i="1"/>
  <c r="AC25" i="1"/>
  <c r="AR25" i="1" s="1"/>
  <c r="AD12" i="1"/>
  <c r="AQ12" i="1"/>
  <c r="AD80" i="1"/>
  <c r="AQ80" i="1"/>
  <c r="AC100" i="1"/>
  <c r="AR100" i="1" s="1"/>
  <c r="AC93" i="1"/>
  <c r="AR93" i="1" s="1"/>
  <c r="AQ14" i="1"/>
  <c r="AD14" i="1"/>
  <c r="AC89" i="1"/>
  <c r="AR89" i="1" s="1"/>
  <c r="AD78" i="1"/>
  <c r="AE89" i="1"/>
  <c r="AD107" i="1"/>
  <c r="AD127" i="1"/>
  <c r="AD61" i="1"/>
  <c r="AQ61" i="1"/>
  <c r="AE78" i="1"/>
  <c r="AD96" i="1"/>
  <c r="AQ96" i="1"/>
  <c r="AE25" i="1"/>
  <c r="X74" i="1"/>
  <c r="Y74" i="1" s="1"/>
  <c r="Z74" i="1" s="1"/>
  <c r="Z29" i="1"/>
  <c r="X54" i="1"/>
  <c r="Y54" i="1" s="1"/>
  <c r="AD119" i="1"/>
  <c r="AQ119" i="1"/>
  <c r="AE12" i="1"/>
  <c r="AC29" i="1"/>
  <c r="AR29" i="1" s="1"/>
  <c r="AD85" i="1"/>
  <c r="AQ85" i="1"/>
  <c r="AQ62" i="1"/>
  <c r="AD62" i="1"/>
  <c r="AR111" i="1"/>
  <c r="AD111" i="1"/>
  <c r="AQ128" i="1"/>
  <c r="AD128" i="1"/>
  <c r="AD43" i="1"/>
  <c r="AQ75" i="1"/>
  <c r="AQ94" i="1"/>
  <c r="AD94" i="1"/>
  <c r="X63" i="1"/>
  <c r="Y63" i="1" s="1"/>
  <c r="AE63" i="1"/>
  <c r="AQ120" i="1"/>
  <c r="AD120" i="1"/>
  <c r="AC125" i="1"/>
  <c r="AR125" i="1" s="1"/>
  <c r="AQ30" i="1"/>
  <c r="AD30" i="1"/>
  <c r="AQ101" i="1"/>
  <c r="AD101" i="1"/>
  <c r="AE116" i="1"/>
  <c r="AQ37" i="1"/>
  <c r="AD37" i="1"/>
  <c r="AQ112" i="1"/>
  <c r="AD112" i="1"/>
  <c r="Z16" i="1"/>
  <c r="AD16" i="1" s="1"/>
  <c r="AQ53" i="1"/>
  <c r="X23" i="1"/>
  <c r="Y23" i="1" s="1"/>
  <c r="AE23" i="1"/>
  <c r="AQ72" i="1"/>
  <c r="AD72" i="1"/>
  <c r="AC10" i="1"/>
  <c r="AR10" i="1" s="1"/>
  <c r="AQ34" i="1"/>
  <c r="AD34" i="1"/>
  <c r="AD48" i="1"/>
  <c r="AQ48" i="1"/>
  <c r="X59" i="1"/>
  <c r="Y59" i="1" s="1"/>
  <c r="Z59" i="1" s="1"/>
  <c r="AE59" i="1"/>
  <c r="AQ117" i="1"/>
  <c r="AD117" i="1"/>
  <c r="AQ31" i="1"/>
  <c r="AD84" i="1"/>
  <c r="AQ113" i="1"/>
  <c r="AD113" i="1"/>
  <c r="AD130" i="1"/>
  <c r="AE130" i="1"/>
  <c r="AD45" i="1"/>
  <c r="AD52" i="1"/>
  <c r="Y56" i="1"/>
  <c r="AQ24" i="1"/>
  <c r="AD24" i="1"/>
  <c r="Z56" i="1"/>
  <c r="AC60" i="1"/>
  <c r="AR60" i="1" s="1"/>
  <c r="X65" i="1"/>
  <c r="Y65" i="1" s="1"/>
  <c r="AE65" i="1"/>
  <c r="AC92" i="1"/>
  <c r="AR92" i="1" s="1"/>
  <c r="AD15" i="1"/>
  <c r="X70" i="1"/>
  <c r="Y70" i="1" s="1"/>
  <c r="X81" i="1"/>
  <c r="Y81" i="1" s="1"/>
  <c r="Z81" i="1" s="1"/>
  <c r="AD103" i="1"/>
  <c r="X124" i="1"/>
  <c r="Y124" i="1" s="1"/>
  <c r="Z124" i="1" s="1"/>
  <c r="X13" i="1"/>
  <c r="Y13" i="1" s="1"/>
  <c r="Z13" i="1" s="1"/>
  <c r="AD35" i="1"/>
  <c r="AD46" i="1"/>
  <c r="X11" i="1"/>
  <c r="Y11" i="1" s="1"/>
  <c r="AD28" i="1"/>
  <c r="X42" i="1"/>
  <c r="Y42" i="1" s="1"/>
  <c r="Z42" i="1" s="1"/>
  <c r="X68" i="1"/>
  <c r="X79" i="1"/>
  <c r="Y79" i="1" s="1"/>
  <c r="X88" i="1"/>
  <c r="Y88" i="1" s="1"/>
  <c r="X108" i="1"/>
  <c r="Y108" i="1" s="1"/>
  <c r="Z108" i="1" s="1"/>
  <c r="X122" i="1"/>
  <c r="Y122" i="1" s="1"/>
  <c r="Z122" i="1" s="1"/>
  <c r="AD126" i="1"/>
  <c r="X7" i="1"/>
  <c r="Y7" i="1" s="1"/>
  <c r="X22" i="1"/>
  <c r="Y22" i="1" s="1"/>
  <c r="Z22" i="1" s="1"/>
  <c r="AD26" i="1"/>
  <c r="AD33" i="1"/>
  <c r="X38" i="1"/>
  <c r="Y38" i="1" s="1"/>
  <c r="X51" i="1"/>
  <c r="Y51" i="1" s="1"/>
  <c r="AD55" i="1"/>
  <c r="X77" i="1"/>
  <c r="Y77" i="1" s="1"/>
  <c r="Z77" i="1" s="1"/>
  <c r="AD90" i="1"/>
  <c r="X106" i="1"/>
  <c r="Y106" i="1" s="1"/>
  <c r="Z106" i="1" s="1"/>
  <c r="AD99" i="1"/>
  <c r="AD9" i="1"/>
  <c r="AD40" i="1"/>
  <c r="AD115" i="1"/>
  <c r="X131" i="1"/>
  <c r="Y131" i="1" s="1"/>
  <c r="L127" i="1"/>
  <c r="L5" i="1" s="1"/>
  <c r="AD129" i="1"/>
  <c r="X6" i="1"/>
  <c r="X8" i="1"/>
  <c r="Y8" i="1" s="1"/>
  <c r="X21" i="1"/>
  <c r="Y21" i="1" s="1"/>
  <c r="X50" i="1"/>
  <c r="Y50" i="1" s="1"/>
  <c r="X114" i="1"/>
  <c r="Y114" i="1" s="1"/>
  <c r="W5" i="1"/>
  <c r="AD134" i="1"/>
  <c r="AD76" i="1" l="1"/>
  <c r="Z82" i="1"/>
  <c r="AD82" i="1" s="1"/>
  <c r="Z25" i="1"/>
  <c r="AQ25" i="1" s="1"/>
  <c r="Z133" i="1"/>
  <c r="AD133" i="1" s="1"/>
  <c r="Y133" i="1"/>
  <c r="AQ20" i="1"/>
  <c r="Z125" i="1"/>
  <c r="AD125" i="1" s="1"/>
  <c r="AQ19" i="1"/>
  <c r="AQ105" i="1"/>
  <c r="AD118" i="1"/>
  <c r="Z89" i="1"/>
  <c r="AD89" i="1" s="1"/>
  <c r="Z64" i="1"/>
  <c r="AD64" i="1" s="1"/>
  <c r="AQ71" i="1"/>
  <c r="AQ27" i="1"/>
  <c r="AR57" i="1"/>
  <c r="Z57" i="1"/>
  <c r="AD57" i="1" s="1"/>
  <c r="Z66" i="1"/>
  <c r="AD66" i="1" s="1"/>
  <c r="Z10" i="1"/>
  <c r="AD10" i="1" s="1"/>
  <c r="AQ97" i="1"/>
  <c r="Z17" i="1"/>
  <c r="AD17" i="1" s="1"/>
  <c r="Z92" i="1"/>
  <c r="AD92" i="1" s="1"/>
  <c r="AC11" i="1"/>
  <c r="AR11" i="1" s="1"/>
  <c r="AD25" i="1"/>
  <c r="AQ42" i="1"/>
  <c r="AD42" i="1"/>
  <c r="AC51" i="1"/>
  <c r="AR51" i="1" s="1"/>
  <c r="AQ81" i="1"/>
  <c r="AD81" i="1"/>
  <c r="Z41" i="1"/>
  <c r="AC63" i="1"/>
  <c r="AR63" i="1" s="1"/>
  <c r="AC70" i="1"/>
  <c r="AR70" i="1" s="1"/>
  <c r="AC114" i="1"/>
  <c r="AR114" i="1" s="1"/>
  <c r="AC54" i="1"/>
  <c r="AR54" i="1" s="1"/>
  <c r="AC23" i="1"/>
  <c r="AR23" i="1" s="1"/>
  <c r="AQ29" i="1"/>
  <c r="AD29" i="1"/>
  <c r="AQ22" i="1"/>
  <c r="AD22" i="1"/>
  <c r="AQ74" i="1"/>
  <c r="AD74" i="1"/>
  <c r="Z91" i="1"/>
  <c r="AD91" i="1" s="1"/>
  <c r="AQ13" i="1"/>
  <c r="AD13" i="1"/>
  <c r="Y6" i="1"/>
  <c r="X5" i="1"/>
  <c r="AC65" i="1"/>
  <c r="AR65" i="1" s="1"/>
  <c r="AQ16" i="1"/>
  <c r="Z93" i="1"/>
  <c r="AD93" i="1" s="1"/>
  <c r="AQ77" i="1"/>
  <c r="AD77" i="1"/>
  <c r="AD56" i="1"/>
  <c r="AQ56" i="1"/>
  <c r="Z123" i="1"/>
  <c r="Z100" i="1"/>
  <c r="AC50" i="1"/>
  <c r="AR50" i="1" s="1"/>
  <c r="AC7" i="1"/>
  <c r="AR7" i="1" s="1"/>
  <c r="AQ124" i="1"/>
  <c r="AD124" i="1"/>
  <c r="AC8" i="1"/>
  <c r="AR8" i="1" s="1"/>
  <c r="AQ108" i="1"/>
  <c r="AD108" i="1"/>
  <c r="AC88" i="1"/>
  <c r="AR88" i="1" s="1"/>
  <c r="AC79" i="1"/>
  <c r="AR79" i="1" s="1"/>
  <c r="AQ59" i="1"/>
  <c r="AD59" i="1"/>
  <c r="AQ106" i="1"/>
  <c r="AD106" i="1"/>
  <c r="AC38" i="1"/>
  <c r="AR38" i="1" s="1"/>
  <c r="AC21" i="1"/>
  <c r="AR21" i="1" s="1"/>
  <c r="AQ122" i="1"/>
  <c r="AD122" i="1"/>
  <c r="AQ133" i="1"/>
  <c r="AC131" i="1"/>
  <c r="AR131" i="1" s="1"/>
  <c r="Y68" i="1"/>
  <c r="AC68" i="1"/>
  <c r="AR68" i="1" s="1"/>
  <c r="Z68" i="1"/>
  <c r="Z60" i="1"/>
  <c r="AQ82" i="1"/>
  <c r="AQ89" i="1" l="1"/>
  <c r="Z51" i="1"/>
  <c r="AQ51" i="1" s="1"/>
  <c r="AQ17" i="1"/>
  <c r="AQ10" i="1"/>
  <c r="Z8" i="1"/>
  <c r="AQ8" i="1" s="1"/>
  <c r="AQ92" i="1"/>
  <c r="Z131" i="1"/>
  <c r="AD131" i="1" s="1"/>
  <c r="Z79" i="1"/>
  <c r="AQ79" i="1" s="1"/>
  <c r="Z38" i="1"/>
  <c r="AD38" i="1" s="1"/>
  <c r="Z114" i="1"/>
  <c r="AD114" i="1" s="1"/>
  <c r="AQ125" i="1"/>
  <c r="Z54" i="1"/>
  <c r="AQ54" i="1" s="1"/>
  <c r="Z11" i="1"/>
  <c r="AD11" i="1" s="1"/>
  <c r="AQ57" i="1"/>
  <c r="AQ64" i="1"/>
  <c r="AQ66" i="1"/>
  <c r="Z50" i="1"/>
  <c r="AQ50" i="1" s="1"/>
  <c r="Z65" i="1"/>
  <c r="AQ65" i="1" s="1"/>
  <c r="Z70" i="1"/>
  <c r="AD70" i="1" s="1"/>
  <c r="AD51" i="1"/>
  <c r="Z21" i="1"/>
  <c r="AQ41" i="1"/>
  <c r="AD41" i="1"/>
  <c r="Z63" i="1"/>
  <c r="AQ60" i="1"/>
  <c r="AD60" i="1"/>
  <c r="Z88" i="1"/>
  <c r="Z23" i="1"/>
  <c r="AQ100" i="1"/>
  <c r="AD100" i="1"/>
  <c r="AQ38" i="1"/>
  <c r="AQ123" i="1"/>
  <c r="AD123" i="1"/>
  <c r="AD79" i="1"/>
  <c r="AQ68" i="1"/>
  <c r="AD68" i="1"/>
  <c r="AC6" i="1"/>
  <c r="Z6" i="1" s="1"/>
  <c r="Y5" i="1"/>
  <c r="AQ131" i="1"/>
  <c r="AQ91" i="1"/>
  <c r="AQ93" i="1"/>
  <c r="AD54" i="1"/>
  <c r="Z7" i="1"/>
  <c r="AD8" i="1" l="1"/>
  <c r="AQ114" i="1"/>
  <c r="AQ70" i="1"/>
  <c r="AQ11" i="1"/>
  <c r="AD50" i="1"/>
  <c r="AD65" i="1"/>
  <c r="AQ23" i="1"/>
  <c r="AD23" i="1"/>
  <c r="AQ88" i="1"/>
  <c r="AD88" i="1"/>
  <c r="AQ63" i="1"/>
  <c r="AD63" i="1"/>
  <c r="AC5" i="1"/>
  <c r="AR6" i="1"/>
  <c r="AR5" i="1" s="1"/>
  <c r="AQ21" i="1"/>
  <c r="AD21" i="1"/>
  <c r="AQ6" i="1"/>
  <c r="AD6" i="1"/>
  <c r="Z5" i="1"/>
  <c r="AD7" i="1"/>
  <c r="AQ7" i="1"/>
  <c r="AQ5" i="1" l="1"/>
</calcChain>
</file>

<file path=xl/sharedStrings.xml><?xml version="1.0" encoding="utf-8"?>
<sst xmlns="http://schemas.openxmlformats.org/spreadsheetml/2006/main" count="847" uniqueCount="418">
  <si>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</si>
  <si>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</si>
  <si>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</si>
  <si>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</si>
  <si>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</si>
  <si>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</si>
  <si>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</si>
  <si>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</si>
  <si>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</si>
  <si>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</si>
  <si>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</si>
  <si>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</si>
  <si>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</si>
  <si>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</si>
  <si>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</si>
  <si>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</si>
  <si>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</si>
  <si>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</si>
  <si>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</si>
  <si>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</si>
  <si>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</si>
  <si>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</si>
  <si>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</si>
  <si>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</si>
  <si>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</si>
  <si>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</si>
  <si>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22,08,</t>
  </si>
  <si>
    <t>23,08,</t>
  </si>
  <si>
    <t>20,08,</t>
  </si>
  <si>
    <t>24,08,</t>
  </si>
  <si>
    <t>25,08,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</si>
  <si>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</si>
  <si>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</si>
  <si>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</si>
  <si>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</si>
  <si>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</si>
  <si>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</si>
  <si>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</si>
  <si>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</si>
  <si>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</si>
  <si>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</si>
  <si>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</si>
  <si>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</si>
  <si>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</si>
  <si>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</si>
  <si>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</si>
  <si>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</si>
  <si>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</si>
  <si>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</si>
  <si>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</si>
  <si>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</si>
  <si>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</si>
  <si>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</si>
  <si>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</si>
  <si>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</si>
  <si>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</si>
  <si>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</si>
  <si>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</si>
  <si>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</si>
  <si>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</si>
  <si>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</si>
  <si>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</si>
  <si>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</si>
  <si>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</si>
  <si>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</si>
  <si>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</si>
  <si>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</si>
  <si>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</si>
  <si>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</si>
  <si>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</si>
  <si>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</si>
  <si>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</si>
  <si>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</si>
  <si>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</si>
  <si>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</si>
  <si>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</si>
  <si>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</si>
  <si>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</si>
  <si>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</si>
  <si>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</si>
  <si>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</si>
  <si>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</si>
  <si>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</si>
  <si>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</si>
  <si>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</si>
  <si>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</si>
  <si>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</si>
  <si>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НЕДОГРУЗ / матрица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</si>
  <si>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</si>
  <si>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</si>
  <si>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</si>
  <si>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</si>
  <si>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</si>
  <si>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</si>
  <si>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</si>
  <si>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</si>
  <si>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</si>
  <si>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</si>
  <si>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</si>
  <si>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</si>
  <si>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</si>
  <si>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</si>
  <si>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</si>
  <si>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</si>
  <si>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</si>
  <si>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</si>
  <si>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</si>
  <si>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</si>
  <si>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</si>
  <si>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</si>
  <si>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</si>
  <si>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</si>
  <si>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</si>
  <si>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</si>
  <si>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</si>
  <si>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</si>
  <si>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</si>
  <si>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</si>
  <si>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</si>
  <si>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</si>
  <si>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</si>
  <si>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</si>
  <si>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</si>
  <si>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</si>
  <si>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</si>
  <si>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</si>
  <si>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</si>
  <si>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</si>
  <si>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</si>
  <si>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</si>
  <si>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</si>
  <si>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</si>
  <si>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</si>
  <si>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</si>
  <si>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</si>
  <si>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</si>
  <si>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</si>
  <si>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</si>
  <si>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</si>
  <si>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</si>
  <si>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</si>
  <si>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</si>
  <si>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</si>
  <si>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</si>
  <si>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</si>
  <si>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</si>
  <si>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</si>
  <si>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</si>
  <si>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</si>
  <si>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</si>
  <si>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</si>
  <si>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</si>
  <si>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</si>
  <si>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</si>
  <si>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</si>
  <si>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</si>
  <si>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</si>
  <si>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</si>
  <si>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</si>
  <si>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</si>
  <si>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</si>
  <si>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</si>
  <si>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</si>
  <si>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</si>
  <si>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</si>
  <si>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</si>
  <si>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</si>
  <si>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</si>
  <si>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</si>
  <si>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</si>
  <si>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</si>
  <si>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</si>
  <si>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</si>
  <si>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</si>
  <si>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</si>
  <si>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</si>
  <si>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</si>
  <si>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</si>
  <si>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</si>
  <si>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</si>
  <si>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</si>
  <si>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</si>
  <si>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</si>
  <si>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нужно увеличить продажи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</si>
  <si>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</si>
  <si>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</si>
  <si>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</si>
  <si>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</si>
  <si>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</si>
  <si>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</si>
  <si>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</si>
  <si>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</si>
  <si>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</si>
  <si>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</si>
  <si>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</si>
  <si>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</si>
  <si>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</si>
  <si>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</si>
  <si>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</si>
  <si>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</si>
  <si>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</si>
  <si>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</si>
  <si>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</si>
  <si>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</si>
  <si>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</si>
  <si>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</si>
  <si>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</si>
  <si>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</si>
  <si>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</si>
  <si>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</si>
  <si>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</si>
  <si>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</si>
  <si>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</si>
  <si>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</si>
  <si>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</si>
  <si>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</si>
  <si>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</si>
  <si>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</si>
  <si>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</si>
  <si>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</si>
  <si>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</si>
  <si>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</si>
  <si>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</si>
  <si>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</si>
  <si>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</si>
  <si>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</si>
  <si>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</si>
  <si>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</si>
  <si>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</si>
  <si>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</si>
  <si>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</si>
  <si>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</si>
  <si>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</si>
  <si>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</si>
  <si>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</si>
  <si>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</si>
  <si>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</si>
  <si>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</si>
  <si>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</si>
  <si>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</si>
  <si>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</si>
  <si>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</si>
  <si>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</si>
  <si>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</si>
  <si>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</si>
  <si>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</si>
  <si>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</si>
  <si>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</si>
  <si>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</si>
  <si>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</si>
  <si>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</si>
  <si>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</si>
  <si>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</si>
  <si>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</si>
  <si>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</si>
  <si>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</si>
  <si>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</si>
  <si>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</si>
  <si>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</si>
  <si>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</si>
  <si>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</si>
  <si>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</si>
  <si>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</si>
  <si>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</si>
  <si>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</si>
  <si>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</si>
  <si>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</si>
  <si>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</si>
  <si>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</si>
  <si>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</si>
  <si>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</si>
  <si>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</si>
  <si>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</si>
  <si>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</si>
  <si>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</si>
  <si>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</si>
  <si>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</si>
  <si>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</si>
  <si>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</si>
  <si>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</si>
  <si>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</si>
  <si>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</si>
  <si>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</si>
  <si>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</si>
  <si>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</si>
  <si>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</si>
  <si>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</si>
  <si>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</si>
  <si>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</si>
  <si>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</si>
  <si>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</si>
  <si>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</si>
  <si>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</si>
  <si>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</si>
  <si>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</si>
  <si>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</si>
  <si>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</si>
  <si>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</si>
  <si>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</si>
  <si>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</si>
  <si>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</si>
  <si>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</si>
  <si>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</si>
  <si>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</si>
  <si>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</si>
  <si>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</si>
  <si>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</si>
  <si>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</si>
  <si>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</si>
  <si>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</si>
  <si>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</si>
  <si>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</si>
  <si>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</si>
  <si>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</si>
  <si>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</si>
  <si>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</si>
  <si>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Сосиски «Сочинки с сочным окороком» Фикс.вес 0,4 П/а мгс ТМ «Стародворье»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</si>
  <si>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</si>
  <si>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</si>
  <si>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«Сочинки» Весовой п/а ТМ «Стародворье»</t>
  </si>
  <si>
    <t>Сардельки «Сочинки» Фикс.вес 0,4 п/а ТМ «Стародворье»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</si>
  <si>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</si>
  <si>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</si>
  <si>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</si>
  <si>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</si>
  <si>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</si>
  <si>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</si>
  <si>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</si>
  <si>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</si>
  <si>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Восточные халяль ТМ Вязанка полиамид в/у ф/в 0,33 кг Казахстан АК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</si>
  <si>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</si>
  <si>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</si>
  <si>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22,08,недогр</t>
  </si>
  <si>
    <t>22,08,доз</t>
  </si>
  <si>
    <t>23,08,недогр</t>
  </si>
  <si>
    <t>23,08,доз</t>
  </si>
  <si>
    <t>22,08,доз2</t>
  </si>
  <si>
    <t>23,08,доз2</t>
  </si>
  <si>
    <t>24,08,доз</t>
  </si>
  <si>
    <t>24,08,недогр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</si>
  <si>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</si>
  <si>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</si>
  <si>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</si>
  <si>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</si>
  <si>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</si>
  <si>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</si>
  <si>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</si>
  <si>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</si>
  <si>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</si>
  <si>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В/к колбасы Кремлевский Бордо Весовые Фиброуз в/у Стародворье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</si>
  <si>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</si>
  <si>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</si>
  <si>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</si>
  <si>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</si>
  <si>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</si>
  <si>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</si>
  <si>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</si>
  <si>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</si>
  <si>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</si>
  <si>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</si>
  <si>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</si>
  <si>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Вареные колбасы «Молокуша» Фикс.вес 0,17 нарезка ТМ «Вязанка»</t>
  </si>
  <si>
    <t>Ветчины «Сливушка с индейкой» Фикс.вес 0,1 нарезка ТМ «Вязанка»</t>
  </si>
  <si>
    <t>Сардельки «Сливушки» фикс.вес 0,33 п/а мгс ТМ «Вязанка»</t>
  </si>
  <si>
    <t>Паштеты Со сливочным маслом ГОСТ Бордо фикс.вес 0,1 Стародворье</t>
  </si>
  <si>
    <t>Сосиски «Сочинки с сочной грудинкой»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</si>
  <si>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</si>
  <si>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</si>
  <si>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</si>
  <si>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</si>
  <si>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Сочинки с сыром Бордо ф/в 0,4 кг п/а Стародворье</t>
  </si>
  <si>
    <t>Вареные колбасы Сливушка Вязанка Фикс.вес 0,45 П/а Вязанка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</si>
  <si>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</si>
  <si>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</si>
  <si>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</si>
  <si>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</si>
  <si>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</si>
  <si>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Молокуша Вязанка Фикс.вес 0,45 п/а Вязанка</t>
  </si>
  <si>
    <t>Ветчины «Филейская» Весовые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</si>
  <si>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</si>
  <si>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</si>
  <si>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Колбаса вареная Филейская ТМ Вязанка ТС Классическая полиамид ф/в 0,4 кг</t>
  </si>
  <si>
    <t>Сардельки «Филейские» Весовые н/о мгс ТМ «Вязанка»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</si>
  <si>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</si>
  <si>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</si>
  <si>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</si>
  <si>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</si>
  <si>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</si>
  <si>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Вареные колбасы «Сливушка» Вес П/а ТМ «Вязанка»</t>
  </si>
  <si>
    <t>П/к колбасы «Сочинка рубленая с сочным окороком» Весовой фиброуз ТМ «Стародворье»</t>
  </si>
  <si>
    <t>Колбаса вареная Мусульманская ТМ Вязанка Халяль вектор ф/в 0,4 кг Казахстан АК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</si>
  <si>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</si>
  <si>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</si>
  <si>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</si>
  <si>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</si>
  <si>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</si>
  <si>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«Молочная Стародворская с молоком» Весовой п/а ТМ «Стародворье»</t>
  </si>
  <si>
    <t>Вареные колбасы «Филейная» Весовой п/а ТМ «Особый рецепт» большой батон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</si>
  <si>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</si>
  <si>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</si>
  <si>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Вареные колбасы «Филейская со шпиком» Весовой п/а ТМ «Вязанка»</t>
  </si>
  <si>
    <t>Сосиски «Сосиски с сыром» Фикс.вес 0,3 вискофан ТМ «Ядрена копоть»</t>
  </si>
  <si>
    <t>Копченые колбасы «Сервелат Мясорубский Делюкс» Фикс.вес 0,3 фиброуз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</si>
  <si>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</si>
  <si>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</si>
  <si>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</si>
  <si>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Сосиски «Мясные для гриля» Фикс.вес 0,3 целлофан ТМ «Ядрена копоть»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</si>
  <si>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</si>
  <si>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</si>
  <si>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</si>
  <si>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</si>
  <si>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</si>
  <si>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</si>
  <si>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«Со шпиком» Весовой п/а ТМ «Стародворье»</t>
  </si>
  <si>
    <t>Вареные колбасы «Ветчинно-рубленая» Весовой п/а ТМ «Особый рецепт»</t>
  </si>
  <si>
    <t>Консервы «Буженина в пряном маринаде» Фикс.вес 0,25 ТМ «Стародворье»</t>
  </si>
  <si>
    <t>Вареные колбасы «Мясная Классическая» Весовой п/а ТМ «Вязанка»</t>
  </si>
  <si>
    <t>Вареные колбасы «Докторская Классическая» Весовой п/а ТМ «Особый рецепт»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</si>
</sst>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0" fontId="0" fillId="0" borderId="1" xfId="0"/>
    <xf numFmtId="165" fontId="1" fillId="0" borderId="1" xfId="1" applyNumberFormat="1"/>
    <xf numFmtId="164" fontId="1" fillId="8" borderId="2" xfId="1" applyNumberFormat="1" applyFill="1" applyBorder="1"/>
    <xf numFmtId="0" fontId="0" fillId="7" borderId="3" xfId="0" applyFill="1" applyBorder="1"/>
    <xf numFmtId="0" fontId="0" fillId="0" borderId="3" xfId="0" applyBorder="1"/>
    <xf numFmtId="164" fontId="1" fillId="9" borderId="1" xfId="1" applyNumberForma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 applyBorder="1"/>
    <xf numFmtId="164" fontId="8" fillId="4" borderId="1" xfId="1" applyNumberFormat="1" applyFont="1" applyFill="1"/>
    <xf numFmtId="0" fontId="7" fillId="0" borderId="1" xfId="0" applyFont="1" applyBorder="1"/>
    <xf numFmtId="0" fontId="10" fillId="7" borderId="3" xfId="0" applyFont="1" applyFill="1" applyBorder="1"/>
    <xf numFmtId="166" fontId="0" fillId="7" borderId="3" xfId="0" applyNumberFormat="1" applyFill="1" applyBorder="1"/>
    <xf numFmtId="0" fontId="10" fillId="0" borderId="3" xfId="0" applyFont="1" applyBorder="1"/>
    <xf numFmtId="166" fontId="0" fillId="0" borderId="3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20,08,26%20&#1055;&#1054;&#1050;&#1054;&#1052;%20&#1050;&#1048;/&#1076;&#1083;&#1103;%20&#1076;&#1086;&#1079;&#1072;&#1082;&#1072;&#1079;&#1072;%2022,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SU003423</v>
          </cell>
        </row>
        <row r="2">
          <cell r="A2" t="str">
            <v>SU003422</v>
          </cell>
        </row>
        <row r="3">
          <cell r="A3" t="str">
            <v>SU003420</v>
          </cell>
        </row>
        <row r="4">
          <cell r="A4" t="str">
            <v>SU004238</v>
          </cell>
        </row>
        <row r="5">
          <cell r="A5" t="str">
            <v>SU002035</v>
          </cell>
        </row>
        <row r="6">
          <cell r="A6" t="str">
            <v>SU003689</v>
          </cell>
        </row>
        <row r="7">
          <cell r="A7" t="str">
            <v>SU001718</v>
          </cell>
        </row>
        <row r="8">
          <cell r="A8" t="str">
            <v>SU002634</v>
          </cell>
        </row>
        <row r="9">
          <cell r="A9" t="str">
            <v>SU002814</v>
          </cell>
        </row>
        <row r="10">
          <cell r="A10" t="str">
            <v>SU002815</v>
          </cell>
        </row>
        <row r="11">
          <cell r="A11" t="str">
            <v>SU002829</v>
          </cell>
        </row>
        <row r="12">
          <cell r="A12" t="str">
            <v>SU000126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7" sqref="AB7"/>
    </sheetView>
  </sheetViews>
  <sheetFormatPr defaultRowHeight="15" x14ac:dyDescent="0.25"/>
  <cols>
    <col min="1" max="1" width="3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4.5703125" customWidth="1"/>
    <col min="10" max="10" width="1" customWidth="1"/>
    <col min="11" max="11" width="5.140625" customWidth="1"/>
    <col min="12" max="12" width="7" customWidth="1"/>
    <col min="13" max="14" width="0.42578125" customWidth="1"/>
    <col min="15" max="15" width="7" customWidth="1"/>
    <col min="16" max="16" width="5.85546875" style="18" customWidth="1"/>
    <col min="17" max="18" width="5.85546875" style="27" customWidth="1"/>
    <col min="19" max="19" width="6.42578125" customWidth="1"/>
    <col min="20" max="20" width="5.85546875" style="28" customWidth="1"/>
    <col min="21" max="22" width="5.85546875" style="30" customWidth="1"/>
    <col min="23" max="24" width="7" customWidth="1"/>
    <col min="25" max="25" width="7" style="18" customWidth="1"/>
    <col min="26" max="26" width="7" customWidth="1"/>
    <col min="27" max="28" width="7" style="28" customWidth="1"/>
    <col min="29" max="29" width="7" customWidth="1"/>
    <col min="30" max="31" width="5" customWidth="1"/>
    <col min="32" max="41" width="6.5703125" customWidth="1"/>
    <col min="42" max="42" width="3.140625" customWidth="1"/>
    <col min="43" max="44" width="7" customWidth="1"/>
    <col min="46" max="46" width="2.42578125" customWidth="1"/>
    <col min="47" max="48" width="3.5703125" customWidth="1"/>
    <col min="49" max="49" width="6.85546875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4"/>
      <c r="R1" s="24"/>
      <c r="S1" s="1"/>
      <c r="T1" s="1"/>
      <c r="U1" s="24">
        <v>1450</v>
      </c>
      <c r="V1" s="24"/>
      <c r="W1" s="1"/>
      <c r="X1" s="1"/>
      <c r="Y1" s="19">
        <v>1.56</v>
      </c>
      <c r="Z1" s="1"/>
      <c r="AA1" s="1"/>
      <c r="AB1" s="1"/>
      <c r="AC1" s="19">
        <v>0.61499999999999999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24"/>
      <c r="R2" s="24"/>
      <c r="S2" s="1"/>
      <c r="T2" s="1"/>
      <c r="U2" s="24"/>
      <c r="V2" s="24"/>
      <c r="W2" s="1"/>
      <c r="X2" s="1"/>
      <c r="Y2" s="1" t="s">
        <v>0</v>
      </c>
      <c r="Z2" s="1"/>
      <c r="AA2" s="1"/>
      <c r="AB2" s="1"/>
      <c r="AC2" s="17" t="s">
        <v>1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>
        <v>17100</v>
      </c>
      <c r="AR2" s="1">
        <v>17850</v>
      </c>
      <c r="AV2">
        <v>3500</v>
      </c>
    </row>
    <row r="3" spans="1:48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5" t="s">
        <v>16</v>
      </c>
      <c r="R3" s="25" t="s">
        <v>16</v>
      </c>
      <c r="S3" s="2" t="s">
        <v>16</v>
      </c>
      <c r="T3" s="2" t="s">
        <v>16</v>
      </c>
      <c r="U3" s="25" t="s">
        <v>16</v>
      </c>
      <c r="V3" s="25" t="s">
        <v>16</v>
      </c>
      <c r="W3" s="2" t="s">
        <v>17</v>
      </c>
      <c r="X3" s="3" t="s">
        <v>18</v>
      </c>
      <c r="Y3" s="3" t="s">
        <v>19</v>
      </c>
      <c r="Z3" s="3" t="s">
        <v>20</v>
      </c>
      <c r="AA3" s="3" t="s">
        <v>20</v>
      </c>
      <c r="AB3" s="3" t="s">
        <v>20</v>
      </c>
      <c r="AC3" s="3" t="s">
        <v>20</v>
      </c>
      <c r="AD3" s="2" t="s">
        <v>21</v>
      </c>
      <c r="AE3" s="2" t="s">
        <v>22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23</v>
      </c>
      <c r="AL3" s="2" t="s">
        <v>23</v>
      </c>
      <c r="AM3" s="2" t="s">
        <v>23</v>
      </c>
      <c r="AN3" s="2" t="s">
        <v>23</v>
      </c>
      <c r="AO3" s="2" t="s">
        <v>23</v>
      </c>
      <c r="AP3" s="2" t="s">
        <v>24</v>
      </c>
      <c r="AQ3" s="2" t="s">
        <v>25</v>
      </c>
      <c r="AR3" s="2" t="s">
        <v>25</v>
      </c>
      <c r="AU3">
        <v>2600</v>
      </c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332</v>
      </c>
      <c r="Q4" s="24" t="s">
        <v>333</v>
      </c>
      <c r="R4" s="24" t="s">
        <v>336</v>
      </c>
      <c r="S4" s="1" t="s">
        <v>27</v>
      </c>
      <c r="T4" s="1" t="s">
        <v>334</v>
      </c>
      <c r="U4" s="24" t="s">
        <v>335</v>
      </c>
      <c r="V4" s="24" t="s">
        <v>337</v>
      </c>
      <c r="W4" s="1" t="s">
        <v>28</v>
      </c>
      <c r="X4" s="1"/>
      <c r="Y4" s="1"/>
      <c r="Z4" s="1" t="s">
        <v>29</v>
      </c>
      <c r="AA4" s="1" t="s">
        <v>339</v>
      </c>
      <c r="AB4" s="1" t="s">
        <v>338</v>
      </c>
      <c r="AC4" s="1" t="s">
        <v>30</v>
      </c>
      <c r="AD4" s="1"/>
      <c r="AE4" s="1"/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/>
      <c r="AQ4" s="1" t="s">
        <v>29</v>
      </c>
      <c r="AR4" s="1" t="s">
        <v>30</v>
      </c>
      <c r="AT4">
        <v>1</v>
      </c>
      <c r="AU4" s="24" t="s">
        <v>333</v>
      </c>
      <c r="AV4" s="1" t="s">
        <v>338</v>
      </c>
    </row>
    <row r="5" spans="1:48" x14ac:dyDescent="0.25">
      <c r="A5" s="1"/>
      <c r="B5" s="1"/>
      <c r="C5" s="1"/>
      <c r="D5" s="1"/>
      <c r="E5" s="4">
        <f>SUM(E6:E498)</f>
        <v>51486.394999999997</v>
      </c>
      <c r="F5" s="4">
        <f>SUM(F6:F498)</f>
        <v>57483.742999999988</v>
      </c>
      <c r="G5" s="7"/>
      <c r="H5" s="1"/>
      <c r="I5" s="1"/>
      <c r="J5" s="1"/>
      <c r="K5" s="4">
        <f t="shared" ref="K5:AC5" si="0">SUM(K6:K498)</f>
        <v>55531.28</v>
      </c>
      <c r="L5" s="4">
        <f t="shared" si="0"/>
        <v>-4044.8849999999998</v>
      </c>
      <c r="M5" s="4">
        <f t="shared" si="0"/>
        <v>0</v>
      </c>
      <c r="N5" s="4">
        <f t="shared" si="0"/>
        <v>0</v>
      </c>
      <c r="O5" s="4">
        <f t="shared" si="0"/>
        <v>23590.911048886795</v>
      </c>
      <c r="P5" s="4">
        <f t="shared" ref="P5:Q5" si="1">SUM(P6:P498)</f>
        <v>-3692.6000000000004</v>
      </c>
      <c r="Q5" s="26">
        <f t="shared" si="1"/>
        <v>2600</v>
      </c>
      <c r="R5" s="26">
        <f t="shared" ref="R5" si="2">SUM(R6:R498)</f>
        <v>600</v>
      </c>
      <c r="S5" s="4">
        <f t="shared" si="0"/>
        <v>9999.5837979132011</v>
      </c>
      <c r="T5" s="4">
        <f t="shared" ref="T5:U5" si="3">SUM(T6:T498)</f>
        <v>-1802</v>
      </c>
      <c r="U5" s="26">
        <f t="shared" si="3"/>
        <v>1450</v>
      </c>
      <c r="V5" s="26">
        <f t="shared" ref="V5" si="4">SUM(V6:V498)</f>
        <v>1113</v>
      </c>
      <c r="W5" s="4">
        <f t="shared" si="0"/>
        <v>10297.278999999999</v>
      </c>
      <c r="X5" s="4">
        <f t="shared" si="0"/>
        <v>33516.051153200002</v>
      </c>
      <c r="Y5" s="4">
        <f t="shared" si="0"/>
        <v>40432.853409200005</v>
      </c>
      <c r="Z5" s="4">
        <f t="shared" si="0"/>
        <v>23887.401539912011</v>
      </c>
      <c r="AA5" s="4">
        <f t="shared" ref="AA5" si="5">SUM(AA6:AA498)</f>
        <v>-6030.4400000000005</v>
      </c>
      <c r="AB5" s="4">
        <f t="shared" ref="AB5" si="6">SUM(AB6:AB498)</f>
        <v>3550</v>
      </c>
      <c r="AC5" s="4">
        <f t="shared" si="0"/>
        <v>22089.980531287998</v>
      </c>
      <c r="AD5" s="1"/>
      <c r="AE5" s="1"/>
      <c r="AF5" s="4">
        <f t="shared" ref="AF5:AO5" si="7">SUM(AF6:AF498)</f>
        <v>10547.457800000002</v>
      </c>
      <c r="AG5" s="4">
        <f t="shared" si="7"/>
        <v>10043.437000000002</v>
      </c>
      <c r="AH5" s="4">
        <f t="shared" si="7"/>
        <v>9948.0886000000064</v>
      </c>
      <c r="AI5" s="4">
        <f t="shared" si="7"/>
        <v>10809.313400000001</v>
      </c>
      <c r="AJ5" s="4">
        <f t="shared" si="7"/>
        <v>10812.657399999995</v>
      </c>
      <c r="AK5" s="4">
        <f t="shared" si="7"/>
        <v>9813.4631999999983</v>
      </c>
      <c r="AL5" s="4">
        <f t="shared" si="7"/>
        <v>10672.152599999996</v>
      </c>
      <c r="AM5" s="4">
        <f t="shared" si="7"/>
        <v>11335.495599999991</v>
      </c>
      <c r="AN5" s="4">
        <f t="shared" si="7"/>
        <v>10924.171399999996</v>
      </c>
      <c r="AO5" s="4">
        <f t="shared" si="7"/>
        <v>10998.8948</v>
      </c>
      <c r="AP5" s="1"/>
      <c r="AQ5" s="4">
        <f>SUM(AQ6:AQ498)</f>
        <v>17093</v>
      </c>
      <c r="AR5" s="4">
        <f>SUM(AR6:AR498)</f>
        <v>17848</v>
      </c>
      <c r="AT5">
        <v>1</v>
      </c>
      <c r="AU5" s="4">
        <f>SUM(AU6:AU498)</f>
        <v>2600</v>
      </c>
      <c r="AV5" s="4">
        <f>SUM(AV6:AV498)</f>
        <v>3495</v>
      </c>
    </row>
    <row r="6" spans="1:48" x14ac:dyDescent="0.25">
      <c r="A6" s="1" t="s">
        <v>41</v>
      </c>
      <c r="B6" s="1" t="s">
        <v>42</v>
      </c>
      <c r="C6" s="1">
        <v>3735.6950000000002</v>
      </c>
      <c r="D6" s="1">
        <v>3940.6179999999999</v>
      </c>
      <c r="E6" s="1">
        <v>2734.288</v>
      </c>
      <c r="F6" s="1">
        <v>4731.6570000000002</v>
      </c>
      <c r="G6" s="7">
        <v>1</v>
      </c>
      <c r="H6" s="1">
        <v>50</v>
      </c>
      <c r="I6" s="1" t="s">
        <v>43</v>
      </c>
      <c r="J6" s="1"/>
      <c r="K6" s="1">
        <v>2862.8</v>
      </c>
      <c r="L6" s="1">
        <f t="shared" ref="L6:L37" si="8">E6-K6</f>
        <v>-128.51200000000017</v>
      </c>
      <c r="M6" s="1"/>
      <c r="N6" s="1"/>
      <c r="O6" s="1">
        <v>271.20292997920012</v>
      </c>
      <c r="P6" s="1"/>
      <c r="Q6" s="1"/>
      <c r="R6" s="1"/>
      <c r="S6" s="1">
        <v>296.16721642080012</v>
      </c>
      <c r="T6" s="1"/>
      <c r="U6" s="24"/>
      <c r="V6" s="24"/>
      <c r="W6" s="1">
        <f t="shared" ref="W6:W37" si="9">E6/5</f>
        <v>546.85760000000005</v>
      </c>
      <c r="X6" s="5">
        <f>12*W6-S6-O6-F6</f>
        <v>1263.2640535999999</v>
      </c>
      <c r="Y6" s="5">
        <f>X6+$Y$1*W6</f>
        <v>2116.3619096000002</v>
      </c>
      <c r="Z6" s="5">
        <f t="shared" ref="Z6:Z25" si="10">Y6-AC6</f>
        <v>814.79933519600013</v>
      </c>
      <c r="AA6" s="5"/>
      <c r="AB6" s="5"/>
      <c r="AC6" s="5">
        <f>Y6*$AC$1</f>
        <v>1301.5625744040001</v>
      </c>
      <c r="AD6" s="1">
        <f t="shared" ref="AD6:AD37" si="11">(F6+O6+S6+Z6+AC6)/W6</f>
        <v>13.56</v>
      </c>
      <c r="AE6" s="1">
        <f t="shared" ref="AE6:AE37" si="12">(F6+O6+S6)/W6</f>
        <v>9.6899579459076737</v>
      </c>
      <c r="AF6" s="1">
        <v>558.16419999999994</v>
      </c>
      <c r="AG6" s="1">
        <v>472.44099999999997</v>
      </c>
      <c r="AH6" s="1">
        <v>450.1</v>
      </c>
      <c r="AI6" s="1">
        <v>477.90280000000001</v>
      </c>
      <c r="AJ6" s="1">
        <v>497.21940000000012</v>
      </c>
      <c r="AK6" s="1">
        <v>462.68740000000003</v>
      </c>
      <c r="AL6" s="1">
        <v>504.16359999999997</v>
      </c>
      <c r="AM6" s="1">
        <v>475.59160000000003</v>
      </c>
      <c r="AN6" s="1">
        <v>485.4896</v>
      </c>
      <c r="AO6" s="1">
        <v>548.13580000000002</v>
      </c>
      <c r="AP6" s="1"/>
      <c r="AQ6" s="1">
        <f t="shared" ref="AQ6:AQ37" si="13">ROUND(G6*Z6,0)</f>
        <v>815</v>
      </c>
      <c r="AR6" s="1">
        <f t="shared" ref="AR6:AR37" si="14">ROUND(G6*AC6,0)</f>
        <v>1302</v>
      </c>
      <c r="AS6" t="s">
        <v>44</v>
      </c>
    </row>
    <row r="7" spans="1:48" x14ac:dyDescent="0.25">
      <c r="A7" s="1" t="s">
        <v>45</v>
      </c>
      <c r="B7" s="1" t="s">
        <v>42</v>
      </c>
      <c r="C7" s="1">
        <v>1270.56</v>
      </c>
      <c r="D7" s="1">
        <v>2645.7080000000001</v>
      </c>
      <c r="E7" s="1">
        <v>1538.597</v>
      </c>
      <c r="F7" s="1">
        <v>2235.078</v>
      </c>
      <c r="G7" s="7">
        <v>1</v>
      </c>
      <c r="H7" s="1">
        <v>45</v>
      </c>
      <c r="I7" s="1" t="s">
        <v>43</v>
      </c>
      <c r="J7" s="1"/>
      <c r="K7" s="1">
        <v>1535.45</v>
      </c>
      <c r="L7" s="1">
        <f t="shared" si="8"/>
        <v>3.1469999999999345</v>
      </c>
      <c r="M7" s="1"/>
      <c r="N7" s="1"/>
      <c r="O7" s="1">
        <v>354.99048069320042</v>
      </c>
      <c r="P7" s="1"/>
      <c r="Q7" s="1"/>
      <c r="R7" s="1"/>
      <c r="S7" s="1">
        <v>387.66742870680042</v>
      </c>
      <c r="T7" s="1"/>
      <c r="U7" s="24"/>
      <c r="V7" s="24"/>
      <c r="W7" s="1">
        <f t="shared" si="9"/>
        <v>307.71940000000001</v>
      </c>
      <c r="X7" s="5">
        <f>12*W7-S7-O7-F7</f>
        <v>714.89689059999955</v>
      </c>
      <c r="Y7" s="5">
        <f>X7+$Y$1*W7</f>
        <v>1194.9391545999997</v>
      </c>
      <c r="Z7" s="5">
        <f t="shared" si="10"/>
        <v>460.05157452099991</v>
      </c>
      <c r="AA7" s="5"/>
      <c r="AB7" s="5"/>
      <c r="AC7" s="5">
        <f>Y7*$AC$1</f>
        <v>734.8875800789998</v>
      </c>
      <c r="AD7" s="1">
        <f t="shared" si="11"/>
        <v>13.560000000000002</v>
      </c>
      <c r="AE7" s="1">
        <f t="shared" si="12"/>
        <v>9.6767896642200668</v>
      </c>
      <c r="AF7" s="1">
        <v>321.26519999999999</v>
      </c>
      <c r="AG7" s="1">
        <v>300.10660000000001</v>
      </c>
      <c r="AH7" s="1">
        <v>262.36520000000002</v>
      </c>
      <c r="AI7" s="1">
        <v>266.33199999999999</v>
      </c>
      <c r="AJ7" s="1">
        <v>285.43920000000003</v>
      </c>
      <c r="AK7" s="1">
        <v>272.41820000000001</v>
      </c>
      <c r="AL7" s="1">
        <v>253.45859999999999</v>
      </c>
      <c r="AM7" s="1">
        <v>242.8768</v>
      </c>
      <c r="AN7" s="1">
        <v>235.5034</v>
      </c>
      <c r="AO7" s="1">
        <v>220.28479999999999</v>
      </c>
      <c r="AP7" s="1"/>
      <c r="AQ7" s="1">
        <f t="shared" si="13"/>
        <v>460</v>
      </c>
      <c r="AR7" s="1">
        <f t="shared" si="14"/>
        <v>735</v>
      </c>
      <c r="AS7" t="s">
        <v>46</v>
      </c>
    </row>
    <row r="8" spans="1:48" x14ac:dyDescent="0.25">
      <c r="A8" s="1" t="s">
        <v>47</v>
      </c>
      <c r="B8" s="1" t="s">
        <v>42</v>
      </c>
      <c r="C8" s="1">
        <v>1317.4269999999999</v>
      </c>
      <c r="D8" s="1">
        <v>1889.173</v>
      </c>
      <c r="E8" s="1">
        <v>1286.434</v>
      </c>
      <c r="F8" s="1">
        <v>1816.9459999999999</v>
      </c>
      <c r="G8" s="7">
        <v>1</v>
      </c>
      <c r="H8" s="1">
        <v>45</v>
      </c>
      <c r="I8" s="1" t="s">
        <v>43</v>
      </c>
      <c r="J8" s="1"/>
      <c r="K8" s="1">
        <v>1276.05</v>
      </c>
      <c r="L8" s="1">
        <f t="shared" si="8"/>
        <v>10.384000000000015</v>
      </c>
      <c r="M8" s="1"/>
      <c r="N8" s="1"/>
      <c r="O8" s="1">
        <v>385.51909177479979</v>
      </c>
      <c r="P8" s="1"/>
      <c r="Q8" s="1"/>
      <c r="R8" s="1"/>
      <c r="S8" s="1">
        <v>421.00620482519992</v>
      </c>
      <c r="T8" s="1"/>
      <c r="U8" s="24"/>
      <c r="V8" s="24"/>
      <c r="W8" s="1">
        <f t="shared" si="9"/>
        <v>257.28679999999997</v>
      </c>
      <c r="X8" s="5">
        <f>12*W8-S8-O8-F8</f>
        <v>463.97030340000038</v>
      </c>
      <c r="Y8" s="5">
        <f>X8+$Y$1*W8</f>
        <v>865.33771140000033</v>
      </c>
      <c r="Z8" s="5">
        <f t="shared" si="10"/>
        <v>333.15501888900019</v>
      </c>
      <c r="AA8" s="5"/>
      <c r="AB8" s="5"/>
      <c r="AC8" s="5">
        <f>Y8*$AC$1</f>
        <v>532.18269251100014</v>
      </c>
      <c r="AD8" s="1">
        <f t="shared" si="11"/>
        <v>13.559999999999999</v>
      </c>
      <c r="AE8" s="1">
        <f t="shared" si="12"/>
        <v>10.196680500515377</v>
      </c>
      <c r="AF8" s="1">
        <v>276.00380000000001</v>
      </c>
      <c r="AG8" s="1">
        <v>247.24520000000001</v>
      </c>
      <c r="AH8" s="1">
        <v>223.76159999999999</v>
      </c>
      <c r="AI8" s="1">
        <v>249.89080000000001</v>
      </c>
      <c r="AJ8" s="1">
        <v>251.58420000000001</v>
      </c>
      <c r="AK8" s="1">
        <v>216.3372</v>
      </c>
      <c r="AL8" s="1">
        <v>214.10339999999999</v>
      </c>
      <c r="AM8" s="1">
        <v>227.751</v>
      </c>
      <c r="AN8" s="1">
        <v>235.30099999999999</v>
      </c>
      <c r="AO8" s="1">
        <v>231.13040000000001</v>
      </c>
      <c r="AP8" s="1"/>
      <c r="AQ8" s="1">
        <f t="shared" si="13"/>
        <v>333</v>
      </c>
      <c r="AR8" s="1">
        <f t="shared" si="14"/>
        <v>532</v>
      </c>
      <c r="AS8" t="s">
        <v>48</v>
      </c>
    </row>
    <row r="9" spans="1:48" x14ac:dyDescent="0.25">
      <c r="A9" s="9" t="s">
        <v>49</v>
      </c>
      <c r="B9" s="9" t="s">
        <v>50</v>
      </c>
      <c r="C9" s="9"/>
      <c r="D9" s="9"/>
      <c r="E9" s="9"/>
      <c r="F9" s="9"/>
      <c r="G9" s="10">
        <v>0</v>
      </c>
      <c r="H9" s="9"/>
      <c r="I9" s="9" t="s">
        <v>43</v>
      </c>
      <c r="J9" s="9"/>
      <c r="K9" s="9"/>
      <c r="L9" s="9">
        <f t="shared" si="8"/>
        <v>0</v>
      </c>
      <c r="M9" s="9"/>
      <c r="N9" s="9"/>
      <c r="O9" s="9">
        <v>0</v>
      </c>
      <c r="P9" s="9"/>
      <c r="Q9" s="9"/>
      <c r="R9" s="9"/>
      <c r="S9" s="9"/>
      <c r="T9" s="9"/>
      <c r="U9" s="29"/>
      <c r="V9" s="29"/>
      <c r="W9" s="9">
        <f t="shared" si="9"/>
        <v>0</v>
      </c>
      <c r="X9" s="11"/>
      <c r="Y9" s="5">
        <f>X9</f>
        <v>0</v>
      </c>
      <c r="Z9" s="5">
        <f t="shared" si="10"/>
        <v>0</v>
      </c>
      <c r="AA9" s="5"/>
      <c r="AB9" s="5"/>
      <c r="AC9" s="11"/>
      <c r="AD9" s="1" t="e">
        <f t="shared" si="11"/>
        <v>#DIV/0!</v>
      </c>
      <c r="AE9" s="9" t="e">
        <f t="shared" si="12"/>
        <v>#DIV/0!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 t="s">
        <v>51</v>
      </c>
      <c r="AQ9" s="1">
        <f t="shared" si="13"/>
        <v>0</v>
      </c>
      <c r="AR9" s="1">
        <f t="shared" si="14"/>
        <v>0</v>
      </c>
      <c r="AS9" t="s">
        <v>52</v>
      </c>
    </row>
    <row r="10" spans="1:48" x14ac:dyDescent="0.25">
      <c r="A10" s="23" t="s">
        <v>53</v>
      </c>
      <c r="B10" s="1" t="s">
        <v>50</v>
      </c>
      <c r="C10" s="1">
        <v>382</v>
      </c>
      <c r="D10" s="1">
        <v>1300</v>
      </c>
      <c r="E10" s="1">
        <v>551</v>
      </c>
      <c r="F10" s="1">
        <v>1020</v>
      </c>
      <c r="G10" s="7">
        <v>0.45</v>
      </c>
      <c r="H10" s="1">
        <v>45</v>
      </c>
      <c r="I10" s="1" t="s">
        <v>43</v>
      </c>
      <c r="J10" s="1"/>
      <c r="K10" s="1">
        <v>587</v>
      </c>
      <c r="L10" s="1">
        <f t="shared" si="8"/>
        <v>-36</v>
      </c>
      <c r="M10" s="1"/>
      <c r="N10" s="1"/>
      <c r="O10" s="1">
        <v>0</v>
      </c>
      <c r="P10" s="1"/>
      <c r="Q10" s="24"/>
      <c r="R10" s="24"/>
      <c r="S10" s="1"/>
      <c r="T10" s="1"/>
      <c r="U10" s="24"/>
      <c r="V10" s="24"/>
      <c r="W10" s="1">
        <f t="shared" si="9"/>
        <v>110.2</v>
      </c>
      <c r="X10" s="5">
        <f>12*W10-S10-O10-F10</f>
        <v>302.40000000000009</v>
      </c>
      <c r="Y10" s="5">
        <f>X10+$Y$1*W10</f>
        <v>474.31200000000013</v>
      </c>
      <c r="Z10" s="5">
        <f t="shared" si="10"/>
        <v>182.61012000000005</v>
      </c>
      <c r="AA10" s="5"/>
      <c r="AB10" s="5">
        <v>100</v>
      </c>
      <c r="AC10" s="5">
        <f>Y10*$AC$1</f>
        <v>291.70188000000007</v>
      </c>
      <c r="AD10" s="1">
        <f>(F10+O10+S10+Z10+AC10+P10+Q10+T10+U10+R10+V10+AB10)/W10</f>
        <v>14.46744101633394</v>
      </c>
      <c r="AE10" s="1">
        <f t="shared" si="12"/>
        <v>9.2558983666061696</v>
      </c>
      <c r="AF10" s="1">
        <v>117.4</v>
      </c>
      <c r="AG10" s="1">
        <v>142.6</v>
      </c>
      <c r="AH10" s="1">
        <v>135.4</v>
      </c>
      <c r="AI10" s="1">
        <v>120.4</v>
      </c>
      <c r="AJ10" s="1">
        <v>117.2</v>
      </c>
      <c r="AK10" s="1">
        <v>118.2</v>
      </c>
      <c r="AL10" s="1">
        <v>139</v>
      </c>
      <c r="AM10" s="1">
        <v>136.80000000000001</v>
      </c>
      <c r="AN10" s="1">
        <v>124.8</v>
      </c>
      <c r="AO10" s="1">
        <v>110.6</v>
      </c>
      <c r="AP10" s="1"/>
      <c r="AQ10" s="1">
        <f t="shared" si="13"/>
        <v>82</v>
      </c>
      <c r="AR10" s="1">
        <f t="shared" si="14"/>
        <v>131</v>
      </c>
      <c r="AS10" t="s">
        <v>54</v>
      </c>
      <c r="AT10" t="str">
        <f>VLOOKUP(AS10,[1]Лист1!$A:$A,1,0)</f>
        <v>SU001718</v>
      </c>
      <c r="AU10">
        <f>Q10*G10</f>
        <v>0</v>
      </c>
      <c r="AV10">
        <f>ROUND(AB10*G10,0)</f>
        <v>45</v>
      </c>
    </row>
    <row r="11" spans="1:48" x14ac:dyDescent="0.25">
      <c r="A11" s="1" t="s">
        <v>55</v>
      </c>
      <c r="B11" s="1" t="s">
        <v>50</v>
      </c>
      <c r="C11" s="1">
        <v>964.76</v>
      </c>
      <c r="D11" s="1">
        <v>1855</v>
      </c>
      <c r="E11" s="1">
        <v>1226</v>
      </c>
      <c r="F11" s="1">
        <v>1403.76</v>
      </c>
      <c r="G11" s="7">
        <v>0.45</v>
      </c>
      <c r="H11" s="1">
        <v>45</v>
      </c>
      <c r="I11" s="1" t="s">
        <v>43</v>
      </c>
      <c r="J11" s="1"/>
      <c r="K11" s="1">
        <v>1246</v>
      </c>
      <c r="L11" s="1">
        <f t="shared" si="8"/>
        <v>-20</v>
      </c>
      <c r="M11" s="1"/>
      <c r="N11" s="1"/>
      <c r="O11" s="1">
        <v>352.18055320000019</v>
      </c>
      <c r="P11" s="1"/>
      <c r="Q11" s="1"/>
      <c r="R11" s="1"/>
      <c r="S11" s="1">
        <v>384.59884680000027</v>
      </c>
      <c r="T11" s="1"/>
      <c r="U11" s="24"/>
      <c r="V11" s="24"/>
      <c r="W11" s="1">
        <f t="shared" si="9"/>
        <v>245.2</v>
      </c>
      <c r="X11" s="5">
        <f>12*W11-S11-O11-F11</f>
        <v>801.86059999999884</v>
      </c>
      <c r="Y11" s="5">
        <f>X11+$Y$1*W11</f>
        <v>1184.3725999999988</v>
      </c>
      <c r="Z11" s="5">
        <f t="shared" si="10"/>
        <v>455.98345099999949</v>
      </c>
      <c r="AA11" s="5"/>
      <c r="AB11" s="5"/>
      <c r="AC11" s="5">
        <f>Y11*$AC$1</f>
        <v>728.38914899999929</v>
      </c>
      <c r="AD11" s="1">
        <f t="shared" si="11"/>
        <v>13.559999999999999</v>
      </c>
      <c r="AE11" s="1">
        <f t="shared" si="12"/>
        <v>8.7297691680261043</v>
      </c>
      <c r="AF11" s="1">
        <v>245.4</v>
      </c>
      <c r="AG11" s="1">
        <v>235.2</v>
      </c>
      <c r="AH11" s="1">
        <v>216.8</v>
      </c>
      <c r="AI11" s="1">
        <v>224.44800000000001</v>
      </c>
      <c r="AJ11" s="1">
        <v>225.648</v>
      </c>
      <c r="AK11" s="1">
        <v>230.6</v>
      </c>
      <c r="AL11" s="1">
        <v>273.39999999999998</v>
      </c>
      <c r="AM11" s="1">
        <v>246.4</v>
      </c>
      <c r="AN11" s="1">
        <v>230.2</v>
      </c>
      <c r="AO11" s="1">
        <v>217</v>
      </c>
      <c r="AP11" s="1"/>
      <c r="AQ11" s="1">
        <f t="shared" si="13"/>
        <v>205</v>
      </c>
      <c r="AR11" s="1">
        <f t="shared" si="14"/>
        <v>328</v>
      </c>
      <c r="AS11" t="s">
        <v>56</v>
      </c>
    </row>
    <row r="12" spans="1:48" x14ac:dyDescent="0.25">
      <c r="A12" s="1" t="s">
        <v>57</v>
      </c>
      <c r="B12" s="1" t="s">
        <v>50</v>
      </c>
      <c r="C12" s="1">
        <v>83</v>
      </c>
      <c r="D12" s="1">
        <v>120</v>
      </c>
      <c r="E12" s="1">
        <v>83</v>
      </c>
      <c r="F12" s="1">
        <v>97</v>
      </c>
      <c r="G12" s="7">
        <v>0.17</v>
      </c>
      <c r="H12" s="1">
        <v>180</v>
      </c>
      <c r="I12" s="1" t="s">
        <v>43</v>
      </c>
      <c r="J12" s="1"/>
      <c r="K12" s="1">
        <v>85</v>
      </c>
      <c r="L12" s="1">
        <f t="shared" si="8"/>
        <v>-2</v>
      </c>
      <c r="M12" s="1"/>
      <c r="N12" s="1"/>
      <c r="O12" s="1">
        <v>79.000000000000028</v>
      </c>
      <c r="P12" s="1"/>
      <c r="Q12" s="1"/>
      <c r="R12" s="1"/>
      <c r="S12" s="1"/>
      <c r="T12" s="1"/>
      <c r="U12" s="24"/>
      <c r="V12" s="24"/>
      <c r="W12" s="1">
        <f t="shared" si="9"/>
        <v>16.600000000000001</v>
      </c>
      <c r="X12" s="5">
        <f>12*W12-S12-O12-F12</f>
        <v>23.199999999999989</v>
      </c>
      <c r="Y12" s="5">
        <f>X12</f>
        <v>23.199999999999989</v>
      </c>
      <c r="Z12" s="5">
        <f t="shared" si="10"/>
        <v>23.199999999999989</v>
      </c>
      <c r="AA12" s="5"/>
      <c r="AB12" s="5"/>
      <c r="AC12" s="5"/>
      <c r="AD12" s="1">
        <f t="shared" si="11"/>
        <v>12</v>
      </c>
      <c r="AE12" s="1">
        <f t="shared" si="12"/>
        <v>10.602409638554217</v>
      </c>
      <c r="AF12" s="1">
        <v>17.8</v>
      </c>
      <c r="AG12" s="1">
        <v>15.6</v>
      </c>
      <c r="AH12" s="1">
        <v>15</v>
      </c>
      <c r="AI12" s="1">
        <v>18.2</v>
      </c>
      <c r="AJ12" s="1">
        <v>17.2</v>
      </c>
      <c r="AK12" s="1">
        <v>10.199999999999999</v>
      </c>
      <c r="AL12" s="1">
        <v>14.6</v>
      </c>
      <c r="AM12" s="1">
        <v>20.2</v>
      </c>
      <c r="AN12" s="1">
        <v>15.2</v>
      </c>
      <c r="AO12" s="1">
        <v>11.8</v>
      </c>
      <c r="AP12" s="1"/>
      <c r="AQ12" s="1">
        <f t="shared" si="13"/>
        <v>4</v>
      </c>
      <c r="AR12" s="1">
        <f t="shared" si="14"/>
        <v>0</v>
      </c>
      <c r="AS12" t="s">
        <v>58</v>
      </c>
    </row>
    <row r="13" spans="1:48" x14ac:dyDescent="0.25">
      <c r="A13" s="1" t="s">
        <v>59</v>
      </c>
      <c r="B13" s="1" t="s">
        <v>50</v>
      </c>
      <c r="C13" s="1">
        <v>154</v>
      </c>
      <c r="D13" s="1">
        <v>18</v>
      </c>
      <c r="E13" s="1">
        <v>105</v>
      </c>
      <c r="F13" s="1">
        <v>58</v>
      </c>
      <c r="G13" s="7">
        <v>0.3</v>
      </c>
      <c r="H13" s="1">
        <v>40</v>
      </c>
      <c r="I13" s="1" t="s">
        <v>43</v>
      </c>
      <c r="J13" s="1"/>
      <c r="K13" s="1">
        <v>106</v>
      </c>
      <c r="L13" s="1">
        <f t="shared" si="8"/>
        <v>-1</v>
      </c>
      <c r="M13" s="1"/>
      <c r="N13" s="1"/>
      <c r="O13" s="1">
        <v>97.800000000000011</v>
      </c>
      <c r="P13" s="1">
        <v>-102.00000000000001</v>
      </c>
      <c r="Q13" s="1"/>
      <c r="R13" s="1"/>
      <c r="S13" s="1"/>
      <c r="T13" s="1"/>
      <c r="U13" s="24"/>
      <c r="V13" s="24"/>
      <c r="W13" s="1">
        <f t="shared" si="9"/>
        <v>21</v>
      </c>
      <c r="X13" s="5">
        <f>12*W13-S13-O13-F13</f>
        <v>96.199999999999989</v>
      </c>
      <c r="Y13" s="5">
        <f>X13</f>
        <v>96.199999999999989</v>
      </c>
      <c r="Z13" s="5">
        <f t="shared" si="10"/>
        <v>96.199999999999989</v>
      </c>
      <c r="AA13" s="5">
        <v>-102.00000000000001</v>
      </c>
      <c r="AB13" s="5"/>
      <c r="AC13" s="5"/>
      <c r="AD13" s="1">
        <f t="shared" si="11"/>
        <v>12</v>
      </c>
      <c r="AE13" s="1">
        <f t="shared" si="12"/>
        <v>7.4190476190476193</v>
      </c>
      <c r="AF13" s="1">
        <v>17.8</v>
      </c>
      <c r="AG13" s="1">
        <v>10.6</v>
      </c>
      <c r="AH13" s="1">
        <v>10</v>
      </c>
      <c r="AI13" s="1">
        <v>19</v>
      </c>
      <c r="AJ13" s="1">
        <v>21</v>
      </c>
      <c r="AK13" s="1">
        <v>22.2</v>
      </c>
      <c r="AL13" s="1">
        <v>22.8</v>
      </c>
      <c r="AM13" s="1">
        <v>17.600000000000001</v>
      </c>
      <c r="AN13" s="1">
        <v>17.8</v>
      </c>
      <c r="AO13" s="1">
        <v>9.1999999999999993</v>
      </c>
      <c r="AP13" s="1"/>
      <c r="AQ13" s="1">
        <f t="shared" si="13"/>
        <v>29</v>
      </c>
      <c r="AR13" s="1">
        <f t="shared" si="14"/>
        <v>0</v>
      </c>
      <c r="AS13" t="s">
        <v>60</v>
      </c>
    </row>
    <row r="14" spans="1:48" x14ac:dyDescent="0.25">
      <c r="A14" s="1" t="s">
        <v>61</v>
      </c>
      <c r="B14" s="1" t="s">
        <v>50</v>
      </c>
      <c r="C14" s="1">
        <v>231</v>
      </c>
      <c r="D14" s="1">
        <v>375</v>
      </c>
      <c r="E14" s="1">
        <v>288</v>
      </c>
      <c r="F14" s="1">
        <v>293</v>
      </c>
      <c r="G14" s="7">
        <v>0.17</v>
      </c>
      <c r="H14" s="1">
        <v>180</v>
      </c>
      <c r="I14" s="1" t="s">
        <v>43</v>
      </c>
      <c r="J14" s="1"/>
      <c r="K14" s="1">
        <v>288</v>
      </c>
      <c r="L14" s="1">
        <f t="shared" si="8"/>
        <v>0</v>
      </c>
      <c r="M14" s="1"/>
      <c r="N14" s="1"/>
      <c r="O14" s="1">
        <v>260.34019999999998</v>
      </c>
      <c r="P14" s="1"/>
      <c r="Q14" s="1"/>
      <c r="R14" s="1"/>
      <c r="S14" s="1"/>
      <c r="T14" s="1"/>
      <c r="U14" s="24"/>
      <c r="V14" s="24"/>
      <c r="W14" s="1">
        <f t="shared" si="9"/>
        <v>57.6</v>
      </c>
      <c r="X14" s="5">
        <f>12*W14-S14-O14-F14</f>
        <v>137.85980000000006</v>
      </c>
      <c r="Y14" s="5">
        <f>X14</f>
        <v>137.85980000000006</v>
      </c>
      <c r="Z14" s="5">
        <f t="shared" si="10"/>
        <v>137.85980000000006</v>
      </c>
      <c r="AA14" s="5"/>
      <c r="AB14" s="5"/>
      <c r="AC14" s="5"/>
      <c r="AD14" s="1">
        <f t="shared" si="11"/>
        <v>12</v>
      </c>
      <c r="AE14" s="1">
        <f t="shared" si="12"/>
        <v>9.6066006944444435</v>
      </c>
      <c r="AF14" s="1">
        <v>60.6</v>
      </c>
      <c r="AG14" s="1">
        <v>47.6</v>
      </c>
      <c r="AH14" s="1">
        <v>44.8</v>
      </c>
      <c r="AI14" s="1">
        <v>57.2</v>
      </c>
      <c r="AJ14" s="1">
        <v>52.8</v>
      </c>
      <c r="AK14" s="1">
        <v>33.6</v>
      </c>
      <c r="AL14" s="1">
        <v>38.4</v>
      </c>
      <c r="AM14" s="1">
        <v>56</v>
      </c>
      <c r="AN14" s="1">
        <v>56.2</v>
      </c>
      <c r="AO14" s="1">
        <v>45</v>
      </c>
      <c r="AP14" s="1"/>
      <c r="AQ14" s="1">
        <f t="shared" si="13"/>
        <v>23</v>
      </c>
      <c r="AR14" s="1">
        <f t="shared" si="14"/>
        <v>0</v>
      </c>
      <c r="AS14" t="s">
        <v>62</v>
      </c>
    </row>
    <row r="15" spans="1:48" x14ac:dyDescent="0.25">
      <c r="A15" s="9" t="s">
        <v>63</v>
      </c>
      <c r="B15" s="9" t="s">
        <v>50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64</v>
      </c>
      <c r="J15" s="9"/>
      <c r="K15" s="9"/>
      <c r="L15" s="9">
        <f t="shared" si="8"/>
        <v>0</v>
      </c>
      <c r="M15" s="9"/>
      <c r="N15" s="9"/>
      <c r="O15" s="9">
        <v>0</v>
      </c>
      <c r="P15" s="9"/>
      <c r="Q15" s="9"/>
      <c r="R15" s="9"/>
      <c r="S15" s="9"/>
      <c r="T15" s="9"/>
      <c r="U15" s="29"/>
      <c r="V15" s="29"/>
      <c r="W15" s="9">
        <f t="shared" si="9"/>
        <v>0</v>
      </c>
      <c r="X15" s="11"/>
      <c r="Y15" s="5">
        <f>X15</f>
        <v>0</v>
      </c>
      <c r="Z15" s="5">
        <f t="shared" si="10"/>
        <v>0</v>
      </c>
      <c r="AA15" s="5"/>
      <c r="AB15" s="5"/>
      <c r="AC15" s="11"/>
      <c r="AD15" s="1" t="e">
        <f t="shared" si="11"/>
        <v>#DIV/0!</v>
      </c>
      <c r="AE15" s="9" t="e">
        <f t="shared" si="12"/>
        <v>#DIV/0!</v>
      </c>
      <c r="AF15" s="9">
        <v>0</v>
      </c>
      <c r="AG15" s="9">
        <v>0</v>
      </c>
      <c r="AH15" s="9">
        <v>0</v>
      </c>
      <c r="AI15" s="9">
        <v>0</v>
      </c>
      <c r="AJ15" s="9">
        <v>0.2</v>
      </c>
      <c r="AK15" s="9">
        <v>0.2</v>
      </c>
      <c r="AL15" s="9">
        <v>0</v>
      </c>
      <c r="AM15" s="9">
        <v>0</v>
      </c>
      <c r="AN15" s="9">
        <v>0</v>
      </c>
      <c r="AO15" s="9">
        <v>0</v>
      </c>
      <c r="AP15" s="9"/>
      <c r="AQ15" s="1">
        <f t="shared" si="13"/>
        <v>0</v>
      </c>
      <c r="AR15" s="1">
        <f t="shared" si="14"/>
        <v>0</v>
      </c>
      <c r="AS15" t="s">
        <v>65</v>
      </c>
    </row>
    <row r="16" spans="1:48" x14ac:dyDescent="0.25">
      <c r="A16" s="23" t="s">
        <v>66</v>
      </c>
      <c r="B16" s="1" t="s">
        <v>42</v>
      </c>
      <c r="C16" s="1">
        <v>1742.1120000000001</v>
      </c>
      <c r="D16" s="1">
        <v>1772.8209999999999</v>
      </c>
      <c r="E16" s="1">
        <v>1143.703</v>
      </c>
      <c r="F16" s="1">
        <v>2269.288</v>
      </c>
      <c r="G16" s="7">
        <v>1</v>
      </c>
      <c r="H16" s="1">
        <v>70</v>
      </c>
      <c r="I16" s="1" t="s">
        <v>43</v>
      </c>
      <c r="J16" s="1"/>
      <c r="K16" s="1">
        <v>1108.115</v>
      </c>
      <c r="L16" s="1">
        <f t="shared" si="8"/>
        <v>35.587999999999965</v>
      </c>
      <c r="M16" s="1"/>
      <c r="N16" s="1"/>
      <c r="O16" s="1">
        <v>0</v>
      </c>
      <c r="P16" s="1"/>
      <c r="Q16" s="24">
        <v>400</v>
      </c>
      <c r="R16" s="24"/>
      <c r="S16" s="1"/>
      <c r="T16" s="1"/>
      <c r="U16" s="24"/>
      <c r="V16" s="24">
        <v>557</v>
      </c>
      <c r="W16" s="1">
        <f t="shared" si="9"/>
        <v>228.7406</v>
      </c>
      <c r="X16" s="20">
        <f t="shared" ref="X16:X23" si="15">12*W16-S16-O16-F16</f>
        <v>475.59920000000011</v>
      </c>
      <c r="Y16" s="5">
        <f>X16</f>
        <v>475.59920000000011</v>
      </c>
      <c r="Z16" s="5">
        <f t="shared" si="10"/>
        <v>183.10569200000003</v>
      </c>
      <c r="AA16" s="5"/>
      <c r="AB16" s="5"/>
      <c r="AC16" s="5">
        <f>Y16*$AC$1</f>
        <v>292.49350800000008</v>
      </c>
      <c r="AD16" s="1">
        <f t="shared" ref="AD16:AD17" si="16">(F16+O16+S16+Z16+AC16+P16+Q16+T16+U16+R16+V16+AB16)/W16</f>
        <v>16.183778480951787</v>
      </c>
      <c r="AE16" s="1">
        <f t="shared" si="12"/>
        <v>9.9207923735445309</v>
      </c>
      <c r="AF16" s="1">
        <v>230.5266</v>
      </c>
      <c r="AG16" s="1">
        <v>233.18360000000001</v>
      </c>
      <c r="AH16" s="1">
        <v>242.98320000000001</v>
      </c>
      <c r="AI16" s="1">
        <v>239.7028</v>
      </c>
      <c r="AJ16" s="1">
        <v>236.7696</v>
      </c>
      <c r="AK16" s="1">
        <v>224.553</v>
      </c>
      <c r="AL16" s="1">
        <v>226.56899999999999</v>
      </c>
      <c r="AM16" s="1">
        <v>227.60939999999999</v>
      </c>
      <c r="AN16" s="1">
        <v>217.93199999999999</v>
      </c>
      <c r="AO16" s="1">
        <v>228.4726</v>
      </c>
      <c r="AP16" s="1"/>
      <c r="AQ16" s="1">
        <f t="shared" si="13"/>
        <v>183</v>
      </c>
      <c r="AR16" s="1">
        <f t="shared" si="14"/>
        <v>292</v>
      </c>
      <c r="AS16" t="s">
        <v>67</v>
      </c>
      <c r="AT16" t="str">
        <f>VLOOKUP(AS16,[1]Лист1!$A:$A,1,0)</f>
        <v>SU002035</v>
      </c>
      <c r="AU16">
        <f t="shared" ref="AU16:AU17" si="17">Q16*G16</f>
        <v>400</v>
      </c>
      <c r="AV16">
        <f t="shared" ref="AV16:AV17" si="18">ROUND(AB16*G16,0)</f>
        <v>0</v>
      </c>
    </row>
    <row r="17" spans="1:48" x14ac:dyDescent="0.25">
      <c r="A17" s="23" t="s">
        <v>68</v>
      </c>
      <c r="B17" s="1" t="s">
        <v>42</v>
      </c>
      <c r="C17" s="1">
        <v>5923.3230000000003</v>
      </c>
      <c r="D17" s="1">
        <v>2641.422</v>
      </c>
      <c r="E17" s="1">
        <v>3682.9659999999999</v>
      </c>
      <c r="F17" s="1">
        <v>4601.7489999999998</v>
      </c>
      <c r="G17" s="7">
        <v>1</v>
      </c>
      <c r="H17" s="1">
        <v>50</v>
      </c>
      <c r="I17" s="1" t="s">
        <v>43</v>
      </c>
      <c r="J17" s="1"/>
      <c r="K17" s="1">
        <v>3701.7510000000002</v>
      </c>
      <c r="L17" s="1">
        <f t="shared" si="8"/>
        <v>-18.785000000000309</v>
      </c>
      <c r="M17" s="1"/>
      <c r="N17" s="1"/>
      <c r="O17" s="1">
        <v>1090.0189639647999</v>
      </c>
      <c r="P17" s="1"/>
      <c r="Q17" s="24"/>
      <c r="R17" s="24"/>
      <c r="S17" s="1">
        <v>1190.355437635201</v>
      </c>
      <c r="T17" s="1"/>
      <c r="U17" s="24">
        <v>450</v>
      </c>
      <c r="V17" s="24"/>
      <c r="W17" s="1">
        <f t="shared" si="9"/>
        <v>736.59320000000002</v>
      </c>
      <c r="X17" s="5">
        <f t="shared" si="15"/>
        <v>1956.9949983999986</v>
      </c>
      <c r="Y17" s="5">
        <f>X17+$Y$1*W17</f>
        <v>3106.0803903999986</v>
      </c>
      <c r="Z17" s="5">
        <f t="shared" si="10"/>
        <v>1195.8409503039995</v>
      </c>
      <c r="AA17" s="5"/>
      <c r="AB17" s="5">
        <v>700</v>
      </c>
      <c r="AC17" s="5">
        <f>Y17*$AC$1</f>
        <v>1910.239440095999</v>
      </c>
      <c r="AD17" s="1">
        <f t="shared" si="16"/>
        <v>15.121241673151474</v>
      </c>
      <c r="AE17" s="1">
        <f t="shared" si="12"/>
        <v>9.3431807429121001</v>
      </c>
      <c r="AF17" s="1">
        <v>741.72680000000003</v>
      </c>
      <c r="AG17" s="1">
        <v>660.61159999999995</v>
      </c>
      <c r="AH17" s="1">
        <v>636.86320000000001</v>
      </c>
      <c r="AI17" s="1">
        <v>674.43259999999998</v>
      </c>
      <c r="AJ17" s="1">
        <v>703.17060000000004</v>
      </c>
      <c r="AK17" s="1">
        <v>753.43720000000008</v>
      </c>
      <c r="AL17" s="1">
        <v>789.19159999999999</v>
      </c>
      <c r="AM17" s="1">
        <v>779.79539999999997</v>
      </c>
      <c r="AN17" s="1">
        <v>746.61940000000004</v>
      </c>
      <c r="AO17" s="1">
        <v>740.76059999999995</v>
      </c>
      <c r="AP17" s="1"/>
      <c r="AQ17" s="1">
        <f t="shared" si="13"/>
        <v>1196</v>
      </c>
      <c r="AR17" s="1">
        <f t="shared" si="14"/>
        <v>1910</v>
      </c>
      <c r="AS17" t="s">
        <v>69</v>
      </c>
      <c r="AT17" t="str">
        <f>VLOOKUP(AS17,[1]Лист1!$A:$A,1,0)</f>
        <v>SU000126</v>
      </c>
      <c r="AU17">
        <f t="shared" si="17"/>
        <v>0</v>
      </c>
      <c r="AV17">
        <f t="shared" si="18"/>
        <v>700</v>
      </c>
    </row>
    <row r="18" spans="1:48" x14ac:dyDescent="0.25">
      <c r="A18" s="1" t="s">
        <v>70</v>
      </c>
      <c r="B18" s="1" t="s">
        <v>42</v>
      </c>
      <c r="C18" s="1">
        <v>101.029</v>
      </c>
      <c r="D18" s="1">
        <v>217.46199999999999</v>
      </c>
      <c r="E18" s="1">
        <v>116.163</v>
      </c>
      <c r="F18" s="1">
        <v>191.749</v>
      </c>
      <c r="G18" s="7">
        <v>1</v>
      </c>
      <c r="H18" s="1">
        <v>60</v>
      </c>
      <c r="I18" s="1" t="s">
        <v>43</v>
      </c>
      <c r="J18" s="1"/>
      <c r="K18" s="1">
        <v>113.29</v>
      </c>
      <c r="L18" s="1">
        <f t="shared" si="8"/>
        <v>2.8729999999999905</v>
      </c>
      <c r="M18" s="1"/>
      <c r="N18" s="1"/>
      <c r="O18" s="1">
        <v>30.901000000000099</v>
      </c>
      <c r="P18" s="1"/>
      <c r="Q18" s="1"/>
      <c r="R18" s="1"/>
      <c r="S18" s="1"/>
      <c r="T18" s="1"/>
      <c r="U18" s="24"/>
      <c r="V18" s="24"/>
      <c r="W18" s="1">
        <f t="shared" si="9"/>
        <v>23.232599999999998</v>
      </c>
      <c r="X18" s="5">
        <f t="shared" si="15"/>
        <v>56.141199999999913</v>
      </c>
      <c r="Y18" s="5">
        <f>X18</f>
        <v>56.141199999999913</v>
      </c>
      <c r="Z18" s="5">
        <f t="shared" si="10"/>
        <v>56.141199999999913</v>
      </c>
      <c r="AA18" s="5"/>
      <c r="AB18" s="5"/>
      <c r="AC18" s="5"/>
      <c r="AD18" s="1">
        <f t="shared" si="11"/>
        <v>12.000000000000002</v>
      </c>
      <c r="AE18" s="1">
        <f t="shared" si="12"/>
        <v>9.5835162659366624</v>
      </c>
      <c r="AF18" s="1">
        <v>23.764399999999998</v>
      </c>
      <c r="AG18" s="1">
        <v>25.488199999999999</v>
      </c>
      <c r="AH18" s="1">
        <v>23.536200000000001</v>
      </c>
      <c r="AI18" s="1">
        <v>24.895399999999999</v>
      </c>
      <c r="AJ18" s="1">
        <v>24.598400000000002</v>
      </c>
      <c r="AK18" s="1">
        <v>18.6858</v>
      </c>
      <c r="AL18" s="1">
        <v>21.406600000000001</v>
      </c>
      <c r="AM18" s="1">
        <v>20.923999999999999</v>
      </c>
      <c r="AN18" s="1">
        <v>19.589400000000001</v>
      </c>
      <c r="AO18" s="1">
        <v>22.287800000000001</v>
      </c>
      <c r="AP18" s="1"/>
      <c r="AQ18" s="1">
        <f t="shared" si="13"/>
        <v>56</v>
      </c>
      <c r="AR18" s="1">
        <f t="shared" si="14"/>
        <v>0</v>
      </c>
      <c r="AS18" t="s">
        <v>71</v>
      </c>
    </row>
    <row r="19" spans="1:48" x14ac:dyDescent="0.25">
      <c r="A19" s="1" t="s">
        <v>72</v>
      </c>
      <c r="B19" s="1" t="s">
        <v>42</v>
      </c>
      <c r="C19" s="1">
        <v>75.382000000000005</v>
      </c>
      <c r="D19" s="1">
        <v>139.154</v>
      </c>
      <c r="E19" s="1">
        <v>99.659000000000006</v>
      </c>
      <c r="F19" s="1">
        <v>111.399</v>
      </c>
      <c r="G19" s="7">
        <v>1</v>
      </c>
      <c r="H19" s="1">
        <v>60</v>
      </c>
      <c r="I19" s="1" t="s">
        <v>43</v>
      </c>
      <c r="J19" s="1"/>
      <c r="K19" s="1">
        <v>97.22</v>
      </c>
      <c r="L19" s="1">
        <f t="shared" si="8"/>
        <v>2.4390000000000072</v>
      </c>
      <c r="M19" s="1"/>
      <c r="N19" s="1"/>
      <c r="O19" s="1">
        <v>62.708600000000018</v>
      </c>
      <c r="P19" s="1"/>
      <c r="Q19" s="1"/>
      <c r="R19" s="1"/>
      <c r="S19" s="1"/>
      <c r="T19" s="1"/>
      <c r="U19" s="24"/>
      <c r="V19" s="24"/>
      <c r="W19" s="1">
        <f t="shared" si="9"/>
        <v>19.931800000000003</v>
      </c>
      <c r="X19" s="5">
        <f t="shared" si="15"/>
        <v>65.074000000000012</v>
      </c>
      <c r="Y19" s="5">
        <f>X19</f>
        <v>65.074000000000012</v>
      </c>
      <c r="Z19" s="5">
        <f t="shared" si="10"/>
        <v>65.074000000000012</v>
      </c>
      <c r="AA19" s="5"/>
      <c r="AB19" s="5"/>
      <c r="AC19" s="5"/>
      <c r="AD19" s="1">
        <f t="shared" si="11"/>
        <v>12</v>
      </c>
      <c r="AE19" s="1">
        <f t="shared" si="12"/>
        <v>8.7351669191944534</v>
      </c>
      <c r="AF19" s="1">
        <v>18.4558</v>
      </c>
      <c r="AG19" s="1">
        <v>16.866199999999999</v>
      </c>
      <c r="AH19" s="1">
        <v>17.227399999999999</v>
      </c>
      <c r="AI19" s="1">
        <v>14.844200000000001</v>
      </c>
      <c r="AJ19" s="1">
        <v>17.3218</v>
      </c>
      <c r="AK19" s="1">
        <v>17.478400000000001</v>
      </c>
      <c r="AL19" s="1">
        <v>13.7256</v>
      </c>
      <c r="AM19" s="1">
        <v>14.416600000000001</v>
      </c>
      <c r="AN19" s="1">
        <v>16.773</v>
      </c>
      <c r="AO19" s="1">
        <v>16.835999999999999</v>
      </c>
      <c r="AP19" s="1"/>
      <c r="AQ19" s="1">
        <f t="shared" si="13"/>
        <v>65</v>
      </c>
      <c r="AR19" s="1">
        <f t="shared" si="14"/>
        <v>0</v>
      </c>
      <c r="AS19" t="s">
        <v>73</v>
      </c>
    </row>
    <row r="20" spans="1:48" x14ac:dyDescent="0.25">
      <c r="A20" s="1" t="s">
        <v>74</v>
      </c>
      <c r="B20" s="1" t="s">
        <v>42</v>
      </c>
      <c r="C20" s="1">
        <v>21.78</v>
      </c>
      <c r="D20" s="1">
        <v>5.7679999999999998</v>
      </c>
      <c r="E20" s="1">
        <v>8.5220000000000002</v>
      </c>
      <c r="F20" s="1">
        <v>15.788</v>
      </c>
      <c r="G20" s="7">
        <v>1</v>
      </c>
      <c r="H20" s="1">
        <v>180</v>
      </c>
      <c r="I20" s="1" t="s">
        <v>43</v>
      </c>
      <c r="J20" s="1"/>
      <c r="K20" s="1">
        <v>8.35</v>
      </c>
      <c r="L20" s="1">
        <f t="shared" si="8"/>
        <v>0.1720000000000006</v>
      </c>
      <c r="M20" s="1"/>
      <c r="N20" s="1"/>
      <c r="O20" s="1">
        <v>0</v>
      </c>
      <c r="P20" s="1"/>
      <c r="Q20" s="1"/>
      <c r="R20" s="1"/>
      <c r="S20" s="1"/>
      <c r="T20" s="1"/>
      <c r="U20" s="24"/>
      <c r="V20" s="24"/>
      <c r="W20" s="1">
        <f t="shared" si="9"/>
        <v>1.7044000000000001</v>
      </c>
      <c r="X20" s="5">
        <f t="shared" si="15"/>
        <v>4.6648000000000032</v>
      </c>
      <c r="Y20" s="5">
        <f>X20</f>
        <v>4.6648000000000032</v>
      </c>
      <c r="Z20" s="5">
        <f t="shared" si="10"/>
        <v>4.6648000000000032</v>
      </c>
      <c r="AA20" s="5"/>
      <c r="AB20" s="5"/>
      <c r="AC20" s="5"/>
      <c r="AD20" s="1">
        <f t="shared" si="11"/>
        <v>12.000000000000002</v>
      </c>
      <c r="AE20" s="1">
        <f t="shared" si="12"/>
        <v>9.2630837831494954</v>
      </c>
      <c r="AF20" s="1">
        <v>1.3306</v>
      </c>
      <c r="AG20" s="1">
        <v>0.62980000000000003</v>
      </c>
      <c r="AH20" s="1">
        <v>1.0427999999999999</v>
      </c>
      <c r="AI20" s="1">
        <v>2.0901999999999998</v>
      </c>
      <c r="AJ20" s="1">
        <v>2.1625999999999999</v>
      </c>
      <c r="AK20" s="1">
        <v>1.7310000000000001</v>
      </c>
      <c r="AL20" s="1">
        <v>1.6870000000000001</v>
      </c>
      <c r="AM20" s="1">
        <v>1.4314</v>
      </c>
      <c r="AN20" s="1">
        <v>1.4481999999999999</v>
      </c>
      <c r="AO20" s="1">
        <v>1.9716</v>
      </c>
      <c r="AP20" s="1"/>
      <c r="AQ20" s="1">
        <f t="shared" si="13"/>
        <v>5</v>
      </c>
      <c r="AR20" s="1">
        <f t="shared" si="14"/>
        <v>0</v>
      </c>
      <c r="AS20" t="s">
        <v>75</v>
      </c>
    </row>
    <row r="21" spans="1:48" x14ac:dyDescent="0.25">
      <c r="A21" s="1" t="s">
        <v>76</v>
      </c>
      <c r="B21" s="1" t="s">
        <v>42</v>
      </c>
      <c r="C21" s="1">
        <v>2270.7550000000001</v>
      </c>
      <c r="D21" s="1">
        <v>1127.692</v>
      </c>
      <c r="E21" s="1">
        <v>1364.653</v>
      </c>
      <c r="F21" s="1">
        <v>1909.5260000000001</v>
      </c>
      <c r="G21" s="7">
        <v>1</v>
      </c>
      <c r="H21" s="1">
        <v>60</v>
      </c>
      <c r="I21" s="1" t="s">
        <v>43</v>
      </c>
      <c r="J21" s="1"/>
      <c r="K21" s="1">
        <v>1319.9949999999999</v>
      </c>
      <c r="L21" s="1">
        <f t="shared" si="8"/>
        <v>44.658000000000129</v>
      </c>
      <c r="M21" s="1"/>
      <c r="N21" s="1"/>
      <c r="O21" s="1">
        <v>303.49875705959982</v>
      </c>
      <c r="P21" s="1"/>
      <c r="Q21" s="1"/>
      <c r="R21" s="1"/>
      <c r="S21" s="1">
        <v>331.43588114039977</v>
      </c>
      <c r="T21" s="1"/>
      <c r="U21" s="24"/>
      <c r="V21" s="24"/>
      <c r="W21" s="1">
        <f t="shared" si="9"/>
        <v>272.93060000000003</v>
      </c>
      <c r="X21" s="5">
        <f t="shared" si="15"/>
        <v>730.70656180000037</v>
      </c>
      <c r="Y21" s="5">
        <f>X21+$Y$1*W21</f>
        <v>1156.4782978000003</v>
      </c>
      <c r="Z21" s="5">
        <f t="shared" si="10"/>
        <v>445.24414465300015</v>
      </c>
      <c r="AA21" s="5"/>
      <c r="AB21" s="5"/>
      <c r="AC21" s="5">
        <f>Y21*$AC$1</f>
        <v>711.23415314700014</v>
      </c>
      <c r="AD21" s="1">
        <f t="shared" si="11"/>
        <v>13.559999999999999</v>
      </c>
      <c r="AE21" s="1">
        <f t="shared" si="12"/>
        <v>9.3227385943532877</v>
      </c>
      <c r="AF21" s="1">
        <v>280.49860000000001</v>
      </c>
      <c r="AG21" s="1">
        <v>283.15519999999998</v>
      </c>
      <c r="AH21" s="1">
        <v>289.96379999999999</v>
      </c>
      <c r="AI21" s="1">
        <v>276.86619999999999</v>
      </c>
      <c r="AJ21" s="1">
        <v>268.45139999999998</v>
      </c>
      <c r="AK21" s="1">
        <v>275.91120000000001</v>
      </c>
      <c r="AL21" s="1">
        <v>284.72680000000003</v>
      </c>
      <c r="AM21" s="1">
        <v>282.6728</v>
      </c>
      <c r="AN21" s="1">
        <v>268.63920000000002</v>
      </c>
      <c r="AO21" s="1">
        <v>285.46140000000003</v>
      </c>
      <c r="AP21" s="1"/>
      <c r="AQ21" s="1">
        <f t="shared" si="13"/>
        <v>445</v>
      </c>
      <c r="AR21" s="1">
        <f t="shared" si="14"/>
        <v>711</v>
      </c>
      <c r="AS21" t="s">
        <v>77</v>
      </c>
    </row>
    <row r="22" spans="1:48" x14ac:dyDescent="0.25">
      <c r="A22" s="1" t="s">
        <v>78</v>
      </c>
      <c r="B22" s="1" t="s">
        <v>42</v>
      </c>
      <c r="C22" s="1">
        <v>156.48500000000001</v>
      </c>
      <c r="D22" s="1">
        <v>311.25</v>
      </c>
      <c r="E22" s="1">
        <v>249.477</v>
      </c>
      <c r="F22" s="1">
        <v>194.20599999999999</v>
      </c>
      <c r="G22" s="7">
        <v>1</v>
      </c>
      <c r="H22" s="1">
        <v>70</v>
      </c>
      <c r="I22" s="1" t="s">
        <v>43</v>
      </c>
      <c r="J22" s="1"/>
      <c r="K22" s="1">
        <v>247.35</v>
      </c>
      <c r="L22" s="1">
        <f t="shared" si="8"/>
        <v>2.1270000000000095</v>
      </c>
      <c r="M22" s="1"/>
      <c r="N22" s="1"/>
      <c r="O22" s="1">
        <v>271.41216739999999</v>
      </c>
      <c r="P22" s="1"/>
      <c r="Q22" s="1"/>
      <c r="R22" s="1"/>
      <c r="S22" s="1"/>
      <c r="T22" s="1"/>
      <c r="U22" s="24"/>
      <c r="V22" s="24"/>
      <c r="W22" s="1">
        <f t="shared" si="9"/>
        <v>49.895400000000002</v>
      </c>
      <c r="X22" s="5">
        <f t="shared" si="15"/>
        <v>133.12663260000008</v>
      </c>
      <c r="Y22" s="5">
        <f>X22</f>
        <v>133.12663260000008</v>
      </c>
      <c r="Z22" s="5">
        <f t="shared" si="10"/>
        <v>133.12663260000008</v>
      </c>
      <c r="AA22" s="5"/>
      <c r="AB22" s="5"/>
      <c r="AC22" s="5"/>
      <c r="AD22" s="1">
        <f t="shared" si="11"/>
        <v>12</v>
      </c>
      <c r="AE22" s="1">
        <f t="shared" si="12"/>
        <v>9.3318856527856262</v>
      </c>
      <c r="AF22" s="1">
        <v>49.0822</v>
      </c>
      <c r="AG22" s="1">
        <v>37.723999999999997</v>
      </c>
      <c r="AH22" s="1">
        <v>35.753</v>
      </c>
      <c r="AI22" s="1">
        <v>35.983400000000003</v>
      </c>
      <c r="AJ22" s="1">
        <v>37.6586</v>
      </c>
      <c r="AK22" s="1">
        <v>29.225200000000001</v>
      </c>
      <c r="AL22" s="1">
        <v>30.331199999999999</v>
      </c>
      <c r="AM22" s="1">
        <v>41.240400000000001</v>
      </c>
      <c r="AN22" s="1">
        <v>40.357600000000012</v>
      </c>
      <c r="AO22" s="1">
        <v>31.3566</v>
      </c>
      <c r="AP22" s="1"/>
      <c r="AQ22" s="1">
        <f t="shared" si="13"/>
        <v>133</v>
      </c>
      <c r="AR22" s="1">
        <f t="shared" si="14"/>
        <v>0</v>
      </c>
      <c r="AS22" t="s">
        <v>79</v>
      </c>
    </row>
    <row r="23" spans="1:48" x14ac:dyDescent="0.25">
      <c r="A23" s="1" t="s">
        <v>80</v>
      </c>
      <c r="B23" s="1" t="s">
        <v>42</v>
      </c>
      <c r="C23" s="1">
        <v>538.096</v>
      </c>
      <c r="D23" s="1">
        <v>441.94600000000003</v>
      </c>
      <c r="E23" s="1">
        <v>431.92099999999999</v>
      </c>
      <c r="F23" s="1">
        <v>517.87099999999998</v>
      </c>
      <c r="G23" s="7">
        <v>1</v>
      </c>
      <c r="H23" s="1">
        <v>70</v>
      </c>
      <c r="I23" s="1" t="s">
        <v>43</v>
      </c>
      <c r="J23" s="1"/>
      <c r="K23" s="1">
        <v>418.35</v>
      </c>
      <c r="L23" s="1">
        <f t="shared" si="8"/>
        <v>13.57099999999997</v>
      </c>
      <c r="M23" s="1"/>
      <c r="N23" s="1"/>
      <c r="O23" s="1">
        <v>260.56064739999982</v>
      </c>
      <c r="P23" s="1"/>
      <c r="Q23" s="1"/>
      <c r="R23" s="1"/>
      <c r="S23" s="1"/>
      <c r="T23" s="1"/>
      <c r="U23" s="24"/>
      <c r="V23" s="24"/>
      <c r="W23" s="1">
        <f t="shared" si="9"/>
        <v>86.384199999999993</v>
      </c>
      <c r="X23" s="5">
        <f t="shared" si="15"/>
        <v>258.17875260000017</v>
      </c>
      <c r="Y23" s="5">
        <f>X23+$Y$1*W23</f>
        <v>392.9381046000002</v>
      </c>
      <c r="Z23" s="5">
        <f t="shared" si="10"/>
        <v>151.28117027100009</v>
      </c>
      <c r="AA23" s="5">
        <v>-153.12</v>
      </c>
      <c r="AB23" s="5"/>
      <c r="AC23" s="5">
        <f>Y23*$AC$1</f>
        <v>241.65693432900011</v>
      </c>
      <c r="AD23" s="1">
        <f t="shared" si="11"/>
        <v>13.559999999999999</v>
      </c>
      <c r="AE23" s="1">
        <f t="shared" si="12"/>
        <v>9.0112734435232351</v>
      </c>
      <c r="AF23" s="1">
        <v>84.844200000000001</v>
      </c>
      <c r="AG23" s="1">
        <v>79.9756</v>
      </c>
      <c r="AH23" s="1">
        <v>79.880200000000002</v>
      </c>
      <c r="AI23" s="1">
        <v>85.579599999999999</v>
      </c>
      <c r="AJ23" s="1">
        <v>89.1798</v>
      </c>
      <c r="AK23" s="1">
        <v>90.862200000000001</v>
      </c>
      <c r="AL23" s="1">
        <v>89.53540000000001</v>
      </c>
      <c r="AM23" s="1">
        <v>90.167400000000001</v>
      </c>
      <c r="AN23" s="1">
        <v>90.783199999999994</v>
      </c>
      <c r="AO23" s="1">
        <v>90.342600000000004</v>
      </c>
      <c r="AP23" s="1"/>
      <c r="AQ23" s="1">
        <f t="shared" si="13"/>
        <v>151</v>
      </c>
      <c r="AR23" s="1">
        <f t="shared" si="14"/>
        <v>242</v>
      </c>
      <c r="AS23" t="s">
        <v>81</v>
      </c>
    </row>
    <row r="24" spans="1:48" x14ac:dyDescent="0.25">
      <c r="A24" s="9" t="s">
        <v>82</v>
      </c>
      <c r="B24" s="9" t="s">
        <v>42</v>
      </c>
      <c r="C24" s="9"/>
      <c r="D24" s="9"/>
      <c r="E24" s="9"/>
      <c r="F24" s="9"/>
      <c r="G24" s="10">
        <v>0</v>
      </c>
      <c r="H24" s="9"/>
      <c r="I24" s="9" t="s">
        <v>43</v>
      </c>
      <c r="J24" s="9"/>
      <c r="K24" s="9"/>
      <c r="L24" s="9">
        <f t="shared" si="8"/>
        <v>0</v>
      </c>
      <c r="M24" s="9"/>
      <c r="N24" s="9"/>
      <c r="O24" s="9">
        <v>0</v>
      </c>
      <c r="P24" s="9"/>
      <c r="Q24" s="9"/>
      <c r="R24" s="9"/>
      <c r="S24" s="9"/>
      <c r="T24" s="9"/>
      <c r="U24" s="29"/>
      <c r="V24" s="29"/>
      <c r="W24" s="9">
        <f t="shared" si="9"/>
        <v>0</v>
      </c>
      <c r="X24" s="11"/>
      <c r="Y24" s="5">
        <f>X24</f>
        <v>0</v>
      </c>
      <c r="Z24" s="5">
        <f t="shared" si="10"/>
        <v>0</v>
      </c>
      <c r="AA24" s="5"/>
      <c r="AB24" s="5"/>
      <c r="AC24" s="11"/>
      <c r="AD24" s="1" t="e">
        <f t="shared" si="11"/>
        <v>#DIV/0!</v>
      </c>
      <c r="AE24" s="9" t="e">
        <f t="shared" si="12"/>
        <v>#DIV/0!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 t="s">
        <v>51</v>
      </c>
      <c r="AQ24" s="1">
        <f t="shared" si="13"/>
        <v>0</v>
      </c>
      <c r="AR24" s="1">
        <f t="shared" si="14"/>
        <v>0</v>
      </c>
      <c r="AS24" t="s">
        <v>83</v>
      </c>
    </row>
    <row r="25" spans="1:48" x14ac:dyDescent="0.25">
      <c r="A25" s="1" t="s">
        <v>84</v>
      </c>
      <c r="B25" s="1" t="s">
        <v>42</v>
      </c>
      <c r="C25" s="1">
        <v>521.48900000000003</v>
      </c>
      <c r="D25" s="1">
        <v>1023.109</v>
      </c>
      <c r="E25" s="1">
        <v>679.24099999999999</v>
      </c>
      <c r="F25" s="1">
        <v>794.029</v>
      </c>
      <c r="G25" s="7">
        <v>1</v>
      </c>
      <c r="H25" s="1">
        <v>70</v>
      </c>
      <c r="I25" s="1" t="s">
        <v>43</v>
      </c>
      <c r="J25" s="1"/>
      <c r="K25" s="1">
        <v>665.15499999999997</v>
      </c>
      <c r="L25" s="1">
        <f t="shared" si="8"/>
        <v>14.086000000000013</v>
      </c>
      <c r="M25" s="1"/>
      <c r="N25" s="1"/>
      <c r="O25" s="1">
        <v>448.44433519999927</v>
      </c>
      <c r="P25" s="1"/>
      <c r="Q25" s="1"/>
      <c r="R25" s="1"/>
      <c r="S25" s="1"/>
      <c r="T25" s="1"/>
      <c r="U25" s="24"/>
      <c r="V25" s="24"/>
      <c r="W25" s="1">
        <f t="shared" si="9"/>
        <v>135.84819999999999</v>
      </c>
      <c r="X25" s="5">
        <f>12*W25-S25-O25-F25</f>
        <v>387.7050648000004</v>
      </c>
      <c r="Y25" s="5">
        <f>X25+$Y$1*W25</f>
        <v>599.62825680000037</v>
      </c>
      <c r="Z25" s="5">
        <f t="shared" si="10"/>
        <v>230.85687886800014</v>
      </c>
      <c r="AA25" s="5">
        <v>-232.32</v>
      </c>
      <c r="AB25" s="5"/>
      <c r="AC25" s="5">
        <f>Y25*$AC$1</f>
        <v>368.77137793200023</v>
      </c>
      <c r="AD25" s="1">
        <f t="shared" si="11"/>
        <v>13.559999999999999</v>
      </c>
      <c r="AE25" s="1">
        <f t="shared" si="12"/>
        <v>9.146041943875586</v>
      </c>
      <c r="AF25" s="1">
        <v>138.06559999999999</v>
      </c>
      <c r="AG25" s="1">
        <v>123.43040000000001</v>
      </c>
      <c r="AH25" s="1">
        <v>120.05240000000001</v>
      </c>
      <c r="AI25" s="1">
        <v>127.38039999999999</v>
      </c>
      <c r="AJ25" s="1">
        <v>123.4118</v>
      </c>
      <c r="AK25" s="1">
        <v>117.6122</v>
      </c>
      <c r="AL25" s="1">
        <v>125.7372</v>
      </c>
      <c r="AM25" s="1">
        <v>138.38999999999999</v>
      </c>
      <c r="AN25" s="1">
        <v>139.70419999999999</v>
      </c>
      <c r="AO25" s="1">
        <v>135.19220000000001</v>
      </c>
      <c r="AP25" s="1"/>
      <c r="AQ25" s="1">
        <f t="shared" si="13"/>
        <v>231</v>
      </c>
      <c r="AR25" s="1">
        <f t="shared" si="14"/>
        <v>369</v>
      </c>
      <c r="AS25" t="s">
        <v>85</v>
      </c>
    </row>
    <row r="26" spans="1:48" x14ac:dyDescent="0.25">
      <c r="A26" s="1" t="s">
        <v>86</v>
      </c>
      <c r="B26" s="1" t="s">
        <v>42</v>
      </c>
      <c r="C26" s="1">
        <v>195.62</v>
      </c>
      <c r="D26" s="1">
        <v>8.69</v>
      </c>
      <c r="E26" s="1">
        <v>157.72399999999999</v>
      </c>
      <c r="F26" s="1">
        <v>46.585999999999999</v>
      </c>
      <c r="G26" s="7">
        <v>1</v>
      </c>
      <c r="H26" s="1">
        <v>40</v>
      </c>
      <c r="I26" s="13" t="s">
        <v>87</v>
      </c>
      <c r="J26" s="1"/>
      <c r="K26" s="1">
        <v>200.7</v>
      </c>
      <c r="L26" s="1">
        <f t="shared" si="8"/>
        <v>-42.975999999999999</v>
      </c>
      <c r="M26" s="1"/>
      <c r="N26" s="1"/>
      <c r="O26" s="1">
        <v>50</v>
      </c>
      <c r="P26" s="1"/>
      <c r="Q26" s="1"/>
      <c r="R26" s="1"/>
      <c r="S26" s="1"/>
      <c r="T26" s="1"/>
      <c r="U26" s="24"/>
      <c r="V26" s="24"/>
      <c r="W26" s="1">
        <f t="shared" si="9"/>
        <v>31.544799999999999</v>
      </c>
      <c r="X26" s="5">
        <v>90</v>
      </c>
      <c r="Y26" s="5">
        <f t="shared" ref="Y26:Y37" si="19">X26</f>
        <v>90</v>
      </c>
      <c r="Z26" s="5">
        <f>X26</f>
        <v>90</v>
      </c>
      <c r="AA26" s="5">
        <v>-92.4</v>
      </c>
      <c r="AB26" s="5"/>
      <c r="AC26" s="5">
        <f>X26*0.5</f>
        <v>45</v>
      </c>
      <c r="AD26" s="1">
        <f t="shared" si="11"/>
        <v>7.3414952702188643</v>
      </c>
      <c r="AE26" s="1">
        <f t="shared" si="12"/>
        <v>3.0618675661281736</v>
      </c>
      <c r="AF26" s="1">
        <v>30.824200000000001</v>
      </c>
      <c r="AG26" s="1">
        <v>25.345600000000001</v>
      </c>
      <c r="AH26" s="1">
        <v>25.345600000000001</v>
      </c>
      <c r="AI26" s="1">
        <v>29.334199999999999</v>
      </c>
      <c r="AJ26" s="1">
        <v>30.359200000000001</v>
      </c>
      <c r="AK26" s="1">
        <v>1.6180000000000001</v>
      </c>
      <c r="AL26" s="1">
        <v>0.88819999999999999</v>
      </c>
      <c r="AM26" s="1">
        <v>28.8462</v>
      </c>
      <c r="AN26" s="1">
        <v>28.550999999999998</v>
      </c>
      <c r="AO26" s="1">
        <v>16.459599999999998</v>
      </c>
      <c r="AP26" s="1"/>
      <c r="AQ26" s="1">
        <f t="shared" si="13"/>
        <v>90</v>
      </c>
      <c r="AR26" s="1">
        <f t="shared" si="14"/>
        <v>45</v>
      </c>
      <c r="AS26" t="s">
        <v>88</v>
      </c>
    </row>
    <row r="27" spans="1:48" x14ac:dyDescent="0.25">
      <c r="A27" s="1" t="s">
        <v>89</v>
      </c>
      <c r="B27" s="1" t="s">
        <v>42</v>
      </c>
      <c r="C27" s="1">
        <v>377.73500000000001</v>
      </c>
      <c r="D27" s="1">
        <v>268.70999999999998</v>
      </c>
      <c r="E27" s="1">
        <v>277.86799999999999</v>
      </c>
      <c r="F27" s="1">
        <v>339.79199999999997</v>
      </c>
      <c r="G27" s="7">
        <v>1</v>
      </c>
      <c r="H27" s="1">
        <v>30</v>
      </c>
      <c r="I27" s="1" t="s">
        <v>43</v>
      </c>
      <c r="J27" s="1"/>
      <c r="K27" s="1">
        <v>289.2</v>
      </c>
      <c r="L27" s="1">
        <f t="shared" si="8"/>
        <v>-11.331999999999994</v>
      </c>
      <c r="M27" s="1"/>
      <c r="N27" s="1"/>
      <c r="O27" s="1">
        <v>197.20011400000001</v>
      </c>
      <c r="P27" s="1"/>
      <c r="Q27" s="1"/>
      <c r="R27" s="1"/>
      <c r="S27" s="1"/>
      <c r="T27" s="1"/>
      <c r="U27" s="24"/>
      <c r="V27" s="24"/>
      <c r="W27" s="1">
        <f t="shared" si="9"/>
        <v>55.573599999999999</v>
      </c>
      <c r="X27" s="5">
        <f>12*W27-S27-O27-F27</f>
        <v>129.89108600000003</v>
      </c>
      <c r="Y27" s="5">
        <f t="shared" si="19"/>
        <v>129.89108600000003</v>
      </c>
      <c r="Z27" s="5">
        <f>Y27-AC27</f>
        <v>129.89108600000003</v>
      </c>
      <c r="AA27" s="5"/>
      <c r="AB27" s="5"/>
      <c r="AC27" s="5"/>
      <c r="AD27" s="1">
        <f t="shared" si="11"/>
        <v>12</v>
      </c>
      <c r="AE27" s="1">
        <f t="shared" si="12"/>
        <v>9.6627196006737019</v>
      </c>
      <c r="AF27" s="1">
        <v>57.696000000000012</v>
      </c>
      <c r="AG27" s="1">
        <v>53.5364</v>
      </c>
      <c r="AH27" s="1">
        <v>46.989400000000003</v>
      </c>
      <c r="AI27" s="1">
        <v>50.754199999999997</v>
      </c>
      <c r="AJ27" s="1">
        <v>52.681199999999997</v>
      </c>
      <c r="AK27" s="1">
        <v>61.315399999999997</v>
      </c>
      <c r="AL27" s="1">
        <v>65.999600000000001</v>
      </c>
      <c r="AM27" s="1">
        <v>56.640599999999992</v>
      </c>
      <c r="AN27" s="1">
        <v>57.695599999999999</v>
      </c>
      <c r="AO27" s="1">
        <v>53.313800000000001</v>
      </c>
      <c r="AP27" s="1"/>
      <c r="AQ27" s="1">
        <f t="shared" si="13"/>
        <v>130</v>
      </c>
      <c r="AR27" s="1">
        <f t="shared" si="14"/>
        <v>0</v>
      </c>
      <c r="AS27" t="s">
        <v>90</v>
      </c>
    </row>
    <row r="28" spans="1:48" x14ac:dyDescent="0.25">
      <c r="A28" s="1" t="s">
        <v>91</v>
      </c>
      <c r="B28" s="1" t="s">
        <v>42</v>
      </c>
      <c r="C28" s="1">
        <v>0.23499999999999999</v>
      </c>
      <c r="D28" s="1"/>
      <c r="E28" s="1">
        <v>-9.8450000000000006</v>
      </c>
      <c r="F28" s="1">
        <v>0.23499999999999999</v>
      </c>
      <c r="G28" s="7">
        <v>1</v>
      </c>
      <c r="H28" s="1">
        <v>40</v>
      </c>
      <c r="I28" s="13" t="s">
        <v>87</v>
      </c>
      <c r="J28" s="1"/>
      <c r="K28" s="1">
        <v>79.7</v>
      </c>
      <c r="L28" s="1">
        <f t="shared" si="8"/>
        <v>-89.545000000000002</v>
      </c>
      <c r="M28" s="1"/>
      <c r="N28" s="1"/>
      <c r="O28" s="1">
        <v>100</v>
      </c>
      <c r="P28" s="1">
        <v>-108</v>
      </c>
      <c r="Q28" s="1"/>
      <c r="R28" s="1"/>
      <c r="S28" s="1"/>
      <c r="T28" s="1"/>
      <c r="U28" s="24"/>
      <c r="V28" s="24"/>
      <c r="W28" s="1">
        <f t="shared" si="9"/>
        <v>-1.9690000000000001</v>
      </c>
      <c r="X28" s="5">
        <v>100</v>
      </c>
      <c r="Y28" s="5">
        <f t="shared" si="19"/>
        <v>100</v>
      </c>
      <c r="Z28" s="5">
        <f>X28</f>
        <v>100</v>
      </c>
      <c r="AA28" s="5">
        <v>-108</v>
      </c>
      <c r="AB28" s="5"/>
      <c r="AC28" s="5">
        <f>X28*0.5</f>
        <v>50</v>
      </c>
      <c r="AD28" s="1">
        <f t="shared" si="11"/>
        <v>-127.08735398679534</v>
      </c>
      <c r="AE28" s="1">
        <f t="shared" si="12"/>
        <v>-50.906551549009649</v>
      </c>
      <c r="AF28" s="1">
        <v>-1.5426</v>
      </c>
      <c r="AG28" s="1">
        <v>0.627</v>
      </c>
      <c r="AH28" s="1">
        <v>13.4148</v>
      </c>
      <c r="AI28" s="1">
        <v>42.743000000000002</v>
      </c>
      <c r="AJ28" s="1">
        <v>41.494799999999998</v>
      </c>
      <c r="AK28" s="1">
        <v>42.447800000000001</v>
      </c>
      <c r="AL28" s="1">
        <v>46.859200000000001</v>
      </c>
      <c r="AM28" s="1">
        <v>44.1312</v>
      </c>
      <c r="AN28" s="1">
        <v>43.206599999999987</v>
      </c>
      <c r="AO28" s="1">
        <v>39.3598</v>
      </c>
      <c r="AP28" s="1"/>
      <c r="AQ28" s="1">
        <f t="shared" si="13"/>
        <v>100</v>
      </c>
      <c r="AR28" s="1">
        <f t="shared" si="14"/>
        <v>50</v>
      </c>
      <c r="AS28" t="s">
        <v>92</v>
      </c>
    </row>
    <row r="29" spans="1:48" x14ac:dyDescent="0.25">
      <c r="A29" s="1" t="s">
        <v>93</v>
      </c>
      <c r="B29" s="1" t="s">
        <v>42</v>
      </c>
      <c r="C29" s="1">
        <v>247.59100000000001</v>
      </c>
      <c r="D29" s="1">
        <v>2594.23</v>
      </c>
      <c r="E29" s="1">
        <v>1878.28</v>
      </c>
      <c r="F29" s="1">
        <v>711.39499999999998</v>
      </c>
      <c r="G29" s="7">
        <v>1</v>
      </c>
      <c r="H29" s="1">
        <v>30</v>
      </c>
      <c r="I29" s="13" t="s">
        <v>87</v>
      </c>
      <c r="J29" s="1"/>
      <c r="K29" s="1">
        <v>2030.7809999999999</v>
      </c>
      <c r="L29" s="1">
        <f t="shared" si="8"/>
        <v>-152.50099999999998</v>
      </c>
      <c r="M29" s="1"/>
      <c r="N29" s="1"/>
      <c r="O29" s="1">
        <v>717</v>
      </c>
      <c r="P29" s="1"/>
      <c r="Q29" s="1"/>
      <c r="R29" s="1"/>
      <c r="S29" s="1">
        <v>783</v>
      </c>
      <c r="T29" s="1"/>
      <c r="U29" s="24"/>
      <c r="V29" s="24"/>
      <c r="W29" s="1">
        <f t="shared" si="9"/>
        <v>375.65600000000001</v>
      </c>
      <c r="X29" s="5">
        <f>11*W29-S29-O29-F29</f>
        <v>1920.8210000000004</v>
      </c>
      <c r="Y29" s="5">
        <f t="shared" si="19"/>
        <v>1920.8210000000004</v>
      </c>
      <c r="Z29" s="5">
        <f>X29</f>
        <v>1920.8210000000004</v>
      </c>
      <c r="AA29" s="5">
        <v>-500.6</v>
      </c>
      <c r="AB29" s="5"/>
      <c r="AC29" s="5">
        <f>X29*0.5</f>
        <v>960.41050000000018</v>
      </c>
      <c r="AD29" s="1">
        <f t="shared" si="11"/>
        <v>13.556622282087869</v>
      </c>
      <c r="AE29" s="1">
        <f t="shared" si="12"/>
        <v>5.8867554358242646</v>
      </c>
      <c r="AF29" s="1">
        <v>362.08580000000001</v>
      </c>
      <c r="AG29" s="1">
        <v>409.18340000000001</v>
      </c>
      <c r="AH29" s="1">
        <v>406.64479999999998</v>
      </c>
      <c r="AI29" s="1">
        <v>471.33839999999998</v>
      </c>
      <c r="AJ29" s="1">
        <v>480.87979999999999</v>
      </c>
      <c r="AK29" s="1">
        <v>213.43700000000001</v>
      </c>
      <c r="AL29" s="1">
        <v>215.16399999999999</v>
      </c>
      <c r="AM29" s="1">
        <v>450.7</v>
      </c>
      <c r="AN29" s="1">
        <v>450.23039999999997</v>
      </c>
      <c r="AO29" s="1">
        <v>427.48280000000011</v>
      </c>
      <c r="AP29" s="1"/>
      <c r="AQ29" s="1">
        <f t="shared" si="13"/>
        <v>1921</v>
      </c>
      <c r="AR29" s="1">
        <f t="shared" si="14"/>
        <v>960</v>
      </c>
      <c r="AS29" t="s">
        <v>94</v>
      </c>
    </row>
    <row r="30" spans="1:48" x14ac:dyDescent="0.25">
      <c r="A30" s="9" t="s">
        <v>95</v>
      </c>
      <c r="B30" s="9" t="s">
        <v>42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64</v>
      </c>
      <c r="J30" s="9"/>
      <c r="K30" s="9">
        <v>5.2</v>
      </c>
      <c r="L30" s="9">
        <f t="shared" si="8"/>
        <v>-5.2</v>
      </c>
      <c r="M30" s="9"/>
      <c r="N30" s="9"/>
      <c r="O30" s="9">
        <v>0</v>
      </c>
      <c r="P30" s="9"/>
      <c r="Q30" s="9"/>
      <c r="R30" s="9"/>
      <c r="S30" s="9"/>
      <c r="T30" s="9"/>
      <c r="U30" s="29"/>
      <c r="V30" s="29"/>
      <c r="W30" s="9">
        <f t="shared" si="9"/>
        <v>0</v>
      </c>
      <c r="X30" s="11"/>
      <c r="Y30" s="5">
        <f t="shared" si="19"/>
        <v>0</v>
      </c>
      <c r="Z30" s="5">
        <f>Y30-AC30</f>
        <v>0</v>
      </c>
      <c r="AA30" s="5"/>
      <c r="AB30" s="5"/>
      <c r="AC30" s="11"/>
      <c r="AD30" s="1" t="e">
        <f t="shared" si="11"/>
        <v>#DIV/0!</v>
      </c>
      <c r="AE30" s="9" t="e">
        <f t="shared" si="12"/>
        <v>#DIV/0!</v>
      </c>
      <c r="AF30" s="9">
        <v>0</v>
      </c>
      <c r="AG30" s="9">
        <v>0</v>
      </c>
      <c r="AH30" s="9">
        <v>0.26</v>
      </c>
      <c r="AI30" s="9">
        <v>1.5546</v>
      </c>
      <c r="AJ30" s="9">
        <v>4.6036000000000001</v>
      </c>
      <c r="AK30" s="9">
        <v>4.6284000000000001</v>
      </c>
      <c r="AL30" s="9">
        <v>3.6878000000000002</v>
      </c>
      <c r="AM30" s="9">
        <v>5.8213999999999997</v>
      </c>
      <c r="AN30" s="9">
        <v>3.9933999999999998</v>
      </c>
      <c r="AO30" s="9">
        <v>2.5615999999999999</v>
      </c>
      <c r="AP30" s="9"/>
      <c r="AQ30" s="1">
        <f t="shared" si="13"/>
        <v>0</v>
      </c>
      <c r="AR30" s="1">
        <f t="shared" si="14"/>
        <v>0</v>
      </c>
      <c r="AS30" t="s">
        <v>96</v>
      </c>
    </row>
    <row r="31" spans="1:48" x14ac:dyDescent="0.25">
      <c r="A31" s="9" t="s">
        <v>97</v>
      </c>
      <c r="B31" s="9" t="s">
        <v>42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64</v>
      </c>
      <c r="J31" s="9"/>
      <c r="K31" s="9">
        <v>51.5</v>
      </c>
      <c r="L31" s="9">
        <f t="shared" si="8"/>
        <v>-51.5</v>
      </c>
      <c r="M31" s="9"/>
      <c r="N31" s="9"/>
      <c r="O31" s="9">
        <v>0</v>
      </c>
      <c r="P31" s="9"/>
      <c r="Q31" s="9"/>
      <c r="R31" s="9"/>
      <c r="S31" s="9"/>
      <c r="T31" s="9"/>
      <c r="U31" s="29"/>
      <c r="V31" s="29"/>
      <c r="W31" s="9">
        <f t="shared" si="9"/>
        <v>0</v>
      </c>
      <c r="X31" s="11"/>
      <c r="Y31" s="5">
        <f t="shared" si="19"/>
        <v>0</v>
      </c>
      <c r="Z31" s="5">
        <f>Y31-AC31</f>
        <v>0</v>
      </c>
      <c r="AA31" s="5"/>
      <c r="AB31" s="5"/>
      <c r="AC31" s="11"/>
      <c r="AD31" s="1" t="e">
        <f t="shared" si="11"/>
        <v>#DIV/0!</v>
      </c>
      <c r="AE31" s="9" t="e">
        <f t="shared" si="12"/>
        <v>#DIV/0!</v>
      </c>
      <c r="AF31" s="9">
        <v>0</v>
      </c>
      <c r="AG31" s="9">
        <v>0</v>
      </c>
      <c r="AH31" s="9">
        <v>0</v>
      </c>
      <c r="AI31" s="9">
        <v>0.73980000000000001</v>
      </c>
      <c r="AJ31" s="9">
        <v>1.2958000000000001</v>
      </c>
      <c r="AK31" s="9">
        <v>12.6168</v>
      </c>
      <c r="AL31" s="9">
        <v>11.9848</v>
      </c>
      <c r="AM31" s="9">
        <v>17.542200000000001</v>
      </c>
      <c r="AN31" s="9">
        <v>20.3004</v>
      </c>
      <c r="AO31" s="9">
        <v>11.212</v>
      </c>
      <c r="AP31" s="9"/>
      <c r="AQ31" s="1">
        <f t="shared" si="13"/>
        <v>0</v>
      </c>
      <c r="AR31" s="1">
        <f t="shared" si="14"/>
        <v>0</v>
      </c>
      <c r="AS31" t="s">
        <v>98</v>
      </c>
    </row>
    <row r="32" spans="1:48" x14ac:dyDescent="0.25">
      <c r="A32" s="1" t="s">
        <v>99</v>
      </c>
      <c r="B32" s="1" t="s">
        <v>42</v>
      </c>
      <c r="C32" s="1">
        <v>3.7480000000000002</v>
      </c>
      <c r="D32" s="1"/>
      <c r="E32" s="1">
        <v>-7.1459999999999999</v>
      </c>
      <c r="F32" s="1">
        <v>3.7480000000000002</v>
      </c>
      <c r="G32" s="7">
        <v>1</v>
      </c>
      <c r="H32" s="1">
        <v>40</v>
      </c>
      <c r="I32" s="13" t="s">
        <v>87</v>
      </c>
      <c r="J32" s="1"/>
      <c r="K32" s="1">
        <v>321.39999999999998</v>
      </c>
      <c r="L32" s="1">
        <f t="shared" si="8"/>
        <v>-328.54599999999999</v>
      </c>
      <c r="M32" s="1"/>
      <c r="N32" s="1"/>
      <c r="O32" s="1">
        <v>573.6</v>
      </c>
      <c r="P32" s="1"/>
      <c r="Q32" s="1"/>
      <c r="R32" s="1"/>
      <c r="S32" s="1">
        <v>626.4</v>
      </c>
      <c r="T32" s="1">
        <v>-626</v>
      </c>
      <c r="U32" s="24"/>
      <c r="V32" s="24"/>
      <c r="W32" s="1">
        <f t="shared" si="9"/>
        <v>-1.4292</v>
      </c>
      <c r="X32" s="5">
        <v>1000</v>
      </c>
      <c r="Y32" s="5">
        <f t="shared" si="19"/>
        <v>1000</v>
      </c>
      <c r="Z32" s="5">
        <f>X32</f>
        <v>1000</v>
      </c>
      <c r="AA32" s="5"/>
      <c r="AB32" s="5"/>
      <c r="AC32" s="5">
        <v>740</v>
      </c>
      <c r="AD32" s="1">
        <f t="shared" si="11"/>
        <v>-2059.7173243772741</v>
      </c>
      <c r="AE32" s="1">
        <f t="shared" si="12"/>
        <v>-842.2530086761825</v>
      </c>
      <c r="AF32" s="1">
        <v>-0.58739999999999992</v>
      </c>
      <c r="AG32" s="1">
        <v>-0.2024</v>
      </c>
      <c r="AH32" s="1">
        <v>-0.22040000000000001</v>
      </c>
      <c r="AI32" s="1">
        <v>466.95479999999998</v>
      </c>
      <c r="AJ32" s="1">
        <v>466.65679999999998</v>
      </c>
      <c r="AK32" s="1">
        <v>-1.0442</v>
      </c>
      <c r="AL32" s="1">
        <v>170.2936</v>
      </c>
      <c r="AM32" s="1">
        <v>540.2518</v>
      </c>
      <c r="AN32" s="1">
        <v>543.82479999999998</v>
      </c>
      <c r="AO32" s="1">
        <v>632.09960000000001</v>
      </c>
      <c r="AP32" s="1"/>
      <c r="AQ32" s="1">
        <f t="shared" si="13"/>
        <v>1000</v>
      </c>
      <c r="AR32" s="1">
        <f t="shared" si="14"/>
        <v>740</v>
      </c>
      <c r="AS32" t="s">
        <v>100</v>
      </c>
    </row>
    <row r="33" spans="1:47" x14ac:dyDescent="0.25">
      <c r="A33" s="9" t="s">
        <v>101</v>
      </c>
      <c r="B33" s="9" t="s">
        <v>42</v>
      </c>
      <c r="C33" s="9"/>
      <c r="D33" s="9"/>
      <c r="E33" s="9"/>
      <c r="F33" s="9"/>
      <c r="G33" s="10">
        <v>0</v>
      </c>
      <c r="H33" s="9"/>
      <c r="I33" s="9" t="s">
        <v>43</v>
      </c>
      <c r="J33" s="9"/>
      <c r="K33" s="9"/>
      <c r="L33" s="9">
        <f t="shared" si="8"/>
        <v>0</v>
      </c>
      <c r="M33" s="9"/>
      <c r="N33" s="9"/>
      <c r="O33" s="9">
        <v>0</v>
      </c>
      <c r="P33" s="9"/>
      <c r="Q33" s="9"/>
      <c r="R33" s="9"/>
      <c r="S33" s="9"/>
      <c r="T33" s="9"/>
      <c r="U33" s="29"/>
      <c r="V33" s="29"/>
      <c r="W33" s="9">
        <f t="shared" si="9"/>
        <v>0</v>
      </c>
      <c r="X33" s="11"/>
      <c r="Y33" s="5">
        <f t="shared" si="19"/>
        <v>0</v>
      </c>
      <c r="Z33" s="5">
        <f>Y33-AC33</f>
        <v>0</v>
      </c>
      <c r="AA33" s="5"/>
      <c r="AB33" s="5"/>
      <c r="AC33" s="11"/>
      <c r="AD33" s="1" t="e">
        <f t="shared" si="11"/>
        <v>#DIV/0!</v>
      </c>
      <c r="AE33" s="9" t="e">
        <f t="shared" si="12"/>
        <v>#DIV/0!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 t="s">
        <v>51</v>
      </c>
      <c r="AQ33" s="1">
        <f t="shared" si="13"/>
        <v>0</v>
      </c>
      <c r="AR33" s="1">
        <f t="shared" si="14"/>
        <v>0</v>
      </c>
      <c r="AS33" t="s">
        <v>102</v>
      </c>
    </row>
    <row r="34" spans="1:47" x14ac:dyDescent="0.25">
      <c r="A34" s="1" t="s">
        <v>103</v>
      </c>
      <c r="B34" s="1" t="s">
        <v>42</v>
      </c>
      <c r="C34" s="1">
        <v>224.261</v>
      </c>
      <c r="D34" s="1">
        <v>105.42400000000001</v>
      </c>
      <c r="E34" s="1">
        <v>209.51400000000001</v>
      </c>
      <c r="F34" s="1">
        <v>73.826999999999998</v>
      </c>
      <c r="G34" s="7">
        <v>1</v>
      </c>
      <c r="H34" s="1">
        <v>30</v>
      </c>
      <c r="I34" s="13" t="s">
        <v>87</v>
      </c>
      <c r="J34" s="1"/>
      <c r="K34" s="1">
        <v>227.7</v>
      </c>
      <c r="L34" s="1">
        <f t="shared" si="8"/>
        <v>-18.185999999999979</v>
      </c>
      <c r="M34" s="1"/>
      <c r="N34" s="1"/>
      <c r="O34" s="1">
        <v>200</v>
      </c>
      <c r="P34" s="1"/>
      <c r="Q34" s="1"/>
      <c r="R34" s="1"/>
      <c r="S34" s="1"/>
      <c r="T34" s="1"/>
      <c r="U34" s="24"/>
      <c r="V34" s="24"/>
      <c r="W34" s="1">
        <f t="shared" si="9"/>
        <v>41.902799999999999</v>
      </c>
      <c r="X34" s="5">
        <v>150</v>
      </c>
      <c r="Y34" s="5">
        <f t="shared" si="19"/>
        <v>150</v>
      </c>
      <c r="Z34" s="5">
        <f>X34</f>
        <v>150</v>
      </c>
      <c r="AA34" s="5"/>
      <c r="AB34" s="5"/>
      <c r="AC34" s="5">
        <f>X34*0.5</f>
        <v>75</v>
      </c>
      <c r="AD34" s="1">
        <f t="shared" si="11"/>
        <v>11.904383477953742</v>
      </c>
      <c r="AE34" s="1">
        <f t="shared" si="12"/>
        <v>6.5348139026508969</v>
      </c>
      <c r="AF34" s="1">
        <v>49.4908</v>
      </c>
      <c r="AG34" s="1">
        <v>47.421799999999998</v>
      </c>
      <c r="AH34" s="1">
        <v>41.256</v>
      </c>
      <c r="AI34" s="1">
        <v>46.957599999999999</v>
      </c>
      <c r="AJ34" s="1">
        <v>52.282200000000003</v>
      </c>
      <c r="AK34" s="1">
        <v>40.8566</v>
      </c>
      <c r="AL34" s="1">
        <v>32.737400000000001</v>
      </c>
      <c r="AM34" s="1">
        <v>46.584200000000003</v>
      </c>
      <c r="AN34" s="1">
        <v>55.434800000000003</v>
      </c>
      <c r="AO34" s="1">
        <v>52.496000000000002</v>
      </c>
      <c r="AP34" s="1"/>
      <c r="AQ34" s="1">
        <f t="shared" si="13"/>
        <v>150</v>
      </c>
      <c r="AR34" s="1">
        <f t="shared" si="14"/>
        <v>75</v>
      </c>
      <c r="AS34" t="s">
        <v>104</v>
      </c>
    </row>
    <row r="35" spans="1:47" x14ac:dyDescent="0.25">
      <c r="A35" s="9" t="s">
        <v>105</v>
      </c>
      <c r="B35" s="9" t="s">
        <v>42</v>
      </c>
      <c r="C35" s="9"/>
      <c r="D35" s="9"/>
      <c r="E35" s="9"/>
      <c r="F35" s="9"/>
      <c r="G35" s="10">
        <v>0</v>
      </c>
      <c r="H35" s="9"/>
      <c r="I35" s="9" t="s">
        <v>43</v>
      </c>
      <c r="J35" s="9"/>
      <c r="K35" s="9"/>
      <c r="L35" s="9">
        <f t="shared" si="8"/>
        <v>0</v>
      </c>
      <c r="M35" s="9"/>
      <c r="N35" s="9"/>
      <c r="O35" s="9">
        <v>0</v>
      </c>
      <c r="P35" s="9"/>
      <c r="Q35" s="9"/>
      <c r="R35" s="9"/>
      <c r="S35" s="9"/>
      <c r="T35" s="9"/>
      <c r="U35" s="29"/>
      <c r="V35" s="29"/>
      <c r="W35" s="9">
        <f t="shared" si="9"/>
        <v>0</v>
      </c>
      <c r="X35" s="11"/>
      <c r="Y35" s="5">
        <f t="shared" si="19"/>
        <v>0</v>
      </c>
      <c r="Z35" s="5">
        <f>Y35-AC35</f>
        <v>0</v>
      </c>
      <c r="AA35" s="5"/>
      <c r="AB35" s="5"/>
      <c r="AC35" s="11"/>
      <c r="AD35" s="1" t="e">
        <f t="shared" si="11"/>
        <v>#DIV/0!</v>
      </c>
      <c r="AE35" s="9" t="e">
        <f t="shared" si="12"/>
        <v>#DIV/0!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 t="s">
        <v>51</v>
      </c>
      <c r="AQ35" s="1">
        <f t="shared" si="13"/>
        <v>0</v>
      </c>
      <c r="AR35" s="1">
        <f t="shared" si="14"/>
        <v>0</v>
      </c>
      <c r="AS35" t="s">
        <v>106</v>
      </c>
    </row>
    <row r="36" spans="1:47" x14ac:dyDescent="0.25">
      <c r="A36" s="9" t="s">
        <v>107</v>
      </c>
      <c r="B36" s="9" t="s">
        <v>42</v>
      </c>
      <c r="C36" s="9"/>
      <c r="D36" s="9"/>
      <c r="E36" s="9"/>
      <c r="F36" s="9"/>
      <c r="G36" s="10">
        <v>0</v>
      </c>
      <c r="H36" s="9"/>
      <c r="I36" s="9" t="s">
        <v>43</v>
      </c>
      <c r="J36" s="9"/>
      <c r="K36" s="9"/>
      <c r="L36" s="9">
        <f t="shared" si="8"/>
        <v>0</v>
      </c>
      <c r="M36" s="9"/>
      <c r="N36" s="9"/>
      <c r="O36" s="9">
        <v>0</v>
      </c>
      <c r="P36" s="9"/>
      <c r="Q36" s="9"/>
      <c r="R36" s="9"/>
      <c r="S36" s="9"/>
      <c r="T36" s="9"/>
      <c r="U36" s="29"/>
      <c r="V36" s="29"/>
      <c r="W36" s="9">
        <f t="shared" si="9"/>
        <v>0</v>
      </c>
      <c r="X36" s="11"/>
      <c r="Y36" s="5">
        <f t="shared" si="19"/>
        <v>0</v>
      </c>
      <c r="Z36" s="5">
        <f>Y36-AC36</f>
        <v>0</v>
      </c>
      <c r="AA36" s="5"/>
      <c r="AB36" s="5"/>
      <c r="AC36" s="11"/>
      <c r="AD36" s="1" t="e">
        <f t="shared" si="11"/>
        <v>#DIV/0!</v>
      </c>
      <c r="AE36" s="9" t="e">
        <f t="shared" si="12"/>
        <v>#DIV/0!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 t="s">
        <v>51</v>
      </c>
      <c r="AQ36" s="1">
        <f t="shared" si="13"/>
        <v>0</v>
      </c>
      <c r="AR36" s="1">
        <f t="shared" si="14"/>
        <v>0</v>
      </c>
      <c r="AS36" t="s">
        <v>108</v>
      </c>
    </row>
    <row r="37" spans="1:47" x14ac:dyDescent="0.25">
      <c r="A37" s="1" t="s">
        <v>109</v>
      </c>
      <c r="B37" s="1" t="s">
        <v>50</v>
      </c>
      <c r="C37" s="1">
        <v>-26.06</v>
      </c>
      <c r="D37" s="1">
        <v>4200</v>
      </c>
      <c r="E37" s="1">
        <v>1753</v>
      </c>
      <c r="F37" s="1">
        <v>1765.94</v>
      </c>
      <c r="G37" s="7">
        <v>0.4</v>
      </c>
      <c r="H37" s="1">
        <v>45</v>
      </c>
      <c r="I37" s="13" t="s">
        <v>87</v>
      </c>
      <c r="J37" s="1"/>
      <c r="K37" s="1">
        <v>2927</v>
      </c>
      <c r="L37" s="1">
        <f t="shared" si="8"/>
        <v>-1174</v>
      </c>
      <c r="M37" s="1"/>
      <c r="N37" s="1"/>
      <c r="O37" s="1">
        <v>1434</v>
      </c>
      <c r="P37" s="1"/>
      <c r="Q37" s="24"/>
      <c r="R37" s="24"/>
      <c r="S37" s="1">
        <v>1566</v>
      </c>
      <c r="T37" s="1"/>
      <c r="U37" s="24"/>
      <c r="V37" s="24"/>
      <c r="W37" s="1">
        <f t="shared" si="9"/>
        <v>350.6</v>
      </c>
      <c r="X37" s="5">
        <v>2000</v>
      </c>
      <c r="Y37" s="5">
        <f t="shared" si="19"/>
        <v>2000</v>
      </c>
      <c r="Z37" s="5">
        <f>X37</f>
        <v>2000</v>
      </c>
      <c r="AA37" s="5"/>
      <c r="AB37" s="5"/>
      <c r="AC37" s="5">
        <f>X37*0.5</f>
        <v>1000</v>
      </c>
      <c r="AD37" s="1">
        <f t="shared" si="11"/>
        <v>22.150427837992012</v>
      </c>
      <c r="AE37" s="1">
        <f t="shared" si="12"/>
        <v>13.593667997718198</v>
      </c>
      <c r="AF37" s="1">
        <v>627.6</v>
      </c>
      <c r="AG37" s="1">
        <v>957.4</v>
      </c>
      <c r="AH37" s="1">
        <v>972</v>
      </c>
      <c r="AI37" s="1">
        <v>989.81200000000013</v>
      </c>
      <c r="AJ37" s="1">
        <v>974.61200000000008</v>
      </c>
      <c r="AK37" s="1">
        <v>922.4</v>
      </c>
      <c r="AL37" s="1">
        <v>935.8</v>
      </c>
      <c r="AM37" s="1">
        <v>879.4</v>
      </c>
      <c r="AN37" s="1">
        <v>846.35859999999991</v>
      </c>
      <c r="AO37" s="1">
        <v>867.75859999999989</v>
      </c>
      <c r="AP37" s="1"/>
      <c r="AQ37" s="1">
        <f t="shared" si="13"/>
        <v>800</v>
      </c>
      <c r="AR37" s="1">
        <f t="shared" si="14"/>
        <v>400</v>
      </c>
      <c r="AS37" t="s">
        <v>110</v>
      </c>
      <c r="AU37">
        <f>Q37*G37</f>
        <v>0</v>
      </c>
    </row>
    <row r="38" spans="1:47" x14ac:dyDescent="0.25">
      <c r="A38" s="1" t="s">
        <v>111</v>
      </c>
      <c r="B38" s="1" t="s">
        <v>50</v>
      </c>
      <c r="C38" s="1">
        <v>191</v>
      </c>
      <c r="D38" s="1">
        <v>1050</v>
      </c>
      <c r="E38" s="1">
        <v>484</v>
      </c>
      <c r="F38" s="1">
        <v>658</v>
      </c>
      <c r="G38" s="7">
        <v>0.45</v>
      </c>
      <c r="H38" s="1">
        <v>50</v>
      </c>
      <c r="I38" s="1" t="s">
        <v>43</v>
      </c>
      <c r="J38" s="1"/>
      <c r="K38" s="1">
        <v>486</v>
      </c>
      <c r="L38" s="1">
        <f t="shared" ref="L38:L69" si="20">E38-K38</f>
        <v>-2</v>
      </c>
      <c r="M38" s="1"/>
      <c r="N38" s="1"/>
      <c r="O38" s="1">
        <v>234.8453999999999</v>
      </c>
      <c r="P38" s="1"/>
      <c r="Q38" s="1"/>
      <c r="R38" s="1"/>
      <c r="S38" s="1"/>
      <c r="T38" s="1"/>
      <c r="U38" s="24"/>
      <c r="V38" s="24"/>
      <c r="W38" s="1">
        <f t="shared" ref="W38:W69" si="21">E38/5</f>
        <v>96.8</v>
      </c>
      <c r="X38" s="5">
        <f>12*W38-S38-O38-F38</f>
        <v>268.75459999999998</v>
      </c>
      <c r="Y38" s="5">
        <f>X38+$Y$1*W38</f>
        <v>419.76260000000002</v>
      </c>
      <c r="Z38" s="5">
        <f>Y38-AC38</f>
        <v>161.60860100000002</v>
      </c>
      <c r="AA38" s="5"/>
      <c r="AB38" s="5"/>
      <c r="AC38" s="5">
        <f>Y38*$AC$1</f>
        <v>258.153999</v>
      </c>
      <c r="AD38" s="1">
        <f t="shared" ref="AD38:AD69" si="22">(F38+O38+S38+Z38+AC38)/W38</f>
        <v>13.560000000000002</v>
      </c>
      <c r="AE38" s="1">
        <f t="shared" ref="AE38:AE69" si="23">(F38+O38+S38)/W38</f>
        <v>9.2236095041322308</v>
      </c>
      <c r="AF38" s="1">
        <v>99.2</v>
      </c>
      <c r="AG38" s="1">
        <v>105.4</v>
      </c>
      <c r="AH38" s="1">
        <v>102.8</v>
      </c>
      <c r="AI38" s="1">
        <v>77.8</v>
      </c>
      <c r="AJ38" s="1">
        <v>75</v>
      </c>
      <c r="AK38" s="1">
        <v>65</v>
      </c>
      <c r="AL38" s="1">
        <v>95.6</v>
      </c>
      <c r="AM38" s="1">
        <v>101.8</v>
      </c>
      <c r="AN38" s="1">
        <v>92.4</v>
      </c>
      <c r="AO38" s="1">
        <v>96.2</v>
      </c>
      <c r="AP38" s="1"/>
      <c r="AQ38" s="1">
        <f t="shared" ref="AQ38:AQ69" si="24">ROUND(G38*Z38,0)</f>
        <v>73</v>
      </c>
      <c r="AR38" s="1">
        <f t="shared" ref="AR38:AR69" si="25">ROUND(G38*AC38,0)</f>
        <v>116</v>
      </c>
      <c r="AS38" t="s">
        <v>112</v>
      </c>
    </row>
    <row r="39" spans="1:47" x14ac:dyDescent="0.25">
      <c r="A39" s="1" t="s">
        <v>113</v>
      </c>
      <c r="B39" s="1" t="s">
        <v>50</v>
      </c>
      <c r="C39" s="1">
        <v>-28</v>
      </c>
      <c r="D39" s="1">
        <v>300</v>
      </c>
      <c r="E39" s="1">
        <v>295</v>
      </c>
      <c r="F39" s="1">
        <v>-30</v>
      </c>
      <c r="G39" s="7">
        <v>0.4</v>
      </c>
      <c r="H39" s="1">
        <v>45</v>
      </c>
      <c r="I39" s="13" t="s">
        <v>87</v>
      </c>
      <c r="J39" s="1"/>
      <c r="K39" s="1">
        <v>814</v>
      </c>
      <c r="L39" s="1">
        <f t="shared" si="20"/>
        <v>-519</v>
      </c>
      <c r="M39" s="1"/>
      <c r="N39" s="1"/>
      <c r="O39" s="1">
        <v>500</v>
      </c>
      <c r="P39" s="1"/>
      <c r="Q39" s="24"/>
      <c r="R39" s="24"/>
      <c r="S39" s="1"/>
      <c r="T39" s="1"/>
      <c r="U39" s="24"/>
      <c r="V39" s="24"/>
      <c r="W39" s="1">
        <f t="shared" si="21"/>
        <v>59</v>
      </c>
      <c r="X39" s="5">
        <v>400</v>
      </c>
      <c r="Y39" s="5">
        <f t="shared" ref="Y39:Y49" si="26">X39</f>
        <v>400</v>
      </c>
      <c r="Z39" s="5">
        <f>X39</f>
        <v>400</v>
      </c>
      <c r="AA39" s="5">
        <v>-402</v>
      </c>
      <c r="AB39" s="5"/>
      <c r="AC39" s="5">
        <f>X39*0.5</f>
        <v>200</v>
      </c>
      <c r="AD39" s="1">
        <f t="shared" si="22"/>
        <v>18.135593220338983</v>
      </c>
      <c r="AE39" s="1">
        <f t="shared" si="23"/>
        <v>7.9661016949152543</v>
      </c>
      <c r="AF39" s="1">
        <v>102.6</v>
      </c>
      <c r="AG39" s="1">
        <v>216.8</v>
      </c>
      <c r="AH39" s="1">
        <v>259</v>
      </c>
      <c r="AI39" s="1">
        <v>245.2</v>
      </c>
      <c r="AJ39" s="1">
        <v>165.6</v>
      </c>
      <c r="AK39" s="1">
        <v>105.6</v>
      </c>
      <c r="AL39" s="1">
        <v>196.2</v>
      </c>
      <c r="AM39" s="1">
        <v>218.8</v>
      </c>
      <c r="AN39" s="1">
        <v>207.2</v>
      </c>
      <c r="AO39" s="1">
        <v>223</v>
      </c>
      <c r="AP39" s="1"/>
      <c r="AQ39" s="1">
        <f t="shared" si="24"/>
        <v>160</v>
      </c>
      <c r="AR39" s="1">
        <f t="shared" si="25"/>
        <v>80</v>
      </c>
      <c r="AS39" t="s">
        <v>114</v>
      </c>
      <c r="AU39">
        <f>Q39*G39</f>
        <v>0</v>
      </c>
    </row>
    <row r="40" spans="1:47" x14ac:dyDescent="0.25">
      <c r="A40" s="1" t="s">
        <v>115</v>
      </c>
      <c r="B40" s="1" t="s">
        <v>50</v>
      </c>
      <c r="C40" s="1">
        <v>22</v>
      </c>
      <c r="D40" s="1"/>
      <c r="E40" s="1">
        <v>22</v>
      </c>
      <c r="F40" s="1"/>
      <c r="G40" s="7">
        <v>0.4</v>
      </c>
      <c r="H40" s="1">
        <v>40</v>
      </c>
      <c r="I40" s="13" t="s">
        <v>87</v>
      </c>
      <c r="J40" s="1"/>
      <c r="K40" s="1">
        <v>25</v>
      </c>
      <c r="L40" s="1">
        <f t="shared" si="20"/>
        <v>-3</v>
      </c>
      <c r="M40" s="1"/>
      <c r="N40" s="1"/>
      <c r="O40" s="1">
        <v>30</v>
      </c>
      <c r="P40" s="1">
        <v>-30</v>
      </c>
      <c r="Q40" s="1"/>
      <c r="R40" s="1"/>
      <c r="S40" s="1"/>
      <c r="T40" s="1"/>
      <c r="U40" s="24"/>
      <c r="V40" s="24"/>
      <c r="W40" s="1">
        <f t="shared" si="21"/>
        <v>4.4000000000000004</v>
      </c>
      <c r="X40" s="5">
        <v>20</v>
      </c>
      <c r="Y40" s="5">
        <f t="shared" si="26"/>
        <v>20</v>
      </c>
      <c r="Z40" s="5">
        <f>X40</f>
        <v>20</v>
      </c>
      <c r="AA40" s="5">
        <v>-23.999999999999996</v>
      </c>
      <c r="AB40" s="5"/>
      <c r="AC40" s="5">
        <f>X40*0.5</f>
        <v>10</v>
      </c>
      <c r="AD40" s="1">
        <f t="shared" si="22"/>
        <v>13.636363636363635</v>
      </c>
      <c r="AE40" s="1">
        <f t="shared" si="23"/>
        <v>6.8181818181818175</v>
      </c>
      <c r="AF40" s="1">
        <v>7.2</v>
      </c>
      <c r="AG40" s="1">
        <v>3.8</v>
      </c>
      <c r="AH40" s="1">
        <v>2.6</v>
      </c>
      <c r="AI40" s="1">
        <v>3.6</v>
      </c>
      <c r="AJ40" s="1">
        <v>2.2000000000000002</v>
      </c>
      <c r="AK40" s="1">
        <v>2.6</v>
      </c>
      <c r="AL40" s="1">
        <v>5.4</v>
      </c>
      <c r="AM40" s="1">
        <v>4</v>
      </c>
      <c r="AN40" s="1">
        <v>1.4</v>
      </c>
      <c r="AO40" s="1">
        <v>2.8</v>
      </c>
      <c r="AP40" s="1"/>
      <c r="AQ40" s="1">
        <f t="shared" si="24"/>
        <v>8</v>
      </c>
      <c r="AR40" s="1">
        <f t="shared" si="25"/>
        <v>4</v>
      </c>
      <c r="AS40" t="s">
        <v>116</v>
      </c>
    </row>
    <row r="41" spans="1:47" x14ac:dyDescent="0.25">
      <c r="A41" s="1" t="s">
        <v>117</v>
      </c>
      <c r="B41" s="1" t="s">
        <v>42</v>
      </c>
      <c r="C41" s="1">
        <v>0.64700000000000002</v>
      </c>
      <c r="D41" s="1">
        <v>524.41</v>
      </c>
      <c r="E41" s="1">
        <v>335.33600000000001</v>
      </c>
      <c r="F41" s="1">
        <v>172.31100000000001</v>
      </c>
      <c r="G41" s="7">
        <v>1</v>
      </c>
      <c r="H41" s="1">
        <v>45</v>
      </c>
      <c r="I41" s="1" t="s">
        <v>43</v>
      </c>
      <c r="J41" s="1"/>
      <c r="K41" s="1">
        <v>338.91300000000001</v>
      </c>
      <c r="L41" s="1">
        <f t="shared" si="20"/>
        <v>-3.5769999999999982</v>
      </c>
      <c r="M41" s="1"/>
      <c r="N41" s="1"/>
      <c r="O41" s="1">
        <v>224.09166680000001</v>
      </c>
      <c r="P41" s="1">
        <v>-226.2</v>
      </c>
      <c r="Q41" s="1"/>
      <c r="R41" s="1"/>
      <c r="S41" s="1"/>
      <c r="T41" s="1"/>
      <c r="U41" s="24"/>
      <c r="V41" s="24"/>
      <c r="W41" s="1">
        <f t="shared" si="21"/>
        <v>67.0672</v>
      </c>
      <c r="X41" s="5">
        <f>12*W41-S41-O41-F41</f>
        <v>408.40373319999992</v>
      </c>
      <c r="Y41" s="5">
        <f t="shared" si="26"/>
        <v>408.40373319999992</v>
      </c>
      <c r="Z41" s="5">
        <f>Y41-AC41</f>
        <v>157.23543728199996</v>
      </c>
      <c r="AA41" s="5"/>
      <c r="AB41" s="5"/>
      <c r="AC41" s="5">
        <f>Y41*$AC$1</f>
        <v>251.16829591799996</v>
      </c>
      <c r="AD41" s="1">
        <f t="shared" si="22"/>
        <v>12</v>
      </c>
      <c r="AE41" s="1">
        <f t="shared" si="23"/>
        <v>5.9105295405205531</v>
      </c>
      <c r="AF41" s="1">
        <v>44.9604</v>
      </c>
      <c r="AG41" s="1">
        <v>-1.5009999999999999</v>
      </c>
      <c r="AH41" s="1">
        <v>-2.0733999999999999</v>
      </c>
      <c r="AI41" s="1">
        <v>9.1658000000000008</v>
      </c>
      <c r="AJ41" s="1">
        <v>37.942599999999999</v>
      </c>
      <c r="AK41" s="1">
        <v>58.043199999999999</v>
      </c>
      <c r="AL41" s="1">
        <v>60.015799999999999</v>
      </c>
      <c r="AM41" s="1">
        <v>55.129399999999997</v>
      </c>
      <c r="AN41" s="1">
        <v>48.190600000000003</v>
      </c>
      <c r="AO41" s="1">
        <v>52.069800000000001</v>
      </c>
      <c r="AP41" s="1"/>
      <c r="AQ41" s="1">
        <f t="shared" si="24"/>
        <v>157</v>
      </c>
      <c r="AR41" s="1">
        <f t="shared" si="25"/>
        <v>251</v>
      </c>
      <c r="AS41" t="s">
        <v>118</v>
      </c>
    </row>
    <row r="42" spans="1:47" x14ac:dyDescent="0.25">
      <c r="A42" s="1" t="s">
        <v>119</v>
      </c>
      <c r="B42" s="1" t="s">
        <v>50</v>
      </c>
      <c r="C42" s="1">
        <v>386</v>
      </c>
      <c r="D42" s="1">
        <v>480</v>
      </c>
      <c r="E42" s="1">
        <v>325</v>
      </c>
      <c r="F42" s="1">
        <v>505</v>
      </c>
      <c r="G42" s="7">
        <v>0.1</v>
      </c>
      <c r="H42" s="1">
        <v>731</v>
      </c>
      <c r="I42" s="1" t="s">
        <v>43</v>
      </c>
      <c r="J42" s="1"/>
      <c r="K42" s="1">
        <v>325</v>
      </c>
      <c r="L42" s="1">
        <f t="shared" si="20"/>
        <v>0</v>
      </c>
      <c r="M42" s="1"/>
      <c r="N42" s="1"/>
      <c r="O42" s="1">
        <v>76.799999999999955</v>
      </c>
      <c r="P42" s="1"/>
      <c r="Q42" s="1"/>
      <c r="R42" s="1"/>
      <c r="S42" s="1"/>
      <c r="T42" s="1"/>
      <c r="U42" s="24"/>
      <c r="V42" s="24"/>
      <c r="W42" s="1">
        <f t="shared" si="21"/>
        <v>65</v>
      </c>
      <c r="X42" s="5">
        <f>12*W42-S42-O42-F42</f>
        <v>198.20000000000005</v>
      </c>
      <c r="Y42" s="5">
        <f t="shared" si="26"/>
        <v>198.20000000000005</v>
      </c>
      <c r="Z42" s="5">
        <f>Y42-AC42</f>
        <v>198.20000000000005</v>
      </c>
      <c r="AA42" s="5"/>
      <c r="AB42" s="5"/>
      <c r="AC42" s="5"/>
      <c r="AD42" s="1">
        <f t="shared" si="22"/>
        <v>12</v>
      </c>
      <c r="AE42" s="1">
        <f t="shared" si="23"/>
        <v>8.9507692307692306</v>
      </c>
      <c r="AF42" s="1">
        <v>62.8</v>
      </c>
      <c r="AG42" s="1">
        <v>64</v>
      </c>
      <c r="AH42" s="1">
        <v>69.2</v>
      </c>
      <c r="AI42" s="1">
        <v>86.4</v>
      </c>
      <c r="AJ42" s="1">
        <v>78.599999999999994</v>
      </c>
      <c r="AK42" s="1">
        <v>70.599999999999994</v>
      </c>
      <c r="AL42" s="1">
        <v>80.599999999999994</v>
      </c>
      <c r="AM42" s="1">
        <v>60.2</v>
      </c>
      <c r="AN42" s="1">
        <v>46.4</v>
      </c>
      <c r="AO42" s="1">
        <v>46.8</v>
      </c>
      <c r="AP42" s="1"/>
      <c r="AQ42" s="1">
        <f t="shared" si="24"/>
        <v>20</v>
      </c>
      <c r="AR42" s="1">
        <f t="shared" si="25"/>
        <v>0</v>
      </c>
      <c r="AS42" t="s">
        <v>120</v>
      </c>
    </row>
    <row r="43" spans="1:47" x14ac:dyDescent="0.25">
      <c r="A43" s="1" t="s">
        <v>121</v>
      </c>
      <c r="B43" s="1" t="s">
        <v>50</v>
      </c>
      <c r="C43" s="1"/>
      <c r="D43" s="1"/>
      <c r="E43" s="1">
        <v>-13</v>
      </c>
      <c r="F43" s="1">
        <v>-1</v>
      </c>
      <c r="G43" s="7">
        <v>0.35</v>
      </c>
      <c r="H43" s="1">
        <v>40</v>
      </c>
      <c r="I43" s="13" t="s">
        <v>87</v>
      </c>
      <c r="J43" s="1"/>
      <c r="K43" s="1">
        <v>55</v>
      </c>
      <c r="L43" s="1">
        <f t="shared" si="20"/>
        <v>-68</v>
      </c>
      <c r="M43" s="1"/>
      <c r="N43" s="1"/>
      <c r="O43" s="1">
        <v>100</v>
      </c>
      <c r="P43" s="1">
        <v>-102.00000000000001</v>
      </c>
      <c r="Q43" s="1"/>
      <c r="R43" s="1"/>
      <c r="S43" s="1"/>
      <c r="T43" s="1"/>
      <c r="U43" s="24"/>
      <c r="V43" s="24"/>
      <c r="W43" s="1">
        <f t="shared" si="21"/>
        <v>-2.6</v>
      </c>
      <c r="X43" s="5">
        <v>100</v>
      </c>
      <c r="Y43" s="5">
        <f t="shared" si="26"/>
        <v>100</v>
      </c>
      <c r="Z43" s="5">
        <f>X43</f>
        <v>100</v>
      </c>
      <c r="AA43" s="5">
        <v>-102.00000000000001</v>
      </c>
      <c r="AB43" s="5"/>
      <c r="AC43" s="5">
        <f>X43*0.5</f>
        <v>50</v>
      </c>
      <c r="AD43" s="1">
        <f t="shared" si="22"/>
        <v>-95.769230769230759</v>
      </c>
      <c r="AE43" s="1">
        <f t="shared" si="23"/>
        <v>-38.076923076923073</v>
      </c>
      <c r="AF43" s="1">
        <v>-2.8</v>
      </c>
      <c r="AG43" s="1">
        <v>-2.8</v>
      </c>
      <c r="AH43" s="1">
        <v>-3</v>
      </c>
      <c r="AI43" s="1">
        <v>6.8</v>
      </c>
      <c r="AJ43" s="1">
        <v>28.4</v>
      </c>
      <c r="AK43" s="1">
        <v>45</v>
      </c>
      <c r="AL43" s="1">
        <v>43.6</v>
      </c>
      <c r="AM43" s="1">
        <v>47.6</v>
      </c>
      <c r="AN43" s="1">
        <v>44.6</v>
      </c>
      <c r="AO43" s="1">
        <v>46.4</v>
      </c>
      <c r="AP43" s="1"/>
      <c r="AQ43" s="1">
        <f t="shared" si="24"/>
        <v>35</v>
      </c>
      <c r="AR43" s="1">
        <f t="shared" si="25"/>
        <v>18</v>
      </c>
      <c r="AS43" t="s">
        <v>122</v>
      </c>
    </row>
    <row r="44" spans="1:47" x14ac:dyDescent="0.25">
      <c r="A44" s="1" t="s">
        <v>123</v>
      </c>
      <c r="B44" s="1" t="s">
        <v>42</v>
      </c>
      <c r="C44" s="1">
        <v>48.213000000000001</v>
      </c>
      <c r="D44" s="1"/>
      <c r="E44" s="1">
        <v>42.087000000000003</v>
      </c>
      <c r="F44" s="1">
        <v>4.6760000000000002</v>
      </c>
      <c r="G44" s="7">
        <v>1</v>
      </c>
      <c r="H44" s="1">
        <v>40</v>
      </c>
      <c r="I44" s="13" t="s">
        <v>87</v>
      </c>
      <c r="J44" s="1"/>
      <c r="K44" s="1">
        <v>55.75</v>
      </c>
      <c r="L44" s="1">
        <f t="shared" si="20"/>
        <v>-13.662999999999997</v>
      </c>
      <c r="M44" s="1"/>
      <c r="N44" s="1"/>
      <c r="O44" s="1">
        <v>30</v>
      </c>
      <c r="P44" s="1"/>
      <c r="Q44" s="1"/>
      <c r="R44" s="1"/>
      <c r="S44" s="1"/>
      <c r="T44" s="1"/>
      <c r="U44" s="24"/>
      <c r="V44" s="24"/>
      <c r="W44" s="1">
        <f t="shared" si="21"/>
        <v>8.4174000000000007</v>
      </c>
      <c r="X44" s="5">
        <v>30</v>
      </c>
      <c r="Y44" s="5">
        <f t="shared" si="26"/>
        <v>30</v>
      </c>
      <c r="Z44" s="5">
        <f>X44</f>
        <v>30</v>
      </c>
      <c r="AA44" s="5">
        <v>-33.6</v>
      </c>
      <c r="AB44" s="5"/>
      <c r="AC44" s="5">
        <f>X44*0.5</f>
        <v>15</v>
      </c>
      <c r="AD44" s="1">
        <f t="shared" si="22"/>
        <v>9.4656307173236378</v>
      </c>
      <c r="AE44" s="1">
        <f t="shared" si="23"/>
        <v>4.1195618599567565</v>
      </c>
      <c r="AF44" s="1">
        <v>11.9122</v>
      </c>
      <c r="AG44" s="1">
        <v>8.8938000000000006</v>
      </c>
      <c r="AH44" s="1">
        <v>8.7584</v>
      </c>
      <c r="AI44" s="1">
        <v>7.7378</v>
      </c>
      <c r="AJ44" s="1">
        <v>8.1522000000000006</v>
      </c>
      <c r="AK44" s="1">
        <v>10.566599999999999</v>
      </c>
      <c r="AL44" s="1">
        <v>9.1028000000000002</v>
      </c>
      <c r="AM44" s="1">
        <v>7.556</v>
      </c>
      <c r="AN44" s="1">
        <v>7.9702000000000002</v>
      </c>
      <c r="AO44" s="1">
        <v>9.6010000000000009</v>
      </c>
      <c r="AP44" s="1"/>
      <c r="AQ44" s="1">
        <f t="shared" si="24"/>
        <v>30</v>
      </c>
      <c r="AR44" s="1">
        <f t="shared" si="25"/>
        <v>15</v>
      </c>
      <c r="AS44" t="s">
        <v>124</v>
      </c>
    </row>
    <row r="45" spans="1:47" x14ac:dyDescent="0.25">
      <c r="A45" s="1" t="s">
        <v>125</v>
      </c>
      <c r="B45" s="1" t="s">
        <v>50</v>
      </c>
      <c r="C45" s="1">
        <v>15</v>
      </c>
      <c r="D45" s="1">
        <v>291</v>
      </c>
      <c r="E45" s="1">
        <v>232</v>
      </c>
      <c r="F45" s="1">
        <v>47</v>
      </c>
      <c r="G45" s="7">
        <v>0.4</v>
      </c>
      <c r="H45" s="1">
        <v>40</v>
      </c>
      <c r="I45" s="13" t="s">
        <v>87</v>
      </c>
      <c r="J45" s="1"/>
      <c r="K45" s="1">
        <v>282</v>
      </c>
      <c r="L45" s="1">
        <f t="shared" si="20"/>
        <v>-50</v>
      </c>
      <c r="M45" s="1"/>
      <c r="N45" s="1"/>
      <c r="O45" s="1">
        <v>120</v>
      </c>
      <c r="P45" s="1"/>
      <c r="Q45" s="1"/>
      <c r="R45" s="1"/>
      <c r="S45" s="1"/>
      <c r="T45" s="1"/>
      <c r="U45" s="24"/>
      <c r="V45" s="24"/>
      <c r="W45" s="1">
        <f t="shared" si="21"/>
        <v>46.4</v>
      </c>
      <c r="X45" s="5">
        <v>100</v>
      </c>
      <c r="Y45" s="5">
        <f t="shared" si="26"/>
        <v>100</v>
      </c>
      <c r="Z45" s="5">
        <f>X45</f>
        <v>100</v>
      </c>
      <c r="AA45" s="5"/>
      <c r="AB45" s="5"/>
      <c r="AC45" s="5">
        <f>X45*0.5</f>
        <v>50</v>
      </c>
      <c r="AD45" s="1">
        <f t="shared" si="22"/>
        <v>6.8318965517241379</v>
      </c>
      <c r="AE45" s="1">
        <f t="shared" si="23"/>
        <v>3.5991379310344827</v>
      </c>
      <c r="AF45" s="1">
        <v>39.4</v>
      </c>
      <c r="AG45" s="1">
        <v>7</v>
      </c>
      <c r="AH45" s="1">
        <v>3</v>
      </c>
      <c r="AI45" s="1">
        <v>44.6</v>
      </c>
      <c r="AJ45" s="1">
        <v>42.4</v>
      </c>
      <c r="AK45" s="1">
        <v>-0.8</v>
      </c>
      <c r="AL45" s="1">
        <v>17.2</v>
      </c>
      <c r="AM45" s="1">
        <v>30.2</v>
      </c>
      <c r="AN45" s="1">
        <v>32.799999999999997</v>
      </c>
      <c r="AO45" s="1">
        <v>44.6</v>
      </c>
      <c r="AP45" s="1"/>
      <c r="AQ45" s="1">
        <f t="shared" si="24"/>
        <v>40</v>
      </c>
      <c r="AR45" s="1">
        <f t="shared" si="25"/>
        <v>20</v>
      </c>
      <c r="AS45" t="s">
        <v>126</v>
      </c>
    </row>
    <row r="46" spans="1:47" x14ac:dyDescent="0.25">
      <c r="A46" s="1" t="s">
        <v>127</v>
      </c>
      <c r="B46" s="1" t="s">
        <v>50</v>
      </c>
      <c r="C46" s="1">
        <v>12</v>
      </c>
      <c r="D46" s="1">
        <v>252</v>
      </c>
      <c r="E46" s="1">
        <v>129</v>
      </c>
      <c r="F46" s="1">
        <v>57</v>
      </c>
      <c r="G46" s="7">
        <v>0.4</v>
      </c>
      <c r="H46" s="1">
        <v>45</v>
      </c>
      <c r="I46" s="13" t="s">
        <v>87</v>
      </c>
      <c r="J46" s="1"/>
      <c r="K46" s="1">
        <v>330</v>
      </c>
      <c r="L46" s="1">
        <f t="shared" si="20"/>
        <v>-201</v>
      </c>
      <c r="M46" s="1"/>
      <c r="N46" s="1"/>
      <c r="O46" s="1">
        <v>200</v>
      </c>
      <c r="P46" s="1"/>
      <c r="Q46" s="1"/>
      <c r="R46" s="1"/>
      <c r="S46" s="1"/>
      <c r="T46" s="1"/>
      <c r="U46" s="24"/>
      <c r="V46" s="24"/>
      <c r="W46" s="1">
        <f t="shared" si="21"/>
        <v>25.8</v>
      </c>
      <c r="X46" s="5">
        <v>100</v>
      </c>
      <c r="Y46" s="5">
        <f t="shared" si="26"/>
        <v>100</v>
      </c>
      <c r="Z46" s="5">
        <f>X46</f>
        <v>100</v>
      </c>
      <c r="AA46" s="5"/>
      <c r="AB46" s="5"/>
      <c r="AC46" s="5">
        <f>X46*0.5</f>
        <v>50</v>
      </c>
      <c r="AD46" s="1">
        <f t="shared" si="22"/>
        <v>15.775193798449612</v>
      </c>
      <c r="AE46" s="1">
        <f t="shared" si="23"/>
        <v>9.9612403100775193</v>
      </c>
      <c r="AF46" s="1">
        <v>20.399999999999999</v>
      </c>
      <c r="AG46" s="1">
        <v>-0.8</v>
      </c>
      <c r="AH46" s="1">
        <v>23.6</v>
      </c>
      <c r="AI46" s="1">
        <v>52.4</v>
      </c>
      <c r="AJ46" s="1">
        <v>27.8</v>
      </c>
      <c r="AK46" s="1">
        <v>-0.8</v>
      </c>
      <c r="AL46" s="1">
        <v>6.6</v>
      </c>
      <c r="AM46" s="1">
        <v>42.6</v>
      </c>
      <c r="AN46" s="1">
        <v>57.4</v>
      </c>
      <c r="AO46" s="1">
        <v>39.6</v>
      </c>
      <c r="AP46" s="1"/>
      <c r="AQ46" s="1">
        <f t="shared" si="24"/>
        <v>40</v>
      </c>
      <c r="AR46" s="1">
        <f t="shared" si="25"/>
        <v>20</v>
      </c>
      <c r="AS46" t="s">
        <v>128</v>
      </c>
    </row>
    <row r="47" spans="1:47" x14ac:dyDescent="0.25">
      <c r="A47" s="1" t="s">
        <v>129</v>
      </c>
      <c r="B47" s="1" t="s">
        <v>42</v>
      </c>
      <c r="C47" s="1">
        <v>229.87899999999999</v>
      </c>
      <c r="D47" s="1"/>
      <c r="E47" s="1">
        <v>105.47199999999999</v>
      </c>
      <c r="F47" s="1">
        <v>97.52</v>
      </c>
      <c r="G47" s="7">
        <v>1</v>
      </c>
      <c r="H47" s="1">
        <v>40</v>
      </c>
      <c r="I47" s="1" t="s">
        <v>43</v>
      </c>
      <c r="J47" s="1"/>
      <c r="K47" s="1">
        <v>117.8</v>
      </c>
      <c r="L47" s="1">
        <f t="shared" si="20"/>
        <v>-12.328000000000003</v>
      </c>
      <c r="M47" s="1"/>
      <c r="N47" s="1"/>
      <c r="O47" s="1">
        <v>52.309800000000003</v>
      </c>
      <c r="P47" s="1"/>
      <c r="Q47" s="1"/>
      <c r="R47" s="1"/>
      <c r="S47" s="1"/>
      <c r="T47" s="1"/>
      <c r="U47" s="24"/>
      <c r="V47" s="24"/>
      <c r="W47" s="1">
        <f t="shared" si="21"/>
        <v>21.0944</v>
      </c>
      <c r="X47" s="5">
        <f>12*W47-S47-O47-F47</f>
        <v>103.30300000000001</v>
      </c>
      <c r="Y47" s="5">
        <f t="shared" si="26"/>
        <v>103.30300000000001</v>
      </c>
      <c r="Z47" s="5">
        <f>Y47-AC47</f>
        <v>103.30300000000001</v>
      </c>
      <c r="AA47" s="5">
        <v>-105</v>
      </c>
      <c r="AB47" s="5"/>
      <c r="AC47" s="5"/>
      <c r="AD47" s="1">
        <f t="shared" si="22"/>
        <v>12.000000000000002</v>
      </c>
      <c r="AE47" s="1">
        <f t="shared" si="23"/>
        <v>7.1028234981796121</v>
      </c>
      <c r="AF47" s="1">
        <v>18.771799999999999</v>
      </c>
      <c r="AG47" s="1">
        <v>18.388999999999999</v>
      </c>
      <c r="AH47" s="1">
        <v>21.290800000000001</v>
      </c>
      <c r="AI47" s="1">
        <v>17.810400000000001</v>
      </c>
      <c r="AJ47" s="1">
        <v>16.632000000000001</v>
      </c>
      <c r="AK47" s="1">
        <v>22.530799999999999</v>
      </c>
      <c r="AL47" s="1">
        <v>20.517600000000002</v>
      </c>
      <c r="AM47" s="1">
        <v>24.51</v>
      </c>
      <c r="AN47" s="1">
        <v>25.950800000000001</v>
      </c>
      <c r="AO47" s="1">
        <v>25.9468</v>
      </c>
      <c r="AP47" s="1"/>
      <c r="AQ47" s="1">
        <f t="shared" si="24"/>
        <v>103</v>
      </c>
      <c r="AR47" s="1">
        <f t="shared" si="25"/>
        <v>0</v>
      </c>
      <c r="AS47" t="s">
        <v>130</v>
      </c>
    </row>
    <row r="48" spans="1:47" x14ac:dyDescent="0.25">
      <c r="A48" s="1" t="s">
        <v>131</v>
      </c>
      <c r="B48" s="1" t="s">
        <v>50</v>
      </c>
      <c r="C48" s="1">
        <v>1328</v>
      </c>
      <c r="D48" s="1">
        <v>866</v>
      </c>
      <c r="E48" s="1">
        <v>1527</v>
      </c>
      <c r="F48" s="1">
        <v>489</v>
      </c>
      <c r="G48" s="7">
        <v>0.35</v>
      </c>
      <c r="H48" s="1">
        <v>40</v>
      </c>
      <c r="I48" s="13" t="s">
        <v>87</v>
      </c>
      <c r="J48" s="1"/>
      <c r="K48" s="1">
        <v>1560</v>
      </c>
      <c r="L48" s="1">
        <f t="shared" si="20"/>
        <v>-33</v>
      </c>
      <c r="M48" s="1"/>
      <c r="N48" s="1"/>
      <c r="O48" s="1">
        <v>286.8</v>
      </c>
      <c r="P48" s="1">
        <v>-288</v>
      </c>
      <c r="Q48" s="1"/>
      <c r="R48" s="1"/>
      <c r="S48" s="1">
        <v>313.2</v>
      </c>
      <c r="T48" s="1">
        <v>-313</v>
      </c>
      <c r="U48" s="24"/>
      <c r="V48" s="24"/>
      <c r="W48" s="1">
        <f t="shared" si="21"/>
        <v>305.39999999999998</v>
      </c>
      <c r="X48" s="5">
        <v>1500</v>
      </c>
      <c r="Y48" s="5">
        <f t="shared" si="26"/>
        <v>1500</v>
      </c>
      <c r="Z48" s="5">
        <f>X48</f>
        <v>1500</v>
      </c>
      <c r="AA48" s="5">
        <v>-1500</v>
      </c>
      <c r="AB48" s="5"/>
      <c r="AC48" s="5">
        <f>X48*0.5</f>
        <v>750</v>
      </c>
      <c r="AD48" s="1">
        <f t="shared" si="22"/>
        <v>10.933202357563852</v>
      </c>
      <c r="AE48" s="1">
        <f t="shared" si="23"/>
        <v>3.5658153241650297</v>
      </c>
      <c r="AF48" s="1">
        <v>276</v>
      </c>
      <c r="AG48" s="1">
        <v>231</v>
      </c>
      <c r="AH48" s="1">
        <v>229.8</v>
      </c>
      <c r="AI48" s="1">
        <v>254</v>
      </c>
      <c r="AJ48" s="1">
        <v>261.39999999999998</v>
      </c>
      <c r="AK48" s="1">
        <v>234</v>
      </c>
      <c r="AL48" s="1">
        <v>230.6</v>
      </c>
      <c r="AM48" s="1">
        <v>272.2</v>
      </c>
      <c r="AN48" s="1">
        <v>290.39999999999998</v>
      </c>
      <c r="AO48" s="1">
        <v>282.2</v>
      </c>
      <c r="AP48" s="1"/>
      <c r="AQ48" s="1">
        <f t="shared" si="24"/>
        <v>525</v>
      </c>
      <c r="AR48" s="1">
        <f t="shared" si="25"/>
        <v>263</v>
      </c>
      <c r="AS48" t="s">
        <v>132</v>
      </c>
    </row>
    <row r="49" spans="1:48" x14ac:dyDescent="0.25">
      <c r="A49" s="1" t="s">
        <v>133</v>
      </c>
      <c r="B49" s="1" t="s">
        <v>50</v>
      </c>
      <c r="C49" s="1">
        <v>267</v>
      </c>
      <c r="D49" s="1">
        <v>1472</v>
      </c>
      <c r="E49" s="1">
        <v>784</v>
      </c>
      <c r="F49" s="1">
        <v>847</v>
      </c>
      <c r="G49" s="7">
        <v>0.4</v>
      </c>
      <c r="H49" s="1">
        <v>40</v>
      </c>
      <c r="I49" s="13" t="s">
        <v>87</v>
      </c>
      <c r="J49" s="1"/>
      <c r="K49" s="1">
        <v>801</v>
      </c>
      <c r="L49" s="1">
        <f t="shared" si="20"/>
        <v>-17</v>
      </c>
      <c r="M49" s="1"/>
      <c r="N49" s="1"/>
      <c r="O49" s="1">
        <v>239.26289999999989</v>
      </c>
      <c r="P49" s="1"/>
      <c r="Q49" s="1"/>
      <c r="R49" s="1"/>
      <c r="S49" s="1">
        <v>261.28710000000001</v>
      </c>
      <c r="T49" s="1"/>
      <c r="U49" s="24"/>
      <c r="V49" s="24"/>
      <c r="W49" s="1">
        <f t="shared" si="21"/>
        <v>156.80000000000001</v>
      </c>
      <c r="X49" s="5">
        <v>300</v>
      </c>
      <c r="Y49" s="5">
        <f t="shared" si="26"/>
        <v>300</v>
      </c>
      <c r="Z49" s="5">
        <f>X49</f>
        <v>300</v>
      </c>
      <c r="AA49" s="5"/>
      <c r="AB49" s="5"/>
      <c r="AC49" s="5">
        <f>X49*0.5</f>
        <v>150</v>
      </c>
      <c r="AD49" s="1">
        <f t="shared" si="22"/>
        <v>11.463966836734693</v>
      </c>
      <c r="AE49" s="1">
        <f t="shared" si="23"/>
        <v>8.5940688775510203</v>
      </c>
      <c r="AF49" s="1">
        <v>151.19999999999999</v>
      </c>
      <c r="AG49" s="1">
        <v>139.6</v>
      </c>
      <c r="AH49" s="1">
        <v>149</v>
      </c>
      <c r="AI49" s="1">
        <v>103</v>
      </c>
      <c r="AJ49" s="1">
        <v>49.8</v>
      </c>
      <c r="AK49" s="1">
        <v>86</v>
      </c>
      <c r="AL49" s="1">
        <v>134.4</v>
      </c>
      <c r="AM49" s="1">
        <v>143.4</v>
      </c>
      <c r="AN49" s="1">
        <v>127.4</v>
      </c>
      <c r="AO49" s="1">
        <v>113.8</v>
      </c>
      <c r="AP49" s="1"/>
      <c r="AQ49" s="1">
        <f t="shared" si="24"/>
        <v>120</v>
      </c>
      <c r="AR49" s="1">
        <f t="shared" si="25"/>
        <v>60</v>
      </c>
      <c r="AS49" t="s">
        <v>134</v>
      </c>
    </row>
    <row r="50" spans="1:48" x14ac:dyDescent="0.25">
      <c r="A50" s="1" t="s">
        <v>135</v>
      </c>
      <c r="B50" s="1" t="s">
        <v>42</v>
      </c>
      <c r="C50" s="1">
        <v>580.90099999999995</v>
      </c>
      <c r="D50" s="1">
        <v>348.733</v>
      </c>
      <c r="E50" s="1">
        <v>446.35899999999998</v>
      </c>
      <c r="F50" s="1">
        <v>423.39</v>
      </c>
      <c r="G50" s="7">
        <v>1</v>
      </c>
      <c r="H50" s="1">
        <v>50</v>
      </c>
      <c r="I50" s="1" t="s">
        <v>43</v>
      </c>
      <c r="J50" s="1"/>
      <c r="K50" s="1">
        <v>456.6</v>
      </c>
      <c r="L50" s="1">
        <f t="shared" si="20"/>
        <v>-10.241000000000042</v>
      </c>
      <c r="M50" s="1"/>
      <c r="N50" s="1"/>
      <c r="O50" s="1">
        <v>409.00763080000002</v>
      </c>
      <c r="P50" s="1"/>
      <c r="Q50" s="1"/>
      <c r="R50" s="1"/>
      <c r="S50" s="1"/>
      <c r="T50" s="1"/>
      <c r="U50" s="24"/>
      <c r="V50" s="24"/>
      <c r="W50" s="1">
        <f t="shared" si="21"/>
        <v>89.271799999999999</v>
      </c>
      <c r="X50" s="5">
        <f>12*W50-S50-O50-F50</f>
        <v>238.86396920000004</v>
      </c>
      <c r="Y50" s="5">
        <f>X50+$Y$1*W50</f>
        <v>378.12797720000003</v>
      </c>
      <c r="Z50" s="5">
        <f>Y50-AC50</f>
        <v>145.57927122200002</v>
      </c>
      <c r="AA50" s="5"/>
      <c r="AB50" s="5"/>
      <c r="AC50" s="5">
        <f>Y50*$AC$1</f>
        <v>232.54870597800002</v>
      </c>
      <c r="AD50" s="1">
        <f t="shared" si="22"/>
        <v>13.559999999999999</v>
      </c>
      <c r="AE50" s="1">
        <f t="shared" si="23"/>
        <v>9.3243065648950729</v>
      </c>
      <c r="AF50" s="1">
        <v>90.6524</v>
      </c>
      <c r="AG50" s="1">
        <v>74.56</v>
      </c>
      <c r="AH50" s="1">
        <v>74.037400000000005</v>
      </c>
      <c r="AI50" s="1">
        <v>94.643200000000007</v>
      </c>
      <c r="AJ50" s="1">
        <v>101.782</v>
      </c>
      <c r="AK50" s="1">
        <v>92.1952</v>
      </c>
      <c r="AL50" s="1">
        <v>85.624400000000009</v>
      </c>
      <c r="AM50" s="1">
        <v>98.405999999999992</v>
      </c>
      <c r="AN50" s="1">
        <v>105.60339999999999</v>
      </c>
      <c r="AO50" s="1">
        <v>102.15940000000001</v>
      </c>
      <c r="AP50" s="1"/>
      <c r="AQ50" s="1">
        <f t="shared" si="24"/>
        <v>146</v>
      </c>
      <c r="AR50" s="1">
        <f t="shared" si="25"/>
        <v>233</v>
      </c>
      <c r="AS50" t="s">
        <v>136</v>
      </c>
    </row>
    <row r="51" spans="1:48" x14ac:dyDescent="0.25">
      <c r="A51" s="1" t="s">
        <v>137</v>
      </c>
      <c r="B51" s="1" t="s">
        <v>42</v>
      </c>
      <c r="C51" s="1">
        <v>569.01800000000003</v>
      </c>
      <c r="D51" s="1">
        <v>721.96199999999999</v>
      </c>
      <c r="E51" s="1">
        <v>578.68600000000004</v>
      </c>
      <c r="F51" s="1">
        <v>644.6</v>
      </c>
      <c r="G51" s="7">
        <v>1</v>
      </c>
      <c r="H51" s="1">
        <v>50</v>
      </c>
      <c r="I51" s="1" t="s">
        <v>43</v>
      </c>
      <c r="J51" s="1"/>
      <c r="K51" s="1">
        <v>570.9</v>
      </c>
      <c r="L51" s="1">
        <f t="shared" si="20"/>
        <v>7.7860000000000582</v>
      </c>
      <c r="M51" s="1"/>
      <c r="N51" s="1"/>
      <c r="O51" s="1">
        <v>466.77858119999951</v>
      </c>
      <c r="P51" s="1"/>
      <c r="Q51" s="1"/>
      <c r="R51" s="1"/>
      <c r="S51" s="1"/>
      <c r="T51" s="1"/>
      <c r="U51" s="24"/>
      <c r="V51" s="24"/>
      <c r="W51" s="1">
        <f t="shared" si="21"/>
        <v>115.7372</v>
      </c>
      <c r="X51" s="5">
        <f>12*W51-S51-O51-F51</f>
        <v>277.46781880000037</v>
      </c>
      <c r="Y51" s="5">
        <f>X51+$Y$1*W51</f>
        <v>458.01785080000036</v>
      </c>
      <c r="Z51" s="5">
        <f>Y51-AC51</f>
        <v>176.33687255800015</v>
      </c>
      <c r="AA51" s="5"/>
      <c r="AB51" s="5"/>
      <c r="AC51" s="5">
        <f>Y51*$AC$1</f>
        <v>281.68097824200021</v>
      </c>
      <c r="AD51" s="1">
        <f t="shared" si="22"/>
        <v>13.56</v>
      </c>
      <c r="AE51" s="1">
        <f t="shared" si="23"/>
        <v>9.6026047044511156</v>
      </c>
      <c r="AF51" s="1">
        <v>120.2286</v>
      </c>
      <c r="AG51" s="1">
        <v>105.809</v>
      </c>
      <c r="AH51" s="1">
        <v>99.316400000000002</v>
      </c>
      <c r="AI51" s="1">
        <v>104.8566</v>
      </c>
      <c r="AJ51" s="1">
        <v>106.93259999999999</v>
      </c>
      <c r="AK51" s="1">
        <v>107.8848</v>
      </c>
      <c r="AL51" s="1">
        <v>115.07080000000001</v>
      </c>
      <c r="AM51" s="1">
        <v>121.9318</v>
      </c>
      <c r="AN51" s="1">
        <v>115.127</v>
      </c>
      <c r="AO51" s="1">
        <v>112.86660000000001</v>
      </c>
      <c r="AP51" s="1"/>
      <c r="AQ51" s="1">
        <f t="shared" si="24"/>
        <v>176</v>
      </c>
      <c r="AR51" s="1">
        <f t="shared" si="25"/>
        <v>282</v>
      </c>
      <c r="AS51" t="s">
        <v>138</v>
      </c>
    </row>
    <row r="52" spans="1:48" x14ac:dyDescent="0.25">
      <c r="A52" s="1" t="s">
        <v>139</v>
      </c>
      <c r="B52" s="1" t="s">
        <v>42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87</v>
      </c>
      <c r="J52" s="1"/>
      <c r="K52" s="1">
        <v>103.1</v>
      </c>
      <c r="L52" s="1">
        <f t="shared" si="20"/>
        <v>-104.27499999999999</v>
      </c>
      <c r="M52" s="1"/>
      <c r="N52" s="1"/>
      <c r="O52" s="1">
        <v>50</v>
      </c>
      <c r="P52" s="1">
        <v>-54</v>
      </c>
      <c r="Q52" s="1"/>
      <c r="R52" s="1"/>
      <c r="S52" s="1"/>
      <c r="T52" s="1"/>
      <c r="U52" s="24"/>
      <c r="V52" s="24"/>
      <c r="W52" s="1">
        <f t="shared" si="21"/>
        <v>-0.23500000000000001</v>
      </c>
      <c r="X52" s="5">
        <v>40</v>
      </c>
      <c r="Y52" s="5">
        <f>X52</f>
        <v>40</v>
      </c>
      <c r="Z52" s="5">
        <f>X52</f>
        <v>40</v>
      </c>
      <c r="AA52" s="5">
        <v>-45</v>
      </c>
      <c r="AB52" s="5"/>
      <c r="AC52" s="5">
        <f>X52*0.5</f>
        <v>20</v>
      </c>
      <c r="AD52" s="1">
        <f t="shared" si="22"/>
        <v>-606.70638297872335</v>
      </c>
      <c r="AE52" s="1">
        <f t="shared" si="23"/>
        <v>-351.38723404255313</v>
      </c>
      <c r="AF52" s="1">
        <v>-0.23499999999999999</v>
      </c>
      <c r="AG52" s="1">
        <v>0.58399999999999996</v>
      </c>
      <c r="AH52" s="1">
        <v>9.094199999999999</v>
      </c>
      <c r="AI52" s="1">
        <v>17.8614</v>
      </c>
      <c r="AJ52" s="1">
        <v>19.946200000000001</v>
      </c>
      <c r="AK52" s="1">
        <v>17.854199999999999</v>
      </c>
      <c r="AL52" s="1">
        <v>15.411</v>
      </c>
      <c r="AM52" s="1">
        <v>11.0654</v>
      </c>
      <c r="AN52" s="1">
        <v>9.3583999999999996</v>
      </c>
      <c r="AO52" s="1">
        <v>8.730599999999999</v>
      </c>
      <c r="AP52" s="1"/>
      <c r="AQ52" s="1">
        <f t="shared" si="24"/>
        <v>40</v>
      </c>
      <c r="AR52" s="1">
        <f t="shared" si="25"/>
        <v>20</v>
      </c>
      <c r="AS52" t="s">
        <v>140</v>
      </c>
    </row>
    <row r="53" spans="1:48" x14ac:dyDescent="0.25">
      <c r="A53" s="23" t="s">
        <v>141</v>
      </c>
      <c r="B53" s="1" t="s">
        <v>50</v>
      </c>
      <c r="C53" s="1">
        <v>174</v>
      </c>
      <c r="D53" s="1">
        <v>360</v>
      </c>
      <c r="E53" s="1">
        <v>136</v>
      </c>
      <c r="F53" s="1">
        <v>373</v>
      </c>
      <c r="G53" s="7">
        <v>0.45</v>
      </c>
      <c r="H53" s="1">
        <v>50</v>
      </c>
      <c r="I53" s="1" t="s">
        <v>43</v>
      </c>
      <c r="J53" s="1"/>
      <c r="K53" s="1">
        <v>141</v>
      </c>
      <c r="L53" s="1">
        <f t="shared" si="20"/>
        <v>-5</v>
      </c>
      <c r="M53" s="1"/>
      <c r="N53" s="1"/>
      <c r="O53" s="1">
        <v>0</v>
      </c>
      <c r="P53" s="1"/>
      <c r="Q53" s="24"/>
      <c r="R53" s="24"/>
      <c r="S53" s="1"/>
      <c r="T53" s="1"/>
      <c r="U53" s="24"/>
      <c r="V53" s="24"/>
      <c r="W53" s="1">
        <f t="shared" si="21"/>
        <v>27.2</v>
      </c>
      <c r="X53" s="5"/>
      <c r="Y53" s="5">
        <f>X53</f>
        <v>0</v>
      </c>
      <c r="Z53" s="5">
        <f>Y53-AC53</f>
        <v>0</v>
      </c>
      <c r="AA53" s="5"/>
      <c r="AB53" s="5"/>
      <c r="AC53" s="5"/>
      <c r="AD53" s="1">
        <f>(F53+O53+S53+Z53+AC53+P53+Q53+T53+U53+R53+V53+AB53)/W53</f>
        <v>13.713235294117647</v>
      </c>
      <c r="AE53" s="1">
        <f t="shared" si="23"/>
        <v>13.713235294117647</v>
      </c>
      <c r="AF53" s="1">
        <v>29.2</v>
      </c>
      <c r="AG53" s="1">
        <v>42.4</v>
      </c>
      <c r="AH53" s="1">
        <v>40.4</v>
      </c>
      <c r="AI53" s="1">
        <v>35</v>
      </c>
      <c r="AJ53" s="1">
        <v>41.4</v>
      </c>
      <c r="AK53" s="1">
        <v>38.799999999999997</v>
      </c>
      <c r="AL53" s="1">
        <v>36.6</v>
      </c>
      <c r="AM53" s="1">
        <v>46.2</v>
      </c>
      <c r="AN53" s="1">
        <v>56</v>
      </c>
      <c r="AO53" s="1">
        <v>66.599999999999994</v>
      </c>
      <c r="AP53" s="1"/>
      <c r="AQ53" s="1">
        <f t="shared" si="24"/>
        <v>0</v>
      </c>
      <c r="AR53" s="1">
        <f t="shared" si="25"/>
        <v>0</v>
      </c>
      <c r="AS53" t="s">
        <v>142</v>
      </c>
      <c r="AT53" t="str">
        <f>VLOOKUP(AS53,[1]Лист1!$A:$A,1,0)</f>
        <v>SU002815</v>
      </c>
      <c r="AU53">
        <f>Q53*G53</f>
        <v>0</v>
      </c>
      <c r="AV53">
        <f>ROUND(AB53*G53,0)</f>
        <v>0</v>
      </c>
    </row>
    <row r="54" spans="1:48" x14ac:dyDescent="0.25">
      <c r="A54" s="1" t="s">
        <v>143</v>
      </c>
      <c r="B54" s="1" t="s">
        <v>50</v>
      </c>
      <c r="C54" s="1">
        <v>424</v>
      </c>
      <c r="D54" s="1">
        <v>730</v>
      </c>
      <c r="E54" s="1">
        <v>462</v>
      </c>
      <c r="F54" s="1">
        <v>580</v>
      </c>
      <c r="G54" s="7">
        <v>0.45</v>
      </c>
      <c r="H54" s="1">
        <v>50</v>
      </c>
      <c r="I54" s="1" t="s">
        <v>43</v>
      </c>
      <c r="J54" s="1"/>
      <c r="K54" s="1">
        <v>466</v>
      </c>
      <c r="L54" s="1">
        <f t="shared" si="20"/>
        <v>-4</v>
      </c>
      <c r="M54" s="1"/>
      <c r="N54" s="1"/>
      <c r="O54" s="1">
        <v>297.88860000000011</v>
      </c>
      <c r="P54" s="1"/>
      <c r="Q54" s="1"/>
      <c r="R54" s="1"/>
      <c r="S54" s="1"/>
      <c r="T54" s="1"/>
      <c r="U54" s="24"/>
      <c r="V54" s="24"/>
      <c r="W54" s="1">
        <f t="shared" si="21"/>
        <v>92.4</v>
      </c>
      <c r="X54" s="5">
        <f>12*W54-S54-O54-F54</f>
        <v>230.91140000000007</v>
      </c>
      <c r="Y54" s="5">
        <f>X54+$Y$1*W54</f>
        <v>375.05540000000008</v>
      </c>
      <c r="Z54" s="5">
        <f>Y54-AC54</f>
        <v>144.39632900000004</v>
      </c>
      <c r="AA54" s="5"/>
      <c r="AB54" s="5"/>
      <c r="AC54" s="5">
        <f>Y54*$AC$1</f>
        <v>230.65907100000004</v>
      </c>
      <c r="AD54" s="1">
        <f t="shared" si="22"/>
        <v>13.56</v>
      </c>
      <c r="AE54" s="1">
        <f t="shared" si="23"/>
        <v>9.5009588744588758</v>
      </c>
      <c r="AF54" s="1">
        <v>101.8</v>
      </c>
      <c r="AG54" s="1">
        <v>96.8</v>
      </c>
      <c r="AH54" s="1">
        <v>93.2</v>
      </c>
      <c r="AI54" s="1">
        <v>95.8</v>
      </c>
      <c r="AJ54" s="1">
        <v>91.6</v>
      </c>
      <c r="AK54" s="1">
        <v>94.4</v>
      </c>
      <c r="AL54" s="1">
        <v>114.6</v>
      </c>
      <c r="AM54" s="1">
        <v>103.4</v>
      </c>
      <c r="AN54" s="1">
        <v>94</v>
      </c>
      <c r="AO54" s="1">
        <v>111.2</v>
      </c>
      <c r="AP54" s="1"/>
      <c r="AQ54" s="1">
        <f t="shared" si="24"/>
        <v>65</v>
      </c>
      <c r="AR54" s="1">
        <f t="shared" si="25"/>
        <v>104</v>
      </c>
      <c r="AS54" t="s">
        <v>144</v>
      </c>
    </row>
    <row r="55" spans="1:48" x14ac:dyDescent="0.25">
      <c r="A55" s="1" t="s">
        <v>145</v>
      </c>
      <c r="B55" s="1" t="s">
        <v>50</v>
      </c>
      <c r="C55" s="1">
        <v>26</v>
      </c>
      <c r="D55" s="1">
        <v>156</v>
      </c>
      <c r="E55" s="1">
        <v>159</v>
      </c>
      <c r="F55" s="1">
        <v>7</v>
      </c>
      <c r="G55" s="7">
        <v>0.4</v>
      </c>
      <c r="H55" s="1">
        <v>40</v>
      </c>
      <c r="I55" s="13" t="s">
        <v>87</v>
      </c>
      <c r="J55" s="1"/>
      <c r="K55" s="1">
        <v>166</v>
      </c>
      <c r="L55" s="1">
        <f t="shared" si="20"/>
        <v>-7</v>
      </c>
      <c r="M55" s="1"/>
      <c r="N55" s="1"/>
      <c r="O55" s="1">
        <v>150</v>
      </c>
      <c r="P55" s="1">
        <v>-150</v>
      </c>
      <c r="Q55" s="1"/>
      <c r="R55" s="1"/>
      <c r="S55" s="1"/>
      <c r="T55" s="1"/>
      <c r="U55" s="24"/>
      <c r="V55" s="24"/>
      <c r="W55" s="1">
        <f t="shared" si="21"/>
        <v>31.8</v>
      </c>
      <c r="X55" s="5">
        <v>80</v>
      </c>
      <c r="Y55" s="5">
        <f>X55</f>
        <v>80</v>
      </c>
      <c r="Z55" s="5">
        <f>X55</f>
        <v>80</v>
      </c>
      <c r="AA55" s="5">
        <v>-84</v>
      </c>
      <c r="AB55" s="5"/>
      <c r="AC55" s="5">
        <f>X55*0.5</f>
        <v>40</v>
      </c>
      <c r="AD55" s="1">
        <f t="shared" si="22"/>
        <v>8.7106918238993707</v>
      </c>
      <c r="AE55" s="1">
        <f t="shared" si="23"/>
        <v>4.9371069182389933</v>
      </c>
      <c r="AF55" s="1">
        <v>29.2</v>
      </c>
      <c r="AG55" s="1">
        <v>19</v>
      </c>
      <c r="AH55" s="1">
        <v>19.8</v>
      </c>
      <c r="AI55" s="1">
        <v>25.6</v>
      </c>
      <c r="AJ55" s="1">
        <v>30.8</v>
      </c>
      <c r="AK55" s="1">
        <v>30.8</v>
      </c>
      <c r="AL55" s="1">
        <v>25.8</v>
      </c>
      <c r="AM55" s="1">
        <v>27.4</v>
      </c>
      <c r="AN55" s="1">
        <v>37.200000000000003</v>
      </c>
      <c r="AO55" s="1">
        <v>33.6</v>
      </c>
      <c r="AP55" s="1"/>
      <c r="AQ55" s="1">
        <f t="shared" si="24"/>
        <v>32</v>
      </c>
      <c r="AR55" s="1">
        <f t="shared" si="25"/>
        <v>16</v>
      </c>
      <c r="AS55" t="s">
        <v>146</v>
      </c>
    </row>
    <row r="56" spans="1:48" x14ac:dyDescent="0.25">
      <c r="A56" s="1" t="s">
        <v>147</v>
      </c>
      <c r="B56" s="1" t="s">
        <v>50</v>
      </c>
      <c r="C56" s="1">
        <v>36</v>
      </c>
      <c r="D56" s="1">
        <v>138</v>
      </c>
      <c r="E56" s="1">
        <v>69</v>
      </c>
      <c r="F56" s="1">
        <v>100</v>
      </c>
      <c r="G56" s="7">
        <v>0.4</v>
      </c>
      <c r="H56" s="1">
        <v>40</v>
      </c>
      <c r="I56" s="13" t="s">
        <v>87</v>
      </c>
      <c r="J56" s="1"/>
      <c r="K56" s="1">
        <v>74</v>
      </c>
      <c r="L56" s="1">
        <f t="shared" si="20"/>
        <v>-5</v>
      </c>
      <c r="M56" s="1"/>
      <c r="N56" s="1"/>
      <c r="O56" s="1">
        <v>20</v>
      </c>
      <c r="P56" s="1"/>
      <c r="Q56" s="1"/>
      <c r="R56" s="1"/>
      <c r="S56" s="1"/>
      <c r="T56" s="1"/>
      <c r="U56" s="24"/>
      <c r="V56" s="24"/>
      <c r="W56" s="1">
        <f t="shared" si="21"/>
        <v>13.8</v>
      </c>
      <c r="X56" s="5">
        <f>12*W56-S56-O56-F56</f>
        <v>45.600000000000023</v>
      </c>
      <c r="Y56" s="5">
        <f>X56</f>
        <v>45.600000000000023</v>
      </c>
      <c r="Z56" s="5">
        <f>X56</f>
        <v>45.600000000000023</v>
      </c>
      <c r="AA56" s="5"/>
      <c r="AB56" s="5"/>
      <c r="AC56" s="5">
        <f>X56*0.5</f>
        <v>22.800000000000011</v>
      </c>
      <c r="AD56" s="1">
        <f t="shared" si="22"/>
        <v>13.65217391304348</v>
      </c>
      <c r="AE56" s="1">
        <f t="shared" si="23"/>
        <v>8.695652173913043</v>
      </c>
      <c r="AF56" s="1">
        <v>10.199999999999999</v>
      </c>
      <c r="AG56" s="1">
        <v>8.8000000000000007</v>
      </c>
      <c r="AH56" s="1">
        <v>14.6</v>
      </c>
      <c r="AI56" s="1">
        <v>20</v>
      </c>
      <c r="AJ56" s="1">
        <v>17.2</v>
      </c>
      <c r="AK56" s="1">
        <v>12.4</v>
      </c>
      <c r="AL56" s="1">
        <v>13</v>
      </c>
      <c r="AM56" s="1">
        <v>17.2</v>
      </c>
      <c r="AN56" s="1">
        <v>11.2</v>
      </c>
      <c r="AO56" s="1">
        <v>7.8</v>
      </c>
      <c r="AP56" s="1"/>
      <c r="AQ56" s="1">
        <f t="shared" si="24"/>
        <v>18</v>
      </c>
      <c r="AR56" s="1">
        <f t="shared" si="25"/>
        <v>9</v>
      </c>
      <c r="AS56" t="s">
        <v>148</v>
      </c>
    </row>
    <row r="57" spans="1:48" x14ac:dyDescent="0.25">
      <c r="A57" s="23" t="s">
        <v>149</v>
      </c>
      <c r="B57" s="1" t="s">
        <v>42</v>
      </c>
      <c r="C57" s="1">
        <v>912.69399999999996</v>
      </c>
      <c r="D57" s="1">
        <v>610.673</v>
      </c>
      <c r="E57" s="1">
        <v>672.74800000000005</v>
      </c>
      <c r="F57" s="1">
        <v>778.94500000000005</v>
      </c>
      <c r="G57" s="7">
        <v>1</v>
      </c>
      <c r="H57" s="1">
        <v>50</v>
      </c>
      <c r="I57" s="1" t="s">
        <v>43</v>
      </c>
      <c r="J57" s="1"/>
      <c r="K57" s="1">
        <v>705.85</v>
      </c>
      <c r="L57" s="1">
        <f t="shared" si="20"/>
        <v>-33.101999999999975</v>
      </c>
      <c r="M57" s="1"/>
      <c r="N57" s="1"/>
      <c r="O57" s="1">
        <v>455.21547819999989</v>
      </c>
      <c r="P57" s="1"/>
      <c r="Q57" s="24"/>
      <c r="R57" s="24"/>
      <c r="S57" s="1"/>
      <c r="T57" s="1"/>
      <c r="U57" s="24"/>
      <c r="V57" s="24"/>
      <c r="W57" s="1">
        <f t="shared" si="21"/>
        <v>134.5496</v>
      </c>
      <c r="X57" s="5">
        <f>12*W57-S57-O57-F57</f>
        <v>380.43472179999992</v>
      </c>
      <c r="Y57" s="5">
        <f>X57+$Y$1*W57</f>
        <v>590.33209779999993</v>
      </c>
      <c r="Z57" s="5">
        <f t="shared" ref="Z57:Z66" si="27">Y57-AC57</f>
        <v>227.27785765299996</v>
      </c>
      <c r="AA57" s="5"/>
      <c r="AB57" s="5">
        <v>150</v>
      </c>
      <c r="AC57" s="5">
        <f>Y57*$AC$1</f>
        <v>363.05424014699997</v>
      </c>
      <c r="AD57" s="1">
        <f>(F57+O57+S57+Z57+AC57+P57+Q57+T57+U57+R57+V57+AB57)/W57</f>
        <v>14.674830516032749</v>
      </c>
      <c r="AE57" s="1">
        <f t="shared" si="23"/>
        <v>9.1725317518595375</v>
      </c>
      <c r="AF57" s="1">
        <v>136.10159999999999</v>
      </c>
      <c r="AG57" s="1">
        <v>125.3366</v>
      </c>
      <c r="AH57" s="1">
        <v>121.60299999999999</v>
      </c>
      <c r="AI57" s="1">
        <v>139.44720000000001</v>
      </c>
      <c r="AJ57" s="1">
        <v>142.02119999999999</v>
      </c>
      <c r="AK57" s="1">
        <v>148.81020000000001</v>
      </c>
      <c r="AL57" s="1">
        <v>151.5138</v>
      </c>
      <c r="AM57" s="1">
        <v>152.57759999999999</v>
      </c>
      <c r="AN57" s="1">
        <v>151.32759999999999</v>
      </c>
      <c r="AO57" s="1">
        <v>138.55520000000001</v>
      </c>
      <c r="AP57" s="1"/>
      <c r="AQ57" s="1">
        <f t="shared" si="24"/>
        <v>227</v>
      </c>
      <c r="AR57" s="1">
        <f t="shared" si="25"/>
        <v>363</v>
      </c>
      <c r="AS57" t="s">
        <v>150</v>
      </c>
      <c r="AT57" t="str">
        <f>VLOOKUP(AS57,[1]Лист1!$A:$A,1,0)</f>
        <v>SU002829</v>
      </c>
      <c r="AU57">
        <f>Q57*G57</f>
        <v>0</v>
      </c>
      <c r="AV57">
        <f>ROUND(AB57*G57,0)</f>
        <v>150</v>
      </c>
    </row>
    <row r="58" spans="1:48" x14ac:dyDescent="0.25">
      <c r="A58" s="9" t="s">
        <v>151</v>
      </c>
      <c r="B58" s="9" t="s">
        <v>42</v>
      </c>
      <c r="C58" s="9">
        <v>100.54300000000001</v>
      </c>
      <c r="D58" s="9">
        <v>637.24199999999996</v>
      </c>
      <c r="E58" s="9"/>
      <c r="F58" s="9"/>
      <c r="G58" s="10">
        <v>0</v>
      </c>
      <c r="H58" s="9"/>
      <c r="I58" s="9" t="s">
        <v>152</v>
      </c>
      <c r="J58" s="9" t="s">
        <v>153</v>
      </c>
      <c r="K58" s="9"/>
      <c r="L58" s="9">
        <f t="shared" si="20"/>
        <v>0</v>
      </c>
      <c r="M58" s="9"/>
      <c r="N58" s="9"/>
      <c r="O58" s="9">
        <v>0</v>
      </c>
      <c r="P58" s="9"/>
      <c r="Q58" s="9"/>
      <c r="R58" s="9"/>
      <c r="S58" s="9"/>
      <c r="T58" s="9"/>
      <c r="U58" s="29"/>
      <c r="V58" s="29"/>
      <c r="W58" s="9">
        <f t="shared" si="21"/>
        <v>0</v>
      </c>
      <c r="X58" s="11"/>
      <c r="Y58" s="5">
        <f>X58</f>
        <v>0</v>
      </c>
      <c r="Z58" s="5">
        <f t="shared" si="27"/>
        <v>0</v>
      </c>
      <c r="AA58" s="5"/>
      <c r="AB58" s="5"/>
      <c r="AC58" s="11"/>
      <c r="AD58" s="1" t="e">
        <f t="shared" si="22"/>
        <v>#DIV/0!</v>
      </c>
      <c r="AE58" s="9" t="e">
        <f t="shared" si="23"/>
        <v>#DIV/0!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/>
      <c r="AQ58" s="1">
        <f t="shared" si="24"/>
        <v>0</v>
      </c>
      <c r="AR58" s="1">
        <f t="shared" si="25"/>
        <v>0</v>
      </c>
      <c r="AS58" t="s">
        <v>154</v>
      </c>
    </row>
    <row r="59" spans="1:48" x14ac:dyDescent="0.25">
      <c r="A59" s="1" t="s">
        <v>155</v>
      </c>
      <c r="B59" s="1" t="s">
        <v>50</v>
      </c>
      <c r="C59" s="1">
        <v>284</v>
      </c>
      <c r="D59" s="1">
        <v>340</v>
      </c>
      <c r="E59" s="1">
        <v>186</v>
      </c>
      <c r="F59" s="1">
        <v>413</v>
      </c>
      <c r="G59" s="7">
        <v>0.1</v>
      </c>
      <c r="H59" s="1">
        <v>731</v>
      </c>
      <c r="I59" s="1" t="s">
        <v>43</v>
      </c>
      <c r="J59" s="1"/>
      <c r="K59" s="1">
        <v>191</v>
      </c>
      <c r="L59" s="1">
        <f t="shared" si="20"/>
        <v>-5</v>
      </c>
      <c r="M59" s="1"/>
      <c r="N59" s="1"/>
      <c r="O59" s="1">
        <v>0</v>
      </c>
      <c r="P59" s="1"/>
      <c r="Q59" s="1"/>
      <c r="R59" s="1"/>
      <c r="S59" s="1"/>
      <c r="T59" s="1"/>
      <c r="U59" s="24"/>
      <c r="V59" s="24"/>
      <c r="W59" s="1">
        <f t="shared" si="21"/>
        <v>37.200000000000003</v>
      </c>
      <c r="X59" s="5">
        <f>12*W59-S59-O59-F59</f>
        <v>33.400000000000034</v>
      </c>
      <c r="Y59" s="5">
        <f>X59</f>
        <v>33.400000000000034</v>
      </c>
      <c r="Z59" s="5">
        <f t="shared" si="27"/>
        <v>33.400000000000034</v>
      </c>
      <c r="AA59" s="5"/>
      <c r="AB59" s="5"/>
      <c r="AC59" s="5"/>
      <c r="AD59" s="1">
        <f t="shared" si="22"/>
        <v>12</v>
      </c>
      <c r="AE59" s="1">
        <f t="shared" si="23"/>
        <v>11.102150537634408</v>
      </c>
      <c r="AF59" s="1">
        <v>40.6</v>
      </c>
      <c r="AG59" s="1">
        <v>49.6</v>
      </c>
      <c r="AH59" s="1">
        <v>52.8</v>
      </c>
      <c r="AI59" s="1">
        <v>58</v>
      </c>
      <c r="AJ59" s="1">
        <v>56.4</v>
      </c>
      <c r="AK59" s="1">
        <v>43.8</v>
      </c>
      <c r="AL59" s="1">
        <v>46</v>
      </c>
      <c r="AM59" s="1">
        <v>43</v>
      </c>
      <c r="AN59" s="1">
        <v>32</v>
      </c>
      <c r="AO59" s="1">
        <v>24.4</v>
      </c>
      <c r="AP59" s="1"/>
      <c r="AQ59" s="1">
        <f t="shared" si="24"/>
        <v>3</v>
      </c>
      <c r="AR59" s="1">
        <f t="shared" si="25"/>
        <v>0</v>
      </c>
      <c r="AS59" t="s">
        <v>156</v>
      </c>
    </row>
    <row r="60" spans="1:48" x14ac:dyDescent="0.25">
      <c r="A60" s="1" t="s">
        <v>157</v>
      </c>
      <c r="B60" s="1" t="s">
        <v>42</v>
      </c>
      <c r="C60" s="1">
        <v>722.78099999999995</v>
      </c>
      <c r="D60" s="1">
        <v>1543.316</v>
      </c>
      <c r="E60" s="1">
        <v>891.15</v>
      </c>
      <c r="F60" s="1">
        <v>1281.7829999999999</v>
      </c>
      <c r="G60" s="7">
        <v>1</v>
      </c>
      <c r="H60" s="1">
        <v>50</v>
      </c>
      <c r="I60" s="1" t="s">
        <v>43</v>
      </c>
      <c r="J60" s="1"/>
      <c r="K60" s="1">
        <v>871.6</v>
      </c>
      <c r="L60" s="1">
        <f t="shared" si="20"/>
        <v>19.549999999999955</v>
      </c>
      <c r="M60" s="1"/>
      <c r="N60" s="1"/>
      <c r="O60" s="1">
        <v>509.5437216000002</v>
      </c>
      <c r="P60" s="1"/>
      <c r="Q60" s="1"/>
      <c r="R60" s="1"/>
      <c r="S60" s="1"/>
      <c r="T60" s="1"/>
      <c r="U60" s="24"/>
      <c r="V60" s="24"/>
      <c r="W60" s="1">
        <f t="shared" si="21"/>
        <v>178.23</v>
      </c>
      <c r="X60" s="5">
        <f>12*W60-S60-O60-F60</f>
        <v>347.43327839999961</v>
      </c>
      <c r="Y60" s="5">
        <f>X60+$Y$1*W60</f>
        <v>625.47207839999965</v>
      </c>
      <c r="Z60" s="5">
        <f t="shared" si="27"/>
        <v>240.8067501839999</v>
      </c>
      <c r="AA60" s="5"/>
      <c r="AB60" s="5"/>
      <c r="AC60" s="5">
        <f>Y60*$AC$1</f>
        <v>384.66532821599975</v>
      </c>
      <c r="AD60" s="1">
        <f t="shared" si="22"/>
        <v>13.559999999999999</v>
      </c>
      <c r="AE60" s="1">
        <f t="shared" si="23"/>
        <v>10.050646477024072</v>
      </c>
      <c r="AF60" s="1">
        <v>187.59280000000001</v>
      </c>
      <c r="AG60" s="1">
        <v>186.78440000000001</v>
      </c>
      <c r="AH60" s="1">
        <v>179.19659999999999</v>
      </c>
      <c r="AI60" s="1">
        <v>169.71199999999999</v>
      </c>
      <c r="AJ60" s="1">
        <v>165.36500000000001</v>
      </c>
      <c r="AK60" s="1">
        <v>160.84059999999999</v>
      </c>
      <c r="AL60" s="1">
        <v>178.38939999999999</v>
      </c>
      <c r="AM60" s="1">
        <v>198.24420000000001</v>
      </c>
      <c r="AN60" s="1">
        <v>186.80680000000001</v>
      </c>
      <c r="AO60" s="1">
        <v>175.28739999999999</v>
      </c>
      <c r="AP60" s="1"/>
      <c r="AQ60" s="1">
        <f t="shared" si="24"/>
        <v>241</v>
      </c>
      <c r="AR60" s="1">
        <f t="shared" si="25"/>
        <v>385</v>
      </c>
      <c r="AS60" t="s">
        <v>158</v>
      </c>
    </row>
    <row r="61" spans="1:48" x14ac:dyDescent="0.25">
      <c r="A61" s="1" t="s">
        <v>159</v>
      </c>
      <c r="B61" s="1" t="s">
        <v>42</v>
      </c>
      <c r="C61" s="1">
        <v>91.847999999999999</v>
      </c>
      <c r="D61" s="1">
        <v>129.82</v>
      </c>
      <c r="E61" s="1">
        <v>80.503</v>
      </c>
      <c r="F61" s="1">
        <v>130.88</v>
      </c>
      <c r="G61" s="7">
        <v>1</v>
      </c>
      <c r="H61" s="1">
        <v>55</v>
      </c>
      <c r="I61" s="1" t="s">
        <v>43</v>
      </c>
      <c r="J61" s="1"/>
      <c r="K61" s="1">
        <v>78.150000000000006</v>
      </c>
      <c r="L61" s="1">
        <f t="shared" si="20"/>
        <v>2.3529999999999944</v>
      </c>
      <c r="M61" s="1"/>
      <c r="N61" s="1"/>
      <c r="O61" s="1">
        <v>74.826199999999943</v>
      </c>
      <c r="P61" s="1"/>
      <c r="Q61" s="1"/>
      <c r="R61" s="1"/>
      <c r="S61" s="1"/>
      <c r="T61" s="1"/>
      <c r="U61" s="24"/>
      <c r="V61" s="24"/>
      <c r="W61" s="1">
        <f t="shared" si="21"/>
        <v>16.1006</v>
      </c>
      <c r="X61" s="5"/>
      <c r="Y61" s="5">
        <f>X61</f>
        <v>0</v>
      </c>
      <c r="Z61" s="5">
        <f t="shared" si="27"/>
        <v>0</v>
      </c>
      <c r="AA61" s="5"/>
      <c r="AB61" s="5"/>
      <c r="AC61" s="5"/>
      <c r="AD61" s="1">
        <f t="shared" si="22"/>
        <v>12.77630647305069</v>
      </c>
      <c r="AE61" s="1">
        <f t="shared" si="23"/>
        <v>12.77630647305069</v>
      </c>
      <c r="AF61" s="1">
        <v>20.717400000000001</v>
      </c>
      <c r="AG61" s="1">
        <v>18.250800000000002</v>
      </c>
      <c r="AH61" s="1">
        <v>15.446999999999999</v>
      </c>
      <c r="AI61" s="1">
        <v>17.9756</v>
      </c>
      <c r="AJ61" s="1">
        <v>16.6264</v>
      </c>
      <c r="AK61" s="1">
        <v>20.0504</v>
      </c>
      <c r="AL61" s="1">
        <v>20.848199999999999</v>
      </c>
      <c r="AM61" s="1">
        <v>17.22</v>
      </c>
      <c r="AN61" s="1">
        <v>18.130600000000001</v>
      </c>
      <c r="AO61" s="1">
        <v>18.803999999999998</v>
      </c>
      <c r="AP61" s="1"/>
      <c r="AQ61" s="1">
        <f t="shared" si="24"/>
        <v>0</v>
      </c>
      <c r="AR61" s="1">
        <f t="shared" si="25"/>
        <v>0</v>
      </c>
      <c r="AS61" t="s">
        <v>160</v>
      </c>
    </row>
    <row r="62" spans="1:48" x14ac:dyDescent="0.25">
      <c r="A62" s="1" t="s">
        <v>161</v>
      </c>
      <c r="B62" s="1" t="s">
        <v>50</v>
      </c>
      <c r="C62" s="1">
        <v>129</v>
      </c>
      <c r="D62" s="1">
        <v>440</v>
      </c>
      <c r="E62" s="1">
        <v>153</v>
      </c>
      <c r="F62" s="1">
        <v>396</v>
      </c>
      <c r="G62" s="7">
        <v>0.1</v>
      </c>
      <c r="H62" s="1">
        <v>731</v>
      </c>
      <c r="I62" s="1" t="s">
        <v>43</v>
      </c>
      <c r="J62" s="1"/>
      <c r="K62" s="1">
        <v>153</v>
      </c>
      <c r="L62" s="1">
        <f t="shared" si="20"/>
        <v>0</v>
      </c>
      <c r="M62" s="1"/>
      <c r="N62" s="1"/>
      <c r="O62" s="1">
        <v>0</v>
      </c>
      <c r="P62" s="1"/>
      <c r="Q62" s="1"/>
      <c r="R62" s="1"/>
      <c r="S62" s="1"/>
      <c r="T62" s="1"/>
      <c r="U62" s="24"/>
      <c r="V62" s="24"/>
      <c r="W62" s="1">
        <f t="shared" si="21"/>
        <v>30.6</v>
      </c>
      <c r="X62" s="5"/>
      <c r="Y62" s="5">
        <f>X62</f>
        <v>0</v>
      </c>
      <c r="Z62" s="5">
        <f t="shared" si="27"/>
        <v>0</v>
      </c>
      <c r="AA62" s="5"/>
      <c r="AB62" s="5"/>
      <c r="AC62" s="5"/>
      <c r="AD62" s="1">
        <f t="shared" si="22"/>
        <v>12.941176470588236</v>
      </c>
      <c r="AE62" s="1">
        <f t="shared" si="23"/>
        <v>12.941176470588236</v>
      </c>
      <c r="AF62" s="1">
        <v>35.200000000000003</v>
      </c>
      <c r="AG62" s="1">
        <v>43.8</v>
      </c>
      <c r="AH62" s="1">
        <v>41.8</v>
      </c>
      <c r="AI62" s="1">
        <v>40.6</v>
      </c>
      <c r="AJ62" s="1">
        <v>37.6</v>
      </c>
      <c r="AK62" s="1">
        <v>34</v>
      </c>
      <c r="AL62" s="1">
        <v>46</v>
      </c>
      <c r="AM62" s="1">
        <v>42.2</v>
      </c>
      <c r="AN62" s="1">
        <v>26</v>
      </c>
      <c r="AO62" s="1">
        <v>19</v>
      </c>
      <c r="AP62" s="1"/>
      <c r="AQ62" s="1">
        <f t="shared" si="24"/>
        <v>0</v>
      </c>
      <c r="AR62" s="1">
        <f t="shared" si="25"/>
        <v>0</v>
      </c>
      <c r="AS62" t="s">
        <v>162</v>
      </c>
    </row>
    <row r="63" spans="1:48" x14ac:dyDescent="0.25">
      <c r="A63" s="1" t="s">
        <v>163</v>
      </c>
      <c r="B63" s="1" t="s">
        <v>50</v>
      </c>
      <c r="C63" s="1">
        <v>106</v>
      </c>
      <c r="D63" s="1">
        <v>721</v>
      </c>
      <c r="E63" s="1">
        <v>330</v>
      </c>
      <c r="F63" s="1">
        <v>452</v>
      </c>
      <c r="G63" s="7">
        <v>0.4</v>
      </c>
      <c r="H63" s="1">
        <v>50</v>
      </c>
      <c r="I63" s="1" t="s">
        <v>43</v>
      </c>
      <c r="J63" s="1"/>
      <c r="K63" s="1">
        <v>330</v>
      </c>
      <c r="L63" s="1">
        <f t="shared" si="20"/>
        <v>0</v>
      </c>
      <c r="M63" s="1"/>
      <c r="N63" s="1"/>
      <c r="O63" s="1">
        <v>123.0649999999999</v>
      </c>
      <c r="P63" s="1"/>
      <c r="Q63" s="1"/>
      <c r="R63" s="1"/>
      <c r="S63" s="1"/>
      <c r="T63" s="1"/>
      <c r="U63" s="24"/>
      <c r="V63" s="24"/>
      <c r="W63" s="1">
        <f t="shared" si="21"/>
        <v>66</v>
      </c>
      <c r="X63" s="5">
        <f>12*W63-S63-O63-F63</f>
        <v>216.93500000000006</v>
      </c>
      <c r="Y63" s="5">
        <f>X63</f>
        <v>216.93500000000006</v>
      </c>
      <c r="Z63" s="5">
        <f t="shared" si="27"/>
        <v>83.519975000000017</v>
      </c>
      <c r="AA63" s="5"/>
      <c r="AB63" s="5"/>
      <c r="AC63" s="5">
        <f>Y63*$AC$1</f>
        <v>133.41502500000004</v>
      </c>
      <c r="AD63" s="1">
        <f t="shared" si="22"/>
        <v>12</v>
      </c>
      <c r="AE63" s="1">
        <f t="shared" si="23"/>
        <v>8.7131060606060604</v>
      </c>
      <c r="AF63" s="1">
        <v>65</v>
      </c>
      <c r="AG63" s="1">
        <v>69</v>
      </c>
      <c r="AH63" s="1">
        <v>59.8</v>
      </c>
      <c r="AI63" s="1">
        <v>59.4</v>
      </c>
      <c r="AJ63" s="1">
        <v>52.2</v>
      </c>
      <c r="AK63" s="1">
        <v>41</v>
      </c>
      <c r="AL63" s="1">
        <v>60.6</v>
      </c>
      <c r="AM63" s="1">
        <v>49.4</v>
      </c>
      <c r="AN63" s="1">
        <v>42.6</v>
      </c>
      <c r="AO63" s="1">
        <v>47.8</v>
      </c>
      <c r="AP63" s="1"/>
      <c r="AQ63" s="1">
        <f t="shared" si="24"/>
        <v>33</v>
      </c>
      <c r="AR63" s="1">
        <f t="shared" si="25"/>
        <v>53</v>
      </c>
      <c r="AS63" t="s">
        <v>164</v>
      </c>
    </row>
    <row r="64" spans="1:48" x14ac:dyDescent="0.25">
      <c r="A64" s="1" t="s">
        <v>165</v>
      </c>
      <c r="B64" s="1" t="s">
        <v>42</v>
      </c>
      <c r="C64" s="1">
        <v>5.0510000000000002</v>
      </c>
      <c r="D64" s="1">
        <v>454.65300000000002</v>
      </c>
      <c r="E64" s="1">
        <v>454.45800000000003</v>
      </c>
      <c r="F64" s="1">
        <v>4.5119999999999996</v>
      </c>
      <c r="G64" s="7">
        <v>1</v>
      </c>
      <c r="H64" s="1">
        <v>40</v>
      </c>
      <c r="I64" s="1" t="s">
        <v>43</v>
      </c>
      <c r="J64" s="1"/>
      <c r="K64" s="1">
        <v>487.05</v>
      </c>
      <c r="L64" s="1">
        <f t="shared" si="20"/>
        <v>-32.591999999999985</v>
      </c>
      <c r="M64" s="1"/>
      <c r="N64" s="1"/>
      <c r="O64" s="1">
        <v>421.99781100000013</v>
      </c>
      <c r="P64" s="1"/>
      <c r="Q64" s="24"/>
      <c r="R64" s="24"/>
      <c r="S64" s="1"/>
      <c r="T64" s="1"/>
      <c r="U64" s="24"/>
      <c r="V64" s="24"/>
      <c r="W64" s="1">
        <f t="shared" si="21"/>
        <v>90.891600000000011</v>
      </c>
      <c r="X64" s="5">
        <f>12*W64-S64-O64-F64</f>
        <v>664.18938899999989</v>
      </c>
      <c r="Y64" s="5">
        <f>X64+$Y$1*W64</f>
        <v>805.98028499999987</v>
      </c>
      <c r="Z64" s="5">
        <f t="shared" si="27"/>
        <v>310.30240972499996</v>
      </c>
      <c r="AA64" s="5"/>
      <c r="AB64" s="5"/>
      <c r="AC64" s="5">
        <f>Y64*$AC$1</f>
        <v>495.67787527499991</v>
      </c>
      <c r="AD64" s="1">
        <f t="shared" si="22"/>
        <v>13.559999999999999</v>
      </c>
      <c r="AE64" s="1">
        <f t="shared" si="23"/>
        <v>4.6925107600702383</v>
      </c>
      <c r="AF64" s="1">
        <v>87.63300000000001</v>
      </c>
      <c r="AG64" s="1">
        <v>25.435600000000001</v>
      </c>
      <c r="AH64" s="1">
        <v>28.949200000000001</v>
      </c>
      <c r="AI64" s="1">
        <v>19.037400000000002</v>
      </c>
      <c r="AJ64" s="1">
        <v>20.474399999999999</v>
      </c>
      <c r="AK64" s="1">
        <v>10.922000000000001</v>
      </c>
      <c r="AL64" s="1">
        <v>10.8414</v>
      </c>
      <c r="AM64" s="1">
        <v>9.9244000000000003</v>
      </c>
      <c r="AN64" s="1">
        <v>8.3956</v>
      </c>
      <c r="AO64" s="1">
        <v>9.6593999999999998</v>
      </c>
      <c r="AP64" s="1" t="s">
        <v>166</v>
      </c>
      <c r="AQ64" s="1">
        <f t="shared" si="24"/>
        <v>310</v>
      </c>
      <c r="AR64" s="1">
        <f t="shared" si="25"/>
        <v>496</v>
      </c>
      <c r="AS64" t="s">
        <v>167</v>
      </c>
      <c r="AU64">
        <f>Q64*G64</f>
        <v>0</v>
      </c>
    </row>
    <row r="65" spans="1:45" x14ac:dyDescent="0.25">
      <c r="A65" s="1" t="s">
        <v>168</v>
      </c>
      <c r="B65" s="1" t="s">
        <v>42</v>
      </c>
      <c r="C65" s="1">
        <v>3.875</v>
      </c>
      <c r="D65" s="1">
        <v>539.59299999999996</v>
      </c>
      <c r="E65" s="1">
        <v>425.27600000000001</v>
      </c>
      <c r="F65" s="1">
        <v>83.5</v>
      </c>
      <c r="G65" s="7">
        <v>1</v>
      </c>
      <c r="H65" s="1">
        <v>40</v>
      </c>
      <c r="I65" s="1" t="s">
        <v>43</v>
      </c>
      <c r="J65" s="1"/>
      <c r="K65" s="1">
        <v>424.9</v>
      </c>
      <c r="L65" s="1">
        <f t="shared" si="20"/>
        <v>0.3760000000000332</v>
      </c>
      <c r="M65" s="1"/>
      <c r="N65" s="1"/>
      <c r="O65" s="1">
        <v>269.88791959999998</v>
      </c>
      <c r="P65" s="1"/>
      <c r="Q65" s="1"/>
      <c r="R65" s="1"/>
      <c r="S65" s="1"/>
      <c r="T65" s="1"/>
      <c r="U65" s="24"/>
      <c r="V65" s="24"/>
      <c r="W65" s="1">
        <f t="shared" si="21"/>
        <v>85.055199999999999</v>
      </c>
      <c r="X65" s="5">
        <f>10*W65-S65-O65-F65</f>
        <v>497.1640804000001</v>
      </c>
      <c r="Y65" s="5">
        <f>X65+$Y$1*W65</f>
        <v>629.85019240000008</v>
      </c>
      <c r="Z65" s="5">
        <f t="shared" si="27"/>
        <v>242.49232407400001</v>
      </c>
      <c r="AA65" s="5"/>
      <c r="AB65" s="5"/>
      <c r="AC65" s="5">
        <f>Y65*$AC$1</f>
        <v>387.35786832600007</v>
      </c>
      <c r="AD65" s="1">
        <f t="shared" si="22"/>
        <v>11.56</v>
      </c>
      <c r="AE65" s="1">
        <f t="shared" si="23"/>
        <v>4.1548067560831079</v>
      </c>
      <c r="AF65" s="1">
        <v>46.878799999999998</v>
      </c>
      <c r="AG65" s="1">
        <v>23.079000000000001</v>
      </c>
      <c r="AH65" s="1">
        <v>22.816600000000001</v>
      </c>
      <c r="AI65" s="1">
        <v>0</v>
      </c>
      <c r="AJ65" s="1">
        <v>0</v>
      </c>
      <c r="AK65" s="1">
        <v>0.27239999999999998</v>
      </c>
      <c r="AL65" s="1">
        <v>0.27239999999999998</v>
      </c>
      <c r="AM65" s="1">
        <v>0</v>
      </c>
      <c r="AN65" s="1">
        <v>0</v>
      </c>
      <c r="AO65" s="1">
        <v>0</v>
      </c>
      <c r="AP65" s="1" t="s">
        <v>166</v>
      </c>
      <c r="AQ65" s="1">
        <f t="shared" si="24"/>
        <v>242</v>
      </c>
      <c r="AR65" s="1">
        <f t="shared" si="25"/>
        <v>387</v>
      </c>
      <c r="AS65" t="s">
        <v>169</v>
      </c>
    </row>
    <row r="66" spans="1:45" x14ac:dyDescent="0.25">
      <c r="A66" s="1" t="s">
        <v>170</v>
      </c>
      <c r="B66" s="1" t="s">
        <v>50</v>
      </c>
      <c r="C66" s="1">
        <v>821</v>
      </c>
      <c r="D66" s="1">
        <v>1382</v>
      </c>
      <c r="E66" s="1">
        <v>1561</v>
      </c>
      <c r="F66" s="1">
        <v>521</v>
      </c>
      <c r="G66" s="7">
        <v>0.4</v>
      </c>
      <c r="H66" s="1">
        <v>40</v>
      </c>
      <c r="I66" s="1" t="s">
        <v>43</v>
      </c>
      <c r="J66" s="1"/>
      <c r="K66" s="1">
        <v>1577</v>
      </c>
      <c r="L66" s="1">
        <f t="shared" si="20"/>
        <v>-16</v>
      </c>
      <c r="M66" s="1"/>
      <c r="N66" s="1"/>
      <c r="O66" s="1">
        <v>736.39102600000001</v>
      </c>
      <c r="P66" s="1"/>
      <c r="Q66" s="1"/>
      <c r="R66" s="1"/>
      <c r="S66" s="1">
        <v>804.175974</v>
      </c>
      <c r="T66" s="1"/>
      <c r="U66" s="24"/>
      <c r="V66" s="24"/>
      <c r="W66" s="1">
        <f t="shared" si="21"/>
        <v>312.2</v>
      </c>
      <c r="X66" s="5">
        <f>12*W66-S66-O66-F66</f>
        <v>1684.8329999999996</v>
      </c>
      <c r="Y66" s="5">
        <f>X66+$Y$1*W66</f>
        <v>2171.8649999999998</v>
      </c>
      <c r="Z66" s="5">
        <f t="shared" si="27"/>
        <v>836.16802499999994</v>
      </c>
      <c r="AA66" s="5"/>
      <c r="AB66" s="5"/>
      <c r="AC66" s="5">
        <f>Y66*$AC$1</f>
        <v>1335.6969749999998</v>
      </c>
      <c r="AD66" s="1">
        <f t="shared" si="22"/>
        <v>13.56</v>
      </c>
      <c r="AE66" s="1">
        <f t="shared" si="23"/>
        <v>6.6033536194746958</v>
      </c>
      <c r="AF66" s="1">
        <v>247</v>
      </c>
      <c r="AG66" s="1">
        <v>179.6</v>
      </c>
      <c r="AH66" s="1">
        <v>181.2</v>
      </c>
      <c r="AI66" s="1">
        <v>180.6</v>
      </c>
      <c r="AJ66" s="1">
        <v>186.2</v>
      </c>
      <c r="AK66" s="1">
        <v>159.19999999999999</v>
      </c>
      <c r="AL66" s="1">
        <v>162.80000000000001</v>
      </c>
      <c r="AM66" s="1">
        <v>187.4</v>
      </c>
      <c r="AN66" s="1">
        <v>170.2</v>
      </c>
      <c r="AO66" s="1">
        <v>152.4</v>
      </c>
      <c r="AP66" s="1"/>
      <c r="AQ66" s="1">
        <f t="shared" si="24"/>
        <v>334</v>
      </c>
      <c r="AR66" s="1">
        <f t="shared" si="25"/>
        <v>534</v>
      </c>
      <c r="AS66" t="s">
        <v>171</v>
      </c>
    </row>
    <row r="67" spans="1:45" x14ac:dyDescent="0.25">
      <c r="A67" s="1" t="s">
        <v>172</v>
      </c>
      <c r="B67" s="1" t="s">
        <v>50</v>
      </c>
      <c r="C67" s="1">
        <v>121</v>
      </c>
      <c r="D67" s="1">
        <v>608</v>
      </c>
      <c r="E67" s="1">
        <v>621</v>
      </c>
      <c r="F67" s="1">
        <v>39</v>
      </c>
      <c r="G67" s="7">
        <v>0.4</v>
      </c>
      <c r="H67" s="1">
        <v>40</v>
      </c>
      <c r="I67" s="13" t="s">
        <v>87</v>
      </c>
      <c r="J67" s="1"/>
      <c r="K67" s="1">
        <v>841</v>
      </c>
      <c r="L67" s="1">
        <f t="shared" si="20"/>
        <v>-220</v>
      </c>
      <c r="M67" s="1"/>
      <c r="N67" s="1"/>
      <c r="O67" s="1">
        <v>370</v>
      </c>
      <c r="P67" s="1">
        <v>-372</v>
      </c>
      <c r="Q67" s="1"/>
      <c r="R67" s="1"/>
      <c r="S67" s="1"/>
      <c r="T67" s="1"/>
      <c r="U67" s="24"/>
      <c r="V67" s="24"/>
      <c r="W67" s="1">
        <f t="shared" si="21"/>
        <v>124.2</v>
      </c>
      <c r="X67" s="5">
        <v>300</v>
      </c>
      <c r="Y67" s="5">
        <f>X67</f>
        <v>300</v>
      </c>
      <c r="Z67" s="5">
        <f>X67</f>
        <v>300</v>
      </c>
      <c r="AA67" s="5"/>
      <c r="AB67" s="5"/>
      <c r="AC67" s="5">
        <f>X67*0.5</f>
        <v>150</v>
      </c>
      <c r="AD67" s="1">
        <f t="shared" si="22"/>
        <v>6.9162640901771333</v>
      </c>
      <c r="AE67" s="1">
        <f t="shared" si="23"/>
        <v>3.2930756843800322</v>
      </c>
      <c r="AF67" s="1">
        <v>129.6</v>
      </c>
      <c r="AG67" s="1">
        <v>96.4</v>
      </c>
      <c r="AH67" s="1">
        <v>59.8</v>
      </c>
      <c r="AI67" s="1">
        <v>2.2000000000000002</v>
      </c>
      <c r="AJ67" s="1">
        <v>1</v>
      </c>
      <c r="AK67" s="1">
        <v>50.2</v>
      </c>
      <c r="AL67" s="1">
        <v>102</v>
      </c>
      <c r="AM67" s="1">
        <v>140.80000000000001</v>
      </c>
      <c r="AN67" s="1">
        <v>123.2</v>
      </c>
      <c r="AO67" s="1">
        <v>116.8</v>
      </c>
      <c r="AP67" s="1"/>
      <c r="AQ67" s="1">
        <f t="shared" si="24"/>
        <v>120</v>
      </c>
      <c r="AR67" s="1">
        <f t="shared" si="25"/>
        <v>60</v>
      </c>
      <c r="AS67" t="s">
        <v>173</v>
      </c>
    </row>
    <row r="68" spans="1:45" x14ac:dyDescent="0.25">
      <c r="A68" s="1" t="s">
        <v>174</v>
      </c>
      <c r="B68" s="1" t="s">
        <v>42</v>
      </c>
      <c r="C68" s="1">
        <v>207.482</v>
      </c>
      <c r="D68" s="1">
        <v>458.67200000000003</v>
      </c>
      <c r="E68" s="1">
        <v>329.67500000000001</v>
      </c>
      <c r="F68" s="1">
        <v>279.30399999999997</v>
      </c>
      <c r="G68" s="7">
        <v>1</v>
      </c>
      <c r="H68" s="1">
        <v>40</v>
      </c>
      <c r="I68" s="13" t="s">
        <v>87</v>
      </c>
      <c r="J68" s="1"/>
      <c r="K68" s="1">
        <v>325.14999999999998</v>
      </c>
      <c r="L68" s="1">
        <f t="shared" si="20"/>
        <v>4.5250000000000341</v>
      </c>
      <c r="M68" s="1"/>
      <c r="N68" s="1"/>
      <c r="O68" s="1">
        <v>343.47967600000021</v>
      </c>
      <c r="P68" s="1">
        <v>-345.6</v>
      </c>
      <c r="Q68" s="1"/>
      <c r="R68" s="1"/>
      <c r="S68" s="1"/>
      <c r="T68" s="1"/>
      <c r="U68" s="24"/>
      <c r="V68" s="24"/>
      <c r="W68" s="1">
        <f t="shared" si="21"/>
        <v>65.935000000000002</v>
      </c>
      <c r="X68" s="5">
        <f>12*W68-S68-O68-F68</f>
        <v>168.43632399999984</v>
      </c>
      <c r="Y68" s="5">
        <f>X68</f>
        <v>168.43632399999984</v>
      </c>
      <c r="Z68" s="5">
        <f>X68</f>
        <v>168.43632399999984</v>
      </c>
      <c r="AA68" s="5">
        <v>-172.8</v>
      </c>
      <c r="AB68" s="5"/>
      <c r="AC68" s="5">
        <f>X68*0.5</f>
        <v>84.218161999999921</v>
      </c>
      <c r="AD68" s="1">
        <f t="shared" si="22"/>
        <v>13.277290695381813</v>
      </c>
      <c r="AE68" s="1">
        <f t="shared" si="23"/>
        <v>9.4454186092363717</v>
      </c>
      <c r="AF68" s="1">
        <v>67.238399999999999</v>
      </c>
      <c r="AG68" s="1">
        <v>56.559399999999997</v>
      </c>
      <c r="AH68" s="1">
        <v>55.1158</v>
      </c>
      <c r="AI68" s="1">
        <v>57.833799999999997</v>
      </c>
      <c r="AJ68" s="1">
        <v>55.1432</v>
      </c>
      <c r="AK68" s="1">
        <v>54.483400000000003</v>
      </c>
      <c r="AL68" s="1">
        <v>59.456200000000003</v>
      </c>
      <c r="AM68" s="1">
        <v>60.828000000000003</v>
      </c>
      <c r="AN68" s="1">
        <v>57.925600000000003</v>
      </c>
      <c r="AO68" s="1">
        <v>62.245600000000003</v>
      </c>
      <c r="AP68" s="1"/>
      <c r="AQ68" s="1">
        <f t="shared" si="24"/>
        <v>168</v>
      </c>
      <c r="AR68" s="1">
        <f t="shared" si="25"/>
        <v>84</v>
      </c>
      <c r="AS68" t="s">
        <v>175</v>
      </c>
    </row>
    <row r="69" spans="1:45" x14ac:dyDescent="0.25">
      <c r="A69" s="1" t="s">
        <v>176</v>
      </c>
      <c r="B69" s="1" t="s">
        <v>42</v>
      </c>
      <c r="C69" s="1">
        <v>487.61799999999999</v>
      </c>
      <c r="D69" s="1">
        <v>266.07499999999999</v>
      </c>
      <c r="E69" s="1">
        <v>372.94099999999997</v>
      </c>
      <c r="F69" s="1">
        <v>321.86399999999998</v>
      </c>
      <c r="G69" s="7">
        <v>1</v>
      </c>
      <c r="H69" s="1">
        <v>40</v>
      </c>
      <c r="I69" s="13" t="s">
        <v>87</v>
      </c>
      <c r="J69" s="1"/>
      <c r="K69" s="1">
        <v>427.35</v>
      </c>
      <c r="L69" s="1">
        <f t="shared" si="20"/>
        <v>-54.409000000000049</v>
      </c>
      <c r="M69" s="1"/>
      <c r="N69" s="1"/>
      <c r="O69" s="1">
        <v>262.89999999999998</v>
      </c>
      <c r="P69" s="1">
        <v>-264.60000000000002</v>
      </c>
      <c r="Q69" s="1"/>
      <c r="R69" s="1"/>
      <c r="S69" s="1">
        <v>287.10000000000002</v>
      </c>
      <c r="T69" s="1">
        <v>-287</v>
      </c>
      <c r="U69" s="24"/>
      <c r="V69" s="24"/>
      <c r="W69" s="1">
        <f t="shared" si="21"/>
        <v>74.588200000000001</v>
      </c>
      <c r="X69" s="5">
        <v>50</v>
      </c>
      <c r="Y69" s="5">
        <f>X69</f>
        <v>50</v>
      </c>
      <c r="Z69" s="5">
        <f>X69</f>
        <v>50</v>
      </c>
      <c r="AA69" s="5">
        <v>-54</v>
      </c>
      <c r="AB69" s="5"/>
      <c r="AC69" s="5">
        <f>X69*0.5</f>
        <v>25</v>
      </c>
      <c r="AD69" s="1">
        <f t="shared" si="22"/>
        <v>12.69455490278623</v>
      </c>
      <c r="AE69" s="1">
        <f t="shared" si="23"/>
        <v>11.689033922255797</v>
      </c>
      <c r="AF69" s="1">
        <v>88.295199999999994</v>
      </c>
      <c r="AG69" s="1">
        <v>74.920600000000007</v>
      </c>
      <c r="AH69" s="1">
        <v>70.786599999999993</v>
      </c>
      <c r="AI69" s="1">
        <v>88.879800000000003</v>
      </c>
      <c r="AJ69" s="1">
        <v>87.743600000000001</v>
      </c>
      <c r="AK69" s="1">
        <v>69.691200000000009</v>
      </c>
      <c r="AL69" s="1">
        <v>74.162400000000005</v>
      </c>
      <c r="AM69" s="1">
        <v>74.625</v>
      </c>
      <c r="AN69" s="1">
        <v>66.962000000000003</v>
      </c>
      <c r="AO69" s="1">
        <v>73.197400000000002</v>
      </c>
      <c r="AP69" s="1"/>
      <c r="AQ69" s="1">
        <f t="shared" si="24"/>
        <v>50</v>
      </c>
      <c r="AR69" s="1">
        <f t="shared" si="25"/>
        <v>25</v>
      </c>
      <c r="AS69" t="s">
        <v>177</v>
      </c>
    </row>
    <row r="70" spans="1:45" x14ac:dyDescent="0.25">
      <c r="A70" s="1" t="s">
        <v>178</v>
      </c>
      <c r="B70" s="1" t="s">
        <v>42</v>
      </c>
      <c r="C70" s="1">
        <v>1156.202</v>
      </c>
      <c r="D70" s="1">
        <v>432.32600000000002</v>
      </c>
      <c r="E70" s="1">
        <v>888.17700000000002</v>
      </c>
      <c r="F70" s="1">
        <v>590.58699999999999</v>
      </c>
      <c r="G70" s="7">
        <v>1</v>
      </c>
      <c r="H70" s="1">
        <v>40</v>
      </c>
      <c r="I70" s="1" t="s">
        <v>43</v>
      </c>
      <c r="J70" s="1"/>
      <c r="K70" s="1">
        <v>869.75</v>
      </c>
      <c r="L70" s="1">
        <f t="shared" ref="L70:L101" si="28">E70-K70</f>
        <v>18.427000000000021</v>
      </c>
      <c r="M70" s="1"/>
      <c r="N70" s="1"/>
      <c r="O70" s="1">
        <v>527.88017263680001</v>
      </c>
      <c r="P70" s="1">
        <v>-529.20000000000005</v>
      </c>
      <c r="Q70" s="1"/>
      <c r="R70" s="1"/>
      <c r="S70" s="1">
        <v>576.47165296319997</v>
      </c>
      <c r="T70" s="1">
        <v>-576</v>
      </c>
      <c r="U70" s="24"/>
      <c r="V70" s="24"/>
      <c r="W70" s="1">
        <f t="shared" ref="W70:W101" si="29">E70/5</f>
        <v>177.6354</v>
      </c>
      <c r="X70" s="5">
        <f>12*W70-S70-O70-F70</f>
        <v>436.68597439999985</v>
      </c>
      <c r="Y70" s="5">
        <f>X70+$Y$1*W70</f>
        <v>713.79719839999984</v>
      </c>
      <c r="Z70" s="5">
        <f t="shared" ref="Z70:Z82" si="30">Y70-AC70</f>
        <v>274.81192138399996</v>
      </c>
      <c r="AA70" s="5">
        <v>-275.39999999999998</v>
      </c>
      <c r="AB70" s="5"/>
      <c r="AC70" s="5">
        <f>Y70*$AC$1</f>
        <v>438.98527701599988</v>
      </c>
      <c r="AD70" s="1">
        <f t="shared" ref="AD70:AD101" si="31">(F70+O70+S70+Z70+AC70)/W70</f>
        <v>13.56</v>
      </c>
      <c r="AE70" s="1">
        <f t="shared" ref="AE70:AE101" si="32">(F70+O70+S70)/W70</f>
        <v>9.5416725810283314</v>
      </c>
      <c r="AF70" s="1">
        <v>179.7578</v>
      </c>
      <c r="AG70" s="1">
        <v>145.75380000000001</v>
      </c>
      <c r="AH70" s="1">
        <v>144.0752</v>
      </c>
      <c r="AI70" s="1">
        <v>137.29580000000001</v>
      </c>
      <c r="AJ70" s="1">
        <v>137.2748</v>
      </c>
      <c r="AK70" s="1">
        <v>175.5292</v>
      </c>
      <c r="AL70" s="1">
        <v>172.87260000000001</v>
      </c>
      <c r="AM70" s="1">
        <v>159.3614</v>
      </c>
      <c r="AN70" s="1">
        <v>169.21940000000001</v>
      </c>
      <c r="AO70" s="1">
        <v>161.20079999999999</v>
      </c>
      <c r="AP70" s="1"/>
      <c r="AQ70" s="1">
        <f t="shared" ref="AQ70:AQ101" si="33">ROUND(G70*Z70,0)</f>
        <v>275</v>
      </c>
      <c r="AR70" s="1">
        <f t="shared" ref="AR70:AR101" si="34">ROUND(G70*AC70,0)</f>
        <v>439</v>
      </c>
      <c r="AS70" t="s">
        <v>179</v>
      </c>
    </row>
    <row r="71" spans="1:45" x14ac:dyDescent="0.25">
      <c r="A71" s="1" t="s">
        <v>180</v>
      </c>
      <c r="B71" s="1" t="s">
        <v>42</v>
      </c>
      <c r="C71" s="1">
        <v>156.91399999999999</v>
      </c>
      <c r="D71" s="1">
        <v>407.161</v>
      </c>
      <c r="E71" s="1">
        <v>269.86399999999998</v>
      </c>
      <c r="F71" s="1">
        <v>237.10499999999999</v>
      </c>
      <c r="G71" s="7">
        <v>1</v>
      </c>
      <c r="H71" s="1">
        <v>40</v>
      </c>
      <c r="I71" s="1" t="s">
        <v>43</v>
      </c>
      <c r="J71" s="1"/>
      <c r="K71" s="1">
        <v>298.10000000000002</v>
      </c>
      <c r="L71" s="1">
        <f t="shared" si="28"/>
        <v>-28.236000000000047</v>
      </c>
      <c r="M71" s="1"/>
      <c r="N71" s="1"/>
      <c r="O71" s="1">
        <v>259.28746100000018</v>
      </c>
      <c r="P71" s="1"/>
      <c r="Q71" s="1"/>
      <c r="R71" s="1"/>
      <c r="S71" s="1"/>
      <c r="T71" s="1"/>
      <c r="U71" s="24"/>
      <c r="V71" s="24"/>
      <c r="W71" s="1">
        <f t="shared" si="29"/>
        <v>53.972799999999992</v>
      </c>
      <c r="X71" s="5">
        <f>12*W71-S71-O71-F71</f>
        <v>151.28113899999968</v>
      </c>
      <c r="Y71" s="5">
        <f t="shared" ref="Y71:Y78" si="35">X71</f>
        <v>151.28113899999968</v>
      </c>
      <c r="Z71" s="5">
        <f t="shared" si="30"/>
        <v>151.28113899999968</v>
      </c>
      <c r="AA71" s="5">
        <v>-151.19999999999999</v>
      </c>
      <c r="AB71" s="5"/>
      <c r="AC71" s="5"/>
      <c r="AD71" s="1">
        <f t="shared" si="31"/>
        <v>11.999999999999998</v>
      </c>
      <c r="AE71" s="1">
        <f t="shared" si="32"/>
        <v>9.1970855875552164</v>
      </c>
      <c r="AF71" s="1">
        <v>54.696000000000012</v>
      </c>
      <c r="AG71" s="1">
        <v>44.735399999999998</v>
      </c>
      <c r="AH71" s="1">
        <v>40.375599999999999</v>
      </c>
      <c r="AI71" s="1">
        <v>45.681600000000003</v>
      </c>
      <c r="AJ71" s="1">
        <v>44.385399999999997</v>
      </c>
      <c r="AK71" s="1">
        <v>47.916400000000003</v>
      </c>
      <c r="AL71" s="1">
        <v>52.795399999999987</v>
      </c>
      <c r="AM71" s="1">
        <v>48.722799999999999</v>
      </c>
      <c r="AN71" s="1">
        <v>50.617800000000003</v>
      </c>
      <c r="AO71" s="1">
        <v>59.919400000000003</v>
      </c>
      <c r="AP71" s="1"/>
      <c r="AQ71" s="1">
        <f t="shared" si="33"/>
        <v>151</v>
      </c>
      <c r="AR71" s="1">
        <f t="shared" si="34"/>
        <v>0</v>
      </c>
      <c r="AS71" t="s">
        <v>181</v>
      </c>
    </row>
    <row r="72" spans="1:45" x14ac:dyDescent="0.25">
      <c r="A72" s="1" t="s">
        <v>182</v>
      </c>
      <c r="B72" s="1" t="s">
        <v>50</v>
      </c>
      <c r="C72" s="1">
        <v>8</v>
      </c>
      <c r="D72" s="1">
        <v>32</v>
      </c>
      <c r="E72" s="1">
        <v>6</v>
      </c>
      <c r="F72" s="1">
        <v>34</v>
      </c>
      <c r="G72" s="7">
        <v>0.6</v>
      </c>
      <c r="H72" s="1">
        <v>70</v>
      </c>
      <c r="I72" s="1" t="s">
        <v>43</v>
      </c>
      <c r="J72" s="1"/>
      <c r="K72" s="1">
        <v>7</v>
      </c>
      <c r="L72" s="1">
        <f t="shared" si="28"/>
        <v>-1</v>
      </c>
      <c r="M72" s="1"/>
      <c r="N72" s="1"/>
      <c r="O72" s="1">
        <v>0</v>
      </c>
      <c r="P72" s="1"/>
      <c r="Q72" s="1"/>
      <c r="R72" s="1"/>
      <c r="S72" s="1"/>
      <c r="T72" s="1"/>
      <c r="U72" s="24"/>
      <c r="V72" s="24"/>
      <c r="W72" s="1">
        <f t="shared" si="29"/>
        <v>1.2</v>
      </c>
      <c r="X72" s="5"/>
      <c r="Y72" s="5">
        <f t="shared" si="35"/>
        <v>0</v>
      </c>
      <c r="Z72" s="5">
        <f t="shared" si="30"/>
        <v>0</v>
      </c>
      <c r="AA72" s="5"/>
      <c r="AB72" s="5"/>
      <c r="AC72" s="5"/>
      <c r="AD72" s="1">
        <f t="shared" si="31"/>
        <v>28.333333333333336</v>
      </c>
      <c r="AE72" s="1">
        <f t="shared" si="32"/>
        <v>28.333333333333336</v>
      </c>
      <c r="AF72" s="1">
        <v>1.2</v>
      </c>
      <c r="AG72" s="1">
        <v>2</v>
      </c>
      <c r="AH72" s="1">
        <v>2</v>
      </c>
      <c r="AI72" s="1">
        <v>1.2</v>
      </c>
      <c r="AJ72" s="1">
        <v>0.4</v>
      </c>
      <c r="AK72" s="1">
        <v>1.2</v>
      </c>
      <c r="AL72" s="1">
        <v>2</v>
      </c>
      <c r="AM72" s="1">
        <v>2</v>
      </c>
      <c r="AN72" s="1">
        <v>0.8</v>
      </c>
      <c r="AO72" s="1">
        <v>0.8</v>
      </c>
      <c r="AP72" s="14" t="s">
        <v>183</v>
      </c>
      <c r="AQ72" s="1">
        <f t="shared" si="33"/>
        <v>0</v>
      </c>
      <c r="AR72" s="1">
        <f t="shared" si="34"/>
        <v>0</v>
      </c>
      <c r="AS72" t="s">
        <v>184</v>
      </c>
    </row>
    <row r="73" spans="1:45" x14ac:dyDescent="0.25">
      <c r="A73" s="1" t="s">
        <v>185</v>
      </c>
      <c r="B73" s="1" t="s">
        <v>42</v>
      </c>
      <c r="C73" s="1">
        <v>567.19799999999998</v>
      </c>
      <c r="D73" s="1">
        <v>42.264000000000003</v>
      </c>
      <c r="E73" s="1">
        <v>315.447</v>
      </c>
      <c r="F73" s="1">
        <v>221.898</v>
      </c>
      <c r="G73" s="7">
        <v>1</v>
      </c>
      <c r="H73" s="1">
        <v>30</v>
      </c>
      <c r="I73" s="1" t="s">
        <v>43</v>
      </c>
      <c r="J73" s="1"/>
      <c r="K73" s="1">
        <v>352.1</v>
      </c>
      <c r="L73" s="1">
        <f t="shared" si="28"/>
        <v>-36.65300000000002</v>
      </c>
      <c r="M73" s="1"/>
      <c r="N73" s="1"/>
      <c r="O73" s="1">
        <v>355.80216619999999</v>
      </c>
      <c r="P73" s="1"/>
      <c r="Q73" s="1"/>
      <c r="R73" s="1"/>
      <c r="S73" s="1"/>
      <c r="T73" s="1"/>
      <c r="U73" s="24"/>
      <c r="V73" s="24"/>
      <c r="W73" s="1">
        <f t="shared" si="29"/>
        <v>63.089399999999998</v>
      </c>
      <c r="X73" s="5">
        <f t="shared" ref="X73:X80" si="36">12*W73-S73-O73-F73</f>
        <v>179.37263379999993</v>
      </c>
      <c r="Y73" s="5">
        <f t="shared" si="35"/>
        <v>179.37263379999993</v>
      </c>
      <c r="Z73" s="5">
        <f t="shared" si="30"/>
        <v>179.37263379999993</v>
      </c>
      <c r="AA73" s="5"/>
      <c r="AB73" s="5"/>
      <c r="AC73" s="5"/>
      <c r="AD73" s="1">
        <f t="shared" si="31"/>
        <v>11.999999999999998</v>
      </c>
      <c r="AE73" s="1">
        <f t="shared" si="32"/>
        <v>9.1568499018852609</v>
      </c>
      <c r="AF73" s="1">
        <v>62.3386</v>
      </c>
      <c r="AG73" s="1">
        <v>48.734200000000001</v>
      </c>
      <c r="AH73" s="1">
        <v>49.574399999999997</v>
      </c>
      <c r="AI73" s="1">
        <v>57.8048</v>
      </c>
      <c r="AJ73" s="1">
        <v>60.2044</v>
      </c>
      <c r="AK73" s="1">
        <v>77.722000000000008</v>
      </c>
      <c r="AL73" s="1">
        <v>80.553599999999989</v>
      </c>
      <c r="AM73" s="1">
        <v>64.354600000000005</v>
      </c>
      <c r="AN73" s="1">
        <v>60.799799999999998</v>
      </c>
      <c r="AO73" s="1">
        <v>58.539200000000008</v>
      </c>
      <c r="AP73" s="1"/>
      <c r="AQ73" s="1">
        <f t="shared" si="33"/>
        <v>179</v>
      </c>
      <c r="AR73" s="1">
        <f t="shared" si="34"/>
        <v>0</v>
      </c>
      <c r="AS73" t="s">
        <v>186</v>
      </c>
    </row>
    <row r="74" spans="1:45" x14ac:dyDescent="0.25">
      <c r="A74" s="1" t="s">
        <v>187</v>
      </c>
      <c r="B74" s="1" t="s">
        <v>50</v>
      </c>
      <c r="C74" s="1">
        <v>130</v>
      </c>
      <c r="D74" s="1">
        <v>160</v>
      </c>
      <c r="E74" s="1">
        <v>124</v>
      </c>
      <c r="F74" s="1">
        <v>137</v>
      </c>
      <c r="G74" s="7">
        <v>0.6</v>
      </c>
      <c r="H74" s="1">
        <v>60</v>
      </c>
      <c r="I74" s="1" t="s">
        <v>43</v>
      </c>
      <c r="J74" s="1"/>
      <c r="K74" s="1">
        <v>125</v>
      </c>
      <c r="L74" s="1">
        <f t="shared" si="28"/>
        <v>-1</v>
      </c>
      <c r="M74" s="1"/>
      <c r="N74" s="1"/>
      <c r="O74" s="1">
        <v>110.1</v>
      </c>
      <c r="P74" s="1"/>
      <c r="Q74" s="1"/>
      <c r="R74" s="1"/>
      <c r="S74" s="1"/>
      <c r="T74" s="1"/>
      <c r="U74" s="24"/>
      <c r="V74" s="24"/>
      <c r="W74" s="1">
        <f t="shared" si="29"/>
        <v>24.8</v>
      </c>
      <c r="X74" s="5">
        <f t="shared" si="36"/>
        <v>50.500000000000028</v>
      </c>
      <c r="Y74" s="5">
        <f t="shared" si="35"/>
        <v>50.500000000000028</v>
      </c>
      <c r="Z74" s="5">
        <f t="shared" si="30"/>
        <v>50.500000000000028</v>
      </c>
      <c r="AA74" s="5"/>
      <c r="AB74" s="5"/>
      <c r="AC74" s="5"/>
      <c r="AD74" s="1">
        <f t="shared" si="31"/>
        <v>12</v>
      </c>
      <c r="AE74" s="1">
        <f t="shared" si="32"/>
        <v>9.9637096774193541</v>
      </c>
      <c r="AF74" s="1">
        <v>28.2</v>
      </c>
      <c r="AG74" s="1">
        <v>22.8</v>
      </c>
      <c r="AH74" s="1">
        <v>19.2</v>
      </c>
      <c r="AI74" s="1">
        <v>23.4</v>
      </c>
      <c r="AJ74" s="1">
        <v>25.4</v>
      </c>
      <c r="AK74" s="1">
        <v>18.600000000000001</v>
      </c>
      <c r="AL74" s="1">
        <v>32.6</v>
      </c>
      <c r="AM74" s="1">
        <v>24.6</v>
      </c>
      <c r="AN74" s="1">
        <v>15</v>
      </c>
      <c r="AO74" s="1">
        <v>22.8</v>
      </c>
      <c r="AP74" s="1"/>
      <c r="AQ74" s="1">
        <f t="shared" si="33"/>
        <v>30</v>
      </c>
      <c r="AR74" s="1">
        <f t="shared" si="34"/>
        <v>0</v>
      </c>
      <c r="AS74" t="s">
        <v>188</v>
      </c>
    </row>
    <row r="75" spans="1:45" x14ac:dyDescent="0.25">
      <c r="A75" s="1" t="s">
        <v>189</v>
      </c>
      <c r="B75" s="1" t="s">
        <v>50</v>
      </c>
      <c r="C75" s="1">
        <v>27</v>
      </c>
      <c r="D75" s="1">
        <v>48</v>
      </c>
      <c r="E75" s="1">
        <v>34</v>
      </c>
      <c r="F75" s="1">
        <v>37</v>
      </c>
      <c r="G75" s="7">
        <v>0.6</v>
      </c>
      <c r="H75" s="1">
        <v>60</v>
      </c>
      <c r="I75" s="1" t="s">
        <v>43</v>
      </c>
      <c r="J75" s="1"/>
      <c r="K75" s="1">
        <v>34</v>
      </c>
      <c r="L75" s="1">
        <f t="shared" si="28"/>
        <v>0</v>
      </c>
      <c r="M75" s="1"/>
      <c r="N75" s="1"/>
      <c r="O75" s="1">
        <v>30.000000000000011</v>
      </c>
      <c r="P75" s="1"/>
      <c r="Q75" s="1"/>
      <c r="R75" s="1"/>
      <c r="S75" s="1"/>
      <c r="T75" s="1"/>
      <c r="U75" s="24"/>
      <c r="V75" s="24"/>
      <c r="W75" s="1">
        <f t="shared" si="29"/>
        <v>6.8</v>
      </c>
      <c r="X75" s="5">
        <f t="shared" si="36"/>
        <v>14.59999999999998</v>
      </c>
      <c r="Y75" s="5">
        <f t="shared" si="35"/>
        <v>14.59999999999998</v>
      </c>
      <c r="Z75" s="5">
        <f t="shared" si="30"/>
        <v>14.59999999999998</v>
      </c>
      <c r="AA75" s="5"/>
      <c r="AB75" s="5"/>
      <c r="AC75" s="5"/>
      <c r="AD75" s="1">
        <f t="shared" si="31"/>
        <v>12</v>
      </c>
      <c r="AE75" s="1">
        <f t="shared" si="32"/>
        <v>9.8529411764705905</v>
      </c>
      <c r="AF75" s="1">
        <v>7.6</v>
      </c>
      <c r="AG75" s="1">
        <v>5.8</v>
      </c>
      <c r="AH75" s="1">
        <v>4</v>
      </c>
      <c r="AI75" s="1">
        <v>5.4</v>
      </c>
      <c r="AJ75" s="1">
        <v>4.4000000000000004</v>
      </c>
      <c r="AK75" s="1">
        <v>4</v>
      </c>
      <c r="AL75" s="1">
        <v>5.4</v>
      </c>
      <c r="AM75" s="1">
        <v>5.8</v>
      </c>
      <c r="AN75" s="1">
        <v>4.2</v>
      </c>
      <c r="AO75" s="1">
        <v>4.4000000000000004</v>
      </c>
      <c r="AP75" s="1"/>
      <c r="AQ75" s="1">
        <f t="shared" si="33"/>
        <v>9</v>
      </c>
      <c r="AR75" s="1">
        <f t="shared" si="34"/>
        <v>0</v>
      </c>
      <c r="AS75" t="s">
        <v>190</v>
      </c>
    </row>
    <row r="76" spans="1:45" x14ac:dyDescent="0.25">
      <c r="A76" s="1" t="s">
        <v>191</v>
      </c>
      <c r="B76" s="1" t="s">
        <v>50</v>
      </c>
      <c r="C76" s="1">
        <v>85</v>
      </c>
      <c r="D76" s="1">
        <v>200</v>
      </c>
      <c r="E76" s="1">
        <v>103</v>
      </c>
      <c r="F76" s="1">
        <v>172</v>
      </c>
      <c r="G76" s="7">
        <v>0.4</v>
      </c>
      <c r="H76" s="1">
        <v>90</v>
      </c>
      <c r="I76" s="1" t="s">
        <v>43</v>
      </c>
      <c r="J76" s="1"/>
      <c r="K76" s="1">
        <v>105</v>
      </c>
      <c r="L76" s="1">
        <f t="shared" si="28"/>
        <v>-2</v>
      </c>
      <c r="M76" s="1"/>
      <c r="N76" s="1"/>
      <c r="O76" s="1">
        <v>0</v>
      </c>
      <c r="P76" s="1"/>
      <c r="Q76" s="1"/>
      <c r="R76" s="1"/>
      <c r="S76" s="1"/>
      <c r="T76" s="1"/>
      <c r="U76" s="24"/>
      <c r="V76" s="24"/>
      <c r="W76" s="1">
        <f t="shared" si="29"/>
        <v>20.6</v>
      </c>
      <c r="X76" s="5">
        <f t="shared" si="36"/>
        <v>75.200000000000017</v>
      </c>
      <c r="Y76" s="5">
        <f t="shared" si="35"/>
        <v>75.200000000000017</v>
      </c>
      <c r="Z76" s="5">
        <f t="shared" si="30"/>
        <v>75.200000000000017</v>
      </c>
      <c r="AA76" s="5"/>
      <c r="AB76" s="5"/>
      <c r="AC76" s="5"/>
      <c r="AD76" s="1">
        <f t="shared" si="31"/>
        <v>12</v>
      </c>
      <c r="AE76" s="1">
        <f t="shared" si="32"/>
        <v>8.349514563106796</v>
      </c>
      <c r="AF76" s="1">
        <v>17</v>
      </c>
      <c r="AG76" s="1">
        <v>22.8</v>
      </c>
      <c r="AH76" s="1">
        <v>25.2</v>
      </c>
      <c r="AI76" s="1">
        <v>20.6</v>
      </c>
      <c r="AJ76" s="1">
        <v>22.2</v>
      </c>
      <c r="AK76" s="1">
        <v>19.8</v>
      </c>
      <c r="AL76" s="1">
        <v>15.6</v>
      </c>
      <c r="AM76" s="1">
        <v>17.8</v>
      </c>
      <c r="AN76" s="1">
        <v>17.2</v>
      </c>
      <c r="AO76" s="1">
        <v>22.6</v>
      </c>
      <c r="AP76" s="1"/>
      <c r="AQ76" s="1">
        <f t="shared" si="33"/>
        <v>30</v>
      </c>
      <c r="AR76" s="1">
        <f t="shared" si="34"/>
        <v>0</v>
      </c>
      <c r="AS76" t="s">
        <v>192</v>
      </c>
    </row>
    <row r="77" spans="1:45" x14ac:dyDescent="0.25">
      <c r="A77" s="1" t="s">
        <v>193</v>
      </c>
      <c r="B77" s="1" t="s">
        <v>50</v>
      </c>
      <c r="C77" s="1">
        <v>94</v>
      </c>
      <c r="D77" s="1">
        <v>280</v>
      </c>
      <c r="E77" s="1">
        <v>141</v>
      </c>
      <c r="F77" s="1">
        <v>217</v>
      </c>
      <c r="G77" s="7">
        <v>0.33</v>
      </c>
      <c r="H77" s="1">
        <v>60</v>
      </c>
      <c r="I77" s="1" t="s">
        <v>43</v>
      </c>
      <c r="J77" s="1"/>
      <c r="K77" s="1">
        <v>141</v>
      </c>
      <c r="L77" s="1">
        <f t="shared" si="28"/>
        <v>0</v>
      </c>
      <c r="M77" s="1"/>
      <c r="N77" s="1"/>
      <c r="O77" s="1">
        <v>8</v>
      </c>
      <c r="P77" s="1">
        <v>-16</v>
      </c>
      <c r="Q77" s="1"/>
      <c r="R77" s="1"/>
      <c r="S77" s="1"/>
      <c r="T77" s="1"/>
      <c r="U77" s="24"/>
      <c r="V77" s="24"/>
      <c r="W77" s="1">
        <f t="shared" si="29"/>
        <v>28.2</v>
      </c>
      <c r="X77" s="5">
        <f t="shared" si="36"/>
        <v>113.39999999999998</v>
      </c>
      <c r="Y77" s="5">
        <f t="shared" si="35"/>
        <v>113.39999999999998</v>
      </c>
      <c r="Z77" s="5">
        <f t="shared" si="30"/>
        <v>113.39999999999998</v>
      </c>
      <c r="AA77" s="5"/>
      <c r="AB77" s="5"/>
      <c r="AC77" s="5"/>
      <c r="AD77" s="1">
        <f t="shared" si="31"/>
        <v>12</v>
      </c>
      <c r="AE77" s="1">
        <f t="shared" si="32"/>
        <v>7.9787234042553195</v>
      </c>
      <c r="AF77" s="1">
        <v>25.8</v>
      </c>
      <c r="AG77" s="1">
        <v>29.8</v>
      </c>
      <c r="AH77" s="1">
        <v>31.6</v>
      </c>
      <c r="AI77" s="1">
        <v>29</v>
      </c>
      <c r="AJ77" s="1">
        <v>28.6</v>
      </c>
      <c r="AK77" s="1">
        <v>23</v>
      </c>
      <c r="AL77" s="1">
        <v>19.2</v>
      </c>
      <c r="AM77" s="1">
        <v>26</v>
      </c>
      <c r="AN77" s="1">
        <v>23.8</v>
      </c>
      <c r="AO77" s="1">
        <v>24.6</v>
      </c>
      <c r="AP77" s="1"/>
      <c r="AQ77" s="1">
        <f t="shared" si="33"/>
        <v>37</v>
      </c>
      <c r="AR77" s="1">
        <f t="shared" si="34"/>
        <v>0</v>
      </c>
      <c r="AS77" t="s">
        <v>194</v>
      </c>
    </row>
    <row r="78" spans="1:45" x14ac:dyDescent="0.25">
      <c r="A78" s="1" t="s">
        <v>195</v>
      </c>
      <c r="B78" s="1" t="s">
        <v>50</v>
      </c>
      <c r="C78" s="1">
        <v>96</v>
      </c>
      <c r="D78" s="1">
        <v>176</v>
      </c>
      <c r="E78" s="1">
        <v>145</v>
      </c>
      <c r="F78" s="1">
        <v>112</v>
      </c>
      <c r="G78" s="7">
        <v>0.35</v>
      </c>
      <c r="H78" s="1">
        <v>90</v>
      </c>
      <c r="I78" s="1" t="s">
        <v>43</v>
      </c>
      <c r="J78" s="1"/>
      <c r="K78" s="1">
        <v>153</v>
      </c>
      <c r="L78" s="1">
        <f t="shared" si="28"/>
        <v>-8</v>
      </c>
      <c r="M78" s="1"/>
      <c r="N78" s="1"/>
      <c r="O78" s="1">
        <v>42.699999999999989</v>
      </c>
      <c r="P78" s="1"/>
      <c r="Q78" s="1"/>
      <c r="R78" s="1"/>
      <c r="S78" s="1"/>
      <c r="T78" s="1"/>
      <c r="U78" s="24"/>
      <c r="V78" s="24"/>
      <c r="W78" s="1">
        <f t="shared" si="29"/>
        <v>29</v>
      </c>
      <c r="X78" s="5">
        <f t="shared" si="36"/>
        <v>193.3</v>
      </c>
      <c r="Y78" s="5">
        <f t="shared" si="35"/>
        <v>193.3</v>
      </c>
      <c r="Z78" s="5">
        <f t="shared" si="30"/>
        <v>193.3</v>
      </c>
      <c r="AA78" s="5"/>
      <c r="AB78" s="5"/>
      <c r="AC78" s="5"/>
      <c r="AD78" s="1">
        <f t="shared" si="31"/>
        <v>12</v>
      </c>
      <c r="AE78" s="1">
        <f t="shared" si="32"/>
        <v>5.3344827586206893</v>
      </c>
      <c r="AF78" s="1">
        <v>21.4</v>
      </c>
      <c r="AG78" s="1">
        <v>22</v>
      </c>
      <c r="AH78" s="1">
        <v>21.8</v>
      </c>
      <c r="AI78" s="1">
        <v>20</v>
      </c>
      <c r="AJ78" s="1">
        <v>23</v>
      </c>
      <c r="AK78" s="1">
        <v>19</v>
      </c>
      <c r="AL78" s="1">
        <v>19.2</v>
      </c>
      <c r="AM78" s="1">
        <v>20.6</v>
      </c>
      <c r="AN78" s="1">
        <v>15.6</v>
      </c>
      <c r="AO78" s="1">
        <v>13.6</v>
      </c>
      <c r="AP78" s="1"/>
      <c r="AQ78" s="1">
        <f t="shared" si="33"/>
        <v>68</v>
      </c>
      <c r="AR78" s="1">
        <f t="shared" si="34"/>
        <v>0</v>
      </c>
      <c r="AS78" t="s">
        <v>196</v>
      </c>
    </row>
    <row r="79" spans="1:45" x14ac:dyDescent="0.25">
      <c r="A79" s="1" t="s">
        <v>197</v>
      </c>
      <c r="B79" s="1" t="s">
        <v>50</v>
      </c>
      <c r="C79" s="1">
        <v>174</v>
      </c>
      <c r="D79" s="1">
        <v>1170</v>
      </c>
      <c r="E79" s="1">
        <v>524</v>
      </c>
      <c r="F79" s="1">
        <v>767</v>
      </c>
      <c r="G79" s="7">
        <v>0.37</v>
      </c>
      <c r="H79" s="1">
        <v>50</v>
      </c>
      <c r="I79" s="1" t="s">
        <v>43</v>
      </c>
      <c r="J79" s="1"/>
      <c r="K79" s="1">
        <v>525</v>
      </c>
      <c r="L79" s="1">
        <f t="shared" si="28"/>
        <v>-1</v>
      </c>
      <c r="M79" s="1"/>
      <c r="N79" s="1"/>
      <c r="O79" s="1">
        <v>225.9554</v>
      </c>
      <c r="P79" s="1"/>
      <c r="Q79" s="1"/>
      <c r="R79" s="1"/>
      <c r="S79" s="1"/>
      <c r="T79" s="1"/>
      <c r="U79" s="24"/>
      <c r="V79" s="24"/>
      <c r="W79" s="1">
        <f t="shared" si="29"/>
        <v>104.8</v>
      </c>
      <c r="X79" s="5">
        <f t="shared" si="36"/>
        <v>264.64459999999985</v>
      </c>
      <c r="Y79" s="5">
        <f>X79+$Y$1*W79</f>
        <v>428.13259999999985</v>
      </c>
      <c r="Z79" s="5">
        <f t="shared" si="30"/>
        <v>164.83105099999995</v>
      </c>
      <c r="AA79" s="5"/>
      <c r="AB79" s="5"/>
      <c r="AC79" s="5">
        <f>Y79*$AC$1</f>
        <v>263.30154899999991</v>
      </c>
      <c r="AD79" s="1">
        <f t="shared" si="31"/>
        <v>13.559999999999999</v>
      </c>
      <c r="AE79" s="1">
        <f t="shared" si="32"/>
        <v>9.4747652671755738</v>
      </c>
      <c r="AF79" s="1">
        <v>111.2</v>
      </c>
      <c r="AG79" s="1">
        <v>113</v>
      </c>
      <c r="AH79" s="1">
        <v>100</v>
      </c>
      <c r="AI79" s="1">
        <v>88.2</v>
      </c>
      <c r="AJ79" s="1">
        <v>79.2</v>
      </c>
      <c r="AK79" s="1">
        <v>78.2</v>
      </c>
      <c r="AL79" s="1">
        <v>97.8</v>
      </c>
      <c r="AM79" s="1">
        <v>89.2</v>
      </c>
      <c r="AN79" s="1">
        <v>84.6</v>
      </c>
      <c r="AO79" s="1">
        <v>103.8</v>
      </c>
      <c r="AP79" s="1"/>
      <c r="AQ79" s="1">
        <f t="shared" si="33"/>
        <v>61</v>
      </c>
      <c r="AR79" s="1">
        <f t="shared" si="34"/>
        <v>97</v>
      </c>
      <c r="AS79" t="s">
        <v>198</v>
      </c>
    </row>
    <row r="80" spans="1:45" x14ac:dyDescent="0.25">
      <c r="A80" s="1" t="s">
        <v>199</v>
      </c>
      <c r="B80" s="1" t="s">
        <v>50</v>
      </c>
      <c r="C80" s="1">
        <v>92</v>
      </c>
      <c r="D80" s="1">
        <v>160</v>
      </c>
      <c r="E80" s="1">
        <v>127</v>
      </c>
      <c r="F80" s="1">
        <v>88</v>
      </c>
      <c r="G80" s="7">
        <v>0.6</v>
      </c>
      <c r="H80" s="1">
        <v>70</v>
      </c>
      <c r="I80" s="1" t="s">
        <v>43</v>
      </c>
      <c r="J80" s="1"/>
      <c r="K80" s="1">
        <v>139</v>
      </c>
      <c r="L80" s="1">
        <f t="shared" si="28"/>
        <v>-12</v>
      </c>
      <c r="M80" s="1"/>
      <c r="N80" s="1"/>
      <c r="O80" s="1">
        <v>121.6</v>
      </c>
      <c r="P80" s="1"/>
      <c r="Q80" s="1"/>
      <c r="R80" s="1"/>
      <c r="S80" s="1"/>
      <c r="T80" s="1"/>
      <c r="U80" s="24"/>
      <c r="V80" s="24"/>
      <c r="W80" s="1">
        <f t="shared" si="29"/>
        <v>25.4</v>
      </c>
      <c r="X80" s="5">
        <f t="shared" si="36"/>
        <v>95.19999999999996</v>
      </c>
      <c r="Y80" s="5">
        <f t="shared" ref="Y80:Y88" si="37">X80</f>
        <v>95.19999999999996</v>
      </c>
      <c r="Z80" s="5">
        <f t="shared" si="30"/>
        <v>95.19999999999996</v>
      </c>
      <c r="AA80" s="5"/>
      <c r="AB80" s="5"/>
      <c r="AC80" s="5"/>
      <c r="AD80" s="1">
        <f t="shared" si="31"/>
        <v>11.999999999999998</v>
      </c>
      <c r="AE80" s="1">
        <f t="shared" si="32"/>
        <v>8.2519685039370074</v>
      </c>
      <c r="AF80" s="1">
        <v>23.8</v>
      </c>
      <c r="AG80" s="1">
        <v>19.600000000000001</v>
      </c>
      <c r="AH80" s="1">
        <v>22.8</v>
      </c>
      <c r="AI80" s="1">
        <v>16.8</v>
      </c>
      <c r="AJ80" s="1">
        <v>15.2</v>
      </c>
      <c r="AK80" s="1">
        <v>20.8</v>
      </c>
      <c r="AL80" s="1">
        <v>25.2</v>
      </c>
      <c r="AM80" s="1">
        <v>23</v>
      </c>
      <c r="AN80" s="1">
        <v>22.2</v>
      </c>
      <c r="AO80" s="1">
        <v>20</v>
      </c>
      <c r="AP80" s="1"/>
      <c r="AQ80" s="1">
        <f t="shared" si="33"/>
        <v>57</v>
      </c>
      <c r="AR80" s="1">
        <f t="shared" si="34"/>
        <v>0</v>
      </c>
      <c r="AS80" t="s">
        <v>200</v>
      </c>
    </row>
    <row r="81" spans="1:48" x14ac:dyDescent="0.25">
      <c r="A81" s="1" t="s">
        <v>201</v>
      </c>
      <c r="B81" s="1" t="s">
        <v>50</v>
      </c>
      <c r="C81" s="1">
        <v>22</v>
      </c>
      <c r="D81" s="1">
        <v>72</v>
      </c>
      <c r="E81" s="1">
        <v>69</v>
      </c>
      <c r="F81" s="1">
        <v>22</v>
      </c>
      <c r="G81" s="7">
        <v>0.33</v>
      </c>
      <c r="H81" s="1">
        <v>40</v>
      </c>
      <c r="I81" s="1" t="s">
        <v>43</v>
      </c>
      <c r="J81" s="1"/>
      <c r="K81" s="1">
        <v>80</v>
      </c>
      <c r="L81" s="1">
        <f t="shared" si="28"/>
        <v>-11</v>
      </c>
      <c r="M81" s="1"/>
      <c r="N81" s="1"/>
      <c r="O81" s="1">
        <v>8</v>
      </c>
      <c r="P81" s="1"/>
      <c r="Q81" s="1"/>
      <c r="R81" s="1"/>
      <c r="S81" s="1"/>
      <c r="T81" s="1"/>
      <c r="U81" s="24"/>
      <c r="V81" s="24"/>
      <c r="W81" s="1">
        <f t="shared" si="29"/>
        <v>13.8</v>
      </c>
      <c r="X81" s="5">
        <f>9*W81-S81-O81-F81</f>
        <v>94.2</v>
      </c>
      <c r="Y81" s="5">
        <f t="shared" si="37"/>
        <v>94.2</v>
      </c>
      <c r="Z81" s="5">
        <f t="shared" si="30"/>
        <v>94.2</v>
      </c>
      <c r="AA81" s="5"/>
      <c r="AB81" s="5"/>
      <c r="AC81" s="5"/>
      <c r="AD81" s="1">
        <f t="shared" si="31"/>
        <v>9</v>
      </c>
      <c r="AE81" s="1">
        <f t="shared" si="32"/>
        <v>2.1739130434782608</v>
      </c>
      <c r="AF81" s="1">
        <v>6.2</v>
      </c>
      <c r="AG81" s="1">
        <v>5.6</v>
      </c>
      <c r="AH81" s="1">
        <v>8.8000000000000007</v>
      </c>
      <c r="AI81" s="1">
        <v>10.6</v>
      </c>
      <c r="AJ81" s="1">
        <v>10.6</v>
      </c>
      <c r="AK81" s="1">
        <v>10.4</v>
      </c>
      <c r="AL81" s="1">
        <v>9</v>
      </c>
      <c r="AM81" s="1">
        <v>8.6</v>
      </c>
      <c r="AN81" s="1">
        <v>6</v>
      </c>
      <c r="AO81" s="1">
        <v>5.6</v>
      </c>
      <c r="AP81" s="1"/>
      <c r="AQ81" s="1">
        <f t="shared" si="33"/>
        <v>31</v>
      </c>
      <c r="AR81" s="1">
        <f t="shared" si="34"/>
        <v>0</v>
      </c>
      <c r="AS81" t="s">
        <v>202</v>
      </c>
    </row>
    <row r="82" spans="1:48" x14ac:dyDescent="0.25">
      <c r="A82" s="1" t="s">
        <v>203</v>
      </c>
      <c r="B82" s="1" t="s">
        <v>50</v>
      </c>
      <c r="C82" s="1">
        <v>115</v>
      </c>
      <c r="D82" s="1">
        <v>552</v>
      </c>
      <c r="E82" s="1">
        <v>259</v>
      </c>
      <c r="F82" s="1">
        <v>351</v>
      </c>
      <c r="G82" s="7">
        <v>0.4</v>
      </c>
      <c r="H82" s="1">
        <v>55</v>
      </c>
      <c r="I82" s="1" t="s">
        <v>43</v>
      </c>
      <c r="J82" s="1"/>
      <c r="K82" s="1">
        <v>260</v>
      </c>
      <c r="L82" s="1">
        <f t="shared" si="28"/>
        <v>-1</v>
      </c>
      <c r="M82" s="1"/>
      <c r="N82" s="1"/>
      <c r="O82" s="1">
        <v>50.393000000000029</v>
      </c>
      <c r="P82" s="1"/>
      <c r="Q82" s="1"/>
      <c r="R82" s="1"/>
      <c r="S82" s="1"/>
      <c r="T82" s="1"/>
      <c r="U82" s="24"/>
      <c r="V82" s="24"/>
      <c r="W82" s="1">
        <f t="shared" si="29"/>
        <v>51.8</v>
      </c>
      <c r="X82" s="5">
        <f>12*W82-S82-O82-F82</f>
        <v>220.20699999999988</v>
      </c>
      <c r="Y82" s="5">
        <f t="shared" si="37"/>
        <v>220.20699999999988</v>
      </c>
      <c r="Z82" s="5">
        <f t="shared" si="30"/>
        <v>84.779694999999947</v>
      </c>
      <c r="AA82" s="5"/>
      <c r="AB82" s="5"/>
      <c r="AC82" s="5">
        <f>Y82*$AC$1</f>
        <v>135.42730499999993</v>
      </c>
      <c r="AD82" s="1">
        <f t="shared" si="31"/>
        <v>11.999999999999998</v>
      </c>
      <c r="AE82" s="1">
        <f t="shared" si="32"/>
        <v>7.7488996138996145</v>
      </c>
      <c r="AF82" s="1">
        <v>49.2</v>
      </c>
      <c r="AG82" s="1">
        <v>55.8</v>
      </c>
      <c r="AH82" s="1">
        <v>49.8</v>
      </c>
      <c r="AI82" s="1">
        <v>36.200000000000003</v>
      </c>
      <c r="AJ82" s="1">
        <v>42</v>
      </c>
      <c r="AK82" s="1">
        <v>46</v>
      </c>
      <c r="AL82" s="1">
        <v>56.4</v>
      </c>
      <c r="AM82" s="1">
        <v>55.4</v>
      </c>
      <c r="AN82" s="1">
        <v>44.8</v>
      </c>
      <c r="AO82" s="1">
        <v>44.8</v>
      </c>
      <c r="AP82" s="1"/>
      <c r="AQ82" s="1">
        <f t="shared" si="33"/>
        <v>34</v>
      </c>
      <c r="AR82" s="1">
        <f t="shared" si="34"/>
        <v>54</v>
      </c>
      <c r="AS82" t="s">
        <v>204</v>
      </c>
    </row>
    <row r="83" spans="1:48" x14ac:dyDescent="0.25">
      <c r="A83" s="1" t="s">
        <v>205</v>
      </c>
      <c r="B83" s="1" t="s">
        <v>50</v>
      </c>
      <c r="C83" s="1">
        <v>8</v>
      </c>
      <c r="D83" s="1">
        <v>210</v>
      </c>
      <c r="E83" s="1">
        <v>115</v>
      </c>
      <c r="F83" s="1">
        <v>75</v>
      </c>
      <c r="G83" s="7">
        <v>0.35</v>
      </c>
      <c r="H83" s="1">
        <v>40</v>
      </c>
      <c r="I83" s="13" t="s">
        <v>87</v>
      </c>
      <c r="J83" s="1"/>
      <c r="K83" s="1">
        <v>162</v>
      </c>
      <c r="L83" s="1">
        <f t="shared" si="28"/>
        <v>-47</v>
      </c>
      <c r="M83" s="1"/>
      <c r="N83" s="1"/>
      <c r="O83" s="1">
        <v>50</v>
      </c>
      <c r="P83" s="1"/>
      <c r="Q83" s="1"/>
      <c r="R83" s="1"/>
      <c r="S83" s="1"/>
      <c r="T83" s="1"/>
      <c r="U83" s="24"/>
      <c r="V83" s="24"/>
      <c r="W83" s="1">
        <f t="shared" si="29"/>
        <v>23</v>
      </c>
      <c r="X83" s="5">
        <v>50</v>
      </c>
      <c r="Y83" s="5">
        <f t="shared" si="37"/>
        <v>50</v>
      </c>
      <c r="Z83" s="5">
        <f>X83</f>
        <v>50</v>
      </c>
      <c r="AA83" s="5">
        <v>-54</v>
      </c>
      <c r="AB83" s="5"/>
      <c r="AC83" s="5">
        <f>X83*0.5</f>
        <v>25</v>
      </c>
      <c r="AD83" s="1">
        <f t="shared" si="31"/>
        <v>8.695652173913043</v>
      </c>
      <c r="AE83" s="1">
        <f t="shared" si="32"/>
        <v>5.4347826086956523</v>
      </c>
      <c r="AF83" s="1">
        <v>3.2</v>
      </c>
      <c r="AG83" s="1">
        <v>15</v>
      </c>
      <c r="AH83" s="1">
        <v>25.4</v>
      </c>
      <c r="AI83" s="1">
        <v>10.199999999999999</v>
      </c>
      <c r="AJ83" s="1">
        <v>7.2</v>
      </c>
      <c r="AK83" s="1">
        <v>14.6</v>
      </c>
      <c r="AL83" s="1">
        <v>29</v>
      </c>
      <c r="AM83" s="1">
        <v>24.2</v>
      </c>
      <c r="AN83" s="1">
        <v>2.6</v>
      </c>
      <c r="AO83" s="1">
        <v>3.6</v>
      </c>
      <c r="AP83" s="1"/>
      <c r="AQ83" s="1">
        <f t="shared" si="33"/>
        <v>18</v>
      </c>
      <c r="AR83" s="1">
        <f t="shared" si="34"/>
        <v>9</v>
      </c>
      <c r="AS83" t="s">
        <v>206</v>
      </c>
    </row>
    <row r="84" spans="1:48" x14ac:dyDescent="0.25">
      <c r="A84" s="1" t="s">
        <v>207</v>
      </c>
      <c r="B84" s="1" t="s">
        <v>50</v>
      </c>
      <c r="C84" s="1">
        <v>-13</v>
      </c>
      <c r="D84" s="1">
        <v>456</v>
      </c>
      <c r="E84" s="1">
        <v>161</v>
      </c>
      <c r="F84" s="1">
        <v>275</v>
      </c>
      <c r="G84" s="7">
        <v>0.35</v>
      </c>
      <c r="H84" s="1">
        <v>45</v>
      </c>
      <c r="I84" s="1" t="s">
        <v>43</v>
      </c>
      <c r="J84" s="1"/>
      <c r="K84" s="1">
        <v>167</v>
      </c>
      <c r="L84" s="1">
        <f t="shared" si="28"/>
        <v>-6</v>
      </c>
      <c r="M84" s="1"/>
      <c r="N84" s="1"/>
      <c r="O84" s="1">
        <v>0</v>
      </c>
      <c r="P84" s="1"/>
      <c r="Q84" s="1"/>
      <c r="R84" s="1"/>
      <c r="S84" s="1"/>
      <c r="T84" s="1"/>
      <c r="U84" s="24"/>
      <c r="V84" s="24"/>
      <c r="W84" s="1">
        <f t="shared" si="29"/>
        <v>32.200000000000003</v>
      </c>
      <c r="X84" s="5">
        <f>12*W84-S84-O84-F84</f>
        <v>111.40000000000003</v>
      </c>
      <c r="Y84" s="5">
        <f t="shared" si="37"/>
        <v>111.40000000000003</v>
      </c>
      <c r="Z84" s="5">
        <f t="shared" ref="Z84:Z95" si="38">Y84-AC84</f>
        <v>111.40000000000003</v>
      </c>
      <c r="AA84" s="5"/>
      <c r="AB84" s="5"/>
      <c r="AC84" s="5"/>
      <c r="AD84" s="1">
        <f t="shared" si="31"/>
        <v>12</v>
      </c>
      <c r="AE84" s="1">
        <f t="shared" si="32"/>
        <v>8.5403726708074519</v>
      </c>
      <c r="AF84" s="1">
        <v>24.2</v>
      </c>
      <c r="AG84" s="1">
        <v>3.6</v>
      </c>
      <c r="AH84" s="1">
        <v>9.6</v>
      </c>
      <c r="AI84" s="1">
        <v>50.6</v>
      </c>
      <c r="AJ84" s="1">
        <v>53.4</v>
      </c>
      <c r="AK84" s="1">
        <v>61.6</v>
      </c>
      <c r="AL84" s="1">
        <v>61.2</v>
      </c>
      <c r="AM84" s="1">
        <v>44</v>
      </c>
      <c r="AN84" s="1">
        <v>49</v>
      </c>
      <c r="AO84" s="1">
        <v>44.4</v>
      </c>
      <c r="AP84" s="1"/>
      <c r="AQ84" s="1">
        <f t="shared" si="33"/>
        <v>39</v>
      </c>
      <c r="AR84" s="1">
        <f t="shared" si="34"/>
        <v>0</v>
      </c>
      <c r="AS84" t="s">
        <v>208</v>
      </c>
    </row>
    <row r="85" spans="1:48" x14ac:dyDescent="0.25">
      <c r="A85" s="1" t="s">
        <v>209</v>
      </c>
      <c r="B85" s="1" t="s">
        <v>50</v>
      </c>
      <c r="C85" s="1">
        <v>275</v>
      </c>
      <c r="D85" s="1">
        <v>70</v>
      </c>
      <c r="E85" s="1">
        <v>82</v>
      </c>
      <c r="F85" s="1">
        <v>261</v>
      </c>
      <c r="G85" s="7">
        <v>0.4</v>
      </c>
      <c r="H85" s="1">
        <v>55</v>
      </c>
      <c r="I85" s="1" t="s">
        <v>43</v>
      </c>
      <c r="J85" s="1"/>
      <c r="K85" s="1">
        <v>132</v>
      </c>
      <c r="L85" s="1">
        <f t="shared" si="28"/>
        <v>-50</v>
      </c>
      <c r="M85" s="1"/>
      <c r="N85" s="1"/>
      <c r="O85" s="1">
        <v>84.199999999999989</v>
      </c>
      <c r="P85" s="1"/>
      <c r="Q85" s="1"/>
      <c r="R85" s="1"/>
      <c r="S85" s="1"/>
      <c r="T85" s="1"/>
      <c r="U85" s="24"/>
      <c r="V85" s="24"/>
      <c r="W85" s="1">
        <f t="shared" si="29"/>
        <v>16.399999999999999</v>
      </c>
      <c r="X85" s="5"/>
      <c r="Y85" s="5">
        <f t="shared" si="37"/>
        <v>0</v>
      </c>
      <c r="Z85" s="5">
        <f t="shared" si="38"/>
        <v>0</v>
      </c>
      <c r="AA85" s="5"/>
      <c r="AB85" s="5"/>
      <c r="AC85" s="5"/>
      <c r="AD85" s="1">
        <f t="shared" si="31"/>
        <v>21.04878048780488</v>
      </c>
      <c r="AE85" s="1">
        <f t="shared" si="32"/>
        <v>21.04878048780488</v>
      </c>
      <c r="AF85" s="1">
        <v>27.2</v>
      </c>
      <c r="AG85" s="1">
        <v>12.6</v>
      </c>
      <c r="AH85" s="1">
        <v>11.8</v>
      </c>
      <c r="AI85" s="1">
        <v>36.200000000000003</v>
      </c>
      <c r="AJ85" s="1">
        <v>39.799999999999997</v>
      </c>
      <c r="AK85" s="1">
        <v>15</v>
      </c>
      <c r="AL85" s="1">
        <v>16</v>
      </c>
      <c r="AM85" s="1">
        <v>28</v>
      </c>
      <c r="AN85" s="1">
        <v>29.8</v>
      </c>
      <c r="AO85" s="1">
        <v>24.2</v>
      </c>
      <c r="AP85" s="14" t="s">
        <v>183</v>
      </c>
      <c r="AQ85" s="1">
        <f t="shared" si="33"/>
        <v>0</v>
      </c>
      <c r="AR85" s="1">
        <f t="shared" si="34"/>
        <v>0</v>
      </c>
      <c r="AS85" t="s">
        <v>210</v>
      </c>
    </row>
    <row r="86" spans="1:48" x14ac:dyDescent="0.25">
      <c r="A86" s="1" t="s">
        <v>211</v>
      </c>
      <c r="B86" s="1" t="s">
        <v>42</v>
      </c>
      <c r="C86" s="1">
        <v>81.349999999999994</v>
      </c>
      <c r="D86" s="1"/>
      <c r="E86" s="1">
        <v>15.864000000000001</v>
      </c>
      <c r="F86" s="1">
        <v>64.066000000000003</v>
      </c>
      <c r="G86" s="7">
        <v>1</v>
      </c>
      <c r="H86" s="1">
        <v>55</v>
      </c>
      <c r="I86" s="1" t="s">
        <v>43</v>
      </c>
      <c r="J86" s="1"/>
      <c r="K86" s="1">
        <v>15.1</v>
      </c>
      <c r="L86" s="1">
        <f t="shared" si="28"/>
        <v>0.76400000000000112</v>
      </c>
      <c r="M86" s="1"/>
      <c r="N86" s="1"/>
      <c r="O86" s="1">
        <v>0</v>
      </c>
      <c r="P86" s="1"/>
      <c r="Q86" s="1"/>
      <c r="R86" s="1"/>
      <c r="S86" s="1"/>
      <c r="T86" s="1"/>
      <c r="U86" s="24"/>
      <c r="V86" s="24"/>
      <c r="W86" s="1">
        <f t="shared" si="29"/>
        <v>3.1728000000000001</v>
      </c>
      <c r="X86" s="5"/>
      <c r="Y86" s="5">
        <f t="shared" si="37"/>
        <v>0</v>
      </c>
      <c r="Z86" s="5">
        <f t="shared" si="38"/>
        <v>0</v>
      </c>
      <c r="AA86" s="5"/>
      <c r="AB86" s="5"/>
      <c r="AC86" s="5"/>
      <c r="AD86" s="1">
        <f t="shared" si="31"/>
        <v>20.192259203227433</v>
      </c>
      <c r="AE86" s="1">
        <f t="shared" si="32"/>
        <v>20.192259203227433</v>
      </c>
      <c r="AF86" s="1">
        <v>2.5781999999999998</v>
      </c>
      <c r="AG86" s="1">
        <v>1.9770000000000001</v>
      </c>
      <c r="AH86" s="1">
        <v>1.7008000000000001</v>
      </c>
      <c r="AI86" s="1">
        <v>1.6816</v>
      </c>
      <c r="AJ86" s="1">
        <v>6.2156000000000002</v>
      </c>
      <c r="AK86" s="1">
        <v>7.9986000000000006</v>
      </c>
      <c r="AL86" s="1">
        <v>3.4681999999999999</v>
      </c>
      <c r="AM86" s="1">
        <v>1.6208</v>
      </c>
      <c r="AN86" s="1">
        <v>-1.0531999999999999</v>
      </c>
      <c r="AO86" s="1">
        <v>0.1918</v>
      </c>
      <c r="AP86" s="15" t="s">
        <v>212</v>
      </c>
      <c r="AQ86" s="1">
        <f t="shared" si="33"/>
        <v>0</v>
      </c>
      <c r="AR86" s="1">
        <f t="shared" si="34"/>
        <v>0</v>
      </c>
      <c r="AS86" t="s">
        <v>213</v>
      </c>
    </row>
    <row r="87" spans="1:48" x14ac:dyDescent="0.25">
      <c r="A87" s="9" t="s">
        <v>214</v>
      </c>
      <c r="B87" s="9" t="s">
        <v>50</v>
      </c>
      <c r="C87" s="9">
        <v>4</v>
      </c>
      <c r="D87" s="9"/>
      <c r="E87" s="9"/>
      <c r="F87" s="9">
        <v>3</v>
      </c>
      <c r="G87" s="10">
        <v>0</v>
      </c>
      <c r="H87" s="9">
        <v>55</v>
      </c>
      <c r="I87" s="9" t="s">
        <v>64</v>
      </c>
      <c r="J87" s="9"/>
      <c r="K87" s="9">
        <v>17</v>
      </c>
      <c r="L87" s="9">
        <f t="shared" si="28"/>
        <v>-17</v>
      </c>
      <c r="M87" s="9"/>
      <c r="N87" s="9"/>
      <c r="O87" s="9">
        <v>0</v>
      </c>
      <c r="P87" s="9"/>
      <c r="Q87" s="9"/>
      <c r="R87" s="9"/>
      <c r="S87" s="9"/>
      <c r="T87" s="9"/>
      <c r="U87" s="29"/>
      <c r="V87" s="29"/>
      <c r="W87" s="9">
        <f t="shared" si="29"/>
        <v>0</v>
      </c>
      <c r="X87" s="11"/>
      <c r="Y87" s="5">
        <f t="shared" si="37"/>
        <v>0</v>
      </c>
      <c r="Z87" s="5">
        <f t="shared" si="38"/>
        <v>0</v>
      </c>
      <c r="AA87" s="5"/>
      <c r="AB87" s="5"/>
      <c r="AC87" s="11"/>
      <c r="AD87" s="1" t="e">
        <f t="shared" si="31"/>
        <v>#DIV/0!</v>
      </c>
      <c r="AE87" s="9" t="e">
        <f t="shared" si="32"/>
        <v>#DIV/0!</v>
      </c>
      <c r="AF87" s="9">
        <v>0</v>
      </c>
      <c r="AG87" s="9">
        <v>0.6</v>
      </c>
      <c r="AH87" s="9">
        <v>0.6</v>
      </c>
      <c r="AI87" s="9">
        <v>2</v>
      </c>
      <c r="AJ87" s="9">
        <v>4</v>
      </c>
      <c r="AK87" s="9">
        <v>4</v>
      </c>
      <c r="AL87" s="9">
        <v>6</v>
      </c>
      <c r="AM87" s="9">
        <v>4</v>
      </c>
      <c r="AN87" s="9">
        <v>1.2</v>
      </c>
      <c r="AO87" s="9">
        <v>2</v>
      </c>
      <c r="AP87" s="9"/>
      <c r="AQ87" s="1">
        <f t="shared" si="33"/>
        <v>0</v>
      </c>
      <c r="AR87" s="1">
        <f t="shared" si="34"/>
        <v>0</v>
      </c>
      <c r="AS87" t="s">
        <v>215</v>
      </c>
    </row>
    <row r="88" spans="1:48" x14ac:dyDescent="0.25">
      <c r="A88" s="1" t="s">
        <v>216</v>
      </c>
      <c r="B88" s="1" t="s">
        <v>42</v>
      </c>
      <c r="C88" s="1">
        <v>189.369</v>
      </c>
      <c r="D88" s="1">
        <v>371.15499999999997</v>
      </c>
      <c r="E88" s="1">
        <v>267.71199999999999</v>
      </c>
      <c r="F88" s="1">
        <v>205.80799999999999</v>
      </c>
      <c r="G88" s="7">
        <v>1</v>
      </c>
      <c r="H88" s="1">
        <v>55</v>
      </c>
      <c r="I88" s="1" t="s">
        <v>43</v>
      </c>
      <c r="J88" s="1"/>
      <c r="K88" s="1">
        <v>262</v>
      </c>
      <c r="L88" s="1">
        <f t="shared" si="28"/>
        <v>5.7119999999999891</v>
      </c>
      <c r="M88" s="1"/>
      <c r="N88" s="1"/>
      <c r="O88" s="1">
        <v>186.9823099999999</v>
      </c>
      <c r="P88" s="1"/>
      <c r="Q88" s="1"/>
      <c r="R88" s="1"/>
      <c r="S88" s="1"/>
      <c r="T88" s="1"/>
      <c r="U88" s="24"/>
      <c r="V88" s="24"/>
      <c r="W88" s="1">
        <f t="shared" si="29"/>
        <v>53.542400000000001</v>
      </c>
      <c r="X88" s="5">
        <f>12*W88-S88-O88-F88</f>
        <v>249.7184900000002</v>
      </c>
      <c r="Y88" s="5">
        <f t="shared" si="37"/>
        <v>249.7184900000002</v>
      </c>
      <c r="Z88" s="5">
        <f t="shared" si="38"/>
        <v>96.141618650000083</v>
      </c>
      <c r="AA88" s="5"/>
      <c r="AB88" s="5"/>
      <c r="AC88" s="5">
        <f>Y88*$AC$1</f>
        <v>153.57687135000012</v>
      </c>
      <c r="AD88" s="1">
        <f t="shared" si="31"/>
        <v>12.000000000000002</v>
      </c>
      <c r="AE88" s="1">
        <f t="shared" si="32"/>
        <v>7.3360609535620345</v>
      </c>
      <c r="AF88" s="1">
        <v>48.606000000000002</v>
      </c>
      <c r="AG88" s="1">
        <v>44.576599999999999</v>
      </c>
      <c r="AH88" s="1">
        <v>42.3018</v>
      </c>
      <c r="AI88" s="1">
        <v>32.957999999999998</v>
      </c>
      <c r="AJ88" s="1">
        <v>40.682000000000002</v>
      </c>
      <c r="AK88" s="1">
        <v>27.418199999999999</v>
      </c>
      <c r="AL88" s="1">
        <v>33.930599999999998</v>
      </c>
      <c r="AM88" s="1">
        <v>31.181999999999999</v>
      </c>
      <c r="AN88" s="1">
        <v>37.124600000000001</v>
      </c>
      <c r="AO88" s="1">
        <v>49.651200000000003</v>
      </c>
      <c r="AP88" s="1"/>
      <c r="AQ88" s="1">
        <f t="shared" si="33"/>
        <v>96</v>
      </c>
      <c r="AR88" s="1">
        <f t="shared" si="34"/>
        <v>154</v>
      </c>
      <c r="AS88" t="s">
        <v>217</v>
      </c>
    </row>
    <row r="89" spans="1:48" x14ac:dyDescent="0.25">
      <c r="A89" s="23" t="s">
        <v>218</v>
      </c>
      <c r="B89" s="1" t="s">
        <v>42</v>
      </c>
      <c r="C89" s="1">
        <v>1385.038</v>
      </c>
      <c r="D89" s="1">
        <v>596.75400000000002</v>
      </c>
      <c r="E89" s="1">
        <v>825.28</v>
      </c>
      <c r="F89" s="1">
        <v>1079.5440000000001</v>
      </c>
      <c r="G89" s="7">
        <v>1</v>
      </c>
      <c r="H89" s="1">
        <v>60</v>
      </c>
      <c r="I89" s="1" t="s">
        <v>43</v>
      </c>
      <c r="J89" s="1"/>
      <c r="K89" s="1">
        <v>827.38</v>
      </c>
      <c r="L89" s="1">
        <f t="shared" si="28"/>
        <v>-2.1000000000000227</v>
      </c>
      <c r="M89" s="1"/>
      <c r="N89" s="1"/>
      <c r="O89" s="1">
        <v>377.03803920000018</v>
      </c>
      <c r="P89" s="1"/>
      <c r="Q89" s="24"/>
      <c r="R89" s="24"/>
      <c r="S89" s="1"/>
      <c r="T89" s="1"/>
      <c r="U89" s="24"/>
      <c r="V89" s="24"/>
      <c r="W89" s="1">
        <f t="shared" si="29"/>
        <v>165.05599999999998</v>
      </c>
      <c r="X89" s="5">
        <f>12*W89-S89-O89-F89</f>
        <v>524.08996079999952</v>
      </c>
      <c r="Y89" s="5">
        <f>X89+$Y$1*W89</f>
        <v>781.57732079999948</v>
      </c>
      <c r="Z89" s="5">
        <f t="shared" si="38"/>
        <v>300.90726850799979</v>
      </c>
      <c r="AA89" s="5"/>
      <c r="AB89" s="5">
        <v>200</v>
      </c>
      <c r="AC89" s="5">
        <f>Y89*$AC$1</f>
        <v>480.6700522919997</v>
      </c>
      <c r="AD89" s="1">
        <f>(F89+O89+S89+Z89+AC89+P89+Q89+T89+U89+R89+V89+AB89)/W89</f>
        <v>14.771709965102753</v>
      </c>
      <c r="AE89" s="1">
        <f t="shared" si="32"/>
        <v>8.8247748594416464</v>
      </c>
      <c r="AF89" s="1">
        <v>161.7576</v>
      </c>
      <c r="AG89" s="1">
        <v>146.61940000000001</v>
      </c>
      <c r="AH89" s="1">
        <v>153.85120000000001</v>
      </c>
      <c r="AI89" s="1">
        <v>151.1354</v>
      </c>
      <c r="AJ89" s="1">
        <v>164.34880000000001</v>
      </c>
      <c r="AK89" s="1">
        <v>171.851</v>
      </c>
      <c r="AL89" s="1">
        <v>176.95820000000001</v>
      </c>
      <c r="AM89" s="1">
        <v>182.36699999999999</v>
      </c>
      <c r="AN89" s="1">
        <v>171.1482</v>
      </c>
      <c r="AO89" s="1">
        <v>171.82579999999999</v>
      </c>
      <c r="AP89" s="1"/>
      <c r="AQ89" s="1">
        <f t="shared" si="33"/>
        <v>301</v>
      </c>
      <c r="AR89" s="1">
        <f t="shared" si="34"/>
        <v>481</v>
      </c>
      <c r="AS89" t="s">
        <v>219</v>
      </c>
      <c r="AT89" t="str">
        <f>VLOOKUP(AS89,[1]Лист1!$A:$A,1,0)</f>
        <v>SU002634</v>
      </c>
      <c r="AU89">
        <f>Q89*G89</f>
        <v>0</v>
      </c>
      <c r="AV89">
        <f>ROUND(AB89*G89,0)</f>
        <v>200</v>
      </c>
    </row>
    <row r="90" spans="1:48" x14ac:dyDescent="0.25">
      <c r="A90" s="9" t="s">
        <v>220</v>
      </c>
      <c r="B90" s="9" t="s">
        <v>50</v>
      </c>
      <c r="C90" s="9"/>
      <c r="D90" s="9"/>
      <c r="E90" s="9"/>
      <c r="F90" s="9"/>
      <c r="G90" s="10">
        <v>0</v>
      </c>
      <c r="H90" s="9"/>
      <c r="I90" s="9" t="s">
        <v>43</v>
      </c>
      <c r="J90" s="9"/>
      <c r="K90" s="9"/>
      <c r="L90" s="9">
        <f t="shared" si="28"/>
        <v>0</v>
      </c>
      <c r="M90" s="9"/>
      <c r="N90" s="9"/>
      <c r="O90" s="9">
        <v>0</v>
      </c>
      <c r="P90" s="9"/>
      <c r="Q90" s="9"/>
      <c r="R90" s="9"/>
      <c r="S90" s="9"/>
      <c r="T90" s="9"/>
      <c r="U90" s="29"/>
      <c r="V90" s="29"/>
      <c r="W90" s="9">
        <f t="shared" si="29"/>
        <v>0</v>
      </c>
      <c r="X90" s="11"/>
      <c r="Y90" s="5">
        <f t="shared" ref="Y90:Y122" si="39">X90</f>
        <v>0</v>
      </c>
      <c r="Z90" s="5">
        <f t="shared" si="38"/>
        <v>0</v>
      </c>
      <c r="AA90" s="5"/>
      <c r="AB90" s="5"/>
      <c r="AC90" s="11"/>
      <c r="AD90" s="1" t="e">
        <f t="shared" si="31"/>
        <v>#DIV/0!</v>
      </c>
      <c r="AE90" s="9" t="e">
        <f t="shared" si="32"/>
        <v>#DIV/0!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 t="s">
        <v>51</v>
      </c>
      <c r="AQ90" s="1">
        <f t="shared" si="33"/>
        <v>0</v>
      </c>
      <c r="AR90" s="1">
        <f t="shared" si="34"/>
        <v>0</v>
      </c>
      <c r="AS90" t="s">
        <v>221</v>
      </c>
    </row>
    <row r="91" spans="1:48" x14ac:dyDescent="0.25">
      <c r="A91" s="23" t="s">
        <v>222</v>
      </c>
      <c r="B91" s="1" t="s">
        <v>42</v>
      </c>
      <c r="C91" s="1">
        <v>2479.6680000000001</v>
      </c>
      <c r="D91" s="1">
        <v>3654.3879999999999</v>
      </c>
      <c r="E91" s="1">
        <v>2237.0700000000002</v>
      </c>
      <c r="F91" s="1">
        <v>3717.127</v>
      </c>
      <c r="G91" s="7">
        <v>1</v>
      </c>
      <c r="H91" s="1">
        <v>60</v>
      </c>
      <c r="I91" s="1" t="s">
        <v>43</v>
      </c>
      <c r="J91" s="1"/>
      <c r="K91" s="1">
        <v>2234.5500000000002</v>
      </c>
      <c r="L91" s="1">
        <f t="shared" si="28"/>
        <v>2.5199999999999818</v>
      </c>
      <c r="M91" s="1"/>
      <c r="N91" s="1"/>
      <c r="O91" s="1">
        <v>304.29685340000032</v>
      </c>
      <c r="P91" s="1"/>
      <c r="Q91" s="24"/>
      <c r="R91" s="24"/>
      <c r="S91" s="1"/>
      <c r="T91" s="1"/>
      <c r="U91" s="24">
        <v>1000</v>
      </c>
      <c r="V91" s="24">
        <v>556</v>
      </c>
      <c r="W91" s="1">
        <f t="shared" si="29"/>
        <v>447.41400000000004</v>
      </c>
      <c r="X91" s="20">
        <f>12*W91-S91-O91-F91</f>
        <v>1347.5441466000007</v>
      </c>
      <c r="Y91" s="5">
        <f t="shared" si="39"/>
        <v>1347.5441466000007</v>
      </c>
      <c r="Z91" s="5">
        <f t="shared" si="38"/>
        <v>518.80449644100031</v>
      </c>
      <c r="AA91" s="5"/>
      <c r="AB91" s="5">
        <v>400</v>
      </c>
      <c r="AC91" s="5">
        <f>Y91*$AC$1</f>
        <v>828.73965015900035</v>
      </c>
      <c r="AD91" s="1">
        <f t="shared" ref="AD91:AD93" si="40">(F91+O91+S91+Z91+AC91+P91+Q91+T91+U91+R91+V91+AB91)/W91</f>
        <v>16.371789885877508</v>
      </c>
      <c r="AE91" s="1">
        <f t="shared" si="32"/>
        <v>8.9881493502661964</v>
      </c>
      <c r="AF91" s="1">
        <v>441.04020000000003</v>
      </c>
      <c r="AG91" s="1">
        <v>428.07299999999998</v>
      </c>
      <c r="AH91" s="1">
        <v>430.87459999999999</v>
      </c>
      <c r="AI91" s="1">
        <v>398.44540000000001</v>
      </c>
      <c r="AJ91" s="1">
        <v>391.17919999999998</v>
      </c>
      <c r="AK91" s="1">
        <v>446.94080000000002</v>
      </c>
      <c r="AL91" s="1">
        <v>458.49939999999998</v>
      </c>
      <c r="AM91" s="1">
        <v>436.01319999999998</v>
      </c>
      <c r="AN91" s="1">
        <v>426.09260000000012</v>
      </c>
      <c r="AO91" s="1">
        <v>436.69299999999998</v>
      </c>
      <c r="AP91" s="1"/>
      <c r="AQ91" s="1">
        <f t="shared" si="33"/>
        <v>519</v>
      </c>
      <c r="AR91" s="1">
        <f t="shared" si="34"/>
        <v>829</v>
      </c>
      <c r="AS91" t="s">
        <v>223</v>
      </c>
      <c r="AT91" t="str">
        <f>VLOOKUP(AS91,[1]Лист1!$A:$A,1,0)</f>
        <v>SU003423</v>
      </c>
      <c r="AU91">
        <f t="shared" ref="AU91:AU93" si="41">Q91*G91</f>
        <v>0</v>
      </c>
      <c r="AV91">
        <f t="shared" ref="AV91:AV93" si="42">ROUND(AB91*G91,0)</f>
        <v>400</v>
      </c>
    </row>
    <row r="92" spans="1:48" x14ac:dyDescent="0.25">
      <c r="A92" s="23" t="s">
        <v>224</v>
      </c>
      <c r="B92" s="1" t="s">
        <v>42</v>
      </c>
      <c r="C92" s="1">
        <v>4985.366</v>
      </c>
      <c r="D92" s="1">
        <v>150.58500000000001</v>
      </c>
      <c r="E92" s="1">
        <v>2312.3980000000001</v>
      </c>
      <c r="F92" s="1">
        <v>2689.4960000000001</v>
      </c>
      <c r="G92" s="7">
        <v>1</v>
      </c>
      <c r="H92" s="1">
        <v>60</v>
      </c>
      <c r="I92" s="1" t="s">
        <v>43</v>
      </c>
      <c r="J92" s="1"/>
      <c r="K92" s="1">
        <v>2280.85</v>
      </c>
      <c r="L92" s="1">
        <f t="shared" si="28"/>
        <v>31.548000000000229</v>
      </c>
      <c r="M92" s="1"/>
      <c r="N92" s="1"/>
      <c r="O92" s="1">
        <v>835.82346260439988</v>
      </c>
      <c r="P92" s="1"/>
      <c r="Q92" s="24">
        <v>700</v>
      </c>
      <c r="R92" s="24">
        <v>600</v>
      </c>
      <c r="S92" s="1">
        <v>912.76118719559997</v>
      </c>
      <c r="T92" s="1"/>
      <c r="U92" s="24"/>
      <c r="V92" s="24"/>
      <c r="W92" s="1">
        <f t="shared" si="29"/>
        <v>462.4796</v>
      </c>
      <c r="X92" s="20">
        <f>12*W92-S92-O92-F92</f>
        <v>1111.6745501999999</v>
      </c>
      <c r="Y92" s="5">
        <f t="shared" si="39"/>
        <v>1111.6745501999999</v>
      </c>
      <c r="Z92" s="5">
        <f t="shared" si="38"/>
        <v>427.99470182699997</v>
      </c>
      <c r="AA92" s="5"/>
      <c r="AB92" s="5">
        <v>500</v>
      </c>
      <c r="AC92" s="5">
        <f>Y92*$AC$1</f>
        <v>683.67984837299991</v>
      </c>
      <c r="AD92" s="1">
        <f t="shared" si="40"/>
        <v>15.892063563452311</v>
      </c>
      <c r="AE92" s="1">
        <f t="shared" si="32"/>
        <v>9.596273327082967</v>
      </c>
      <c r="AF92" s="1">
        <v>465.33640000000003</v>
      </c>
      <c r="AG92" s="1">
        <v>430.09660000000002</v>
      </c>
      <c r="AH92" s="1">
        <v>430.392</v>
      </c>
      <c r="AI92" s="1">
        <v>397.80779999999999</v>
      </c>
      <c r="AJ92" s="1">
        <v>401.32119999999998</v>
      </c>
      <c r="AK92" s="1">
        <v>409.54320000000001</v>
      </c>
      <c r="AL92" s="1">
        <v>447.65519999999998</v>
      </c>
      <c r="AM92" s="1">
        <v>530.02260000000001</v>
      </c>
      <c r="AN92" s="1">
        <v>493.26420000000002</v>
      </c>
      <c r="AO92" s="1">
        <v>455.58280000000002</v>
      </c>
      <c r="AP92" s="1"/>
      <c r="AQ92" s="1">
        <f t="shared" si="33"/>
        <v>428</v>
      </c>
      <c r="AR92" s="1">
        <f t="shared" si="34"/>
        <v>684</v>
      </c>
      <c r="AS92" t="s">
        <v>225</v>
      </c>
      <c r="AT92" t="str">
        <f>VLOOKUP(AS92,[1]Лист1!$A:$A,1,0)</f>
        <v>SU003420</v>
      </c>
      <c r="AU92">
        <f t="shared" si="41"/>
        <v>700</v>
      </c>
      <c r="AV92">
        <f t="shared" si="42"/>
        <v>500</v>
      </c>
    </row>
    <row r="93" spans="1:48" x14ac:dyDescent="0.25">
      <c r="A93" s="23" t="s">
        <v>226</v>
      </c>
      <c r="B93" s="1" t="s">
        <v>42</v>
      </c>
      <c r="C93" s="1">
        <v>7247.5010000000002</v>
      </c>
      <c r="D93" s="1">
        <v>1126.018</v>
      </c>
      <c r="E93" s="1">
        <v>3013.7449999999999</v>
      </c>
      <c r="F93" s="1">
        <v>5156.5259999999998</v>
      </c>
      <c r="G93" s="7">
        <v>1</v>
      </c>
      <c r="H93" s="1">
        <v>60</v>
      </c>
      <c r="I93" s="1" t="s">
        <v>43</v>
      </c>
      <c r="J93" s="1"/>
      <c r="K93" s="1">
        <v>3037.45</v>
      </c>
      <c r="L93" s="1">
        <f t="shared" si="28"/>
        <v>-23.704999999999927</v>
      </c>
      <c r="M93" s="1"/>
      <c r="N93" s="1"/>
      <c r="O93" s="1">
        <v>412.78034312960011</v>
      </c>
      <c r="P93" s="1"/>
      <c r="Q93" s="24">
        <v>1000</v>
      </c>
      <c r="R93" s="24"/>
      <c r="S93" s="1">
        <v>450.77686007040012</v>
      </c>
      <c r="T93" s="1"/>
      <c r="U93" s="24"/>
      <c r="V93" s="24"/>
      <c r="W93" s="1">
        <f t="shared" si="29"/>
        <v>602.74900000000002</v>
      </c>
      <c r="X93" s="20">
        <f>12*W93-S93-O93-F93</f>
        <v>1212.9047968000004</v>
      </c>
      <c r="Y93" s="5">
        <f t="shared" si="39"/>
        <v>1212.9047968000004</v>
      </c>
      <c r="Z93" s="5">
        <f t="shared" si="38"/>
        <v>466.96834676800017</v>
      </c>
      <c r="AA93" s="5"/>
      <c r="AB93" s="5">
        <v>1200</v>
      </c>
      <c r="AC93" s="5">
        <f>Y93*$AC$1</f>
        <v>745.93645003200027</v>
      </c>
      <c r="AD93" s="1">
        <f t="shared" si="40"/>
        <v>15.649943840636817</v>
      </c>
      <c r="AE93" s="1">
        <f t="shared" si="32"/>
        <v>9.9877116398368138</v>
      </c>
      <c r="AF93" s="1">
        <v>636.64959999999996</v>
      </c>
      <c r="AG93" s="1">
        <v>570.65219999999999</v>
      </c>
      <c r="AH93" s="1">
        <v>530.8288</v>
      </c>
      <c r="AI93" s="1">
        <v>571.27639999999997</v>
      </c>
      <c r="AJ93" s="1">
        <v>585.21899999999994</v>
      </c>
      <c r="AK93" s="1">
        <v>581.18280000000004</v>
      </c>
      <c r="AL93" s="1">
        <v>622.20299999999997</v>
      </c>
      <c r="AM93" s="1">
        <v>586.15959999999995</v>
      </c>
      <c r="AN93" s="1">
        <v>578.34320000000002</v>
      </c>
      <c r="AO93" s="1">
        <v>607.92340000000002</v>
      </c>
      <c r="AP93" s="1"/>
      <c r="AQ93" s="1">
        <f t="shared" si="33"/>
        <v>467</v>
      </c>
      <c r="AR93" s="1">
        <f t="shared" si="34"/>
        <v>746</v>
      </c>
      <c r="AS93" t="s">
        <v>227</v>
      </c>
      <c r="AT93" t="str">
        <f>VLOOKUP(AS93,[1]Лист1!$A:$A,1,0)</f>
        <v>SU003422</v>
      </c>
      <c r="AU93">
        <f t="shared" si="41"/>
        <v>1000</v>
      </c>
      <c r="AV93">
        <f t="shared" si="42"/>
        <v>1200</v>
      </c>
    </row>
    <row r="94" spans="1:48" x14ac:dyDescent="0.25">
      <c r="A94" s="1" t="s">
        <v>228</v>
      </c>
      <c r="B94" s="1" t="s">
        <v>42</v>
      </c>
      <c r="C94" s="1">
        <v>66.481999999999999</v>
      </c>
      <c r="D94" s="1">
        <v>32.247999999999998</v>
      </c>
      <c r="E94" s="1">
        <v>14.791</v>
      </c>
      <c r="F94" s="1">
        <v>83.938999999999993</v>
      </c>
      <c r="G94" s="7">
        <v>1</v>
      </c>
      <c r="H94" s="1">
        <v>55</v>
      </c>
      <c r="I94" s="1" t="s">
        <v>43</v>
      </c>
      <c r="J94" s="1"/>
      <c r="K94" s="1">
        <v>15.5</v>
      </c>
      <c r="L94" s="1">
        <f t="shared" si="28"/>
        <v>-0.70899999999999963</v>
      </c>
      <c r="M94" s="1"/>
      <c r="N94" s="1"/>
      <c r="O94" s="1">
        <v>0</v>
      </c>
      <c r="P94" s="1"/>
      <c r="Q94" s="1"/>
      <c r="R94" s="1"/>
      <c r="S94" s="1"/>
      <c r="T94" s="1"/>
      <c r="U94" s="24"/>
      <c r="V94" s="24"/>
      <c r="W94" s="1">
        <f t="shared" si="29"/>
        <v>2.9582000000000002</v>
      </c>
      <c r="X94" s="5"/>
      <c r="Y94" s="5">
        <f t="shared" si="39"/>
        <v>0</v>
      </c>
      <c r="Z94" s="5">
        <f t="shared" si="38"/>
        <v>0</v>
      </c>
      <c r="AA94" s="5"/>
      <c r="AB94" s="5"/>
      <c r="AC94" s="5"/>
      <c r="AD94" s="1">
        <f t="shared" si="31"/>
        <v>28.375025353255353</v>
      </c>
      <c r="AE94" s="1">
        <f t="shared" si="32"/>
        <v>28.375025353255353</v>
      </c>
      <c r="AF94" s="1">
        <v>3.7658</v>
      </c>
      <c r="AG94" s="1">
        <v>7.8483999999999998</v>
      </c>
      <c r="AH94" s="1">
        <v>7.0462000000000007</v>
      </c>
      <c r="AI94" s="1">
        <v>8.6546000000000003</v>
      </c>
      <c r="AJ94" s="1">
        <v>8.9195999999999991</v>
      </c>
      <c r="AK94" s="1">
        <v>9.2284000000000006</v>
      </c>
      <c r="AL94" s="1">
        <v>8.9586000000000006</v>
      </c>
      <c r="AM94" s="1">
        <v>7.3046000000000006</v>
      </c>
      <c r="AN94" s="1">
        <v>6.6986000000000008</v>
      </c>
      <c r="AO94" s="1">
        <v>4.5375999999999994</v>
      </c>
      <c r="AP94" s="15" t="s">
        <v>212</v>
      </c>
      <c r="AQ94" s="1">
        <f t="shared" si="33"/>
        <v>0</v>
      </c>
      <c r="AR94" s="1">
        <f t="shared" si="34"/>
        <v>0</v>
      </c>
      <c r="AS94" t="s">
        <v>229</v>
      </c>
    </row>
    <row r="95" spans="1:48" x14ac:dyDescent="0.25">
      <c r="A95" s="9" t="s">
        <v>230</v>
      </c>
      <c r="B95" s="9" t="s">
        <v>42</v>
      </c>
      <c r="C95" s="9">
        <v>4.125</v>
      </c>
      <c r="D95" s="9"/>
      <c r="E95" s="9"/>
      <c r="F95" s="9">
        <v>4.125</v>
      </c>
      <c r="G95" s="10">
        <v>0</v>
      </c>
      <c r="H95" s="9">
        <v>55</v>
      </c>
      <c r="I95" s="9" t="s">
        <v>64</v>
      </c>
      <c r="J95" s="9"/>
      <c r="K95" s="9">
        <v>7.55</v>
      </c>
      <c r="L95" s="9">
        <f t="shared" si="28"/>
        <v>-7.55</v>
      </c>
      <c r="M95" s="9"/>
      <c r="N95" s="9"/>
      <c r="O95" s="9">
        <v>0</v>
      </c>
      <c r="P95" s="9"/>
      <c r="Q95" s="9"/>
      <c r="R95" s="9"/>
      <c r="S95" s="9"/>
      <c r="T95" s="9"/>
      <c r="U95" s="29"/>
      <c r="V95" s="29"/>
      <c r="W95" s="9">
        <f t="shared" si="29"/>
        <v>0</v>
      </c>
      <c r="X95" s="11"/>
      <c r="Y95" s="5">
        <f t="shared" si="39"/>
        <v>0</v>
      </c>
      <c r="Z95" s="5">
        <f t="shared" si="38"/>
        <v>0</v>
      </c>
      <c r="AA95" s="5"/>
      <c r="AB95" s="5"/>
      <c r="AC95" s="11"/>
      <c r="AD95" s="1" t="e">
        <f t="shared" si="31"/>
        <v>#DIV/0!</v>
      </c>
      <c r="AE95" s="9" t="e">
        <f t="shared" si="32"/>
        <v>#DIV/0!</v>
      </c>
      <c r="AF95" s="9">
        <v>0.80399999999999994</v>
      </c>
      <c r="AG95" s="9">
        <v>3.4893999999999998</v>
      </c>
      <c r="AH95" s="9">
        <v>4.0462000000000007</v>
      </c>
      <c r="AI95" s="9">
        <v>4.3285999999999998</v>
      </c>
      <c r="AJ95" s="9">
        <v>3.7852000000000001</v>
      </c>
      <c r="AK95" s="9">
        <v>3.2425999999999999</v>
      </c>
      <c r="AL95" s="9">
        <v>3.4236</v>
      </c>
      <c r="AM95" s="9">
        <v>2.371</v>
      </c>
      <c r="AN95" s="9">
        <v>2.0373999999999999</v>
      </c>
      <c r="AO95" s="9">
        <v>2.5638000000000001</v>
      </c>
      <c r="AP95" s="9"/>
      <c r="AQ95" s="1">
        <f t="shared" si="33"/>
        <v>0</v>
      </c>
      <c r="AR95" s="1">
        <f t="shared" si="34"/>
        <v>0</v>
      </c>
      <c r="AS95" t="s">
        <v>231</v>
      </c>
    </row>
    <row r="96" spans="1:48" x14ac:dyDescent="0.25">
      <c r="A96" s="1" t="s">
        <v>232</v>
      </c>
      <c r="B96" s="1" t="s">
        <v>50</v>
      </c>
      <c r="C96" s="1">
        <v>-7</v>
      </c>
      <c r="D96" s="1"/>
      <c r="E96" s="1">
        <v>-12</v>
      </c>
      <c r="F96" s="1">
        <v>-7</v>
      </c>
      <c r="G96" s="7">
        <v>0.3</v>
      </c>
      <c r="H96" s="1">
        <v>40</v>
      </c>
      <c r="I96" s="13" t="s">
        <v>87</v>
      </c>
      <c r="J96" s="1"/>
      <c r="K96" s="1">
        <v>6</v>
      </c>
      <c r="L96" s="1">
        <f t="shared" si="28"/>
        <v>-18</v>
      </c>
      <c r="M96" s="1"/>
      <c r="N96" s="1"/>
      <c r="O96" s="1">
        <v>150</v>
      </c>
      <c r="P96" s="1">
        <v>-150</v>
      </c>
      <c r="Q96" s="1"/>
      <c r="R96" s="1"/>
      <c r="S96" s="1"/>
      <c r="T96" s="1"/>
      <c r="U96" s="24"/>
      <c r="V96" s="24"/>
      <c r="W96" s="1">
        <f t="shared" si="29"/>
        <v>-2.4</v>
      </c>
      <c r="X96" s="5">
        <v>100</v>
      </c>
      <c r="Y96" s="5">
        <f t="shared" si="39"/>
        <v>100</v>
      </c>
      <c r="Z96" s="5">
        <f>X96</f>
        <v>100</v>
      </c>
      <c r="AA96" s="5">
        <v>-102.00000000000001</v>
      </c>
      <c r="AB96" s="5"/>
      <c r="AC96" s="5">
        <f>X96*0.5</f>
        <v>50</v>
      </c>
      <c r="AD96" s="1">
        <f t="shared" si="31"/>
        <v>-122.08333333333334</v>
      </c>
      <c r="AE96" s="1">
        <f t="shared" si="32"/>
        <v>-59.583333333333336</v>
      </c>
      <c r="AF96" s="1">
        <v>-2.8</v>
      </c>
      <c r="AG96" s="1">
        <v>41</v>
      </c>
      <c r="AH96" s="1">
        <v>73</v>
      </c>
      <c r="AI96" s="1">
        <v>35.200000000000003</v>
      </c>
      <c r="AJ96" s="1">
        <v>4.8</v>
      </c>
      <c r="AK96" s="1">
        <v>28.8</v>
      </c>
      <c r="AL96" s="1">
        <v>65.400000000000006</v>
      </c>
      <c r="AM96" s="1">
        <v>70.8</v>
      </c>
      <c r="AN96" s="1">
        <v>52.8</v>
      </c>
      <c r="AO96" s="1">
        <v>41.2</v>
      </c>
      <c r="AP96" s="1"/>
      <c r="AQ96" s="1">
        <f t="shared" si="33"/>
        <v>30</v>
      </c>
      <c r="AR96" s="1">
        <f t="shared" si="34"/>
        <v>15</v>
      </c>
      <c r="AS96" t="s">
        <v>233</v>
      </c>
    </row>
    <row r="97" spans="1:45" x14ac:dyDescent="0.25">
      <c r="A97" s="1" t="s">
        <v>234</v>
      </c>
      <c r="B97" s="1" t="s">
        <v>50</v>
      </c>
      <c r="C97" s="1">
        <v>405</v>
      </c>
      <c r="D97" s="1"/>
      <c r="E97" s="1">
        <v>259</v>
      </c>
      <c r="F97" s="1">
        <v>133</v>
      </c>
      <c r="G97" s="7">
        <v>0.3</v>
      </c>
      <c r="H97" s="1">
        <v>40</v>
      </c>
      <c r="I97" s="1" t="s">
        <v>43</v>
      </c>
      <c r="J97" s="1"/>
      <c r="K97" s="1">
        <v>262</v>
      </c>
      <c r="L97" s="1">
        <f t="shared" si="28"/>
        <v>-3</v>
      </c>
      <c r="M97" s="1"/>
      <c r="N97" s="1"/>
      <c r="O97" s="1">
        <v>305.35000000000002</v>
      </c>
      <c r="P97" s="1"/>
      <c r="Q97" s="1"/>
      <c r="R97" s="1"/>
      <c r="S97" s="1"/>
      <c r="T97" s="1"/>
      <c r="U97" s="24"/>
      <c r="V97" s="24"/>
      <c r="W97" s="1">
        <f t="shared" si="29"/>
        <v>51.8</v>
      </c>
      <c r="X97" s="5">
        <f>12*W97-S97-O97-F97</f>
        <v>183.24999999999989</v>
      </c>
      <c r="Y97" s="5">
        <f t="shared" si="39"/>
        <v>183.24999999999989</v>
      </c>
      <c r="Z97" s="5">
        <f>Y97-AC97</f>
        <v>183.24999999999989</v>
      </c>
      <c r="AA97" s="5"/>
      <c r="AB97" s="5"/>
      <c r="AC97" s="5"/>
      <c r="AD97" s="1">
        <f t="shared" si="31"/>
        <v>11.999999999999998</v>
      </c>
      <c r="AE97" s="1">
        <f t="shared" si="32"/>
        <v>8.462355212355213</v>
      </c>
      <c r="AF97" s="1">
        <v>50</v>
      </c>
      <c r="AG97" s="1">
        <v>29.2</v>
      </c>
      <c r="AH97" s="1">
        <v>25</v>
      </c>
      <c r="AI97" s="1">
        <v>42.4</v>
      </c>
      <c r="AJ97" s="1">
        <v>77.2</v>
      </c>
      <c r="AK97" s="1">
        <v>35.6</v>
      </c>
      <c r="AL97" s="1">
        <v>32.200000000000003</v>
      </c>
      <c r="AM97" s="1">
        <v>46.4</v>
      </c>
      <c r="AN97" s="1">
        <v>46.4</v>
      </c>
      <c r="AO97" s="1">
        <v>33.799999999999997</v>
      </c>
      <c r="AP97" s="1"/>
      <c r="AQ97" s="1">
        <f t="shared" si="33"/>
        <v>55</v>
      </c>
      <c r="AR97" s="1">
        <f t="shared" si="34"/>
        <v>0</v>
      </c>
      <c r="AS97" t="s">
        <v>235</v>
      </c>
    </row>
    <row r="98" spans="1:45" x14ac:dyDescent="0.25">
      <c r="A98" s="9" t="s">
        <v>236</v>
      </c>
      <c r="B98" s="9" t="s">
        <v>50</v>
      </c>
      <c r="C98" s="9"/>
      <c r="D98" s="9"/>
      <c r="E98" s="9"/>
      <c r="F98" s="9"/>
      <c r="G98" s="10">
        <v>0</v>
      </c>
      <c r="H98" s="9"/>
      <c r="I98" s="9" t="s">
        <v>43</v>
      </c>
      <c r="J98" s="9"/>
      <c r="K98" s="9"/>
      <c r="L98" s="9">
        <f t="shared" si="28"/>
        <v>0</v>
      </c>
      <c r="M98" s="9"/>
      <c r="N98" s="9"/>
      <c r="O98" s="9">
        <v>0</v>
      </c>
      <c r="P98" s="9"/>
      <c r="Q98" s="9"/>
      <c r="R98" s="9"/>
      <c r="S98" s="9"/>
      <c r="T98" s="9"/>
      <c r="U98" s="29"/>
      <c r="V98" s="29"/>
      <c r="W98" s="9">
        <f t="shared" si="29"/>
        <v>0</v>
      </c>
      <c r="X98" s="11"/>
      <c r="Y98" s="5">
        <f t="shared" si="39"/>
        <v>0</v>
      </c>
      <c r="Z98" s="5">
        <f>Y98-AC98</f>
        <v>0</v>
      </c>
      <c r="AA98" s="5"/>
      <c r="AB98" s="5"/>
      <c r="AC98" s="11"/>
      <c r="AD98" s="1" t="e">
        <f t="shared" si="31"/>
        <v>#DIV/0!</v>
      </c>
      <c r="AE98" s="9" t="e">
        <f t="shared" si="32"/>
        <v>#DIV/0!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 t="s">
        <v>51</v>
      </c>
      <c r="AQ98" s="1">
        <f t="shared" si="33"/>
        <v>0</v>
      </c>
      <c r="AR98" s="1">
        <f t="shared" si="34"/>
        <v>0</v>
      </c>
      <c r="AS98" t="s">
        <v>237</v>
      </c>
    </row>
    <row r="99" spans="1:45" x14ac:dyDescent="0.25">
      <c r="A99" s="1" t="s">
        <v>238</v>
      </c>
      <c r="B99" s="1" t="s">
        <v>50</v>
      </c>
      <c r="C99" s="1">
        <v>168</v>
      </c>
      <c r="D99" s="1">
        <v>1</v>
      </c>
      <c r="E99" s="1">
        <v>167</v>
      </c>
      <c r="F99" s="1">
        <v>1</v>
      </c>
      <c r="G99" s="7">
        <v>7.0000000000000007E-2</v>
      </c>
      <c r="H99" s="1">
        <v>90</v>
      </c>
      <c r="I99" s="13" t="s">
        <v>87</v>
      </c>
      <c r="J99" s="1"/>
      <c r="K99" s="1">
        <v>192</v>
      </c>
      <c r="L99" s="1">
        <f t="shared" si="28"/>
        <v>-25</v>
      </c>
      <c r="M99" s="1"/>
      <c r="N99" s="1"/>
      <c r="O99" s="1">
        <v>100</v>
      </c>
      <c r="P99" s="1"/>
      <c r="Q99" s="1"/>
      <c r="R99" s="1"/>
      <c r="S99" s="1"/>
      <c r="T99" s="1"/>
      <c r="U99" s="24"/>
      <c r="V99" s="24"/>
      <c r="W99" s="1">
        <f t="shared" si="29"/>
        <v>33.4</v>
      </c>
      <c r="X99" s="5">
        <v>100</v>
      </c>
      <c r="Y99" s="5">
        <f t="shared" si="39"/>
        <v>100</v>
      </c>
      <c r="Z99" s="5">
        <f>X99</f>
        <v>100</v>
      </c>
      <c r="AA99" s="5"/>
      <c r="AB99" s="5"/>
      <c r="AC99" s="5">
        <f>X99*0.5</f>
        <v>50</v>
      </c>
      <c r="AD99" s="1">
        <f t="shared" si="31"/>
        <v>7.5149700598802402</v>
      </c>
      <c r="AE99" s="1">
        <f t="shared" si="32"/>
        <v>3.0239520958083834</v>
      </c>
      <c r="AF99" s="1">
        <v>39.6</v>
      </c>
      <c r="AG99" s="1">
        <v>10.4</v>
      </c>
      <c r="AH99" s="1">
        <v>7.4</v>
      </c>
      <c r="AI99" s="1">
        <v>34.200000000000003</v>
      </c>
      <c r="AJ99" s="1">
        <v>44</v>
      </c>
      <c r="AK99" s="1">
        <v>36.6</v>
      </c>
      <c r="AL99" s="1">
        <v>20</v>
      </c>
      <c r="AM99" s="1">
        <v>18.399999999999999</v>
      </c>
      <c r="AN99" s="1">
        <v>31.6</v>
      </c>
      <c r="AO99" s="1">
        <v>34.799999999999997</v>
      </c>
      <c r="AP99" s="1"/>
      <c r="AQ99" s="1">
        <f t="shared" si="33"/>
        <v>7</v>
      </c>
      <c r="AR99" s="1">
        <f t="shared" si="34"/>
        <v>4</v>
      </c>
      <c r="AS99" t="s">
        <v>239</v>
      </c>
    </row>
    <row r="100" spans="1:45" x14ac:dyDescent="0.25">
      <c r="A100" s="1" t="s">
        <v>240</v>
      </c>
      <c r="B100" s="1" t="s">
        <v>50</v>
      </c>
      <c r="C100" s="1">
        <v>175</v>
      </c>
      <c r="D100" s="1">
        <v>163</v>
      </c>
      <c r="E100" s="1">
        <v>197</v>
      </c>
      <c r="F100" s="1">
        <v>125</v>
      </c>
      <c r="G100" s="7">
        <v>7.0000000000000007E-2</v>
      </c>
      <c r="H100" s="1">
        <v>90</v>
      </c>
      <c r="I100" s="1" t="s">
        <v>43</v>
      </c>
      <c r="J100" s="1"/>
      <c r="K100" s="1">
        <v>199</v>
      </c>
      <c r="L100" s="1">
        <f t="shared" si="28"/>
        <v>-2</v>
      </c>
      <c r="M100" s="1"/>
      <c r="N100" s="1"/>
      <c r="O100" s="1">
        <v>140.2880000000001</v>
      </c>
      <c r="P100" s="1"/>
      <c r="Q100" s="1"/>
      <c r="R100" s="1"/>
      <c r="S100" s="1"/>
      <c r="T100" s="1"/>
      <c r="U100" s="24"/>
      <c r="V100" s="24"/>
      <c r="W100" s="1">
        <f t="shared" si="29"/>
        <v>39.4</v>
      </c>
      <c r="X100" s="5">
        <f>12*W100-S100-O100-F100</f>
        <v>207.51199999999983</v>
      </c>
      <c r="Y100" s="5">
        <f t="shared" si="39"/>
        <v>207.51199999999983</v>
      </c>
      <c r="Z100" s="5">
        <f>Y100-AC100</f>
        <v>79.892119999999935</v>
      </c>
      <c r="AA100" s="5"/>
      <c r="AB100" s="5"/>
      <c r="AC100" s="5">
        <f>Y100*$AC$1</f>
        <v>127.6198799999999</v>
      </c>
      <c r="AD100" s="1">
        <f t="shared" si="31"/>
        <v>12</v>
      </c>
      <c r="AE100" s="1">
        <f t="shared" si="32"/>
        <v>6.7331979695431503</v>
      </c>
      <c r="AF100" s="1">
        <v>31.2</v>
      </c>
      <c r="AG100" s="1">
        <v>27.2</v>
      </c>
      <c r="AH100" s="1">
        <v>32.200000000000003</v>
      </c>
      <c r="AI100" s="1">
        <v>35.6</v>
      </c>
      <c r="AJ100" s="1">
        <v>33.4</v>
      </c>
      <c r="AK100" s="1">
        <v>25.8</v>
      </c>
      <c r="AL100" s="1">
        <v>27.4</v>
      </c>
      <c r="AM100" s="1">
        <v>26.6</v>
      </c>
      <c r="AN100" s="1">
        <v>23.6</v>
      </c>
      <c r="AO100" s="1">
        <v>23.2</v>
      </c>
      <c r="AP100" s="1"/>
      <c r="AQ100" s="1">
        <f t="shared" si="33"/>
        <v>6</v>
      </c>
      <c r="AR100" s="1">
        <f t="shared" si="34"/>
        <v>9</v>
      </c>
      <c r="AS100" t="s">
        <v>241</v>
      </c>
    </row>
    <row r="101" spans="1:45" x14ac:dyDescent="0.25">
      <c r="A101" s="9" t="s">
        <v>242</v>
      </c>
      <c r="B101" s="9" t="s">
        <v>50</v>
      </c>
      <c r="C101" s="9">
        <v>2</v>
      </c>
      <c r="D101" s="9"/>
      <c r="E101" s="9"/>
      <c r="F101" s="9">
        <v>2</v>
      </c>
      <c r="G101" s="10">
        <v>0</v>
      </c>
      <c r="H101" s="9">
        <v>90</v>
      </c>
      <c r="I101" s="9" t="s">
        <v>64</v>
      </c>
      <c r="J101" s="9"/>
      <c r="K101" s="9">
        <v>37</v>
      </c>
      <c r="L101" s="9">
        <f t="shared" si="28"/>
        <v>-37</v>
      </c>
      <c r="M101" s="9"/>
      <c r="N101" s="9"/>
      <c r="O101" s="9">
        <v>0</v>
      </c>
      <c r="P101" s="9"/>
      <c r="Q101" s="9"/>
      <c r="R101" s="9"/>
      <c r="S101" s="9"/>
      <c r="T101" s="9"/>
      <c r="U101" s="29"/>
      <c r="V101" s="29"/>
      <c r="W101" s="9">
        <f t="shared" si="29"/>
        <v>0</v>
      </c>
      <c r="X101" s="11"/>
      <c r="Y101" s="5">
        <f t="shared" si="39"/>
        <v>0</v>
      </c>
      <c r="Z101" s="5">
        <f>Y101-AC101</f>
        <v>0</v>
      </c>
      <c r="AA101" s="5"/>
      <c r="AB101" s="5"/>
      <c r="AC101" s="11"/>
      <c r="AD101" s="1" t="e">
        <f t="shared" si="31"/>
        <v>#DIV/0!</v>
      </c>
      <c r="AE101" s="9" t="e">
        <f t="shared" si="32"/>
        <v>#DIV/0!</v>
      </c>
      <c r="AF101" s="9">
        <v>-0.4</v>
      </c>
      <c r="AG101" s="9">
        <v>0.4</v>
      </c>
      <c r="AH101" s="9">
        <v>1.6</v>
      </c>
      <c r="AI101" s="9">
        <v>15.4</v>
      </c>
      <c r="AJ101" s="9">
        <v>25</v>
      </c>
      <c r="AK101" s="9">
        <v>18.2</v>
      </c>
      <c r="AL101" s="9">
        <v>13.4</v>
      </c>
      <c r="AM101" s="9">
        <v>16.8</v>
      </c>
      <c r="AN101" s="9">
        <v>20</v>
      </c>
      <c r="AO101" s="9">
        <v>19.2</v>
      </c>
      <c r="AP101" s="9"/>
      <c r="AQ101" s="1">
        <f t="shared" si="33"/>
        <v>0</v>
      </c>
      <c r="AR101" s="1">
        <f t="shared" si="34"/>
        <v>0</v>
      </c>
      <c r="AS101" t="s">
        <v>243</v>
      </c>
    </row>
    <row r="102" spans="1:45" x14ac:dyDescent="0.25">
      <c r="A102" s="1" t="s">
        <v>244</v>
      </c>
      <c r="B102" s="1" t="s">
        <v>50</v>
      </c>
      <c r="C102" s="1">
        <v>8</v>
      </c>
      <c r="D102" s="1">
        <v>252</v>
      </c>
      <c r="E102" s="1">
        <v>95</v>
      </c>
      <c r="F102" s="1">
        <v>147</v>
      </c>
      <c r="G102" s="7">
        <v>0.3</v>
      </c>
      <c r="H102" s="1">
        <v>40</v>
      </c>
      <c r="I102" s="1" t="s">
        <v>43</v>
      </c>
      <c r="J102" s="1"/>
      <c r="K102" s="1">
        <v>130</v>
      </c>
      <c r="L102" s="1">
        <f t="shared" ref="L102:L133" si="43">E102-K102</f>
        <v>-35</v>
      </c>
      <c r="M102" s="1"/>
      <c r="N102" s="1"/>
      <c r="O102" s="1">
        <v>17.600000000000019</v>
      </c>
      <c r="P102" s="1"/>
      <c r="Q102" s="1"/>
      <c r="R102" s="1"/>
      <c r="S102" s="1"/>
      <c r="T102" s="1"/>
      <c r="U102" s="24"/>
      <c r="V102" s="24"/>
      <c r="W102" s="1">
        <f t="shared" ref="W102:W134" si="44">E102/5</f>
        <v>19</v>
      </c>
      <c r="X102" s="5">
        <f>12*W102-S102-O102-F102</f>
        <v>63.399999999999977</v>
      </c>
      <c r="Y102" s="5">
        <f t="shared" si="39"/>
        <v>63.399999999999977</v>
      </c>
      <c r="Z102" s="5">
        <f>Y102-AC102</f>
        <v>63.399999999999977</v>
      </c>
      <c r="AA102" s="5">
        <v>-66</v>
      </c>
      <c r="AB102" s="5"/>
      <c r="AC102" s="5"/>
      <c r="AD102" s="1">
        <f t="shared" ref="AD102:AD133" si="45">(F102+O102+S102+Z102+AC102)/W102</f>
        <v>12</v>
      </c>
      <c r="AE102" s="1">
        <f t="shared" ref="AE102:AE134" si="46">(F102+O102+S102)/W102</f>
        <v>8.6631578947368428</v>
      </c>
      <c r="AF102" s="1">
        <v>18.8</v>
      </c>
      <c r="AG102" s="1">
        <v>21</v>
      </c>
      <c r="AH102" s="1">
        <v>17.2</v>
      </c>
      <c r="AI102" s="1">
        <v>1.8</v>
      </c>
      <c r="AJ102" s="1">
        <v>0</v>
      </c>
      <c r="AK102" s="1">
        <v>35.200000000000003</v>
      </c>
      <c r="AL102" s="1">
        <v>41.4</v>
      </c>
      <c r="AM102" s="1">
        <v>45.4</v>
      </c>
      <c r="AN102" s="1">
        <v>42</v>
      </c>
      <c r="AO102" s="1">
        <v>32.799999999999997</v>
      </c>
      <c r="AP102" s="1"/>
      <c r="AQ102" s="1">
        <f t="shared" ref="AQ102:AQ134" si="47">ROUND(G102*Z102,0)</f>
        <v>19</v>
      </c>
      <c r="AR102" s="1">
        <f t="shared" ref="AR102:AR134" si="48">ROUND(G102*AC102,0)</f>
        <v>0</v>
      </c>
      <c r="AS102" t="s">
        <v>245</v>
      </c>
    </row>
    <row r="103" spans="1:45" x14ac:dyDescent="0.25">
      <c r="A103" s="1" t="s">
        <v>246</v>
      </c>
      <c r="B103" s="1" t="s">
        <v>42</v>
      </c>
      <c r="C103" s="1">
        <v>63.856000000000002</v>
      </c>
      <c r="D103" s="1">
        <v>123.205</v>
      </c>
      <c r="E103" s="1">
        <v>106.28700000000001</v>
      </c>
      <c r="F103" s="1">
        <v>48.77</v>
      </c>
      <c r="G103" s="7">
        <v>1</v>
      </c>
      <c r="H103" s="1">
        <v>55</v>
      </c>
      <c r="I103" s="13" t="s">
        <v>87</v>
      </c>
      <c r="J103" s="1"/>
      <c r="K103" s="1">
        <v>111.5</v>
      </c>
      <c r="L103" s="1">
        <f t="shared" si="43"/>
        <v>-5.2129999999999939</v>
      </c>
      <c r="M103" s="1"/>
      <c r="N103" s="1"/>
      <c r="O103" s="1">
        <v>100</v>
      </c>
      <c r="P103" s="1"/>
      <c r="Q103" s="1"/>
      <c r="R103" s="1"/>
      <c r="S103" s="1"/>
      <c r="T103" s="1"/>
      <c r="U103" s="24"/>
      <c r="V103" s="24"/>
      <c r="W103" s="1">
        <f t="shared" si="44"/>
        <v>21.257400000000001</v>
      </c>
      <c r="X103" s="5">
        <v>80</v>
      </c>
      <c r="Y103" s="5">
        <f t="shared" si="39"/>
        <v>80</v>
      </c>
      <c r="Z103" s="5">
        <f>X103</f>
        <v>80</v>
      </c>
      <c r="AA103" s="5"/>
      <c r="AB103" s="5"/>
      <c r="AC103" s="5">
        <f>X103*0.5</f>
        <v>40</v>
      </c>
      <c r="AD103" s="1">
        <f t="shared" si="45"/>
        <v>12.643597053261452</v>
      </c>
      <c r="AE103" s="1">
        <f t="shared" si="46"/>
        <v>6.9985040503542297</v>
      </c>
      <c r="AF103" s="1">
        <v>25.684999999999999</v>
      </c>
      <c r="AG103" s="1">
        <v>22.070399999999999</v>
      </c>
      <c r="AH103" s="1">
        <v>19.931000000000001</v>
      </c>
      <c r="AI103" s="1">
        <v>16.528400000000001</v>
      </c>
      <c r="AJ103" s="1">
        <v>14.6228</v>
      </c>
      <c r="AK103" s="1">
        <v>16.844999999999999</v>
      </c>
      <c r="AL103" s="1">
        <v>18.491800000000001</v>
      </c>
      <c r="AM103" s="1">
        <v>20.605</v>
      </c>
      <c r="AN103" s="1">
        <v>20.893799999999999</v>
      </c>
      <c r="AO103" s="1">
        <v>18.738800000000001</v>
      </c>
      <c r="AP103" s="1"/>
      <c r="AQ103" s="1">
        <f t="shared" si="47"/>
        <v>80</v>
      </c>
      <c r="AR103" s="1">
        <f t="shared" si="48"/>
        <v>40</v>
      </c>
      <c r="AS103" t="s">
        <v>247</v>
      </c>
    </row>
    <row r="104" spans="1:45" x14ac:dyDescent="0.25">
      <c r="A104" s="9" t="s">
        <v>248</v>
      </c>
      <c r="B104" s="9" t="s">
        <v>50</v>
      </c>
      <c r="C104" s="9"/>
      <c r="D104" s="9"/>
      <c r="E104" s="9"/>
      <c r="F104" s="9"/>
      <c r="G104" s="10">
        <v>0</v>
      </c>
      <c r="H104" s="9"/>
      <c r="I104" s="9" t="s">
        <v>43</v>
      </c>
      <c r="J104" s="9"/>
      <c r="K104" s="9"/>
      <c r="L104" s="9">
        <f t="shared" si="43"/>
        <v>0</v>
      </c>
      <c r="M104" s="9"/>
      <c r="N104" s="9"/>
      <c r="O104" s="9">
        <v>0</v>
      </c>
      <c r="P104" s="9"/>
      <c r="Q104" s="9"/>
      <c r="R104" s="9"/>
      <c r="S104" s="9"/>
      <c r="T104" s="9"/>
      <c r="U104" s="29"/>
      <c r="V104" s="29"/>
      <c r="W104" s="9">
        <f t="shared" si="44"/>
        <v>0</v>
      </c>
      <c r="X104" s="11"/>
      <c r="Y104" s="5">
        <f t="shared" si="39"/>
        <v>0</v>
      </c>
      <c r="Z104" s="5">
        <f>Y104-AC104</f>
        <v>0</v>
      </c>
      <c r="AA104" s="5"/>
      <c r="AB104" s="5"/>
      <c r="AC104" s="11"/>
      <c r="AD104" s="1" t="e">
        <f t="shared" si="45"/>
        <v>#DIV/0!</v>
      </c>
      <c r="AE104" s="9" t="e">
        <f t="shared" si="46"/>
        <v>#DIV/0!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 t="s">
        <v>51</v>
      </c>
      <c r="AQ104" s="1">
        <f t="shared" si="47"/>
        <v>0</v>
      </c>
      <c r="AR104" s="1">
        <f t="shared" si="48"/>
        <v>0</v>
      </c>
      <c r="AS104" t="s">
        <v>249</v>
      </c>
    </row>
    <row r="105" spans="1:45" x14ac:dyDescent="0.25">
      <c r="A105" s="1" t="s">
        <v>250</v>
      </c>
      <c r="B105" s="1" t="s">
        <v>50</v>
      </c>
      <c r="C105" s="1">
        <v>13</v>
      </c>
      <c r="D105" s="1">
        <v>22</v>
      </c>
      <c r="E105" s="1">
        <v>18</v>
      </c>
      <c r="F105" s="1">
        <v>13</v>
      </c>
      <c r="G105" s="7">
        <v>0.1</v>
      </c>
      <c r="H105" s="1">
        <v>30</v>
      </c>
      <c r="I105" s="1" t="s">
        <v>43</v>
      </c>
      <c r="J105" s="1"/>
      <c r="K105" s="1">
        <v>22</v>
      </c>
      <c r="L105" s="1">
        <f t="shared" si="43"/>
        <v>-4</v>
      </c>
      <c r="M105" s="1"/>
      <c r="N105" s="1"/>
      <c r="O105" s="1">
        <v>0</v>
      </c>
      <c r="P105" s="1"/>
      <c r="Q105" s="1"/>
      <c r="R105" s="1"/>
      <c r="S105" s="1"/>
      <c r="T105" s="1"/>
      <c r="U105" s="24"/>
      <c r="V105" s="24"/>
      <c r="W105" s="1">
        <f t="shared" si="44"/>
        <v>3.6</v>
      </c>
      <c r="X105" s="5">
        <f>11*W105-S105-O105-F105</f>
        <v>26.6</v>
      </c>
      <c r="Y105" s="5">
        <f t="shared" si="39"/>
        <v>26.6</v>
      </c>
      <c r="Z105" s="5">
        <f>Y105-AC105</f>
        <v>26.6</v>
      </c>
      <c r="AA105" s="5">
        <v>-30</v>
      </c>
      <c r="AB105" s="5"/>
      <c r="AC105" s="5"/>
      <c r="AD105" s="1">
        <f t="shared" si="45"/>
        <v>11</v>
      </c>
      <c r="AE105" s="1">
        <f t="shared" si="46"/>
        <v>3.6111111111111112</v>
      </c>
      <c r="AF105" s="1">
        <v>1.8</v>
      </c>
      <c r="AG105" s="1">
        <v>1.4</v>
      </c>
      <c r="AH105" s="1">
        <v>-0.4</v>
      </c>
      <c r="AI105" s="1">
        <v>3</v>
      </c>
      <c r="AJ105" s="1">
        <v>2.8</v>
      </c>
      <c r="AK105" s="1">
        <v>0.2</v>
      </c>
      <c r="AL105" s="1">
        <v>1.6</v>
      </c>
      <c r="AM105" s="1">
        <v>1.8</v>
      </c>
      <c r="AN105" s="1">
        <v>2</v>
      </c>
      <c r="AO105" s="1">
        <v>1.4</v>
      </c>
      <c r="AP105" s="1"/>
      <c r="AQ105" s="1">
        <f t="shared" si="47"/>
        <v>3</v>
      </c>
      <c r="AR105" s="1">
        <f t="shared" si="48"/>
        <v>0</v>
      </c>
      <c r="AS105" t="s">
        <v>251</v>
      </c>
    </row>
    <row r="106" spans="1:45" x14ac:dyDescent="0.25">
      <c r="A106" s="1" t="s">
        <v>252</v>
      </c>
      <c r="B106" s="1" t="s">
        <v>50</v>
      </c>
      <c r="C106" s="1">
        <v>129</v>
      </c>
      <c r="D106" s="1">
        <v>443</v>
      </c>
      <c r="E106" s="1">
        <v>278</v>
      </c>
      <c r="F106" s="1">
        <v>257</v>
      </c>
      <c r="G106" s="7">
        <v>0.08</v>
      </c>
      <c r="H106" s="1">
        <v>45</v>
      </c>
      <c r="I106" s="1" t="s">
        <v>43</v>
      </c>
      <c r="J106" s="1"/>
      <c r="K106" s="1">
        <v>290</v>
      </c>
      <c r="L106" s="1">
        <f t="shared" si="43"/>
        <v>-12</v>
      </c>
      <c r="M106" s="1"/>
      <c r="N106" s="1"/>
      <c r="O106" s="1">
        <v>256.92440000000039</v>
      </c>
      <c r="P106" s="1"/>
      <c r="Q106" s="1"/>
      <c r="R106" s="1"/>
      <c r="S106" s="1"/>
      <c r="T106" s="1"/>
      <c r="U106" s="24"/>
      <c r="V106" s="24"/>
      <c r="W106" s="1">
        <f t="shared" si="44"/>
        <v>55.6</v>
      </c>
      <c r="X106" s="5">
        <f>12*W106-S106-O106-F106</f>
        <v>153.27559999999966</v>
      </c>
      <c r="Y106" s="5">
        <f t="shared" si="39"/>
        <v>153.27559999999966</v>
      </c>
      <c r="Z106" s="5">
        <f>Y106-AC106</f>
        <v>153.27559999999966</v>
      </c>
      <c r="AA106" s="5"/>
      <c r="AB106" s="5"/>
      <c r="AC106" s="5"/>
      <c r="AD106" s="1">
        <f t="shared" si="45"/>
        <v>12</v>
      </c>
      <c r="AE106" s="1">
        <f t="shared" si="46"/>
        <v>9.243244604316553</v>
      </c>
      <c r="AF106" s="1">
        <v>57.2</v>
      </c>
      <c r="AG106" s="1">
        <v>45.8</v>
      </c>
      <c r="AH106" s="1">
        <v>48.4</v>
      </c>
      <c r="AI106" s="1">
        <v>52.4</v>
      </c>
      <c r="AJ106" s="1">
        <v>43.2</v>
      </c>
      <c r="AK106" s="1">
        <v>38.799999999999997</v>
      </c>
      <c r="AL106" s="1">
        <v>42.2</v>
      </c>
      <c r="AM106" s="1">
        <v>43.2</v>
      </c>
      <c r="AN106" s="1">
        <v>37.6</v>
      </c>
      <c r="AO106" s="1">
        <v>41.6</v>
      </c>
      <c r="AP106" s="1"/>
      <c r="AQ106" s="1">
        <f t="shared" si="47"/>
        <v>12</v>
      </c>
      <c r="AR106" s="1">
        <f t="shared" si="48"/>
        <v>0</v>
      </c>
      <c r="AS106" t="s">
        <v>253</v>
      </c>
    </row>
    <row r="107" spans="1:45" x14ac:dyDescent="0.25">
      <c r="A107" s="1" t="s">
        <v>254</v>
      </c>
      <c r="B107" s="1" t="s">
        <v>50</v>
      </c>
      <c r="C107" s="1">
        <v>294</v>
      </c>
      <c r="D107" s="1">
        <v>111</v>
      </c>
      <c r="E107" s="1">
        <v>230</v>
      </c>
      <c r="F107" s="1">
        <v>108</v>
      </c>
      <c r="G107" s="7">
        <v>0.08</v>
      </c>
      <c r="H107" s="1">
        <v>45</v>
      </c>
      <c r="I107" s="1" t="s">
        <v>43</v>
      </c>
      <c r="J107" s="1"/>
      <c r="K107" s="1">
        <v>235</v>
      </c>
      <c r="L107" s="1">
        <f t="shared" si="43"/>
        <v>-5</v>
      </c>
      <c r="M107" s="1"/>
      <c r="N107" s="1"/>
      <c r="O107" s="1">
        <v>253.01499999999999</v>
      </c>
      <c r="P107" s="1"/>
      <c r="Q107" s="1"/>
      <c r="R107" s="1"/>
      <c r="S107" s="1"/>
      <c r="T107" s="1"/>
      <c r="U107" s="24"/>
      <c r="V107" s="24"/>
      <c r="W107" s="1">
        <f t="shared" si="44"/>
        <v>46</v>
      </c>
      <c r="X107" s="5">
        <f>12*W107-S107-O107-F107</f>
        <v>190.98500000000001</v>
      </c>
      <c r="Y107" s="5">
        <f t="shared" si="39"/>
        <v>190.98500000000001</v>
      </c>
      <c r="Z107" s="5">
        <f>Y107-AC107</f>
        <v>190.98500000000001</v>
      </c>
      <c r="AA107" s="5"/>
      <c r="AB107" s="5"/>
      <c r="AC107" s="5"/>
      <c r="AD107" s="1">
        <f t="shared" si="45"/>
        <v>12</v>
      </c>
      <c r="AE107" s="1">
        <f t="shared" si="46"/>
        <v>7.8481521739130429</v>
      </c>
      <c r="AF107" s="1">
        <v>45</v>
      </c>
      <c r="AG107" s="1">
        <v>32</v>
      </c>
      <c r="AH107" s="1">
        <v>31.4</v>
      </c>
      <c r="AI107" s="1">
        <v>45</v>
      </c>
      <c r="AJ107" s="1">
        <v>48.6</v>
      </c>
      <c r="AK107" s="1">
        <v>29</v>
      </c>
      <c r="AL107" s="1">
        <v>23</v>
      </c>
      <c r="AM107" s="1">
        <v>33.200000000000003</v>
      </c>
      <c r="AN107" s="1">
        <v>35</v>
      </c>
      <c r="AO107" s="1">
        <v>35.6</v>
      </c>
      <c r="AP107" s="1"/>
      <c r="AQ107" s="1">
        <f t="shared" si="47"/>
        <v>15</v>
      </c>
      <c r="AR107" s="1">
        <f t="shared" si="48"/>
        <v>0</v>
      </c>
      <c r="AS107" t="s">
        <v>255</v>
      </c>
    </row>
    <row r="108" spans="1:45" x14ac:dyDescent="0.25">
      <c r="A108" s="1" t="s">
        <v>256</v>
      </c>
      <c r="B108" s="1" t="s">
        <v>50</v>
      </c>
      <c r="C108" s="1">
        <v>34</v>
      </c>
      <c r="D108" s="1"/>
      <c r="E108" s="1">
        <v>8</v>
      </c>
      <c r="F108" s="1">
        <v>15</v>
      </c>
      <c r="G108" s="7">
        <v>0.17</v>
      </c>
      <c r="H108" s="1">
        <v>30</v>
      </c>
      <c r="I108" s="1" t="s">
        <v>43</v>
      </c>
      <c r="J108" s="1"/>
      <c r="K108" s="1">
        <v>8</v>
      </c>
      <c r="L108" s="1">
        <f t="shared" si="43"/>
        <v>0</v>
      </c>
      <c r="M108" s="1"/>
      <c r="N108" s="1"/>
      <c r="O108" s="1">
        <v>0</v>
      </c>
      <c r="P108" s="1"/>
      <c r="Q108" s="1"/>
      <c r="R108" s="1"/>
      <c r="S108" s="1"/>
      <c r="T108" s="1"/>
      <c r="U108" s="24"/>
      <c r="V108" s="24"/>
      <c r="W108" s="1">
        <f t="shared" si="44"/>
        <v>1.6</v>
      </c>
      <c r="X108" s="5">
        <f>12*W108-S108-O108-F108</f>
        <v>4.2000000000000028</v>
      </c>
      <c r="Y108" s="5">
        <f t="shared" si="39"/>
        <v>4.2000000000000028</v>
      </c>
      <c r="Z108" s="5">
        <f>Y108-AC108</f>
        <v>4.2000000000000028</v>
      </c>
      <c r="AA108" s="5"/>
      <c r="AB108" s="5"/>
      <c r="AC108" s="5"/>
      <c r="AD108" s="1">
        <f t="shared" si="45"/>
        <v>12.000000000000002</v>
      </c>
      <c r="AE108" s="1">
        <f t="shared" si="46"/>
        <v>9.375</v>
      </c>
      <c r="AF108" s="1">
        <v>0.2</v>
      </c>
      <c r="AG108" s="1">
        <v>0</v>
      </c>
      <c r="AH108" s="1">
        <v>-0.2</v>
      </c>
      <c r="AI108" s="1">
        <v>2</v>
      </c>
      <c r="AJ108" s="1">
        <v>4.2</v>
      </c>
      <c r="AK108" s="1">
        <v>1.6</v>
      </c>
      <c r="AL108" s="1">
        <v>0.4</v>
      </c>
      <c r="AM108" s="1">
        <v>0.4</v>
      </c>
      <c r="AN108" s="1">
        <v>1.8</v>
      </c>
      <c r="AO108" s="1">
        <v>1.4</v>
      </c>
      <c r="AP108" s="17" t="s">
        <v>257</v>
      </c>
      <c r="AQ108" s="1">
        <f t="shared" si="47"/>
        <v>1</v>
      </c>
      <c r="AR108" s="1">
        <f t="shared" si="48"/>
        <v>0</v>
      </c>
      <c r="AS108" t="s">
        <v>258</v>
      </c>
    </row>
    <row r="109" spans="1:45" x14ac:dyDescent="0.25">
      <c r="A109" s="1" t="s">
        <v>259</v>
      </c>
      <c r="B109" s="1" t="s">
        <v>42</v>
      </c>
      <c r="C109" s="1">
        <v>369.24599999999998</v>
      </c>
      <c r="D109" s="1">
        <v>350.95299999999997</v>
      </c>
      <c r="E109" s="1">
        <v>483.959</v>
      </c>
      <c r="F109" s="1">
        <v>175.27</v>
      </c>
      <c r="G109" s="7">
        <v>1</v>
      </c>
      <c r="H109" s="1">
        <v>40</v>
      </c>
      <c r="I109" s="13" t="s">
        <v>87</v>
      </c>
      <c r="J109" s="1"/>
      <c r="K109" s="1">
        <v>507.55</v>
      </c>
      <c r="L109" s="1">
        <f t="shared" si="43"/>
        <v>-23.591000000000008</v>
      </c>
      <c r="M109" s="1"/>
      <c r="N109" s="1"/>
      <c r="O109" s="1">
        <v>200</v>
      </c>
      <c r="P109" s="1"/>
      <c r="Q109" s="1"/>
      <c r="R109" s="1"/>
      <c r="S109" s="1"/>
      <c r="T109" s="1"/>
      <c r="U109" s="24"/>
      <c r="V109" s="24"/>
      <c r="W109" s="1">
        <f t="shared" si="44"/>
        <v>96.791799999999995</v>
      </c>
      <c r="X109" s="5">
        <v>200</v>
      </c>
      <c r="Y109" s="5">
        <f t="shared" si="39"/>
        <v>200</v>
      </c>
      <c r="Z109" s="5">
        <f>X109</f>
        <v>200</v>
      </c>
      <c r="AA109" s="5">
        <v>-203</v>
      </c>
      <c r="AB109" s="5"/>
      <c r="AC109" s="5">
        <f>X109*0.5</f>
        <v>100</v>
      </c>
      <c r="AD109" s="1">
        <f t="shared" si="45"/>
        <v>6.9765207383270074</v>
      </c>
      <c r="AE109" s="1">
        <f t="shared" si="46"/>
        <v>3.877084629069818</v>
      </c>
      <c r="AF109" s="1">
        <v>97.415999999999997</v>
      </c>
      <c r="AG109" s="1">
        <v>88.752200000000002</v>
      </c>
      <c r="AH109" s="1">
        <v>85.401199999999989</v>
      </c>
      <c r="AI109" s="1">
        <v>87.400199999999998</v>
      </c>
      <c r="AJ109" s="1">
        <v>80.573400000000007</v>
      </c>
      <c r="AK109" s="1">
        <v>83.3596</v>
      </c>
      <c r="AL109" s="1">
        <v>84.740200000000002</v>
      </c>
      <c r="AM109" s="1">
        <v>85.5518</v>
      </c>
      <c r="AN109" s="1">
        <v>88.798400000000001</v>
      </c>
      <c r="AO109" s="1">
        <v>81.619799999999998</v>
      </c>
      <c r="AP109" s="1"/>
      <c r="AQ109" s="1">
        <f t="shared" si="47"/>
        <v>200</v>
      </c>
      <c r="AR109" s="1">
        <f t="shared" si="48"/>
        <v>100</v>
      </c>
      <c r="AS109" t="s">
        <v>260</v>
      </c>
    </row>
    <row r="110" spans="1:45" x14ac:dyDescent="0.25">
      <c r="A110" s="1" t="s">
        <v>261</v>
      </c>
      <c r="B110" s="1" t="s">
        <v>42</v>
      </c>
      <c r="C110" s="1">
        <v>376.98599999999999</v>
      </c>
      <c r="D110" s="1">
        <v>11.577</v>
      </c>
      <c r="E110" s="1">
        <v>392.12700000000001</v>
      </c>
      <c r="F110" s="1">
        <v>-7.9160000000000004</v>
      </c>
      <c r="G110" s="7">
        <v>1</v>
      </c>
      <c r="H110" s="1">
        <v>40</v>
      </c>
      <c r="I110" s="13" t="s">
        <v>87</v>
      </c>
      <c r="J110" s="1"/>
      <c r="K110" s="1">
        <v>412.8</v>
      </c>
      <c r="L110" s="1">
        <f t="shared" si="43"/>
        <v>-20.673000000000002</v>
      </c>
      <c r="M110" s="1"/>
      <c r="N110" s="1"/>
      <c r="O110" s="1">
        <v>200</v>
      </c>
      <c r="P110" s="1"/>
      <c r="Q110" s="1"/>
      <c r="R110" s="1"/>
      <c r="S110" s="1"/>
      <c r="T110" s="1"/>
      <c r="U110" s="24"/>
      <c r="V110" s="24"/>
      <c r="W110" s="1">
        <f t="shared" si="44"/>
        <v>78.425399999999996</v>
      </c>
      <c r="X110" s="5">
        <v>200</v>
      </c>
      <c r="Y110" s="5">
        <f t="shared" si="39"/>
        <v>200</v>
      </c>
      <c r="Z110" s="5">
        <f>X110</f>
        <v>200</v>
      </c>
      <c r="AA110" s="5"/>
      <c r="AB110" s="5"/>
      <c r="AC110" s="5">
        <f>X110*0.5</f>
        <v>100</v>
      </c>
      <c r="AD110" s="1">
        <f t="shared" si="45"/>
        <v>6.2745488068916453</v>
      </c>
      <c r="AE110" s="1">
        <f t="shared" si="46"/>
        <v>2.4492575109594599</v>
      </c>
      <c r="AF110" s="1">
        <v>77.138599999999997</v>
      </c>
      <c r="AG110" s="1">
        <v>61.042400000000001</v>
      </c>
      <c r="AH110" s="1">
        <v>57.488399999999999</v>
      </c>
      <c r="AI110" s="1">
        <v>60.191400000000002</v>
      </c>
      <c r="AJ110" s="1">
        <v>58.831200000000003</v>
      </c>
      <c r="AK110" s="1">
        <v>66.663600000000002</v>
      </c>
      <c r="AL110" s="1">
        <v>64.051199999999994</v>
      </c>
      <c r="AM110" s="1">
        <v>58.3504</v>
      </c>
      <c r="AN110" s="1">
        <v>61.6798</v>
      </c>
      <c r="AO110" s="1">
        <v>49.1038</v>
      </c>
      <c r="AP110" s="1"/>
      <c r="AQ110" s="1">
        <f t="shared" si="47"/>
        <v>200</v>
      </c>
      <c r="AR110" s="1">
        <f t="shared" si="48"/>
        <v>100</v>
      </c>
      <c r="AS110" t="s">
        <v>262</v>
      </c>
    </row>
    <row r="111" spans="1:45" x14ac:dyDescent="0.25">
      <c r="A111" s="1" t="s">
        <v>153</v>
      </c>
      <c r="B111" s="1" t="s">
        <v>42</v>
      </c>
      <c r="C111" s="1">
        <v>226.59</v>
      </c>
      <c r="D111" s="1">
        <v>312.10300000000001</v>
      </c>
      <c r="E111" s="1">
        <v>454.81799999999998</v>
      </c>
      <c r="F111" s="1">
        <v>-5.3079999999999998</v>
      </c>
      <c r="G111" s="7">
        <v>1</v>
      </c>
      <c r="H111" s="1">
        <v>40</v>
      </c>
      <c r="I111" s="13" t="s">
        <v>87</v>
      </c>
      <c r="J111" s="1"/>
      <c r="K111" s="1">
        <v>480.45</v>
      </c>
      <c r="L111" s="1">
        <f t="shared" si="43"/>
        <v>-25.632000000000005</v>
      </c>
      <c r="M111" s="1"/>
      <c r="N111" s="1"/>
      <c r="O111" s="1">
        <v>300</v>
      </c>
      <c r="P111" s="1">
        <v>-301</v>
      </c>
      <c r="Q111" s="1"/>
      <c r="R111" s="1"/>
      <c r="S111" s="1"/>
      <c r="T111" s="1"/>
      <c r="U111" s="24"/>
      <c r="V111" s="24"/>
      <c r="W111" s="1">
        <f t="shared" si="44"/>
        <v>90.9636</v>
      </c>
      <c r="X111" s="5">
        <v>300</v>
      </c>
      <c r="Y111" s="5">
        <f t="shared" si="39"/>
        <v>300</v>
      </c>
      <c r="Z111" s="5">
        <f>X111</f>
        <v>300</v>
      </c>
      <c r="AA111" s="5">
        <v>-301</v>
      </c>
      <c r="AB111" s="5"/>
      <c r="AC111" s="5">
        <f>X111*0.5</f>
        <v>150</v>
      </c>
      <c r="AD111" s="1">
        <f t="shared" si="45"/>
        <v>8.1867032527296626</v>
      </c>
      <c r="AE111" s="1">
        <f t="shared" si="46"/>
        <v>3.2396694941712951</v>
      </c>
      <c r="AF111" s="1">
        <v>99.641199999999998</v>
      </c>
      <c r="AG111" s="1">
        <v>90.812600000000003</v>
      </c>
      <c r="AH111" s="1">
        <v>87.560400000000001</v>
      </c>
      <c r="AI111" s="1">
        <v>101.8978</v>
      </c>
      <c r="AJ111" s="1">
        <v>89.504600000000011</v>
      </c>
      <c r="AK111" s="1">
        <v>76.044000000000011</v>
      </c>
      <c r="AL111" s="1">
        <v>82.587199999999996</v>
      </c>
      <c r="AM111" s="1">
        <v>93.196200000000005</v>
      </c>
      <c r="AN111" s="1">
        <v>104.8322</v>
      </c>
      <c r="AO111" s="1">
        <v>101.123</v>
      </c>
      <c r="AP111" s="1"/>
      <c r="AQ111" s="1">
        <f t="shared" si="47"/>
        <v>300</v>
      </c>
      <c r="AR111" s="1">
        <f t="shared" si="48"/>
        <v>150</v>
      </c>
      <c r="AS111" t="s">
        <v>263</v>
      </c>
    </row>
    <row r="112" spans="1:45" x14ac:dyDescent="0.25">
      <c r="A112" s="9" t="s">
        <v>264</v>
      </c>
      <c r="B112" s="9" t="s">
        <v>50</v>
      </c>
      <c r="C112" s="9"/>
      <c r="D112" s="9"/>
      <c r="E112" s="9"/>
      <c r="F112" s="9"/>
      <c r="G112" s="10">
        <v>0</v>
      </c>
      <c r="H112" s="9"/>
      <c r="I112" s="9" t="s">
        <v>43</v>
      </c>
      <c r="J112" s="9"/>
      <c r="K112" s="9"/>
      <c r="L112" s="9">
        <f t="shared" si="43"/>
        <v>0</v>
      </c>
      <c r="M112" s="9"/>
      <c r="N112" s="9"/>
      <c r="O112" s="9">
        <v>0</v>
      </c>
      <c r="P112" s="9"/>
      <c r="Q112" s="9"/>
      <c r="R112" s="9"/>
      <c r="S112" s="9"/>
      <c r="T112" s="9"/>
      <c r="U112" s="29"/>
      <c r="V112" s="29"/>
      <c r="W112" s="9">
        <f t="shared" si="44"/>
        <v>0</v>
      </c>
      <c r="X112" s="11"/>
      <c r="Y112" s="5">
        <f t="shared" si="39"/>
        <v>0</v>
      </c>
      <c r="Z112" s="5">
        <f>Y112-AC112</f>
        <v>0</v>
      </c>
      <c r="AA112" s="5"/>
      <c r="AB112" s="5"/>
      <c r="AC112" s="11"/>
      <c r="AD112" s="1" t="e">
        <f t="shared" si="45"/>
        <v>#DIV/0!</v>
      </c>
      <c r="AE112" s="9" t="e">
        <f t="shared" si="46"/>
        <v>#DIV/0!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 t="s">
        <v>51</v>
      </c>
      <c r="AQ112" s="1">
        <f t="shared" si="47"/>
        <v>0</v>
      </c>
      <c r="AR112" s="1">
        <f t="shared" si="48"/>
        <v>0</v>
      </c>
      <c r="AS112" t="s">
        <v>265</v>
      </c>
    </row>
    <row r="113" spans="1:48" x14ac:dyDescent="0.25">
      <c r="A113" s="1" t="s">
        <v>266</v>
      </c>
      <c r="B113" s="1" t="s">
        <v>42</v>
      </c>
      <c r="C113" s="1">
        <v>14.536</v>
      </c>
      <c r="D113" s="1"/>
      <c r="E113" s="1"/>
      <c r="F113" s="1">
        <v>14.536</v>
      </c>
      <c r="G113" s="7">
        <v>1</v>
      </c>
      <c r="H113" s="1">
        <v>55</v>
      </c>
      <c r="I113" s="1" t="s">
        <v>43</v>
      </c>
      <c r="J113" s="1"/>
      <c r="K113" s="1"/>
      <c r="L113" s="1">
        <f t="shared" si="43"/>
        <v>0</v>
      </c>
      <c r="M113" s="1"/>
      <c r="N113" s="1"/>
      <c r="O113" s="1">
        <v>0</v>
      </c>
      <c r="P113" s="1"/>
      <c r="Q113" s="1"/>
      <c r="R113" s="1"/>
      <c r="S113" s="1"/>
      <c r="T113" s="1"/>
      <c r="U113" s="24"/>
      <c r="V113" s="24"/>
      <c r="W113" s="1">
        <f t="shared" si="44"/>
        <v>0</v>
      </c>
      <c r="X113" s="5"/>
      <c r="Y113" s="5">
        <f t="shared" si="39"/>
        <v>0</v>
      </c>
      <c r="Z113" s="5">
        <f>Y113-AC113</f>
        <v>0</v>
      </c>
      <c r="AA113" s="5"/>
      <c r="AB113" s="5"/>
      <c r="AC113" s="5"/>
      <c r="AD113" s="1" t="e">
        <f t="shared" si="45"/>
        <v>#DIV/0!</v>
      </c>
      <c r="AE113" s="1" t="e">
        <f t="shared" si="46"/>
        <v>#DIV/0!</v>
      </c>
      <c r="AF113" s="1">
        <v>0.26879999999999998</v>
      </c>
      <c r="AG113" s="1">
        <v>0.54180000000000006</v>
      </c>
      <c r="AH113" s="1">
        <v>0.54720000000000002</v>
      </c>
      <c r="AI113" s="1">
        <v>1.615</v>
      </c>
      <c r="AJ113" s="1">
        <v>1.3408</v>
      </c>
      <c r="AK113" s="1">
        <v>1</v>
      </c>
      <c r="AL113" s="1">
        <v>1.2816000000000001</v>
      </c>
      <c r="AM113" s="1">
        <v>0.28160000000000002</v>
      </c>
      <c r="AN113" s="1">
        <v>0</v>
      </c>
      <c r="AO113" s="1">
        <v>0.29120000000000001</v>
      </c>
      <c r="AP113" s="16" t="s">
        <v>267</v>
      </c>
      <c r="AQ113" s="1">
        <f t="shared" si="47"/>
        <v>0</v>
      </c>
      <c r="AR113" s="1">
        <f t="shared" si="48"/>
        <v>0</v>
      </c>
      <c r="AS113" t="s">
        <v>268</v>
      </c>
    </row>
    <row r="114" spans="1:48" x14ac:dyDescent="0.25">
      <c r="A114" s="1" t="s">
        <v>269</v>
      </c>
      <c r="B114" s="1" t="s">
        <v>50</v>
      </c>
      <c r="C114" s="1">
        <v>199</v>
      </c>
      <c r="D114" s="1">
        <v>313</v>
      </c>
      <c r="E114" s="1">
        <v>354</v>
      </c>
      <c r="F114" s="1">
        <v>105</v>
      </c>
      <c r="G114" s="7">
        <v>0.28000000000000003</v>
      </c>
      <c r="H114" s="1">
        <v>40</v>
      </c>
      <c r="I114" s="1" t="s">
        <v>43</v>
      </c>
      <c r="J114" s="1"/>
      <c r="K114" s="1">
        <v>376</v>
      </c>
      <c r="L114" s="1">
        <f t="shared" si="43"/>
        <v>-22</v>
      </c>
      <c r="M114" s="1"/>
      <c r="N114" s="1"/>
      <c r="O114" s="1">
        <v>388.35500000000002</v>
      </c>
      <c r="P114" s="1"/>
      <c r="Q114" s="1"/>
      <c r="R114" s="1"/>
      <c r="S114" s="1"/>
      <c r="T114" s="1"/>
      <c r="U114" s="24"/>
      <c r="V114" s="24"/>
      <c r="W114" s="1">
        <f t="shared" si="44"/>
        <v>70.8</v>
      </c>
      <c r="X114" s="5">
        <f>12*W114-S114-O114-F114</f>
        <v>356.24499999999989</v>
      </c>
      <c r="Y114" s="5">
        <f t="shared" si="39"/>
        <v>356.24499999999989</v>
      </c>
      <c r="Z114" s="5">
        <f>Y114-AC114</f>
        <v>137.15432499999997</v>
      </c>
      <c r="AA114" s="5">
        <v>-138</v>
      </c>
      <c r="AB114" s="5"/>
      <c r="AC114" s="5">
        <f>Y114*$AC$1</f>
        <v>219.09067499999992</v>
      </c>
      <c r="AD114" s="1">
        <f t="shared" si="45"/>
        <v>12</v>
      </c>
      <c r="AE114" s="1">
        <f t="shared" si="46"/>
        <v>6.968290960451978</v>
      </c>
      <c r="AF114" s="1">
        <v>65</v>
      </c>
      <c r="AG114" s="1">
        <v>39</v>
      </c>
      <c r="AH114" s="1">
        <v>37.4</v>
      </c>
      <c r="AI114" s="1">
        <v>79.400000000000006</v>
      </c>
      <c r="AJ114" s="1">
        <v>86.4</v>
      </c>
      <c r="AK114" s="1">
        <v>61.8</v>
      </c>
      <c r="AL114" s="1">
        <v>64.599999999999994</v>
      </c>
      <c r="AM114" s="1">
        <v>68.400000000000006</v>
      </c>
      <c r="AN114" s="1">
        <v>56</v>
      </c>
      <c r="AO114" s="1">
        <v>64.599999999999994</v>
      </c>
      <c r="AP114" s="1"/>
      <c r="AQ114" s="1">
        <f t="shared" si="47"/>
        <v>38</v>
      </c>
      <c r="AR114" s="1">
        <f t="shared" si="48"/>
        <v>61</v>
      </c>
      <c r="AS114" t="s">
        <v>270</v>
      </c>
    </row>
    <row r="115" spans="1:48" x14ac:dyDescent="0.25">
      <c r="A115" s="9" t="s">
        <v>271</v>
      </c>
      <c r="B115" s="9" t="s">
        <v>50</v>
      </c>
      <c r="C115" s="9"/>
      <c r="D115" s="9"/>
      <c r="E115" s="9"/>
      <c r="F115" s="9"/>
      <c r="G115" s="10">
        <v>0</v>
      </c>
      <c r="H115" s="9"/>
      <c r="I115" s="9" t="s">
        <v>43</v>
      </c>
      <c r="J115" s="9"/>
      <c r="K115" s="9">
        <v>2</v>
      </c>
      <c r="L115" s="9">
        <f t="shared" si="43"/>
        <v>-2</v>
      </c>
      <c r="M115" s="9"/>
      <c r="N115" s="9"/>
      <c r="O115" s="9">
        <v>0</v>
      </c>
      <c r="P115" s="9"/>
      <c r="Q115" s="9"/>
      <c r="R115" s="9"/>
      <c r="S115" s="9"/>
      <c r="T115" s="9"/>
      <c r="U115" s="29"/>
      <c r="V115" s="29"/>
      <c r="W115" s="9">
        <f t="shared" si="44"/>
        <v>0</v>
      </c>
      <c r="X115" s="11"/>
      <c r="Y115" s="5">
        <f t="shared" si="39"/>
        <v>0</v>
      </c>
      <c r="Z115" s="5">
        <f>Y115-AC115</f>
        <v>0</v>
      </c>
      <c r="AA115" s="5"/>
      <c r="AB115" s="5"/>
      <c r="AC115" s="11"/>
      <c r="AD115" s="1" t="e">
        <f t="shared" si="45"/>
        <v>#DIV/0!</v>
      </c>
      <c r="AE115" s="9" t="e">
        <f t="shared" si="46"/>
        <v>#DIV/0!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 t="s">
        <v>51</v>
      </c>
      <c r="AQ115" s="1">
        <f t="shared" si="47"/>
        <v>0</v>
      </c>
      <c r="AR115" s="1">
        <f t="shared" si="48"/>
        <v>0</v>
      </c>
      <c r="AS115" t="s">
        <v>272</v>
      </c>
    </row>
    <row r="116" spans="1:48" x14ac:dyDescent="0.25">
      <c r="A116" s="1" t="s">
        <v>273</v>
      </c>
      <c r="B116" s="1" t="s">
        <v>50</v>
      </c>
      <c r="C116" s="1">
        <v>272</v>
      </c>
      <c r="D116" s="1">
        <v>278</v>
      </c>
      <c r="E116" s="1">
        <v>382</v>
      </c>
      <c r="F116" s="1">
        <v>123</v>
      </c>
      <c r="G116" s="7">
        <v>0.28000000000000003</v>
      </c>
      <c r="H116" s="1">
        <v>40</v>
      </c>
      <c r="I116" s="13" t="s">
        <v>87</v>
      </c>
      <c r="J116" s="1"/>
      <c r="K116" s="1">
        <v>401</v>
      </c>
      <c r="L116" s="1">
        <f t="shared" si="43"/>
        <v>-19</v>
      </c>
      <c r="M116" s="1"/>
      <c r="N116" s="1"/>
      <c r="O116" s="1">
        <v>200</v>
      </c>
      <c r="P116" s="1">
        <v>-203.99999999999997</v>
      </c>
      <c r="Q116" s="1"/>
      <c r="R116" s="1"/>
      <c r="S116" s="1"/>
      <c r="T116" s="1"/>
      <c r="U116" s="24"/>
      <c r="V116" s="24"/>
      <c r="W116" s="1">
        <f t="shared" si="44"/>
        <v>76.400000000000006</v>
      </c>
      <c r="X116" s="5">
        <v>300</v>
      </c>
      <c r="Y116" s="5">
        <f t="shared" si="39"/>
        <v>300</v>
      </c>
      <c r="Z116" s="5">
        <f>X116</f>
        <v>300</v>
      </c>
      <c r="AA116" s="5">
        <v>-299.99999999999994</v>
      </c>
      <c r="AB116" s="5"/>
      <c r="AC116" s="5">
        <f>X116*0.5</f>
        <v>150</v>
      </c>
      <c r="AD116" s="1">
        <f t="shared" si="45"/>
        <v>10.117801047120418</v>
      </c>
      <c r="AE116" s="1">
        <f t="shared" si="46"/>
        <v>4.2277486910994764</v>
      </c>
      <c r="AF116" s="1">
        <v>75.2</v>
      </c>
      <c r="AG116" s="1">
        <v>67</v>
      </c>
      <c r="AH116" s="1">
        <v>62.4</v>
      </c>
      <c r="AI116" s="1">
        <v>67</v>
      </c>
      <c r="AJ116" s="1">
        <v>69</v>
      </c>
      <c r="AK116" s="1">
        <v>63</v>
      </c>
      <c r="AL116" s="1">
        <v>66.8</v>
      </c>
      <c r="AM116" s="1">
        <v>66.400000000000006</v>
      </c>
      <c r="AN116" s="1">
        <v>53</v>
      </c>
      <c r="AO116" s="1">
        <v>66.400000000000006</v>
      </c>
      <c r="AP116" s="1"/>
      <c r="AQ116" s="1">
        <f t="shared" si="47"/>
        <v>84</v>
      </c>
      <c r="AR116" s="1">
        <f t="shared" si="48"/>
        <v>42</v>
      </c>
      <c r="AS116" t="s">
        <v>274</v>
      </c>
    </row>
    <row r="117" spans="1:48" x14ac:dyDescent="0.25">
      <c r="A117" s="1" t="s">
        <v>275</v>
      </c>
      <c r="B117" s="1" t="s">
        <v>50</v>
      </c>
      <c r="C117" s="1"/>
      <c r="D117" s="1">
        <v>63</v>
      </c>
      <c r="E117" s="1">
        <v>19</v>
      </c>
      <c r="F117" s="1">
        <v>25</v>
      </c>
      <c r="G117" s="7">
        <v>0.09</v>
      </c>
      <c r="H117" s="1"/>
      <c r="I117" s="1" t="s">
        <v>43</v>
      </c>
      <c r="J117" s="1"/>
      <c r="K117" s="1">
        <v>55</v>
      </c>
      <c r="L117" s="1">
        <f t="shared" si="43"/>
        <v>-36</v>
      </c>
      <c r="M117" s="1"/>
      <c r="N117" s="1"/>
      <c r="O117" s="1">
        <v>22.400000000000009</v>
      </c>
      <c r="P117" s="1"/>
      <c r="Q117" s="1"/>
      <c r="R117" s="1"/>
      <c r="S117" s="1"/>
      <c r="T117" s="1"/>
      <c r="U117" s="24"/>
      <c r="V117" s="24"/>
      <c r="W117" s="1">
        <f t="shared" si="44"/>
        <v>3.8</v>
      </c>
      <c r="X117" s="5"/>
      <c r="Y117" s="5">
        <f t="shared" si="39"/>
        <v>0</v>
      </c>
      <c r="Z117" s="5">
        <f t="shared" ref="Z117:Z125" si="49">Y117-AC117</f>
        <v>0</v>
      </c>
      <c r="AA117" s="5"/>
      <c r="AB117" s="5"/>
      <c r="AC117" s="5"/>
      <c r="AD117" s="1">
        <f t="shared" si="45"/>
        <v>12.473684210526319</v>
      </c>
      <c r="AE117" s="1">
        <f t="shared" si="46"/>
        <v>12.473684210526319</v>
      </c>
      <c r="AF117" s="1">
        <v>7.4</v>
      </c>
      <c r="AG117" s="1">
        <v>8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 t="s">
        <v>276</v>
      </c>
      <c r="AQ117" s="1">
        <f t="shared" si="47"/>
        <v>0</v>
      </c>
      <c r="AR117" s="1">
        <f t="shared" si="48"/>
        <v>0</v>
      </c>
      <c r="AS117" t="s">
        <v>277</v>
      </c>
    </row>
    <row r="118" spans="1:48" x14ac:dyDescent="0.25">
      <c r="A118" s="1" t="s">
        <v>278</v>
      </c>
      <c r="B118" s="1" t="s">
        <v>42</v>
      </c>
      <c r="C118" s="1">
        <v>90.335999999999999</v>
      </c>
      <c r="D118" s="1">
        <v>297.63600000000002</v>
      </c>
      <c r="E118" s="1">
        <v>115.598</v>
      </c>
      <c r="F118" s="1">
        <v>267.78199999999998</v>
      </c>
      <c r="G118" s="7">
        <v>1</v>
      </c>
      <c r="H118" s="1">
        <v>60</v>
      </c>
      <c r="I118" s="1" t="s">
        <v>43</v>
      </c>
      <c r="J118" s="1"/>
      <c r="K118" s="1">
        <v>132.85</v>
      </c>
      <c r="L118" s="1">
        <f t="shared" si="43"/>
        <v>-17.251999999999995</v>
      </c>
      <c r="M118" s="1"/>
      <c r="N118" s="1"/>
      <c r="O118" s="1">
        <v>0</v>
      </c>
      <c r="P118" s="1"/>
      <c r="Q118" s="1"/>
      <c r="R118" s="1"/>
      <c r="S118" s="1"/>
      <c r="T118" s="1"/>
      <c r="U118" s="24"/>
      <c r="V118" s="24"/>
      <c r="W118" s="1">
        <f t="shared" si="44"/>
        <v>23.119599999999998</v>
      </c>
      <c r="X118" s="5">
        <f>12*W118-S118-O118-F118</f>
        <v>9.6532000000000266</v>
      </c>
      <c r="Y118" s="5">
        <f t="shared" si="39"/>
        <v>9.6532000000000266</v>
      </c>
      <c r="Z118" s="5">
        <f t="shared" si="49"/>
        <v>9.6532000000000266</v>
      </c>
      <c r="AA118" s="5"/>
      <c r="AB118" s="5"/>
      <c r="AC118" s="5"/>
      <c r="AD118" s="1">
        <f t="shared" si="45"/>
        <v>12.000000000000002</v>
      </c>
      <c r="AE118" s="1">
        <f t="shared" si="46"/>
        <v>11.582466824685548</v>
      </c>
      <c r="AF118" s="1">
        <v>16.192399999999999</v>
      </c>
      <c r="AG118" s="1">
        <v>24.320599999999999</v>
      </c>
      <c r="AH118" s="1">
        <v>34.040199999999999</v>
      </c>
      <c r="AI118" s="1">
        <v>26.383400000000002</v>
      </c>
      <c r="AJ118" s="1">
        <v>17.169599999999999</v>
      </c>
      <c r="AK118" s="1">
        <v>17.895399999999999</v>
      </c>
      <c r="AL118" s="1">
        <v>29.697600000000001</v>
      </c>
      <c r="AM118" s="1">
        <v>35.659999999999997</v>
      </c>
      <c r="AN118" s="1">
        <v>26.834399999999999</v>
      </c>
      <c r="AO118" s="1">
        <v>32.64</v>
      </c>
      <c r="AP118" s="1"/>
      <c r="AQ118" s="1">
        <f t="shared" si="47"/>
        <v>10</v>
      </c>
      <c r="AR118" s="1">
        <f t="shared" si="48"/>
        <v>0</v>
      </c>
      <c r="AS118" t="s">
        <v>279</v>
      </c>
    </row>
    <row r="119" spans="1:48" x14ac:dyDescent="0.25">
      <c r="A119" s="1" t="s">
        <v>280</v>
      </c>
      <c r="B119" s="1" t="s">
        <v>42</v>
      </c>
      <c r="C119" s="1">
        <v>82.09</v>
      </c>
      <c r="D119" s="1"/>
      <c r="E119" s="1">
        <v>-1.802</v>
      </c>
      <c r="F119" s="1">
        <v>82.09</v>
      </c>
      <c r="G119" s="7">
        <v>1</v>
      </c>
      <c r="H119" s="1">
        <v>50</v>
      </c>
      <c r="I119" s="1" t="s">
        <v>43</v>
      </c>
      <c r="J119" s="1"/>
      <c r="K119" s="1">
        <v>90</v>
      </c>
      <c r="L119" s="1">
        <f t="shared" si="43"/>
        <v>-91.802000000000007</v>
      </c>
      <c r="M119" s="1"/>
      <c r="N119" s="1"/>
      <c r="O119" s="1">
        <v>0</v>
      </c>
      <c r="P119" s="1"/>
      <c r="Q119" s="1"/>
      <c r="R119" s="1"/>
      <c r="S119" s="1"/>
      <c r="T119" s="1"/>
      <c r="U119" s="24"/>
      <c r="V119" s="24"/>
      <c r="W119" s="1">
        <f t="shared" si="44"/>
        <v>-0.3604</v>
      </c>
      <c r="X119" s="5"/>
      <c r="Y119" s="5">
        <f t="shared" si="39"/>
        <v>0</v>
      </c>
      <c r="Z119" s="5">
        <f t="shared" si="49"/>
        <v>0</v>
      </c>
      <c r="AA119" s="5"/>
      <c r="AB119" s="5"/>
      <c r="AC119" s="5"/>
      <c r="AD119" s="1">
        <f t="shared" si="45"/>
        <v>-227.77469478357381</v>
      </c>
      <c r="AE119" s="1">
        <f t="shared" si="46"/>
        <v>-227.77469478357381</v>
      </c>
      <c r="AF119" s="1">
        <v>-0.12479999999999999</v>
      </c>
      <c r="AG119" s="1">
        <v>-0.17460000000000001</v>
      </c>
      <c r="AH119" s="1">
        <v>-0.35780000000000001</v>
      </c>
      <c r="AI119" s="1">
        <v>-0.1832</v>
      </c>
      <c r="AJ119" s="1">
        <v>0.36159999999999998</v>
      </c>
      <c r="AK119" s="1">
        <v>4.1176000000000004</v>
      </c>
      <c r="AL119" s="1">
        <v>5.7633999999999999</v>
      </c>
      <c r="AM119" s="1">
        <v>15.0108</v>
      </c>
      <c r="AN119" s="1">
        <v>18.382400000000001</v>
      </c>
      <c r="AO119" s="1">
        <v>18.812799999999999</v>
      </c>
      <c r="AP119" s="15" t="s">
        <v>212</v>
      </c>
      <c r="AQ119" s="1">
        <f t="shared" si="47"/>
        <v>0</v>
      </c>
      <c r="AR119" s="1">
        <f t="shared" si="48"/>
        <v>0</v>
      </c>
      <c r="AS119" t="s">
        <v>281</v>
      </c>
    </row>
    <row r="120" spans="1:48" x14ac:dyDescent="0.25">
      <c r="A120" s="1" t="s">
        <v>282</v>
      </c>
      <c r="B120" s="1" t="s">
        <v>50</v>
      </c>
      <c r="C120" s="1">
        <v>-1</v>
      </c>
      <c r="D120" s="1">
        <v>70</v>
      </c>
      <c r="E120" s="1">
        <v>13</v>
      </c>
      <c r="F120" s="1">
        <v>42</v>
      </c>
      <c r="G120" s="7">
        <v>0.09</v>
      </c>
      <c r="H120" s="1"/>
      <c r="I120" s="1" t="s">
        <v>43</v>
      </c>
      <c r="J120" s="1"/>
      <c r="K120" s="1">
        <v>31</v>
      </c>
      <c r="L120" s="1">
        <f t="shared" si="43"/>
        <v>-18</v>
      </c>
      <c r="M120" s="1"/>
      <c r="N120" s="1"/>
      <c r="O120" s="1">
        <v>21.199999999999989</v>
      </c>
      <c r="P120" s="1"/>
      <c r="Q120" s="1"/>
      <c r="R120" s="1"/>
      <c r="S120" s="1"/>
      <c r="T120" s="1"/>
      <c r="U120" s="24"/>
      <c r="V120" s="24"/>
      <c r="W120" s="1">
        <f t="shared" si="44"/>
        <v>2.6</v>
      </c>
      <c r="X120" s="5"/>
      <c r="Y120" s="5">
        <f t="shared" si="39"/>
        <v>0</v>
      </c>
      <c r="Z120" s="5">
        <f t="shared" si="49"/>
        <v>0</v>
      </c>
      <c r="AA120" s="5"/>
      <c r="AB120" s="5"/>
      <c r="AC120" s="5"/>
      <c r="AD120" s="1">
        <f t="shared" si="45"/>
        <v>24.307692307692303</v>
      </c>
      <c r="AE120" s="1">
        <f t="shared" si="46"/>
        <v>24.307692307692303</v>
      </c>
      <c r="AF120" s="1">
        <v>8.1999999999999993</v>
      </c>
      <c r="AG120" s="1">
        <v>8.1999999999999993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 t="s">
        <v>276</v>
      </c>
      <c r="AQ120" s="1">
        <f t="shared" si="47"/>
        <v>0</v>
      </c>
      <c r="AR120" s="1">
        <f t="shared" si="48"/>
        <v>0</v>
      </c>
      <c r="AS120" t="s">
        <v>283</v>
      </c>
    </row>
    <row r="121" spans="1:48" x14ac:dyDescent="0.25">
      <c r="A121" s="9" t="s">
        <v>284</v>
      </c>
      <c r="B121" s="9" t="s">
        <v>50</v>
      </c>
      <c r="C121" s="9"/>
      <c r="D121" s="9"/>
      <c r="E121" s="9"/>
      <c r="F121" s="9"/>
      <c r="G121" s="10">
        <v>0</v>
      </c>
      <c r="H121" s="9"/>
      <c r="I121" s="9" t="s">
        <v>43</v>
      </c>
      <c r="J121" s="9"/>
      <c r="K121" s="9"/>
      <c r="L121" s="9">
        <f t="shared" si="43"/>
        <v>0</v>
      </c>
      <c r="M121" s="9"/>
      <c r="N121" s="9"/>
      <c r="O121" s="9">
        <v>0</v>
      </c>
      <c r="P121" s="9"/>
      <c r="Q121" s="9"/>
      <c r="R121" s="9"/>
      <c r="S121" s="9"/>
      <c r="T121" s="9"/>
      <c r="U121" s="29"/>
      <c r="V121" s="29"/>
      <c r="W121" s="9">
        <f t="shared" si="44"/>
        <v>0</v>
      </c>
      <c r="X121" s="11"/>
      <c r="Y121" s="5">
        <f t="shared" si="39"/>
        <v>0</v>
      </c>
      <c r="Z121" s="5">
        <f t="shared" si="49"/>
        <v>0</v>
      </c>
      <c r="AA121" s="5"/>
      <c r="AB121" s="5"/>
      <c r="AC121" s="11"/>
      <c r="AD121" s="1" t="e">
        <f t="shared" si="45"/>
        <v>#DIV/0!</v>
      </c>
      <c r="AE121" s="9" t="e">
        <f t="shared" si="46"/>
        <v>#DIV/0!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 t="s">
        <v>51</v>
      </c>
      <c r="AQ121" s="1">
        <f t="shared" si="47"/>
        <v>0</v>
      </c>
      <c r="AR121" s="1">
        <f t="shared" si="48"/>
        <v>0</v>
      </c>
      <c r="AS121" t="s">
        <v>285</v>
      </c>
    </row>
    <row r="122" spans="1:48" x14ac:dyDescent="0.25">
      <c r="A122" s="1" t="s">
        <v>286</v>
      </c>
      <c r="B122" s="1" t="s">
        <v>42</v>
      </c>
      <c r="C122" s="1">
        <v>386.64100000000002</v>
      </c>
      <c r="D122" s="1">
        <v>414.54399999999998</v>
      </c>
      <c r="E122" s="1">
        <v>391.18299999999999</v>
      </c>
      <c r="F122" s="1">
        <v>378.46699999999998</v>
      </c>
      <c r="G122" s="7">
        <v>1</v>
      </c>
      <c r="H122" s="1">
        <v>60</v>
      </c>
      <c r="I122" s="1" t="s">
        <v>43</v>
      </c>
      <c r="J122" s="1"/>
      <c r="K122" s="1">
        <v>377.43</v>
      </c>
      <c r="L122" s="1">
        <f t="shared" si="43"/>
        <v>13.752999999999986</v>
      </c>
      <c r="M122" s="1"/>
      <c r="N122" s="1"/>
      <c r="O122" s="1">
        <v>407.69175080000008</v>
      </c>
      <c r="P122" s="1"/>
      <c r="Q122" s="1"/>
      <c r="R122" s="1"/>
      <c r="S122" s="1"/>
      <c r="T122" s="1"/>
      <c r="U122" s="24"/>
      <c r="V122" s="24"/>
      <c r="W122" s="1">
        <f t="shared" si="44"/>
        <v>78.236599999999996</v>
      </c>
      <c r="X122" s="5">
        <f>12*W122-S122-O122-F122</f>
        <v>152.68044919999977</v>
      </c>
      <c r="Y122" s="5">
        <f t="shared" si="39"/>
        <v>152.68044919999977</v>
      </c>
      <c r="Z122" s="5">
        <f t="shared" si="49"/>
        <v>152.68044919999977</v>
      </c>
      <c r="AA122" s="5"/>
      <c r="AB122" s="5"/>
      <c r="AC122" s="5"/>
      <c r="AD122" s="1">
        <f t="shared" si="45"/>
        <v>11.999999999999998</v>
      </c>
      <c r="AE122" s="1">
        <f t="shared" si="46"/>
        <v>10.048477960443067</v>
      </c>
      <c r="AF122" s="1">
        <v>83.537400000000005</v>
      </c>
      <c r="AG122" s="1">
        <v>65.344999999999999</v>
      </c>
      <c r="AH122" s="1">
        <v>56.364999999999988</v>
      </c>
      <c r="AI122" s="1">
        <v>56.581600000000002</v>
      </c>
      <c r="AJ122" s="1">
        <v>54.922800000000002</v>
      </c>
      <c r="AK122" s="1">
        <v>66.630399999999995</v>
      </c>
      <c r="AL122" s="1">
        <v>70.855999999999995</v>
      </c>
      <c r="AM122" s="1">
        <v>76.245800000000003</v>
      </c>
      <c r="AN122" s="1">
        <v>71.3352</v>
      </c>
      <c r="AO122" s="1">
        <v>56.040999999999997</v>
      </c>
      <c r="AP122" s="1"/>
      <c r="AQ122" s="1">
        <f t="shared" si="47"/>
        <v>153</v>
      </c>
      <c r="AR122" s="1">
        <f t="shared" si="48"/>
        <v>0</v>
      </c>
      <c r="AS122" t="s">
        <v>287</v>
      </c>
    </row>
    <row r="123" spans="1:48" x14ac:dyDescent="0.25">
      <c r="A123" s="1" t="s">
        <v>288</v>
      </c>
      <c r="B123" s="1" t="s">
        <v>42</v>
      </c>
      <c r="C123" s="1">
        <v>498.995</v>
      </c>
      <c r="D123" s="1">
        <v>635.62800000000004</v>
      </c>
      <c r="E123" s="1">
        <v>461.00400000000002</v>
      </c>
      <c r="F123" s="1">
        <v>620.78</v>
      </c>
      <c r="G123" s="7">
        <v>1</v>
      </c>
      <c r="H123" s="1">
        <v>60</v>
      </c>
      <c r="I123" s="1" t="s">
        <v>43</v>
      </c>
      <c r="J123" s="1"/>
      <c r="K123" s="1">
        <v>460.75</v>
      </c>
      <c r="L123" s="1">
        <f t="shared" si="43"/>
        <v>0.2540000000000191</v>
      </c>
      <c r="M123" s="1"/>
      <c r="N123" s="1"/>
      <c r="O123" s="1">
        <v>208.0816187999998</v>
      </c>
      <c r="P123" s="1"/>
      <c r="Q123" s="1"/>
      <c r="R123" s="1"/>
      <c r="S123" s="1"/>
      <c r="T123" s="1"/>
      <c r="U123" s="24"/>
      <c r="V123" s="24"/>
      <c r="W123" s="1">
        <f t="shared" si="44"/>
        <v>92.200800000000001</v>
      </c>
      <c r="X123" s="5">
        <f>12*W123-S123-O123-F123</f>
        <v>277.54798120000021</v>
      </c>
      <c r="Y123" s="5">
        <f>X123+$Y$1*W123</f>
        <v>421.38122920000023</v>
      </c>
      <c r="Z123" s="5">
        <f t="shared" si="49"/>
        <v>162.23177324200009</v>
      </c>
      <c r="AA123" s="5"/>
      <c r="AB123" s="5"/>
      <c r="AC123" s="5">
        <f>Y123*$AC$1</f>
        <v>259.14945595800015</v>
      </c>
      <c r="AD123" s="1">
        <f t="shared" si="45"/>
        <v>13.559999999999999</v>
      </c>
      <c r="AE123" s="1">
        <f t="shared" si="46"/>
        <v>8.9897443275980216</v>
      </c>
      <c r="AF123" s="1">
        <v>92.7684</v>
      </c>
      <c r="AG123" s="1">
        <v>92.423599999999993</v>
      </c>
      <c r="AH123" s="1">
        <v>83.889399999999995</v>
      </c>
      <c r="AI123" s="1">
        <v>75.759</v>
      </c>
      <c r="AJ123" s="1">
        <v>77.756200000000007</v>
      </c>
      <c r="AK123" s="1">
        <v>88.792600000000007</v>
      </c>
      <c r="AL123" s="1">
        <v>87.907200000000003</v>
      </c>
      <c r="AM123" s="1">
        <v>90.133600000000001</v>
      </c>
      <c r="AN123" s="1">
        <v>88.307600000000008</v>
      </c>
      <c r="AO123" s="1">
        <v>81.408000000000001</v>
      </c>
      <c r="AP123" s="1"/>
      <c r="AQ123" s="1">
        <f t="shared" si="47"/>
        <v>162</v>
      </c>
      <c r="AR123" s="1">
        <f t="shared" si="48"/>
        <v>259</v>
      </c>
      <c r="AS123" t="s">
        <v>289</v>
      </c>
    </row>
    <row r="124" spans="1:48" x14ac:dyDescent="0.25">
      <c r="A124" s="1" t="s">
        <v>290</v>
      </c>
      <c r="B124" s="1" t="s">
        <v>42</v>
      </c>
      <c r="C124" s="1">
        <v>154.00899999999999</v>
      </c>
      <c r="D124" s="1">
        <v>283.005</v>
      </c>
      <c r="E124" s="1">
        <v>225.625</v>
      </c>
      <c r="F124" s="1">
        <v>186.83699999999999</v>
      </c>
      <c r="G124" s="7">
        <v>1</v>
      </c>
      <c r="H124" s="1">
        <v>60</v>
      </c>
      <c r="I124" s="1" t="s">
        <v>43</v>
      </c>
      <c r="J124" s="1"/>
      <c r="K124" s="1">
        <v>175.7</v>
      </c>
      <c r="L124" s="1">
        <f t="shared" si="43"/>
        <v>49.925000000000011</v>
      </c>
      <c r="M124" s="1"/>
      <c r="N124" s="1"/>
      <c r="O124" s="1">
        <v>277.59922660000001</v>
      </c>
      <c r="P124" s="1"/>
      <c r="Q124" s="1"/>
      <c r="R124" s="1"/>
      <c r="S124" s="1"/>
      <c r="T124" s="1"/>
      <c r="U124" s="24"/>
      <c r="V124" s="24"/>
      <c r="W124" s="1">
        <f t="shared" si="44"/>
        <v>45.125</v>
      </c>
      <c r="X124" s="5">
        <f>12*W124-S124-O124-F124</f>
        <v>77.063773400000002</v>
      </c>
      <c r="Y124" s="5">
        <f t="shared" ref="Y124:Y134" si="50">X124</f>
        <v>77.063773400000002</v>
      </c>
      <c r="Z124" s="5">
        <f t="shared" si="49"/>
        <v>77.063773400000002</v>
      </c>
      <c r="AA124" s="5"/>
      <c r="AB124" s="5"/>
      <c r="AC124" s="5"/>
      <c r="AD124" s="1">
        <f t="shared" si="45"/>
        <v>12</v>
      </c>
      <c r="AE124" s="1">
        <f t="shared" si="46"/>
        <v>10.292215547922437</v>
      </c>
      <c r="AF124" s="1">
        <v>47.799799999999998</v>
      </c>
      <c r="AG124" s="1">
        <v>34.2012</v>
      </c>
      <c r="AH124" s="1">
        <v>29.3096</v>
      </c>
      <c r="AI124" s="1">
        <v>30.529399999999999</v>
      </c>
      <c r="AJ124" s="1">
        <v>31.781199999999998</v>
      </c>
      <c r="AK124" s="1">
        <v>32.8658</v>
      </c>
      <c r="AL124" s="1">
        <v>29.383600000000001</v>
      </c>
      <c r="AM124" s="1">
        <v>24.572399999999998</v>
      </c>
      <c r="AN124" s="1">
        <v>27.509399999999999</v>
      </c>
      <c r="AO124" s="1">
        <v>31.500800000000002</v>
      </c>
      <c r="AP124" s="1"/>
      <c r="AQ124" s="1">
        <f t="shared" si="47"/>
        <v>77</v>
      </c>
      <c r="AR124" s="1">
        <f t="shared" si="48"/>
        <v>0</v>
      </c>
      <c r="AS124" t="s">
        <v>291</v>
      </c>
    </row>
    <row r="125" spans="1:48" x14ac:dyDescent="0.25">
      <c r="A125" s="23" t="s">
        <v>292</v>
      </c>
      <c r="B125" s="1" t="s">
        <v>42</v>
      </c>
      <c r="C125" s="1">
        <v>3720.1819999999998</v>
      </c>
      <c r="D125" s="1">
        <v>4.992</v>
      </c>
      <c r="E125" s="1">
        <v>1560.691</v>
      </c>
      <c r="F125" s="1">
        <v>2001.27</v>
      </c>
      <c r="G125" s="7">
        <v>1</v>
      </c>
      <c r="H125" s="1">
        <v>60</v>
      </c>
      <c r="I125" s="1" t="s">
        <v>43</v>
      </c>
      <c r="J125" s="1"/>
      <c r="K125" s="1">
        <v>1563.15</v>
      </c>
      <c r="L125" s="1">
        <f t="shared" si="43"/>
        <v>-2.45900000000006</v>
      </c>
      <c r="M125" s="1"/>
      <c r="N125" s="1"/>
      <c r="O125" s="1">
        <v>372.85832164440001</v>
      </c>
      <c r="P125" s="1"/>
      <c r="Q125" s="24">
        <v>500</v>
      </c>
      <c r="R125" s="24"/>
      <c r="S125" s="1">
        <v>407.18000815559998</v>
      </c>
      <c r="T125" s="1"/>
      <c r="U125" s="24"/>
      <c r="V125" s="24"/>
      <c r="W125" s="1">
        <f t="shared" si="44"/>
        <v>312.13819999999998</v>
      </c>
      <c r="X125" s="20">
        <f>12*W125-S125-O125-F125</f>
        <v>964.35007020000012</v>
      </c>
      <c r="Y125" s="5">
        <f t="shared" si="50"/>
        <v>964.35007020000012</v>
      </c>
      <c r="Z125" s="5">
        <f t="shared" si="49"/>
        <v>371.27477702700003</v>
      </c>
      <c r="AA125" s="5"/>
      <c r="AB125" s="5">
        <v>300</v>
      </c>
      <c r="AC125" s="5">
        <f>Y125*$AC$1</f>
        <v>593.07529317300009</v>
      </c>
      <c r="AD125" s="1">
        <f>(F125+O125+S125+Z125+AC125+P125+Q125+T125+U125+R125+V125+AB125)/W125</f>
        <v>14.562967301022434</v>
      </c>
      <c r="AE125" s="1">
        <f t="shared" si="46"/>
        <v>8.9105028791733911</v>
      </c>
      <c r="AF125" s="1">
        <v>312.54939999999999</v>
      </c>
      <c r="AG125" s="1">
        <v>297.05020000000002</v>
      </c>
      <c r="AH125" s="1">
        <v>289.678</v>
      </c>
      <c r="AI125" s="1">
        <v>290.18599999999998</v>
      </c>
      <c r="AJ125" s="1">
        <v>287.87099999999998</v>
      </c>
      <c r="AK125" s="1">
        <v>292.56079999999997</v>
      </c>
      <c r="AL125" s="1">
        <v>311.30119999999999</v>
      </c>
      <c r="AM125" s="1">
        <v>194.2492</v>
      </c>
      <c r="AN125" s="1">
        <v>172.9366</v>
      </c>
      <c r="AO125" s="1">
        <v>248.2234</v>
      </c>
      <c r="AP125" s="1"/>
      <c r="AQ125" s="1">
        <f t="shared" si="47"/>
        <v>371</v>
      </c>
      <c r="AR125" s="1">
        <f t="shared" si="48"/>
        <v>593</v>
      </c>
      <c r="AS125" t="s">
        <v>293</v>
      </c>
      <c r="AT125" t="str">
        <f>VLOOKUP(AS125,[1]Лист1!$A:$A,1,0)</f>
        <v>SU004238</v>
      </c>
      <c r="AU125">
        <f>Q125*G125</f>
        <v>500</v>
      </c>
      <c r="AV125">
        <f>ROUND(AB125*G125,0)</f>
        <v>300</v>
      </c>
    </row>
    <row r="126" spans="1:48" x14ac:dyDescent="0.25">
      <c r="A126" s="1" t="s">
        <v>294</v>
      </c>
      <c r="B126" s="1" t="s">
        <v>50</v>
      </c>
      <c r="C126" s="1">
        <v>2</v>
      </c>
      <c r="D126" s="1">
        <v>204</v>
      </c>
      <c r="E126" s="1">
        <v>21</v>
      </c>
      <c r="F126" s="1">
        <v>182</v>
      </c>
      <c r="G126" s="7">
        <v>0.25</v>
      </c>
      <c r="H126" s="1"/>
      <c r="I126" s="13" t="s">
        <v>87</v>
      </c>
      <c r="J126" s="1"/>
      <c r="K126" s="1">
        <v>23</v>
      </c>
      <c r="L126" s="1">
        <f t="shared" si="43"/>
        <v>-2</v>
      </c>
      <c r="M126" s="1"/>
      <c r="N126" s="1"/>
      <c r="O126" s="1">
        <v>100</v>
      </c>
      <c r="P126" s="1"/>
      <c r="Q126" s="1"/>
      <c r="R126" s="1"/>
      <c r="S126" s="1"/>
      <c r="T126" s="1"/>
      <c r="U126" s="24"/>
      <c r="V126" s="24"/>
      <c r="W126" s="1">
        <f t="shared" si="44"/>
        <v>4.2</v>
      </c>
      <c r="X126" s="5">
        <v>100</v>
      </c>
      <c r="Y126" s="5">
        <f t="shared" si="50"/>
        <v>100</v>
      </c>
      <c r="Z126" s="5">
        <f>X126</f>
        <v>100</v>
      </c>
      <c r="AA126" s="5"/>
      <c r="AB126" s="5"/>
      <c r="AC126" s="5">
        <f>X126*0.5</f>
        <v>50</v>
      </c>
      <c r="AD126" s="1">
        <f t="shared" si="45"/>
        <v>102.85714285714285</v>
      </c>
      <c r="AE126" s="1">
        <f t="shared" si="46"/>
        <v>67.142857142857139</v>
      </c>
      <c r="AF126" s="1">
        <v>0</v>
      </c>
      <c r="AG126" s="1">
        <v>0</v>
      </c>
      <c r="AH126" s="1">
        <v>0</v>
      </c>
      <c r="AI126" s="1">
        <v>23.2</v>
      </c>
      <c r="AJ126" s="1">
        <v>40.4</v>
      </c>
      <c r="AK126" s="1">
        <v>17.2</v>
      </c>
      <c r="AL126" s="1">
        <v>0</v>
      </c>
      <c r="AM126" s="1">
        <v>0</v>
      </c>
      <c r="AN126" s="1">
        <v>0</v>
      </c>
      <c r="AO126" s="1">
        <v>0</v>
      </c>
      <c r="AP126" s="1" t="s">
        <v>295</v>
      </c>
      <c r="AQ126" s="1">
        <f t="shared" si="47"/>
        <v>25</v>
      </c>
      <c r="AR126" s="1">
        <f t="shared" si="48"/>
        <v>13</v>
      </c>
      <c r="AS126" t="s">
        <v>296</v>
      </c>
    </row>
    <row r="127" spans="1:48" x14ac:dyDescent="0.25">
      <c r="A127" s="1" t="s">
        <v>297</v>
      </c>
      <c r="B127" s="1" t="s">
        <v>50</v>
      </c>
      <c r="C127" s="1">
        <v>2</v>
      </c>
      <c r="D127" s="1">
        <v>411</v>
      </c>
      <c r="E127" s="12">
        <f>16+E134</f>
        <v>17</v>
      </c>
      <c r="F127" s="12">
        <f>345+F134</f>
        <v>393</v>
      </c>
      <c r="G127" s="7">
        <v>0.32500000000000001</v>
      </c>
      <c r="H127" s="1"/>
      <c r="I127" s="13" t="s">
        <v>87</v>
      </c>
      <c r="J127" s="1"/>
      <c r="K127" s="1">
        <v>18</v>
      </c>
      <c r="L127" s="1">
        <f t="shared" si="43"/>
        <v>-1</v>
      </c>
      <c r="M127" s="1"/>
      <c r="N127" s="1"/>
      <c r="O127" s="1">
        <v>100</v>
      </c>
      <c r="P127" s="1"/>
      <c r="Q127" s="1"/>
      <c r="R127" s="1"/>
      <c r="S127" s="1"/>
      <c r="T127" s="1"/>
      <c r="U127" s="24"/>
      <c r="V127" s="24"/>
      <c r="W127" s="1">
        <f t="shared" si="44"/>
        <v>3.4</v>
      </c>
      <c r="X127" s="5"/>
      <c r="Y127" s="5">
        <f t="shared" si="50"/>
        <v>0</v>
      </c>
      <c r="Z127" s="5">
        <f>X127</f>
        <v>0</v>
      </c>
      <c r="AA127" s="5"/>
      <c r="AB127" s="5"/>
      <c r="AC127" s="5">
        <f>X127*0.5</f>
        <v>0</v>
      </c>
      <c r="AD127" s="1">
        <f t="shared" si="45"/>
        <v>145</v>
      </c>
      <c r="AE127" s="1">
        <f t="shared" si="46"/>
        <v>145</v>
      </c>
      <c r="AF127" s="1">
        <v>0</v>
      </c>
      <c r="AG127" s="1">
        <v>0.4</v>
      </c>
      <c r="AH127" s="1">
        <v>3.6</v>
      </c>
      <c r="AI127" s="1">
        <v>24</v>
      </c>
      <c r="AJ127" s="1">
        <v>36.799999999999997</v>
      </c>
      <c r="AK127" s="1">
        <v>16</v>
      </c>
      <c r="AL127" s="1">
        <v>0</v>
      </c>
      <c r="AM127" s="1">
        <v>0</v>
      </c>
      <c r="AN127" s="1">
        <v>0</v>
      </c>
      <c r="AO127" s="1">
        <v>0</v>
      </c>
      <c r="AP127" s="1" t="s">
        <v>295</v>
      </c>
      <c r="AQ127" s="1">
        <f t="shared" si="47"/>
        <v>0</v>
      </c>
      <c r="AR127" s="1">
        <f t="shared" si="48"/>
        <v>0</v>
      </c>
      <c r="AS127" t="s">
        <v>298</v>
      </c>
    </row>
    <row r="128" spans="1:48" x14ac:dyDescent="0.25">
      <c r="A128" s="1" t="s">
        <v>299</v>
      </c>
      <c r="B128" s="1" t="s">
        <v>50</v>
      </c>
      <c r="C128" s="1">
        <v>6</v>
      </c>
      <c r="D128" s="1">
        <v>156</v>
      </c>
      <c r="E128" s="1">
        <v>32</v>
      </c>
      <c r="F128" s="1">
        <v>128</v>
      </c>
      <c r="G128" s="7">
        <v>0.25</v>
      </c>
      <c r="H128" s="1"/>
      <c r="I128" s="1" t="s">
        <v>43</v>
      </c>
      <c r="J128" s="1"/>
      <c r="K128" s="1">
        <v>32</v>
      </c>
      <c r="L128" s="1">
        <f t="shared" si="43"/>
        <v>0</v>
      </c>
      <c r="M128" s="1"/>
      <c r="N128" s="1"/>
      <c r="O128" s="1">
        <v>0</v>
      </c>
      <c r="P128" s="1"/>
      <c r="Q128" s="1"/>
      <c r="R128" s="1"/>
      <c r="S128" s="1"/>
      <c r="T128" s="1"/>
      <c r="U128" s="24"/>
      <c r="V128" s="24"/>
      <c r="W128" s="1">
        <f t="shared" si="44"/>
        <v>6.4</v>
      </c>
      <c r="X128" s="5"/>
      <c r="Y128" s="5">
        <f t="shared" si="50"/>
        <v>0</v>
      </c>
      <c r="Z128" s="5">
        <f>Y128-AC128</f>
        <v>0</v>
      </c>
      <c r="AA128" s="5"/>
      <c r="AB128" s="5"/>
      <c r="AC128" s="5"/>
      <c r="AD128" s="1">
        <f t="shared" si="45"/>
        <v>20</v>
      </c>
      <c r="AE128" s="1">
        <f t="shared" si="46"/>
        <v>20</v>
      </c>
      <c r="AF128" s="1">
        <v>2.6</v>
      </c>
      <c r="AG128" s="1">
        <v>0.4</v>
      </c>
      <c r="AH128" s="1">
        <v>9.4</v>
      </c>
      <c r="AI128" s="1">
        <v>29.8</v>
      </c>
      <c r="AJ128" s="1">
        <v>30.2</v>
      </c>
      <c r="AK128" s="1">
        <v>9.4</v>
      </c>
      <c r="AL128" s="1">
        <v>0</v>
      </c>
      <c r="AM128" s="1">
        <v>0</v>
      </c>
      <c r="AN128" s="1">
        <v>0</v>
      </c>
      <c r="AO128" s="1">
        <v>0</v>
      </c>
      <c r="AP128" s="1" t="s">
        <v>295</v>
      </c>
      <c r="AQ128" s="1">
        <f t="shared" si="47"/>
        <v>0</v>
      </c>
      <c r="AR128" s="1">
        <f t="shared" si="48"/>
        <v>0</v>
      </c>
      <c r="AS128" t="s">
        <v>300</v>
      </c>
    </row>
    <row r="129" spans="1:45" x14ac:dyDescent="0.25">
      <c r="A129" s="1" t="s">
        <v>301</v>
      </c>
      <c r="B129" s="1" t="s">
        <v>50</v>
      </c>
      <c r="C129" s="1">
        <v>382</v>
      </c>
      <c r="D129" s="1"/>
      <c r="E129" s="1">
        <v>373</v>
      </c>
      <c r="F129" s="1">
        <v>1</v>
      </c>
      <c r="G129" s="7">
        <v>0.3</v>
      </c>
      <c r="H129" s="1">
        <v>40</v>
      </c>
      <c r="I129" s="13" t="s">
        <v>87</v>
      </c>
      <c r="J129" s="1"/>
      <c r="K129" s="1">
        <v>459</v>
      </c>
      <c r="L129" s="1">
        <f t="shared" si="43"/>
        <v>-86</v>
      </c>
      <c r="M129" s="1"/>
      <c r="N129" s="1"/>
      <c r="O129" s="1">
        <v>300</v>
      </c>
      <c r="P129" s="1">
        <v>-300</v>
      </c>
      <c r="Q129" s="1"/>
      <c r="R129" s="1"/>
      <c r="S129" s="1"/>
      <c r="T129" s="1"/>
      <c r="U129" s="24"/>
      <c r="V129" s="24"/>
      <c r="W129" s="1">
        <f t="shared" si="44"/>
        <v>74.599999999999994</v>
      </c>
      <c r="X129" s="5">
        <v>300</v>
      </c>
      <c r="Y129" s="5">
        <f t="shared" si="50"/>
        <v>300</v>
      </c>
      <c r="Z129" s="5">
        <f>X129</f>
        <v>300</v>
      </c>
      <c r="AA129" s="5">
        <v>-300</v>
      </c>
      <c r="AB129" s="5"/>
      <c r="AC129" s="5">
        <f>X129*0.5</f>
        <v>150</v>
      </c>
      <c r="AD129" s="1">
        <f t="shared" si="45"/>
        <v>10.067024128686327</v>
      </c>
      <c r="AE129" s="1">
        <f t="shared" si="46"/>
        <v>4.0348525469168903</v>
      </c>
      <c r="AF129" s="1">
        <v>112.4</v>
      </c>
      <c r="AG129" s="1">
        <v>109.2</v>
      </c>
      <c r="AH129" s="1">
        <v>112</v>
      </c>
      <c r="AI129" s="1">
        <v>42.2</v>
      </c>
      <c r="AJ129" s="1">
        <v>25.4</v>
      </c>
      <c r="AK129" s="1">
        <v>82.8</v>
      </c>
      <c r="AL129" s="1">
        <v>98.6</v>
      </c>
      <c r="AM129" s="1">
        <v>83.8</v>
      </c>
      <c r="AN129" s="1">
        <v>69</v>
      </c>
      <c r="AO129" s="1">
        <v>67.8</v>
      </c>
      <c r="AP129" s="1"/>
      <c r="AQ129" s="1">
        <f t="shared" si="47"/>
        <v>90</v>
      </c>
      <c r="AR129" s="1">
        <f t="shared" si="48"/>
        <v>45</v>
      </c>
      <c r="AS129" t="s">
        <v>302</v>
      </c>
    </row>
    <row r="130" spans="1:45" x14ac:dyDescent="0.25">
      <c r="A130" s="1" t="s">
        <v>303</v>
      </c>
      <c r="B130" s="1" t="s">
        <v>50</v>
      </c>
      <c r="C130" s="1">
        <v>-1</v>
      </c>
      <c r="D130" s="1"/>
      <c r="E130" s="1">
        <v>-10</v>
      </c>
      <c r="F130" s="1">
        <v>-7</v>
      </c>
      <c r="G130" s="7">
        <v>0.3</v>
      </c>
      <c r="H130" s="1">
        <v>40</v>
      </c>
      <c r="I130" s="13" t="s">
        <v>87</v>
      </c>
      <c r="J130" s="1"/>
      <c r="K130" s="1">
        <v>15</v>
      </c>
      <c r="L130" s="1">
        <f t="shared" si="43"/>
        <v>-25</v>
      </c>
      <c r="M130" s="1"/>
      <c r="N130" s="1"/>
      <c r="O130" s="1">
        <v>150</v>
      </c>
      <c r="P130" s="1">
        <v>-150</v>
      </c>
      <c r="Q130" s="1"/>
      <c r="R130" s="1"/>
      <c r="S130" s="1"/>
      <c r="T130" s="1"/>
      <c r="U130" s="24"/>
      <c r="V130" s="24"/>
      <c r="W130" s="1">
        <f t="shared" si="44"/>
        <v>-2</v>
      </c>
      <c r="X130" s="5">
        <v>150</v>
      </c>
      <c r="Y130" s="5">
        <f t="shared" si="50"/>
        <v>150</v>
      </c>
      <c r="Z130" s="5">
        <f>X130</f>
        <v>150</v>
      </c>
      <c r="AA130" s="5">
        <v>-150</v>
      </c>
      <c r="AB130" s="5"/>
      <c r="AC130" s="5">
        <f>X130*0.5</f>
        <v>75</v>
      </c>
      <c r="AD130" s="1">
        <f t="shared" si="45"/>
        <v>-184</v>
      </c>
      <c r="AE130" s="1">
        <f t="shared" si="46"/>
        <v>-71.5</v>
      </c>
      <c r="AF130" s="1">
        <v>-2.4</v>
      </c>
      <c r="AG130" s="1">
        <v>24.4</v>
      </c>
      <c r="AH130" s="1">
        <v>53.6</v>
      </c>
      <c r="AI130" s="1">
        <v>89.4</v>
      </c>
      <c r="AJ130" s="1">
        <v>93</v>
      </c>
      <c r="AK130" s="1">
        <v>65.8</v>
      </c>
      <c r="AL130" s="1">
        <v>68.400000000000006</v>
      </c>
      <c r="AM130" s="1">
        <v>71</v>
      </c>
      <c r="AN130" s="1">
        <v>56</v>
      </c>
      <c r="AO130" s="1">
        <v>55.2</v>
      </c>
      <c r="AP130" s="1"/>
      <c r="AQ130" s="1">
        <f t="shared" si="47"/>
        <v>45</v>
      </c>
      <c r="AR130" s="1">
        <f t="shared" si="48"/>
        <v>23</v>
      </c>
      <c r="AS130" t="s">
        <v>304</v>
      </c>
    </row>
    <row r="131" spans="1:45" x14ac:dyDescent="0.25">
      <c r="A131" s="1" t="s">
        <v>305</v>
      </c>
      <c r="B131" s="1" t="s">
        <v>42</v>
      </c>
      <c r="C131" s="1">
        <v>211.78700000000001</v>
      </c>
      <c r="D131" s="1">
        <v>412.75099999999998</v>
      </c>
      <c r="E131" s="1">
        <v>317.02199999999999</v>
      </c>
      <c r="F131" s="1">
        <v>265.334</v>
      </c>
      <c r="G131" s="7">
        <v>1</v>
      </c>
      <c r="H131" s="1">
        <v>50</v>
      </c>
      <c r="I131" s="1" t="s">
        <v>43</v>
      </c>
      <c r="J131" s="1"/>
      <c r="K131" s="1">
        <v>307.60000000000002</v>
      </c>
      <c r="L131" s="1">
        <f t="shared" si="43"/>
        <v>9.4219999999999686</v>
      </c>
      <c r="M131" s="1"/>
      <c r="N131" s="1"/>
      <c r="O131" s="1">
        <v>253.23927100000009</v>
      </c>
      <c r="P131" s="1"/>
      <c r="Q131" s="1"/>
      <c r="R131" s="1"/>
      <c r="S131" s="1"/>
      <c r="T131" s="1"/>
      <c r="U131" s="24"/>
      <c r="V131" s="24"/>
      <c r="W131" s="1">
        <f t="shared" si="44"/>
        <v>63.404399999999995</v>
      </c>
      <c r="X131" s="5">
        <f>12*W131-S131-O131-F131</f>
        <v>242.2795289999998</v>
      </c>
      <c r="Y131" s="5">
        <f t="shared" si="50"/>
        <v>242.2795289999998</v>
      </c>
      <c r="Z131" s="5">
        <f>Y131-AC131</f>
        <v>93.27761866499992</v>
      </c>
      <c r="AA131" s="5"/>
      <c r="AB131" s="5"/>
      <c r="AC131" s="5">
        <f>Y131*$AC$1</f>
        <v>149.00191033499988</v>
      </c>
      <c r="AD131" s="1">
        <f t="shared" si="45"/>
        <v>11.999999999999998</v>
      </c>
      <c r="AE131" s="1">
        <f t="shared" si="46"/>
        <v>8.1788215171186884</v>
      </c>
      <c r="AF131" s="1">
        <v>59.213000000000001</v>
      </c>
      <c r="AG131" s="1">
        <v>48.825200000000002</v>
      </c>
      <c r="AH131" s="1">
        <v>45.4114</v>
      </c>
      <c r="AI131" s="1">
        <v>53.256399999999999</v>
      </c>
      <c r="AJ131" s="1">
        <v>58.144799999999996</v>
      </c>
      <c r="AK131" s="1">
        <v>62.955399999999997</v>
      </c>
      <c r="AL131" s="1">
        <v>66.096400000000003</v>
      </c>
      <c r="AM131" s="1">
        <v>58.156999999999996</v>
      </c>
      <c r="AN131" s="1">
        <v>49.684600000000003</v>
      </c>
      <c r="AO131" s="1">
        <v>52.064</v>
      </c>
      <c r="AP131" s="1"/>
      <c r="AQ131" s="1">
        <f t="shared" si="47"/>
        <v>93</v>
      </c>
      <c r="AR131" s="1">
        <f t="shared" si="48"/>
        <v>149</v>
      </c>
      <c r="AS131" t="s">
        <v>306</v>
      </c>
    </row>
    <row r="132" spans="1:45" x14ac:dyDescent="0.25">
      <c r="A132" s="1" t="s">
        <v>307</v>
      </c>
      <c r="B132" s="1" t="s">
        <v>50</v>
      </c>
      <c r="C132" s="1"/>
      <c r="D132" s="1">
        <v>438</v>
      </c>
      <c r="E132" s="1">
        <v>376</v>
      </c>
      <c r="F132" s="1">
        <v>11</v>
      </c>
      <c r="G132" s="7">
        <v>0.3</v>
      </c>
      <c r="H132" s="1">
        <v>40</v>
      </c>
      <c r="I132" s="13" t="s">
        <v>87</v>
      </c>
      <c r="J132" s="1"/>
      <c r="K132" s="1">
        <v>421</v>
      </c>
      <c r="L132" s="1">
        <f t="shared" si="43"/>
        <v>-45</v>
      </c>
      <c r="M132" s="1"/>
      <c r="N132" s="1"/>
      <c r="O132" s="1">
        <v>150</v>
      </c>
      <c r="P132" s="1"/>
      <c r="Q132" s="1"/>
      <c r="R132" s="1"/>
      <c r="S132" s="1"/>
      <c r="T132" s="1"/>
      <c r="U132" s="24"/>
      <c r="V132" s="24"/>
      <c r="W132" s="1">
        <f t="shared" si="44"/>
        <v>75.2</v>
      </c>
      <c r="X132" s="5">
        <v>200</v>
      </c>
      <c r="Y132" s="5">
        <f t="shared" si="50"/>
        <v>200</v>
      </c>
      <c r="Z132" s="5">
        <f>X132</f>
        <v>200</v>
      </c>
      <c r="AA132" s="5">
        <v>-204.00000000000003</v>
      </c>
      <c r="AB132" s="5"/>
      <c r="AC132" s="5">
        <f>X132*0.5</f>
        <v>100</v>
      </c>
      <c r="AD132" s="1">
        <f t="shared" si="45"/>
        <v>6.1303191489361701</v>
      </c>
      <c r="AE132" s="1">
        <f t="shared" si="46"/>
        <v>2.1409574468085104</v>
      </c>
      <c r="AF132" s="1">
        <v>37.6</v>
      </c>
      <c r="AG132" s="1">
        <v>25.8</v>
      </c>
      <c r="AH132" s="1">
        <v>48.8</v>
      </c>
      <c r="AI132" s="1">
        <v>63.2</v>
      </c>
      <c r="AJ132" s="1">
        <v>63.4</v>
      </c>
      <c r="AK132" s="1">
        <v>55</v>
      </c>
      <c r="AL132" s="1">
        <v>46.8</v>
      </c>
      <c r="AM132" s="1">
        <v>58.4</v>
      </c>
      <c r="AN132" s="1">
        <v>57.6</v>
      </c>
      <c r="AO132" s="1">
        <v>44.2</v>
      </c>
      <c r="AP132" s="1"/>
      <c r="AQ132" s="1">
        <f t="shared" si="47"/>
        <v>60</v>
      </c>
      <c r="AR132" s="1">
        <f t="shared" si="48"/>
        <v>30</v>
      </c>
      <c r="AS132" t="s">
        <v>308</v>
      </c>
    </row>
    <row r="133" spans="1:45" x14ac:dyDescent="0.25">
      <c r="A133" s="1" t="s">
        <v>309</v>
      </c>
      <c r="B133" s="1" t="s">
        <v>50</v>
      </c>
      <c r="C133" s="1">
        <v>54</v>
      </c>
      <c r="D133" s="1">
        <v>121</v>
      </c>
      <c r="E133" s="1">
        <v>68</v>
      </c>
      <c r="F133" s="1">
        <v>99</v>
      </c>
      <c r="G133" s="7">
        <v>0.12</v>
      </c>
      <c r="H133" s="1">
        <v>45</v>
      </c>
      <c r="I133" s="13" t="s">
        <v>87</v>
      </c>
      <c r="J133" s="1"/>
      <c r="K133" s="1">
        <v>70</v>
      </c>
      <c r="L133" s="1">
        <f t="shared" si="43"/>
        <v>-2</v>
      </c>
      <c r="M133" s="1"/>
      <c r="N133" s="1"/>
      <c r="O133" s="1">
        <v>30</v>
      </c>
      <c r="P133" s="1"/>
      <c r="Q133" s="1"/>
      <c r="R133" s="1"/>
      <c r="S133" s="1"/>
      <c r="T133" s="1"/>
      <c r="U133" s="24"/>
      <c r="V133" s="24"/>
      <c r="W133" s="1">
        <f t="shared" si="44"/>
        <v>13.6</v>
      </c>
      <c r="X133" s="5">
        <f>12*W133-S133-O133-F133</f>
        <v>34.199999999999989</v>
      </c>
      <c r="Y133" s="5">
        <f t="shared" si="50"/>
        <v>34.199999999999989</v>
      </c>
      <c r="Z133" s="5">
        <f>X133</f>
        <v>34.199999999999989</v>
      </c>
      <c r="AA133" s="5">
        <v>-45.000000000000007</v>
      </c>
      <c r="AB133" s="5"/>
      <c r="AC133" s="5">
        <f>X133*0.5</f>
        <v>17.099999999999994</v>
      </c>
      <c r="AD133" s="1">
        <f t="shared" si="45"/>
        <v>13.257352941176469</v>
      </c>
      <c r="AE133" s="1">
        <f t="shared" si="46"/>
        <v>9.4852941176470598</v>
      </c>
      <c r="AF133" s="1">
        <v>12.4</v>
      </c>
      <c r="AG133" s="1">
        <v>11.6</v>
      </c>
      <c r="AH133" s="1">
        <v>13.4</v>
      </c>
      <c r="AI133" s="1">
        <v>14.2</v>
      </c>
      <c r="AJ133" s="1">
        <v>11.8</v>
      </c>
      <c r="AK133" s="1">
        <v>8</v>
      </c>
      <c r="AL133" s="1">
        <v>6.8</v>
      </c>
      <c r="AM133" s="1">
        <v>10.199999999999999</v>
      </c>
      <c r="AN133" s="1">
        <v>11.4</v>
      </c>
      <c r="AO133" s="1">
        <v>5.6</v>
      </c>
      <c r="AP133" s="1"/>
      <c r="AQ133" s="1">
        <f t="shared" si="47"/>
        <v>4</v>
      </c>
      <c r="AR133" s="1">
        <f t="shared" si="48"/>
        <v>2</v>
      </c>
      <c r="AS133" t="s">
        <v>310</v>
      </c>
    </row>
    <row r="134" spans="1:45" x14ac:dyDescent="0.25">
      <c r="A134" s="9" t="s">
        <v>311</v>
      </c>
      <c r="B134" s="9" t="s">
        <v>50</v>
      </c>
      <c r="C134" s="9"/>
      <c r="D134" s="9">
        <v>50</v>
      </c>
      <c r="E134" s="12">
        <v>1</v>
      </c>
      <c r="F134" s="12">
        <v>48</v>
      </c>
      <c r="G134" s="10">
        <v>0</v>
      </c>
      <c r="H134" s="9"/>
      <c r="I134" s="9" t="s">
        <v>312</v>
      </c>
      <c r="J134" s="9" t="s">
        <v>297</v>
      </c>
      <c r="K134" s="9">
        <v>1</v>
      </c>
      <c r="L134" s="9">
        <f t="shared" ref="L134" si="51">E134-K134</f>
        <v>0</v>
      </c>
      <c r="M134" s="9"/>
      <c r="N134" s="9"/>
      <c r="O134" s="9">
        <v>0</v>
      </c>
      <c r="P134" s="9"/>
      <c r="Q134" s="9"/>
      <c r="R134" s="9"/>
      <c r="S134" s="9"/>
      <c r="T134" s="9"/>
      <c r="U134" s="29"/>
      <c r="V134" s="29"/>
      <c r="W134" s="9">
        <f t="shared" si="44"/>
        <v>0.2</v>
      </c>
      <c r="X134" s="11"/>
      <c r="Y134" s="5">
        <f t="shared" si="50"/>
        <v>0</v>
      </c>
      <c r="Z134" s="5">
        <f>Y134-AC134</f>
        <v>0</v>
      </c>
      <c r="AA134" s="5"/>
      <c r="AB134" s="5"/>
      <c r="AC134" s="11"/>
      <c r="AD134" s="1">
        <f t="shared" ref="AD134" si="52">(F134+O134+S134+Z134+AC134)/W134</f>
        <v>240</v>
      </c>
      <c r="AE134" s="9">
        <f t="shared" si="46"/>
        <v>240</v>
      </c>
      <c r="AF134" s="9">
        <v>0</v>
      </c>
      <c r="AG134" s="9">
        <v>0</v>
      </c>
      <c r="AH134" s="9">
        <v>0</v>
      </c>
      <c r="AI134" s="9">
        <v>1</v>
      </c>
      <c r="AJ134" s="9">
        <v>1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/>
      <c r="AQ134" s="1">
        <f t="shared" si="47"/>
        <v>0</v>
      </c>
      <c r="AR134" s="1">
        <f t="shared" si="48"/>
        <v>0</v>
      </c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24"/>
      <c r="R135" s="24"/>
      <c r="S135" s="1"/>
      <c r="T135" s="1"/>
      <c r="U135" s="24"/>
      <c r="V135" s="24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24"/>
      <c r="R136" s="24"/>
      <c r="S136" s="1"/>
      <c r="T136" s="1"/>
      <c r="U136" s="24"/>
      <c r="V136" s="24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24"/>
      <c r="R137" s="24"/>
      <c r="S137" s="1"/>
      <c r="T137" s="1"/>
      <c r="U137" s="24"/>
      <c r="V137" s="24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24"/>
      <c r="R138" s="24"/>
      <c r="S138" s="1"/>
      <c r="T138" s="1"/>
      <c r="U138" s="24"/>
      <c r="V138" s="24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24"/>
      <c r="R139" s="24"/>
      <c r="S139" s="1"/>
      <c r="T139" s="1"/>
      <c r="U139" s="24"/>
      <c r="V139" s="2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24"/>
      <c r="R140" s="24"/>
      <c r="S140" s="1"/>
      <c r="T140" s="1"/>
      <c r="U140" s="24"/>
      <c r="V140" s="2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24"/>
      <c r="R141" s="24"/>
      <c r="S141" s="1"/>
      <c r="T141" s="1"/>
      <c r="U141" s="24"/>
      <c r="V141" s="2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24"/>
      <c r="R142" s="24"/>
      <c r="S142" s="1"/>
      <c r="T142" s="1"/>
      <c r="U142" s="24"/>
      <c r="V142" s="2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24"/>
      <c r="R143" s="24"/>
      <c r="S143" s="1"/>
      <c r="T143" s="1"/>
      <c r="U143" s="24"/>
      <c r="V143" s="2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24"/>
      <c r="R144" s="24"/>
      <c r="S144" s="1"/>
      <c r="T144" s="1"/>
      <c r="U144" s="24"/>
      <c r="V144" s="2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24"/>
      <c r="R145" s="24"/>
      <c r="S145" s="1"/>
      <c r="T145" s="1"/>
      <c r="U145" s="24"/>
      <c r="V145" s="2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24"/>
      <c r="R146" s="24"/>
      <c r="S146" s="1"/>
      <c r="T146" s="1"/>
      <c r="U146" s="24"/>
      <c r="V146" s="2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24"/>
      <c r="R147" s="24"/>
      <c r="S147" s="1"/>
      <c r="T147" s="1"/>
      <c r="U147" s="24"/>
      <c r="V147" s="2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24"/>
      <c r="R148" s="24"/>
      <c r="S148" s="1"/>
      <c r="T148" s="1"/>
      <c r="U148" s="24"/>
      <c r="V148" s="2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24"/>
      <c r="R149" s="24"/>
      <c r="S149" s="1"/>
      <c r="T149" s="1"/>
      <c r="U149" s="24"/>
      <c r="V149" s="2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24"/>
      <c r="R150" s="24"/>
      <c r="S150" s="1"/>
      <c r="T150" s="1"/>
      <c r="U150" s="24"/>
      <c r="V150" s="2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24"/>
      <c r="R151" s="24"/>
      <c r="S151" s="1"/>
      <c r="T151" s="1"/>
      <c r="U151" s="24"/>
      <c r="V151" s="24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24"/>
      <c r="R152" s="24"/>
      <c r="S152" s="1"/>
      <c r="T152" s="1"/>
      <c r="U152" s="24"/>
      <c r="V152" s="2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24"/>
      <c r="R153" s="24"/>
      <c r="S153" s="1"/>
      <c r="T153" s="1"/>
      <c r="U153" s="24"/>
      <c r="V153" s="2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24"/>
      <c r="R154" s="24"/>
      <c r="S154" s="1"/>
      <c r="T154" s="1"/>
      <c r="U154" s="24"/>
      <c r="V154" s="2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24"/>
      <c r="R155" s="24"/>
      <c r="S155" s="1"/>
      <c r="T155" s="1"/>
      <c r="U155" s="24"/>
      <c r="V155" s="2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24"/>
      <c r="R156" s="24"/>
      <c r="S156" s="1"/>
      <c r="T156" s="1"/>
      <c r="U156" s="24"/>
      <c r="V156" s="2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24"/>
      <c r="R157" s="24"/>
      <c r="S157" s="1"/>
      <c r="T157" s="1"/>
      <c r="U157" s="24"/>
      <c r="V157" s="2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24"/>
      <c r="R158" s="24"/>
      <c r="S158" s="1"/>
      <c r="T158" s="1"/>
      <c r="U158" s="24"/>
      <c r="V158" s="2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24"/>
      <c r="R159" s="24"/>
      <c r="S159" s="1"/>
      <c r="T159" s="1"/>
      <c r="U159" s="24"/>
      <c r="V159" s="2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24"/>
      <c r="R160" s="24"/>
      <c r="S160" s="1"/>
      <c r="T160" s="1"/>
      <c r="U160" s="24"/>
      <c r="V160" s="2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24"/>
      <c r="R161" s="24"/>
      <c r="S161" s="1"/>
      <c r="T161" s="1"/>
      <c r="U161" s="24"/>
      <c r="V161" s="2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24"/>
      <c r="R162" s="24"/>
      <c r="S162" s="1"/>
      <c r="T162" s="1"/>
      <c r="U162" s="24"/>
      <c r="V162" s="2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24"/>
      <c r="R163" s="24"/>
      <c r="S163" s="1"/>
      <c r="T163" s="1"/>
      <c r="U163" s="24"/>
      <c r="V163" s="2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24"/>
      <c r="R164" s="24"/>
      <c r="S164" s="1"/>
      <c r="T164" s="1"/>
      <c r="U164" s="24"/>
      <c r="V164" s="2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24"/>
      <c r="R165" s="24"/>
      <c r="S165" s="1"/>
      <c r="T165" s="1"/>
      <c r="U165" s="24"/>
      <c r="V165" s="2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24"/>
      <c r="R166" s="24"/>
      <c r="S166" s="1"/>
      <c r="T166" s="1"/>
      <c r="U166" s="24"/>
      <c r="V166" s="2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24"/>
      <c r="R167" s="24"/>
      <c r="S167" s="1"/>
      <c r="T167" s="1"/>
      <c r="U167" s="24"/>
      <c r="V167" s="2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24"/>
      <c r="S168" s="1"/>
      <c r="T168" s="1"/>
      <c r="U168" s="24"/>
      <c r="V168" s="2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24"/>
      <c r="S169" s="1"/>
      <c r="T169" s="1"/>
      <c r="U169" s="24"/>
      <c r="V169" s="2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24"/>
      <c r="S170" s="1"/>
      <c r="T170" s="1"/>
      <c r="U170" s="24"/>
      <c r="V170" s="2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24"/>
      <c r="S171" s="1"/>
      <c r="T171" s="1"/>
      <c r="U171" s="24"/>
      <c r="V171" s="2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24"/>
      <c r="S172" s="1"/>
      <c r="T172" s="1"/>
      <c r="U172" s="24"/>
      <c r="V172" s="2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24"/>
      <c r="S173" s="1"/>
      <c r="T173" s="1"/>
      <c r="U173" s="24"/>
      <c r="V173" s="2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24"/>
      <c r="S174" s="1"/>
      <c r="T174" s="1"/>
      <c r="U174" s="24"/>
      <c r="V174" s="2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24"/>
      <c r="S175" s="1"/>
      <c r="T175" s="1"/>
      <c r="U175" s="24"/>
      <c r="V175" s="2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24"/>
      <c r="S176" s="1"/>
      <c r="T176" s="1"/>
      <c r="U176" s="24"/>
      <c r="V176" s="2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24"/>
      <c r="S177" s="1"/>
      <c r="T177" s="1"/>
      <c r="U177" s="24"/>
      <c r="V177" s="2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24"/>
      <c r="S178" s="1"/>
      <c r="T178" s="1"/>
      <c r="U178" s="24"/>
      <c r="V178" s="2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24"/>
      <c r="S179" s="1"/>
      <c r="T179" s="1"/>
      <c r="U179" s="24"/>
      <c r="V179" s="2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24"/>
      <c r="S180" s="1"/>
      <c r="T180" s="1"/>
      <c r="U180" s="24"/>
      <c r="V180" s="2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24"/>
      <c r="S181" s="1"/>
      <c r="T181" s="1"/>
      <c r="U181" s="24"/>
      <c r="V181" s="2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24"/>
      <c r="S182" s="1"/>
      <c r="T182" s="1"/>
      <c r="U182" s="24"/>
      <c r="V182" s="2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24"/>
      <c r="S183" s="1"/>
      <c r="T183" s="1"/>
      <c r="U183" s="24"/>
      <c r="V183" s="2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24"/>
      <c r="S184" s="1"/>
      <c r="T184" s="1"/>
      <c r="U184" s="24"/>
      <c r="V184" s="2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24"/>
      <c r="S185" s="1"/>
      <c r="T185" s="1"/>
      <c r="U185" s="24"/>
      <c r="V185" s="2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24"/>
      <c r="S186" s="1"/>
      <c r="T186" s="1"/>
      <c r="U186" s="24"/>
      <c r="V186" s="2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24"/>
      <c r="S187" s="1"/>
      <c r="T187" s="1"/>
      <c r="U187" s="24"/>
      <c r="V187" s="2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24"/>
      <c r="S188" s="1"/>
      <c r="T188" s="1"/>
      <c r="U188" s="24"/>
      <c r="V188" s="2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24"/>
      <c r="S189" s="1"/>
      <c r="T189" s="1"/>
      <c r="U189" s="24"/>
      <c r="V189" s="24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24"/>
      <c r="S190" s="1"/>
      <c r="T190" s="1"/>
      <c r="U190" s="24"/>
      <c r="V190" s="2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24"/>
      <c r="S191" s="1"/>
      <c r="T191" s="1"/>
      <c r="U191" s="24"/>
      <c r="V191" s="2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24"/>
      <c r="S192" s="1"/>
      <c r="T192" s="1"/>
      <c r="U192" s="24"/>
      <c r="V192" s="2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24"/>
      <c r="S193" s="1"/>
      <c r="T193" s="1"/>
      <c r="U193" s="24"/>
      <c r="V193" s="2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24"/>
      <c r="S194" s="1"/>
      <c r="T194" s="1"/>
      <c r="U194" s="24"/>
      <c r="V194" s="2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24"/>
      <c r="S195" s="1"/>
      <c r="T195" s="1"/>
      <c r="U195" s="24"/>
      <c r="V195" s="24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24"/>
      <c r="S196" s="1"/>
      <c r="T196" s="1"/>
      <c r="U196" s="24"/>
      <c r="V196" s="2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24"/>
      <c r="S197" s="1"/>
      <c r="T197" s="1"/>
      <c r="U197" s="24"/>
      <c r="V197" s="2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24"/>
      <c r="S198" s="1"/>
      <c r="T198" s="1"/>
      <c r="U198" s="24"/>
      <c r="V198" s="24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24"/>
      <c r="S199" s="1"/>
      <c r="T199" s="1"/>
      <c r="U199" s="24"/>
      <c r="V199" s="2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24"/>
      <c r="S200" s="1"/>
      <c r="T200" s="1"/>
      <c r="U200" s="24"/>
      <c r="V200" s="2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24"/>
      <c r="S201" s="1"/>
      <c r="T201" s="1"/>
      <c r="U201" s="24"/>
      <c r="V201" s="2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24"/>
      <c r="S202" s="1"/>
      <c r="T202" s="1"/>
      <c r="U202" s="24"/>
      <c r="V202" s="24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24"/>
      <c r="S203" s="1"/>
      <c r="T203" s="1"/>
      <c r="U203" s="24"/>
      <c r="V203" s="2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24"/>
      <c r="S204" s="1"/>
      <c r="T204" s="1"/>
      <c r="U204" s="24"/>
      <c r="V204" s="24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24"/>
      <c r="S205" s="1"/>
      <c r="T205" s="1"/>
      <c r="U205" s="24"/>
      <c r="V205" s="2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24"/>
      <c r="S206" s="1"/>
      <c r="T206" s="1"/>
      <c r="U206" s="24"/>
      <c r="V206" s="2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24"/>
      <c r="S207" s="1"/>
      <c r="T207" s="1"/>
      <c r="U207" s="24"/>
      <c r="V207" s="2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24"/>
      <c r="S208" s="1"/>
      <c r="T208" s="1"/>
      <c r="U208" s="24"/>
      <c r="V208" s="2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24"/>
      <c r="S209" s="1"/>
      <c r="T209" s="1"/>
      <c r="U209" s="24"/>
      <c r="V209" s="24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24"/>
      <c r="S210" s="1"/>
      <c r="T210" s="1"/>
      <c r="U210" s="24"/>
      <c r="V210" s="2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24"/>
      <c r="S211" s="1"/>
      <c r="T211" s="1"/>
      <c r="U211" s="24"/>
      <c r="V211" s="24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24"/>
      <c r="S212" s="1"/>
      <c r="T212" s="1"/>
      <c r="U212" s="24"/>
      <c r="V212" s="2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24"/>
      <c r="S213" s="1"/>
      <c r="T213" s="1"/>
      <c r="U213" s="24"/>
      <c r="V213" s="2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24"/>
      <c r="S214" s="1"/>
      <c r="T214" s="1"/>
      <c r="U214" s="24"/>
      <c r="V214" s="2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24"/>
      <c r="S215" s="1"/>
      <c r="T215" s="1"/>
      <c r="U215" s="24"/>
      <c r="V215" s="2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24"/>
      <c r="S216" s="1"/>
      <c r="T216" s="1"/>
      <c r="U216" s="24"/>
      <c r="V216" s="2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24"/>
      <c r="S217" s="1"/>
      <c r="T217" s="1"/>
      <c r="U217" s="24"/>
      <c r="V217" s="24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24"/>
      <c r="S218" s="1"/>
      <c r="T218" s="1"/>
      <c r="U218" s="24"/>
      <c r="V218" s="2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24"/>
      <c r="S219" s="1"/>
      <c r="T219" s="1"/>
      <c r="U219" s="24"/>
      <c r="V219" s="2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24"/>
      <c r="S220" s="1"/>
      <c r="T220" s="1"/>
      <c r="U220" s="24"/>
      <c r="V220" s="24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24"/>
      <c r="S221" s="1"/>
      <c r="T221" s="1"/>
      <c r="U221" s="24"/>
      <c r="V221" s="2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24"/>
      <c r="S222" s="1"/>
      <c r="T222" s="1"/>
      <c r="U222" s="24"/>
      <c r="V222" s="2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24"/>
      <c r="S223" s="1"/>
      <c r="T223" s="1"/>
      <c r="U223" s="24"/>
      <c r="V223" s="24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24"/>
      <c r="S224" s="1"/>
      <c r="T224" s="1"/>
      <c r="U224" s="24"/>
      <c r="V224" s="24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24"/>
      <c r="S225" s="1"/>
      <c r="T225" s="1"/>
      <c r="U225" s="24"/>
      <c r="V225" s="2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24"/>
      <c r="S226" s="1"/>
      <c r="T226" s="1"/>
      <c r="U226" s="24"/>
      <c r="V226" s="2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24"/>
      <c r="S227" s="1"/>
      <c r="T227" s="1"/>
      <c r="U227" s="24"/>
      <c r="V227" s="24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24"/>
      <c r="S228" s="1"/>
      <c r="T228" s="1"/>
      <c r="U228" s="24"/>
      <c r="V228" s="2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24"/>
      <c r="S229" s="1"/>
      <c r="T229" s="1"/>
      <c r="U229" s="24"/>
      <c r="V229" s="2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24"/>
      <c r="S230" s="1"/>
      <c r="T230" s="1"/>
      <c r="U230" s="24"/>
      <c r="V230" s="2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24"/>
      <c r="S231" s="1"/>
      <c r="T231" s="1"/>
      <c r="U231" s="24"/>
      <c r="V231" s="2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24"/>
      <c r="S232" s="1"/>
      <c r="T232" s="1"/>
      <c r="U232" s="24"/>
      <c r="V232" s="2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24"/>
      <c r="S233" s="1"/>
      <c r="T233" s="1"/>
      <c r="U233" s="24"/>
      <c r="V233" s="2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24"/>
      <c r="S234" s="1"/>
      <c r="T234" s="1"/>
      <c r="U234" s="24"/>
      <c r="V234" s="24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24"/>
      <c r="S235" s="1"/>
      <c r="T235" s="1"/>
      <c r="U235" s="24"/>
      <c r="V235" s="2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24"/>
      <c r="S236" s="1"/>
      <c r="T236" s="1"/>
      <c r="U236" s="24"/>
      <c r="V236" s="24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24"/>
      <c r="S237" s="1"/>
      <c r="T237" s="1"/>
      <c r="U237" s="24"/>
      <c r="V237" s="2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24"/>
      <c r="S238" s="1"/>
      <c r="T238" s="1"/>
      <c r="U238" s="24"/>
      <c r="V238" s="24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24"/>
      <c r="S239" s="1"/>
      <c r="T239" s="1"/>
      <c r="U239" s="24"/>
      <c r="V239" s="2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24"/>
      <c r="S240" s="1"/>
      <c r="T240" s="1"/>
      <c r="U240" s="24"/>
      <c r="V240" s="2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24"/>
      <c r="S241" s="1"/>
      <c r="T241" s="1"/>
      <c r="U241" s="24"/>
      <c r="V241" s="2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24"/>
      <c r="S242" s="1"/>
      <c r="T242" s="1"/>
      <c r="U242" s="24"/>
      <c r="V242" s="24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24"/>
      <c r="S243" s="1"/>
      <c r="T243" s="1"/>
      <c r="U243" s="24"/>
      <c r="V243" s="2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24"/>
      <c r="S244" s="1"/>
      <c r="T244" s="1"/>
      <c r="U244" s="24"/>
      <c r="V244" s="24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24"/>
      <c r="S245" s="1"/>
      <c r="T245" s="1"/>
      <c r="U245" s="24"/>
      <c r="V245" s="24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24"/>
      <c r="S246" s="1"/>
      <c r="T246" s="1"/>
      <c r="U246" s="24"/>
      <c r="V246" s="2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24"/>
      <c r="S247" s="1"/>
      <c r="T247" s="1"/>
      <c r="U247" s="24"/>
      <c r="V247" s="2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24"/>
      <c r="S248" s="1"/>
      <c r="T248" s="1"/>
      <c r="U248" s="24"/>
      <c r="V248" s="24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24"/>
      <c r="S249" s="1"/>
      <c r="T249" s="1"/>
      <c r="U249" s="24"/>
      <c r="V249" s="24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24"/>
      <c r="S250" s="1"/>
      <c r="T250" s="1"/>
      <c r="U250" s="24"/>
      <c r="V250" s="24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24"/>
      <c r="S251" s="1"/>
      <c r="T251" s="1"/>
      <c r="U251" s="24"/>
      <c r="V251" s="2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24"/>
      <c r="S252" s="1"/>
      <c r="T252" s="1"/>
      <c r="U252" s="24"/>
      <c r="V252" s="24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24"/>
      <c r="S253" s="1"/>
      <c r="T253" s="1"/>
      <c r="U253" s="24"/>
      <c r="V253" s="2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24"/>
      <c r="S254" s="1"/>
      <c r="T254" s="1"/>
      <c r="U254" s="24"/>
      <c r="V254" s="2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24"/>
      <c r="S255" s="1"/>
      <c r="T255" s="1"/>
      <c r="U255" s="24"/>
      <c r="V255" s="24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24"/>
      <c r="S256" s="1"/>
      <c r="T256" s="1"/>
      <c r="U256" s="24"/>
      <c r="V256" s="2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24"/>
      <c r="S257" s="1"/>
      <c r="T257" s="1"/>
      <c r="U257" s="24"/>
      <c r="V257" s="2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24"/>
      <c r="S258" s="1"/>
      <c r="T258" s="1"/>
      <c r="U258" s="24"/>
      <c r="V258" s="2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24"/>
      <c r="S259" s="1"/>
      <c r="T259" s="1"/>
      <c r="U259" s="24"/>
      <c r="V259" s="2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24"/>
      <c r="S260" s="1"/>
      <c r="T260" s="1"/>
      <c r="U260" s="24"/>
      <c r="V260" s="2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24"/>
      <c r="S261" s="1"/>
      <c r="T261" s="1"/>
      <c r="U261" s="24"/>
      <c r="V261" s="24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24"/>
      <c r="S262" s="1"/>
      <c r="T262" s="1"/>
      <c r="U262" s="24"/>
      <c r="V262" s="2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24"/>
      <c r="S263" s="1"/>
      <c r="T263" s="1"/>
      <c r="U263" s="24"/>
      <c r="V263" s="24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24"/>
      <c r="S264" s="1"/>
      <c r="T264" s="1"/>
      <c r="U264" s="24"/>
      <c r="V264" s="2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24"/>
      <c r="S265" s="1"/>
      <c r="T265" s="1"/>
      <c r="U265" s="24"/>
      <c r="V265" s="2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24"/>
      <c r="S266" s="1"/>
      <c r="T266" s="1"/>
      <c r="U266" s="24"/>
      <c r="V266" s="2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24"/>
      <c r="S267" s="1"/>
      <c r="T267" s="1"/>
      <c r="U267" s="24"/>
      <c r="V267" s="24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24"/>
      <c r="S268" s="1"/>
      <c r="T268" s="1"/>
      <c r="U268" s="24"/>
      <c r="V268" s="24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24"/>
      <c r="S269" s="1"/>
      <c r="T269" s="1"/>
      <c r="U269" s="24"/>
      <c r="V269" s="24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24"/>
      <c r="S270" s="1"/>
      <c r="T270" s="1"/>
      <c r="U270" s="24"/>
      <c r="V270" s="24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24"/>
      <c r="S271" s="1"/>
      <c r="T271" s="1"/>
      <c r="U271" s="24"/>
      <c r="V271" s="2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24"/>
      <c r="S272" s="1"/>
      <c r="T272" s="1"/>
      <c r="U272" s="24"/>
      <c r="V272" s="2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24"/>
      <c r="S273" s="1"/>
      <c r="T273" s="1"/>
      <c r="U273" s="24"/>
      <c r="V273" s="24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24"/>
      <c r="S274" s="1"/>
      <c r="T274" s="1"/>
      <c r="U274" s="24"/>
      <c r="V274" s="24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24"/>
      <c r="S275" s="1"/>
      <c r="T275" s="1"/>
      <c r="U275" s="24"/>
      <c r="V275" s="2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24"/>
      <c r="S276" s="1"/>
      <c r="T276" s="1"/>
      <c r="U276" s="24"/>
      <c r="V276" s="2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24"/>
      <c r="S277" s="1"/>
      <c r="T277" s="1"/>
      <c r="U277" s="24"/>
      <c r="V277" s="24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24"/>
      <c r="S278" s="1"/>
      <c r="T278" s="1"/>
      <c r="U278" s="24"/>
      <c r="V278" s="24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24"/>
      <c r="S279" s="1"/>
      <c r="T279" s="1"/>
      <c r="U279" s="24"/>
      <c r="V279" s="24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24"/>
      <c r="S280" s="1"/>
      <c r="T280" s="1"/>
      <c r="U280" s="24"/>
      <c r="V280" s="24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24"/>
      <c r="S281" s="1"/>
      <c r="T281" s="1"/>
      <c r="U281" s="24"/>
      <c r="V281" s="2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24"/>
      <c r="S282" s="1"/>
      <c r="T282" s="1"/>
      <c r="U282" s="24"/>
      <c r="V282" s="2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24"/>
      <c r="S283" s="1"/>
      <c r="T283" s="1"/>
      <c r="U283" s="24"/>
      <c r="V283" s="2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24"/>
      <c r="S284" s="1"/>
      <c r="T284" s="1"/>
      <c r="U284" s="24"/>
      <c r="V284" s="2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24"/>
      <c r="S285" s="1"/>
      <c r="T285" s="1"/>
      <c r="U285" s="24"/>
      <c r="V285" s="2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24"/>
      <c r="S286" s="1"/>
      <c r="T286" s="1"/>
      <c r="U286" s="24"/>
      <c r="V286" s="24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24"/>
      <c r="S287" s="1"/>
      <c r="T287" s="1"/>
      <c r="U287" s="24"/>
      <c r="V287" s="24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24"/>
      <c r="S288" s="1"/>
      <c r="T288" s="1"/>
      <c r="U288" s="24"/>
      <c r="V288" s="24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24"/>
      <c r="S289" s="1"/>
      <c r="T289" s="1"/>
      <c r="U289" s="24"/>
      <c r="V289" s="2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24"/>
      <c r="S290" s="1"/>
      <c r="T290" s="1"/>
      <c r="U290" s="24"/>
      <c r="V290" s="2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24"/>
      <c r="S291" s="1"/>
      <c r="T291" s="1"/>
      <c r="U291" s="24"/>
      <c r="V291" s="24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24"/>
      <c r="S292" s="1"/>
      <c r="T292" s="1"/>
      <c r="U292" s="24"/>
      <c r="V292" s="2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24"/>
      <c r="S293" s="1"/>
      <c r="T293" s="1"/>
      <c r="U293" s="24"/>
      <c r="V293" s="2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24"/>
      <c r="S294" s="1"/>
      <c r="T294" s="1"/>
      <c r="U294" s="24"/>
      <c r="V294" s="2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24"/>
      <c r="S295" s="1"/>
      <c r="T295" s="1"/>
      <c r="U295" s="24"/>
      <c r="V295" s="24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24"/>
      <c r="S296" s="1"/>
      <c r="T296" s="1"/>
      <c r="U296" s="24"/>
      <c r="V296" s="24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24"/>
      <c r="S297" s="1"/>
      <c r="T297" s="1"/>
      <c r="U297" s="24"/>
      <c r="V297" s="2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24"/>
      <c r="S298" s="1"/>
      <c r="T298" s="1"/>
      <c r="U298" s="24"/>
      <c r="V298" s="2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24"/>
      <c r="S299" s="1"/>
      <c r="T299" s="1"/>
      <c r="U299" s="24"/>
      <c r="V299" s="24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24"/>
      <c r="S300" s="1"/>
      <c r="T300" s="1"/>
      <c r="U300" s="24"/>
      <c r="V300" s="2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24"/>
      <c r="S301" s="1"/>
      <c r="T301" s="1"/>
      <c r="U301" s="24"/>
      <c r="V301" s="2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24"/>
      <c r="S302" s="1"/>
      <c r="T302" s="1"/>
      <c r="U302" s="24"/>
      <c r="V302" s="24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24"/>
      <c r="S303" s="1"/>
      <c r="T303" s="1"/>
      <c r="U303" s="24"/>
      <c r="V303" s="2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24"/>
      <c r="S304" s="1"/>
      <c r="T304" s="1"/>
      <c r="U304" s="24"/>
      <c r="V304" s="2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24"/>
      <c r="S305" s="1"/>
      <c r="T305" s="1"/>
      <c r="U305" s="24"/>
      <c r="V305" s="24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24"/>
      <c r="S306" s="1"/>
      <c r="T306" s="1"/>
      <c r="U306" s="24"/>
      <c r="V306" s="24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24"/>
      <c r="S307" s="1"/>
      <c r="T307" s="1"/>
      <c r="U307" s="24"/>
      <c r="V307" s="24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24"/>
      <c r="S308" s="1"/>
      <c r="T308" s="1"/>
      <c r="U308" s="24"/>
      <c r="V308" s="2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24"/>
      <c r="S309" s="1"/>
      <c r="T309" s="1"/>
      <c r="U309" s="24"/>
      <c r="V309" s="2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24"/>
      <c r="S310" s="1"/>
      <c r="T310" s="1"/>
      <c r="U310" s="24"/>
      <c r="V310" s="2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24"/>
      <c r="S311" s="1"/>
      <c r="T311" s="1"/>
      <c r="U311" s="24"/>
      <c r="V311" s="2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24"/>
      <c r="S312" s="1"/>
      <c r="T312" s="1"/>
      <c r="U312" s="24"/>
      <c r="V312" s="2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24"/>
      <c r="S313" s="1"/>
      <c r="T313" s="1"/>
      <c r="U313" s="24"/>
      <c r="V313" s="24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24"/>
      <c r="S314" s="1"/>
      <c r="T314" s="1"/>
      <c r="U314" s="24"/>
      <c r="V314" s="2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24"/>
      <c r="S315" s="1"/>
      <c r="T315" s="1"/>
      <c r="U315" s="24"/>
      <c r="V315" s="24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24"/>
      <c r="S316" s="1"/>
      <c r="T316" s="1"/>
      <c r="U316" s="24"/>
      <c r="V316" s="24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24"/>
      <c r="S317" s="1"/>
      <c r="T317" s="1"/>
      <c r="U317" s="24"/>
      <c r="V317" s="2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24"/>
      <c r="S318" s="1"/>
      <c r="T318" s="1"/>
      <c r="U318" s="24"/>
      <c r="V318" s="2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24"/>
      <c r="S319" s="1"/>
      <c r="T319" s="1"/>
      <c r="U319" s="24"/>
      <c r="V319" s="2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24"/>
      <c r="S320" s="1"/>
      <c r="T320" s="1"/>
      <c r="U320" s="24"/>
      <c r="V320" s="24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24"/>
      <c r="S321" s="1"/>
      <c r="T321" s="1"/>
      <c r="U321" s="24"/>
      <c r="V321" s="24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24"/>
      <c r="S322" s="1"/>
      <c r="T322" s="1"/>
      <c r="U322" s="24"/>
      <c r="V322" s="2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24"/>
      <c r="S323" s="1"/>
      <c r="T323" s="1"/>
      <c r="U323" s="24"/>
      <c r="V323" s="2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24"/>
      <c r="S324" s="1"/>
      <c r="T324" s="1"/>
      <c r="U324" s="24"/>
      <c r="V324" s="24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24"/>
      <c r="S325" s="1"/>
      <c r="T325" s="1"/>
      <c r="U325" s="24"/>
      <c r="V325" s="2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24"/>
      <c r="S326" s="1"/>
      <c r="T326" s="1"/>
      <c r="U326" s="24"/>
      <c r="V326" s="2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24"/>
      <c r="S327" s="1"/>
      <c r="T327" s="1"/>
      <c r="U327" s="24"/>
      <c r="V327" s="24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24"/>
      <c r="S328" s="1"/>
      <c r="T328" s="1"/>
      <c r="U328" s="24"/>
      <c r="V328" s="2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24"/>
      <c r="S329" s="1"/>
      <c r="T329" s="1"/>
      <c r="U329" s="24"/>
      <c r="V329" s="2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24"/>
      <c r="S330" s="1"/>
      <c r="T330" s="1"/>
      <c r="U330" s="24"/>
      <c r="V330" s="24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24"/>
      <c r="S331" s="1"/>
      <c r="T331" s="1"/>
      <c r="U331" s="24"/>
      <c r="V331" s="24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24"/>
      <c r="S332" s="1"/>
      <c r="T332" s="1"/>
      <c r="U332" s="24"/>
      <c r="V332" s="24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24"/>
      <c r="S333" s="1"/>
      <c r="T333" s="1"/>
      <c r="U333" s="24"/>
      <c r="V333" s="2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24"/>
      <c r="S334" s="1"/>
      <c r="T334" s="1"/>
      <c r="U334" s="24"/>
      <c r="V334" s="24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24"/>
      <c r="S335" s="1"/>
      <c r="T335" s="1"/>
      <c r="U335" s="24"/>
      <c r="V335" s="2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24"/>
      <c r="S336" s="1"/>
      <c r="T336" s="1"/>
      <c r="U336" s="24"/>
      <c r="V336" s="2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24"/>
      <c r="S337" s="1"/>
      <c r="T337" s="1"/>
      <c r="U337" s="24"/>
      <c r="V337" s="2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24"/>
      <c r="S338" s="1"/>
      <c r="T338" s="1"/>
      <c r="U338" s="24"/>
      <c r="V338" s="24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24"/>
      <c r="S339" s="1"/>
      <c r="T339" s="1"/>
      <c r="U339" s="24"/>
      <c r="V339" s="2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24"/>
      <c r="S340" s="1"/>
      <c r="T340" s="1"/>
      <c r="U340" s="24"/>
      <c r="V340" s="24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24"/>
      <c r="S341" s="1"/>
      <c r="T341" s="1"/>
      <c r="U341" s="24"/>
      <c r="V341" s="24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24"/>
      <c r="S342" s="1"/>
      <c r="T342" s="1"/>
      <c r="U342" s="24"/>
      <c r="V342" s="2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24"/>
      <c r="S343" s="1"/>
      <c r="T343" s="1"/>
      <c r="U343" s="24"/>
      <c r="V343" s="2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24"/>
      <c r="S344" s="1"/>
      <c r="T344" s="1"/>
      <c r="U344" s="24"/>
      <c r="V344" s="2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24"/>
      <c r="S345" s="1"/>
      <c r="T345" s="1"/>
      <c r="U345" s="24"/>
      <c r="V345" s="24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24"/>
      <c r="S346" s="1"/>
      <c r="T346" s="1"/>
      <c r="U346" s="24"/>
      <c r="V346" s="24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24"/>
      <c r="S347" s="1"/>
      <c r="T347" s="1"/>
      <c r="U347" s="24"/>
      <c r="V347" s="2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24"/>
      <c r="S348" s="1"/>
      <c r="T348" s="1"/>
      <c r="U348" s="24"/>
      <c r="V348" s="2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24"/>
      <c r="S349" s="1"/>
      <c r="T349" s="1"/>
      <c r="U349" s="24"/>
      <c r="V349" s="24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24"/>
      <c r="S350" s="1"/>
      <c r="T350" s="1"/>
      <c r="U350" s="24"/>
      <c r="V350" s="2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24"/>
      <c r="S351" s="1"/>
      <c r="T351" s="1"/>
      <c r="U351" s="24"/>
      <c r="V351" s="2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24"/>
      <c r="S352" s="1"/>
      <c r="T352" s="1"/>
      <c r="U352" s="24"/>
      <c r="V352" s="2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24"/>
      <c r="S353" s="1"/>
      <c r="T353" s="1"/>
      <c r="U353" s="24"/>
      <c r="V353" s="2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24"/>
      <c r="S354" s="1"/>
      <c r="T354" s="1"/>
      <c r="U354" s="24"/>
      <c r="V354" s="2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24"/>
      <c r="S355" s="1"/>
      <c r="T355" s="1"/>
      <c r="U355" s="24"/>
      <c r="V355" s="2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24"/>
      <c r="S356" s="1"/>
      <c r="T356" s="1"/>
      <c r="U356" s="24"/>
      <c r="V356" s="2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24"/>
      <c r="S357" s="1"/>
      <c r="T357" s="1"/>
      <c r="U357" s="24"/>
      <c r="V357" s="2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24"/>
      <c r="S358" s="1"/>
      <c r="T358" s="1"/>
      <c r="U358" s="24"/>
      <c r="V358" s="24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24"/>
      <c r="S359" s="1"/>
      <c r="T359" s="1"/>
      <c r="U359" s="24"/>
      <c r="V359" s="24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24"/>
      <c r="S360" s="1"/>
      <c r="T360" s="1"/>
      <c r="U360" s="24"/>
      <c r="V360" s="2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24"/>
      <c r="S361" s="1"/>
      <c r="T361" s="1"/>
      <c r="U361" s="24"/>
      <c r="V361" s="2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24"/>
      <c r="S362" s="1"/>
      <c r="T362" s="1"/>
      <c r="U362" s="24"/>
      <c r="V362" s="24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24"/>
      <c r="S363" s="1"/>
      <c r="T363" s="1"/>
      <c r="U363" s="24"/>
      <c r="V363" s="24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24"/>
      <c r="S364" s="1"/>
      <c r="T364" s="1"/>
      <c r="U364" s="24"/>
      <c r="V364" s="2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24"/>
      <c r="S365" s="1"/>
      <c r="T365" s="1"/>
      <c r="U365" s="24"/>
      <c r="V365" s="2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24"/>
      <c r="S366" s="1"/>
      <c r="T366" s="1"/>
      <c r="U366" s="24"/>
      <c r="V366" s="24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24"/>
      <c r="S367" s="1"/>
      <c r="T367" s="1"/>
      <c r="U367" s="24"/>
      <c r="V367" s="24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24"/>
      <c r="S368" s="1"/>
      <c r="T368" s="1"/>
      <c r="U368" s="24"/>
      <c r="V368" s="2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24"/>
      <c r="S369" s="1"/>
      <c r="T369" s="1"/>
      <c r="U369" s="24"/>
      <c r="V369" s="2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24"/>
      <c r="S370" s="1"/>
      <c r="T370" s="1"/>
      <c r="U370" s="24"/>
      <c r="V370" s="24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24"/>
      <c r="S371" s="1"/>
      <c r="T371" s="1"/>
      <c r="U371" s="24"/>
      <c r="V371" s="24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24"/>
      <c r="S372" s="1"/>
      <c r="T372" s="1"/>
      <c r="U372" s="24"/>
      <c r="V372" s="2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24"/>
      <c r="S373" s="1"/>
      <c r="T373" s="1"/>
      <c r="U373" s="24"/>
      <c r="V373" s="2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24"/>
      <c r="S374" s="1"/>
      <c r="T374" s="1"/>
      <c r="U374" s="24"/>
      <c r="V374" s="2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24"/>
      <c r="S375" s="1"/>
      <c r="T375" s="1"/>
      <c r="U375" s="24"/>
      <c r="V375" s="2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24"/>
      <c r="S376" s="1"/>
      <c r="T376" s="1"/>
      <c r="U376" s="24"/>
      <c r="V376" s="24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24"/>
      <c r="S377" s="1"/>
      <c r="T377" s="1"/>
      <c r="U377" s="24"/>
      <c r="V377" s="2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24"/>
      <c r="S378" s="1"/>
      <c r="T378" s="1"/>
      <c r="U378" s="24"/>
      <c r="V378" s="24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24"/>
      <c r="S379" s="1"/>
      <c r="T379" s="1"/>
      <c r="U379" s="24"/>
      <c r="V379" s="24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24"/>
      <c r="S380" s="1"/>
      <c r="T380" s="1"/>
      <c r="U380" s="24"/>
      <c r="V380" s="24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24"/>
      <c r="S381" s="1"/>
      <c r="T381" s="1"/>
      <c r="U381" s="24"/>
      <c r="V381" s="24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24"/>
      <c r="S382" s="1"/>
      <c r="T382" s="1"/>
      <c r="U382" s="24"/>
      <c r="V382" s="24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24"/>
      <c r="S383" s="1"/>
      <c r="T383" s="1"/>
      <c r="U383" s="24"/>
      <c r="V383" s="24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24"/>
      <c r="S384" s="1"/>
      <c r="T384" s="1"/>
      <c r="U384" s="24"/>
      <c r="V384" s="2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24"/>
      <c r="S385" s="1"/>
      <c r="T385" s="1"/>
      <c r="U385" s="24"/>
      <c r="V385" s="2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24"/>
      <c r="S386" s="1"/>
      <c r="T386" s="1"/>
      <c r="U386" s="24"/>
      <c r="V386" s="24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24"/>
      <c r="S387" s="1"/>
      <c r="T387" s="1"/>
      <c r="U387" s="24"/>
      <c r="V387" s="24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24"/>
      <c r="S388" s="1"/>
      <c r="T388" s="1"/>
      <c r="U388" s="24"/>
      <c r="V388" s="24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24"/>
      <c r="S389" s="1"/>
      <c r="T389" s="1"/>
      <c r="U389" s="24"/>
      <c r="V389" s="2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24"/>
      <c r="S390" s="1"/>
      <c r="T390" s="1"/>
      <c r="U390" s="24"/>
      <c r="V390" s="2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24"/>
      <c r="S391" s="1"/>
      <c r="T391" s="1"/>
      <c r="U391" s="24"/>
      <c r="V391" s="24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24"/>
      <c r="S392" s="1"/>
      <c r="T392" s="1"/>
      <c r="U392" s="24"/>
      <c r="V392" s="24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24"/>
      <c r="S393" s="1"/>
      <c r="T393" s="1"/>
      <c r="U393" s="24"/>
      <c r="V393" s="2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24"/>
      <c r="S394" s="1"/>
      <c r="T394" s="1"/>
      <c r="U394" s="24"/>
      <c r="V394" s="2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24"/>
      <c r="S395" s="1"/>
      <c r="T395" s="1"/>
      <c r="U395" s="24"/>
      <c r="V395" s="2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24"/>
      <c r="S396" s="1"/>
      <c r="T396" s="1"/>
      <c r="U396" s="24"/>
      <c r="V396" s="24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24"/>
      <c r="S397" s="1"/>
      <c r="T397" s="1"/>
      <c r="U397" s="24"/>
      <c r="V397" s="24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24"/>
      <c r="S398" s="1"/>
      <c r="T398" s="1"/>
      <c r="U398" s="24"/>
      <c r="V398" s="2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24"/>
      <c r="S399" s="1"/>
      <c r="T399" s="1"/>
      <c r="U399" s="24"/>
      <c r="V399" s="2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24"/>
      <c r="S400" s="1"/>
      <c r="T400" s="1"/>
      <c r="U400" s="24"/>
      <c r="V400" s="2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24"/>
      <c r="S401" s="1"/>
      <c r="T401" s="1"/>
      <c r="U401" s="24"/>
      <c r="V401" s="24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24"/>
      <c r="S402" s="1"/>
      <c r="T402" s="1"/>
      <c r="U402" s="24"/>
      <c r="V402" s="2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24"/>
      <c r="S403" s="1"/>
      <c r="T403" s="1"/>
      <c r="U403" s="24"/>
      <c r="V403" s="24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24"/>
      <c r="S404" s="1"/>
      <c r="T404" s="1"/>
      <c r="U404" s="24"/>
      <c r="V404" s="2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24"/>
      <c r="S405" s="1"/>
      <c r="T405" s="1"/>
      <c r="U405" s="24"/>
      <c r="V405" s="2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24"/>
      <c r="S406" s="1"/>
      <c r="T406" s="1"/>
      <c r="U406" s="24"/>
      <c r="V406" s="24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24"/>
      <c r="S407" s="1"/>
      <c r="T407" s="1"/>
      <c r="U407" s="24"/>
      <c r="V407" s="24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24"/>
      <c r="S408" s="1"/>
      <c r="T408" s="1"/>
      <c r="U408" s="24"/>
      <c r="V408" s="2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24"/>
      <c r="S409" s="1"/>
      <c r="T409" s="1"/>
      <c r="U409" s="24"/>
      <c r="V409" s="2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24"/>
      <c r="S410" s="1"/>
      <c r="T410" s="1"/>
      <c r="U410" s="24"/>
      <c r="V410" s="24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24"/>
      <c r="S411" s="1"/>
      <c r="T411" s="1"/>
      <c r="U411" s="24"/>
      <c r="V411" s="24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24"/>
      <c r="S412" s="1"/>
      <c r="T412" s="1"/>
      <c r="U412" s="24"/>
      <c r="V412" s="2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24"/>
      <c r="S413" s="1"/>
      <c r="T413" s="1"/>
      <c r="U413" s="24"/>
      <c r="V413" s="24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24"/>
      <c r="S414" s="1"/>
      <c r="T414" s="1"/>
      <c r="U414" s="24"/>
      <c r="V414" s="24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24"/>
      <c r="S415" s="1"/>
      <c r="T415" s="1"/>
      <c r="U415" s="24"/>
      <c r="V415" s="24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24"/>
      <c r="S416" s="1"/>
      <c r="T416" s="1"/>
      <c r="U416" s="24"/>
      <c r="V416" s="24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24"/>
      <c r="S417" s="1"/>
      <c r="T417" s="1"/>
      <c r="U417" s="24"/>
      <c r="V417" s="24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24"/>
      <c r="S418" s="1"/>
      <c r="T418" s="1"/>
      <c r="U418" s="24"/>
      <c r="V418" s="2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24"/>
      <c r="S419" s="1"/>
      <c r="T419" s="1"/>
      <c r="U419" s="24"/>
      <c r="V419" s="2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24"/>
      <c r="S420" s="1"/>
      <c r="T420" s="1"/>
      <c r="U420" s="24"/>
      <c r="V420" s="2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24"/>
      <c r="S421" s="1"/>
      <c r="T421" s="1"/>
      <c r="U421" s="24"/>
      <c r="V421" s="24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24"/>
      <c r="S422" s="1"/>
      <c r="T422" s="1"/>
      <c r="U422" s="24"/>
      <c r="V422" s="24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24"/>
      <c r="S423" s="1"/>
      <c r="T423" s="1"/>
      <c r="U423" s="24"/>
      <c r="V423" s="2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24"/>
      <c r="S424" s="1"/>
      <c r="T424" s="1"/>
      <c r="U424" s="24"/>
      <c r="V424" s="24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24"/>
      <c r="S425" s="1"/>
      <c r="T425" s="1"/>
      <c r="U425" s="24"/>
      <c r="V425" s="2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24"/>
      <c r="S426" s="1"/>
      <c r="T426" s="1"/>
      <c r="U426" s="24"/>
      <c r="V426" s="24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24"/>
      <c r="S427" s="1"/>
      <c r="T427" s="1"/>
      <c r="U427" s="24"/>
      <c r="V427" s="24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24"/>
      <c r="S428" s="1"/>
      <c r="T428" s="1"/>
      <c r="U428" s="24"/>
      <c r="V428" s="2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24"/>
      <c r="S429" s="1"/>
      <c r="T429" s="1"/>
      <c r="U429" s="24"/>
      <c r="V429" s="2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24"/>
      <c r="S430" s="1"/>
      <c r="T430" s="1"/>
      <c r="U430" s="24"/>
      <c r="V430" s="2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24"/>
      <c r="S431" s="1"/>
      <c r="T431" s="1"/>
      <c r="U431" s="24"/>
      <c r="V431" s="2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24"/>
      <c r="S432" s="1"/>
      <c r="T432" s="1"/>
      <c r="U432" s="24"/>
      <c r="V432" s="24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24"/>
      <c r="S433" s="1"/>
      <c r="T433" s="1"/>
      <c r="U433" s="24"/>
      <c r="V433" s="2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24"/>
      <c r="S434" s="1"/>
      <c r="T434" s="1"/>
      <c r="U434" s="24"/>
      <c r="V434" s="24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24"/>
      <c r="S435" s="1"/>
      <c r="T435" s="1"/>
      <c r="U435" s="24"/>
      <c r="V435" s="2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24"/>
      <c r="S436" s="1"/>
      <c r="T436" s="1"/>
      <c r="U436" s="24"/>
      <c r="V436" s="24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24"/>
      <c r="S437" s="1"/>
      <c r="T437" s="1"/>
      <c r="U437" s="24"/>
      <c r="V437" s="2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24"/>
      <c r="S438" s="1"/>
      <c r="T438" s="1"/>
      <c r="U438" s="24"/>
      <c r="V438" s="24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24"/>
      <c r="S439" s="1"/>
      <c r="T439" s="1"/>
      <c r="U439" s="24"/>
      <c r="V439" s="24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24"/>
      <c r="S440" s="1"/>
      <c r="T440" s="1"/>
      <c r="U440" s="24"/>
      <c r="V440" s="24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24"/>
      <c r="S441" s="1"/>
      <c r="T441" s="1"/>
      <c r="U441" s="24"/>
      <c r="V441" s="24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24"/>
      <c r="S442" s="1"/>
      <c r="T442" s="1"/>
      <c r="U442" s="24"/>
      <c r="V442" s="24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24"/>
      <c r="S443" s="1"/>
      <c r="T443" s="1"/>
      <c r="U443" s="24"/>
      <c r="V443" s="24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24"/>
      <c r="S444" s="1"/>
      <c r="T444" s="1"/>
      <c r="U444" s="24"/>
      <c r="V444" s="24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24"/>
      <c r="S445" s="1"/>
      <c r="T445" s="1"/>
      <c r="U445" s="24"/>
      <c r="V445" s="24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24"/>
      <c r="S446" s="1"/>
      <c r="T446" s="1"/>
      <c r="U446" s="24"/>
      <c r="V446" s="24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24"/>
      <c r="S447" s="1"/>
      <c r="T447" s="1"/>
      <c r="U447" s="24"/>
      <c r="V447" s="24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24"/>
      <c r="S448" s="1"/>
      <c r="T448" s="1"/>
      <c r="U448" s="24"/>
      <c r="V448" s="24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24"/>
      <c r="S449" s="1"/>
      <c r="T449" s="1"/>
      <c r="U449" s="24"/>
      <c r="V449" s="2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24"/>
      <c r="S450" s="1"/>
      <c r="T450" s="1"/>
      <c r="U450" s="24"/>
      <c r="V450" s="2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24"/>
      <c r="S451" s="1"/>
      <c r="T451" s="1"/>
      <c r="U451" s="24"/>
      <c r="V451" s="24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24"/>
      <c r="S452" s="1"/>
      <c r="T452" s="1"/>
      <c r="U452" s="24"/>
      <c r="V452" s="24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24"/>
      <c r="S453" s="1"/>
      <c r="T453" s="1"/>
      <c r="U453" s="24"/>
      <c r="V453" s="2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24"/>
      <c r="S454" s="1"/>
      <c r="T454" s="1"/>
      <c r="U454" s="24"/>
      <c r="V454" s="24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24"/>
      <c r="S455" s="1"/>
      <c r="T455" s="1"/>
      <c r="U455" s="24"/>
      <c r="V455" s="24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24"/>
      <c r="S456" s="1"/>
      <c r="T456" s="1"/>
      <c r="U456" s="24"/>
      <c r="V456" s="2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24"/>
      <c r="S457" s="1"/>
      <c r="T457" s="1"/>
      <c r="U457" s="24"/>
      <c r="V457" s="2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24"/>
      <c r="S458" s="1"/>
      <c r="T458" s="1"/>
      <c r="U458" s="24"/>
      <c r="V458" s="2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24"/>
      <c r="S459" s="1"/>
      <c r="T459" s="1"/>
      <c r="U459" s="24"/>
      <c r="V459" s="2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24"/>
      <c r="S460" s="1"/>
      <c r="T460" s="1"/>
      <c r="U460" s="24"/>
      <c r="V460" s="2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24"/>
      <c r="S461" s="1"/>
      <c r="T461" s="1"/>
      <c r="U461" s="24"/>
      <c r="V461" s="24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24"/>
      <c r="S462" s="1"/>
      <c r="T462" s="1"/>
      <c r="U462" s="24"/>
      <c r="V462" s="2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24"/>
      <c r="S463" s="1"/>
      <c r="T463" s="1"/>
      <c r="U463" s="24"/>
      <c r="V463" s="2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24"/>
      <c r="S464" s="1"/>
      <c r="T464" s="1"/>
      <c r="U464" s="24"/>
      <c r="V464" s="24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24"/>
      <c r="S465" s="1"/>
      <c r="T465" s="1"/>
      <c r="U465" s="24"/>
      <c r="V465" s="24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24"/>
      <c r="S466" s="1"/>
      <c r="T466" s="1"/>
      <c r="U466" s="24"/>
      <c r="V466" s="24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24"/>
      <c r="S467" s="1"/>
      <c r="T467" s="1"/>
      <c r="U467" s="24"/>
      <c r="V467" s="24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24"/>
      <c r="S468" s="1"/>
      <c r="T468" s="1"/>
      <c r="U468" s="24"/>
      <c r="V468" s="24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24"/>
      <c r="S469" s="1"/>
      <c r="T469" s="1"/>
      <c r="U469" s="24"/>
      <c r="V469" s="24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24"/>
      <c r="S470" s="1"/>
      <c r="T470" s="1"/>
      <c r="U470" s="24"/>
      <c r="V470" s="24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24"/>
      <c r="S471" s="1"/>
      <c r="T471" s="1"/>
      <c r="U471" s="24"/>
      <c r="V471" s="2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24"/>
      <c r="S472" s="1"/>
      <c r="T472" s="1"/>
      <c r="U472" s="24"/>
      <c r="V472" s="2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24"/>
      <c r="S473" s="1"/>
      <c r="T473" s="1"/>
      <c r="U473" s="24"/>
      <c r="V473" s="2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24"/>
      <c r="S474" s="1"/>
      <c r="T474" s="1"/>
      <c r="U474" s="24"/>
      <c r="V474" s="2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24"/>
      <c r="S475" s="1"/>
      <c r="T475" s="1"/>
      <c r="U475" s="24"/>
      <c r="V475" s="24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24"/>
      <c r="S476" s="1"/>
      <c r="T476" s="1"/>
      <c r="U476" s="24"/>
      <c r="V476" s="24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24"/>
      <c r="S477" s="1"/>
      <c r="T477" s="1"/>
      <c r="U477" s="24"/>
      <c r="V477" s="24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24"/>
      <c r="S478" s="1"/>
      <c r="T478" s="1"/>
      <c r="U478" s="24"/>
      <c r="V478" s="24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24"/>
      <c r="S479" s="1"/>
      <c r="T479" s="1"/>
      <c r="U479" s="24"/>
      <c r="V479" s="24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24"/>
      <c r="S480" s="1"/>
      <c r="T480" s="1"/>
      <c r="U480" s="24"/>
      <c r="V480" s="24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24"/>
      <c r="S481" s="1"/>
      <c r="T481" s="1"/>
      <c r="U481" s="24"/>
      <c r="V481" s="24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24"/>
      <c r="S482" s="1"/>
      <c r="T482" s="1"/>
      <c r="U482" s="24"/>
      <c r="V482" s="2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24"/>
      <c r="S483" s="1"/>
      <c r="T483" s="1"/>
      <c r="U483" s="24"/>
      <c r="V483" s="2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24"/>
      <c r="S484" s="1"/>
      <c r="T484" s="1"/>
      <c r="U484" s="24"/>
      <c r="V484" s="2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24"/>
      <c r="S485" s="1"/>
      <c r="T485" s="1"/>
      <c r="U485" s="24"/>
      <c r="V485" s="24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24"/>
      <c r="S486" s="1"/>
      <c r="T486" s="1"/>
      <c r="U486" s="24"/>
      <c r="V486" s="24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24"/>
      <c r="S487" s="1"/>
      <c r="T487" s="1"/>
      <c r="U487" s="24"/>
      <c r="V487" s="2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24"/>
      <c r="S488" s="1"/>
      <c r="T488" s="1"/>
      <c r="U488" s="24"/>
      <c r="V488" s="2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24"/>
      <c r="S489" s="1"/>
      <c r="T489" s="1"/>
      <c r="U489" s="24"/>
      <c r="V489" s="24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24"/>
      <c r="S490" s="1"/>
      <c r="T490" s="1"/>
      <c r="U490" s="24"/>
      <c r="V490" s="24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24"/>
      <c r="S491" s="1"/>
      <c r="T491" s="1"/>
      <c r="U491" s="24"/>
      <c r="V491" s="24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24"/>
      <c r="S492" s="1"/>
      <c r="T492" s="1"/>
      <c r="U492" s="24"/>
      <c r="V492" s="24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24"/>
      <c r="S493" s="1"/>
      <c r="T493" s="1"/>
      <c r="U493" s="24"/>
      <c r="V493" s="24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24"/>
      <c r="S494" s="1"/>
      <c r="T494" s="1"/>
      <c r="U494" s="24"/>
      <c r="V494" s="24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24"/>
      <c r="S495" s="1"/>
      <c r="T495" s="1"/>
      <c r="U495" s="24"/>
      <c r="V495" s="24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24"/>
      <c r="S496" s="1"/>
      <c r="T496" s="1"/>
      <c r="U496" s="24"/>
      <c r="V496" s="2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24"/>
      <c r="S497" s="1"/>
      <c r="T497" s="1"/>
      <c r="U497" s="24"/>
      <c r="V497" s="2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24"/>
      <c r="S498" s="1"/>
      <c r="T498" s="1"/>
      <c r="U498" s="24"/>
      <c r="V498" s="2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</sheetData>
  <autoFilter ref="A3:AU134" xr:uid="{00000000-0001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7787-27CD-4D27-B248-94BE84A50289}">
  <dimension ref="A1:D19"/>
  <sheetViews>
    <sheetView workbookViewId="0">
      <selection activeCell="J18" sqref="J18"/>
    </sheetView>
  </sheetViews>
  <sheetFormatPr defaultRowHeight="15" x14ac:dyDescent="0.25"/>
  <cols>
    <col min="1" max="1" width="9.28515625" bestFit="1" customWidth="1"/>
    <col min="2" max="2" width="110.28515625" bestFit="1" customWidth="1"/>
    <col min="3" max="3" width="6" bestFit="1" customWidth="1"/>
    <col min="4" max="4" width="6.7109375" bestFit="1" customWidth="1"/>
  </cols>
  <sheetData>
    <row r="1" spans="1:4" x14ac:dyDescent="0.25">
      <c r="A1" s="21" t="s">
        <v>116</v>
      </c>
      <c r="B1" s="21" t="s">
        <v>313</v>
      </c>
      <c r="C1" s="21">
        <v>12</v>
      </c>
      <c r="D1" s="21">
        <v>-12</v>
      </c>
    </row>
    <row r="2" spans="1:4" x14ac:dyDescent="0.25">
      <c r="A2" s="22" t="s">
        <v>60</v>
      </c>
      <c r="B2" s="22" t="s">
        <v>314</v>
      </c>
      <c r="C2" s="22">
        <v>30.6</v>
      </c>
      <c r="D2" s="22">
        <v>-30.6</v>
      </c>
    </row>
    <row r="3" spans="1:4" x14ac:dyDescent="0.25">
      <c r="A3" s="22" t="s">
        <v>92</v>
      </c>
      <c r="B3" s="22" t="s">
        <v>315</v>
      </c>
      <c r="C3" s="22">
        <v>108</v>
      </c>
      <c r="D3" s="22">
        <v>-108</v>
      </c>
    </row>
    <row r="4" spans="1:4" x14ac:dyDescent="0.25">
      <c r="A4" s="22" t="s">
        <v>114</v>
      </c>
      <c r="B4" s="22" t="s">
        <v>316</v>
      </c>
      <c r="C4" s="22">
        <v>201.6</v>
      </c>
      <c r="D4" s="22">
        <v>-201.6</v>
      </c>
    </row>
    <row r="5" spans="1:4" x14ac:dyDescent="0.25">
      <c r="A5" s="22" t="s">
        <v>140</v>
      </c>
      <c r="B5" s="22" t="s">
        <v>317</v>
      </c>
      <c r="C5" s="22">
        <v>54</v>
      </c>
      <c r="D5" s="22">
        <v>-54</v>
      </c>
    </row>
    <row r="6" spans="1:4" x14ac:dyDescent="0.25">
      <c r="A6" s="22" t="s">
        <v>122</v>
      </c>
      <c r="B6" s="22" t="s">
        <v>318</v>
      </c>
      <c r="C6" s="22">
        <v>35.700000000000003</v>
      </c>
      <c r="D6" s="22">
        <v>-35.700000000000003</v>
      </c>
    </row>
    <row r="7" spans="1:4" x14ac:dyDescent="0.25">
      <c r="A7" s="22" t="s">
        <v>118</v>
      </c>
      <c r="B7" s="22" t="s">
        <v>319</v>
      </c>
      <c r="C7" s="22">
        <v>226.2</v>
      </c>
      <c r="D7" s="22">
        <v>-226.2</v>
      </c>
    </row>
    <row r="8" spans="1:4" x14ac:dyDescent="0.25">
      <c r="A8" s="22" t="s">
        <v>146</v>
      </c>
      <c r="B8" s="22" t="s">
        <v>320</v>
      </c>
      <c r="C8" s="22">
        <v>60</v>
      </c>
      <c r="D8" s="22">
        <v>-60</v>
      </c>
    </row>
    <row r="9" spans="1:4" x14ac:dyDescent="0.25">
      <c r="A9" s="22" t="s">
        <v>173</v>
      </c>
      <c r="B9" s="22" t="s">
        <v>321</v>
      </c>
      <c r="C9" s="22">
        <v>148.80000000000001</v>
      </c>
      <c r="D9" s="22">
        <v>-148.80000000000001</v>
      </c>
    </row>
    <row r="10" spans="1:4" x14ac:dyDescent="0.25">
      <c r="A10" s="22" t="s">
        <v>132</v>
      </c>
      <c r="B10" s="22" t="s">
        <v>322</v>
      </c>
      <c r="C10" s="22">
        <v>100.8</v>
      </c>
      <c r="D10" s="22">
        <v>-100.8</v>
      </c>
    </row>
    <row r="11" spans="1:4" x14ac:dyDescent="0.25">
      <c r="A11" s="22" t="s">
        <v>175</v>
      </c>
      <c r="B11" s="22" t="s">
        <v>323</v>
      </c>
      <c r="C11" s="22">
        <v>345.6</v>
      </c>
      <c r="D11" s="22">
        <v>-345.6</v>
      </c>
    </row>
    <row r="12" spans="1:4" x14ac:dyDescent="0.25">
      <c r="A12" s="22" t="s">
        <v>304</v>
      </c>
      <c r="B12" s="22" t="s">
        <v>324</v>
      </c>
      <c r="C12" s="22">
        <v>45</v>
      </c>
      <c r="D12" s="22">
        <v>-45</v>
      </c>
    </row>
    <row r="13" spans="1:4" x14ac:dyDescent="0.25">
      <c r="A13" s="22" t="s">
        <v>177</v>
      </c>
      <c r="B13" s="22" t="s">
        <v>325</v>
      </c>
      <c r="C13" s="22">
        <v>264.60000000000002</v>
      </c>
      <c r="D13" s="22">
        <v>-264.60000000000002</v>
      </c>
    </row>
    <row r="14" spans="1:4" x14ac:dyDescent="0.25">
      <c r="A14" s="22" t="s">
        <v>302</v>
      </c>
      <c r="B14" s="22" t="s">
        <v>326</v>
      </c>
      <c r="C14" s="22">
        <v>90</v>
      </c>
      <c r="D14" s="22">
        <v>-90</v>
      </c>
    </row>
    <row r="15" spans="1:4" x14ac:dyDescent="0.25">
      <c r="A15" s="22" t="s">
        <v>179</v>
      </c>
      <c r="B15" s="22" t="s">
        <v>327</v>
      </c>
      <c r="C15" s="22">
        <v>529.20000000000005</v>
      </c>
      <c r="D15" s="22">
        <v>-529.20000000000005</v>
      </c>
    </row>
    <row r="16" spans="1:4" x14ac:dyDescent="0.25">
      <c r="A16" s="22" t="s">
        <v>233</v>
      </c>
      <c r="B16" s="22" t="s">
        <v>328</v>
      </c>
      <c r="C16" s="22">
        <v>45</v>
      </c>
      <c r="D16" s="22">
        <v>-45</v>
      </c>
    </row>
    <row r="17" spans="1:4" x14ac:dyDescent="0.25">
      <c r="A17" s="22" t="s">
        <v>194</v>
      </c>
      <c r="B17" s="22" t="s">
        <v>329</v>
      </c>
      <c r="C17" s="22">
        <v>5.28</v>
      </c>
      <c r="D17" s="22">
        <v>-5.28</v>
      </c>
    </row>
    <row r="18" spans="1:4" x14ac:dyDescent="0.25">
      <c r="A18" s="22" t="s">
        <v>263</v>
      </c>
      <c r="B18" s="22" t="s">
        <v>330</v>
      </c>
      <c r="C18" s="22">
        <v>301</v>
      </c>
      <c r="D18" s="22">
        <v>-301</v>
      </c>
    </row>
    <row r="19" spans="1:4" x14ac:dyDescent="0.25">
      <c r="A19" s="22" t="s">
        <v>274</v>
      </c>
      <c r="B19" s="22" t="s">
        <v>331</v>
      </c>
      <c r="C19" s="22">
        <v>57.12</v>
      </c>
      <c r="D19" s="22">
        <v>-57.12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1AE6-DD05-48E4-B9F6-22DAE379736F}">
  <dimension ref="A1:D97"/>
  <sheetViews>
    <sheetView workbookViewId="0">
      <selection activeCell="H10" sqref="H10"/>
    </sheetView>
  </sheetViews>
  <sheetFormatPr defaultRowHeight="15" x14ac:dyDescent="0.25"/>
  <cols>
    <col min="2" max="2" width="120.5703125" bestFit="1" customWidth="1"/>
  </cols>
  <sheetData>
    <row r="1" spans="1:4" x14ac:dyDescent="0.25">
      <c r="A1" s="31" t="s">
        <v>69</v>
      </c>
      <c r="B1" s="21" t="s">
        <v>340</v>
      </c>
      <c r="C1" s="32"/>
      <c r="D1" s="32">
        <v>1200</v>
      </c>
    </row>
    <row r="2" spans="1:4" x14ac:dyDescent="0.25">
      <c r="A2" s="33" t="s">
        <v>94</v>
      </c>
      <c r="B2" s="22" t="s">
        <v>341</v>
      </c>
      <c r="C2" s="34">
        <v>-500.6</v>
      </c>
      <c r="D2" s="34">
        <v>1926.6</v>
      </c>
    </row>
    <row r="3" spans="1:4" x14ac:dyDescent="0.25">
      <c r="A3" s="33" t="s">
        <v>44</v>
      </c>
      <c r="B3" s="22" t="s">
        <v>342</v>
      </c>
      <c r="C3" s="34"/>
      <c r="D3" s="34">
        <v>820.8</v>
      </c>
    </row>
    <row r="4" spans="1:4" x14ac:dyDescent="0.25">
      <c r="A4" s="33" t="s">
        <v>90</v>
      </c>
      <c r="B4" s="22" t="s">
        <v>343</v>
      </c>
      <c r="C4" s="34"/>
      <c r="D4" s="34">
        <v>134.4</v>
      </c>
    </row>
    <row r="5" spans="1:4" x14ac:dyDescent="0.25">
      <c r="A5" s="33" t="s">
        <v>104</v>
      </c>
      <c r="B5" s="22" t="s">
        <v>344</v>
      </c>
      <c r="C5" s="34"/>
      <c r="D5" s="34">
        <v>151.19999999999999</v>
      </c>
    </row>
    <row r="6" spans="1:4" x14ac:dyDescent="0.25">
      <c r="A6" s="33" t="s">
        <v>46</v>
      </c>
      <c r="B6" s="22" t="s">
        <v>345</v>
      </c>
      <c r="C6" s="34"/>
      <c r="D6" s="34">
        <v>461.7</v>
      </c>
    </row>
    <row r="7" spans="1:4" x14ac:dyDescent="0.25">
      <c r="A7" s="33" t="s">
        <v>54</v>
      </c>
      <c r="B7" s="22" t="s">
        <v>346</v>
      </c>
      <c r="C7" s="34"/>
      <c r="D7" s="34">
        <v>83.7</v>
      </c>
    </row>
    <row r="8" spans="1:4" x14ac:dyDescent="0.25">
      <c r="A8" s="33" t="s">
        <v>56</v>
      </c>
      <c r="B8" s="22" t="s">
        <v>347</v>
      </c>
      <c r="C8" s="34"/>
      <c r="D8" s="34">
        <v>205.2</v>
      </c>
    </row>
    <row r="9" spans="1:4" x14ac:dyDescent="0.25">
      <c r="A9" s="33" t="s">
        <v>48</v>
      </c>
      <c r="B9" s="22" t="s">
        <v>348</v>
      </c>
      <c r="C9" s="34"/>
      <c r="D9" s="34">
        <v>340.2</v>
      </c>
    </row>
    <row r="10" spans="1:4" x14ac:dyDescent="0.25">
      <c r="A10" s="33" t="s">
        <v>88</v>
      </c>
      <c r="B10" s="22" t="s">
        <v>349</v>
      </c>
      <c r="C10" s="34">
        <v>-92.4</v>
      </c>
      <c r="D10" s="34">
        <v>92.4</v>
      </c>
    </row>
    <row r="11" spans="1:4" x14ac:dyDescent="0.25">
      <c r="A11" s="33" t="s">
        <v>62</v>
      </c>
      <c r="B11" s="22" t="s">
        <v>350</v>
      </c>
      <c r="C11" s="34"/>
      <c r="D11" s="34">
        <v>25.5</v>
      </c>
    </row>
    <row r="12" spans="1:4" x14ac:dyDescent="0.25">
      <c r="A12" s="33" t="s">
        <v>75</v>
      </c>
      <c r="B12" s="22" t="s">
        <v>351</v>
      </c>
      <c r="C12" s="34"/>
      <c r="D12" s="34">
        <v>6.08</v>
      </c>
    </row>
    <row r="13" spans="1:4" x14ac:dyDescent="0.25">
      <c r="A13" s="33" t="s">
        <v>77</v>
      </c>
      <c r="B13" s="22" t="s">
        <v>352</v>
      </c>
      <c r="C13" s="34"/>
      <c r="D13" s="34">
        <v>448.8</v>
      </c>
    </row>
    <row r="14" spans="1:4" x14ac:dyDescent="0.25">
      <c r="A14" s="33" t="s">
        <v>71</v>
      </c>
      <c r="B14" s="22" t="s">
        <v>353</v>
      </c>
      <c r="C14" s="34"/>
      <c r="D14" s="34">
        <v>58.08</v>
      </c>
    </row>
    <row r="15" spans="1:4" x14ac:dyDescent="0.25">
      <c r="A15" s="33" t="s">
        <v>67</v>
      </c>
      <c r="B15" s="22" t="s">
        <v>354</v>
      </c>
      <c r="C15" s="34"/>
      <c r="D15" s="34">
        <v>184.8</v>
      </c>
    </row>
    <row r="16" spans="1:4" x14ac:dyDescent="0.25">
      <c r="A16" s="33" t="s">
        <v>100</v>
      </c>
      <c r="B16" s="22" t="s">
        <v>355</v>
      </c>
      <c r="C16" s="34"/>
      <c r="D16" s="34">
        <v>1008</v>
      </c>
    </row>
    <row r="17" spans="1:4" x14ac:dyDescent="0.25">
      <c r="A17" s="33" t="s">
        <v>58</v>
      </c>
      <c r="B17" s="22" t="s">
        <v>356</v>
      </c>
      <c r="C17" s="34"/>
      <c r="D17" s="34">
        <v>5.0999999999999996</v>
      </c>
    </row>
    <row r="18" spans="1:4" x14ac:dyDescent="0.25">
      <c r="A18" s="33" t="s">
        <v>79</v>
      </c>
      <c r="B18" s="22" t="s">
        <v>357</v>
      </c>
      <c r="C18" s="34"/>
      <c r="D18" s="34">
        <v>137.28</v>
      </c>
    </row>
    <row r="19" spans="1:4" x14ac:dyDescent="0.25">
      <c r="A19" s="33" t="s">
        <v>85</v>
      </c>
      <c r="B19" s="22" t="s">
        <v>358</v>
      </c>
      <c r="C19" s="34">
        <v>-232.32</v>
      </c>
      <c r="D19" s="34">
        <v>232.32</v>
      </c>
    </row>
    <row r="20" spans="1:4" x14ac:dyDescent="0.25">
      <c r="A20" s="33" t="s">
        <v>81</v>
      </c>
      <c r="B20" s="22" t="s">
        <v>359</v>
      </c>
      <c r="C20" s="34">
        <v>-153.12</v>
      </c>
      <c r="D20" s="34">
        <v>153.12</v>
      </c>
    </row>
    <row r="21" spans="1:4" x14ac:dyDescent="0.25">
      <c r="A21" s="33" t="s">
        <v>73</v>
      </c>
      <c r="B21" s="22" t="s">
        <v>360</v>
      </c>
      <c r="C21" s="34"/>
      <c r="D21" s="34">
        <v>68.64</v>
      </c>
    </row>
    <row r="22" spans="1:4" x14ac:dyDescent="0.25">
      <c r="A22" s="33" t="s">
        <v>116</v>
      </c>
      <c r="B22" s="22" t="s">
        <v>313</v>
      </c>
      <c r="C22" s="34">
        <v>-9.6</v>
      </c>
      <c r="D22" s="34">
        <v>9.6</v>
      </c>
    </row>
    <row r="23" spans="1:4" x14ac:dyDescent="0.25">
      <c r="A23" s="33" t="s">
        <v>60</v>
      </c>
      <c r="B23" s="22" t="s">
        <v>314</v>
      </c>
      <c r="C23" s="34">
        <v>-30.6</v>
      </c>
      <c r="D23" s="34">
        <v>30.6</v>
      </c>
    </row>
    <row r="24" spans="1:4" x14ac:dyDescent="0.25">
      <c r="A24" s="33" t="s">
        <v>92</v>
      </c>
      <c r="B24" s="22" t="s">
        <v>315</v>
      </c>
      <c r="C24" s="34">
        <v>-108</v>
      </c>
      <c r="D24" s="34">
        <v>108</v>
      </c>
    </row>
    <row r="25" spans="1:4" x14ac:dyDescent="0.25">
      <c r="A25" s="33" t="s">
        <v>258</v>
      </c>
      <c r="B25" s="22" t="s">
        <v>361</v>
      </c>
      <c r="C25" s="34"/>
      <c r="D25" s="34">
        <v>1.7</v>
      </c>
    </row>
    <row r="26" spans="1:4" x14ac:dyDescent="0.25">
      <c r="A26" s="33" t="s">
        <v>251</v>
      </c>
      <c r="B26" s="22" t="s">
        <v>362</v>
      </c>
      <c r="C26" s="34">
        <v>-3</v>
      </c>
      <c r="D26" s="34">
        <v>3</v>
      </c>
    </row>
    <row r="27" spans="1:4" x14ac:dyDescent="0.25">
      <c r="A27" s="33" t="s">
        <v>202</v>
      </c>
      <c r="B27" s="22" t="s">
        <v>363</v>
      </c>
      <c r="C27" s="34"/>
      <c r="D27" s="34">
        <v>31.68</v>
      </c>
    </row>
    <row r="28" spans="1:4" x14ac:dyDescent="0.25">
      <c r="A28" s="33" t="s">
        <v>120</v>
      </c>
      <c r="B28" s="22" t="s">
        <v>364</v>
      </c>
      <c r="C28" s="34"/>
      <c r="D28" s="34">
        <v>20</v>
      </c>
    </row>
    <row r="29" spans="1:4" x14ac:dyDescent="0.25">
      <c r="A29" s="33" t="s">
        <v>110</v>
      </c>
      <c r="B29" s="22" t="s">
        <v>365</v>
      </c>
      <c r="C29" s="34"/>
      <c r="D29" s="34">
        <v>801.6</v>
      </c>
    </row>
    <row r="30" spans="1:4" x14ac:dyDescent="0.25">
      <c r="A30" s="33" t="s">
        <v>114</v>
      </c>
      <c r="B30" s="22" t="s">
        <v>316</v>
      </c>
      <c r="C30" s="34">
        <v>-160.80000000000001</v>
      </c>
      <c r="D30" s="34">
        <v>160.80000000000001</v>
      </c>
    </row>
    <row r="31" spans="1:4" x14ac:dyDescent="0.25">
      <c r="A31" s="33" t="s">
        <v>190</v>
      </c>
      <c r="B31" s="22" t="s">
        <v>366</v>
      </c>
      <c r="C31" s="34"/>
      <c r="D31" s="34">
        <v>9.6</v>
      </c>
    </row>
    <row r="32" spans="1:4" x14ac:dyDescent="0.25">
      <c r="A32" s="33" t="s">
        <v>188</v>
      </c>
      <c r="B32" s="22" t="s">
        <v>367</v>
      </c>
      <c r="C32" s="34"/>
      <c r="D32" s="34">
        <v>33.6</v>
      </c>
    </row>
    <row r="33" spans="1:4" x14ac:dyDescent="0.25">
      <c r="A33" s="33" t="s">
        <v>219</v>
      </c>
      <c r="B33" s="22" t="s">
        <v>368</v>
      </c>
      <c r="C33" s="34"/>
      <c r="D33" s="34">
        <v>306.24</v>
      </c>
    </row>
    <row r="34" spans="1:4" x14ac:dyDescent="0.25">
      <c r="A34" s="33" t="s">
        <v>200</v>
      </c>
      <c r="B34" s="22" t="s">
        <v>369</v>
      </c>
      <c r="C34" s="34"/>
      <c r="D34" s="34">
        <v>57.6</v>
      </c>
    </row>
    <row r="35" spans="1:4" x14ac:dyDescent="0.25">
      <c r="A35" s="33" t="s">
        <v>140</v>
      </c>
      <c r="B35" s="22" t="s">
        <v>317</v>
      </c>
      <c r="C35" s="34">
        <v>-45</v>
      </c>
      <c r="D35" s="34">
        <v>45</v>
      </c>
    </row>
    <row r="36" spans="1:4" x14ac:dyDescent="0.25">
      <c r="A36" s="33" t="s">
        <v>122</v>
      </c>
      <c r="B36" s="22" t="s">
        <v>318</v>
      </c>
      <c r="C36" s="34">
        <v>-35.700000000000003</v>
      </c>
      <c r="D36" s="34">
        <v>35.700000000000003</v>
      </c>
    </row>
    <row r="37" spans="1:4" x14ac:dyDescent="0.25">
      <c r="A37" s="33" t="s">
        <v>134</v>
      </c>
      <c r="B37" s="22" t="s">
        <v>370</v>
      </c>
      <c r="C37" s="34"/>
      <c r="D37" s="34">
        <v>120</v>
      </c>
    </row>
    <row r="38" spans="1:4" x14ac:dyDescent="0.25">
      <c r="A38" s="33" t="s">
        <v>118</v>
      </c>
      <c r="B38" s="22" t="s">
        <v>319</v>
      </c>
      <c r="C38" s="34"/>
      <c r="D38" s="34">
        <v>165.3</v>
      </c>
    </row>
    <row r="39" spans="1:4" x14ac:dyDescent="0.25">
      <c r="A39" s="33" t="s">
        <v>112</v>
      </c>
      <c r="B39" s="22" t="s">
        <v>371</v>
      </c>
      <c r="C39" s="34"/>
      <c r="D39" s="34">
        <v>76.5</v>
      </c>
    </row>
    <row r="40" spans="1:4" x14ac:dyDescent="0.25">
      <c r="A40" s="33" t="s">
        <v>204</v>
      </c>
      <c r="B40" s="22" t="s">
        <v>372</v>
      </c>
      <c r="C40" s="34"/>
      <c r="D40" s="34">
        <v>36</v>
      </c>
    </row>
    <row r="41" spans="1:4" x14ac:dyDescent="0.25">
      <c r="A41" s="33" t="s">
        <v>124</v>
      </c>
      <c r="B41" s="22" t="s">
        <v>373</v>
      </c>
      <c r="C41" s="34">
        <v>-33.6</v>
      </c>
      <c r="D41" s="34">
        <v>33.6</v>
      </c>
    </row>
    <row r="42" spans="1:4" x14ac:dyDescent="0.25">
      <c r="A42" s="33" t="s">
        <v>146</v>
      </c>
      <c r="B42" s="22" t="s">
        <v>320</v>
      </c>
      <c r="C42" s="34">
        <v>-33.6</v>
      </c>
      <c r="D42" s="34">
        <v>33.6</v>
      </c>
    </row>
    <row r="43" spans="1:4" x14ac:dyDescent="0.25">
      <c r="A43" s="33" t="s">
        <v>148</v>
      </c>
      <c r="B43" s="22" t="s">
        <v>374</v>
      </c>
      <c r="C43" s="34"/>
      <c r="D43" s="34">
        <v>19.2</v>
      </c>
    </row>
    <row r="44" spans="1:4" x14ac:dyDescent="0.25">
      <c r="A44" s="33" t="s">
        <v>128</v>
      </c>
      <c r="B44" s="22" t="s">
        <v>375</v>
      </c>
      <c r="C44" s="34"/>
      <c r="D44" s="34">
        <v>40.799999999999997</v>
      </c>
    </row>
    <row r="45" spans="1:4" x14ac:dyDescent="0.25">
      <c r="A45" s="33" t="s">
        <v>126</v>
      </c>
      <c r="B45" s="22" t="s">
        <v>376</v>
      </c>
      <c r="C45" s="34"/>
      <c r="D45" s="34">
        <v>40.799999999999997</v>
      </c>
    </row>
    <row r="46" spans="1:4" x14ac:dyDescent="0.25">
      <c r="A46" s="33" t="s">
        <v>144</v>
      </c>
      <c r="B46" s="22" t="s">
        <v>377</v>
      </c>
      <c r="C46" s="34"/>
      <c r="D46" s="34">
        <v>67.5</v>
      </c>
    </row>
    <row r="47" spans="1:4" x14ac:dyDescent="0.25">
      <c r="A47" s="33" t="s">
        <v>136</v>
      </c>
      <c r="B47" s="22" t="s">
        <v>378</v>
      </c>
      <c r="C47" s="34"/>
      <c r="D47" s="34">
        <v>151.19999999999999</v>
      </c>
    </row>
    <row r="48" spans="1:4" x14ac:dyDescent="0.25">
      <c r="A48" s="33" t="s">
        <v>150</v>
      </c>
      <c r="B48" s="22" t="s">
        <v>379</v>
      </c>
      <c r="C48" s="34"/>
      <c r="D48" s="34">
        <v>237.6</v>
      </c>
    </row>
    <row r="49" spans="1:4" x14ac:dyDescent="0.25">
      <c r="A49" s="33" t="s">
        <v>138</v>
      </c>
      <c r="B49" s="22" t="s">
        <v>380</v>
      </c>
      <c r="C49" s="34"/>
      <c r="D49" s="34">
        <v>183.6</v>
      </c>
    </row>
    <row r="50" spans="1:4" x14ac:dyDescent="0.25">
      <c r="A50" s="33" t="s">
        <v>164</v>
      </c>
      <c r="B50" s="22" t="s">
        <v>381</v>
      </c>
      <c r="C50" s="34"/>
      <c r="D50" s="34">
        <v>36</v>
      </c>
    </row>
    <row r="51" spans="1:4" x14ac:dyDescent="0.25">
      <c r="A51" s="33" t="s">
        <v>186</v>
      </c>
      <c r="B51" s="22" t="s">
        <v>382</v>
      </c>
      <c r="C51" s="34"/>
      <c r="D51" s="34">
        <v>179.4</v>
      </c>
    </row>
    <row r="52" spans="1:4" x14ac:dyDescent="0.25">
      <c r="A52" s="33" t="s">
        <v>156</v>
      </c>
      <c r="B52" s="22" t="s">
        <v>383</v>
      </c>
      <c r="C52" s="34"/>
      <c r="D52" s="34">
        <v>4</v>
      </c>
    </row>
    <row r="53" spans="1:4" x14ac:dyDescent="0.25">
      <c r="A53" s="33" t="s">
        <v>171</v>
      </c>
      <c r="B53" s="22" t="s">
        <v>384</v>
      </c>
      <c r="C53" s="34"/>
      <c r="D53" s="34">
        <v>336</v>
      </c>
    </row>
    <row r="54" spans="1:4" x14ac:dyDescent="0.25">
      <c r="A54" s="33" t="s">
        <v>167</v>
      </c>
      <c r="B54" s="22" t="s">
        <v>385</v>
      </c>
      <c r="C54" s="34"/>
      <c r="D54" s="34">
        <v>315.89999999999998</v>
      </c>
    </row>
    <row r="55" spans="1:4" x14ac:dyDescent="0.25">
      <c r="A55" s="33" t="s">
        <v>173</v>
      </c>
      <c r="B55" s="22" t="s">
        <v>321</v>
      </c>
      <c r="C55" s="34"/>
      <c r="D55" s="34">
        <v>120</v>
      </c>
    </row>
    <row r="56" spans="1:4" x14ac:dyDescent="0.25">
      <c r="A56" s="33" t="s">
        <v>169</v>
      </c>
      <c r="B56" s="22" t="s">
        <v>386</v>
      </c>
      <c r="C56" s="34"/>
      <c r="D56" s="34">
        <v>243</v>
      </c>
    </row>
    <row r="57" spans="1:4" x14ac:dyDescent="0.25">
      <c r="A57" s="33" t="s">
        <v>130</v>
      </c>
      <c r="B57" s="22" t="s">
        <v>387</v>
      </c>
      <c r="C57" s="34">
        <v>-105</v>
      </c>
      <c r="D57" s="34">
        <v>105</v>
      </c>
    </row>
    <row r="58" spans="1:4" x14ac:dyDescent="0.25">
      <c r="A58" s="33" t="s">
        <v>132</v>
      </c>
      <c r="B58" s="22" t="s">
        <v>322</v>
      </c>
      <c r="C58" s="34">
        <v>-525</v>
      </c>
      <c r="D58" s="34">
        <v>525</v>
      </c>
    </row>
    <row r="59" spans="1:4" x14ac:dyDescent="0.25">
      <c r="A59" s="33" t="s">
        <v>158</v>
      </c>
      <c r="B59" s="22" t="s">
        <v>388</v>
      </c>
      <c r="C59" s="34"/>
      <c r="D59" s="34">
        <v>248.4</v>
      </c>
    </row>
    <row r="60" spans="1:4" x14ac:dyDescent="0.25">
      <c r="A60" s="33" t="s">
        <v>175</v>
      </c>
      <c r="B60" s="22" t="s">
        <v>323</v>
      </c>
      <c r="C60" s="34">
        <v>-172.8</v>
      </c>
      <c r="D60" s="34">
        <v>172.8</v>
      </c>
    </row>
    <row r="61" spans="1:4" x14ac:dyDescent="0.25">
      <c r="A61" s="33" t="s">
        <v>304</v>
      </c>
      <c r="B61" s="22" t="s">
        <v>324</v>
      </c>
      <c r="C61" s="34">
        <v>-45</v>
      </c>
      <c r="D61" s="34">
        <v>45</v>
      </c>
    </row>
    <row r="62" spans="1:4" x14ac:dyDescent="0.25">
      <c r="A62" s="33" t="s">
        <v>177</v>
      </c>
      <c r="B62" s="22" t="s">
        <v>325</v>
      </c>
      <c r="C62" s="34">
        <v>-54</v>
      </c>
      <c r="D62" s="34">
        <v>54</v>
      </c>
    </row>
    <row r="63" spans="1:4" x14ac:dyDescent="0.25">
      <c r="A63" s="33" t="s">
        <v>302</v>
      </c>
      <c r="B63" s="22" t="s">
        <v>326</v>
      </c>
      <c r="C63" s="34">
        <v>-90</v>
      </c>
      <c r="D63" s="34">
        <v>90</v>
      </c>
    </row>
    <row r="64" spans="1:4" x14ac:dyDescent="0.25">
      <c r="A64" s="33" t="s">
        <v>179</v>
      </c>
      <c r="B64" s="22" t="s">
        <v>327</v>
      </c>
      <c r="C64" s="34">
        <v>-275.39999999999998</v>
      </c>
      <c r="D64" s="34">
        <v>275.39999999999998</v>
      </c>
    </row>
    <row r="65" spans="1:4" x14ac:dyDescent="0.25">
      <c r="A65" s="33" t="s">
        <v>181</v>
      </c>
      <c r="B65" s="22" t="s">
        <v>389</v>
      </c>
      <c r="C65" s="34">
        <v>-151.19999999999999</v>
      </c>
      <c r="D65" s="34">
        <v>151.19999999999999</v>
      </c>
    </row>
    <row r="66" spans="1:4" x14ac:dyDescent="0.25">
      <c r="A66" s="33" t="s">
        <v>233</v>
      </c>
      <c r="B66" s="22" t="s">
        <v>328</v>
      </c>
      <c r="C66" s="34">
        <v>-30.6</v>
      </c>
      <c r="D66" s="34">
        <v>30.6</v>
      </c>
    </row>
    <row r="67" spans="1:4" x14ac:dyDescent="0.25">
      <c r="A67" s="33" t="s">
        <v>192</v>
      </c>
      <c r="B67" s="22" t="s">
        <v>390</v>
      </c>
      <c r="C67" s="34"/>
      <c r="D67" s="34">
        <v>32</v>
      </c>
    </row>
    <row r="68" spans="1:4" x14ac:dyDescent="0.25">
      <c r="A68" s="33" t="s">
        <v>194</v>
      </c>
      <c r="B68" s="22" t="s">
        <v>329</v>
      </c>
      <c r="C68" s="34"/>
      <c r="D68" s="34">
        <v>39.6</v>
      </c>
    </row>
    <row r="69" spans="1:4" x14ac:dyDescent="0.25">
      <c r="A69" s="33" t="s">
        <v>196</v>
      </c>
      <c r="B69" s="22" t="s">
        <v>391</v>
      </c>
      <c r="C69" s="34"/>
      <c r="D69" s="34">
        <v>70</v>
      </c>
    </row>
    <row r="70" spans="1:4" x14ac:dyDescent="0.25">
      <c r="A70" s="33" t="s">
        <v>198</v>
      </c>
      <c r="B70" s="22" t="s">
        <v>392</v>
      </c>
      <c r="C70" s="34"/>
      <c r="D70" s="34">
        <v>62.9</v>
      </c>
    </row>
    <row r="71" spans="1:4" x14ac:dyDescent="0.25">
      <c r="A71" s="33" t="s">
        <v>208</v>
      </c>
      <c r="B71" s="22" t="s">
        <v>393</v>
      </c>
      <c r="C71" s="34"/>
      <c r="D71" s="34">
        <v>39.9</v>
      </c>
    </row>
    <row r="72" spans="1:4" x14ac:dyDescent="0.25">
      <c r="A72" s="33" t="s">
        <v>206</v>
      </c>
      <c r="B72" s="22" t="s">
        <v>394</v>
      </c>
      <c r="C72" s="34">
        <v>-18.899999999999999</v>
      </c>
      <c r="D72" s="34">
        <v>18.899999999999999</v>
      </c>
    </row>
    <row r="73" spans="1:4" x14ac:dyDescent="0.25">
      <c r="A73" s="33" t="s">
        <v>255</v>
      </c>
      <c r="B73" s="22" t="s">
        <v>395</v>
      </c>
      <c r="C73" s="34"/>
      <c r="D73" s="34">
        <v>15.2</v>
      </c>
    </row>
    <row r="74" spans="1:4" x14ac:dyDescent="0.25">
      <c r="A74" s="33" t="s">
        <v>217</v>
      </c>
      <c r="B74" s="22" t="s">
        <v>396</v>
      </c>
      <c r="C74" s="34"/>
      <c r="D74" s="34">
        <v>104.4</v>
      </c>
    </row>
    <row r="75" spans="1:4" x14ac:dyDescent="0.25">
      <c r="A75" s="33" t="s">
        <v>225</v>
      </c>
      <c r="B75" s="22" t="s">
        <v>397</v>
      </c>
      <c r="C75" s="34"/>
      <c r="D75" s="34">
        <v>435</v>
      </c>
    </row>
    <row r="76" spans="1:4" x14ac:dyDescent="0.25">
      <c r="A76" s="33" t="s">
        <v>227</v>
      </c>
      <c r="B76" s="22" t="s">
        <v>398</v>
      </c>
      <c r="C76" s="34"/>
      <c r="D76" s="34">
        <v>480</v>
      </c>
    </row>
    <row r="77" spans="1:4" x14ac:dyDescent="0.25">
      <c r="A77" s="33" t="s">
        <v>223</v>
      </c>
      <c r="B77" s="22" t="s">
        <v>399</v>
      </c>
      <c r="C77" s="34"/>
      <c r="D77" s="34">
        <v>525</v>
      </c>
    </row>
    <row r="78" spans="1:4" x14ac:dyDescent="0.25">
      <c r="A78" s="33" t="s">
        <v>306</v>
      </c>
      <c r="B78" s="22" t="s">
        <v>400</v>
      </c>
      <c r="C78" s="34"/>
      <c r="D78" s="34">
        <v>100.8</v>
      </c>
    </row>
    <row r="79" spans="1:4" x14ac:dyDescent="0.25">
      <c r="A79" s="33" t="s">
        <v>235</v>
      </c>
      <c r="B79" s="22" t="s">
        <v>401</v>
      </c>
      <c r="C79" s="34"/>
      <c r="D79" s="34">
        <v>55.8</v>
      </c>
    </row>
    <row r="80" spans="1:4" x14ac:dyDescent="0.25">
      <c r="A80" s="33" t="s">
        <v>308</v>
      </c>
      <c r="B80" s="22" t="s">
        <v>402</v>
      </c>
      <c r="C80" s="34">
        <v>-61.2</v>
      </c>
      <c r="D80" s="34">
        <v>61.2</v>
      </c>
    </row>
    <row r="81" spans="1:4" x14ac:dyDescent="0.25">
      <c r="A81" s="33" t="s">
        <v>239</v>
      </c>
      <c r="B81" s="22" t="s">
        <v>403</v>
      </c>
      <c r="C81" s="34"/>
      <c r="D81" s="34">
        <v>7.56</v>
      </c>
    </row>
    <row r="82" spans="1:4" x14ac:dyDescent="0.25">
      <c r="A82" s="33" t="s">
        <v>241</v>
      </c>
      <c r="B82" s="22" t="s">
        <v>404</v>
      </c>
      <c r="C82" s="34"/>
      <c r="D82" s="34">
        <v>6.3</v>
      </c>
    </row>
    <row r="83" spans="1:4" x14ac:dyDescent="0.25">
      <c r="A83" s="33" t="s">
        <v>310</v>
      </c>
      <c r="B83" s="22" t="s">
        <v>405</v>
      </c>
      <c r="C83" s="34">
        <v>-5.4</v>
      </c>
      <c r="D83" s="34">
        <v>5.4</v>
      </c>
    </row>
    <row r="84" spans="1:4" x14ac:dyDescent="0.25">
      <c r="A84" s="33" t="s">
        <v>245</v>
      </c>
      <c r="B84" s="22" t="s">
        <v>406</v>
      </c>
      <c r="C84" s="34">
        <v>-19.8</v>
      </c>
      <c r="D84" s="34">
        <v>19.8</v>
      </c>
    </row>
    <row r="85" spans="1:4" x14ac:dyDescent="0.25">
      <c r="A85" s="33" t="s">
        <v>253</v>
      </c>
      <c r="B85" s="22" t="s">
        <v>407</v>
      </c>
      <c r="C85" s="34"/>
      <c r="D85" s="34">
        <v>12</v>
      </c>
    </row>
    <row r="86" spans="1:4" x14ac:dyDescent="0.25">
      <c r="A86" s="33" t="s">
        <v>270</v>
      </c>
      <c r="B86" s="22" t="s">
        <v>408</v>
      </c>
      <c r="C86" s="34">
        <v>-38.64</v>
      </c>
      <c r="D86" s="34">
        <v>38.64</v>
      </c>
    </row>
    <row r="87" spans="1:4" x14ac:dyDescent="0.25">
      <c r="A87" s="33" t="s">
        <v>263</v>
      </c>
      <c r="B87" s="22" t="s">
        <v>330</v>
      </c>
      <c r="C87" s="34">
        <v>-301</v>
      </c>
      <c r="D87" s="34">
        <v>301</v>
      </c>
    </row>
    <row r="88" spans="1:4" x14ac:dyDescent="0.25">
      <c r="A88" s="33" t="s">
        <v>274</v>
      </c>
      <c r="B88" s="22" t="s">
        <v>331</v>
      </c>
      <c r="C88" s="34">
        <v>-84</v>
      </c>
      <c r="D88" s="34">
        <v>84</v>
      </c>
    </row>
    <row r="89" spans="1:4" x14ac:dyDescent="0.25">
      <c r="A89" s="33" t="s">
        <v>260</v>
      </c>
      <c r="B89" s="22" t="s">
        <v>409</v>
      </c>
      <c r="C89" s="34">
        <v>-203</v>
      </c>
      <c r="D89" s="34">
        <v>203</v>
      </c>
    </row>
    <row r="90" spans="1:4" x14ac:dyDescent="0.25">
      <c r="A90" s="33" t="s">
        <v>262</v>
      </c>
      <c r="B90" s="22" t="s">
        <v>410</v>
      </c>
      <c r="C90" s="34"/>
      <c r="D90" s="34">
        <v>203</v>
      </c>
    </row>
    <row r="91" spans="1:4" x14ac:dyDescent="0.25">
      <c r="A91" s="33" t="s">
        <v>287</v>
      </c>
      <c r="B91" s="22" t="s">
        <v>411</v>
      </c>
      <c r="C91" s="34"/>
      <c r="D91" s="34">
        <v>156</v>
      </c>
    </row>
    <row r="92" spans="1:4" x14ac:dyDescent="0.25">
      <c r="A92" s="33" t="s">
        <v>289</v>
      </c>
      <c r="B92" s="22" t="s">
        <v>412</v>
      </c>
      <c r="C92" s="34"/>
      <c r="D92" s="34">
        <v>163.80000000000001</v>
      </c>
    </row>
    <row r="93" spans="1:4" x14ac:dyDescent="0.25">
      <c r="A93" s="33" t="s">
        <v>291</v>
      </c>
      <c r="B93" s="22" t="s">
        <v>413</v>
      </c>
      <c r="C93" s="34"/>
      <c r="D93" s="34">
        <v>78</v>
      </c>
    </row>
    <row r="94" spans="1:4" x14ac:dyDescent="0.25">
      <c r="A94" s="33" t="s">
        <v>279</v>
      </c>
      <c r="B94" s="22" t="s">
        <v>414</v>
      </c>
      <c r="C94" s="34"/>
      <c r="D94" s="34">
        <v>15</v>
      </c>
    </row>
    <row r="95" spans="1:4" x14ac:dyDescent="0.25">
      <c r="A95" s="33" t="s">
        <v>296</v>
      </c>
      <c r="B95" s="22" t="s">
        <v>415</v>
      </c>
      <c r="C95" s="34"/>
      <c r="D95" s="34">
        <v>27</v>
      </c>
    </row>
    <row r="96" spans="1:4" x14ac:dyDescent="0.25">
      <c r="A96" s="33" t="s">
        <v>247</v>
      </c>
      <c r="B96" s="22" t="s">
        <v>416</v>
      </c>
      <c r="C96" s="34"/>
      <c r="D96" s="34">
        <v>84</v>
      </c>
    </row>
    <row r="97" spans="1:4" x14ac:dyDescent="0.25">
      <c r="A97" s="33" t="s">
        <v>293</v>
      </c>
      <c r="B97" s="22" t="s">
        <v>417</v>
      </c>
      <c r="C97" s="34"/>
      <c r="D97" s="34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22,08</vt:lpstr>
      <vt:lpstr>недогруз 24,08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2026-08-20T12:58:51Z</dcterms:created>
  <dcterms:modified xsi:type="dcterms:W3CDTF">2026-08-25T06:47:46Z</dcterms:modified>
</cp:coreProperties>
</file>