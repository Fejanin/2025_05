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043DE4CE-CD2D-4C3D-8C1B-B6A480B5E1B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Y249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0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Y244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Y235" i="1" s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Y197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Y18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Z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Y157" i="1" s="1"/>
  <c r="P149" i="1"/>
  <c r="X146" i="1"/>
  <c r="X145" i="1"/>
  <c r="BO144" i="1"/>
  <c r="BM144" i="1"/>
  <c r="Y144" i="1"/>
  <c r="BP144" i="1" s="1"/>
  <c r="P144" i="1"/>
  <c r="BO143" i="1"/>
  <c r="BM143" i="1"/>
  <c r="Y143" i="1"/>
  <c r="BP143" i="1" s="1"/>
  <c r="P143" i="1"/>
  <c r="BO142" i="1"/>
  <c r="BM142" i="1"/>
  <c r="Y142" i="1"/>
  <c r="Y146" i="1" s="1"/>
  <c r="P142" i="1"/>
  <c r="X140" i="1"/>
  <c r="X139" i="1"/>
  <c r="BO138" i="1"/>
  <c r="BM138" i="1"/>
  <c r="Y138" i="1"/>
  <c r="BP138" i="1" s="1"/>
  <c r="P138" i="1"/>
  <c r="BO137" i="1"/>
  <c r="BM137" i="1"/>
  <c r="Z137" i="1"/>
  <c r="Y137" i="1"/>
  <c r="BP137" i="1" s="1"/>
  <c r="P137" i="1"/>
  <c r="BO136" i="1"/>
  <c r="BM136" i="1"/>
  <c r="Y136" i="1"/>
  <c r="BP136" i="1" s="1"/>
  <c r="P136" i="1"/>
  <c r="BO135" i="1"/>
  <c r="BN135" i="1"/>
  <c r="BM135" i="1"/>
  <c r="Z135" i="1"/>
  <c r="Y135" i="1"/>
  <c r="Y140" i="1" s="1"/>
  <c r="P135" i="1"/>
  <c r="X133" i="1"/>
  <c r="X132" i="1"/>
  <c r="BO131" i="1"/>
  <c r="BM131" i="1"/>
  <c r="Y131" i="1"/>
  <c r="BP131" i="1" s="1"/>
  <c r="P131" i="1"/>
  <c r="BO130" i="1"/>
  <c r="BM130" i="1"/>
  <c r="Y130" i="1"/>
  <c r="BP130" i="1" s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Y106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Y89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Y64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554" i="1" s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Y25" i="1" s="1"/>
  <c r="P22" i="1"/>
  <c r="H10" i="1"/>
  <c r="A9" i="1"/>
  <c r="A10" i="1" s="1"/>
  <c r="D7" i="1"/>
  <c r="Q6" i="1"/>
  <c r="P2" i="1"/>
  <c r="Z75" i="1" l="1"/>
  <c r="F9" i="1"/>
  <c r="J9" i="1"/>
  <c r="F10" i="1"/>
  <c r="Y33" i="1"/>
  <c r="Y43" i="1"/>
  <c r="Y554" i="1" s="1"/>
  <c r="Y51" i="1"/>
  <c r="Y70" i="1"/>
  <c r="Y76" i="1"/>
  <c r="Y80" i="1"/>
  <c r="Y95" i="1"/>
  <c r="Y114" i="1"/>
  <c r="Y122" i="1"/>
  <c r="Y126" i="1"/>
  <c r="Z130" i="1"/>
  <c r="BN130" i="1"/>
  <c r="Y133" i="1"/>
  <c r="Z136" i="1"/>
  <c r="Z139" i="1" s="1"/>
  <c r="BN136" i="1"/>
  <c r="Z138" i="1"/>
  <c r="BN138" i="1"/>
  <c r="Y139" i="1"/>
  <c r="Z142" i="1"/>
  <c r="BN142" i="1"/>
  <c r="BP142" i="1"/>
  <c r="Z144" i="1"/>
  <c r="BN144" i="1"/>
  <c r="Y145" i="1"/>
  <c r="Z149" i="1"/>
  <c r="BN149" i="1"/>
  <c r="BP149" i="1"/>
  <c r="Z151" i="1"/>
  <c r="BN151" i="1"/>
  <c r="Z153" i="1"/>
  <c r="BN153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Z243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H9" i="1"/>
  <c r="B564" i="1"/>
  <c r="X555" i="1"/>
  <c r="X557" i="1" s="1"/>
  <c r="X556" i="1"/>
  <c r="Z23" i="1"/>
  <c r="Z24" i="1" s="1"/>
  <c r="BN23" i="1"/>
  <c r="Y555" i="1" s="1"/>
  <c r="Y557" i="1" s="1"/>
  <c r="Y24" i="1"/>
  <c r="Z27" i="1"/>
  <c r="BN27" i="1"/>
  <c r="BP27" i="1"/>
  <c r="Z29" i="1"/>
  <c r="BN29" i="1"/>
  <c r="Z31" i="1"/>
  <c r="BN31" i="1"/>
  <c r="Z37" i="1"/>
  <c r="Z42" i="1" s="1"/>
  <c r="BN37" i="1"/>
  <c r="BP37" i="1"/>
  <c r="Y556" i="1" s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BP135" i="1"/>
  <c r="BN137" i="1"/>
  <c r="Z143" i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BP178" i="1"/>
  <c r="BN178" i="1"/>
  <c r="Z178" i="1"/>
  <c r="Z186" i="1" s="1"/>
  <c r="BP182" i="1"/>
  <c r="BN182" i="1"/>
  <c r="Z182" i="1"/>
  <c r="Y186" i="1"/>
  <c r="BP190" i="1"/>
  <c r="BN190" i="1"/>
  <c r="Z190" i="1"/>
  <c r="Z192" i="1" s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Z320" i="1" s="1"/>
  <c r="Y320" i="1"/>
  <c r="Z345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Z389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Z306" i="1" s="1"/>
  <c r="Y321" i="1"/>
  <c r="Z329" i="1"/>
  <c r="BP325" i="1"/>
  <c r="BN325" i="1"/>
  <c r="Z325" i="1"/>
  <c r="Y329" i="1"/>
  <c r="BP334" i="1"/>
  <c r="BN334" i="1"/>
  <c r="Z334" i="1"/>
  <c r="Z336" i="1" s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Z366" i="1" s="1"/>
  <c r="BP365" i="1"/>
  <c r="BN365" i="1"/>
  <c r="Z365" i="1"/>
  <c r="Y367" i="1"/>
  <c r="Y376" i="1"/>
  <c r="BP369" i="1"/>
  <c r="BN369" i="1"/>
  <c r="Z369" i="1"/>
  <c r="Z376" i="1" s="1"/>
  <c r="BP373" i="1"/>
  <c r="BN373" i="1"/>
  <c r="Z373" i="1"/>
  <c r="BP381" i="1"/>
  <c r="BN381" i="1"/>
  <c r="Z381" i="1"/>
  <c r="Y390" i="1"/>
  <c r="BP393" i="1"/>
  <c r="BN393" i="1"/>
  <c r="Z393" i="1"/>
  <c r="Z396" i="1" s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Z434" i="1" s="1"/>
  <c r="BP439" i="1"/>
  <c r="BN439" i="1"/>
  <c r="Z439" i="1"/>
  <c r="Y441" i="1"/>
  <c r="Y446" i="1"/>
  <c r="BP443" i="1"/>
  <c r="BN443" i="1"/>
  <c r="Z443" i="1"/>
  <c r="Z446" i="1" s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Z467" i="1" s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Z478" i="1" s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508" i="1" l="1"/>
  <c r="Z524" i="1"/>
  <c r="Z383" i="1"/>
  <c r="Y558" i="1"/>
  <c r="Z494" i="1"/>
  <c r="Z290" i="1"/>
  <c r="Z357" i="1"/>
  <c r="Z235" i="1"/>
  <c r="Z32" i="1"/>
  <c r="Z402" i="1"/>
  <c r="Z213" i="1"/>
  <c r="Z167" i="1"/>
  <c r="Z156" i="1"/>
  <c r="Z145" i="1"/>
  <c r="Z559" i="1" s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<sst xmlns="http://schemas.openxmlformats.org/spreadsheetml/2006/main" count="2515" uniqueCount="912">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</sst>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142</v>
      </c>
      <c r="Y47" s="634">
        <f>IFERROR(IF(X47="",0,CEILING((X47/$H47),1)*$H47),"")</f>
        <v>151.20000000000002</v>
      </c>
      <c r="Z47" s="36">
        <f>IFERROR(IF(Y47=0,"",ROUNDUP(Y47/H47,0)*0.01898),"")</f>
        <v>0.26572000000000001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147.39074074074074</v>
      </c>
      <c r="BN47" s="64">
        <f>IFERROR(Y47*I47/H47,"0")</f>
        <v>156.94</v>
      </c>
      <c r="BO47" s="64">
        <f>IFERROR(1/J47*(X47/H47),"0")</f>
        <v>0.2054398148148148</v>
      </c>
      <c r="BP47" s="64">
        <f>IFERROR(1/J47*(Y47/H47),"0")</f>
        <v>0.21875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13.148148148148147</v>
      </c>
      <c r="Y51" s="635">
        <f>IFERROR(Y47/H47,"0")+IFERROR(Y48/H48,"0")+IFERROR(Y49/H49,"0")+IFERROR(Y50/H50,"0")</f>
        <v>14</v>
      </c>
      <c r="Z51" s="635">
        <f>IFERROR(IF(Z47="",0,Z47),"0")+IFERROR(IF(Z48="",0,Z48),"0")+IFERROR(IF(Z49="",0,Z49),"0")+IFERROR(IF(Z50="",0,Z50),"0")</f>
        <v>0.26572000000000001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142</v>
      </c>
      <c r="Y52" s="635">
        <f>IFERROR(SUM(Y47:Y50),"0")</f>
        <v>151.20000000000002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23</v>
      </c>
      <c r="Y66" s="634">
        <f>IFERROR(IF(X66="",0,CEILING((X66/$H66),1)*$H66),"")</f>
        <v>32.400000000000006</v>
      </c>
      <c r="Z66" s="36">
        <f>IFERROR(IF(Y66=0,"",ROUNDUP(Y66/H66,0)*0.01898),"")</f>
        <v>5.6940000000000004E-2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23.87314814814815</v>
      </c>
      <c r="BN66" s="64">
        <f>IFERROR(Y66*I66/H66,"0")</f>
        <v>33.630000000000003</v>
      </c>
      <c r="BO66" s="64">
        <f>IFERROR(1/J66*(X66/H66),"0")</f>
        <v>3.3275462962962958E-2</v>
      </c>
      <c r="BP66" s="64">
        <f>IFERROR(1/J66*(Y66/H66),"0")</f>
        <v>4.6875000000000007E-2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2.1296296296296293</v>
      </c>
      <c r="Y70" s="635">
        <f>IFERROR(Y66/H66,"0")+IFERROR(Y67/H67,"0")+IFERROR(Y68/H68,"0")+IFERROR(Y69/H69,"0")</f>
        <v>3.0000000000000004</v>
      </c>
      <c r="Z70" s="635">
        <f>IFERROR(IF(Z66="",0,Z66),"0")+IFERROR(IF(Z67="",0,Z67),"0")+IFERROR(IF(Z68="",0,Z68),"0")+IFERROR(IF(Z69="",0,Z69),"0")</f>
        <v>5.6940000000000004E-2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23</v>
      </c>
      <c r="Y71" s="635">
        <f>IFERROR(SUM(Y66:Y69),"0")</f>
        <v>32.400000000000006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147</v>
      </c>
      <c r="Y78" s="634">
        <f>IFERROR(IF(X78="",0,CEILING((X78/$H78),1)*$H78),"")</f>
        <v>148.19999999999999</v>
      </c>
      <c r="Z78" s="36">
        <f>IFERROR(IF(Y78=0,"",ROUNDUP(Y78/H78,0)*0.01898),"")</f>
        <v>0.36062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154.7269230769231</v>
      </c>
      <c r="BN78" s="64">
        <f>IFERROR(Y78*I78/H78,"0")</f>
        <v>155.99</v>
      </c>
      <c r="BO78" s="64">
        <f>IFERROR(1/J78*(X78/H78),"0")</f>
        <v>0.29447115384615385</v>
      </c>
      <c r="BP78" s="64">
        <f>IFERROR(1/J78*(Y78/H78),"0")</f>
        <v>0.296875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18.846153846153847</v>
      </c>
      <c r="Y80" s="635">
        <f>IFERROR(Y78/H78,"0")+IFERROR(Y79/H79,"0")</f>
        <v>19</v>
      </c>
      <c r="Z80" s="635">
        <f>IFERROR(IF(Z78="",0,Z78),"0")+IFERROR(IF(Z79="",0,Z79),"0")</f>
        <v>0.36062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147</v>
      </c>
      <c r="Y81" s="635">
        <f>IFERROR(SUM(Y78:Y79),"0")</f>
        <v>148.19999999999999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228</v>
      </c>
      <c r="Y91" s="634">
        <f>IFERROR(IF(X91="",0,CEILING((X91/$H91),1)*$H91),"")</f>
        <v>234.89999999999998</v>
      </c>
      <c r="Z91" s="36">
        <f>IFERROR(IF(Y91=0,"",ROUNDUP(Y91/H91,0)*0.01898),"")</f>
        <v>0.55042000000000002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241.90518518518516</v>
      </c>
      <c r="BN91" s="64">
        <f>IFERROR(Y91*I91/H91,"0")</f>
        <v>249.22599999999997</v>
      </c>
      <c r="BO91" s="64">
        <f>IFERROR(1/J91*(X91/H91),"0")</f>
        <v>0.43981481481481483</v>
      </c>
      <c r="BP91" s="64">
        <f>IFERROR(1/J91*(Y91/H91),"0")</f>
        <v>0.453125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28.148148148148149</v>
      </c>
      <c r="Y95" s="635">
        <f>IFERROR(Y91/H91,"0")+IFERROR(Y92/H92,"0")+IFERROR(Y93/H93,"0")+IFERROR(Y94/H94,"0")</f>
        <v>29</v>
      </c>
      <c r="Z95" s="635">
        <f>IFERROR(IF(Z91="",0,Z91),"0")+IFERROR(IF(Z92="",0,Z92),"0")+IFERROR(IF(Z93="",0,Z93),"0")+IFERROR(IF(Z94="",0,Z94),"0")</f>
        <v>0.55042000000000002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228</v>
      </c>
      <c r="Y96" s="635">
        <f>IFERROR(SUM(Y91:Y94),"0")</f>
        <v>234.89999999999998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46</v>
      </c>
      <c r="Y99" s="634">
        <f t="shared" ref="Y99:Y105" si="5"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47.7462962962963</v>
      </c>
      <c r="BN99" s="64">
        <f t="shared" ref="BN99:BN105" si="7">IFERROR(Y99*I99/H99,"0")</f>
        <v>56.05</v>
      </c>
      <c r="BO99" s="64">
        <f t="shared" ref="BO99:BO105" si="8">IFERROR(1/J99*(X99/H99),"0")</f>
        <v>6.6550925925925916E-2</v>
      </c>
      <c r="BP99" s="64">
        <f t="shared" ref="BP99:BP105" si="9">IFERROR(1/J99*(Y99/H99),"0")</f>
        <v>7.8125E-2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4.2592592592592586</v>
      </c>
      <c r="Y106" s="635">
        <f>IFERROR(Y99/H99,"0")+IFERROR(Y100/H100,"0")+IFERROR(Y101/H101,"0")+IFERROR(Y102/H102,"0")+IFERROR(Y103/H103,"0")+IFERROR(Y104/H104,"0")+IFERROR(Y105/H105,"0")</f>
        <v>5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9.4899999999999998E-2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46</v>
      </c>
      <c r="Y107" s="635">
        <f>IFERROR(SUM(Y99:Y105),"0")</f>
        <v>54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4</v>
      </c>
      <c r="Y109" s="634">
        <f>IFERROR(IF(X109="",0,CEILING((X109/$H109),1)*$H109),"")</f>
        <v>10.8</v>
      </c>
      <c r="Z109" s="36">
        <f>IFERROR(IF(Y109=0,"",ROUNDUP(Y109/H109,0)*0.01898),"")</f>
        <v>1.898E-2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4.1518518518518519</v>
      </c>
      <c r="BN109" s="64">
        <f>IFERROR(Y109*I109/H109,"0")</f>
        <v>11.21</v>
      </c>
      <c r="BO109" s="64">
        <f>IFERROR(1/J109*(X109/H109),"0")</f>
        <v>5.7870370370370367E-3</v>
      </c>
      <c r="BP109" s="64">
        <f>IFERROR(1/J109*(Y109/H109),"0")</f>
        <v>1.5625E-2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22</v>
      </c>
      <c r="Y113" s="634">
        <f>IFERROR(IF(X113="",0,CEILING((X113/$H113),1)*$H113),"")</f>
        <v>24</v>
      </c>
      <c r="Z113" s="36">
        <f>IFERROR(IF(Y113=0,"",ROUNDUP(Y113/H113,0)*0.00651),"")</f>
        <v>6.5100000000000005E-2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23.650000000000002</v>
      </c>
      <c r="BN113" s="64">
        <f>IFERROR(Y113*I113/H113,"0")</f>
        <v>25.8</v>
      </c>
      <c r="BO113" s="64">
        <f>IFERROR(1/J113*(X113/H113),"0")</f>
        <v>5.0366300366300375E-2</v>
      </c>
      <c r="BP113" s="64">
        <f>IFERROR(1/J113*(Y113/H113),"0")</f>
        <v>5.4945054945054951E-2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9.5370370370370381</v>
      </c>
      <c r="Y114" s="635">
        <f>IFERROR(Y109/H109,"0")+IFERROR(Y110/H110,"0")+IFERROR(Y111/H111,"0")+IFERROR(Y112/H112,"0")+IFERROR(Y113/H113,"0")</f>
        <v>11</v>
      </c>
      <c r="Z114" s="635">
        <f>IFERROR(IF(Z109="",0,Z109),"0")+IFERROR(IF(Z110="",0,Z110),"0")+IFERROR(IF(Z111="",0,Z111),"0")+IFERROR(IF(Z112="",0,Z112),"0")+IFERROR(IF(Z113="",0,Z113),"0")</f>
        <v>8.4080000000000002E-2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26</v>
      </c>
      <c r="Y115" s="635">
        <f>IFERROR(SUM(Y109:Y113),"0")</f>
        <v>34.799999999999997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262</v>
      </c>
      <c r="Y117" s="634">
        <f>IFERROR(IF(X117="",0,CEILING((X117/$H117),1)*$H117),"")</f>
        <v>267.3</v>
      </c>
      <c r="Z117" s="36">
        <f>IFERROR(IF(Y117=0,"",ROUNDUP(Y117/H117,0)*0.01898),"")</f>
        <v>0.62634000000000001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277.78469135802465</v>
      </c>
      <c r="BN117" s="64">
        <f>IFERROR(Y117*I117/H117,"0")</f>
        <v>283.404</v>
      </c>
      <c r="BO117" s="64">
        <f>IFERROR(1/J117*(X117/H117),"0")</f>
        <v>0.5054012345679012</v>
      </c>
      <c r="BP117" s="64">
        <f>IFERROR(1/J117*(Y117/H117),"0")</f>
        <v>0.515625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32.345679012345677</v>
      </c>
      <c r="Y121" s="635">
        <f>IFERROR(Y117/H117,"0")+IFERROR(Y118/H118,"0")+IFERROR(Y119/H119,"0")+IFERROR(Y120/H120,"0")</f>
        <v>33</v>
      </c>
      <c r="Z121" s="635">
        <f>IFERROR(IF(Z117="",0,Z117),"0")+IFERROR(IF(Z118="",0,Z118),"0")+IFERROR(IF(Z119="",0,Z119),"0")+IFERROR(IF(Z120="",0,Z120),"0")</f>
        <v>0.62634000000000001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262</v>
      </c>
      <c r="Y122" s="635">
        <f>IFERROR(SUM(Y117:Y120),"0")</f>
        <v>267.3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4</v>
      </c>
      <c r="Y130" s="634">
        <f>IFERROR(IF(X130="",0,CEILING((X130/$H130),1)*$H130),"")</f>
        <v>6.4</v>
      </c>
      <c r="Z130" s="36">
        <f>IFERROR(IF(Y130=0,"",ROUNDUP(Y130/H130,0)*0.00651),"")</f>
        <v>1.302E-2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4.2249999999999996</v>
      </c>
      <c r="BN130" s="64">
        <f>IFERROR(Y130*I130/H130,"0")</f>
        <v>6.76</v>
      </c>
      <c r="BO130" s="64">
        <f>IFERROR(1/J130*(X130/H130),"0")</f>
        <v>6.8681318681318689E-3</v>
      </c>
      <c r="BP130" s="64">
        <f>IFERROR(1/J130*(Y130/H130),"0")</f>
        <v>1.098901098901099E-2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1.25</v>
      </c>
      <c r="Y132" s="635">
        <f>IFERROR(Y129/H129,"0")+IFERROR(Y130/H130,"0")+IFERROR(Y131/H131,"0")</f>
        <v>2</v>
      </c>
      <c r="Z132" s="635">
        <f>IFERROR(IF(Z129="",0,Z129),"0")+IFERROR(IF(Z130="",0,Z130),"0")+IFERROR(IF(Z131="",0,Z131),"0")</f>
        <v>1.302E-2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4</v>
      </c>
      <c r="Y133" s="635">
        <f>IFERROR(SUM(Y129:Y131),"0")</f>
        <v>6.4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5</v>
      </c>
      <c r="Y143" s="634">
        <f>IFERROR(IF(X143="",0,CEILING((X143/$H143),1)*$H143),"")</f>
        <v>5.28</v>
      </c>
      <c r="Z143" s="36">
        <f>IFERROR(IF(Y143=0,"",ROUNDUP(Y143/H143,0)*0.00651),"")</f>
        <v>1.302E-2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5.5075757575757569</v>
      </c>
      <c r="BN143" s="64">
        <f>IFERROR(Y143*I143/H143,"0")</f>
        <v>5.8159999999999998</v>
      </c>
      <c r="BO143" s="64">
        <f>IFERROR(1/J143*(X143/H143),"0")</f>
        <v>1.0406260406260406E-2</v>
      </c>
      <c r="BP143" s="64">
        <f>IFERROR(1/J143*(Y143/H143),"0")</f>
        <v>1.098901098901099E-2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1.8939393939393938</v>
      </c>
      <c r="Y145" s="635">
        <f>IFERROR(Y142/H142,"0")+IFERROR(Y143/H143,"0")+IFERROR(Y144/H144,"0")</f>
        <v>2</v>
      </c>
      <c r="Z145" s="635">
        <f>IFERROR(IF(Z142="",0,Z142),"0")+IFERROR(IF(Z143="",0,Z143),"0")+IFERROR(IF(Z144="",0,Z144),"0")</f>
        <v>1.302E-2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5</v>
      </c>
      <c r="Y146" s="635">
        <f>IFERROR(SUM(Y142:Y144),"0")</f>
        <v>5.28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60</v>
      </c>
      <c r="Y175" s="634">
        <f t="shared" ref="Y175:Y185" si="16">IFERROR(IF(X175="",0,CEILING((X175/$H175),1)*$H175),"")</f>
        <v>63</v>
      </c>
      <c r="Z175" s="36">
        <f>IFERROR(IF(Y175=0,"",ROUNDUP(Y175/H175,0)*0.00902),"")</f>
        <v>0.16236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63.25714285714286</v>
      </c>
      <c r="BN175" s="64">
        <f t="shared" ref="BN175:BN185" si="18">IFERROR(Y175*I175/H175,"0")</f>
        <v>66.42</v>
      </c>
      <c r="BO175" s="64">
        <f t="shared" ref="BO175:BO185" si="19">IFERROR(1/J175*(X175/H175),"0")</f>
        <v>0.12987012987012986</v>
      </c>
      <c r="BP175" s="64">
        <f t="shared" ref="BP175:BP185" si="20">IFERROR(1/J175*(Y175/H175),"0")</f>
        <v>0.13636363636363635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30</v>
      </c>
      <c r="Y177" s="634">
        <f t="shared" si="16"/>
        <v>31.5</v>
      </c>
      <c r="Z177" s="36">
        <f>IFERROR(IF(Y177=0,"",ROUNDUP(Y177/H177,0)*0.00902),"")</f>
        <v>8.1180000000000002E-2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31.62857142857143</v>
      </c>
      <c r="BN177" s="64">
        <f t="shared" si="18"/>
        <v>33.21</v>
      </c>
      <c r="BO177" s="64">
        <f t="shared" si="19"/>
        <v>6.4935064935064929E-2</v>
      </c>
      <c r="BP177" s="64">
        <f t="shared" si="20"/>
        <v>6.8181818181818177E-2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50</v>
      </c>
      <c r="Y178" s="634">
        <f t="shared" si="16"/>
        <v>52.5</v>
      </c>
      <c r="Z178" s="36">
        <f>IFERROR(IF(Y178=0,"",ROUNDUP(Y178/H178,0)*0.00902),"")</f>
        <v>0.1353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52.714285714285715</v>
      </c>
      <c r="BN178" s="64">
        <f t="shared" si="18"/>
        <v>55.35</v>
      </c>
      <c r="BO178" s="64">
        <f t="shared" si="19"/>
        <v>0.10822510822510824</v>
      </c>
      <c r="BP178" s="64">
        <f t="shared" si="20"/>
        <v>0.11363636363636365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14</v>
      </c>
      <c r="Y180" s="634">
        <f t="shared" si="16"/>
        <v>15.12</v>
      </c>
      <c r="Z180" s="36">
        <f>IFERROR(IF(Y180=0,"",ROUNDUP(Y180/H180,0)*0.00502),"")</f>
        <v>4.5179999999999998E-2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14.833333333333336</v>
      </c>
      <c r="BN180" s="64">
        <f t="shared" si="18"/>
        <v>16.02</v>
      </c>
      <c r="BO180" s="64">
        <f t="shared" si="19"/>
        <v>3.561253561253562E-2</v>
      </c>
      <c r="BP180" s="64">
        <f t="shared" si="20"/>
        <v>3.8461538461538464E-2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31</v>
      </c>
      <c r="Y183" s="634">
        <f t="shared" si="16"/>
        <v>31.919999999999998</v>
      </c>
      <c r="Z183" s="36">
        <f>IFERROR(IF(Y183=0,"",ROUNDUP(Y183/H183,0)*0.00502),"")</f>
        <v>9.5380000000000006E-2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32.845238095238095</v>
      </c>
      <c r="BN183" s="64">
        <f t="shared" si="18"/>
        <v>33.82</v>
      </c>
      <c r="BO183" s="64">
        <f t="shared" si="19"/>
        <v>7.8856328856328858E-2</v>
      </c>
      <c r="BP183" s="64">
        <f t="shared" si="20"/>
        <v>8.11965811965812E-2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66.785714285714292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70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0.51939999999999997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185</v>
      </c>
      <c r="Y187" s="635">
        <f>IFERROR(SUM(Y175:Y185),"0")</f>
        <v>194.04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75</v>
      </c>
      <c r="Y223" s="634">
        <f t="shared" si="27"/>
        <v>75.600000000000009</v>
      </c>
      <c r="Z223" s="36">
        <f>IFERROR(IF(Y223=0,"",ROUNDUP(Y223/H223,0)*0.00902),"")</f>
        <v>0.16236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78.392857142857139</v>
      </c>
      <c r="BN223" s="64">
        <f t="shared" si="29"/>
        <v>79.02</v>
      </c>
      <c r="BO223" s="64">
        <f t="shared" si="30"/>
        <v>0.13528138528138528</v>
      </c>
      <c r="BP223" s="64">
        <f t="shared" si="31"/>
        <v>0.13636363636363635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21</v>
      </c>
      <c r="Y225" s="634">
        <f t="shared" si="27"/>
        <v>21</v>
      </c>
      <c r="Z225" s="36">
        <f t="shared" ref="Z225:Z230" si="32">IFERROR(IF(Y225=0,"",ROUNDUP(Y225/H225,0)*0.00502),"")</f>
        <v>5.0200000000000002E-2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22.299999999999997</v>
      </c>
      <c r="BN225" s="64">
        <f t="shared" si="29"/>
        <v>22.299999999999997</v>
      </c>
      <c r="BO225" s="64">
        <f t="shared" si="30"/>
        <v>4.2735042735042736E-2</v>
      </c>
      <c r="BP225" s="64">
        <f t="shared" si="31"/>
        <v>4.2735042735042736E-2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27</v>
      </c>
      <c r="Y230" s="634">
        <f t="shared" si="27"/>
        <v>27</v>
      </c>
      <c r="Z230" s="36">
        <f t="shared" si="32"/>
        <v>7.5300000000000006E-2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28.95</v>
      </c>
      <c r="BN230" s="64">
        <f t="shared" si="29"/>
        <v>28.95</v>
      </c>
      <c r="BO230" s="64">
        <f t="shared" si="30"/>
        <v>6.4102564102564111E-2</v>
      </c>
      <c r="BP230" s="64">
        <f t="shared" si="31"/>
        <v>6.4102564102564111E-2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3</v>
      </c>
      <c r="Y231" s="634">
        <f t="shared" si="27"/>
        <v>3.2</v>
      </c>
      <c r="Z231" s="36">
        <f>IFERROR(IF(Y231=0,"",ROUNDUP(Y231/H231,0)*0.00417),"")</f>
        <v>1.668E-2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3.7875000000000001</v>
      </c>
      <c r="BN231" s="64">
        <f t="shared" si="29"/>
        <v>4.04</v>
      </c>
      <c r="BO231" s="64">
        <f t="shared" si="30"/>
        <v>1.1160714285714284E-2</v>
      </c>
      <c r="BP231" s="64">
        <f t="shared" si="31"/>
        <v>1.1904761904761904E-2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46.607142857142861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47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0.30454000000000003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126</v>
      </c>
      <c r="Y236" s="635">
        <f>IFERROR(SUM(Y221:Y234),"0")</f>
        <v>126.80000000000001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4</v>
      </c>
      <c r="Y248" s="634">
        <f>IFERROR(IF(X248="",0,CEILING((X248/$H248),1)*$H248),"")</f>
        <v>5.04</v>
      </c>
      <c r="Z248" s="36">
        <f>IFERROR(IF(Y248=0,"",ROUNDUP(Y248/H248,0)*0.0059),"")</f>
        <v>2.3599999999999999E-2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4.6031746031746028</v>
      </c>
      <c r="BN248" s="64">
        <f>IFERROR(Y248*I248/H248,"0")</f>
        <v>5.8</v>
      </c>
      <c r="BO248" s="64">
        <f>IFERROR(1/J248*(X248/H248),"0")</f>
        <v>1.469723691945914E-2</v>
      </c>
      <c r="BP248" s="64">
        <f>IFERROR(1/J248*(Y248/H248),"0")</f>
        <v>1.8518518518518517E-2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3.1746031746031744</v>
      </c>
      <c r="Y249" s="635">
        <f>IFERROR(Y246/H246,"0")+IFERROR(Y247/H247,"0")+IFERROR(Y248/H248,"0")</f>
        <v>4</v>
      </c>
      <c r="Z249" s="635">
        <f>IFERROR(IF(Z246="",0,Z246),"0")+IFERROR(IF(Z247="",0,Z247),"0")+IFERROR(IF(Z248="",0,Z248),"0")</f>
        <v>2.3599999999999999E-2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4</v>
      </c>
      <c r="Y250" s="635">
        <f>IFERROR(SUM(Y246:Y248),"0")</f>
        <v>5.04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20</v>
      </c>
      <c r="Y268" s="634">
        <f t="shared" si="33"/>
        <v>21.6</v>
      </c>
      <c r="Z268" s="36">
        <f>IFERROR(IF(Y268=0,"",ROUNDUP(Y268/H268,0)*0.00902),"")</f>
        <v>3.6080000000000001E-2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20.703703703703702</v>
      </c>
      <c r="BN268" s="64">
        <f t="shared" si="35"/>
        <v>22.36</v>
      </c>
      <c r="BO268" s="64">
        <f t="shared" si="36"/>
        <v>2.8058361391694722E-2</v>
      </c>
      <c r="BP268" s="64">
        <f t="shared" si="37"/>
        <v>3.0303030303030304E-2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608</v>
      </c>
      <c r="Y269" s="634">
        <f t="shared" si="33"/>
        <v>610.20000000000005</v>
      </c>
      <c r="Z269" s="36">
        <f>IFERROR(IF(Y269=0,"",ROUNDUP(Y269/H269,0)*0.00902),"")</f>
        <v>1.0192600000000001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629.39259259259256</v>
      </c>
      <c r="BN269" s="64">
        <f t="shared" si="35"/>
        <v>631.66999999999996</v>
      </c>
      <c r="BO269" s="64">
        <f t="shared" si="36"/>
        <v>0.85297418630751953</v>
      </c>
      <c r="BP269" s="64">
        <f t="shared" si="37"/>
        <v>0.85606060606060608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41</v>
      </c>
      <c r="Y270" s="634">
        <f t="shared" si="33"/>
        <v>43.2</v>
      </c>
      <c r="Z270" s="36">
        <f>IFERROR(IF(Y270=0,"",ROUNDUP(Y270/H270,0)*0.00902),"")</f>
        <v>7.2160000000000002E-2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42.44259259259259</v>
      </c>
      <c r="BN270" s="64">
        <f t="shared" si="35"/>
        <v>44.72</v>
      </c>
      <c r="BO270" s="64">
        <f t="shared" si="36"/>
        <v>5.7519640852974181E-2</v>
      </c>
      <c r="BP270" s="64">
        <f t="shared" si="37"/>
        <v>6.0606060606060608E-2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15</v>
      </c>
      <c r="Y272" s="634">
        <f t="shared" si="33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15.833333333333332</v>
      </c>
      <c r="BN272" s="64">
        <f t="shared" si="35"/>
        <v>17.099999999999998</v>
      </c>
      <c r="BO272" s="64">
        <f t="shared" si="36"/>
        <v>3.561253561253562E-2</v>
      </c>
      <c r="BP272" s="64">
        <f t="shared" si="37"/>
        <v>3.8461538461538464E-2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132.22222222222223</v>
      </c>
      <c r="Y275" s="635">
        <f>IFERROR(Y267/H267,"0")+IFERROR(Y268/H268,"0")+IFERROR(Y269/H269,"0")+IFERROR(Y270/H270,"0")+IFERROR(Y271/H271,"0")+IFERROR(Y272/H272,"0")+IFERROR(Y273/H273,"0")+IFERROR(Y274/H274,"0")</f>
        <v>134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1.1726800000000002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684</v>
      </c>
      <c r="Y276" s="635">
        <f>IFERROR(SUM(Y267:Y274),"0")</f>
        <v>691.20000000000016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208</v>
      </c>
      <c r="Y278" s="634">
        <f t="shared" ref="Y278:Y289" si="38">IFERROR(IF(X278="",0,CEILING((X278/$H278),1)*$H278),"")</f>
        <v>210.6</v>
      </c>
      <c r="Z278" s="36">
        <f>IFERROR(IF(Y278=0,"",ROUNDUP(Y278/H278,0)*0.01898),"")</f>
        <v>0.49348000000000003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220.68543209876543</v>
      </c>
      <c r="BN278" s="64">
        <f t="shared" ref="BN278:BN289" si="40">IFERROR(Y278*I278/H278,"0")</f>
        <v>223.44399999999999</v>
      </c>
      <c r="BO278" s="64">
        <f t="shared" ref="BO278:BO289" si="41">IFERROR(1/J278*(X278/H278),"0")</f>
        <v>0.40123456790123457</v>
      </c>
      <c r="BP278" s="64">
        <f t="shared" ref="BP278:BP289" si="42">IFERROR(1/J278*(Y278/H278),"0")</f>
        <v>0.40625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109</v>
      </c>
      <c r="Y279" s="634">
        <f t="shared" si="38"/>
        <v>113.39999999999999</v>
      </c>
      <c r="Z279" s="36">
        <f>IFERROR(IF(Y279=0,"",ROUNDUP(Y279/H279,0)*0.01898),"")</f>
        <v>0.26572000000000001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115.40543209876544</v>
      </c>
      <c r="BN279" s="64">
        <f t="shared" si="40"/>
        <v>120.06399999999999</v>
      </c>
      <c r="BO279" s="64">
        <f t="shared" si="41"/>
        <v>0.21026234567901236</v>
      </c>
      <c r="BP279" s="64">
        <f t="shared" si="42"/>
        <v>0.21875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21</v>
      </c>
      <c r="Y280" s="634">
        <f t="shared" si="38"/>
        <v>26.099999999999998</v>
      </c>
      <c r="Z280" s="36">
        <f>IFERROR(IF(Y280=0,"",ROUNDUP(Y280/H280,0)*0.01898),"")</f>
        <v>5.6940000000000004E-2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22.192413793103452</v>
      </c>
      <c r="BN280" s="64">
        <f t="shared" si="40"/>
        <v>27.582000000000004</v>
      </c>
      <c r="BO280" s="64">
        <f t="shared" si="41"/>
        <v>3.7715517241379316E-2</v>
      </c>
      <c r="BP280" s="64">
        <f t="shared" si="42"/>
        <v>4.6875E-2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85</v>
      </c>
      <c r="Y281" s="634">
        <f t="shared" si="38"/>
        <v>86.399999999999991</v>
      </c>
      <c r="Z281" s="36">
        <f>IFERROR(IF(Y281=0,"",ROUNDUP(Y281/H281,0)*0.00651),"")</f>
        <v>0.23436000000000001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94.5625</v>
      </c>
      <c r="BN281" s="64">
        <f t="shared" si="40"/>
        <v>96.11999999999999</v>
      </c>
      <c r="BO281" s="64">
        <f t="shared" si="41"/>
        <v>0.19459706959706963</v>
      </c>
      <c r="BP281" s="64">
        <f t="shared" si="42"/>
        <v>0.19780219780219782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468</v>
      </c>
      <c r="Y284" s="634">
        <f t="shared" si="38"/>
        <v>468</v>
      </c>
      <c r="Z284" s="36">
        <f>IFERROR(IF(Y284=0,"",ROUNDUP(Y284/H284,0)*0.00651),"")</f>
        <v>1.26945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517.14</v>
      </c>
      <c r="BN284" s="64">
        <f t="shared" si="40"/>
        <v>517.14</v>
      </c>
      <c r="BO284" s="64">
        <f t="shared" si="41"/>
        <v>1.0714285714285716</v>
      </c>
      <c r="BP284" s="64">
        <f t="shared" si="42"/>
        <v>1.0714285714285716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255</v>
      </c>
      <c r="Y286" s="634">
        <f t="shared" si="38"/>
        <v>256.8</v>
      </c>
      <c r="Z286" s="36">
        <f>IFERROR(IF(Y286=0,"",ROUNDUP(Y286/H286,0)*0.00651),"")</f>
        <v>0.69657000000000002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281.77500000000003</v>
      </c>
      <c r="BN286" s="64">
        <f t="shared" si="40"/>
        <v>283.76400000000007</v>
      </c>
      <c r="BO286" s="64">
        <f t="shared" si="41"/>
        <v>0.58379120879120883</v>
      </c>
      <c r="BP286" s="64">
        <f t="shared" si="42"/>
        <v>0.58791208791208804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78</v>
      </c>
      <c r="Y287" s="634">
        <f t="shared" si="38"/>
        <v>79.2</v>
      </c>
      <c r="Z287" s="36">
        <f>IFERROR(IF(Y287=0,"",ROUNDUP(Y287/H287,0)*0.00651),"")</f>
        <v>0.21482999999999999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86.190000000000012</v>
      </c>
      <c r="BN287" s="64">
        <f t="shared" si="40"/>
        <v>87.51600000000002</v>
      </c>
      <c r="BO287" s="64">
        <f t="shared" si="41"/>
        <v>0.17857142857142858</v>
      </c>
      <c r="BP287" s="64">
        <f t="shared" si="42"/>
        <v>0.18131868131868134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40</v>
      </c>
      <c r="Y288" s="634">
        <f t="shared" si="38"/>
        <v>40.799999999999997</v>
      </c>
      <c r="Z288" s="36">
        <f>IFERROR(IF(Y288=0,"",ROUNDUP(Y288/H288,0)*0.00651),"")</f>
        <v>0.11067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44.3</v>
      </c>
      <c r="BN288" s="64">
        <f t="shared" si="40"/>
        <v>45.185999999999993</v>
      </c>
      <c r="BO288" s="64">
        <f t="shared" si="41"/>
        <v>9.1575091575091583E-2</v>
      </c>
      <c r="BP288" s="64">
        <f t="shared" si="42"/>
        <v>9.3406593406593408E-2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427.38292890591742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431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3.3420199999999998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1264</v>
      </c>
      <c r="Y291" s="635">
        <f>IFERROR(SUM(Y278:Y289),"0")</f>
        <v>1281.3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8</v>
      </c>
      <c r="Y293" s="634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29</v>
      </c>
      <c r="Y294" s="634">
        <f>IFERROR(IF(X294="",0,CEILING((X294/$H294),1)*$H294),"")</f>
        <v>31.2</v>
      </c>
      <c r="Z294" s="36">
        <f>IFERROR(IF(Y294=0,"",ROUNDUP(Y294/H294,0)*0.00651),"")</f>
        <v>8.4629999999999997E-2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32.045000000000002</v>
      </c>
      <c r="BN294" s="64">
        <f>IFERROR(Y294*I294/H294,"0")</f>
        <v>34.476000000000006</v>
      </c>
      <c r="BO294" s="64">
        <f>IFERROR(1/J294*(X294/H294),"0")</f>
        <v>6.6391941391941406E-2</v>
      </c>
      <c r="BP294" s="64">
        <f>IFERROR(1/J294*(Y294/H294),"0")</f>
        <v>7.1428571428571438E-2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15.416666666666668</v>
      </c>
      <c r="Y295" s="635">
        <f>IFERROR(Y293/H293,"0")+IFERROR(Y294/H294,"0")</f>
        <v>17</v>
      </c>
      <c r="Z295" s="635">
        <f>IFERROR(IF(Z293="",0,Z293),"0")+IFERROR(IF(Z294="",0,Z294),"0")</f>
        <v>0.11066999999999999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37</v>
      </c>
      <c r="Y296" s="635">
        <f>IFERROR(SUM(Y293:Y294),"0")</f>
        <v>40.799999999999997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3</v>
      </c>
      <c r="Y313" s="634">
        <f>IFERROR(IF(X313="",0,CEILING((X313/$H313),1)*$H313),"")</f>
        <v>3.6</v>
      </c>
      <c r="Z313" s="36">
        <f>IFERROR(IF(Y313=0,"",ROUNDUP(Y313/H313,0)*0.0059),"")</f>
        <v>1.18E-2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3.291666666666667</v>
      </c>
      <c r="BN313" s="64">
        <f>IFERROR(Y313*I313/H313,"0")</f>
        <v>3.95</v>
      </c>
      <c r="BO313" s="64">
        <f>IFERROR(1/J313*(X313/H313),"0")</f>
        <v>7.7160493827160481E-3</v>
      </c>
      <c r="BP313" s="64">
        <f>IFERROR(1/J313*(Y313/H313),"0")</f>
        <v>9.2592592592592587E-3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1.6666666666666665</v>
      </c>
      <c r="Y314" s="635">
        <f>IFERROR(Y313/H313,"0")</f>
        <v>2</v>
      </c>
      <c r="Z314" s="635">
        <f>IFERROR(IF(Z313="",0,Z313),"0")</f>
        <v>1.18E-2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3</v>
      </c>
      <c r="Y315" s="635">
        <f>IFERROR(SUM(Y313:Y313),"0")</f>
        <v>3.6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12</v>
      </c>
      <c r="Y334" s="634">
        <f>IFERROR(IF(X334="",0,CEILING((X334/$H334),1)*$H334),"")</f>
        <v>12</v>
      </c>
      <c r="Z334" s="36">
        <f>IFERROR(IF(Y334=0,"",ROUNDUP(Y334/H334,0)*0.00651),"")</f>
        <v>3.2550000000000003E-2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13.260000000000002</v>
      </c>
      <c r="BN334" s="64">
        <f>IFERROR(Y334*I334/H334,"0")</f>
        <v>13.260000000000002</v>
      </c>
      <c r="BO334" s="64">
        <f>IFERROR(1/J334*(X334/H334),"0")</f>
        <v>2.7472527472527476E-2</v>
      </c>
      <c r="BP334" s="64">
        <f>IFERROR(1/J334*(Y334/H334),"0")</f>
        <v>2.7472527472527476E-2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92</v>
      </c>
      <c r="Y335" s="634">
        <f>IFERROR(IF(X335="",0,CEILING((X335/$H335),1)*$H335),"")</f>
        <v>93.6</v>
      </c>
      <c r="Z335" s="36">
        <f>IFERROR(IF(Y335=0,"",ROUNDUP(Y335/H335,0)*0.00651),"")</f>
        <v>0.25389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98.9</v>
      </c>
      <c r="BN335" s="64">
        <f>IFERROR(Y335*I335/H335,"0")</f>
        <v>100.62</v>
      </c>
      <c r="BO335" s="64">
        <f>IFERROR(1/J335*(X335/H335),"0")</f>
        <v>0.21062271062271065</v>
      </c>
      <c r="BP335" s="64">
        <f>IFERROR(1/J335*(Y335/H335),"0")</f>
        <v>0.2142857142857143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43.333333333333336</v>
      </c>
      <c r="Y336" s="635">
        <f>IFERROR(Y333/H333,"0")+IFERROR(Y334/H334,"0")+IFERROR(Y335/H335,"0")</f>
        <v>44</v>
      </c>
      <c r="Z336" s="635">
        <f>IFERROR(IF(Z333="",0,Z333),"0")+IFERROR(IF(Z334="",0,Z334),"0")+IFERROR(IF(Z335="",0,Z335),"0")</f>
        <v>0.28644000000000003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104</v>
      </c>
      <c r="Y337" s="635">
        <f>IFERROR(SUM(Y333:Y335),"0")</f>
        <v>105.6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38</v>
      </c>
      <c r="Y354" s="634">
        <f>IFERROR(IF(X354="",0,CEILING((X354/$H354),1)*$H354),"")</f>
        <v>39</v>
      </c>
      <c r="Z354" s="36">
        <f>IFERROR(IF(Y354=0,"",ROUNDUP(Y354/H354,0)*0.01898),"")</f>
        <v>9.4899999999999998E-2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39.997435897435899</v>
      </c>
      <c r="BN354" s="64">
        <f>IFERROR(Y354*I354/H354,"0")</f>
        <v>41.050000000000011</v>
      </c>
      <c r="BO354" s="64">
        <f>IFERROR(1/J354*(X354/H354),"0")</f>
        <v>7.6121794871794879E-2</v>
      </c>
      <c r="BP354" s="64">
        <f>IFERROR(1/J354*(Y354/H354),"0")</f>
        <v>7.8125E-2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112</v>
      </c>
      <c r="Y355" s="634">
        <f>IFERROR(IF(X355="",0,CEILING((X355/$H355),1)*$H355),"")</f>
        <v>117</v>
      </c>
      <c r="Z355" s="36">
        <f>IFERROR(IF(Y355=0,"",ROUNDUP(Y355/H355,0)*0.01898),"")</f>
        <v>0.28470000000000001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117.88717948717951</v>
      </c>
      <c r="BN355" s="64">
        <f>IFERROR(Y355*I355/H355,"0")</f>
        <v>123.15</v>
      </c>
      <c r="BO355" s="64">
        <f>IFERROR(1/J355*(X355/H355),"0")</f>
        <v>0.22435897435897437</v>
      </c>
      <c r="BP355" s="64">
        <f>IFERROR(1/J355*(Y355/H355),"0")</f>
        <v>0.234375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19.230769230769234</v>
      </c>
      <c r="Y357" s="635">
        <f>IFERROR(Y354/H354,"0")+IFERROR(Y355/H355,"0")+IFERROR(Y356/H356,"0")</f>
        <v>20</v>
      </c>
      <c r="Z357" s="635">
        <f>IFERROR(IF(Z354="",0,Z354),"0")+IFERROR(IF(Z355="",0,Z355),"0")+IFERROR(IF(Z356="",0,Z356),"0")</f>
        <v>0.37959999999999999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150</v>
      </c>
      <c r="Y358" s="635">
        <f>IFERROR(SUM(Y354:Y356),"0")</f>
        <v>156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33</v>
      </c>
      <c r="Y375" s="634">
        <f t="shared" si="48"/>
        <v>34.200000000000003</v>
      </c>
      <c r="Z375" s="36">
        <f>IFERROR(IF(Y375=0,"",ROUNDUP(Y375/H375,0)*0.00651),"")</f>
        <v>0.12369000000000001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37.18</v>
      </c>
      <c r="BN375" s="64">
        <f t="shared" si="50"/>
        <v>38.532000000000004</v>
      </c>
      <c r="BO375" s="64">
        <f t="shared" si="51"/>
        <v>0.10073260073260074</v>
      </c>
      <c r="BP375" s="64">
        <f t="shared" si="52"/>
        <v>0.1043956043956044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18.333333333333332</v>
      </c>
      <c r="Y376" s="635">
        <f>IFERROR(Y369/H369,"0")+IFERROR(Y370/H370,"0")+IFERROR(Y371/H371,"0")+IFERROR(Y372/H372,"0")+IFERROR(Y373/H373,"0")+IFERROR(Y374/H374,"0")+IFERROR(Y375/H375,"0")</f>
        <v>19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0.12369000000000001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33</v>
      </c>
      <c r="Y377" s="635">
        <f>IFERROR(SUM(Y369:Y375),"0")</f>
        <v>34.200000000000003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60</v>
      </c>
      <c r="Y387" s="634">
        <f>IFERROR(IF(X387="",0,CEILING((X387/$H387),1)*$H387),"")</f>
        <v>62.4</v>
      </c>
      <c r="Z387" s="36">
        <f>IFERROR(IF(Y387=0,"",ROUNDUP(Y387/H387,0)*0.01898),"")</f>
        <v>0.15184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63.800000000000004</v>
      </c>
      <c r="BN387" s="64">
        <f>IFERROR(Y387*I387/H387,"0")</f>
        <v>66.352000000000004</v>
      </c>
      <c r="BO387" s="64">
        <f>IFERROR(1/J387*(X387/H387),"0")</f>
        <v>0.1201923076923077</v>
      </c>
      <c r="BP387" s="64">
        <f>IFERROR(1/J387*(Y387/H387),"0")</f>
        <v>0.125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96</v>
      </c>
      <c r="Y388" s="634">
        <f>IFERROR(IF(X388="",0,CEILING((X388/$H388),1)*$H388),"")</f>
        <v>100.80000000000001</v>
      </c>
      <c r="Z388" s="36">
        <f>IFERROR(IF(Y388=0,"",ROUNDUP(Y388/H388,0)*0.01898),"")</f>
        <v>0.22776000000000002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101.64571428571429</v>
      </c>
      <c r="BN388" s="64">
        <f>IFERROR(Y388*I388/H388,"0")</f>
        <v>106.72800000000001</v>
      </c>
      <c r="BO388" s="64">
        <f>IFERROR(1/J388*(X388/H388),"0")</f>
        <v>0.17857142857142858</v>
      </c>
      <c r="BP388" s="64">
        <f>IFERROR(1/J388*(Y388/H388),"0")</f>
        <v>0.1875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19.12087912087912</v>
      </c>
      <c r="Y389" s="635">
        <f>IFERROR(Y386/H386,"0")+IFERROR(Y387/H387,"0")+IFERROR(Y388/H388,"0")</f>
        <v>20</v>
      </c>
      <c r="Z389" s="635">
        <f>IFERROR(IF(Z386="",0,Z386),"0")+IFERROR(IF(Z387="",0,Z387),"0")+IFERROR(IF(Z388="",0,Z388),"0")</f>
        <v>0.37960000000000005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156</v>
      </c>
      <c r="Y390" s="635">
        <f>IFERROR(SUM(Y386:Y388),"0")</f>
        <v>163.20000000000002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55</v>
      </c>
      <c r="Y392" s="634">
        <f>IFERROR(IF(X392="",0,CEILING((X392/$H392),1)*$H392),"")</f>
        <v>57.76</v>
      </c>
      <c r="Z392" s="36">
        <f>IFERROR(IF(Y392=0,"",ROUNDUP(Y392/H392,0)*0.00902),"")</f>
        <v>0.17138</v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59.884868421052637</v>
      </c>
      <c r="BN392" s="64">
        <f>IFERROR(Y392*I392/H392,"0")</f>
        <v>62.89</v>
      </c>
      <c r="BO392" s="64">
        <f>IFERROR(1/J392*(X392/H392),"0")</f>
        <v>0.13706140350877194</v>
      </c>
      <c r="BP392" s="64">
        <f>IFERROR(1/J392*(Y392/H392),"0")</f>
        <v>0.14393939393939395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22</v>
      </c>
      <c r="Y393" s="634">
        <f>IFERROR(IF(X393="",0,CEILING((X393/$H393),1)*$H393),"")</f>
        <v>24.32</v>
      </c>
      <c r="Z393" s="36">
        <f>IFERROR(IF(Y393=0,"",ROUNDUP(Y393/H393,0)*0.00902),"")</f>
        <v>7.2160000000000002E-2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23.664473684210524</v>
      </c>
      <c r="BN393" s="64">
        <f>IFERROR(Y393*I393/H393,"0")</f>
        <v>26.159999999999997</v>
      </c>
      <c r="BO393" s="64">
        <f>IFERROR(1/J393*(X393/H393),"0")</f>
        <v>5.4824561403508769E-2</v>
      </c>
      <c r="BP393" s="64">
        <f>IFERROR(1/J393*(Y393/H393),"0")</f>
        <v>6.0606060606060608E-2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17</v>
      </c>
      <c r="Y394" s="634">
        <f>IFERROR(IF(X394="",0,CEILING((X394/$H394),1)*$H394),"")</f>
        <v>17.849999999999998</v>
      </c>
      <c r="Z394" s="36">
        <f>IFERROR(IF(Y394=0,"",ROUNDUP(Y394/H394,0)*0.00651),"")</f>
        <v>4.5569999999999999E-2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19.700000000000003</v>
      </c>
      <c r="BN394" s="64">
        <f>IFERROR(Y394*I394/H394,"0")</f>
        <v>20.684999999999999</v>
      </c>
      <c r="BO394" s="64">
        <f>IFERROR(1/J394*(X394/H394),"0")</f>
        <v>3.6630036630036632E-2</v>
      </c>
      <c r="BP394" s="64">
        <f>IFERROR(1/J394*(Y394/H394),"0")</f>
        <v>3.8461538461538464E-2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13</v>
      </c>
      <c r="Y395" s="634">
        <f>IFERROR(IF(X395="",0,CEILING((X395/$H395),1)*$H395),"")</f>
        <v>15.299999999999999</v>
      </c>
      <c r="Z395" s="36">
        <f>IFERROR(IF(Y395=0,"",ROUNDUP(Y395/H395,0)*0.00651),"")</f>
        <v>3.9059999999999997E-2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14.68235294117647</v>
      </c>
      <c r="BN395" s="64">
        <f>IFERROR(Y395*I395/H395,"0")</f>
        <v>17.279999999999998</v>
      </c>
      <c r="BO395" s="64">
        <f>IFERROR(1/J395*(X395/H395),"0")</f>
        <v>2.8011204481792722E-2</v>
      </c>
      <c r="BP395" s="64">
        <f>IFERROR(1/J395*(Y395/H395),"0")</f>
        <v>3.2967032967032968E-2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37.093653250773997</v>
      </c>
      <c r="Y396" s="635">
        <f>IFERROR(Y392/H392,"0")+IFERROR(Y393/H393,"0")+IFERROR(Y394/H394,"0")+IFERROR(Y395/H395,"0")</f>
        <v>40</v>
      </c>
      <c r="Z396" s="635">
        <f>IFERROR(IF(Z392="",0,Z392),"0")+IFERROR(IF(Z393="",0,Z393),"0")+IFERROR(IF(Z394="",0,Z394),"0")+IFERROR(IF(Z395="",0,Z395),"0")</f>
        <v>0.32816999999999996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107</v>
      </c>
      <c r="Y397" s="635">
        <f>IFERROR(SUM(Y392:Y395),"0")</f>
        <v>115.22999999999999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36</v>
      </c>
      <c r="Y405" s="634">
        <f>IFERROR(IF(X405="",0,CEILING((X405/$H405),1)*$H405),"")</f>
        <v>36</v>
      </c>
      <c r="Z405" s="36">
        <f>IFERROR(IF(Y405=0,"",ROUNDUP(Y405/H405,0)*0.0045),"")</f>
        <v>5.3999999999999992E-2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38.64</v>
      </c>
      <c r="BN405" s="64">
        <f>IFERROR(Y405*I405/H405,"0")</f>
        <v>38.64</v>
      </c>
      <c r="BO405" s="64">
        <f>IFERROR(1/J405*(X405/H405),"0")</f>
        <v>5.3571428571428568E-2</v>
      </c>
      <c r="BP405" s="64">
        <f>IFERROR(1/J405*(Y405/H405),"0")</f>
        <v>5.3571428571428568E-2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12</v>
      </c>
      <c r="Y408" s="635">
        <f>IFERROR(Y405/H405,"0")+IFERROR(Y406/H406,"0")+IFERROR(Y407/H407,"0")</f>
        <v>12</v>
      </c>
      <c r="Z408" s="635">
        <f>IFERROR(IF(Z405="",0,Z405),"0")+IFERROR(IF(Z406="",0,Z406),"0")+IFERROR(IF(Z407="",0,Z407),"0")</f>
        <v>5.3999999999999992E-2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36</v>
      </c>
      <c r="Y409" s="635">
        <f>IFERROR(SUM(Y405:Y407),"0")</f>
        <v>36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49</v>
      </c>
      <c r="Y444" s="634">
        <f>IFERROR(IF(X444="",0,CEILING((X444/$H444),1)*$H444),"")</f>
        <v>54</v>
      </c>
      <c r="Z444" s="36">
        <f>IFERROR(IF(Y444=0,"",ROUNDUP(Y444/H444,0)*0.01898),"")</f>
        <v>0.11388000000000001</v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51.689555555555557</v>
      </c>
      <c r="BN444" s="64">
        <f>IFERROR(Y444*I444/H444,"0")</f>
        <v>56.963999999999992</v>
      </c>
      <c r="BO444" s="64">
        <f>IFERROR(1/J444*(X444/H444),"0")</f>
        <v>8.5069444444444448E-2</v>
      </c>
      <c r="BP444" s="64">
        <f>IFERROR(1/J444*(Y444/H444),"0")</f>
        <v>9.375E-2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5.4444444444444446</v>
      </c>
      <c r="Y446" s="635">
        <f>IFERROR(Y443/H443,"0")+IFERROR(Y444/H444,"0")+IFERROR(Y445/H445,"0")</f>
        <v>6</v>
      </c>
      <c r="Z446" s="635">
        <f>IFERROR(IF(Z443="",0,Z443),"0")+IFERROR(IF(Z444="",0,Z444),"0")+IFERROR(IF(Z445="",0,Z445),"0")</f>
        <v>0.11388000000000001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49</v>
      </c>
      <c r="Y447" s="635">
        <f>IFERROR(SUM(Y443:Y445),"0")</f>
        <v>54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100</v>
      </c>
      <c r="Y450" s="634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105.48888888888888</v>
      </c>
      <c r="BN450" s="64">
        <f>IFERROR(Y450*I450/H450,"0")</f>
        <v>113.92799999999998</v>
      </c>
      <c r="BO450" s="64">
        <f>IFERROR(1/J450*(X450/H450),"0")</f>
        <v>0.1736111111111111</v>
      </c>
      <c r="BP450" s="64">
        <f>IFERROR(1/J450*(Y450/H450),"0")</f>
        <v>0.1875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11.111111111111111</v>
      </c>
      <c r="Y451" s="635">
        <f>IFERROR(Y449/H449,"0")+IFERROR(Y450/H450,"0")</f>
        <v>12</v>
      </c>
      <c r="Z451" s="635">
        <f>IFERROR(IF(Z449="",0,Z449),"0")+IFERROR(IF(Z450="",0,Z450),"0")</f>
        <v>0.22776000000000002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100</v>
      </c>
      <c r="Y452" s="635">
        <f>IFERROR(SUM(Y449:Y450),"0")</f>
        <v>108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445</v>
      </c>
      <c r="Y464" s="634">
        <f>IFERROR(IF(X464="",0,CEILING((X464/$H464),1)*$H464),"")</f>
        <v>450</v>
      </c>
      <c r="Z464" s="36">
        <f>IFERROR(IF(Y464=0,"",ROUNDUP(Y464/H464,0)*0.01898),"")</f>
        <v>0.94900000000000007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469.42555555555555</v>
      </c>
      <c r="BN464" s="64">
        <f>IFERROR(Y464*I464/H464,"0")</f>
        <v>474.70000000000005</v>
      </c>
      <c r="BO464" s="64">
        <f>IFERROR(1/J464*(X464/H464),"0")</f>
        <v>0.77256944444444442</v>
      </c>
      <c r="BP464" s="64">
        <f>IFERROR(1/J464*(Y464/H464),"0")</f>
        <v>0.78125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49.444444444444443</v>
      </c>
      <c r="Y467" s="635">
        <f>IFERROR(Y464/H464,"0")+IFERROR(Y465/H465,"0")+IFERROR(Y466/H466,"0")</f>
        <v>50</v>
      </c>
      <c r="Z467" s="635">
        <f>IFERROR(IF(Z464="",0,Z464),"0")+IFERROR(IF(Z465="",0,Z465),"0")+IFERROR(IF(Z466="",0,Z466),"0")</f>
        <v>0.94900000000000007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445</v>
      </c>
      <c r="Y468" s="635">
        <f>IFERROR(SUM(Y464:Y466),"0")</f>
        <v>450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56</v>
      </c>
      <c r="Y511" s="634">
        <f>IFERROR(IF(X511="",0,CEILING((X511/$H511),1)*$H511),"")</f>
        <v>58.080000000000005</v>
      </c>
      <c r="Z511" s="36">
        <f>IFERROR(IF(Y511=0,"",ROUNDUP(Y511/H511,0)*0.01196),"")</f>
        <v>0.13156000000000001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59.712121212121204</v>
      </c>
      <c r="BN511" s="64">
        <f>IFERROR(Y511*I511/H511,"0")</f>
        <v>61.93</v>
      </c>
      <c r="BO511" s="64">
        <f>IFERROR(1/J511*(X511/H511),"0")</f>
        <v>0.10198135198135198</v>
      </c>
      <c r="BP511" s="64">
        <f>IFERROR(1/J511*(Y511/H511),"0")</f>
        <v>0.10576923076923078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19</v>
      </c>
      <c r="Y513" s="634">
        <f>IFERROR(IF(X513="",0,CEILING((X513/$H513),1)*$H513),"")</f>
        <v>19.2</v>
      </c>
      <c r="Z513" s="36">
        <f>IFERROR(IF(Y513=0,"",ROUNDUP(Y513/H513,0)*0.00902),"")</f>
        <v>3.6080000000000001E-2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27.352083333333333</v>
      </c>
      <c r="BN513" s="64">
        <f>IFERROR(Y513*I513/H513,"0")</f>
        <v>27.64</v>
      </c>
      <c r="BO513" s="64">
        <f>IFERROR(1/J513*(X513/H513),"0")</f>
        <v>2.998737373737374E-2</v>
      </c>
      <c r="BP513" s="64">
        <f>IFERROR(1/J513*(Y513/H513),"0")</f>
        <v>3.0303030303030304E-2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14.564393939393939</v>
      </c>
      <c r="Y514" s="635">
        <f>IFERROR(Y511/H511,"0")+IFERROR(Y512/H512,"0")+IFERROR(Y513/H513,"0")</f>
        <v>15</v>
      </c>
      <c r="Z514" s="635">
        <f>IFERROR(IF(Z511="",0,Z511),"0")+IFERROR(IF(Z512="",0,Z512),"0")+IFERROR(IF(Z513="",0,Z513),"0")</f>
        <v>0.16764000000000001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75</v>
      </c>
      <c r="Y515" s="635">
        <f>IFERROR(SUM(Y511:Y513),"0")</f>
        <v>77.28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86</v>
      </c>
      <c r="Y517" s="634">
        <f t="shared" ref="Y517:Y523" si="69">IFERROR(IF(X517="",0,CEILING((X517/$H517),1)*$H517),"")</f>
        <v>89.76</v>
      </c>
      <c r="Z517" s="36">
        <f>IFERROR(IF(Y517=0,"",ROUNDUP(Y517/H517,0)*0.01196),"")</f>
        <v>0.20332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91.700757575757578</v>
      </c>
      <c r="BN517" s="64">
        <f t="shared" ref="BN517:BN523" si="71">IFERROR(Y517*I517/H517,"0")</f>
        <v>95.710000000000008</v>
      </c>
      <c r="BO517" s="64">
        <f t="shared" ref="BO517:BO523" si="72">IFERROR(1/J517*(X517/H517),"0")</f>
        <v>0.15661421911421911</v>
      </c>
      <c r="BP517" s="64">
        <f t="shared" ref="BP517:BP523" si="73">IFERROR(1/J517*(Y517/H517),"0")</f>
        <v>0.16346153846153846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62</v>
      </c>
      <c r="Y518" s="634">
        <f t="shared" si="69"/>
        <v>63.36</v>
      </c>
      <c r="Z518" s="36">
        <f>IFERROR(IF(Y518=0,"",ROUNDUP(Y518/H518,0)*0.01196),"")</f>
        <v>0.14352000000000001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66.109848484848484</v>
      </c>
      <c r="BN518" s="64">
        <f t="shared" si="71"/>
        <v>67.559999999999988</v>
      </c>
      <c r="BO518" s="64">
        <f t="shared" si="72"/>
        <v>0.11290792540792541</v>
      </c>
      <c r="BP518" s="64">
        <f t="shared" si="73"/>
        <v>0.11538461538461539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28.030303030303028</v>
      </c>
      <c r="Y524" s="635">
        <f>IFERROR(Y517/H517,"0")+IFERROR(Y518/H518,"0")+IFERROR(Y519/H519,"0")+IFERROR(Y520/H520,"0")+IFERROR(Y521/H521,"0")+IFERROR(Y522/H522,"0")+IFERROR(Y523/H523,"0")</f>
        <v>29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0.34684000000000004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148</v>
      </c>
      <c r="Y525" s="635">
        <f>IFERROR(SUM(Y517:Y523),"0")</f>
        <v>153.12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298</v>
      </c>
      <c r="Y541" s="634">
        <f>IFERROR(IF(X541="",0,CEILING((X541/$H541),1)*$H541),"")</f>
        <v>306</v>
      </c>
      <c r="Z541" s="36">
        <f>IFERROR(IF(Y541=0,"",ROUNDUP(Y541/H541,0)*0.01898),"")</f>
        <v>0.64532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314.35688888888888</v>
      </c>
      <c r="BN541" s="64">
        <f>IFERROR(Y541*I541/H541,"0")</f>
        <v>322.79599999999999</v>
      </c>
      <c r="BO541" s="64">
        <f>IFERROR(1/J541*(X541/H541),"0")</f>
        <v>0.51736111111111116</v>
      </c>
      <c r="BP541" s="64">
        <f>IFERROR(1/J541*(Y541/H541),"0")</f>
        <v>0.53125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33.111111111111114</v>
      </c>
      <c r="Y542" s="635">
        <f>IFERROR(Y541/H541,"0")</f>
        <v>34</v>
      </c>
      <c r="Z542" s="635">
        <f>IFERROR(IF(Z541="",0,Z541),"0")</f>
        <v>0.64532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298</v>
      </c>
      <c r="Y543" s="635">
        <f>IFERROR(SUM(Y541:Y541),"0")</f>
        <v>306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4887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5035.8899999999994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5214.1509066805893</v>
      </c>
      <c r="Y555" s="635">
        <f>IFERROR(SUM(BN22:BN551),"0")</f>
        <v>5372.0310000000009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10</v>
      </c>
      <c r="Y556" s="38">
        <f>ROUNDUP(SUM(BP22:BP551),0)</f>
        <v>10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5464.1509066805893</v>
      </c>
      <c r="Y557" s="635">
        <f>GrossWeightTotalR+PalletQtyTotalR*25</f>
        <v>5622.0310000000009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1095.6317156034913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1124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11.551710000000002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151.20000000000002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180.6</v>
      </c>
      <c r="F564" s="46">
        <f>IFERROR(Y84*1,"0")+IFERROR(Y85*1,"0")+IFERROR(Y86*1,"0")+IFERROR(Y87*1,"0")+IFERROR(Y91*1,"0")+IFERROR(Y92*1,"0")+IFERROR(Y93*1,"0")+IFERROR(Y94*1,"0")</f>
        <v>234.89999999999998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356.1</v>
      </c>
      <c r="H564" s="46">
        <f>IFERROR(Y129*1,"0")+IFERROR(Y130*1,"0")+IFERROR(Y131*1,"0")+IFERROR(Y135*1,"0")+IFERROR(Y136*1,"0")+IFERROR(Y137*1,"0")+IFERROR(Y138*1,"0")+IFERROR(Y142*1,"0")+IFERROR(Y143*1,"0")+IFERROR(Y144*1,"0")</f>
        <v>11.68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194.04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131.84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2013.3000000000002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3.6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105.6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156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348.63000000000005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162</v>
      </c>
      <c r="X564" s="46">
        <f>IFERROR(Y455*1,"0")+IFERROR(Y456*1,"0")+IFERROR(Y460*1,"0")+IFERROR(Y464*1,"0")+IFERROR(Y465*1,"0")+IFERROR(Y466*1,"0")</f>
        <v>450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230.40000000000003</v>
      </c>
      <c r="AB564" s="46">
        <f>IFERROR(Y529*1,"0")+IFERROR(Y533*1,"0")+IFERROR(Y537*1,"0")+IFERROR(Y541*1,"0")+IFERROR(Y545*1,"0")+IFERROR(Y546*1,"0")</f>
        <v>306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2026-08-12T09:39:21Z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