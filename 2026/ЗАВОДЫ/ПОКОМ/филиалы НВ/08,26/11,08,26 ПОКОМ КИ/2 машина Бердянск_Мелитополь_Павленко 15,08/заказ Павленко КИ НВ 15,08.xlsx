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10,08 Павленко КИ НВ на погрузку с Мелитополем 15,08\"/>
    </mc:Choice>
  </mc:AlternateContent>
  <xr:revisionPtr revIDLastSave="0" documentId="13_ncr:1_{F16DD8A0-1E87-428E-B1DE-B80463E6E0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P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Z94" i="2" l="1"/>
  <c r="BN94" i="2"/>
  <c r="Z101" i="2"/>
  <c r="BN101" i="2"/>
  <c r="Z344" i="2"/>
  <c r="BP22" i="2"/>
  <c r="Y25" i="2"/>
  <c r="Z217" i="2"/>
  <c r="Z218" i="2" s="1"/>
  <c r="Z288" i="2"/>
  <c r="BN288" i="2"/>
  <c r="Z299" i="2"/>
  <c r="Z50" i="2"/>
  <c r="BN50" i="2"/>
  <c r="Z241" i="2"/>
  <c r="Z38" i="2"/>
  <c r="BN38" i="2"/>
  <c r="Z84" i="2"/>
  <c r="BN84" i="2"/>
  <c r="Z180" i="2"/>
  <c r="Z232" i="2"/>
  <c r="Z258" i="2"/>
  <c r="BP319" i="2"/>
  <c r="Z327" i="2"/>
  <c r="Z356" i="2"/>
  <c r="Z474" i="2"/>
  <c r="Z31" i="2"/>
  <c r="BN31" i="2"/>
  <c r="Z67" i="2"/>
  <c r="BN67" i="2"/>
  <c r="Z112" i="2"/>
  <c r="Z170" i="2"/>
  <c r="Z210" i="2"/>
  <c r="BN210" i="2"/>
  <c r="Z223" i="2"/>
  <c r="BN223" i="2"/>
  <c r="Z234" i="2"/>
  <c r="Y254" i="2"/>
  <c r="Z274" i="2"/>
  <c r="Z309" i="2"/>
  <c r="Z310" i="2" s="1"/>
  <c r="Y310" i="2"/>
  <c r="Y311" i="2"/>
  <c r="Z363" i="2"/>
  <c r="Z375" i="2"/>
  <c r="Z388" i="2"/>
  <c r="Z406" i="2"/>
  <c r="BN406" i="2"/>
  <c r="Z512" i="2"/>
  <c r="BN512" i="2"/>
  <c r="Z513" i="2"/>
  <c r="BN27" i="2"/>
  <c r="BN37" i="2"/>
  <c r="BN39" i="2"/>
  <c r="BN85" i="2"/>
  <c r="BP109" i="2"/>
  <c r="BN109" i="2"/>
  <c r="Z109" i="2"/>
  <c r="BN138" i="2"/>
  <c r="Z138" i="2"/>
  <c r="BN144" i="2"/>
  <c r="Z144" i="2"/>
  <c r="BN155" i="2"/>
  <c r="Z155" i="2"/>
  <c r="BN176" i="2"/>
  <c r="Z176" i="2"/>
  <c r="BP206" i="2"/>
  <c r="BN206" i="2"/>
  <c r="Z206" i="2"/>
  <c r="BN257" i="2"/>
  <c r="Z257" i="2"/>
  <c r="BN280" i="2"/>
  <c r="Z280" i="2"/>
  <c r="BP301" i="2"/>
  <c r="BN301" i="2"/>
  <c r="Z301" i="2"/>
  <c r="BN335" i="2"/>
  <c r="Z335" i="2"/>
  <c r="BN343" i="2"/>
  <c r="Z343" i="2"/>
  <c r="BN355" i="2"/>
  <c r="BP355" i="2"/>
  <c r="BN364" i="2"/>
  <c r="Z364" i="2"/>
  <c r="BP373" i="2"/>
  <c r="Z373" i="2"/>
  <c r="BP387" i="2"/>
  <c r="Z387" i="2"/>
  <c r="BN401" i="2"/>
  <c r="BP401" i="2"/>
  <c r="BP443" i="2"/>
  <c r="Z443" i="2"/>
  <c r="BP456" i="2"/>
  <c r="BN456" i="2"/>
  <c r="Z456" i="2"/>
  <c r="BN505" i="2"/>
  <c r="BP519" i="2"/>
  <c r="Z519" i="2"/>
  <c r="Y530" i="2"/>
  <c r="BP529" i="2"/>
  <c r="Y535" i="2"/>
  <c r="BN533" i="2"/>
  <c r="Z533" i="2"/>
  <c r="Z534" i="2" s="1"/>
  <c r="Z48" i="2"/>
  <c r="Z57" i="2"/>
  <c r="BN57" i="2"/>
  <c r="Z78" i="2"/>
  <c r="BN78" i="2"/>
  <c r="BP78" i="2"/>
  <c r="Z92" i="2"/>
  <c r="BP113" i="2"/>
  <c r="Z113" i="2"/>
  <c r="BN119" i="2"/>
  <c r="Z119" i="2"/>
  <c r="BP138" i="2"/>
  <c r="BN142" i="2"/>
  <c r="Z142" i="2"/>
  <c r="BP144" i="2"/>
  <c r="I564" i="2"/>
  <c r="BN150" i="2"/>
  <c r="Z150" i="2"/>
  <c r="BN153" i="2"/>
  <c r="Z153" i="2"/>
  <c r="BP155" i="2"/>
  <c r="BP166" i="2"/>
  <c r="BN166" i="2"/>
  <c r="Z166" i="2"/>
  <c r="BP176" i="2"/>
  <c r="BP178" i="2"/>
  <c r="BN178" i="2"/>
  <c r="Z178" i="2"/>
  <c r="BN212" i="2"/>
  <c r="BP212" i="2"/>
  <c r="BP225" i="2"/>
  <c r="Z225" i="2"/>
  <c r="BN238" i="2"/>
  <c r="BP268" i="2"/>
  <c r="Z268" i="2"/>
  <c r="BP280" i="2"/>
  <c r="BP284" i="2"/>
  <c r="BN284" i="2"/>
  <c r="Z284" i="2"/>
  <c r="BP317" i="2"/>
  <c r="BN317" i="2"/>
  <c r="Z317" i="2"/>
  <c r="BP335" i="2"/>
  <c r="BN342" i="2"/>
  <c r="Z342" i="2"/>
  <c r="S564" i="2"/>
  <c r="Y358" i="2"/>
  <c r="Z354" i="2"/>
  <c r="BP364" i="2"/>
  <c r="BN365" i="2"/>
  <c r="Z365" i="2"/>
  <c r="Y389" i="2"/>
  <c r="Z386" i="2"/>
  <c r="Z389" i="2" s="1"/>
  <c r="BP394" i="2"/>
  <c r="Z394" i="2"/>
  <c r="BN407" i="2"/>
  <c r="Y421" i="2"/>
  <c r="BP418" i="2"/>
  <c r="BN418" i="2"/>
  <c r="Z418" i="2"/>
  <c r="BN487" i="2"/>
  <c r="Z487" i="2"/>
  <c r="Z488" i="2" s="1"/>
  <c r="BN493" i="2"/>
  <c r="Y114" i="2"/>
  <c r="BN137" i="2"/>
  <c r="BN151" i="2"/>
  <c r="BN191" i="2"/>
  <c r="BP217" i="2"/>
  <c r="BP232" i="2"/>
  <c r="BP241" i="2"/>
  <c r="BP274" i="2"/>
  <c r="BN334" i="2"/>
  <c r="BP375" i="2"/>
  <c r="BN380" i="2"/>
  <c r="Y409" i="2"/>
  <c r="BN419" i="2"/>
  <c r="BN430" i="2"/>
  <c r="BN445" i="2"/>
  <c r="BN500" i="2"/>
  <c r="BN521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BN427" i="2"/>
  <c r="BN437" i="2"/>
  <c r="Y440" i="2"/>
  <c r="BN460" i="2"/>
  <c r="Z472" i="2"/>
  <c r="Z482" i="2"/>
  <c r="Y488" i="2"/>
  <c r="BN507" i="2"/>
  <c r="Z517" i="2"/>
  <c r="Z529" i="2"/>
  <c r="Z530" i="2" s="1"/>
  <c r="Y534" i="2"/>
  <c r="Z541" i="2"/>
  <c r="Z542" i="2" s="1"/>
  <c r="Z546" i="2"/>
  <c r="Z37" i="2"/>
  <c r="Z49" i="2"/>
  <c r="Z60" i="2"/>
  <c r="Y75" i="2"/>
  <c r="Z93" i="2"/>
  <c r="Z104" i="2"/>
  <c r="Z137" i="2"/>
  <c r="Z226" i="2"/>
  <c r="Z246" i="2"/>
  <c r="Y260" i="2"/>
  <c r="Z269" i="2"/>
  <c r="Z279" i="2"/>
  <c r="Z300" i="2"/>
  <c r="Z334" i="2"/>
  <c r="Y350" i="2"/>
  <c r="Z369" i="2"/>
  <c r="Z379" i="2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167" i="2" l="1"/>
  <c r="Z446" i="2"/>
  <c r="Z336" i="2"/>
  <c r="Z51" i="2"/>
  <c r="Z547" i="2"/>
  <c r="Z478" i="2"/>
  <c r="Z243" i="2"/>
  <c r="Z70" i="2"/>
  <c r="Z345" i="2"/>
  <c r="Z145" i="2"/>
  <c r="Z383" i="2"/>
  <c r="Z402" i="2"/>
  <c r="Z357" i="2"/>
  <c r="Z320" i="2"/>
  <c r="Z197" i="2"/>
  <c r="Z514" i="2"/>
  <c r="X557" i="2"/>
  <c r="Z306" i="2"/>
  <c r="Z275" i="2"/>
  <c r="Z249" i="2"/>
  <c r="Z139" i="2"/>
  <c r="Z95" i="2"/>
  <c r="Z483" i="2"/>
  <c r="Z434" i="2"/>
  <c r="Z366" i="2"/>
  <c r="Z329" i="2"/>
  <c r="Z32" i="2"/>
  <c r="Z186" i="2"/>
  <c r="Z421" i="2"/>
  <c r="Z24" i="2"/>
  <c r="Z451" i="2"/>
  <c r="Z295" i="2"/>
  <c r="Z467" i="2"/>
  <c r="Z114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Y557" i="2" l="1"/>
  <c r="Z559" i="2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<sst xmlns="http://schemas.openxmlformats.org/spreadsheetml/2006/main" count="4262" uniqueCount="913">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</sst>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2000</v>
      </c>
      <c r="Y47" s="55">
        <f>IFERROR(IF(X47="",0,CEILING((X47/$H47),1)*$H47),"")</f>
        <v>2008.8000000000002</v>
      </c>
      <c r="Z47" s="41">
        <f>IFERROR(IF(Y47=0,"",ROUNDUP(Y47/H47,0)*0.01898),"")</f>
        <v>3.5302799999999999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2075.9259259259256</v>
      </c>
      <c r="BN47" s="78">
        <f>IFERROR(Y47*I47/H47,"0")</f>
        <v>2085.0600000000004</v>
      </c>
      <c r="BO47" s="78">
        <f>IFERROR(1/J47*(X47/H47),"0")</f>
        <v>2.8935185185185182</v>
      </c>
      <c r="BP47" s="78">
        <f>IFERROR(1/J47*(Y47/H47),"0")</f>
        <v>2.90625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185.18518518518516</v>
      </c>
      <c r="Y51" s="43">
        <f>IFERROR(Y47/H47,"0")+IFERROR(Y48/H48,"0")+IFERROR(Y49/H49,"0")+IFERROR(Y50/H50,"0")</f>
        <v>186</v>
      </c>
      <c r="Z51" s="43">
        <f>IFERROR(IF(Z47="",0,Z47),"0")+IFERROR(IF(Z48="",0,Z48),"0")+IFERROR(IF(Z49="",0,Z49),"0")+IFERROR(IF(Z50="",0,Z50),"0")</f>
        <v>3.5302799999999999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2000</v>
      </c>
      <c r="Y52" s="43">
        <f>IFERROR(SUM(Y47:Y50),"0")</f>
        <v>2008.8000000000002</v>
      </c>
      <c r="Z52" s="42"/>
      <c r="AA52" s="67"/>
      <c r="AB52" s="67"/>
      <c r="AC52" s="67"/>
    </row>
    <row r="53" spans="1:68" ht="16.5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500</v>
      </c>
      <c r="Y99" s="55">
        <f t="shared" ref="Y99:Y105" si="5">IFERROR(IF(X99="",0,CEILING((X99/$H99),1)*$H99),"")</f>
        <v>507.6</v>
      </c>
      <c r="Z99" s="41">
        <f>IFERROR(IF(Y99=0,"",ROUNDUP(Y99/H99,0)*0.01898),"")</f>
        <v>0.89205999999999996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518.98148148148141</v>
      </c>
      <c r="BN99" s="78">
        <f t="shared" ref="BN99:BN105" si="7">IFERROR(Y99*I99/H99,"0")</f>
        <v>526.87</v>
      </c>
      <c r="BO99" s="78">
        <f t="shared" ref="BO99:BO105" si="8">IFERROR(1/J99*(X99/H99),"0")</f>
        <v>0.72337962962962954</v>
      </c>
      <c r="BP99" s="78">
        <f t="shared" ref="BP99:BP105" si="9">IFERROR(1/J99*(Y99/H99),"0")</f>
        <v>0.734375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46.296296296296291</v>
      </c>
      <c r="Y106" s="43">
        <f>IFERROR(Y99/H99,"0")+IFERROR(Y100/H100,"0")+IFERROR(Y101/H101,"0")+IFERROR(Y102/H102,"0")+IFERROR(Y103/H103,"0")+IFERROR(Y104/H104,"0")+IFERROR(Y105/H105,"0")</f>
        <v>47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0.89205999999999996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500</v>
      </c>
      <c r="Y107" s="43">
        <f>IFERROR(SUM(Y99:Y105),"0")</f>
        <v>507.6</v>
      </c>
      <c r="Z107" s="42"/>
      <c r="AA107" s="67"/>
      <c r="AB107" s="67"/>
      <c r="AC107" s="67"/>
    </row>
    <row r="108" spans="1:68" ht="14.25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300</v>
      </c>
      <c r="Y387" s="55">
        <f>IFERROR(IF(X387="",0,CEILING((X387/$H387),1)*$H387),"")</f>
        <v>304.2</v>
      </c>
      <c r="Z387" s="41">
        <f>IFERROR(IF(Y387=0,"",ROUNDUP(Y387/H387,0)*0.01898),"")</f>
        <v>0.74021999999999999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319.00000000000006</v>
      </c>
      <c r="BN387" s="78">
        <f>IFERROR(Y387*I387/H387,"0")</f>
        <v>323.46600000000001</v>
      </c>
      <c r="BO387" s="78">
        <f>IFERROR(1/J387*(X387/H387),"0")</f>
        <v>0.60096153846153844</v>
      </c>
      <c r="BP387" s="78">
        <f>IFERROR(1/J387*(Y387/H387),"0")</f>
        <v>0.609375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38.46153846153846</v>
      </c>
      <c r="Y389" s="43">
        <f>IFERROR(Y386/H386,"0")+IFERROR(Y387/H387,"0")+IFERROR(Y388/H388,"0")</f>
        <v>39</v>
      </c>
      <c r="Z389" s="43">
        <f>IFERROR(IF(Z386="",0,Z386),"0")+IFERROR(IF(Z387="",0,Z387),"0")+IFERROR(IF(Z388="",0,Z388),"0")</f>
        <v>0.74021999999999999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300</v>
      </c>
      <c r="Y390" s="43">
        <f>IFERROR(SUM(Y386:Y388),"0")</f>
        <v>304.2</v>
      </c>
      <c r="Z390" s="42"/>
      <c r="AA390" s="67"/>
      <c r="AB390" s="67"/>
      <c r="AC390" s="67"/>
    </row>
    <row r="391" spans="1:68" ht="14.25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2000</v>
      </c>
      <c r="Y428" s="55">
        <f t="shared" si="53"/>
        <v>2010</v>
      </c>
      <c r="Z428" s="41">
        <f>IFERROR(IF(Y428=0,"",ROUNDUP(Y428/H428,0)*0.02175),"")</f>
        <v>2.9144999999999999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2062.6666666666665</v>
      </c>
      <c r="BN428" s="78">
        <f t="shared" si="55"/>
        <v>2072.98</v>
      </c>
      <c r="BO428" s="78">
        <f t="shared" si="56"/>
        <v>2.7777777777777777</v>
      </c>
      <c r="BP428" s="78">
        <f t="shared" si="57"/>
        <v>2.7916666666666665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1500</v>
      </c>
      <c r="Y430" s="55">
        <f t="shared" si="53"/>
        <v>1500</v>
      </c>
      <c r="Z430" s="41">
        <f>IFERROR(IF(Y430=0,"",ROUNDUP(Y430/H430,0)*0.02175),"")</f>
        <v>2.1749999999999998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1547</v>
      </c>
      <c r="BN430" s="78">
        <f t="shared" si="55"/>
        <v>1547</v>
      </c>
      <c r="BO430" s="78">
        <f t="shared" si="56"/>
        <v>2.083333333333333</v>
      </c>
      <c r="BP430" s="78">
        <f t="shared" si="57"/>
        <v>2.083333333333333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233.33333333333334</v>
      </c>
      <c r="Y434" s="43">
        <f>IFERROR(Y426/H426,"0")+IFERROR(Y427/H427,"0")+IFERROR(Y428/H428,"0")+IFERROR(Y429/H429,"0")+IFERROR(Y430/H430,"0")+IFERROR(Y431/H431,"0")+IFERROR(Y432/H432,"0")+IFERROR(Y433/H433,"0")</f>
        <v>234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5.0894999999999992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3500</v>
      </c>
      <c r="Y435" s="43">
        <f>IFERROR(SUM(Y426:Y433),"0")</f>
        <v>3510</v>
      </c>
      <c r="Z435" s="42"/>
      <c r="AA435" s="67"/>
      <c r="AB435" s="67"/>
      <c r="AC435" s="67"/>
    </row>
    <row r="436" spans="1:68" ht="14.25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500</v>
      </c>
      <c r="Y437" s="55">
        <f>IFERROR(IF(X437="",0,CEILING((X437/$H437),1)*$H437),"")</f>
        <v>510</v>
      </c>
      <c r="Z437" s="41">
        <f>IFERROR(IF(Y437=0,"",ROUNDUP(Y437/H437,0)*0.02175),"")</f>
        <v>0.73949999999999994</v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515.66666666666663</v>
      </c>
      <c r="BN437" s="78">
        <f>IFERROR(Y437*I437/H437,"0")</f>
        <v>525.98</v>
      </c>
      <c r="BO437" s="78">
        <f>IFERROR(1/J437*(X437/H437),"0")</f>
        <v>0.69444444444444442</v>
      </c>
      <c r="BP437" s="78">
        <f>IFERROR(1/J437*(Y437/H437),"0")</f>
        <v>0.70833333333333326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33.333333333333336</v>
      </c>
      <c r="Y440" s="43">
        <f>IFERROR(Y437/H437,"0")+IFERROR(Y438/H438,"0")+IFERROR(Y439/H439,"0")</f>
        <v>34</v>
      </c>
      <c r="Z440" s="43">
        <f>IFERROR(IF(Z437="",0,Z437),"0")+IFERROR(IF(Z438="",0,Z438),"0")+IFERROR(IF(Z439="",0,Z439),"0")</f>
        <v>0.73949999999999994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500</v>
      </c>
      <c r="Y441" s="43">
        <f>IFERROR(SUM(Y437:Y439),"0")</f>
        <v>510</v>
      </c>
      <c r="Z441" s="42"/>
      <c r="AA441" s="67"/>
      <c r="AB441" s="67"/>
      <c r="AC441" s="67"/>
    </row>
    <row r="442" spans="1:68" ht="14.25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300</v>
      </c>
      <c r="Y450" s="55">
        <f>IFERROR(IF(X450="",0,CEILING((X450/$H450),1)*$H450),"")</f>
        <v>306</v>
      </c>
      <c r="Z450" s="41">
        <f>IFERROR(IF(Y450=0,"",ROUNDUP(Y450/H450,0)*0.01898),"")</f>
        <v>0.64532</v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316.46666666666664</v>
      </c>
      <c r="BN450" s="78">
        <f>IFERROR(Y450*I450/H450,"0")</f>
        <v>322.79599999999999</v>
      </c>
      <c r="BO450" s="78">
        <f>IFERROR(1/J450*(X450/H450),"0")</f>
        <v>0.52083333333333337</v>
      </c>
      <c r="BP450" s="78">
        <f>IFERROR(1/J450*(Y450/H450),"0")</f>
        <v>0.53125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33.333333333333336</v>
      </c>
      <c r="Y451" s="43">
        <f>IFERROR(Y449/H449,"0")+IFERROR(Y450/H450,"0")</f>
        <v>34</v>
      </c>
      <c r="Z451" s="43">
        <f>IFERROR(IF(Z449="",0,Z449),"0")+IFERROR(IF(Z450="",0,Z450),"0")</f>
        <v>0.64532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300</v>
      </c>
      <c r="Y452" s="43">
        <f>IFERROR(SUM(Y449:Y450),"0")</f>
        <v>306</v>
      </c>
      <c r="Z452" s="42"/>
      <c r="AA452" s="67"/>
      <c r="AB452" s="67"/>
      <c r="AC452" s="67"/>
    </row>
    <row r="453" spans="1:68" ht="16.5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1000</v>
      </c>
      <c r="Y502" s="55">
        <f t="shared" si="63"/>
        <v>1003.2</v>
      </c>
      <c r="Z502" s="41">
        <f t="shared" si="64"/>
        <v>2.2724000000000002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1066.2878787878788</v>
      </c>
      <c r="BN502" s="78">
        <f t="shared" si="66"/>
        <v>1069.7</v>
      </c>
      <c r="BO502" s="78">
        <f t="shared" si="67"/>
        <v>1.821095571095571</v>
      </c>
      <c r="BP502" s="78">
        <f t="shared" si="68"/>
        <v>1.8269230769230771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500</v>
      </c>
      <c r="Y504" s="55">
        <f t="shared" si="63"/>
        <v>501.6</v>
      </c>
      <c r="Z504" s="41">
        <f t="shared" si="64"/>
        <v>1.1362000000000001</v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533.14393939393938</v>
      </c>
      <c r="BN504" s="78">
        <f t="shared" si="66"/>
        <v>534.85</v>
      </c>
      <c r="BO504" s="78">
        <f t="shared" si="67"/>
        <v>0.91054778554778548</v>
      </c>
      <c r="BP504" s="78">
        <f t="shared" si="68"/>
        <v>0.91346153846153855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284.09090909090907</v>
      </c>
      <c r="Y508" s="43">
        <f>IFERROR(Y499/H499,"0")+IFERROR(Y500/H500,"0")+IFERROR(Y501/H501,"0")+IFERROR(Y502/H502,"0")+IFERROR(Y503/H503,"0")+IFERROR(Y504/H504,"0")+IFERROR(Y505/H505,"0")+IFERROR(Y506/H506,"0")+IFERROR(Y507/H507,"0")</f>
        <v>285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3.4086000000000003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1500</v>
      </c>
      <c r="Y509" s="43">
        <f>IFERROR(SUM(Y499:Y507),"0")</f>
        <v>1504.8000000000002</v>
      </c>
      <c r="Z509" s="42"/>
      <c r="AA509" s="67"/>
      <c r="AB509" s="67"/>
      <c r="AC509" s="67"/>
    </row>
    <row r="510" spans="1:68" ht="14.25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500</v>
      </c>
      <c r="Y511" s="55">
        <f>IFERROR(IF(X511="",0,CEILING((X511/$H511),1)*$H511),"")</f>
        <v>501.6</v>
      </c>
      <c r="Z511" s="41">
        <f>IFERROR(IF(Y511=0,"",ROUNDUP(Y511/H511,0)*0.01196),"")</f>
        <v>1.1362000000000001</v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533.14393939393938</v>
      </c>
      <c r="BN511" s="78">
        <f>IFERROR(Y511*I511/H511,"0")</f>
        <v>534.85</v>
      </c>
      <c r="BO511" s="78">
        <f>IFERROR(1/J511*(X511/H511),"0")</f>
        <v>0.91054778554778548</v>
      </c>
      <c r="BP511" s="78">
        <f>IFERROR(1/J511*(Y511/H511),"0")</f>
        <v>0.91346153846153855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94.696969696969688</v>
      </c>
      <c r="Y514" s="43">
        <f>IFERROR(Y511/H511,"0")+IFERROR(Y512/H512,"0")+IFERROR(Y513/H513,"0")</f>
        <v>95</v>
      </c>
      <c r="Z514" s="43">
        <f>IFERROR(IF(Z511="",0,Z511),"0")+IFERROR(IF(Z512="",0,Z512),"0")+IFERROR(IF(Z513="",0,Z513),"0")</f>
        <v>1.1362000000000001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500</v>
      </c>
      <c r="Y515" s="43">
        <f>IFERROR(SUM(Y511:Y513),"0")</f>
        <v>501.6</v>
      </c>
      <c r="Z515" s="42"/>
      <c r="AA515" s="67"/>
      <c r="AB515" s="67"/>
      <c r="AC515" s="67"/>
    </row>
    <row r="516" spans="1:68" ht="14.25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9100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9153.0000000000018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9488.2831649831642</v>
      </c>
      <c r="Y555" s="43">
        <f>IFERROR(SUM(BN22:BN551),"0")</f>
        <v>9543.5520000000015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14</v>
      </c>
      <c r="Y556" s="44">
        <f>ROUNDUP(SUM(BP22:BP551),0)</f>
        <v>15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9838.2831649831642</v>
      </c>
      <c r="Y557" s="43">
        <f>GrossWeightTotalR+PalletQtyTotalR*25</f>
        <v>9918.5520000000015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948.73089873089884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954</v>
      </c>
      <c r="Z558" s="42"/>
      <c r="AA558" s="67"/>
      <c r="AB558" s="67"/>
      <c r="AC558" s="67"/>
    </row>
    <row r="559" spans="1:68" ht="14.25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16.18168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2008.8000000000002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507.6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304.2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4326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2006.4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2026-08-12T08:20:09Z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