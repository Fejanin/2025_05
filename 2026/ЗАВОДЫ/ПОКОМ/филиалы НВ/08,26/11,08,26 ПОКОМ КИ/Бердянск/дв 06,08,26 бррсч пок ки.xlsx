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266476E3-B5F8-492D-8D4A-A90FCD46E6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121" i="1" l="1"/>
  <c r="AK46" i="1"/>
  <c r="V7" i="1"/>
  <c r="AK7" i="1" s="1"/>
  <c r="V10" i="1"/>
  <c r="V16" i="1"/>
  <c r="V17" i="1"/>
  <c r="V18" i="1"/>
  <c r="V23" i="1"/>
  <c r="AK23" i="1" s="1"/>
  <c r="V24" i="1"/>
  <c r="V25" i="1"/>
  <c r="AK25" i="1" s="1"/>
  <c r="V26" i="1"/>
  <c r="V31" i="1"/>
  <c r="AK31" i="1" s="1"/>
  <c r="AK35" i="1"/>
  <c r="V36" i="1"/>
  <c r="AK36" i="1" s="1"/>
  <c r="AK37" i="1"/>
  <c r="V38" i="1"/>
  <c r="AK38" i="1" s="1"/>
  <c r="V43" i="1"/>
  <c r="AK43" i="1" s="1"/>
  <c r="AK45" i="1"/>
  <c r="V47" i="1"/>
  <c r="AK47" i="1" s="1"/>
  <c r="V50" i="1"/>
  <c r="AK50" i="1" s="1"/>
  <c r="V51" i="1"/>
  <c r="AK51" i="1" s="1"/>
  <c r="V52" i="1"/>
  <c r="AK52" i="1" s="1"/>
  <c r="V53" i="1"/>
  <c r="AK53" i="1" s="1"/>
  <c r="V61" i="1"/>
  <c r="AK61" i="1" s="1"/>
  <c r="V66" i="1"/>
  <c r="AK66" i="1" s="1"/>
  <c r="V70" i="1"/>
  <c r="AK70" i="1" s="1"/>
  <c r="V73" i="1"/>
  <c r="AK73" i="1" s="1"/>
  <c r="V77" i="1"/>
  <c r="AK77" i="1" s="1"/>
  <c r="V78" i="1"/>
  <c r="AK78" i="1" s="1"/>
  <c r="V81" i="1"/>
  <c r="AK81" i="1" s="1"/>
  <c r="V82" i="1"/>
  <c r="AK82" i="1" s="1"/>
  <c r="V83" i="1"/>
  <c r="AK83" i="1" s="1"/>
  <c r="V84" i="1"/>
  <c r="AK84" i="1" s="1"/>
  <c r="V85" i="1"/>
  <c r="AK85" i="1" s="1"/>
  <c r="V86" i="1"/>
  <c r="AK86" i="1" s="1"/>
  <c r="V87" i="1"/>
  <c r="AK87" i="1" s="1"/>
  <c r="V89" i="1"/>
  <c r="AK89" i="1" s="1"/>
  <c r="AK90" i="1"/>
  <c r="V91" i="1"/>
  <c r="AK91" i="1" s="1"/>
  <c r="V92" i="1"/>
  <c r="AK92" i="1" s="1"/>
  <c r="V93" i="1"/>
  <c r="AK93" i="1" s="1"/>
  <c r="V97" i="1"/>
  <c r="AK97" i="1" s="1"/>
  <c r="V98" i="1"/>
  <c r="AK98" i="1" s="1"/>
  <c r="V99" i="1"/>
  <c r="AK99" i="1" s="1"/>
  <c r="V100" i="1"/>
  <c r="AK100" i="1" s="1"/>
  <c r="V101" i="1"/>
  <c r="AK101" i="1" s="1"/>
  <c r="V102" i="1"/>
  <c r="AK102" i="1" s="1"/>
  <c r="V104" i="1"/>
  <c r="AK104" i="1" s="1"/>
  <c r="V106" i="1"/>
  <c r="AK106" i="1" s="1"/>
  <c r="V108" i="1"/>
  <c r="AK108" i="1" s="1"/>
  <c r="V109" i="1"/>
  <c r="AK109" i="1" s="1"/>
  <c r="V111" i="1"/>
  <c r="AK111" i="1" s="1"/>
  <c r="V114" i="1"/>
  <c r="AK114" i="1" s="1"/>
  <c r="V116" i="1"/>
  <c r="AK116" i="1" s="1"/>
  <c r="V117" i="1"/>
  <c r="AK117" i="1" s="1"/>
  <c r="V118" i="1"/>
  <c r="AK118" i="1" s="1"/>
  <c r="V119" i="1"/>
  <c r="AK119" i="1" s="1"/>
  <c r="V127" i="1"/>
  <c r="AK127" i="1" s="1"/>
  <c r="AK128" i="1"/>
  <c r="V129" i="1"/>
  <c r="AK129" i="1" s="1"/>
  <c r="V130" i="1"/>
  <c r="AK130" i="1" s="1"/>
  <c r="V131" i="1"/>
  <c r="AK131" i="1" s="1"/>
  <c r="V6" i="1"/>
  <c r="AK6" i="1" s="1"/>
  <c r="AK10" i="1"/>
  <c r="AK16" i="1"/>
  <c r="AK17" i="1"/>
  <c r="AK18" i="1"/>
  <c r="AK22" i="1"/>
  <c r="AK24" i="1"/>
  <c r="AK26" i="1"/>
  <c r="AK28" i="1"/>
  <c r="AK29" i="1"/>
  <c r="AK30" i="1"/>
  <c r="AK44" i="1"/>
  <c r="AK48" i="1"/>
  <c r="AK55" i="1"/>
  <c r="AK58" i="1"/>
  <c r="AK65" i="1"/>
  <c r="W94" i="1" l="1"/>
  <c r="U94" i="1" s="1"/>
  <c r="V94" i="1" s="1"/>
  <c r="W95" i="1"/>
  <c r="W96" i="1"/>
  <c r="U96" i="1" s="1"/>
  <c r="V96" i="1" s="1"/>
  <c r="W100" i="1"/>
  <c r="W102" i="1"/>
  <c r="W103" i="1"/>
  <c r="W104" i="1"/>
  <c r="W113" i="1"/>
  <c r="U113" i="1" s="1"/>
  <c r="V113" i="1" s="1"/>
  <c r="W116" i="1"/>
  <c r="W117" i="1"/>
  <c r="AK113" i="1" l="1"/>
  <c r="AK96" i="1"/>
  <c r="AK94" i="1"/>
  <c r="W5" i="1"/>
  <c r="T131" i="1" l="1"/>
  <c r="L131" i="1"/>
  <c r="T130" i="1"/>
  <c r="L130" i="1"/>
  <c r="T129" i="1"/>
  <c r="X129" i="1" s="1"/>
  <c r="L129" i="1"/>
  <c r="T128" i="1"/>
  <c r="X128" i="1" s="1"/>
  <c r="L128" i="1"/>
  <c r="T127" i="1"/>
  <c r="X127" i="1" s="1"/>
  <c r="L127" i="1"/>
  <c r="T126" i="1"/>
  <c r="L126" i="1"/>
  <c r="T125" i="1"/>
  <c r="L125" i="1"/>
  <c r="T124" i="1"/>
  <c r="L124" i="1"/>
  <c r="F123" i="1"/>
  <c r="E123" i="1"/>
  <c r="L123" i="1" s="1"/>
  <c r="T122" i="1"/>
  <c r="L122" i="1"/>
  <c r="T121" i="1"/>
  <c r="X121" i="1" s="1"/>
  <c r="L121" i="1"/>
  <c r="T120" i="1"/>
  <c r="L120" i="1"/>
  <c r="T119" i="1"/>
  <c r="X119" i="1" s="1"/>
  <c r="L119" i="1"/>
  <c r="T118" i="1"/>
  <c r="X118" i="1" s="1"/>
  <c r="L118" i="1"/>
  <c r="T117" i="1"/>
  <c r="X117" i="1" s="1"/>
  <c r="L117" i="1"/>
  <c r="T116" i="1"/>
  <c r="X116" i="1" s="1"/>
  <c r="L116" i="1"/>
  <c r="T115" i="1"/>
  <c r="L115" i="1"/>
  <c r="T114" i="1"/>
  <c r="X114" i="1" s="1"/>
  <c r="L114" i="1"/>
  <c r="T113" i="1"/>
  <c r="X113" i="1" s="1"/>
  <c r="L113" i="1"/>
  <c r="T112" i="1"/>
  <c r="L112" i="1"/>
  <c r="T111" i="1"/>
  <c r="X111" i="1" s="1"/>
  <c r="L111" i="1"/>
  <c r="T110" i="1"/>
  <c r="L110" i="1"/>
  <c r="T109" i="1"/>
  <c r="L109" i="1"/>
  <c r="T108" i="1"/>
  <c r="L108" i="1"/>
  <c r="T107" i="1"/>
  <c r="L107" i="1"/>
  <c r="T106" i="1"/>
  <c r="X106" i="1" s="1"/>
  <c r="L106" i="1"/>
  <c r="T105" i="1"/>
  <c r="L105" i="1"/>
  <c r="T104" i="1"/>
  <c r="X104" i="1" s="1"/>
  <c r="L104" i="1"/>
  <c r="T103" i="1"/>
  <c r="L103" i="1"/>
  <c r="T102" i="1"/>
  <c r="X102" i="1" s="1"/>
  <c r="L102" i="1"/>
  <c r="T101" i="1"/>
  <c r="L101" i="1"/>
  <c r="T100" i="1"/>
  <c r="X100" i="1" s="1"/>
  <c r="L100" i="1"/>
  <c r="T99" i="1"/>
  <c r="X99" i="1" s="1"/>
  <c r="L99" i="1"/>
  <c r="T98" i="1"/>
  <c r="L98" i="1"/>
  <c r="T97" i="1"/>
  <c r="L97" i="1"/>
  <c r="T96" i="1"/>
  <c r="X96" i="1" s="1"/>
  <c r="L96" i="1"/>
  <c r="T95" i="1"/>
  <c r="U95" i="1" s="1"/>
  <c r="L95" i="1"/>
  <c r="T94" i="1"/>
  <c r="X94" i="1" s="1"/>
  <c r="L94" i="1"/>
  <c r="T93" i="1"/>
  <c r="X93" i="1" s="1"/>
  <c r="L93" i="1"/>
  <c r="T92" i="1"/>
  <c r="X92" i="1" s="1"/>
  <c r="L92" i="1"/>
  <c r="T91" i="1"/>
  <c r="L91" i="1"/>
  <c r="T90" i="1"/>
  <c r="X90" i="1" s="1"/>
  <c r="L90" i="1"/>
  <c r="T89" i="1"/>
  <c r="X89" i="1" s="1"/>
  <c r="L89" i="1"/>
  <c r="T88" i="1"/>
  <c r="L88" i="1"/>
  <c r="T87" i="1"/>
  <c r="X87" i="1" s="1"/>
  <c r="L87" i="1"/>
  <c r="T86" i="1"/>
  <c r="X86" i="1" s="1"/>
  <c r="L86" i="1"/>
  <c r="T85" i="1"/>
  <c r="L85" i="1"/>
  <c r="T84" i="1"/>
  <c r="L84" i="1"/>
  <c r="T83" i="1"/>
  <c r="L83" i="1"/>
  <c r="T82" i="1"/>
  <c r="X82" i="1" s="1"/>
  <c r="L82" i="1"/>
  <c r="T81" i="1"/>
  <c r="X81" i="1" s="1"/>
  <c r="L81" i="1"/>
  <c r="T80" i="1"/>
  <c r="L80" i="1"/>
  <c r="T79" i="1"/>
  <c r="L79" i="1"/>
  <c r="T78" i="1"/>
  <c r="X78" i="1" s="1"/>
  <c r="L78" i="1"/>
  <c r="T77" i="1"/>
  <c r="X77" i="1" s="1"/>
  <c r="L77" i="1"/>
  <c r="T76" i="1"/>
  <c r="L76" i="1"/>
  <c r="T75" i="1"/>
  <c r="L75" i="1"/>
  <c r="T74" i="1"/>
  <c r="L74" i="1"/>
  <c r="T73" i="1"/>
  <c r="X73" i="1" s="1"/>
  <c r="L73" i="1"/>
  <c r="T72" i="1"/>
  <c r="L72" i="1"/>
  <c r="T71" i="1"/>
  <c r="L71" i="1"/>
  <c r="T70" i="1"/>
  <c r="X70" i="1" s="1"/>
  <c r="L70" i="1"/>
  <c r="T69" i="1"/>
  <c r="L69" i="1"/>
  <c r="T68" i="1"/>
  <c r="L68" i="1"/>
  <c r="T67" i="1"/>
  <c r="L67" i="1"/>
  <c r="T66" i="1"/>
  <c r="X66" i="1" s="1"/>
  <c r="L66" i="1"/>
  <c r="T65" i="1"/>
  <c r="X65" i="1" s="1"/>
  <c r="L65" i="1"/>
  <c r="T64" i="1"/>
  <c r="L64" i="1"/>
  <c r="T63" i="1"/>
  <c r="L63" i="1"/>
  <c r="T62" i="1"/>
  <c r="L62" i="1"/>
  <c r="T61" i="1"/>
  <c r="X61" i="1" s="1"/>
  <c r="L61" i="1"/>
  <c r="T60" i="1"/>
  <c r="L60" i="1"/>
  <c r="T59" i="1"/>
  <c r="L59" i="1"/>
  <c r="T58" i="1"/>
  <c r="X58" i="1" s="1"/>
  <c r="L58" i="1"/>
  <c r="T57" i="1"/>
  <c r="L57" i="1"/>
  <c r="T56" i="1"/>
  <c r="L56" i="1"/>
  <c r="T55" i="1"/>
  <c r="X55" i="1" s="1"/>
  <c r="L55" i="1"/>
  <c r="T54" i="1"/>
  <c r="L54" i="1"/>
  <c r="T53" i="1"/>
  <c r="X53" i="1" s="1"/>
  <c r="L53" i="1"/>
  <c r="T52" i="1"/>
  <c r="X52" i="1" s="1"/>
  <c r="L52" i="1"/>
  <c r="T51" i="1"/>
  <c r="X51" i="1" s="1"/>
  <c r="L51" i="1"/>
  <c r="T50" i="1"/>
  <c r="X50" i="1" s="1"/>
  <c r="L50" i="1"/>
  <c r="T49" i="1"/>
  <c r="L49" i="1"/>
  <c r="T48" i="1"/>
  <c r="X48" i="1" s="1"/>
  <c r="L48" i="1"/>
  <c r="T47" i="1"/>
  <c r="X47" i="1" s="1"/>
  <c r="L47" i="1"/>
  <c r="T46" i="1"/>
  <c r="X46" i="1" s="1"/>
  <c r="L46" i="1"/>
  <c r="T45" i="1"/>
  <c r="X45" i="1" s="1"/>
  <c r="L45" i="1"/>
  <c r="T44" i="1"/>
  <c r="X44" i="1" s="1"/>
  <c r="L44" i="1"/>
  <c r="T43" i="1"/>
  <c r="X43" i="1" s="1"/>
  <c r="L43" i="1"/>
  <c r="T42" i="1"/>
  <c r="L42" i="1"/>
  <c r="T41" i="1"/>
  <c r="L41" i="1"/>
  <c r="T40" i="1"/>
  <c r="L40" i="1"/>
  <c r="F40" i="1"/>
  <c r="T39" i="1"/>
  <c r="L39" i="1"/>
  <c r="T38" i="1"/>
  <c r="X38" i="1" s="1"/>
  <c r="L38" i="1"/>
  <c r="T37" i="1"/>
  <c r="X37" i="1" s="1"/>
  <c r="L37" i="1"/>
  <c r="T36" i="1"/>
  <c r="X36" i="1" s="1"/>
  <c r="L36" i="1"/>
  <c r="T35" i="1"/>
  <c r="X35" i="1" s="1"/>
  <c r="L35" i="1"/>
  <c r="T34" i="1"/>
  <c r="L34" i="1"/>
  <c r="T33" i="1"/>
  <c r="L33" i="1"/>
  <c r="T32" i="1"/>
  <c r="L32" i="1"/>
  <c r="T31" i="1"/>
  <c r="X31" i="1" s="1"/>
  <c r="L31" i="1"/>
  <c r="T30" i="1"/>
  <c r="X30" i="1" s="1"/>
  <c r="L30" i="1"/>
  <c r="T29" i="1"/>
  <c r="X29" i="1" s="1"/>
  <c r="L29" i="1"/>
  <c r="T28" i="1"/>
  <c r="X28" i="1" s="1"/>
  <c r="L28" i="1"/>
  <c r="T27" i="1"/>
  <c r="L27" i="1"/>
  <c r="T26" i="1"/>
  <c r="L26" i="1"/>
  <c r="T25" i="1"/>
  <c r="X25" i="1" s="1"/>
  <c r="L25" i="1"/>
  <c r="T24" i="1"/>
  <c r="X24" i="1" s="1"/>
  <c r="L24" i="1"/>
  <c r="T23" i="1"/>
  <c r="X23" i="1" s="1"/>
  <c r="L23" i="1"/>
  <c r="T22" i="1"/>
  <c r="X22" i="1" s="1"/>
  <c r="L22" i="1"/>
  <c r="T21" i="1"/>
  <c r="L21" i="1"/>
  <c r="T20" i="1"/>
  <c r="L20" i="1"/>
  <c r="T19" i="1"/>
  <c r="L19" i="1"/>
  <c r="T18" i="1"/>
  <c r="X18" i="1" s="1"/>
  <c r="L18" i="1"/>
  <c r="T17" i="1"/>
  <c r="X17" i="1" s="1"/>
  <c r="L17" i="1"/>
  <c r="T16" i="1"/>
  <c r="X16" i="1" s="1"/>
  <c r="L16" i="1"/>
  <c r="T15" i="1"/>
  <c r="L15" i="1"/>
  <c r="T14" i="1"/>
  <c r="L14" i="1"/>
  <c r="T13" i="1"/>
  <c r="L13" i="1"/>
  <c r="T12" i="1"/>
  <c r="L12" i="1"/>
  <c r="T11" i="1"/>
  <c r="L11" i="1"/>
  <c r="T10" i="1"/>
  <c r="X10" i="1" s="1"/>
  <c r="L10" i="1"/>
  <c r="T9" i="1"/>
  <c r="L9" i="1"/>
  <c r="T8" i="1"/>
  <c r="L8" i="1"/>
  <c r="T7" i="1"/>
  <c r="L7" i="1"/>
  <c r="T6" i="1"/>
  <c r="X6" i="1" s="1"/>
  <c r="L6" i="1"/>
  <c r="AI5" i="1"/>
  <c r="AH5" i="1"/>
  <c r="AG5" i="1"/>
  <c r="AF5" i="1"/>
  <c r="AE5" i="1"/>
  <c r="AD5" i="1"/>
  <c r="AC5" i="1"/>
  <c r="AB5" i="1"/>
  <c r="AA5" i="1"/>
  <c r="Z5" i="1"/>
  <c r="S5" i="1"/>
  <c r="R5" i="1"/>
  <c r="Q5" i="1"/>
  <c r="P5" i="1"/>
  <c r="O5" i="1"/>
  <c r="N5" i="1"/>
  <c r="M5" i="1"/>
  <c r="K5" i="1"/>
  <c r="U27" i="1" l="1"/>
  <c r="U41" i="1"/>
  <c r="U62" i="1"/>
  <c r="U79" i="1"/>
  <c r="Y40" i="1"/>
  <c r="V40" i="1" s="1"/>
  <c r="Y83" i="1"/>
  <c r="X83" i="1"/>
  <c r="Y84" i="1"/>
  <c r="X84" i="1"/>
  <c r="Y85" i="1"/>
  <c r="X85" i="1"/>
  <c r="Y91" i="1"/>
  <c r="X91" i="1"/>
  <c r="AK95" i="1"/>
  <c r="X95" i="1"/>
  <c r="Y97" i="1"/>
  <c r="X97" i="1"/>
  <c r="Y98" i="1"/>
  <c r="X98" i="1"/>
  <c r="Y101" i="1"/>
  <c r="X101" i="1"/>
  <c r="Y108" i="1"/>
  <c r="X108" i="1"/>
  <c r="Y109" i="1"/>
  <c r="X109" i="1"/>
  <c r="Y130" i="1"/>
  <c r="X130" i="1"/>
  <c r="Y131" i="1"/>
  <c r="X131" i="1"/>
  <c r="Y7" i="1"/>
  <c r="X7" i="1"/>
  <c r="Y26" i="1"/>
  <c r="X26" i="1"/>
  <c r="U15" i="1"/>
  <c r="U19" i="1"/>
  <c r="U32" i="1"/>
  <c r="U54" i="1"/>
  <c r="Y69" i="1"/>
  <c r="V69" i="1" s="1"/>
  <c r="Y74" i="1"/>
  <c r="V74" i="1" s="1"/>
  <c r="U74" i="1"/>
  <c r="Y79" i="1"/>
  <c r="V79" i="1" s="1"/>
  <c r="Y86" i="1"/>
  <c r="Y92" i="1"/>
  <c r="Y99" i="1"/>
  <c r="Y104" i="1"/>
  <c r="Y110" i="1"/>
  <c r="V110" i="1" s="1"/>
  <c r="U8" i="1"/>
  <c r="U34" i="1"/>
  <c r="U60" i="1"/>
  <c r="Y67" i="1"/>
  <c r="V67" i="1" s="1"/>
  <c r="Y72" i="1"/>
  <c r="V72" i="1" s="1"/>
  <c r="AK72" i="1" s="1"/>
  <c r="Y76" i="1"/>
  <c r="V76" i="1" s="1"/>
  <c r="U76" i="1"/>
  <c r="Y81" i="1"/>
  <c r="Y89" i="1"/>
  <c r="Y95" i="1"/>
  <c r="Y102" i="1"/>
  <c r="Y106" i="1"/>
  <c r="Y112" i="1"/>
  <c r="V112" i="1" s="1"/>
  <c r="U112" i="1"/>
  <c r="Y114" i="1"/>
  <c r="Y116" i="1"/>
  <c r="Y118" i="1"/>
  <c r="Y120" i="1"/>
  <c r="V120" i="1" s="1"/>
  <c r="U120" i="1"/>
  <c r="Y122" i="1"/>
  <c r="V122" i="1" s="1"/>
  <c r="Y124" i="1"/>
  <c r="V124" i="1" s="1"/>
  <c r="AK124" i="1" s="1"/>
  <c r="Y126" i="1"/>
  <c r="V126" i="1" s="1"/>
  <c r="U126" i="1"/>
  <c r="Y128" i="1"/>
  <c r="Y6" i="1"/>
  <c r="Y9" i="1"/>
  <c r="V9" i="1" s="1"/>
  <c r="U9" i="1"/>
  <c r="Y12" i="1"/>
  <c r="V12" i="1" s="1"/>
  <c r="AK12" i="1" s="1"/>
  <c r="Y14" i="1"/>
  <c r="V14" i="1" s="1"/>
  <c r="U14" i="1"/>
  <c r="Y16" i="1"/>
  <c r="Y18" i="1"/>
  <c r="Y20" i="1"/>
  <c r="V20" i="1" s="1"/>
  <c r="AK20" i="1" s="1"/>
  <c r="Y22" i="1"/>
  <c r="Y24" i="1"/>
  <c r="Y27" i="1"/>
  <c r="V27" i="1" s="1"/>
  <c r="Y29" i="1"/>
  <c r="Y31" i="1"/>
  <c r="Y33" i="1"/>
  <c r="V33" i="1" s="1"/>
  <c r="AK33" i="1" s="1"/>
  <c r="Y35" i="1"/>
  <c r="Y37" i="1"/>
  <c r="Y39" i="1"/>
  <c r="V39" i="1" s="1"/>
  <c r="U39" i="1"/>
  <c r="U40" i="1"/>
  <c r="Y42" i="1"/>
  <c r="V42" i="1" s="1"/>
  <c r="U42" i="1"/>
  <c r="Y45" i="1"/>
  <c r="Y47" i="1"/>
  <c r="Y49" i="1"/>
  <c r="V49" i="1" s="1"/>
  <c r="AK49" i="1" s="1"/>
  <c r="Y51" i="1"/>
  <c r="Y53" i="1"/>
  <c r="Y55" i="1"/>
  <c r="Y57" i="1"/>
  <c r="V57" i="1" s="1"/>
  <c r="U57" i="1"/>
  <c r="Y59" i="1"/>
  <c r="V59" i="1" s="1"/>
  <c r="U59" i="1"/>
  <c r="Y61" i="1"/>
  <c r="Y63" i="1"/>
  <c r="V63" i="1" s="1"/>
  <c r="Y65" i="1"/>
  <c r="U68" i="1"/>
  <c r="U71" i="1"/>
  <c r="U75" i="1"/>
  <c r="U80" i="1"/>
  <c r="U103" i="1"/>
  <c r="V103" i="1" s="1"/>
  <c r="U107" i="1"/>
  <c r="U125" i="1"/>
  <c r="Y111" i="1"/>
  <c r="Y113" i="1"/>
  <c r="Y115" i="1"/>
  <c r="V115" i="1" s="1"/>
  <c r="Y117" i="1"/>
  <c r="Y119" i="1"/>
  <c r="Y121" i="1"/>
  <c r="F5" i="1"/>
  <c r="E5" i="1"/>
  <c r="Y71" i="1"/>
  <c r="V71" i="1" s="1"/>
  <c r="Y73" i="1"/>
  <c r="Y75" i="1"/>
  <c r="V75" i="1" s="1"/>
  <c r="Y77" i="1"/>
  <c r="Y103" i="1"/>
  <c r="Y105" i="1"/>
  <c r="V105" i="1" s="1"/>
  <c r="Y107" i="1"/>
  <c r="V107" i="1" s="1"/>
  <c r="T123" i="1"/>
  <c r="L5" i="1"/>
  <c r="Y11" i="1"/>
  <c r="V11" i="1" s="1"/>
  <c r="Y13" i="1"/>
  <c r="V13" i="1" s="1"/>
  <c r="AK13" i="1" s="1"/>
  <c r="Y15" i="1"/>
  <c r="V15" i="1" s="1"/>
  <c r="Y87" i="1"/>
  <c r="Y93" i="1"/>
  <c r="Y8" i="1"/>
  <c r="V8" i="1" s="1"/>
  <c r="Y10" i="1"/>
  <c r="Y17" i="1"/>
  <c r="Y19" i="1"/>
  <c r="V19" i="1" s="1"/>
  <c r="Y21" i="1"/>
  <c r="V21" i="1" s="1"/>
  <c r="AK21" i="1" s="1"/>
  <c r="Y23" i="1"/>
  <c r="Y25" i="1"/>
  <c r="Y28" i="1"/>
  <c r="Y30" i="1"/>
  <c r="Y32" i="1"/>
  <c r="V32" i="1" s="1"/>
  <c r="Y34" i="1"/>
  <c r="V34" i="1" s="1"/>
  <c r="Y36" i="1"/>
  <c r="Y38" i="1"/>
  <c r="Y41" i="1"/>
  <c r="V41" i="1" s="1"/>
  <c r="Y43" i="1"/>
  <c r="Y44" i="1"/>
  <c r="Y46" i="1"/>
  <c r="Y48" i="1"/>
  <c r="Y50" i="1"/>
  <c r="Y52" i="1"/>
  <c r="Y54" i="1"/>
  <c r="V54" i="1" s="1"/>
  <c r="Y56" i="1"/>
  <c r="V56" i="1" s="1"/>
  <c r="Y58" i="1"/>
  <c r="Y60" i="1"/>
  <c r="V60" i="1" s="1"/>
  <c r="Y62" i="1"/>
  <c r="V62" i="1" s="1"/>
  <c r="Y64" i="1"/>
  <c r="V64" i="1" s="1"/>
  <c r="Y66" i="1"/>
  <c r="Y68" i="1"/>
  <c r="V68" i="1" s="1"/>
  <c r="Y70" i="1"/>
  <c r="Y78" i="1"/>
  <c r="Y80" i="1"/>
  <c r="V80" i="1" s="1"/>
  <c r="Y82" i="1"/>
  <c r="Y88" i="1"/>
  <c r="Y90" i="1"/>
  <c r="Y94" i="1"/>
  <c r="Y96" i="1"/>
  <c r="Y100" i="1"/>
  <c r="Y125" i="1"/>
  <c r="V125" i="1" s="1"/>
  <c r="Y127" i="1"/>
  <c r="Y129" i="1"/>
  <c r="X62" i="1" l="1"/>
  <c r="AK62" i="1"/>
  <c r="X79" i="1"/>
  <c r="AK79" i="1"/>
  <c r="AK88" i="1"/>
  <c r="X88" i="1"/>
  <c r="AK115" i="1"/>
  <c r="X115" i="1"/>
  <c r="AK64" i="1"/>
  <c r="X64" i="1"/>
  <c r="AK56" i="1"/>
  <c r="X56" i="1"/>
  <c r="X41" i="1"/>
  <c r="AK41" i="1"/>
  <c r="AK11" i="1"/>
  <c r="X11" i="1"/>
  <c r="AK105" i="1"/>
  <c r="X105" i="1"/>
  <c r="AK63" i="1"/>
  <c r="X63" i="1"/>
  <c r="X27" i="1"/>
  <c r="AK27" i="1"/>
  <c r="AK122" i="1"/>
  <c r="X122" i="1"/>
  <c r="AK67" i="1"/>
  <c r="X67" i="1"/>
  <c r="AK110" i="1"/>
  <c r="X110" i="1"/>
  <c r="AK69" i="1"/>
  <c r="X69" i="1"/>
  <c r="T5" i="1"/>
  <c r="X124" i="1"/>
  <c r="X49" i="1"/>
  <c r="X21" i="1"/>
  <c r="X20" i="1"/>
  <c r="AK40" i="1"/>
  <c r="X33" i="1"/>
  <c r="X13" i="1"/>
  <c r="X12" i="1"/>
  <c r="X72" i="1"/>
  <c r="AK125" i="1"/>
  <c r="X125" i="1"/>
  <c r="AK103" i="1"/>
  <c r="X103" i="1"/>
  <c r="AK75" i="1"/>
  <c r="X75" i="1"/>
  <c r="X68" i="1"/>
  <c r="AK68" i="1"/>
  <c r="AK59" i="1"/>
  <c r="X59" i="1"/>
  <c r="AK57" i="1"/>
  <c r="X57" i="1"/>
  <c r="AK42" i="1"/>
  <c r="X42" i="1"/>
  <c r="AK14" i="1"/>
  <c r="X14" i="1"/>
  <c r="X112" i="1"/>
  <c r="AK112" i="1"/>
  <c r="AK34" i="1"/>
  <c r="X34" i="1"/>
  <c r="AK74" i="1"/>
  <c r="X74" i="1"/>
  <c r="X32" i="1"/>
  <c r="AK32" i="1"/>
  <c r="AK15" i="1"/>
  <c r="X15" i="1"/>
  <c r="AK107" i="1"/>
  <c r="X107" i="1"/>
  <c r="AK80" i="1"/>
  <c r="X80" i="1"/>
  <c r="AK71" i="1"/>
  <c r="X71" i="1"/>
  <c r="AK39" i="1"/>
  <c r="X39" i="1"/>
  <c r="AK9" i="1"/>
  <c r="X9" i="1"/>
  <c r="X126" i="1"/>
  <c r="AK126" i="1"/>
  <c r="AK120" i="1"/>
  <c r="X120" i="1"/>
  <c r="X76" i="1"/>
  <c r="AK76" i="1"/>
  <c r="X60" i="1"/>
  <c r="AK60" i="1"/>
  <c r="X8" i="1"/>
  <c r="AK8" i="1"/>
  <c r="AK54" i="1"/>
  <c r="X54" i="1"/>
  <c r="AK19" i="1"/>
  <c r="X19" i="1"/>
  <c r="Y123" i="1"/>
  <c r="V123" i="1" s="1"/>
  <c r="AK123" i="1" l="1"/>
  <c r="X123" i="1"/>
  <c r="V5" i="1"/>
  <c r="X40" i="1"/>
  <c r="AK5" i="1"/>
  <c r="U5" i="1"/>
</calcChain>
</file>

<file path=xl/sharedStrings.xml><?xml version="1.0" encoding="utf-8"?>
<sst xmlns="http://schemas.openxmlformats.org/spreadsheetml/2006/main" count="478" uniqueCount="186">
  <si>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</si>
  <si>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</si>
  <si>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</si>
  <si>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</si>
  <si>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</si>
  <si>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</si>
  <si>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</si>
  <si>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</si>
  <si>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</si>
  <si>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</si>
  <si>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</si>
  <si>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</si>
  <si>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</si>
  <si>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</si>
  <si>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</si>
  <si>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</si>
  <si>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</si>
  <si>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</si>
  <si>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</si>
  <si>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</si>
  <si>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</si>
  <si>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</si>
  <si>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01,09,</t>
  </si>
  <si>
    <t>01,09,предзаказ</t>
  </si>
  <si>
    <t>01,09,доз1</t>
  </si>
  <si>
    <t>01,09,доз2</t>
  </si>
  <si>
    <t>03,08,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</si>
  <si>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</si>
  <si>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</si>
  <si>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</si>
  <si>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</si>
  <si>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</si>
  <si>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</si>
  <si>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</si>
  <si>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</si>
  <si>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</si>
  <si>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</si>
  <si>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</si>
  <si>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 xml:space="preserve"> 005  Колбаса Докторская ГОСТ, Вязанка вектор,ВЕС. ПОКОМ</t>
  </si>
  <si>
    <t>кг</t>
  </si>
  <si>
    <t>матрица</t>
  </si>
  <si>
    <t xml:space="preserve"> 008  Колбаса Домашняя, Вязанка фиброуз в/у ПОКОМ</t>
  </si>
  <si>
    <t>не в матрице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</si>
  <si>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</si>
  <si>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</si>
  <si>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</si>
  <si>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</si>
  <si>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</si>
  <si>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</si>
  <si>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</si>
  <si>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</si>
  <si>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</si>
  <si>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</si>
  <si>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</si>
  <si>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</si>
  <si>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</si>
  <si>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</si>
  <si>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</si>
  <si>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</si>
  <si>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</si>
  <si>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</si>
  <si>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</si>
  <si>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</si>
  <si>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</si>
  <si>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</si>
  <si>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</si>
  <si>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</si>
  <si>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</si>
  <si>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</si>
  <si>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</si>
  <si>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</si>
  <si>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</si>
  <si>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</si>
  <si>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</si>
  <si>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</si>
  <si>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</si>
  <si>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</si>
  <si>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</si>
  <si>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</si>
  <si>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</si>
  <si>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40кг под задачи ТК (31,07,26)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</si>
  <si>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</si>
  <si>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</si>
  <si>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</si>
  <si>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</si>
  <si>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</si>
  <si>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</si>
  <si>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</si>
  <si>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</si>
  <si>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</si>
  <si>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</si>
  <si>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</si>
  <si>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</si>
  <si>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</si>
  <si>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</si>
  <si>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</si>
  <si>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</si>
  <si>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</si>
  <si>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</si>
  <si>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</si>
  <si>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</si>
  <si>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</si>
  <si>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</si>
  <si>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</si>
  <si>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</si>
  <si>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</si>
  <si>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</si>
  <si>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</si>
  <si>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</si>
  <si>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</si>
  <si>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</si>
  <si>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</si>
  <si>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</si>
  <si>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</si>
  <si>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</si>
  <si>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</si>
  <si>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</si>
  <si>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</si>
  <si>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</si>
  <si>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</si>
  <si>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</si>
  <si>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</si>
  <si>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</si>
  <si>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</si>
  <si>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</si>
  <si>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</si>
  <si>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</si>
  <si>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</si>
  <si>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</si>
  <si>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</si>
  <si>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</si>
  <si>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</si>
  <si>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</si>
  <si>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</si>
  <si>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</si>
  <si>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</si>
  <si>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</si>
  <si>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</si>
  <si>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</si>
  <si>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</si>
  <si>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</si>
  <si>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</si>
  <si>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нужно увеличить продажи!!!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</si>
  <si>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</si>
  <si>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</si>
  <si>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</si>
  <si>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</si>
  <si>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</si>
  <si>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</si>
  <si>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</si>
  <si>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</si>
  <si>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</si>
  <si>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</si>
  <si>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</si>
  <si>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</si>
  <si>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</si>
  <si>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</si>
  <si>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</si>
  <si>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</si>
  <si>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</si>
  <si>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</si>
  <si>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</si>
  <si>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</si>
  <si>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</si>
  <si>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</si>
  <si>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</si>
  <si>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</si>
  <si>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</si>
  <si>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</si>
  <si>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</si>
  <si>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</si>
  <si>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</si>
  <si>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</si>
  <si>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</si>
  <si>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</si>
  <si>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ДУБЛЬ 285  Паштет печеночный со слив.маслом ТМ Стародворье ламистер 0,1 кг  ПОКОМ</t>
  </si>
  <si>
    <t>дубль</t>
  </si>
  <si>
    <t>сети</t>
  </si>
  <si>
    <t>Молоко</t>
  </si>
  <si>
    <t>80шт сеть Молоко (07,08,26)</t>
  </si>
  <si>
    <t>70шт сеть Молоко (07,08,26)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</si>
  <si>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70шт сеть Молоко (07,08,26)</t>
    </r>
  </si>
  <si>
    <t>новинка / 500шт Боярко (07,08,26)</t>
  </si>
  <si>
    <t>заказ</t>
  </si>
  <si>
    <t>11,07,</t>
  </si>
  <si>
    <t>на 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</si>
</sst>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5" fillId="7" borderId="1" xfId="1" applyNumberFormat="1" applyFont="1" applyFill="1"/>
    <xf numFmtId="164" fontId="6" fillId="0" borderId="1" xfId="1" applyNumberFormat="1" applyFont="1"/>
    <xf numFmtId="164" fontId="1" fillId="5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4,08,26%20&#1073;&#1088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2">
          <cell r="O2">
            <v>2176</v>
          </cell>
          <cell r="P2">
            <v>3102</v>
          </cell>
          <cell r="S2">
            <v>3686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  <cell r="V3" t="str">
            <v>заказ</v>
          </cell>
          <cell r="W3" t="str">
            <v>ТК</v>
          </cell>
        </row>
        <row r="4">
          <cell r="O4" t="str">
            <v>01,09,</v>
          </cell>
          <cell r="P4" t="str">
            <v>01,09,предзаказ</v>
          </cell>
          <cell r="Q4" t="str">
            <v>01,09,доз1</v>
          </cell>
          <cell r="R4" t="str">
            <v>01,09,доз2</v>
          </cell>
          <cell r="S4" t="str">
            <v>03,08,</v>
          </cell>
          <cell r="T4" t="str">
            <v>04,08,</v>
          </cell>
          <cell r="V4" t="str">
            <v>не заказываем</v>
          </cell>
          <cell r="W4" t="str">
            <v>Рекуто</v>
          </cell>
        </row>
        <row r="5">
          <cell r="E5">
            <v>19505.938999999998</v>
          </cell>
          <cell r="F5">
            <v>35984.45199999999</v>
          </cell>
          <cell r="K5">
            <v>21450.977000000003</v>
          </cell>
          <cell r="L5">
            <v>-1945.0379999999998</v>
          </cell>
          <cell r="M5">
            <v>18728.926000000003</v>
          </cell>
          <cell r="N5">
            <v>777.01299999999992</v>
          </cell>
          <cell r="O5">
            <v>3740.6250360000004</v>
          </cell>
          <cell r="P5">
            <v>3380</v>
          </cell>
          <cell r="Q5">
            <v>1354.53854</v>
          </cell>
          <cell r="R5">
            <v>2000</v>
          </cell>
          <cell r="S5">
            <v>6116.2950539999974</v>
          </cell>
          <cell r="T5">
            <v>3745.7852000000003</v>
          </cell>
          <cell r="U5">
            <v>3331.2352000000001</v>
          </cell>
          <cell r="V5">
            <v>4061.2352000000001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234.036</v>
          </cell>
          <cell r="D6">
            <v>343.37400000000002</v>
          </cell>
          <cell r="E6">
            <v>144.44499999999999</v>
          </cell>
          <cell r="F6">
            <v>414.31599999999997</v>
          </cell>
          <cell r="G6">
            <v>1</v>
          </cell>
          <cell r="H6">
            <v>50</v>
          </cell>
          <cell r="I6" t="str">
            <v>матрица</v>
          </cell>
          <cell r="K6">
            <v>167.86699999999999</v>
          </cell>
          <cell r="L6">
            <v>-23.421999999999997</v>
          </cell>
          <cell r="M6">
            <v>133.578</v>
          </cell>
          <cell r="N6">
            <v>10.867000000000001</v>
          </cell>
          <cell r="O6">
            <v>130.34397200000009</v>
          </cell>
          <cell r="S6">
            <v>10</v>
          </cell>
          <cell r="T6">
            <v>26.715600000000002</v>
          </cell>
          <cell r="V6">
            <v>0</v>
          </cell>
        </row>
        <row r="7">
          <cell r="A7" t="str">
            <v xml:space="preserve"> 008  Колбаса Домашняя, Вязанка фиброуз в/у ПОКОМ</v>
          </cell>
          <cell r="B7" t="str">
            <v>кг</v>
          </cell>
          <cell r="D7">
            <v>8</v>
          </cell>
          <cell r="F7">
            <v>8</v>
          </cell>
          <cell r="G7">
            <v>0</v>
          </cell>
          <cell r="I7" t="str">
            <v>не в матрице</v>
          </cell>
          <cell r="L7">
            <v>0</v>
          </cell>
          <cell r="M7">
            <v>0</v>
          </cell>
          <cell r="S7">
            <v>0</v>
          </cell>
          <cell r="T7">
            <v>0</v>
          </cell>
          <cell r="V7">
            <v>0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929.81100000000004</v>
          </cell>
          <cell r="D8">
            <v>16.254000000000001</v>
          </cell>
          <cell r="E8">
            <v>315.351</v>
          </cell>
          <cell r="F8">
            <v>615.58199999999999</v>
          </cell>
          <cell r="G8">
            <v>1</v>
          </cell>
          <cell r="H8">
            <v>45</v>
          </cell>
          <cell r="I8" t="str">
            <v>матрица</v>
          </cell>
          <cell r="K8">
            <v>316.923</v>
          </cell>
          <cell r="L8">
            <v>-1.5720000000000027</v>
          </cell>
          <cell r="M8">
            <v>315.351</v>
          </cell>
          <cell r="O8">
            <v>0</v>
          </cell>
          <cell r="S8">
            <v>0</v>
          </cell>
          <cell r="T8">
            <v>63.0702</v>
          </cell>
          <cell r="U8">
            <v>78.190200000000004</v>
          </cell>
          <cell r="V8">
            <v>78.190200000000004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597.322</v>
          </cell>
          <cell r="D9">
            <v>131.81</v>
          </cell>
          <cell r="E9">
            <v>365.86</v>
          </cell>
          <cell r="F9">
            <v>345.25700000000001</v>
          </cell>
          <cell r="G9">
            <v>1</v>
          </cell>
          <cell r="H9">
            <v>45</v>
          </cell>
          <cell r="I9" t="str">
            <v>матрица</v>
          </cell>
          <cell r="K9">
            <v>361.87299999999999</v>
          </cell>
          <cell r="L9">
            <v>3.9870000000000232</v>
          </cell>
          <cell r="M9">
            <v>365.86</v>
          </cell>
          <cell r="O9">
            <v>0</v>
          </cell>
          <cell r="P9">
            <v>400</v>
          </cell>
          <cell r="S9">
            <v>0</v>
          </cell>
          <cell r="T9">
            <v>73.171999999999997</v>
          </cell>
          <cell r="U9">
            <v>59.634999999999934</v>
          </cell>
          <cell r="V9">
            <v>59.634999999999934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G10">
            <v>0</v>
          </cell>
          <cell r="I10" t="str">
            <v>матрица</v>
          </cell>
          <cell r="L10">
            <v>0</v>
          </cell>
          <cell r="M10">
            <v>0</v>
          </cell>
          <cell r="O10">
            <v>0</v>
          </cell>
          <cell r="S10">
            <v>0</v>
          </cell>
          <cell r="T10">
            <v>0</v>
          </cell>
          <cell r="V10">
            <v>0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341</v>
          </cell>
          <cell r="D11">
            <v>1236</v>
          </cell>
          <cell r="E11">
            <v>463</v>
          </cell>
          <cell r="F11">
            <v>1072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485</v>
          </cell>
          <cell r="L11">
            <v>-22</v>
          </cell>
          <cell r="M11">
            <v>463</v>
          </cell>
          <cell r="O11">
            <v>0</v>
          </cell>
          <cell r="S11">
            <v>305.61200000000002</v>
          </cell>
          <cell r="T11">
            <v>92.6</v>
          </cell>
          <cell r="V11">
            <v>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845</v>
          </cell>
          <cell r="D12">
            <v>220</v>
          </cell>
          <cell r="E12">
            <v>682</v>
          </cell>
          <cell r="F12">
            <v>342</v>
          </cell>
          <cell r="G12">
            <v>0.45</v>
          </cell>
          <cell r="H12">
            <v>45</v>
          </cell>
          <cell r="I12" t="str">
            <v>матрица</v>
          </cell>
          <cell r="K12">
            <v>700</v>
          </cell>
          <cell r="L12">
            <v>-18</v>
          </cell>
          <cell r="M12">
            <v>682</v>
          </cell>
          <cell r="O12">
            <v>300</v>
          </cell>
          <cell r="S12">
            <v>1049.2</v>
          </cell>
          <cell r="T12">
            <v>136.4</v>
          </cell>
          <cell r="V12">
            <v>0</v>
          </cell>
        </row>
        <row r="13">
          <cell r="A13" t="str">
            <v xml:space="preserve"> 047  Кол Баварская, белков.обол. в термоусад. пакете 0.17 кг, ТМ Стародворье  ПОКОМ</v>
          </cell>
          <cell r="B13" t="str">
            <v>шт</v>
          </cell>
          <cell r="C13">
            <v>237</v>
          </cell>
          <cell r="D13">
            <v>1</v>
          </cell>
          <cell r="E13">
            <v>75</v>
          </cell>
          <cell r="F13">
            <v>167</v>
          </cell>
          <cell r="G13">
            <v>0.17</v>
          </cell>
          <cell r="H13">
            <v>180</v>
          </cell>
          <cell r="I13" t="str">
            <v>матрица</v>
          </cell>
          <cell r="K13">
            <v>77</v>
          </cell>
          <cell r="L13">
            <v>-2</v>
          </cell>
          <cell r="M13">
            <v>75</v>
          </cell>
          <cell r="O13">
            <v>0</v>
          </cell>
          <cell r="S13">
            <v>0</v>
          </cell>
          <cell r="T13">
            <v>15</v>
          </cell>
          <cell r="V13">
            <v>0</v>
          </cell>
        </row>
        <row r="14">
          <cell r="A14" t="str">
            <v xml:space="preserve"> 062  Колбаса Кракушка пряная с сальцем, 0.3кг в/у п/к, БАВАРУШКА ПОКОМ</v>
          </cell>
          <cell r="B14" t="str">
            <v>шт</v>
          </cell>
          <cell r="C14">
            <v>195</v>
          </cell>
          <cell r="D14">
            <v>42</v>
          </cell>
          <cell r="E14">
            <v>99</v>
          </cell>
          <cell r="F14">
            <v>140</v>
          </cell>
          <cell r="G14">
            <v>0.3</v>
          </cell>
          <cell r="H14">
            <v>40</v>
          </cell>
          <cell r="I14" t="str">
            <v>матрица</v>
          </cell>
          <cell r="K14">
            <v>95</v>
          </cell>
          <cell r="L14">
            <v>4</v>
          </cell>
          <cell r="M14">
            <v>99</v>
          </cell>
          <cell r="O14">
            <v>21</v>
          </cell>
          <cell r="S14">
            <v>73.200000000000045</v>
          </cell>
          <cell r="T14">
            <v>19.8</v>
          </cell>
          <cell r="V14">
            <v>0</v>
          </cell>
        </row>
        <row r="15">
          <cell r="A15" t="str">
            <v xml:space="preserve"> 083  Колбаса Швейцарская 0,17 кг., ШТ., сырокопченая   ПОКОМ</v>
          </cell>
          <cell r="B15" t="str">
            <v>шт</v>
          </cell>
          <cell r="C15">
            <v>249</v>
          </cell>
          <cell r="D15">
            <v>61</v>
          </cell>
          <cell r="E15">
            <v>91</v>
          </cell>
          <cell r="F15">
            <v>223</v>
          </cell>
          <cell r="G15">
            <v>0.17</v>
          </cell>
          <cell r="H15">
            <v>180</v>
          </cell>
          <cell r="I15" t="str">
            <v>матрица</v>
          </cell>
          <cell r="K15">
            <v>93</v>
          </cell>
          <cell r="L15">
            <v>-2</v>
          </cell>
          <cell r="M15">
            <v>91</v>
          </cell>
          <cell r="O15">
            <v>27.6</v>
          </cell>
          <cell r="S15">
            <v>0</v>
          </cell>
          <cell r="T15">
            <v>18.2</v>
          </cell>
          <cell r="V15">
            <v>0</v>
          </cell>
        </row>
        <row r="16">
          <cell r="A16" t="str">
            <v xml:space="preserve"> 200  Ветчина Дугушка ТМ Стародворье, вектор в/у    ПОКОМ</v>
          </cell>
          <cell r="B16" t="str">
            <v>кг</v>
          </cell>
          <cell r="C16">
            <v>377.63099999999997</v>
          </cell>
          <cell r="D16">
            <v>775.96500000000003</v>
          </cell>
          <cell r="E16">
            <v>375.05200000000002</v>
          </cell>
          <cell r="F16">
            <v>784.63699999999994</v>
          </cell>
          <cell r="G16">
            <v>1</v>
          </cell>
          <cell r="H16">
            <v>70</v>
          </cell>
          <cell r="I16" t="str">
            <v>матрица</v>
          </cell>
          <cell r="K16">
            <v>348.4</v>
          </cell>
          <cell r="L16">
            <v>26.652000000000044</v>
          </cell>
          <cell r="M16">
            <v>375.05200000000002</v>
          </cell>
          <cell r="O16">
            <v>300</v>
          </cell>
          <cell r="S16">
            <v>69.015561999999932</v>
          </cell>
          <cell r="T16">
            <v>75.010400000000004</v>
          </cell>
          <cell r="V16">
            <v>0</v>
          </cell>
        </row>
        <row r="17">
          <cell r="A17" t="str">
            <v xml:space="preserve"> 201  Ветчина Нежная ТМ Особый рецепт, (2,5кг), ПОКОМ</v>
          </cell>
          <cell r="B17" t="str">
            <v>кг</v>
          </cell>
          <cell r="C17">
            <v>1290.9670000000001</v>
          </cell>
          <cell r="D17">
            <v>4792.41</v>
          </cell>
          <cell r="E17">
            <v>1852.211</v>
          </cell>
          <cell r="F17">
            <v>3998.4459999999999</v>
          </cell>
          <cell r="G17">
            <v>1</v>
          </cell>
          <cell r="H17">
            <v>50</v>
          </cell>
          <cell r="I17" t="str">
            <v>матрица</v>
          </cell>
          <cell r="K17">
            <v>1891.625</v>
          </cell>
          <cell r="L17">
            <v>-39.413999999999987</v>
          </cell>
          <cell r="M17">
            <v>1852.211</v>
          </cell>
          <cell r="O17">
            <v>0</v>
          </cell>
          <cell r="P17">
            <v>2500</v>
          </cell>
          <cell r="S17">
            <v>0</v>
          </cell>
          <cell r="T17">
            <v>370.44220000000001</v>
          </cell>
          <cell r="V17">
            <v>0</v>
          </cell>
        </row>
        <row r="18">
          <cell r="A18" t="str">
            <v xml:space="preserve"> 215  Колбаса Докторская ГОСТ Дугушка, ВЕС, ТМ Стародворье ПОКОМ</v>
          </cell>
          <cell r="B18" t="str">
            <v>кг</v>
          </cell>
          <cell r="C18">
            <v>129.65</v>
          </cell>
          <cell r="E18">
            <v>56.866</v>
          </cell>
          <cell r="F18">
            <v>69.322000000000003</v>
          </cell>
          <cell r="G18">
            <v>1</v>
          </cell>
          <cell r="H18">
            <v>60</v>
          </cell>
          <cell r="I18" t="str">
            <v>матрица</v>
          </cell>
          <cell r="K18">
            <v>55.5</v>
          </cell>
          <cell r="L18">
            <v>1.3659999999999997</v>
          </cell>
          <cell r="M18">
            <v>56.866</v>
          </cell>
          <cell r="O18">
            <v>81.982000000000028</v>
          </cell>
          <cell r="S18">
            <v>86.847799999999964</v>
          </cell>
          <cell r="T18">
            <v>11.373200000000001</v>
          </cell>
          <cell r="V18">
            <v>0</v>
          </cell>
        </row>
        <row r="19">
          <cell r="A19" t="str">
            <v xml:space="preserve"> 225  Колбаса Дугушка со шпиком, ВЕС, ТМ Стародворье   ПОКОМ</v>
          </cell>
          <cell r="B19" t="str">
            <v>кг</v>
          </cell>
          <cell r="C19">
            <v>48.125</v>
          </cell>
          <cell r="D19">
            <v>0.86699999999999999</v>
          </cell>
          <cell r="E19">
            <v>23.853999999999999</v>
          </cell>
          <cell r="F19">
            <v>20.791</v>
          </cell>
          <cell r="G19">
            <v>1</v>
          </cell>
          <cell r="H19">
            <v>60</v>
          </cell>
          <cell r="I19" t="str">
            <v>матрица</v>
          </cell>
          <cell r="K19">
            <v>24.9</v>
          </cell>
          <cell r="L19">
            <v>-1.0459999999999994</v>
          </cell>
          <cell r="M19">
            <v>23.853999999999999</v>
          </cell>
          <cell r="O19">
            <v>26.3902</v>
          </cell>
          <cell r="S19">
            <v>16.652200000000001</v>
          </cell>
          <cell r="T19">
            <v>4.7707999999999995</v>
          </cell>
          <cell r="V19">
            <v>0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B20" t="str">
            <v>кг</v>
          </cell>
          <cell r="C20">
            <v>52.936999999999998</v>
          </cell>
          <cell r="D20">
            <v>0.34</v>
          </cell>
          <cell r="E20">
            <v>10.422000000000001</v>
          </cell>
          <cell r="F20">
            <v>42.515000000000001</v>
          </cell>
          <cell r="G20">
            <v>1</v>
          </cell>
          <cell r="H20">
            <v>180</v>
          </cell>
          <cell r="I20" t="str">
            <v>матрица</v>
          </cell>
          <cell r="K20">
            <v>10.51</v>
          </cell>
          <cell r="L20">
            <v>-8.799999999999919E-2</v>
          </cell>
          <cell r="M20">
            <v>10.422000000000001</v>
          </cell>
          <cell r="O20">
            <v>0</v>
          </cell>
          <cell r="S20">
            <v>0</v>
          </cell>
          <cell r="T20">
            <v>2.0844</v>
          </cell>
          <cell r="V20">
            <v>0</v>
          </cell>
        </row>
        <row r="21">
          <cell r="A21" t="str">
            <v xml:space="preserve"> 229  Колбаса Молочная Дугушка, в/у, ВЕС, ТМ Стародворье   ПОКОМ</v>
          </cell>
          <cell r="B21" t="str">
            <v>кг</v>
          </cell>
          <cell r="C21">
            <v>401.46</v>
          </cell>
          <cell r="D21">
            <v>561.03399999999999</v>
          </cell>
          <cell r="E21">
            <v>302.41899999999998</v>
          </cell>
          <cell r="F21">
            <v>647.75699999999995</v>
          </cell>
          <cell r="G21">
            <v>1</v>
          </cell>
          <cell r="H21">
            <v>60</v>
          </cell>
          <cell r="I21" t="str">
            <v>матрица</v>
          </cell>
          <cell r="K21">
            <v>287.64</v>
          </cell>
          <cell r="L21">
            <v>14.778999999999996</v>
          </cell>
          <cell r="M21">
            <v>297.17899999999997</v>
          </cell>
          <cell r="N21">
            <v>5.24</v>
          </cell>
          <cell r="O21">
            <v>0</v>
          </cell>
          <cell r="S21">
            <v>167.11847200000011</v>
          </cell>
          <cell r="T21">
            <v>59.435799999999993</v>
          </cell>
          <cell r="V21">
            <v>0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B22" t="str">
            <v>кг</v>
          </cell>
          <cell r="C22">
            <v>141.78100000000001</v>
          </cell>
          <cell r="D22">
            <v>53.472999999999999</v>
          </cell>
          <cell r="E22">
            <v>74.528000000000006</v>
          </cell>
          <cell r="F22">
            <v>118.961</v>
          </cell>
          <cell r="G22">
            <v>1</v>
          </cell>
          <cell r="H22">
            <v>70</v>
          </cell>
          <cell r="I22" t="str">
            <v>матрица</v>
          </cell>
          <cell r="K22">
            <v>72</v>
          </cell>
          <cell r="L22">
            <v>2.5280000000000058</v>
          </cell>
          <cell r="M22">
            <v>74.528000000000006</v>
          </cell>
          <cell r="O22">
            <v>0</v>
          </cell>
          <cell r="S22">
            <v>111.71680000000001</v>
          </cell>
          <cell r="T22">
            <v>14.905600000000002</v>
          </cell>
          <cell r="V22">
            <v>0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B23" t="str">
            <v>кг</v>
          </cell>
          <cell r="C23">
            <v>237.459</v>
          </cell>
          <cell r="D23">
            <v>135.66</v>
          </cell>
          <cell r="E23">
            <v>130.73099999999999</v>
          </cell>
          <cell r="F23">
            <v>248.73599999999999</v>
          </cell>
          <cell r="G23">
            <v>1</v>
          </cell>
          <cell r="H23">
            <v>70</v>
          </cell>
          <cell r="I23" t="str">
            <v>матрица</v>
          </cell>
          <cell r="K23">
            <v>117.6</v>
          </cell>
          <cell r="L23">
            <v>13.131</v>
          </cell>
          <cell r="M23">
            <v>130.73099999999999</v>
          </cell>
          <cell r="O23">
            <v>33.106000000000002</v>
          </cell>
          <cell r="S23">
            <v>99.88039999999998</v>
          </cell>
          <cell r="T23">
            <v>26.1462</v>
          </cell>
          <cell r="V23">
            <v>0</v>
          </cell>
        </row>
        <row r="24">
          <cell r="A24" t="str">
            <v xml:space="preserve"> 240  Колбаса Салями охотничья, ВЕС. ПОКОМ</v>
          </cell>
          <cell r="B24" t="str">
            <v>кг</v>
          </cell>
          <cell r="C24">
            <v>8.4090000000000007</v>
          </cell>
          <cell r="D24">
            <v>49.417999999999999</v>
          </cell>
          <cell r="E24">
            <v>8.6419999999999995</v>
          </cell>
          <cell r="F24">
            <v>48.835999999999999</v>
          </cell>
          <cell r="G24">
            <v>1</v>
          </cell>
          <cell r="H24">
            <v>180</v>
          </cell>
          <cell r="I24" t="str">
            <v>матрица</v>
          </cell>
          <cell r="K24">
            <v>8.86</v>
          </cell>
          <cell r="L24">
            <v>-0.21799999999999997</v>
          </cell>
          <cell r="M24">
            <v>8.6419999999999995</v>
          </cell>
          <cell r="O24">
            <v>0</v>
          </cell>
          <cell r="S24">
            <v>0</v>
          </cell>
          <cell r="T24">
            <v>1.7283999999999999</v>
          </cell>
          <cell r="V24">
            <v>0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B25" t="str">
            <v>кг</v>
          </cell>
          <cell r="C25">
            <v>512.79200000000003</v>
          </cell>
          <cell r="D25">
            <v>9.09</v>
          </cell>
          <cell r="E25">
            <v>176.22900000000001</v>
          </cell>
          <cell r="F25">
            <v>340.40199999999999</v>
          </cell>
          <cell r="G25">
            <v>1</v>
          </cell>
          <cell r="H25">
            <v>70</v>
          </cell>
          <cell r="I25" t="str">
            <v>матрица</v>
          </cell>
          <cell r="K25">
            <v>163.27000000000001</v>
          </cell>
          <cell r="L25">
            <v>12.959000000000003</v>
          </cell>
          <cell r="M25">
            <v>176.22900000000001</v>
          </cell>
          <cell r="O25">
            <v>0</v>
          </cell>
          <cell r="S25">
            <v>182.9682</v>
          </cell>
          <cell r="T25">
            <v>35.245800000000003</v>
          </cell>
          <cell r="V25">
            <v>0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G26">
            <v>0</v>
          </cell>
          <cell r="I26" t="str">
            <v>матрица</v>
          </cell>
          <cell r="L26">
            <v>0</v>
          </cell>
          <cell r="M26">
            <v>0</v>
          </cell>
          <cell r="O26">
            <v>0</v>
          </cell>
          <cell r="S26">
            <v>0</v>
          </cell>
          <cell r="T26">
            <v>0</v>
          </cell>
          <cell r="V26">
            <v>0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D27">
            <v>159.602</v>
          </cell>
          <cell r="E27">
            <v>118.663</v>
          </cell>
          <cell r="F27">
            <v>38.162999999999997</v>
          </cell>
          <cell r="G27">
            <v>1</v>
          </cell>
          <cell r="I27" t="str">
            <v>матрица</v>
          </cell>
          <cell r="K27">
            <v>149.69999999999999</v>
          </cell>
          <cell r="L27">
            <v>-31.036999999999992</v>
          </cell>
          <cell r="M27">
            <v>118.663</v>
          </cell>
          <cell r="O27">
            <v>0</v>
          </cell>
          <cell r="S27">
            <v>0</v>
          </cell>
          <cell r="T27">
            <v>23.732599999999998</v>
          </cell>
          <cell r="U27">
            <v>151.69779999999997</v>
          </cell>
          <cell r="V27">
            <v>151.69779999999997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C28">
            <v>162.94999999999999</v>
          </cell>
          <cell r="D28">
            <v>64.62</v>
          </cell>
          <cell r="E28">
            <v>188.45699999999999</v>
          </cell>
          <cell r="F28">
            <v>-22.327000000000002</v>
          </cell>
          <cell r="G28">
            <v>1</v>
          </cell>
          <cell r="H28">
            <v>40</v>
          </cell>
          <cell r="I28" t="str">
            <v>НЕДОГРУЗ / матрица</v>
          </cell>
          <cell r="K28">
            <v>199.29400000000001</v>
          </cell>
          <cell r="L28">
            <v>-10.837000000000018</v>
          </cell>
          <cell r="M28">
            <v>188.45699999999999</v>
          </cell>
          <cell r="O28">
            <v>0</v>
          </cell>
          <cell r="S28">
            <v>0</v>
          </cell>
          <cell r="T28">
            <v>37.691400000000002</v>
          </cell>
          <cell r="U28">
            <v>100</v>
          </cell>
          <cell r="V28">
            <v>100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C29">
            <v>10.726000000000001</v>
          </cell>
          <cell r="D29">
            <v>73.555000000000007</v>
          </cell>
          <cell r="E29">
            <v>18.068999999999999</v>
          </cell>
          <cell r="F29">
            <v>54.293999999999997</v>
          </cell>
          <cell r="G29">
            <v>1</v>
          </cell>
          <cell r="H29">
            <v>30</v>
          </cell>
          <cell r="I29" t="str">
            <v>НЕДОГРУЗ / матрица</v>
          </cell>
          <cell r="K29">
            <v>137.19999999999999</v>
          </cell>
          <cell r="L29">
            <v>-119.13099999999999</v>
          </cell>
          <cell r="M29">
            <v>18.068999999999999</v>
          </cell>
          <cell r="O29">
            <v>345.96039999999999</v>
          </cell>
          <cell r="S29">
            <v>0</v>
          </cell>
          <cell r="T29">
            <v>3.6137999999999999</v>
          </cell>
          <cell r="V29">
            <v>0</v>
          </cell>
        </row>
        <row r="30">
          <cell r="A30" t="str">
            <v xml:space="preserve"> 255  Сосиски Молочные для завтрака ТМ Особый рецепт, п/а МГС, ВЕС, ТМ Стародворье  ПОКОМ</v>
          </cell>
          <cell r="B30" t="str">
            <v>кг</v>
          </cell>
          <cell r="C30">
            <v>292.79700000000003</v>
          </cell>
          <cell r="D30">
            <v>645.70600000000002</v>
          </cell>
          <cell r="E30">
            <v>543.29399999999998</v>
          </cell>
          <cell r="F30">
            <v>339.52800000000002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791.28300000000002</v>
          </cell>
          <cell r="L30">
            <v>-247.98900000000003</v>
          </cell>
          <cell r="M30">
            <v>499.71100000000001</v>
          </cell>
          <cell r="N30">
            <v>43.582999999999998</v>
          </cell>
          <cell r="O30">
            <v>0</v>
          </cell>
          <cell r="P30">
            <v>0</v>
          </cell>
          <cell r="S30">
            <v>0</v>
          </cell>
          <cell r="T30">
            <v>99.9422</v>
          </cell>
          <cell r="U30">
            <v>400</v>
          </cell>
          <cell r="V30">
            <v>400</v>
          </cell>
        </row>
        <row r="31">
          <cell r="A31" t="str">
            <v xml:space="preserve"> 257  Сосиски Молочные оригинальные ТМ Особый рецепт, ВЕС.   ПОКОМ</v>
          </cell>
          <cell r="B31" t="str">
            <v>кг</v>
          </cell>
          <cell r="C31">
            <v>-0.14000000000000001</v>
          </cell>
          <cell r="D31">
            <v>44.738</v>
          </cell>
          <cell r="F31">
            <v>44.597999999999999</v>
          </cell>
          <cell r="G31">
            <v>1</v>
          </cell>
          <cell r="H31">
            <v>40</v>
          </cell>
          <cell r="I31" t="str">
            <v>матрица</v>
          </cell>
          <cell r="L31">
            <v>0</v>
          </cell>
          <cell r="M31">
            <v>0</v>
          </cell>
          <cell r="O31">
            <v>0</v>
          </cell>
          <cell r="S31">
            <v>0</v>
          </cell>
          <cell r="T31">
            <v>0</v>
          </cell>
          <cell r="V31">
            <v>0</v>
          </cell>
        </row>
        <row r="32">
          <cell r="A32" t="str">
            <v xml:space="preserve"> 263  Шпикачки Стародворские, ВЕС.  ПОКОМ</v>
          </cell>
          <cell r="B32" t="str">
            <v>кг</v>
          </cell>
          <cell r="C32">
            <v>0.26</v>
          </cell>
          <cell r="D32">
            <v>169.732</v>
          </cell>
          <cell r="E32">
            <v>25.169</v>
          </cell>
          <cell r="F32">
            <v>133.26</v>
          </cell>
          <cell r="G32">
            <v>1</v>
          </cell>
          <cell r="H32">
            <v>30</v>
          </cell>
          <cell r="I32" t="str">
            <v>матрица</v>
          </cell>
          <cell r="K32">
            <v>40.1</v>
          </cell>
          <cell r="L32">
            <v>-14.931000000000001</v>
          </cell>
          <cell r="M32">
            <v>25.169</v>
          </cell>
          <cell r="O32">
            <v>32.216800000000013</v>
          </cell>
          <cell r="S32">
            <v>0</v>
          </cell>
          <cell r="T32">
            <v>5.0338000000000003</v>
          </cell>
          <cell r="V32">
            <v>0</v>
          </cell>
        </row>
        <row r="33">
          <cell r="A33" t="str">
            <v xml:space="preserve"> 265  Колбаса Балыкбургская, ВЕС, ТМ Баварушка  ПОКОМ</v>
          </cell>
          <cell r="B33" t="str">
            <v>кг</v>
          </cell>
          <cell r="C33">
            <v>231.399</v>
          </cell>
          <cell r="D33">
            <v>101.864</v>
          </cell>
          <cell r="E33">
            <v>99.067999999999998</v>
          </cell>
          <cell r="F33">
            <v>231.46199999999999</v>
          </cell>
          <cell r="G33">
            <v>1</v>
          </cell>
          <cell r="H33">
            <v>50</v>
          </cell>
          <cell r="I33" t="str">
            <v>матрица</v>
          </cell>
          <cell r="K33">
            <v>97.9</v>
          </cell>
          <cell r="L33">
            <v>1.1679999999999922</v>
          </cell>
          <cell r="M33">
            <v>99.067999999999998</v>
          </cell>
          <cell r="O33">
            <v>0</v>
          </cell>
          <cell r="S33">
            <v>0</v>
          </cell>
          <cell r="T33">
            <v>19.813600000000001</v>
          </cell>
          <cell r="V33">
            <v>0</v>
          </cell>
        </row>
        <row r="34">
          <cell r="A34" t="str">
            <v xml:space="preserve"> 267  Колбаса Салями Филейбургская зернистая, оболочка фиброуз, ВЕС, ТМ Баварушка  ПОКОМ</v>
          </cell>
          <cell r="B34" t="str">
            <v>кг</v>
          </cell>
          <cell r="C34">
            <v>201.34299999999999</v>
          </cell>
          <cell r="E34">
            <v>73.293000000000006</v>
          </cell>
          <cell r="F34">
            <v>128.05000000000001</v>
          </cell>
          <cell r="G34">
            <v>1</v>
          </cell>
          <cell r="H34">
            <v>50</v>
          </cell>
          <cell r="I34" t="str">
            <v>матрица</v>
          </cell>
          <cell r="K34">
            <v>70.8</v>
          </cell>
          <cell r="L34">
            <v>2.4930000000000092</v>
          </cell>
          <cell r="M34">
            <v>73.293000000000006</v>
          </cell>
          <cell r="O34">
            <v>0</v>
          </cell>
          <cell r="S34">
            <v>0</v>
          </cell>
          <cell r="T34">
            <v>14.658600000000002</v>
          </cell>
          <cell r="U34">
            <v>33.194600000000008</v>
          </cell>
          <cell r="V34">
            <v>33.194600000000008</v>
          </cell>
        </row>
        <row r="35">
          <cell r="A35" t="str">
            <v xml:space="preserve"> 273  Сосиски Сочинки с сочной грудинкой, МГС 0.4кг,   ПОКОМ</v>
          </cell>
          <cell r="B35" t="str">
            <v>шт</v>
          </cell>
          <cell r="C35">
            <v>1487</v>
          </cell>
          <cell r="D35">
            <v>2817</v>
          </cell>
          <cell r="E35">
            <v>1394</v>
          </cell>
          <cell r="F35">
            <v>2843</v>
          </cell>
          <cell r="G35">
            <v>0.4</v>
          </cell>
          <cell r="H35">
            <v>45</v>
          </cell>
          <cell r="I35" t="str">
            <v>НЕДОГРУЗ / матрица</v>
          </cell>
          <cell r="K35">
            <v>1493</v>
          </cell>
          <cell r="L35">
            <v>-99</v>
          </cell>
          <cell r="M35">
            <v>1394</v>
          </cell>
          <cell r="O35">
            <v>0</v>
          </cell>
          <cell r="P35">
            <v>0</v>
          </cell>
          <cell r="S35">
            <v>0</v>
          </cell>
          <cell r="T35">
            <v>278.8</v>
          </cell>
          <cell r="U35">
            <v>223.80000000000018</v>
          </cell>
          <cell r="V35">
            <v>223.80000000000018</v>
          </cell>
        </row>
        <row r="36">
          <cell r="A36" t="str">
            <v xml:space="preserve"> 276  Колбаса Сливушка ТМ Вязанка в оболочке полиамид 0,45 кг  ПОКОМ</v>
          </cell>
          <cell r="B36" t="str">
            <v>шт</v>
          </cell>
          <cell r="C36">
            <v>262</v>
          </cell>
          <cell r="D36">
            <v>354</v>
          </cell>
          <cell r="E36">
            <v>344</v>
          </cell>
          <cell r="F36">
            <v>261</v>
          </cell>
          <cell r="G36">
            <v>0.45</v>
          </cell>
          <cell r="H36">
            <v>50</v>
          </cell>
          <cell r="I36" t="str">
            <v>матрица</v>
          </cell>
          <cell r="K36">
            <v>355</v>
          </cell>
          <cell r="L36">
            <v>-11</v>
          </cell>
          <cell r="M36">
            <v>344</v>
          </cell>
          <cell r="O36">
            <v>133.81000000000009</v>
          </cell>
          <cell r="S36">
            <v>667.72399999999971</v>
          </cell>
          <cell r="T36">
            <v>68.8</v>
          </cell>
          <cell r="V36">
            <v>0</v>
          </cell>
        </row>
        <row r="37">
          <cell r="A37" t="str">
            <v xml:space="preserve"> 278  Сосиски Сочинки с сочным окороком, МГС 0.4кг,   ПОКОМ</v>
          </cell>
          <cell r="B37" t="str">
            <v>шт</v>
          </cell>
          <cell r="C37">
            <v>486</v>
          </cell>
          <cell r="D37">
            <v>839</v>
          </cell>
          <cell r="E37">
            <v>509</v>
          </cell>
          <cell r="F37">
            <v>784</v>
          </cell>
          <cell r="G37">
            <v>0.4</v>
          </cell>
          <cell r="H37">
            <v>45</v>
          </cell>
          <cell r="I37" t="str">
            <v>НЕДОГРУЗ / матрица</v>
          </cell>
          <cell r="K37">
            <v>534</v>
          </cell>
          <cell r="L37">
            <v>-25</v>
          </cell>
          <cell r="M37">
            <v>509</v>
          </cell>
          <cell r="O37">
            <v>0</v>
          </cell>
          <cell r="S37">
            <v>0</v>
          </cell>
          <cell r="T37">
            <v>101.8</v>
          </cell>
          <cell r="U37">
            <v>200</v>
          </cell>
          <cell r="V37">
            <v>200</v>
          </cell>
        </row>
        <row r="38">
          <cell r="A38" t="str">
            <v xml:space="preserve"> 281  Сосиски Молочные для завтрака ТМ Особый рецепт, 0,4кг  ПОКОМ</v>
          </cell>
          <cell r="B38" t="str">
            <v>шт</v>
          </cell>
          <cell r="C38">
            <v>105</v>
          </cell>
          <cell r="D38">
            <v>168</v>
          </cell>
          <cell r="E38">
            <v>103</v>
          </cell>
          <cell r="F38">
            <v>169</v>
          </cell>
          <cell r="G38">
            <v>0.4</v>
          </cell>
          <cell r="H38">
            <v>40</v>
          </cell>
          <cell r="I38" t="str">
            <v>НЕДОГРУЗ / матрица</v>
          </cell>
          <cell r="K38">
            <v>104</v>
          </cell>
          <cell r="L38">
            <v>-1</v>
          </cell>
          <cell r="M38">
            <v>103</v>
          </cell>
          <cell r="O38">
            <v>53.399999999999991</v>
          </cell>
          <cell r="S38">
            <v>0</v>
          </cell>
          <cell r="T38">
            <v>20.6</v>
          </cell>
          <cell r="V38">
            <v>0</v>
          </cell>
        </row>
        <row r="39">
          <cell r="A39" t="str">
            <v xml:space="preserve"> 283  Сосиски Сочинки, ВЕС, ТМ Стародворье ПОКОМ</v>
          </cell>
          <cell r="B39" t="str">
            <v>кг</v>
          </cell>
          <cell r="C39">
            <v>66.561000000000007</v>
          </cell>
          <cell r="D39">
            <v>2.8860000000000001</v>
          </cell>
          <cell r="E39">
            <v>30.175000000000001</v>
          </cell>
          <cell r="F39">
            <v>34.960999999999999</v>
          </cell>
          <cell r="G39">
            <v>1</v>
          </cell>
          <cell r="H39">
            <v>45</v>
          </cell>
          <cell r="I39" t="str">
            <v>матрица</v>
          </cell>
          <cell r="K39">
            <v>32.700000000000003</v>
          </cell>
          <cell r="L39">
            <v>-2.5250000000000021</v>
          </cell>
          <cell r="M39">
            <v>30.175000000000001</v>
          </cell>
          <cell r="O39">
            <v>0</v>
          </cell>
          <cell r="S39">
            <v>0</v>
          </cell>
          <cell r="T39">
            <v>6.0350000000000001</v>
          </cell>
          <cell r="U39">
            <v>31.424000000000007</v>
          </cell>
          <cell r="V39">
            <v>31.424000000000007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B40" t="str">
            <v>шт</v>
          </cell>
          <cell r="C40">
            <v>92</v>
          </cell>
          <cell r="D40">
            <v>28</v>
          </cell>
          <cell r="E40">
            <v>101</v>
          </cell>
          <cell r="F40">
            <v>128</v>
          </cell>
          <cell r="G40">
            <v>0.1</v>
          </cell>
          <cell r="H40">
            <v>731</v>
          </cell>
          <cell r="I40" t="str">
            <v>матрица</v>
          </cell>
          <cell r="K40">
            <v>106</v>
          </cell>
          <cell r="L40">
            <v>-5</v>
          </cell>
          <cell r="M40">
            <v>101</v>
          </cell>
          <cell r="O40">
            <v>0</v>
          </cell>
          <cell r="S40">
            <v>103.60000000000009</v>
          </cell>
          <cell r="T40">
            <v>20.2</v>
          </cell>
          <cell r="V40">
            <v>0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B41" t="str">
            <v>шт</v>
          </cell>
          <cell r="C41">
            <v>91</v>
          </cell>
          <cell r="D41">
            <v>2</v>
          </cell>
          <cell r="E41">
            <v>79</v>
          </cell>
          <cell r="F41">
            <v>7</v>
          </cell>
          <cell r="G41">
            <v>0.35</v>
          </cell>
          <cell r="H41">
            <v>40</v>
          </cell>
          <cell r="I41" t="str">
            <v>матрица</v>
          </cell>
          <cell r="K41">
            <v>91</v>
          </cell>
          <cell r="L41">
            <v>-12</v>
          </cell>
          <cell r="M41">
            <v>79</v>
          </cell>
          <cell r="O41">
            <v>0</v>
          </cell>
          <cell r="S41">
            <v>0</v>
          </cell>
          <cell r="T41">
            <v>15.8</v>
          </cell>
          <cell r="U41">
            <v>72</v>
          </cell>
          <cell r="V41">
            <v>72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B42" t="str">
            <v>кг</v>
          </cell>
          <cell r="C42">
            <v>86.364000000000004</v>
          </cell>
          <cell r="E42">
            <v>64.597999999999999</v>
          </cell>
          <cell r="F42">
            <v>21.765999999999998</v>
          </cell>
          <cell r="G42">
            <v>1</v>
          </cell>
          <cell r="H42">
            <v>40</v>
          </cell>
          <cell r="I42" t="str">
            <v>матрица</v>
          </cell>
          <cell r="K42">
            <v>66.900000000000006</v>
          </cell>
          <cell r="L42">
            <v>-2.3020000000000067</v>
          </cell>
          <cell r="M42">
            <v>64.597999999999999</v>
          </cell>
          <cell r="O42">
            <v>0</v>
          </cell>
          <cell r="S42">
            <v>89.7376</v>
          </cell>
          <cell r="T42">
            <v>12.919599999999999</v>
          </cell>
          <cell r="U42">
            <v>30.612000000000002</v>
          </cell>
          <cell r="V42">
            <v>30.612000000000002</v>
          </cell>
        </row>
        <row r="43">
          <cell r="A43" t="str">
            <v xml:space="preserve"> 298  Колбаса Сливушка ТМ Вязанка, 0,375кг,  ПОКОМ</v>
          </cell>
          <cell r="B43" t="str">
            <v>шт</v>
          </cell>
          <cell r="C43">
            <v>53</v>
          </cell>
          <cell r="E43">
            <v>16</v>
          </cell>
          <cell r="F43">
            <v>37</v>
          </cell>
          <cell r="G43">
            <v>0</v>
          </cell>
          <cell r="H43">
            <v>50</v>
          </cell>
          <cell r="I43" t="str">
            <v>не в матрице</v>
          </cell>
          <cell r="K43">
            <v>16</v>
          </cell>
          <cell r="L43">
            <v>0</v>
          </cell>
          <cell r="M43">
            <v>16</v>
          </cell>
          <cell r="S43">
            <v>0</v>
          </cell>
          <cell r="T43">
            <v>3.2</v>
          </cell>
          <cell r="V43">
            <v>0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 t="str">
            <v>шт</v>
          </cell>
          <cell r="C44">
            <v>1</v>
          </cell>
          <cell r="D44">
            <v>6</v>
          </cell>
          <cell r="E44">
            <v>-15</v>
          </cell>
          <cell r="F44">
            <v>6</v>
          </cell>
          <cell r="G44">
            <v>0.4</v>
          </cell>
          <cell r="H44">
            <v>40</v>
          </cell>
          <cell r="I44" t="str">
            <v>НЕДОГРУЗ / матрица</v>
          </cell>
          <cell r="K44">
            <v>191</v>
          </cell>
          <cell r="L44">
            <v>-206</v>
          </cell>
          <cell r="M44">
            <v>-15</v>
          </cell>
          <cell r="O44">
            <v>0</v>
          </cell>
          <cell r="S44">
            <v>0</v>
          </cell>
          <cell r="T44">
            <v>-3</v>
          </cell>
          <cell r="V44">
            <v>0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 t="str">
            <v>шт</v>
          </cell>
          <cell r="C45">
            <v>-1</v>
          </cell>
          <cell r="D45">
            <v>405</v>
          </cell>
          <cell r="E45">
            <v>5</v>
          </cell>
          <cell r="F45">
            <v>396</v>
          </cell>
          <cell r="G45">
            <v>0.4</v>
          </cell>
          <cell r="H45">
            <v>45</v>
          </cell>
          <cell r="I45" t="str">
            <v>НЕДОГРУЗ / матрица</v>
          </cell>
          <cell r="K45">
            <v>152</v>
          </cell>
          <cell r="L45">
            <v>-147</v>
          </cell>
          <cell r="M45">
            <v>5</v>
          </cell>
          <cell r="O45">
            <v>0</v>
          </cell>
          <cell r="S45">
            <v>0</v>
          </cell>
          <cell r="T45">
            <v>1</v>
          </cell>
          <cell r="V45">
            <v>0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B46" t="str">
            <v>кг</v>
          </cell>
          <cell r="C46">
            <v>156.041</v>
          </cell>
          <cell r="D46">
            <v>62.478000000000002</v>
          </cell>
          <cell r="E46">
            <v>100.819</v>
          </cell>
          <cell r="F46">
            <v>115.49</v>
          </cell>
          <cell r="G46">
            <v>1</v>
          </cell>
          <cell r="H46">
            <v>40</v>
          </cell>
          <cell r="I46" t="str">
            <v>матрица</v>
          </cell>
          <cell r="K46">
            <v>104</v>
          </cell>
          <cell r="L46">
            <v>-3.1809999999999974</v>
          </cell>
          <cell r="M46">
            <v>100.819</v>
          </cell>
          <cell r="O46">
            <v>0</v>
          </cell>
          <cell r="S46">
            <v>101.8304</v>
          </cell>
          <cell r="T46">
            <v>20.163800000000002</v>
          </cell>
          <cell r="U46">
            <v>4.481400000000022</v>
          </cell>
          <cell r="V46">
            <v>4.481400000000022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B47" t="str">
            <v>шт</v>
          </cell>
          <cell r="C47">
            <v>144</v>
          </cell>
          <cell r="D47">
            <v>654</v>
          </cell>
          <cell r="E47">
            <v>186</v>
          </cell>
          <cell r="F47">
            <v>595</v>
          </cell>
          <cell r="G47">
            <v>0.35</v>
          </cell>
          <cell r="H47">
            <v>40</v>
          </cell>
          <cell r="I47" t="str">
            <v>матрица</v>
          </cell>
          <cell r="K47">
            <v>215</v>
          </cell>
          <cell r="L47">
            <v>-29</v>
          </cell>
          <cell r="M47">
            <v>186</v>
          </cell>
          <cell r="O47">
            <v>0</v>
          </cell>
          <cell r="P47">
            <v>200</v>
          </cell>
          <cell r="S47">
            <v>0</v>
          </cell>
          <cell r="T47">
            <v>37.200000000000003</v>
          </cell>
          <cell r="V47">
            <v>0</v>
          </cell>
        </row>
        <row r="48">
          <cell r="A48" t="str">
            <v xml:space="preserve"> 309  Сосиски Сочинки с сыром 0,4 кг ТМ Стародворье  ПОКОМ</v>
          </cell>
          <cell r="B48" t="str">
            <v>шт</v>
          </cell>
          <cell r="C48">
            <v>170</v>
          </cell>
          <cell r="D48">
            <v>206</v>
          </cell>
          <cell r="E48">
            <v>204</v>
          </cell>
          <cell r="F48">
            <v>170</v>
          </cell>
          <cell r="G48">
            <v>0.4</v>
          </cell>
          <cell r="H48">
            <v>40</v>
          </cell>
          <cell r="I48" t="str">
            <v>НЕДОГРУЗ / матрица</v>
          </cell>
          <cell r="K48">
            <v>373</v>
          </cell>
          <cell r="L48">
            <v>-169</v>
          </cell>
          <cell r="M48">
            <v>204</v>
          </cell>
          <cell r="O48">
            <v>0</v>
          </cell>
          <cell r="P48">
            <v>280</v>
          </cell>
          <cell r="S48">
            <v>0</v>
          </cell>
          <cell r="T48">
            <v>40.799999999999997</v>
          </cell>
          <cell r="V48">
            <v>0</v>
          </cell>
        </row>
        <row r="49">
          <cell r="A49" t="str">
            <v xml:space="preserve"> 312  Ветчина Филейская ВЕС ТМ  Вязанка ТС Столичная  ПОКОМ</v>
          </cell>
          <cell r="B49" t="str">
            <v>кг</v>
          </cell>
          <cell r="C49">
            <v>156.261</v>
          </cell>
          <cell r="D49">
            <v>1.272</v>
          </cell>
          <cell r="E49">
            <v>69.956999999999994</v>
          </cell>
          <cell r="F49">
            <v>88.918000000000006</v>
          </cell>
          <cell r="G49">
            <v>1</v>
          </cell>
          <cell r="H49">
            <v>50</v>
          </cell>
          <cell r="I49" t="str">
            <v>матрица</v>
          </cell>
          <cell r="K49">
            <v>71.8</v>
          </cell>
          <cell r="L49">
            <v>-1.8430000000000035</v>
          </cell>
          <cell r="M49">
            <v>69.956999999999994</v>
          </cell>
          <cell r="O49">
            <v>14.181800000000001</v>
          </cell>
          <cell r="S49">
            <v>92.494599999999977</v>
          </cell>
          <cell r="T49">
            <v>13.991399999999999</v>
          </cell>
          <cell r="V49">
            <v>0</v>
          </cell>
        </row>
        <row r="50">
          <cell r="A50" t="str">
            <v xml:space="preserve"> 315  Колбаса вареная Молокуша ТМ Вязанка ВЕС, ПОКОМ</v>
          </cell>
          <cell r="B50" t="str">
            <v>кг</v>
          </cell>
          <cell r="C50">
            <v>347.892</v>
          </cell>
          <cell r="D50">
            <v>20.315999999999999</v>
          </cell>
          <cell r="E50">
            <v>110.18</v>
          </cell>
          <cell r="F50">
            <v>250.62200000000001</v>
          </cell>
          <cell r="G50">
            <v>1</v>
          </cell>
          <cell r="H50">
            <v>50</v>
          </cell>
          <cell r="I50" t="str">
            <v>матрица</v>
          </cell>
          <cell r="K50">
            <v>127.38</v>
          </cell>
          <cell r="L50">
            <v>-17.199999999999989</v>
          </cell>
          <cell r="M50">
            <v>110.18</v>
          </cell>
          <cell r="O50">
            <v>0</v>
          </cell>
          <cell r="S50">
            <v>39.322400000000073</v>
          </cell>
          <cell r="T50">
            <v>22.036000000000001</v>
          </cell>
          <cell r="V50">
            <v>0</v>
          </cell>
        </row>
        <row r="51">
          <cell r="A51" t="str">
            <v xml:space="preserve"> 318  Сосиски Датские ТМ Зареченские, ВЕС  ПОКОМ</v>
          </cell>
          <cell r="B51" t="str">
            <v>кг</v>
          </cell>
          <cell r="C51">
            <v>-1.575</v>
          </cell>
          <cell r="D51">
            <v>241.59899999999999</v>
          </cell>
          <cell r="E51">
            <v>7.3940000000000001</v>
          </cell>
          <cell r="F51">
            <v>232.63</v>
          </cell>
          <cell r="G51">
            <v>1</v>
          </cell>
          <cell r="H51">
            <v>45</v>
          </cell>
          <cell r="I51" t="str">
            <v>матрица</v>
          </cell>
          <cell r="K51">
            <v>14.4</v>
          </cell>
          <cell r="L51">
            <v>-7.0060000000000002</v>
          </cell>
          <cell r="M51">
            <v>7.3940000000000001</v>
          </cell>
          <cell r="O51">
            <v>0</v>
          </cell>
          <cell r="S51">
            <v>0</v>
          </cell>
          <cell r="T51">
            <v>1.4788000000000001</v>
          </cell>
          <cell r="V51">
            <v>0</v>
          </cell>
        </row>
        <row r="52">
          <cell r="A52" t="str">
            <v xml:space="preserve"> 319  Колбаса вареная Филейская ТМ Вязанка ТС Классическая, 0,45 кг. ПОКОМ</v>
          </cell>
          <cell r="B52" t="str">
            <v>шт</v>
          </cell>
          <cell r="C52">
            <v>332</v>
          </cell>
          <cell r="D52">
            <v>9</v>
          </cell>
          <cell r="E52">
            <v>148</v>
          </cell>
          <cell r="F52">
            <v>184</v>
          </cell>
          <cell r="G52">
            <v>0.45</v>
          </cell>
          <cell r="H52">
            <v>50</v>
          </cell>
          <cell r="I52" t="str">
            <v>матрица</v>
          </cell>
          <cell r="K52">
            <v>155</v>
          </cell>
          <cell r="L52">
            <v>-7</v>
          </cell>
          <cell r="M52">
            <v>148</v>
          </cell>
          <cell r="O52">
            <v>0</v>
          </cell>
          <cell r="S52">
            <v>246.8</v>
          </cell>
          <cell r="T52">
            <v>29.6</v>
          </cell>
          <cell r="V52">
            <v>0</v>
          </cell>
        </row>
        <row r="53">
          <cell r="A53" t="str">
            <v xml:space="preserve"> 322  Колбаса вареная Молокуша 0,45кг ТМ Вязанка  ПОКОМ</v>
          </cell>
          <cell r="B53" t="str">
            <v>шт</v>
          </cell>
          <cell r="C53">
            <v>329</v>
          </cell>
          <cell r="D53">
            <v>10</v>
          </cell>
          <cell r="E53">
            <v>213</v>
          </cell>
          <cell r="F53">
            <v>112</v>
          </cell>
          <cell r="G53">
            <v>0.45</v>
          </cell>
          <cell r="H53">
            <v>50</v>
          </cell>
          <cell r="I53" t="str">
            <v>матрица</v>
          </cell>
          <cell r="K53">
            <v>219</v>
          </cell>
          <cell r="L53">
            <v>-6</v>
          </cell>
          <cell r="M53">
            <v>213</v>
          </cell>
          <cell r="O53">
            <v>230.2</v>
          </cell>
          <cell r="S53">
            <v>368.39600000000007</v>
          </cell>
          <cell r="T53">
            <v>42.6</v>
          </cell>
          <cell r="V53">
            <v>0</v>
          </cell>
        </row>
        <row r="54">
          <cell r="A54" t="str">
            <v xml:space="preserve"> 328  Сардельки Сочинки Стародворье ТМ  0,4 кг ПОКОМ</v>
          </cell>
          <cell r="B54" t="str">
            <v>шт</v>
          </cell>
          <cell r="C54">
            <v>12</v>
          </cell>
          <cell r="D54">
            <v>78</v>
          </cell>
          <cell r="E54">
            <v>25</v>
          </cell>
          <cell r="F54">
            <v>58</v>
          </cell>
          <cell r="G54">
            <v>0.4</v>
          </cell>
          <cell r="H54">
            <v>40</v>
          </cell>
          <cell r="I54" t="str">
            <v>матрица</v>
          </cell>
          <cell r="K54">
            <v>38</v>
          </cell>
          <cell r="L54">
            <v>-13</v>
          </cell>
          <cell r="M54">
            <v>25</v>
          </cell>
          <cell r="O54">
            <v>0</v>
          </cell>
          <cell r="S54">
            <v>0</v>
          </cell>
          <cell r="T54">
            <v>5</v>
          </cell>
          <cell r="V54">
            <v>0</v>
          </cell>
        </row>
        <row r="55">
          <cell r="A55" t="str">
            <v xml:space="preserve"> 329  Сардельки Сочинки с сыром Стародворье ТМ, 0,4 кг. ПОКОМ</v>
          </cell>
          <cell r="B55" t="str">
            <v>шт</v>
          </cell>
          <cell r="C55">
            <v>26</v>
          </cell>
          <cell r="D55">
            <v>22</v>
          </cell>
          <cell r="E55">
            <v>36</v>
          </cell>
          <cell r="F55">
            <v>9</v>
          </cell>
          <cell r="G55">
            <v>0.4</v>
          </cell>
          <cell r="H55">
            <v>40</v>
          </cell>
          <cell r="I55" t="str">
            <v>НЕДОГРУЗ / матрица</v>
          </cell>
          <cell r="K55">
            <v>45</v>
          </cell>
          <cell r="L55">
            <v>-9</v>
          </cell>
          <cell r="M55">
            <v>36</v>
          </cell>
          <cell r="O55">
            <v>0</v>
          </cell>
          <cell r="S55">
            <v>0</v>
          </cell>
          <cell r="T55">
            <v>7.2</v>
          </cell>
          <cell r="U55">
            <v>30</v>
          </cell>
          <cell r="V55">
            <v>30</v>
          </cell>
        </row>
        <row r="56">
          <cell r="A56" t="str">
            <v xml:space="preserve"> 330  Колбаса вареная Филейская ТМ Вязанка ТС Классическая ВЕС  ПОКОМ</v>
          </cell>
          <cell r="B56" t="str">
            <v>кг</v>
          </cell>
          <cell r="C56">
            <v>144.55099999999999</v>
          </cell>
          <cell r="D56">
            <v>1.331</v>
          </cell>
          <cell r="E56">
            <v>34.807000000000002</v>
          </cell>
          <cell r="F56">
            <v>111.075</v>
          </cell>
          <cell r="G56">
            <v>1</v>
          </cell>
          <cell r="H56">
            <v>50</v>
          </cell>
          <cell r="I56" t="str">
            <v>матрица</v>
          </cell>
          <cell r="K56">
            <v>37.5</v>
          </cell>
          <cell r="L56">
            <v>-2.6929999999999978</v>
          </cell>
          <cell r="M56">
            <v>34.807000000000002</v>
          </cell>
          <cell r="O56">
            <v>47.396199999999993</v>
          </cell>
          <cell r="S56">
            <v>0</v>
          </cell>
          <cell r="T56">
            <v>6.9614000000000003</v>
          </cell>
          <cell r="V56">
            <v>0</v>
          </cell>
        </row>
        <row r="57">
          <cell r="A57" t="str">
            <v xml:space="preserve"> 334  Паштет Любительский ТМ Стародворье ламистер 0,1 кг  ПОКОМ</v>
          </cell>
          <cell r="B57" t="str">
            <v>шт</v>
          </cell>
          <cell r="C57">
            <v>211</v>
          </cell>
          <cell r="D57">
            <v>8</v>
          </cell>
          <cell r="E57">
            <v>94</v>
          </cell>
          <cell r="F57">
            <v>114</v>
          </cell>
          <cell r="G57">
            <v>0.1</v>
          </cell>
          <cell r="H57">
            <v>731</v>
          </cell>
          <cell r="I57" t="str">
            <v>матрица</v>
          </cell>
          <cell r="K57">
            <v>99</v>
          </cell>
          <cell r="L57">
            <v>-5</v>
          </cell>
          <cell r="M57">
            <v>94</v>
          </cell>
          <cell r="O57">
            <v>0</v>
          </cell>
          <cell r="S57">
            <v>10.600000000000019</v>
          </cell>
          <cell r="T57">
            <v>18.8</v>
          </cell>
          <cell r="U57">
            <v>82.199999999999989</v>
          </cell>
          <cell r="V57">
            <v>82.199999999999989</v>
          </cell>
        </row>
        <row r="58">
          <cell r="A58" t="str">
            <v xml:space="preserve"> 335  Колбаса Сливушка ТМ Вязанка. ВЕС.  ПОКОМ </v>
          </cell>
          <cell r="B58" t="str">
            <v>кг</v>
          </cell>
          <cell r="C58">
            <v>143.22200000000001</v>
          </cell>
          <cell r="D58">
            <v>231.72200000000001</v>
          </cell>
          <cell r="E58">
            <v>74.796000000000006</v>
          </cell>
          <cell r="F58">
            <v>294.423</v>
          </cell>
          <cell r="G58">
            <v>1</v>
          </cell>
          <cell r="H58">
            <v>50</v>
          </cell>
          <cell r="I58" t="str">
            <v>матрица</v>
          </cell>
          <cell r="K58">
            <v>97.9</v>
          </cell>
          <cell r="L58">
            <v>-23.103999999999999</v>
          </cell>
          <cell r="M58">
            <v>74.796000000000006</v>
          </cell>
          <cell r="O58">
            <v>0</v>
          </cell>
          <cell r="S58">
            <v>0</v>
          </cell>
          <cell r="T58">
            <v>14.959200000000001</v>
          </cell>
          <cell r="V58">
            <v>0</v>
          </cell>
        </row>
        <row r="59">
          <cell r="A59" t="str">
            <v xml:space="preserve"> 336  Ветчина Сливушка с индейкой ТМ Вязанка. ВЕС  ПОКОМ</v>
          </cell>
          <cell r="B59" t="str">
            <v>кг</v>
          </cell>
          <cell r="C59">
            <v>55.64</v>
          </cell>
          <cell r="D59">
            <v>10.837</v>
          </cell>
          <cell r="E59">
            <v>24.48</v>
          </cell>
          <cell r="F59">
            <v>43.350999999999999</v>
          </cell>
          <cell r="G59">
            <v>1</v>
          </cell>
          <cell r="H59">
            <v>55</v>
          </cell>
          <cell r="I59" t="str">
            <v>матрица</v>
          </cell>
          <cell r="K59">
            <v>23</v>
          </cell>
          <cell r="L59">
            <v>1.4800000000000004</v>
          </cell>
          <cell r="M59">
            <v>24.48</v>
          </cell>
          <cell r="O59">
            <v>0</v>
          </cell>
          <cell r="S59">
            <v>12.45080000000001</v>
          </cell>
          <cell r="T59">
            <v>4.8959999999999999</v>
          </cell>
          <cell r="V59">
            <v>0</v>
          </cell>
        </row>
        <row r="60">
          <cell r="A60" t="str">
            <v xml:space="preserve"> 338  Паштет печеночный с морковью ТМ Стародворье ламистер 0,1 кг.  ПОКОМ</v>
          </cell>
          <cell r="B60" t="str">
            <v>шт</v>
          </cell>
          <cell r="C60">
            <v>98</v>
          </cell>
          <cell r="D60">
            <v>18</v>
          </cell>
          <cell r="E60">
            <v>89</v>
          </cell>
          <cell r="F60">
            <v>6</v>
          </cell>
          <cell r="G60">
            <v>0.1</v>
          </cell>
          <cell r="H60">
            <v>731</v>
          </cell>
          <cell r="I60" t="str">
            <v>матрица</v>
          </cell>
          <cell r="K60">
            <v>104</v>
          </cell>
          <cell r="L60">
            <v>-15</v>
          </cell>
          <cell r="M60">
            <v>89</v>
          </cell>
          <cell r="O60">
            <v>103.6</v>
          </cell>
          <cell r="S60">
            <v>79.600000000000023</v>
          </cell>
          <cell r="T60">
            <v>17.8</v>
          </cell>
          <cell r="U60">
            <v>6.5999999999999943</v>
          </cell>
          <cell r="V60">
            <v>6.5999999999999943</v>
          </cell>
        </row>
        <row r="61">
          <cell r="A61" t="str">
            <v xml:space="preserve"> 339  Колбаса вареная Филейская ТМ Вязанка ТС Классическая, 0,40 кг.  ПОКОМ</v>
          </cell>
          <cell r="B61" t="str">
            <v>шт</v>
          </cell>
          <cell r="C61">
            <v>6</v>
          </cell>
          <cell r="E61">
            <v>7</v>
          </cell>
          <cell r="F61">
            <v>-1</v>
          </cell>
          <cell r="G61">
            <v>0.4</v>
          </cell>
          <cell r="H61">
            <v>50</v>
          </cell>
          <cell r="I61" t="str">
            <v>матрица</v>
          </cell>
          <cell r="K61">
            <v>7</v>
          </cell>
          <cell r="L61">
            <v>0</v>
          </cell>
          <cell r="M61">
            <v>7</v>
          </cell>
          <cell r="O61">
            <v>18</v>
          </cell>
          <cell r="S61">
            <v>9.7999999999999972</v>
          </cell>
          <cell r="T61">
            <v>1.4</v>
          </cell>
          <cell r="V61">
            <v>0</v>
          </cell>
        </row>
        <row r="62">
          <cell r="A62" t="str">
            <v xml:space="preserve"> 340  Сосиски Сочинки Молочные ТМ Стародворье, ВЕС ПОКОМ</v>
          </cell>
          <cell r="B62" t="str">
            <v>кг</v>
          </cell>
          <cell r="C62">
            <v>130.19300000000001</v>
          </cell>
          <cell r="D62">
            <v>66.573999999999998</v>
          </cell>
          <cell r="E62">
            <v>83.299000000000007</v>
          </cell>
          <cell r="F62">
            <v>112.117</v>
          </cell>
          <cell r="G62">
            <v>1</v>
          </cell>
          <cell r="H62">
            <v>40</v>
          </cell>
          <cell r="I62" t="str">
            <v>матрица</v>
          </cell>
          <cell r="K62">
            <v>90.9</v>
          </cell>
          <cell r="L62">
            <v>-7.6009999999999991</v>
          </cell>
          <cell r="M62">
            <v>83.299000000000007</v>
          </cell>
          <cell r="O62">
            <v>22.399199999999979</v>
          </cell>
          <cell r="S62">
            <v>26.341400000000011</v>
          </cell>
          <cell r="T62">
            <v>16.659800000000001</v>
          </cell>
          <cell r="U62">
            <v>22.400199999999998</v>
          </cell>
          <cell r="V62">
            <v>22.400199999999998</v>
          </cell>
        </row>
        <row r="63">
          <cell r="A63" t="str">
            <v xml:space="preserve"> 341 Сосиски Сочинки Сливочные ТМ Стародворье ВЕС ПОКОМ</v>
          </cell>
          <cell r="B63" t="str">
            <v>кг</v>
          </cell>
          <cell r="C63">
            <v>32.56</v>
          </cell>
          <cell r="D63">
            <v>7.8920000000000003</v>
          </cell>
          <cell r="E63">
            <v>23.271000000000001</v>
          </cell>
          <cell r="F63">
            <v>15.819000000000001</v>
          </cell>
          <cell r="G63">
            <v>1</v>
          </cell>
          <cell r="H63">
            <v>40</v>
          </cell>
          <cell r="I63" t="str">
            <v>матрица</v>
          </cell>
          <cell r="K63">
            <v>24.167000000000002</v>
          </cell>
          <cell r="L63">
            <v>-0.8960000000000008</v>
          </cell>
          <cell r="M63">
            <v>23.271000000000001</v>
          </cell>
          <cell r="O63">
            <v>0</v>
          </cell>
          <cell r="S63">
            <v>70</v>
          </cell>
          <cell r="T63">
            <v>4.6542000000000003</v>
          </cell>
          <cell r="V63">
            <v>0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593</v>
          </cell>
          <cell r="D64">
            <v>404</v>
          </cell>
          <cell r="E64">
            <v>449</v>
          </cell>
          <cell r="F64">
            <v>542</v>
          </cell>
          <cell r="G64">
            <v>0.4</v>
          </cell>
          <cell r="H64">
            <v>40</v>
          </cell>
          <cell r="I64" t="str">
            <v>матрица</v>
          </cell>
          <cell r="K64">
            <v>461</v>
          </cell>
          <cell r="L64">
            <v>-12</v>
          </cell>
          <cell r="M64">
            <v>449</v>
          </cell>
          <cell r="O64">
            <v>183.34800000000021</v>
          </cell>
          <cell r="S64">
            <v>478.04600000000028</v>
          </cell>
          <cell r="T64">
            <v>89.8</v>
          </cell>
          <cell r="V64">
            <v>0</v>
          </cell>
        </row>
        <row r="65">
          <cell r="A65" t="str">
            <v xml:space="preserve"> 343 Сосиски Сочинки Сливочные ТМ Стародворье  0,4 кг ПОКОМ</v>
          </cell>
          <cell r="B65" t="str">
            <v>шт</v>
          </cell>
          <cell r="C65">
            <v>13</v>
          </cell>
          <cell r="D65">
            <v>496</v>
          </cell>
          <cell r="E65">
            <v>30</v>
          </cell>
          <cell r="F65">
            <v>476</v>
          </cell>
          <cell r="G65">
            <v>0.4</v>
          </cell>
          <cell r="H65">
            <v>40</v>
          </cell>
          <cell r="I65" t="str">
            <v>НЕДОГРУЗ / матрица</v>
          </cell>
          <cell r="K65">
            <v>45</v>
          </cell>
          <cell r="L65">
            <v>-15</v>
          </cell>
          <cell r="M65">
            <v>30</v>
          </cell>
          <cell r="O65">
            <v>0</v>
          </cell>
          <cell r="P65">
            <v>0</v>
          </cell>
          <cell r="S65">
            <v>0</v>
          </cell>
          <cell r="T65">
            <v>6</v>
          </cell>
          <cell r="V65">
            <v>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244.19800000000001</v>
          </cell>
          <cell r="D66">
            <v>0.91800000000000004</v>
          </cell>
          <cell r="E66">
            <v>111.729</v>
          </cell>
          <cell r="F66">
            <v>129.72999999999999</v>
          </cell>
          <cell r="G66">
            <v>1</v>
          </cell>
          <cell r="H66">
            <v>40</v>
          </cell>
          <cell r="I66" t="str">
            <v>матрица</v>
          </cell>
          <cell r="K66">
            <v>110.4</v>
          </cell>
          <cell r="L66">
            <v>1.3289999999999935</v>
          </cell>
          <cell r="M66">
            <v>111.729</v>
          </cell>
          <cell r="O66">
            <v>107.9492</v>
          </cell>
          <cell r="S66">
            <v>82.244400000000013</v>
          </cell>
          <cell r="T66">
            <v>22.345800000000001</v>
          </cell>
          <cell r="V66">
            <v>0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44.697000000000003</v>
          </cell>
          <cell r="D67">
            <v>309.62200000000001</v>
          </cell>
          <cell r="E67">
            <v>103.414</v>
          </cell>
          <cell r="F67">
            <v>251.833</v>
          </cell>
          <cell r="G67">
            <v>1</v>
          </cell>
          <cell r="H67">
            <v>40</v>
          </cell>
          <cell r="I67" t="str">
            <v>матрица</v>
          </cell>
          <cell r="K67">
            <v>100.3</v>
          </cell>
          <cell r="L67">
            <v>3.1140000000000043</v>
          </cell>
          <cell r="M67">
            <v>103.414</v>
          </cell>
          <cell r="O67">
            <v>30.630400000000002</v>
          </cell>
          <cell r="S67">
            <v>0</v>
          </cell>
          <cell r="T67">
            <v>20.6828</v>
          </cell>
          <cell r="V67">
            <v>0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420.589</v>
          </cell>
          <cell r="D68">
            <v>364.59300000000002</v>
          </cell>
          <cell r="E68">
            <v>268.79000000000002</v>
          </cell>
          <cell r="F68">
            <v>491.05099999999999</v>
          </cell>
          <cell r="G68">
            <v>1</v>
          </cell>
          <cell r="H68">
            <v>40</v>
          </cell>
          <cell r="I68" t="str">
            <v>матрица</v>
          </cell>
          <cell r="K68">
            <v>274.11599999999999</v>
          </cell>
          <cell r="L68">
            <v>-5.325999999999965</v>
          </cell>
          <cell r="M68">
            <v>268.79000000000002</v>
          </cell>
          <cell r="O68">
            <v>88.988664000000384</v>
          </cell>
          <cell r="S68">
            <v>14.14059399999978</v>
          </cell>
          <cell r="T68">
            <v>53.758000000000003</v>
          </cell>
          <cell r="V68">
            <v>0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317.012</v>
          </cell>
          <cell r="D69">
            <v>216.392</v>
          </cell>
          <cell r="E69">
            <v>135.078</v>
          </cell>
          <cell r="F69">
            <v>384.661</v>
          </cell>
          <cell r="G69">
            <v>1</v>
          </cell>
          <cell r="H69">
            <v>40</v>
          </cell>
          <cell r="I69" t="str">
            <v>матрица</v>
          </cell>
          <cell r="K69">
            <v>143.5</v>
          </cell>
          <cell r="L69">
            <v>-8.421999999999997</v>
          </cell>
          <cell r="M69">
            <v>135.078</v>
          </cell>
          <cell r="O69">
            <v>0</v>
          </cell>
          <cell r="S69">
            <v>0</v>
          </cell>
          <cell r="T69">
            <v>27.015599999999999</v>
          </cell>
          <cell r="V69">
            <v>0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B70" t="str">
            <v>шт</v>
          </cell>
          <cell r="G70">
            <v>0</v>
          </cell>
          <cell r="I70" t="str">
            <v>матрица</v>
          </cell>
          <cell r="L70">
            <v>0</v>
          </cell>
          <cell r="M70">
            <v>0</v>
          </cell>
          <cell r="O70">
            <v>0</v>
          </cell>
          <cell r="S70">
            <v>0</v>
          </cell>
          <cell r="T70">
            <v>0</v>
          </cell>
          <cell r="V70">
            <v>0</v>
          </cell>
        </row>
        <row r="71">
          <cell r="A71" t="str">
            <v xml:space="preserve"> 364  Сардельки Филейские Вязанка ВЕС NDX ТМ Вязанка  ПОКОМ</v>
          </cell>
          <cell r="B71" t="str">
            <v>кг</v>
          </cell>
          <cell r="C71">
            <v>154.98599999999999</v>
          </cell>
          <cell r="D71">
            <v>202.566</v>
          </cell>
          <cell r="E71">
            <v>107.361</v>
          </cell>
          <cell r="F71">
            <v>223.93799999999999</v>
          </cell>
          <cell r="G71">
            <v>1</v>
          </cell>
          <cell r="H71">
            <v>30</v>
          </cell>
          <cell r="I71" t="str">
            <v>матрица</v>
          </cell>
          <cell r="K71">
            <v>142.54599999999999</v>
          </cell>
          <cell r="L71">
            <v>-35.184999999999988</v>
          </cell>
          <cell r="M71">
            <v>107.361</v>
          </cell>
          <cell r="O71">
            <v>29.864999999999998</v>
          </cell>
          <cell r="S71">
            <v>4</v>
          </cell>
          <cell r="T71">
            <v>21.472200000000001</v>
          </cell>
          <cell r="V71">
            <v>0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B72" t="str">
            <v>шт</v>
          </cell>
          <cell r="C72">
            <v>186</v>
          </cell>
          <cell r="D72">
            <v>1</v>
          </cell>
          <cell r="E72">
            <v>135</v>
          </cell>
          <cell r="F72">
            <v>52</v>
          </cell>
          <cell r="G72">
            <v>0.6</v>
          </cell>
          <cell r="H72">
            <v>60</v>
          </cell>
          <cell r="I72" t="str">
            <v>матрица</v>
          </cell>
          <cell r="K72">
            <v>119</v>
          </cell>
          <cell r="L72">
            <v>16</v>
          </cell>
          <cell r="M72">
            <v>135</v>
          </cell>
          <cell r="O72">
            <v>0</v>
          </cell>
          <cell r="S72">
            <v>179.4</v>
          </cell>
          <cell r="T72">
            <v>27</v>
          </cell>
          <cell r="U72">
            <v>65.599999999999994</v>
          </cell>
          <cell r="V72">
            <v>65.599999999999994</v>
          </cell>
        </row>
        <row r="73">
          <cell r="A73" t="str">
            <v xml:space="preserve"> 377  Колбаса Молочная Дугушка 0,6кг ТМ Стародворье  ПОКОМ</v>
          </cell>
          <cell r="B73" t="str">
            <v>шт</v>
          </cell>
          <cell r="C73">
            <v>221</v>
          </cell>
          <cell r="D73">
            <v>131</v>
          </cell>
          <cell r="E73">
            <v>133</v>
          </cell>
          <cell r="F73">
            <v>218</v>
          </cell>
          <cell r="G73">
            <v>0.6</v>
          </cell>
          <cell r="H73">
            <v>60</v>
          </cell>
          <cell r="I73" t="str">
            <v>матрица</v>
          </cell>
          <cell r="K73">
            <v>123</v>
          </cell>
          <cell r="L73">
            <v>10</v>
          </cell>
          <cell r="M73">
            <v>133</v>
          </cell>
          <cell r="O73">
            <v>148.08999999999989</v>
          </cell>
          <cell r="S73">
            <v>123.2</v>
          </cell>
          <cell r="T73">
            <v>26.6</v>
          </cell>
          <cell r="V73">
            <v>0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B74" t="str">
            <v>шт</v>
          </cell>
          <cell r="C74">
            <v>93</v>
          </cell>
          <cell r="D74">
            <v>120</v>
          </cell>
          <cell r="E74">
            <v>68</v>
          </cell>
          <cell r="F74">
            <v>145</v>
          </cell>
          <cell r="G74">
            <v>0.4</v>
          </cell>
          <cell r="H74">
            <v>90</v>
          </cell>
          <cell r="I74" t="str">
            <v>матрица</v>
          </cell>
          <cell r="K74">
            <v>78</v>
          </cell>
          <cell r="L74">
            <v>-10</v>
          </cell>
          <cell r="M74">
            <v>68</v>
          </cell>
          <cell r="O74">
            <v>63.60000000000003</v>
          </cell>
          <cell r="S74">
            <v>0</v>
          </cell>
          <cell r="T74">
            <v>13.6</v>
          </cell>
          <cell r="V74">
            <v>0</v>
          </cell>
        </row>
        <row r="75">
          <cell r="A75" t="str">
            <v xml:space="preserve"> 388  Сосиски Восточные Халяль ТМ Вязанка 0,33 кг АК. ПОКОМ</v>
          </cell>
          <cell r="B75" t="str">
            <v>шт</v>
          </cell>
          <cell r="C75">
            <v>127</v>
          </cell>
          <cell r="D75">
            <v>160</v>
          </cell>
          <cell r="E75">
            <v>124</v>
          </cell>
          <cell r="F75">
            <v>160</v>
          </cell>
          <cell r="G75">
            <v>0.33</v>
          </cell>
          <cell r="H75">
            <v>60</v>
          </cell>
          <cell r="I75" t="str">
            <v>матрица</v>
          </cell>
          <cell r="K75">
            <v>129</v>
          </cell>
          <cell r="L75">
            <v>-5</v>
          </cell>
          <cell r="M75">
            <v>124</v>
          </cell>
          <cell r="O75">
            <v>37.759999999999977</v>
          </cell>
          <cell r="S75">
            <v>111.03999999999979</v>
          </cell>
          <cell r="T75">
            <v>24.8</v>
          </cell>
          <cell r="V75">
            <v>0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B76" t="str">
            <v>шт</v>
          </cell>
          <cell r="C76">
            <v>200</v>
          </cell>
          <cell r="D76">
            <v>104</v>
          </cell>
          <cell r="E76">
            <v>109</v>
          </cell>
          <cell r="F76">
            <v>194</v>
          </cell>
          <cell r="G76">
            <v>0.35</v>
          </cell>
          <cell r="H76">
            <v>90</v>
          </cell>
          <cell r="I76" t="str">
            <v>матрица</v>
          </cell>
          <cell r="K76">
            <v>117</v>
          </cell>
          <cell r="L76">
            <v>-8</v>
          </cell>
          <cell r="M76">
            <v>109</v>
          </cell>
          <cell r="O76">
            <v>0</v>
          </cell>
          <cell r="S76">
            <v>71.200000000000102</v>
          </cell>
          <cell r="T76">
            <v>21.8</v>
          </cell>
          <cell r="V76">
            <v>0</v>
          </cell>
        </row>
        <row r="77">
          <cell r="A77" t="str">
            <v xml:space="preserve"> 395  Колбаса Докторская ГОСТ ТМ Вязанка в оболочке полиамид 0,37 кг. ПОКОМ</v>
          </cell>
          <cell r="B77" t="str">
            <v>шт</v>
          </cell>
          <cell r="G77">
            <v>0</v>
          </cell>
          <cell r="I77" t="str">
            <v>матрица</v>
          </cell>
          <cell r="K77">
            <v>16</v>
          </cell>
          <cell r="L77">
            <v>-16</v>
          </cell>
          <cell r="M77">
            <v>0</v>
          </cell>
          <cell r="O77">
            <v>0</v>
          </cell>
          <cell r="S77">
            <v>0</v>
          </cell>
          <cell r="T77">
            <v>0</v>
          </cell>
          <cell r="V77">
            <v>0</v>
          </cell>
        </row>
        <row r="78">
          <cell r="A78" t="str">
            <v xml:space="preserve"> 397  Ветчина Дугушка ТМ Стародворье ТС Дугушка в полиамидной оболочке 0,6 кг. ПОКОМ</v>
          </cell>
          <cell r="B78" t="str">
            <v>шт</v>
          </cell>
          <cell r="D78">
            <v>160</v>
          </cell>
          <cell r="E78">
            <v>15</v>
          </cell>
          <cell r="F78">
            <v>144</v>
          </cell>
          <cell r="G78">
            <v>0.6</v>
          </cell>
          <cell r="H78">
            <v>70</v>
          </cell>
          <cell r="I78" t="str">
            <v>матрица</v>
          </cell>
          <cell r="K78">
            <v>29</v>
          </cell>
          <cell r="L78">
            <v>-14</v>
          </cell>
          <cell r="M78">
            <v>15</v>
          </cell>
          <cell r="O78">
            <v>87.6</v>
          </cell>
          <cell r="S78">
            <v>0</v>
          </cell>
          <cell r="T78">
            <v>3</v>
          </cell>
          <cell r="V78">
            <v>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91</v>
          </cell>
          <cell r="E79">
            <v>54</v>
          </cell>
          <cell r="F79">
            <v>36</v>
          </cell>
          <cell r="G79">
            <v>0.33</v>
          </cell>
          <cell r="H79">
            <v>40</v>
          </cell>
          <cell r="I79" t="str">
            <v>матрица</v>
          </cell>
          <cell r="K79">
            <v>55</v>
          </cell>
          <cell r="L79">
            <v>-1</v>
          </cell>
          <cell r="M79">
            <v>54</v>
          </cell>
          <cell r="O79">
            <v>14.60000000000001</v>
          </cell>
          <cell r="S79">
            <v>0</v>
          </cell>
          <cell r="T79">
            <v>10.8</v>
          </cell>
          <cell r="U79">
            <v>68.2</v>
          </cell>
          <cell r="V79">
            <v>68.2</v>
          </cell>
        </row>
        <row r="80">
          <cell r="A80" t="str">
            <v xml:space="preserve"> 408  Ветчина Сливушка с индейкой ТМ Вязанка, 0,4кг  ПОКОМ</v>
          </cell>
          <cell r="B80" t="str">
            <v>шт</v>
          </cell>
          <cell r="C80">
            <v>21</v>
          </cell>
          <cell r="D80">
            <v>90</v>
          </cell>
          <cell r="E80">
            <v>30</v>
          </cell>
          <cell r="F80">
            <v>79</v>
          </cell>
          <cell r="G80">
            <v>0.4</v>
          </cell>
          <cell r="H80">
            <v>55</v>
          </cell>
          <cell r="I80" t="str">
            <v>матрица</v>
          </cell>
          <cell r="K80">
            <v>38</v>
          </cell>
          <cell r="L80">
            <v>-8</v>
          </cell>
          <cell r="M80">
            <v>30</v>
          </cell>
          <cell r="O80">
            <v>0</v>
          </cell>
          <cell r="S80">
            <v>0</v>
          </cell>
          <cell r="T80">
            <v>6</v>
          </cell>
          <cell r="V80">
            <v>0</v>
          </cell>
        </row>
        <row r="81">
          <cell r="A81" t="str">
            <v xml:space="preserve"> 410  Сосиски Баварские с сыром ТМ Стародворье 0,35 кг. ПОКОМ</v>
          </cell>
          <cell r="B81" t="str">
            <v>шт</v>
          </cell>
          <cell r="C81">
            <v>27</v>
          </cell>
          <cell r="D81">
            <v>12</v>
          </cell>
          <cell r="E81">
            <v>20</v>
          </cell>
          <cell r="F81">
            <v>19</v>
          </cell>
          <cell r="G81">
            <v>0.35</v>
          </cell>
          <cell r="H81">
            <v>40</v>
          </cell>
          <cell r="I81" t="str">
            <v>матрица</v>
          </cell>
          <cell r="K81">
            <v>20</v>
          </cell>
          <cell r="L81">
            <v>0</v>
          </cell>
          <cell r="M81">
            <v>20</v>
          </cell>
          <cell r="O81">
            <v>46.599999999999987</v>
          </cell>
          <cell r="S81">
            <v>0</v>
          </cell>
          <cell r="T81">
            <v>4</v>
          </cell>
          <cell r="V81">
            <v>0</v>
          </cell>
        </row>
        <row r="82">
          <cell r="A82" t="str">
            <v xml:space="preserve"> 412  Сосиски Баварские ТМ Стародворье 0,35 кг ПОКОМ</v>
          </cell>
          <cell r="B82" t="str">
            <v>шт</v>
          </cell>
          <cell r="C82">
            <v>77</v>
          </cell>
          <cell r="D82">
            <v>240</v>
          </cell>
          <cell r="E82">
            <v>74</v>
          </cell>
          <cell r="F82">
            <v>239</v>
          </cell>
          <cell r="G82">
            <v>0.35</v>
          </cell>
          <cell r="H82">
            <v>45</v>
          </cell>
          <cell r="I82" t="str">
            <v>матрица</v>
          </cell>
          <cell r="K82">
            <v>137</v>
          </cell>
          <cell r="L82">
            <v>-63</v>
          </cell>
          <cell r="M82">
            <v>74</v>
          </cell>
          <cell r="O82">
            <v>0</v>
          </cell>
          <cell r="S82">
            <v>0</v>
          </cell>
          <cell r="T82">
            <v>14.8</v>
          </cell>
          <cell r="V82">
            <v>0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B83" t="str">
            <v>шт</v>
          </cell>
          <cell r="G83">
            <v>0</v>
          </cell>
          <cell r="I83" t="str">
            <v>матрица</v>
          </cell>
          <cell r="L83">
            <v>0</v>
          </cell>
          <cell r="M83">
            <v>0</v>
          </cell>
          <cell r="O83">
            <v>0</v>
          </cell>
          <cell r="S83">
            <v>0</v>
          </cell>
          <cell r="T83">
            <v>0</v>
          </cell>
          <cell r="V83">
            <v>0</v>
          </cell>
        </row>
        <row r="84">
          <cell r="A84" t="str">
            <v xml:space="preserve"> 433 Колбаса Стародворская со шпиком  в оболочке полиамид. ТМ Стародворье ВЕС ПОКОМ</v>
          </cell>
          <cell r="B84" t="str">
            <v>кг</v>
          </cell>
          <cell r="G84">
            <v>0</v>
          </cell>
          <cell r="I84" t="str">
            <v>матрица</v>
          </cell>
          <cell r="L84">
            <v>0</v>
          </cell>
          <cell r="M84">
            <v>0</v>
          </cell>
          <cell r="O84">
            <v>0</v>
          </cell>
          <cell r="S84">
            <v>0</v>
          </cell>
          <cell r="T84">
            <v>0</v>
          </cell>
          <cell r="V84">
            <v>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G85">
            <v>0</v>
          </cell>
          <cell r="I85" t="str">
            <v>матрица</v>
          </cell>
          <cell r="L85">
            <v>0</v>
          </cell>
          <cell r="M85">
            <v>0</v>
          </cell>
          <cell r="O85">
            <v>0</v>
          </cell>
          <cell r="S85">
            <v>0</v>
          </cell>
          <cell r="T85">
            <v>0</v>
          </cell>
          <cell r="V85">
            <v>0</v>
          </cell>
        </row>
        <row r="86">
          <cell r="A86" t="str">
            <v xml:space="preserve"> 449  Колбаса Дугушка Стародворская ВЕС ТС Дугушка ПОКОМ</v>
          </cell>
          <cell r="B86" t="str">
            <v>кг</v>
          </cell>
          <cell r="C86">
            <v>312.17899999999997</v>
          </cell>
          <cell r="D86">
            <v>229.203</v>
          </cell>
          <cell r="E86">
            <v>119.328</v>
          </cell>
          <cell r="F86">
            <v>418.71300000000002</v>
          </cell>
          <cell r="G86">
            <v>1</v>
          </cell>
          <cell r="H86">
            <v>60</v>
          </cell>
          <cell r="I86" t="str">
            <v>матрица</v>
          </cell>
          <cell r="K86">
            <v>119.7</v>
          </cell>
          <cell r="L86">
            <v>-0.37199999999999989</v>
          </cell>
          <cell r="M86">
            <v>119.328</v>
          </cell>
          <cell r="O86">
            <v>0</v>
          </cell>
          <cell r="S86">
            <v>0</v>
          </cell>
          <cell r="T86">
            <v>23.865600000000001</v>
          </cell>
          <cell r="V86">
            <v>0</v>
          </cell>
        </row>
        <row r="87">
          <cell r="A87" t="str">
            <v xml:space="preserve"> 451 Сосиски Филейские ТМ Вязанка в оболочке целлофан 0,3 кг. ПОКОМ</v>
          </cell>
          <cell r="B87" t="str">
            <v>шт</v>
          </cell>
          <cell r="G87">
            <v>0</v>
          </cell>
          <cell r="I87" t="str">
            <v>матрица</v>
          </cell>
          <cell r="L87">
            <v>0</v>
          </cell>
          <cell r="M87">
            <v>0</v>
          </cell>
          <cell r="O87">
            <v>0</v>
          </cell>
          <cell r="S87">
            <v>0</v>
          </cell>
          <cell r="T87">
            <v>0</v>
          </cell>
          <cell r="V87">
            <v>0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B88" t="str">
            <v>кг</v>
          </cell>
          <cell r="C88">
            <v>863.39200000000005</v>
          </cell>
          <cell r="D88">
            <v>3444.0830000000001</v>
          </cell>
          <cell r="E88">
            <v>1216.153</v>
          </cell>
          <cell r="F88">
            <v>2770.9189999999999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1247.1469999999999</v>
          </cell>
          <cell r="L88">
            <v>-30.993999999999915</v>
          </cell>
          <cell r="M88">
            <v>961.50600000000009</v>
          </cell>
          <cell r="N88">
            <v>254.64699999999999</v>
          </cell>
          <cell r="O88">
            <v>0</v>
          </cell>
          <cell r="S88">
            <v>0</v>
          </cell>
          <cell r="T88">
            <v>192.30120000000002</v>
          </cell>
          <cell r="V88">
            <v>0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B89" t="str">
            <v>кг</v>
          </cell>
          <cell r="C89">
            <v>596.92999999999995</v>
          </cell>
          <cell r="D89">
            <v>2605.0320000000002</v>
          </cell>
          <cell r="E89">
            <v>823.59699999999998</v>
          </cell>
          <cell r="F89">
            <v>2147.2440000000001</v>
          </cell>
          <cell r="G89">
            <v>1</v>
          </cell>
          <cell r="H89">
            <v>60</v>
          </cell>
          <cell r="I89" t="str">
            <v>матрица</v>
          </cell>
          <cell r="K89">
            <v>854.43299999999999</v>
          </cell>
          <cell r="L89">
            <v>-30.836000000000013</v>
          </cell>
          <cell r="M89">
            <v>615.16399999999999</v>
          </cell>
          <cell r="N89">
            <v>208.43299999999999</v>
          </cell>
          <cell r="O89">
            <v>0</v>
          </cell>
          <cell r="Q89">
            <v>438.29765999999989</v>
          </cell>
          <cell r="R89">
            <v>400</v>
          </cell>
          <cell r="S89">
            <v>0</v>
          </cell>
          <cell r="T89">
            <v>123.03279999999999</v>
          </cell>
          <cell r="V89">
            <v>0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B90" t="str">
            <v>кг</v>
          </cell>
          <cell r="C90">
            <v>2729.498</v>
          </cell>
          <cell r="D90">
            <v>2498.5650000000001</v>
          </cell>
          <cell r="E90">
            <v>1851.3910000000001</v>
          </cell>
          <cell r="F90">
            <v>3107.701</v>
          </cell>
          <cell r="G90">
            <v>1</v>
          </cell>
          <cell r="H90">
            <v>60</v>
          </cell>
          <cell r="I90" t="str">
            <v>матрица</v>
          </cell>
          <cell r="K90">
            <v>1905.7429999999999</v>
          </cell>
          <cell r="L90">
            <v>-54.351999999999862</v>
          </cell>
          <cell r="M90">
            <v>1597.1480000000001</v>
          </cell>
          <cell r="N90">
            <v>254.24299999999999</v>
          </cell>
          <cell r="O90">
            <v>0</v>
          </cell>
          <cell r="Q90">
            <v>814.12087999999994</v>
          </cell>
          <cell r="R90">
            <v>1000</v>
          </cell>
          <cell r="S90">
            <v>492.90262599999909</v>
          </cell>
          <cell r="T90">
            <v>319.42960000000005</v>
          </cell>
          <cell r="V90">
            <v>0</v>
          </cell>
        </row>
        <row r="91">
          <cell r="A91" t="str">
            <v xml:space="preserve"> 460  Колбаса Стародворская Традиционная ВЕС ТМ Стародворье в оболочке полиамид. ПОКОМ</v>
          </cell>
          <cell r="B91" t="str">
            <v>кг</v>
          </cell>
          <cell r="G91">
            <v>0</v>
          </cell>
          <cell r="I91" t="str">
            <v>матрица</v>
          </cell>
          <cell r="L91">
            <v>0</v>
          </cell>
          <cell r="M91">
            <v>0</v>
          </cell>
          <cell r="O91">
            <v>0</v>
          </cell>
          <cell r="S91">
            <v>0</v>
          </cell>
          <cell r="T91">
            <v>0</v>
          </cell>
          <cell r="V91">
            <v>0</v>
          </cell>
        </row>
        <row r="92">
          <cell r="A92" t="str">
            <v xml:space="preserve"> 498  Колбаса Сочинка рубленая с сочным окороком 0,3кг ТМ Стародворье  ПОКОМ</v>
          </cell>
          <cell r="B92" t="str">
            <v>шт</v>
          </cell>
          <cell r="C92">
            <v>70</v>
          </cell>
          <cell r="D92">
            <v>2</v>
          </cell>
          <cell r="E92">
            <v>61</v>
          </cell>
          <cell r="F92">
            <v>1</v>
          </cell>
          <cell r="G92">
            <v>0.3</v>
          </cell>
          <cell r="H92">
            <v>40</v>
          </cell>
          <cell r="I92" t="str">
            <v>матрица</v>
          </cell>
          <cell r="K92">
            <v>76</v>
          </cell>
          <cell r="L92">
            <v>-15</v>
          </cell>
          <cell r="M92">
            <v>61</v>
          </cell>
          <cell r="O92">
            <v>162.19999999999999</v>
          </cell>
          <cell r="S92">
            <v>0</v>
          </cell>
          <cell r="T92">
            <v>12.2</v>
          </cell>
          <cell r="V92">
            <v>0</v>
          </cell>
        </row>
        <row r="93">
          <cell r="A93" t="str">
            <v xml:space="preserve"> 517  Сосиски С сыром ТМ Ядрена копоть 0,3кг  ПОКОМ</v>
          </cell>
          <cell r="B93" t="str">
            <v>шт</v>
          </cell>
          <cell r="G93">
            <v>0</v>
          </cell>
          <cell r="I93" t="str">
            <v>матрица</v>
          </cell>
          <cell r="L93">
            <v>0</v>
          </cell>
          <cell r="M93">
            <v>0</v>
          </cell>
          <cell r="O93">
            <v>0</v>
          </cell>
          <cell r="S93">
            <v>0</v>
          </cell>
          <cell r="T93">
            <v>0</v>
          </cell>
          <cell r="V93">
            <v>0</v>
          </cell>
        </row>
        <row r="94">
          <cell r="A94" t="str">
            <v xml:space="preserve"> 523  Колбаса Сальчичон нарезка 0,07кг ТМ Стародворье  ПОКОМ </v>
          </cell>
          <cell r="B94" t="str">
            <v>шт</v>
          </cell>
          <cell r="C94">
            <v>59</v>
          </cell>
          <cell r="D94">
            <v>68</v>
          </cell>
          <cell r="E94">
            <v>54</v>
          </cell>
          <cell r="F94">
            <v>52</v>
          </cell>
          <cell r="G94">
            <v>7.0000000000000007E-2</v>
          </cell>
          <cell r="H94">
            <v>90</v>
          </cell>
          <cell r="I94" t="str">
            <v>матрица</v>
          </cell>
          <cell r="K94">
            <v>55</v>
          </cell>
          <cell r="L94">
            <v>-1</v>
          </cell>
          <cell r="M94">
            <v>54</v>
          </cell>
          <cell r="O94">
            <v>140.4</v>
          </cell>
          <cell r="S94">
            <v>42.400000000000027</v>
          </cell>
          <cell r="T94">
            <v>10.8</v>
          </cell>
          <cell r="V94">
            <v>80</v>
          </cell>
          <cell r="W94">
            <v>80</v>
          </cell>
        </row>
        <row r="95">
          <cell r="A95" t="str">
            <v xml:space="preserve"> 524  Колбаса Сервелат Ореховый нарезка 0,07кг ТМ Стародворье  ПОКОМ</v>
          </cell>
          <cell r="B95" t="str">
            <v>шт</v>
          </cell>
          <cell r="C95">
            <v>48</v>
          </cell>
          <cell r="D95">
            <v>109</v>
          </cell>
          <cell r="E95">
            <v>94</v>
          </cell>
          <cell r="F95">
            <v>37</v>
          </cell>
          <cell r="G95">
            <v>7.0000000000000007E-2</v>
          </cell>
          <cell r="H95">
            <v>90</v>
          </cell>
          <cell r="I95" t="str">
            <v>матрица</v>
          </cell>
          <cell r="K95">
            <v>99</v>
          </cell>
          <cell r="L95">
            <v>-5</v>
          </cell>
          <cell r="M95">
            <v>94</v>
          </cell>
          <cell r="O95">
            <v>34.800000000000011</v>
          </cell>
          <cell r="S95">
            <v>0</v>
          </cell>
          <cell r="T95">
            <v>18.8</v>
          </cell>
          <cell r="U95">
            <v>116.19999999999999</v>
          </cell>
          <cell r="V95">
            <v>196.2</v>
          </cell>
          <cell r="W95">
            <v>80</v>
          </cell>
        </row>
        <row r="96">
          <cell r="A96" t="str">
            <v xml:space="preserve"> 525  Колбаса Фуэт нарезка 0,07кг ТМ Стародворье  ПОКОМ</v>
          </cell>
          <cell r="B96" t="str">
            <v>шт</v>
          </cell>
          <cell r="C96">
            <v>28</v>
          </cell>
          <cell r="D96">
            <v>70</v>
          </cell>
          <cell r="E96">
            <v>50</v>
          </cell>
          <cell r="F96">
            <v>22</v>
          </cell>
          <cell r="G96">
            <v>7.0000000000000007E-2</v>
          </cell>
          <cell r="H96">
            <v>90</v>
          </cell>
          <cell r="I96" t="str">
            <v>матрица</v>
          </cell>
          <cell r="K96">
            <v>56</v>
          </cell>
          <cell r="L96">
            <v>-6</v>
          </cell>
          <cell r="M96">
            <v>50</v>
          </cell>
          <cell r="O96">
            <v>131.4</v>
          </cell>
          <cell r="S96">
            <v>61.8</v>
          </cell>
          <cell r="T96">
            <v>10</v>
          </cell>
          <cell r="V96">
            <v>80</v>
          </cell>
          <cell r="W96">
            <v>80</v>
          </cell>
        </row>
        <row r="97">
          <cell r="A97" t="str">
            <v xml:space="preserve"> 526  Корейка вяленая выдержанная нарезка 0,05кг ТМ Стародворье  ПОКОМ</v>
          </cell>
          <cell r="B97" t="str">
            <v>шт</v>
          </cell>
          <cell r="C97">
            <v>160</v>
          </cell>
          <cell r="D97">
            <v>5</v>
          </cell>
          <cell r="E97">
            <v>37</v>
          </cell>
          <cell r="F97">
            <v>125</v>
          </cell>
          <cell r="G97">
            <v>0</v>
          </cell>
          <cell r="H97">
            <v>90</v>
          </cell>
          <cell r="I97" t="str">
            <v>не в матрице</v>
          </cell>
          <cell r="K97">
            <v>44</v>
          </cell>
          <cell r="L97">
            <v>-7</v>
          </cell>
          <cell r="M97">
            <v>37</v>
          </cell>
          <cell r="O97">
            <v>0</v>
          </cell>
          <cell r="S97">
            <v>0</v>
          </cell>
          <cell r="T97">
            <v>7.4</v>
          </cell>
          <cell r="V97">
            <v>0</v>
          </cell>
        </row>
        <row r="98">
          <cell r="A98" t="str">
            <v xml:space="preserve"> 544  Сосиски Мясные для гриля ТС Ядрена копоть 0,3 кг  ПОКОМ</v>
          </cell>
          <cell r="B98" t="str">
            <v>шт</v>
          </cell>
          <cell r="G98">
            <v>0</v>
          </cell>
          <cell r="I98" t="str">
            <v>матрица</v>
          </cell>
          <cell r="L98">
            <v>0</v>
          </cell>
          <cell r="M98">
            <v>0</v>
          </cell>
          <cell r="O98">
            <v>0</v>
          </cell>
          <cell r="S98">
            <v>0</v>
          </cell>
          <cell r="T98">
            <v>0</v>
          </cell>
          <cell r="V98">
            <v>0</v>
          </cell>
        </row>
        <row r="99">
          <cell r="A99" t="str">
            <v xml:space="preserve"> 547  Колбаса Мясная Классическая ТМ Вязанка в оболочке полиамид. ВЕС  ПОКОМ</v>
          </cell>
          <cell r="B99" t="str">
            <v>кг</v>
          </cell>
          <cell r="C99">
            <v>77.156000000000006</v>
          </cell>
          <cell r="E99">
            <v>11.069000000000001</v>
          </cell>
          <cell r="F99">
            <v>66.087000000000003</v>
          </cell>
          <cell r="G99">
            <v>1</v>
          </cell>
          <cell r="H99">
            <v>55</v>
          </cell>
          <cell r="I99" t="str">
            <v>матрица</v>
          </cell>
          <cell r="K99">
            <v>9.4</v>
          </cell>
          <cell r="L99">
            <v>1.6690000000000005</v>
          </cell>
          <cell r="M99">
            <v>11.069000000000001</v>
          </cell>
          <cell r="O99">
            <v>0</v>
          </cell>
          <cell r="S99">
            <v>0</v>
          </cell>
          <cell r="T99">
            <v>2.2138</v>
          </cell>
          <cell r="V99">
            <v>0</v>
          </cell>
        </row>
        <row r="100">
          <cell r="A100" t="str">
            <v xml:space="preserve"> 551  Колбаса Сливушка ТМ Вязанка в модифицированной газовой среде 0,11 кг нарезка  ПОКОМ</v>
          </cell>
          <cell r="B100" t="str">
            <v>шт</v>
          </cell>
          <cell r="D100">
            <v>16</v>
          </cell>
          <cell r="E100">
            <v>16</v>
          </cell>
          <cell r="G100">
            <v>0.11</v>
          </cell>
          <cell r="H100">
            <v>30</v>
          </cell>
          <cell r="I100" t="str">
            <v>матрица</v>
          </cell>
          <cell r="K100">
            <v>24</v>
          </cell>
          <cell r="L100">
            <v>-8</v>
          </cell>
          <cell r="M100">
            <v>16</v>
          </cell>
          <cell r="O100">
            <v>0</v>
          </cell>
          <cell r="S100">
            <v>0</v>
          </cell>
          <cell r="T100">
            <v>3.2</v>
          </cell>
          <cell r="U100">
            <v>16</v>
          </cell>
          <cell r="V100">
            <v>86</v>
          </cell>
          <cell r="W100">
            <v>70</v>
          </cell>
        </row>
        <row r="101">
          <cell r="A101" t="str">
            <v xml:space="preserve"> 552  Ветчина Сливушка с индейкой ТМ Вязанка в модифицированной газовой среде 0,1 кг нарезка  ПОКОМ</v>
          </cell>
          <cell r="B101" t="str">
            <v>шт</v>
          </cell>
          <cell r="G101">
            <v>0</v>
          </cell>
          <cell r="I101" t="str">
            <v>матрица</v>
          </cell>
          <cell r="L101">
            <v>0</v>
          </cell>
          <cell r="M101">
            <v>0</v>
          </cell>
          <cell r="O101">
            <v>0</v>
          </cell>
          <cell r="S101">
            <v>0</v>
          </cell>
          <cell r="T101">
            <v>0</v>
          </cell>
          <cell r="V101">
            <v>0</v>
          </cell>
        </row>
        <row r="102">
          <cell r="A102" t="str">
            <v xml:space="preserve"> 553  Ассорти колбас Мясорубская коллекция: Сервелат Делюкс, С балыком 0,08 кг нарезка  ПОКОМ</v>
          </cell>
          <cell r="B102" t="str">
            <v>шт</v>
          </cell>
          <cell r="C102">
            <v>104</v>
          </cell>
          <cell r="D102">
            <v>36</v>
          </cell>
          <cell r="E102">
            <v>87</v>
          </cell>
          <cell r="F102">
            <v>33</v>
          </cell>
          <cell r="G102">
            <v>0.08</v>
          </cell>
          <cell r="H102">
            <v>45</v>
          </cell>
          <cell r="I102" t="str">
            <v>матрица</v>
          </cell>
          <cell r="K102">
            <v>107</v>
          </cell>
          <cell r="L102">
            <v>-20</v>
          </cell>
          <cell r="M102">
            <v>87</v>
          </cell>
          <cell r="O102">
            <v>144.6</v>
          </cell>
          <cell r="S102">
            <v>81.599999999999994</v>
          </cell>
          <cell r="T102">
            <v>17.399999999999999</v>
          </cell>
          <cell r="V102">
            <v>70</v>
          </cell>
          <cell r="W102">
            <v>70</v>
          </cell>
        </row>
        <row r="103">
          <cell r="A103" t="str">
            <v xml:space="preserve"> 554  Колбаса Сервелат Мясорубский ТМ Стародворье в упаковке скин 0,08 кг нарезка  ПОКОМ</v>
          </cell>
          <cell r="B103" t="str">
            <v>шт</v>
          </cell>
          <cell r="C103">
            <v>116</v>
          </cell>
          <cell r="D103">
            <v>51</v>
          </cell>
          <cell r="E103">
            <v>60</v>
          </cell>
          <cell r="F103">
            <v>84</v>
          </cell>
          <cell r="G103">
            <v>0.08</v>
          </cell>
          <cell r="H103">
            <v>45</v>
          </cell>
          <cell r="I103" t="str">
            <v>матрица</v>
          </cell>
          <cell r="K103">
            <v>63</v>
          </cell>
          <cell r="L103">
            <v>-3</v>
          </cell>
          <cell r="M103">
            <v>60</v>
          </cell>
          <cell r="O103">
            <v>26</v>
          </cell>
          <cell r="S103">
            <v>55</v>
          </cell>
          <cell r="T103">
            <v>12</v>
          </cell>
          <cell r="V103">
            <v>70</v>
          </cell>
          <cell r="W103">
            <v>70</v>
          </cell>
        </row>
        <row r="104">
          <cell r="A104" t="str">
            <v xml:space="preserve"> 555  Колбаса Молокуша ТМ Вязанка в модифицированной газовой среде 0,17 кг нарезка  ПОКОМ</v>
          </cell>
          <cell r="B104" t="str">
            <v>шт</v>
          </cell>
          <cell r="C104">
            <v>18</v>
          </cell>
          <cell r="D104">
            <v>3</v>
          </cell>
          <cell r="E104">
            <v>4</v>
          </cell>
          <cell r="F104">
            <v>14</v>
          </cell>
          <cell r="G104">
            <v>0.17</v>
          </cell>
          <cell r="H104">
            <v>30</v>
          </cell>
          <cell r="I104" t="str">
            <v>матрица</v>
          </cell>
          <cell r="K104">
            <v>17</v>
          </cell>
          <cell r="L104">
            <v>-13</v>
          </cell>
          <cell r="M104">
            <v>4</v>
          </cell>
          <cell r="O104">
            <v>0</v>
          </cell>
          <cell r="S104">
            <v>0</v>
          </cell>
          <cell r="T104">
            <v>0.8</v>
          </cell>
          <cell r="V104">
            <v>70</v>
          </cell>
          <cell r="W104">
            <v>70</v>
          </cell>
        </row>
        <row r="105">
          <cell r="A105" t="str">
            <v xml:space="preserve"> 556  Колбаса Сервелат Ореховый ТМ Вязанка в оболочке фиброуз в вакуумной упаковке, ВЕС  ПОКОМ</v>
          </cell>
          <cell r="B105" t="str">
            <v>кг</v>
          </cell>
          <cell r="C105">
            <v>172.691</v>
          </cell>
          <cell r="D105">
            <v>179.90799999999999</v>
          </cell>
          <cell r="E105">
            <v>102.29600000000001</v>
          </cell>
          <cell r="F105">
            <v>242.268</v>
          </cell>
          <cell r="G105">
            <v>1</v>
          </cell>
          <cell r="H105">
            <v>40</v>
          </cell>
          <cell r="I105" t="str">
            <v>матрица</v>
          </cell>
          <cell r="K105">
            <v>114.5</v>
          </cell>
          <cell r="L105">
            <v>-12.203999999999994</v>
          </cell>
          <cell r="M105">
            <v>102.29600000000001</v>
          </cell>
          <cell r="O105">
            <v>0</v>
          </cell>
          <cell r="S105">
            <v>0</v>
          </cell>
          <cell r="T105">
            <v>20.459200000000003</v>
          </cell>
          <cell r="V105">
            <v>0</v>
          </cell>
        </row>
        <row r="106">
          <cell r="A106" t="str">
            <v xml:space="preserve"> 557  Колбаса Сервелат Финский ТМ Вязанка в оболочке фиброуз в вакуумной упаковке, ВЕС  ПОКОМ</v>
          </cell>
          <cell r="B106" t="str">
            <v>кг</v>
          </cell>
          <cell r="C106">
            <v>164.44300000000001</v>
          </cell>
          <cell r="D106">
            <v>142.14500000000001</v>
          </cell>
          <cell r="E106">
            <v>52.996000000000002</v>
          </cell>
          <cell r="F106">
            <v>236.86600000000001</v>
          </cell>
          <cell r="G106">
            <v>1</v>
          </cell>
          <cell r="H106">
            <v>40</v>
          </cell>
          <cell r="I106" t="str">
            <v>матрица</v>
          </cell>
          <cell r="K106">
            <v>74.900000000000006</v>
          </cell>
          <cell r="L106">
            <v>-21.904000000000003</v>
          </cell>
          <cell r="M106">
            <v>52.996000000000002</v>
          </cell>
          <cell r="O106">
            <v>0</v>
          </cell>
          <cell r="S106">
            <v>0</v>
          </cell>
          <cell r="T106">
            <v>10.5992</v>
          </cell>
          <cell r="V106">
            <v>0</v>
          </cell>
        </row>
        <row r="107">
          <cell r="A107" t="str">
            <v xml:space="preserve"> 558  Колбаса Балыковая НОВАЯ ВЕС Вязанка фиброуз в/у ПОКОМ</v>
          </cell>
          <cell r="B107" t="str">
            <v>кг</v>
          </cell>
          <cell r="C107">
            <v>264.50700000000001</v>
          </cell>
          <cell r="D107">
            <v>5.016</v>
          </cell>
          <cell r="E107">
            <v>108.87</v>
          </cell>
          <cell r="F107">
            <v>156.37200000000001</v>
          </cell>
          <cell r="G107">
            <v>1</v>
          </cell>
          <cell r="H107">
            <v>40</v>
          </cell>
          <cell r="I107" t="str">
            <v>матрица</v>
          </cell>
          <cell r="K107">
            <v>134.69999999999999</v>
          </cell>
          <cell r="L107">
            <v>-25.829999999999984</v>
          </cell>
          <cell r="M107">
            <v>108.87</v>
          </cell>
          <cell r="O107">
            <v>0</v>
          </cell>
          <cell r="S107">
            <v>101.3128000000001</v>
          </cell>
          <cell r="T107">
            <v>21.774000000000001</v>
          </cell>
          <cell r="V107">
            <v>0</v>
          </cell>
        </row>
        <row r="108">
          <cell r="A108" t="str">
            <v xml:space="preserve"> 564  Сосиски Сочные 0,3 кг ТМ Вязанка  ПОКОМ</v>
          </cell>
          <cell r="B108" t="str">
            <v>шт</v>
          </cell>
          <cell r="G108">
            <v>0</v>
          </cell>
          <cell r="I108" t="str">
            <v>матрица</v>
          </cell>
          <cell r="L108">
            <v>0</v>
          </cell>
          <cell r="M108">
            <v>0</v>
          </cell>
          <cell r="O108">
            <v>0</v>
          </cell>
          <cell r="S108">
            <v>0</v>
          </cell>
          <cell r="T108">
            <v>0</v>
          </cell>
          <cell r="V108">
            <v>0</v>
          </cell>
        </row>
        <row r="109">
          <cell r="A109" t="str">
            <v xml:space="preserve"> 567 Колбаса Со шпиком Стародворская ТМ Стародворье в оболочке полиамид ВЕС  ПОКОМ</v>
          </cell>
          <cell r="B109" t="str">
            <v>кг</v>
          </cell>
          <cell r="G109">
            <v>0</v>
          </cell>
          <cell r="I109" t="str">
            <v>матрица</v>
          </cell>
          <cell r="L109">
            <v>0</v>
          </cell>
          <cell r="M109">
            <v>0</v>
          </cell>
          <cell r="O109">
            <v>0</v>
          </cell>
          <cell r="S109">
            <v>0</v>
          </cell>
          <cell r="T109">
            <v>0</v>
          </cell>
          <cell r="V109">
            <v>0</v>
          </cell>
        </row>
        <row r="110">
          <cell r="A110" t="str">
            <v xml:space="preserve"> 569  Колбаса Балыковая ТМ Вязанка в оболочке фиброуз в вакуумной упаковке 0,28 кг срез.  ПОКОМ</v>
          </cell>
          <cell r="B110" t="str">
            <v>шт</v>
          </cell>
          <cell r="C110">
            <v>274</v>
          </cell>
          <cell r="D110">
            <v>402</v>
          </cell>
          <cell r="E110">
            <v>121</v>
          </cell>
          <cell r="F110">
            <v>524</v>
          </cell>
          <cell r="G110">
            <v>0.28000000000000003</v>
          </cell>
          <cell r="H110">
            <v>40</v>
          </cell>
          <cell r="I110" t="str">
            <v>матрица</v>
          </cell>
          <cell r="K110">
            <v>189</v>
          </cell>
          <cell r="L110">
            <v>-68</v>
          </cell>
          <cell r="M110">
            <v>121</v>
          </cell>
          <cell r="O110">
            <v>0</v>
          </cell>
          <cell r="S110">
            <v>0</v>
          </cell>
          <cell r="T110">
            <v>24.2</v>
          </cell>
          <cell r="V110">
            <v>0</v>
          </cell>
        </row>
        <row r="111">
          <cell r="A111" t="str">
            <v xml:space="preserve"> 570  Колбаса Сервелат Финский ТМ Вязанка в оболочке фиброуз в вак. упаковке 0,28 кг срез  ПОКОМ</v>
          </cell>
          <cell r="B111" t="str">
            <v>шт</v>
          </cell>
          <cell r="C111">
            <v>84</v>
          </cell>
          <cell r="D111">
            <v>425</v>
          </cell>
          <cell r="E111">
            <v>97</v>
          </cell>
          <cell r="F111">
            <v>399</v>
          </cell>
          <cell r="G111">
            <v>0.28000000000000003</v>
          </cell>
          <cell r="H111">
            <v>40</v>
          </cell>
          <cell r="I111" t="str">
            <v>матрица</v>
          </cell>
          <cell r="K111">
            <v>158</v>
          </cell>
          <cell r="L111">
            <v>-61</v>
          </cell>
          <cell r="M111">
            <v>97</v>
          </cell>
          <cell r="O111">
            <v>43.4</v>
          </cell>
          <cell r="S111">
            <v>0</v>
          </cell>
          <cell r="T111">
            <v>19.399999999999999</v>
          </cell>
          <cell r="V111">
            <v>0</v>
          </cell>
        </row>
        <row r="112">
          <cell r="A112" t="str">
            <v xml:space="preserve"> 571  Колбаса Сервелат Ореховый ТМ Вязанка в оболочке фиброуз в вак. упаковке 0,28 кг срез  ПОКОМ</v>
          </cell>
          <cell r="B112" t="str">
            <v>шт</v>
          </cell>
          <cell r="C112">
            <v>185</v>
          </cell>
          <cell r="D112">
            <v>391</v>
          </cell>
          <cell r="E112">
            <v>166</v>
          </cell>
          <cell r="F112">
            <v>384</v>
          </cell>
          <cell r="G112">
            <v>0.28000000000000003</v>
          </cell>
          <cell r="H112">
            <v>40</v>
          </cell>
          <cell r="I112" t="str">
            <v>матрица</v>
          </cell>
          <cell r="K112">
            <v>222</v>
          </cell>
          <cell r="L112">
            <v>-56</v>
          </cell>
          <cell r="M112">
            <v>166</v>
          </cell>
          <cell r="O112">
            <v>0</v>
          </cell>
          <cell r="S112">
            <v>4.6999999999999602</v>
          </cell>
          <cell r="T112">
            <v>33.200000000000003</v>
          </cell>
          <cell r="V112">
            <v>0</v>
          </cell>
        </row>
        <row r="113">
          <cell r="A113" t="str">
            <v xml:space="preserve"> 574  Колбаса Сервелат Финский ТМ Вязанка в упаковке скин 0,09 кг нарезка  ПОКОМ</v>
          </cell>
          <cell r="B113" t="str">
            <v>шт</v>
          </cell>
          <cell r="C113">
            <v>18</v>
          </cell>
          <cell r="D113">
            <v>40</v>
          </cell>
          <cell r="E113">
            <v>18</v>
          </cell>
          <cell r="F113">
            <v>39</v>
          </cell>
          <cell r="G113">
            <v>0.09</v>
          </cell>
          <cell r="H113">
            <v>45</v>
          </cell>
          <cell r="I113" t="str">
            <v>матрица</v>
          </cell>
          <cell r="K113">
            <v>19</v>
          </cell>
          <cell r="L113">
            <v>-1</v>
          </cell>
          <cell r="M113">
            <v>18</v>
          </cell>
          <cell r="O113">
            <v>59.000000000000007</v>
          </cell>
          <cell r="S113">
            <v>10</v>
          </cell>
          <cell r="T113">
            <v>3.6</v>
          </cell>
          <cell r="V113">
            <v>70</v>
          </cell>
          <cell r="W113">
            <v>70</v>
          </cell>
        </row>
        <row r="114">
          <cell r="A114" t="str">
            <v xml:space="preserve"> 579  Колбаса Ветчинно-рубленая ТМ Особый рецепт в оболочке полиамид.ВЕС  ПОКОМ</v>
          </cell>
          <cell r="B114" t="str">
            <v>кг</v>
          </cell>
          <cell r="C114">
            <v>73.168999999999997</v>
          </cell>
          <cell r="D114">
            <v>167.54400000000001</v>
          </cell>
          <cell r="E114">
            <v>39.533000000000001</v>
          </cell>
          <cell r="F114">
            <v>197.38</v>
          </cell>
          <cell r="G114">
            <v>1</v>
          </cell>
          <cell r="H114">
            <v>60</v>
          </cell>
          <cell r="I114" t="str">
            <v>матрица</v>
          </cell>
          <cell r="K114">
            <v>42.5</v>
          </cell>
          <cell r="L114">
            <v>-2.9669999999999987</v>
          </cell>
          <cell r="M114">
            <v>39.533000000000001</v>
          </cell>
          <cell r="O114">
            <v>0</v>
          </cell>
          <cell r="S114">
            <v>0</v>
          </cell>
          <cell r="T114">
            <v>7.9066000000000001</v>
          </cell>
          <cell r="V114">
            <v>0</v>
          </cell>
        </row>
        <row r="115">
          <cell r="A115" t="str">
            <v xml:space="preserve"> 580  Ветчина Нежная с индейкой ТМ Особый рецепт в оболочке полиамид.ВЕС  ПОКОМ</v>
          </cell>
          <cell r="B115" t="str">
            <v>кг</v>
          </cell>
          <cell r="C115">
            <v>135.172</v>
          </cell>
          <cell r="D115">
            <v>112.274</v>
          </cell>
          <cell r="E115">
            <v>42.188000000000002</v>
          </cell>
          <cell r="F115">
            <v>197.42400000000001</v>
          </cell>
          <cell r="G115">
            <v>1</v>
          </cell>
          <cell r="H115">
            <v>50</v>
          </cell>
          <cell r="I115" t="str">
            <v>матрица</v>
          </cell>
          <cell r="K115">
            <v>52.5</v>
          </cell>
          <cell r="L115">
            <v>-10.311999999999998</v>
          </cell>
          <cell r="M115">
            <v>42.188000000000002</v>
          </cell>
          <cell r="O115">
            <v>0</v>
          </cell>
          <cell r="S115">
            <v>0</v>
          </cell>
          <cell r="T115">
            <v>8.4375999999999998</v>
          </cell>
          <cell r="V115">
            <v>0</v>
          </cell>
        </row>
        <row r="116">
          <cell r="A116" t="str">
            <v xml:space="preserve"> 583  Колбаса Балыковая ТМ Вязанка в упаковке скин 0,09 кг нарезка  ПОКОМ</v>
          </cell>
          <cell r="B116" t="str">
            <v>шт</v>
          </cell>
          <cell r="C116">
            <v>52</v>
          </cell>
          <cell r="D116">
            <v>2</v>
          </cell>
          <cell r="E116">
            <v>31</v>
          </cell>
          <cell r="F116">
            <v>21</v>
          </cell>
          <cell r="G116">
            <v>0.09</v>
          </cell>
          <cell r="H116">
            <v>45</v>
          </cell>
          <cell r="I116" t="str">
            <v>матрица</v>
          </cell>
          <cell r="K116">
            <v>33</v>
          </cell>
          <cell r="L116">
            <v>-2</v>
          </cell>
          <cell r="M116">
            <v>31</v>
          </cell>
          <cell r="O116">
            <v>20</v>
          </cell>
          <cell r="S116">
            <v>65.800000000000011</v>
          </cell>
          <cell r="T116">
            <v>6.2</v>
          </cell>
          <cell r="V116">
            <v>70</v>
          </cell>
          <cell r="W116">
            <v>70</v>
          </cell>
        </row>
        <row r="117">
          <cell r="A117" t="str">
            <v xml:space="preserve"> 584  Колбаса Сервелат Ореховый ТМ Вязанка в упаковке скин 0,09 кг нарезка  ПОКОМ</v>
          </cell>
          <cell r="B117" t="str">
            <v>шт</v>
          </cell>
          <cell r="C117">
            <v>69</v>
          </cell>
          <cell r="D117">
            <v>1</v>
          </cell>
          <cell r="E117">
            <v>28</v>
          </cell>
          <cell r="F117">
            <v>40</v>
          </cell>
          <cell r="G117">
            <v>0.09</v>
          </cell>
          <cell r="H117">
            <v>45</v>
          </cell>
          <cell r="I117" t="str">
            <v>матрица</v>
          </cell>
          <cell r="K117">
            <v>30</v>
          </cell>
          <cell r="L117">
            <v>-2</v>
          </cell>
          <cell r="M117">
            <v>28</v>
          </cell>
          <cell r="O117">
            <v>0</v>
          </cell>
          <cell r="S117">
            <v>46.599999999999987</v>
          </cell>
          <cell r="T117">
            <v>5.6</v>
          </cell>
          <cell r="V117">
            <v>70</v>
          </cell>
          <cell r="W117">
            <v>70</v>
          </cell>
        </row>
        <row r="118">
          <cell r="A118" t="str">
            <v xml:space="preserve"> 585  Колбаса Молочная ТМ Стародворье в оболочке вектор НД ВЕС.  ПОКОМ</v>
          </cell>
          <cell r="B118" t="str">
            <v>кг</v>
          </cell>
          <cell r="C118">
            <v>30.361000000000001</v>
          </cell>
          <cell r="D118">
            <v>182.714</v>
          </cell>
          <cell r="E118">
            <v>29.49</v>
          </cell>
          <cell r="F118">
            <v>180.12299999999999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29.4</v>
          </cell>
          <cell r="L118">
            <v>8.9999999999999858E-2</v>
          </cell>
          <cell r="M118">
            <v>29.49</v>
          </cell>
          <cell r="O118">
            <v>0</v>
          </cell>
          <cell r="S118">
            <v>0</v>
          </cell>
          <cell r="T118">
            <v>5.8979999999999997</v>
          </cell>
          <cell r="V118">
            <v>0</v>
          </cell>
        </row>
        <row r="119">
          <cell r="A119" t="str">
            <v xml:space="preserve"> 586  Колбаса Мясная ТМ Стародворье в оболочке вектор НД ВЕС.  ПОКОМ</v>
          </cell>
          <cell r="B119" t="str">
            <v>кг</v>
          </cell>
          <cell r="C119">
            <v>213.089</v>
          </cell>
          <cell r="D119">
            <v>141.95599999999999</v>
          </cell>
          <cell r="E119">
            <v>69.215999999999994</v>
          </cell>
          <cell r="F119">
            <v>280.45299999999997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71.5</v>
          </cell>
          <cell r="L119">
            <v>-2.284000000000006</v>
          </cell>
          <cell r="M119">
            <v>69.215999999999994</v>
          </cell>
          <cell r="O119">
            <v>0</v>
          </cell>
          <cell r="S119">
            <v>0</v>
          </cell>
          <cell r="T119">
            <v>13.8432</v>
          </cell>
          <cell r="V119">
            <v>0</v>
          </cell>
        </row>
        <row r="120">
          <cell r="A120" t="str">
            <v xml:space="preserve"> 588 Колбаса Со шпиком ТМ Стародворье в оболочке вектор ВЕС  ПОКОМ</v>
          </cell>
          <cell r="B120" t="str">
            <v>кг</v>
          </cell>
          <cell r="C120">
            <v>78.603999999999999</v>
          </cell>
          <cell r="D120">
            <v>4.1219999999999999</v>
          </cell>
          <cell r="E120">
            <v>16.984000000000002</v>
          </cell>
          <cell r="F120">
            <v>57.142000000000003</v>
          </cell>
          <cell r="G120">
            <v>1</v>
          </cell>
          <cell r="H120">
            <v>60</v>
          </cell>
          <cell r="I120" t="str">
            <v>матрица</v>
          </cell>
          <cell r="K120">
            <v>24.6</v>
          </cell>
          <cell r="L120">
            <v>-7.6159999999999997</v>
          </cell>
          <cell r="M120">
            <v>16.984000000000002</v>
          </cell>
          <cell r="O120">
            <v>11.00720000000001</v>
          </cell>
          <cell r="S120">
            <v>0</v>
          </cell>
          <cell r="T120">
            <v>3.3968000000000003</v>
          </cell>
          <cell r="V120">
            <v>0</v>
          </cell>
        </row>
        <row r="121">
          <cell r="A121" t="str">
            <v xml:space="preserve"> 597  Колбаса Классическая ТМ Особый рецепт в оболочке полиамид ВЕС. ПОКОМ</v>
          </cell>
          <cell r="B121" t="str">
            <v>кг</v>
          </cell>
          <cell r="C121">
            <v>1258.4929999999999</v>
          </cell>
          <cell r="D121">
            <v>1198.3579999999999</v>
          </cell>
          <cell r="E121">
            <v>809.65</v>
          </cell>
          <cell r="F121">
            <v>1624.473</v>
          </cell>
          <cell r="G121">
            <v>1</v>
          </cell>
          <cell r="H121">
            <v>60</v>
          </cell>
          <cell r="I121" t="str">
            <v>матрица</v>
          </cell>
          <cell r="K121">
            <v>824.5</v>
          </cell>
          <cell r="L121">
            <v>-14.850000000000023</v>
          </cell>
          <cell r="M121">
            <v>809.65</v>
          </cell>
          <cell r="O121">
            <v>0</v>
          </cell>
          <cell r="R121">
            <v>600</v>
          </cell>
          <cell r="S121">
            <v>0</v>
          </cell>
          <cell r="T121">
            <v>161.93</v>
          </cell>
          <cell r="V121">
            <v>0</v>
          </cell>
        </row>
        <row r="122">
          <cell r="A122" t="str">
            <v xml:space="preserve"> 614  Буженина в пряном маринаде 0,25 кг консервы из мяса индейки ТМ Стародворье  ПОКОМ</v>
          </cell>
          <cell r="B122" t="str">
            <v>шт</v>
          </cell>
          <cell r="D122">
            <v>206</v>
          </cell>
          <cell r="E122">
            <v>169</v>
          </cell>
          <cell r="F122">
            <v>35</v>
          </cell>
          <cell r="G122">
            <v>0.25</v>
          </cell>
          <cell r="I122" t="str">
            <v>матрица</v>
          </cell>
          <cell r="K122">
            <v>163</v>
          </cell>
          <cell r="L122">
            <v>6</v>
          </cell>
          <cell r="M122">
            <v>169</v>
          </cell>
          <cell r="O122">
            <v>0</v>
          </cell>
          <cell r="S122">
            <v>0</v>
          </cell>
          <cell r="T122">
            <v>33.799999999999997</v>
          </cell>
          <cell r="U122">
            <v>500</v>
          </cell>
          <cell r="V122">
            <v>500</v>
          </cell>
        </row>
        <row r="123">
          <cell r="A123" t="str">
            <v xml:space="preserve"> 615  Гречка по-купечески с говядиной и овощами 0,325кг ТМ Стародворье  ПОКОМ</v>
          </cell>
          <cell r="B123" t="str">
            <v>шт</v>
          </cell>
          <cell r="D123">
            <v>209</v>
          </cell>
          <cell r="E123">
            <v>79</v>
          </cell>
          <cell r="F123">
            <v>125</v>
          </cell>
          <cell r="G123">
            <v>0.32500000000000001</v>
          </cell>
          <cell r="I123" t="str">
            <v>матрица</v>
          </cell>
          <cell r="K123">
            <v>77</v>
          </cell>
          <cell r="L123">
            <v>2</v>
          </cell>
          <cell r="M123">
            <v>79</v>
          </cell>
          <cell r="O123">
            <v>0</v>
          </cell>
          <cell r="S123">
            <v>0</v>
          </cell>
          <cell r="T123">
            <v>15.8</v>
          </cell>
          <cell r="U123">
            <v>500</v>
          </cell>
          <cell r="V123">
            <v>500</v>
          </cell>
        </row>
        <row r="124">
          <cell r="A124" t="str">
            <v xml:space="preserve"> 616  Индейка томлёная в собственном соку 0,25кг ТМ Стародлворье Консервый из мяс.птицы  ПОКОМ</v>
          </cell>
          <cell r="B124" t="str">
            <v>шт</v>
          </cell>
          <cell r="D124">
            <v>206</v>
          </cell>
          <cell r="E124">
            <v>172</v>
          </cell>
          <cell r="F124">
            <v>32</v>
          </cell>
          <cell r="G124">
            <v>0.25</v>
          </cell>
          <cell r="I124" t="str">
            <v>матрица</v>
          </cell>
          <cell r="K124">
            <v>166</v>
          </cell>
          <cell r="L124">
            <v>6</v>
          </cell>
          <cell r="M124">
            <v>172</v>
          </cell>
          <cell r="O124">
            <v>0</v>
          </cell>
          <cell r="S124">
            <v>0</v>
          </cell>
          <cell r="T124">
            <v>34.4</v>
          </cell>
          <cell r="U124">
            <v>500</v>
          </cell>
          <cell r="V124">
            <v>500</v>
          </cell>
        </row>
        <row r="125">
          <cell r="A125" t="str">
            <v>495  Колбаса Сочинка по-европейски с сочной грудинкой 0,3кг ТМ Стародворье  ПОКОМ</v>
          </cell>
          <cell r="B125" t="str">
            <v>шт</v>
          </cell>
          <cell r="C125">
            <v>301</v>
          </cell>
          <cell r="D125">
            <v>6</v>
          </cell>
          <cell r="E125">
            <v>160</v>
          </cell>
          <cell r="F125">
            <v>142</v>
          </cell>
          <cell r="G125">
            <v>0.3</v>
          </cell>
          <cell r="H125">
            <v>40</v>
          </cell>
          <cell r="I125" t="str">
            <v>матрица</v>
          </cell>
          <cell r="K125">
            <v>168</v>
          </cell>
          <cell r="L125">
            <v>-8</v>
          </cell>
          <cell r="M125">
            <v>160</v>
          </cell>
          <cell r="O125">
            <v>159.80000000000001</v>
          </cell>
          <cell r="Q125">
            <v>102.12</v>
          </cell>
          <cell r="S125">
            <v>0</v>
          </cell>
          <cell r="T125">
            <v>32</v>
          </cell>
          <cell r="V125">
            <v>0</v>
          </cell>
        </row>
        <row r="126">
          <cell r="A126" t="str">
            <v>496  Колбаса Сочинка по-фински с сочным окроком 0,3кг ТМ Стародворье  ПОКОМ</v>
          </cell>
          <cell r="B126" t="str">
            <v>шт</v>
          </cell>
          <cell r="C126">
            <v>398</v>
          </cell>
          <cell r="D126">
            <v>3</v>
          </cell>
          <cell r="E126">
            <v>123</v>
          </cell>
          <cell r="F126">
            <v>267</v>
          </cell>
          <cell r="G126">
            <v>0.3</v>
          </cell>
          <cell r="H126">
            <v>40</v>
          </cell>
          <cell r="I126" t="str">
            <v>матрица</v>
          </cell>
          <cell r="K126">
            <v>136</v>
          </cell>
          <cell r="L126">
            <v>-13</v>
          </cell>
          <cell r="M126">
            <v>123</v>
          </cell>
          <cell r="O126">
            <v>0</v>
          </cell>
          <cell r="S126">
            <v>0</v>
          </cell>
          <cell r="T126">
            <v>24.6</v>
          </cell>
          <cell r="U126">
            <v>3.6000000000000227</v>
          </cell>
          <cell r="V126">
            <v>3.6000000000000227</v>
          </cell>
        </row>
        <row r="127">
          <cell r="A127" t="str">
            <v>503 Колбаса Филейская со шпиком ТМ Вязанка в оболочке полиамид.ПОКОМ</v>
          </cell>
          <cell r="B127" t="str">
            <v>кг</v>
          </cell>
          <cell r="C127">
            <v>21.681999999999999</v>
          </cell>
          <cell r="D127">
            <v>35.691000000000003</v>
          </cell>
          <cell r="E127">
            <v>13.407</v>
          </cell>
          <cell r="F127">
            <v>42.316000000000003</v>
          </cell>
          <cell r="G127">
            <v>1</v>
          </cell>
          <cell r="H127">
            <v>50</v>
          </cell>
          <cell r="I127" t="str">
            <v>матрица</v>
          </cell>
          <cell r="K127">
            <v>14.7</v>
          </cell>
          <cell r="L127">
            <v>-1.2929999999999993</v>
          </cell>
          <cell r="M127">
            <v>13.407</v>
          </cell>
          <cell r="O127">
            <v>0</v>
          </cell>
          <cell r="S127">
            <v>0</v>
          </cell>
          <cell r="T127">
            <v>2.6814</v>
          </cell>
          <cell r="V127">
            <v>0</v>
          </cell>
        </row>
        <row r="128">
          <cell r="A128" t="str">
            <v>515  Колбаса Сервелат Мясорубский Делюкс 0,3кг ТМ Стародворье  ПОКОМ</v>
          </cell>
          <cell r="B128" t="str">
            <v>шт</v>
          </cell>
          <cell r="C128">
            <v>155</v>
          </cell>
          <cell r="D128">
            <v>73</v>
          </cell>
          <cell r="E128">
            <v>99</v>
          </cell>
          <cell r="F128">
            <v>123</v>
          </cell>
          <cell r="G128">
            <v>0.3</v>
          </cell>
          <cell r="H128">
            <v>40</v>
          </cell>
          <cell r="I128" t="str">
            <v>НЕДОГРУЗ / матрица</v>
          </cell>
          <cell r="K128">
            <v>108</v>
          </cell>
          <cell r="L128">
            <v>-9</v>
          </cell>
          <cell r="M128">
            <v>99</v>
          </cell>
          <cell r="O128">
            <v>0</v>
          </cell>
          <cell r="S128">
            <v>0</v>
          </cell>
          <cell r="T128">
            <v>19.8</v>
          </cell>
          <cell r="U128">
            <v>35.400000000000006</v>
          </cell>
          <cell r="V128">
            <v>35.400000000000006</v>
          </cell>
        </row>
        <row r="129">
          <cell r="A129" t="str">
            <v>519  Грудинка 0,12 кг нарезка ТМ Стародворье  ПОКОМ</v>
          </cell>
          <cell r="B129" t="str">
            <v>шт</v>
          </cell>
          <cell r="C129">
            <v>77</v>
          </cell>
          <cell r="D129">
            <v>16</v>
          </cell>
          <cell r="E129">
            <v>27</v>
          </cell>
          <cell r="F129">
            <v>66</v>
          </cell>
          <cell r="G129">
            <v>0.12</v>
          </cell>
          <cell r="H129">
            <v>45</v>
          </cell>
          <cell r="I129" t="str">
            <v>матрица</v>
          </cell>
          <cell r="K129">
            <v>27</v>
          </cell>
          <cell r="L129">
            <v>0</v>
          </cell>
          <cell r="M129">
            <v>27</v>
          </cell>
          <cell r="O129">
            <v>47.399999999999991</v>
          </cell>
          <cell r="S129">
            <v>0</v>
          </cell>
          <cell r="T129">
            <v>5.4</v>
          </cell>
          <cell r="V129">
            <v>0</v>
          </cell>
        </row>
        <row r="130">
          <cell r="A130" t="str">
            <v>БОНУС_615  Гречка по-купечески с говядиной и овощами 0,325кг ТМ Стародворье  ПОКОМ</v>
          </cell>
          <cell r="B130" t="str">
            <v>шт</v>
          </cell>
          <cell r="E130">
            <v>5</v>
          </cell>
          <cell r="F130">
            <v>-5</v>
          </cell>
          <cell r="G130">
            <v>0</v>
          </cell>
          <cell r="I130" t="str">
            <v>бонус</v>
          </cell>
          <cell r="J130" t="str">
            <v xml:space="preserve"> 615  Гречка по-купечески с говядиной и овощами 0,325кг ТМ Стародворье  ПОКОМ</v>
          </cell>
          <cell r="K130">
            <v>5</v>
          </cell>
          <cell r="L130">
            <v>0</v>
          </cell>
          <cell r="M130">
            <v>5</v>
          </cell>
          <cell r="T130">
            <v>1</v>
          </cell>
          <cell r="V130">
            <v>0</v>
          </cell>
        </row>
        <row r="131">
          <cell r="A131" t="str">
            <v>ДУБЛЬ 285  Паштет печеночный со слив.маслом ТМ Стародворье ламистер 0,1 кг  ПОКОМ</v>
          </cell>
          <cell r="B131" t="str">
            <v>шт</v>
          </cell>
          <cell r="D131">
            <v>120</v>
          </cell>
          <cell r="F131">
            <v>120</v>
          </cell>
          <cell r="G131">
            <v>0</v>
          </cell>
          <cell r="I131" t="str">
            <v>дубль</v>
          </cell>
          <cell r="J131" t="str">
            <v xml:space="preserve"> 285  Паштет печеночный со слив.маслом ТМ Стародворье ламистер 0,1 кг  ПОКОМ</v>
          </cell>
          <cell r="L131">
            <v>0</v>
          </cell>
          <cell r="M131">
            <v>0</v>
          </cell>
          <cell r="S131">
            <v>0</v>
          </cell>
          <cell r="T131">
            <v>0</v>
          </cell>
          <cell r="V1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5" sqref="AJ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" customWidth="1"/>
    <col min="10" max="10" width="1" customWidth="1"/>
    <col min="11" max="12" width="7" customWidth="1"/>
    <col min="13" max="14" width="0.28515625" customWidth="1"/>
    <col min="15" max="22" width="7" customWidth="1"/>
    <col min="23" max="23" width="8.5703125" customWidth="1"/>
    <col min="24" max="25" width="5" customWidth="1"/>
    <col min="26" max="35" width="6" customWidth="1"/>
    <col min="36" max="36" width="41.42578125" customWidth="1"/>
    <col min="37" max="37" width="7" customWidth="1"/>
    <col min="38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0">
        <v>15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185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183</v>
      </c>
      <c r="W3" s="2" t="s">
        <v>177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 t="s">
        <v>184</v>
      </c>
      <c r="W4" s="1" t="s">
        <v>178</v>
      </c>
      <c r="X4" s="1"/>
      <c r="Y4" s="1"/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16954.285999999996</v>
      </c>
      <c r="F5" s="4">
        <f>SUM(F6:F499)</f>
        <v>28066.863999999998</v>
      </c>
      <c r="G5" s="7"/>
      <c r="H5" s="1"/>
      <c r="I5" s="1"/>
      <c r="J5" s="1"/>
      <c r="K5" s="4">
        <f t="shared" ref="K5:W5" si="0">SUM(K6:K499)</f>
        <v>20229.760999999999</v>
      </c>
      <c r="L5" s="4">
        <f t="shared" si="0"/>
        <v>-3275.4750000000004</v>
      </c>
      <c r="M5" s="4">
        <f t="shared" si="0"/>
        <v>0</v>
      </c>
      <c r="N5" s="4">
        <f t="shared" si="0"/>
        <v>0</v>
      </c>
      <c r="O5" s="4">
        <f t="shared" si="0"/>
        <v>3740.6250360000004</v>
      </c>
      <c r="P5" s="4">
        <f t="shared" si="0"/>
        <v>3380</v>
      </c>
      <c r="Q5" s="4">
        <f t="shared" si="0"/>
        <v>1354.53854</v>
      </c>
      <c r="R5" s="4">
        <f t="shared" si="0"/>
        <v>2000</v>
      </c>
      <c r="S5" s="4">
        <f t="shared" si="0"/>
        <v>6116.2950539999974</v>
      </c>
      <c r="T5" s="4">
        <f t="shared" si="0"/>
        <v>3390.857199999999</v>
      </c>
      <c r="U5" s="4">
        <f t="shared" si="0"/>
        <v>6170.6367419999988</v>
      </c>
      <c r="V5" s="4">
        <f t="shared" si="0"/>
        <v>11344.882069999998</v>
      </c>
      <c r="W5" s="4">
        <f t="shared" si="0"/>
        <v>730</v>
      </c>
      <c r="X5" s="1"/>
      <c r="Y5" s="1"/>
      <c r="Z5" s="4">
        <f t="shared" ref="Z5:AI5" si="1">SUM(Z6:Z499)</f>
        <v>3745.7852000000003</v>
      </c>
      <c r="AA5" s="4">
        <f t="shared" si="1"/>
        <v>4644.2882000000009</v>
      </c>
      <c r="AB5" s="4">
        <f t="shared" si="1"/>
        <v>4604.8541999999989</v>
      </c>
      <c r="AC5" s="4">
        <f t="shared" si="1"/>
        <v>4923.7491999999984</v>
      </c>
      <c r="AD5" s="4">
        <f t="shared" si="1"/>
        <v>4846.7421999999979</v>
      </c>
      <c r="AE5" s="4">
        <f t="shared" si="1"/>
        <v>4677.3707999999961</v>
      </c>
      <c r="AF5" s="4">
        <f t="shared" si="1"/>
        <v>5292.9487999999983</v>
      </c>
      <c r="AG5" s="4">
        <f t="shared" si="1"/>
        <v>5236.8094000000001</v>
      </c>
      <c r="AH5" s="4">
        <f t="shared" si="1"/>
        <v>4832.8314000000018</v>
      </c>
      <c r="AI5" s="4">
        <f t="shared" si="1"/>
        <v>4513.7786000000006</v>
      </c>
      <c r="AJ5" s="1"/>
      <c r="AK5" s="4">
        <f>SUM(AK6:AK499)</f>
        <v>6558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38</v>
      </c>
      <c r="B6" s="1" t="s">
        <v>39</v>
      </c>
      <c r="C6" s="1">
        <v>193.41300000000001</v>
      </c>
      <c r="D6" s="1">
        <v>316.18299999999999</v>
      </c>
      <c r="E6" s="1">
        <v>140.31899999999999</v>
      </c>
      <c r="F6" s="1">
        <v>335.14</v>
      </c>
      <c r="G6" s="7">
        <v>1</v>
      </c>
      <c r="H6" s="1">
        <v>50</v>
      </c>
      <c r="I6" s="1" t="s">
        <v>40</v>
      </c>
      <c r="J6" s="1"/>
      <c r="K6" s="1">
        <v>181.45500000000001</v>
      </c>
      <c r="L6" s="1">
        <f t="shared" ref="L6:L37" si="2">E6-K6</f>
        <v>-41.136000000000024</v>
      </c>
      <c r="M6" s="1"/>
      <c r="N6" s="1"/>
      <c r="O6" s="1">
        <v>130.34397200000009</v>
      </c>
      <c r="P6" s="1"/>
      <c r="Q6" s="1"/>
      <c r="R6" s="1"/>
      <c r="S6" s="1">
        <v>10</v>
      </c>
      <c r="T6" s="1">
        <f t="shared" ref="T6:T37" si="3">E6/5</f>
        <v>28.063799999999997</v>
      </c>
      <c r="U6" s="5"/>
      <c r="V6" s="5">
        <f>U6</f>
        <v>0</v>
      </c>
      <c r="W6" s="1"/>
      <c r="X6" s="1">
        <f>(F6+O6+P6+Q6+R6+S6+V6)/T6</f>
        <v>16.94296467335144</v>
      </c>
      <c r="Y6" s="1">
        <f t="shared" ref="Y6:Y37" si="4">(F6+O6+P6+Q6+R6+S6)/T6</f>
        <v>16.94296467335144</v>
      </c>
      <c r="Z6" s="1">
        <v>26.715599999999998</v>
      </c>
      <c r="AA6" s="1">
        <v>48.6646</v>
      </c>
      <c r="AB6" s="1">
        <v>55.111400000000003</v>
      </c>
      <c r="AC6" s="1">
        <v>50.386399999999988</v>
      </c>
      <c r="AD6" s="1">
        <v>51.108400000000003</v>
      </c>
      <c r="AE6" s="1">
        <v>52.763399999999997</v>
      </c>
      <c r="AF6" s="1">
        <v>58.165599999999998</v>
      </c>
      <c r="AG6" s="1">
        <v>54.690600000000003</v>
      </c>
      <c r="AH6" s="1">
        <v>46.491</v>
      </c>
      <c r="AI6" s="1">
        <v>47.119399999999999</v>
      </c>
      <c r="AJ6" s="1"/>
      <c r="AK6" s="1">
        <f>ROUND(G6*V6,0)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9" t="s">
        <v>41</v>
      </c>
      <c r="B7" s="9" t="s">
        <v>39</v>
      </c>
      <c r="C7" s="9">
        <v>8</v>
      </c>
      <c r="D7" s="9"/>
      <c r="E7" s="9"/>
      <c r="F7" s="9">
        <v>8</v>
      </c>
      <c r="G7" s="10">
        <v>0</v>
      </c>
      <c r="H7" s="9"/>
      <c r="I7" s="9" t="s">
        <v>42</v>
      </c>
      <c r="J7" s="9"/>
      <c r="K7" s="9"/>
      <c r="L7" s="9">
        <f t="shared" si="2"/>
        <v>0</v>
      </c>
      <c r="M7" s="9"/>
      <c r="N7" s="9"/>
      <c r="O7" s="9"/>
      <c r="P7" s="9"/>
      <c r="Q7" s="9"/>
      <c r="R7" s="9"/>
      <c r="S7" s="9">
        <v>0</v>
      </c>
      <c r="T7" s="9">
        <f t="shared" si="3"/>
        <v>0</v>
      </c>
      <c r="U7" s="11"/>
      <c r="V7" s="5">
        <f t="shared" ref="V7:V70" si="5">U7</f>
        <v>0</v>
      </c>
      <c r="W7" s="9"/>
      <c r="X7" s="1" t="e">
        <f t="shared" ref="X7:X70" si="6">(F7+O7+P7+Q7+R7+S7+V7)/T7</f>
        <v>#DIV/0!</v>
      </c>
      <c r="Y7" s="9" t="e">
        <f t="shared" si="4"/>
        <v>#DIV/0!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/>
      <c r="AK7" s="1">
        <f t="shared" ref="AK7:AK70" si="7">ROUND(G7*V7,0)</f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43</v>
      </c>
      <c r="B8" s="1" t="s">
        <v>39</v>
      </c>
      <c r="C8" s="1">
        <v>847.08</v>
      </c>
      <c r="D8" s="1">
        <v>13.776</v>
      </c>
      <c r="E8" s="1">
        <v>294.05799999999999</v>
      </c>
      <c r="F8" s="1">
        <v>513.14099999999996</v>
      </c>
      <c r="G8" s="7">
        <v>1</v>
      </c>
      <c r="H8" s="1">
        <v>45</v>
      </c>
      <c r="I8" s="1" t="s">
        <v>40</v>
      </c>
      <c r="J8" s="1"/>
      <c r="K8" s="1">
        <v>342.74799999999999</v>
      </c>
      <c r="L8" s="1">
        <f t="shared" si="2"/>
        <v>-48.69</v>
      </c>
      <c r="M8" s="1"/>
      <c r="N8" s="1"/>
      <c r="O8" s="1">
        <v>0</v>
      </c>
      <c r="P8" s="1"/>
      <c r="Q8" s="1"/>
      <c r="R8" s="1"/>
      <c r="S8" s="1">
        <v>0</v>
      </c>
      <c r="T8" s="1">
        <f t="shared" si="3"/>
        <v>58.811599999999999</v>
      </c>
      <c r="U8" s="5">
        <f t="shared" ref="U8:U9" si="8">12*T8-S8-R8-Q8-P8-O8-F8+W8</f>
        <v>192.59820000000002</v>
      </c>
      <c r="V8" s="5">
        <f>T8*($V$1-Y8)</f>
        <v>369.03300000000002</v>
      </c>
      <c r="W8" s="1"/>
      <c r="X8" s="1">
        <f t="shared" si="6"/>
        <v>15</v>
      </c>
      <c r="Y8" s="1">
        <f t="shared" si="4"/>
        <v>8.7251664637588497</v>
      </c>
      <c r="Z8" s="1">
        <v>63.0702</v>
      </c>
      <c r="AA8" s="1">
        <v>39.780999999999999</v>
      </c>
      <c r="AB8" s="1">
        <v>30.569600000000001</v>
      </c>
      <c r="AC8" s="1">
        <v>17.161999999999999</v>
      </c>
      <c r="AD8" s="1">
        <v>29.265599999999999</v>
      </c>
      <c r="AE8" s="1">
        <v>120.8122</v>
      </c>
      <c r="AF8" s="1">
        <v>121.6172</v>
      </c>
      <c r="AG8" s="1">
        <v>57.033000000000001</v>
      </c>
      <c r="AH8" s="1">
        <v>50.988399999999999</v>
      </c>
      <c r="AI8" s="1">
        <v>57.305199999999999</v>
      </c>
      <c r="AJ8" s="1"/>
      <c r="AK8" s="1">
        <f t="shared" si="7"/>
        <v>369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44</v>
      </c>
      <c r="B9" s="1" t="s">
        <v>39</v>
      </c>
      <c r="C9" s="1">
        <v>617.49900000000002</v>
      </c>
      <c r="D9" s="1">
        <v>16.585000000000001</v>
      </c>
      <c r="E9" s="1">
        <v>342.36599999999999</v>
      </c>
      <c r="F9" s="1">
        <v>253.911</v>
      </c>
      <c r="G9" s="7">
        <v>1</v>
      </c>
      <c r="H9" s="1">
        <v>45</v>
      </c>
      <c r="I9" s="1" t="s">
        <v>40</v>
      </c>
      <c r="J9" s="1"/>
      <c r="K9" s="1">
        <v>370.88400000000001</v>
      </c>
      <c r="L9" s="1">
        <f t="shared" si="2"/>
        <v>-28.518000000000029</v>
      </c>
      <c r="M9" s="1"/>
      <c r="N9" s="1"/>
      <c r="O9" s="1">
        <v>0</v>
      </c>
      <c r="P9" s="1">
        <v>400</v>
      </c>
      <c r="Q9" s="1"/>
      <c r="R9" s="1"/>
      <c r="S9" s="1">
        <v>0</v>
      </c>
      <c r="T9" s="1">
        <f t="shared" si="3"/>
        <v>68.473199999999991</v>
      </c>
      <c r="U9" s="5">
        <f t="shared" si="8"/>
        <v>167.7673999999999</v>
      </c>
      <c r="V9" s="5">
        <f>T9*($V$1-Y9)</f>
        <v>373.18699999999978</v>
      </c>
      <c r="W9" s="1"/>
      <c r="X9" s="1">
        <f t="shared" si="6"/>
        <v>15.000000000000002</v>
      </c>
      <c r="Y9" s="1">
        <f t="shared" si="4"/>
        <v>9.5498822897133504</v>
      </c>
      <c r="Z9" s="1">
        <v>73.171999999999997</v>
      </c>
      <c r="AA9" s="1">
        <v>62.864999999999988</v>
      </c>
      <c r="AB9" s="1">
        <v>52.998600000000003</v>
      </c>
      <c r="AC9" s="1">
        <v>41.674400000000013</v>
      </c>
      <c r="AD9" s="1">
        <v>95.290599999999998</v>
      </c>
      <c r="AE9" s="1">
        <v>107.0196</v>
      </c>
      <c r="AF9" s="1">
        <v>70.07419999999999</v>
      </c>
      <c r="AG9" s="1">
        <v>65.295199999999994</v>
      </c>
      <c r="AH9" s="1">
        <v>58.473199999999999</v>
      </c>
      <c r="AI9" s="1">
        <v>43.594799999999999</v>
      </c>
      <c r="AJ9" s="1"/>
      <c r="AK9" s="1">
        <f t="shared" si="7"/>
        <v>373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9" t="s">
        <v>45</v>
      </c>
      <c r="B10" s="9" t="s">
        <v>46</v>
      </c>
      <c r="C10" s="9"/>
      <c r="D10" s="9"/>
      <c r="E10" s="9"/>
      <c r="F10" s="9"/>
      <c r="G10" s="10">
        <v>0</v>
      </c>
      <c r="H10" s="9"/>
      <c r="I10" s="9" t="s">
        <v>40</v>
      </c>
      <c r="J10" s="9"/>
      <c r="K10" s="9"/>
      <c r="L10" s="9">
        <f t="shared" si="2"/>
        <v>0</v>
      </c>
      <c r="M10" s="9"/>
      <c r="N10" s="9"/>
      <c r="O10" s="9">
        <v>0</v>
      </c>
      <c r="P10" s="9"/>
      <c r="Q10" s="9"/>
      <c r="R10" s="9"/>
      <c r="S10" s="9">
        <v>0</v>
      </c>
      <c r="T10" s="9">
        <f t="shared" si="3"/>
        <v>0</v>
      </c>
      <c r="U10" s="11"/>
      <c r="V10" s="5">
        <f t="shared" si="5"/>
        <v>0</v>
      </c>
      <c r="W10" s="9"/>
      <c r="X10" s="1" t="e">
        <f t="shared" si="6"/>
        <v>#DIV/0!</v>
      </c>
      <c r="Y10" s="9" t="e">
        <f t="shared" si="4"/>
        <v>#DIV/0!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 t="s">
        <v>47</v>
      </c>
      <c r="AK10" s="1">
        <f t="shared" si="7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48</v>
      </c>
      <c r="B11" s="1" t="s">
        <v>46</v>
      </c>
      <c r="C11" s="1">
        <v>602</v>
      </c>
      <c r="D11" s="1">
        <v>659</v>
      </c>
      <c r="E11" s="1">
        <v>392</v>
      </c>
      <c r="F11" s="1">
        <v>852</v>
      </c>
      <c r="G11" s="7">
        <v>0.45</v>
      </c>
      <c r="H11" s="1">
        <v>45</v>
      </c>
      <c r="I11" s="1" t="s">
        <v>40</v>
      </c>
      <c r="J11" s="1"/>
      <c r="K11" s="1">
        <v>415</v>
      </c>
      <c r="L11" s="1">
        <f t="shared" si="2"/>
        <v>-23</v>
      </c>
      <c r="M11" s="1"/>
      <c r="N11" s="1"/>
      <c r="O11" s="1">
        <v>0</v>
      </c>
      <c r="P11" s="1"/>
      <c r="Q11" s="1"/>
      <c r="R11" s="1"/>
      <c r="S11" s="1">
        <v>305.61200000000002</v>
      </c>
      <c r="T11" s="1">
        <f t="shared" si="3"/>
        <v>78.400000000000006</v>
      </c>
      <c r="U11" s="5"/>
      <c r="V11" s="5">
        <f t="shared" ref="V11:V15" si="9">T11*($V$1-Y11)</f>
        <v>18.388000000000016</v>
      </c>
      <c r="W11" s="1"/>
      <c r="X11" s="1">
        <f t="shared" si="6"/>
        <v>14.999999999999998</v>
      </c>
      <c r="Y11" s="1">
        <f t="shared" si="4"/>
        <v>14.765459183673469</v>
      </c>
      <c r="Z11" s="1">
        <v>92.6</v>
      </c>
      <c r="AA11" s="1">
        <v>123.8</v>
      </c>
      <c r="AB11" s="1">
        <v>121.2</v>
      </c>
      <c r="AC11" s="1">
        <v>130.4</v>
      </c>
      <c r="AD11" s="1">
        <v>130.80000000000001</v>
      </c>
      <c r="AE11" s="1">
        <v>112.4</v>
      </c>
      <c r="AF11" s="1">
        <v>123</v>
      </c>
      <c r="AG11" s="1">
        <v>122</v>
      </c>
      <c r="AH11" s="1">
        <v>130.80000000000001</v>
      </c>
      <c r="AI11" s="1">
        <v>90.8</v>
      </c>
      <c r="AJ11" s="1"/>
      <c r="AK11" s="1">
        <f t="shared" si="7"/>
        <v>8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49</v>
      </c>
      <c r="B12" s="1" t="s">
        <v>46</v>
      </c>
      <c r="C12" s="1">
        <v>578</v>
      </c>
      <c r="D12" s="1">
        <v>29</v>
      </c>
      <c r="E12" s="1">
        <v>576</v>
      </c>
      <c r="F12" s="1">
        <v>31</v>
      </c>
      <c r="G12" s="7">
        <v>0.45</v>
      </c>
      <c r="H12" s="1">
        <v>45</v>
      </c>
      <c r="I12" s="1" t="s">
        <v>40</v>
      </c>
      <c r="J12" s="1"/>
      <c r="K12" s="1">
        <v>748</v>
      </c>
      <c r="L12" s="1">
        <f t="shared" si="2"/>
        <v>-172</v>
      </c>
      <c r="M12" s="1"/>
      <c r="N12" s="1"/>
      <c r="O12" s="1">
        <v>300</v>
      </c>
      <c r="P12" s="1"/>
      <c r="Q12" s="1"/>
      <c r="R12" s="1"/>
      <c r="S12" s="1">
        <v>1049.2</v>
      </c>
      <c r="T12" s="1">
        <f t="shared" si="3"/>
        <v>115.2</v>
      </c>
      <c r="U12" s="5"/>
      <c r="V12" s="5">
        <f t="shared" si="9"/>
        <v>347.7999999999999</v>
      </c>
      <c r="W12" s="1"/>
      <c r="X12" s="1">
        <f t="shared" si="6"/>
        <v>15</v>
      </c>
      <c r="Y12" s="1">
        <f t="shared" si="4"/>
        <v>11.980902777777779</v>
      </c>
      <c r="Z12" s="1">
        <v>136.4</v>
      </c>
      <c r="AA12" s="1">
        <v>154.6</v>
      </c>
      <c r="AB12" s="1">
        <v>104</v>
      </c>
      <c r="AC12" s="1">
        <v>95.2</v>
      </c>
      <c r="AD12" s="1">
        <v>133.4</v>
      </c>
      <c r="AE12" s="1">
        <v>138</v>
      </c>
      <c r="AF12" s="1">
        <v>155.19999999999999</v>
      </c>
      <c r="AG12" s="1">
        <v>140.19999999999999</v>
      </c>
      <c r="AH12" s="1">
        <v>109</v>
      </c>
      <c r="AI12" s="1">
        <v>125</v>
      </c>
      <c r="AJ12" s="1"/>
      <c r="AK12" s="1">
        <f t="shared" si="7"/>
        <v>157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50</v>
      </c>
      <c r="B13" s="1" t="s">
        <v>46</v>
      </c>
      <c r="C13" s="1">
        <v>199</v>
      </c>
      <c r="D13" s="1">
        <v>2</v>
      </c>
      <c r="E13" s="1">
        <v>58</v>
      </c>
      <c r="F13" s="1">
        <v>138</v>
      </c>
      <c r="G13" s="7">
        <v>0.17</v>
      </c>
      <c r="H13" s="1">
        <v>180</v>
      </c>
      <c r="I13" s="1" t="s">
        <v>40</v>
      </c>
      <c r="J13" s="1"/>
      <c r="K13" s="1">
        <v>69</v>
      </c>
      <c r="L13" s="1">
        <f t="shared" si="2"/>
        <v>-11</v>
      </c>
      <c r="M13" s="1"/>
      <c r="N13" s="1"/>
      <c r="O13" s="1">
        <v>0</v>
      </c>
      <c r="P13" s="1"/>
      <c r="Q13" s="1"/>
      <c r="R13" s="1"/>
      <c r="S13" s="1">
        <v>0</v>
      </c>
      <c r="T13" s="1">
        <f t="shared" si="3"/>
        <v>11.6</v>
      </c>
      <c r="U13" s="5"/>
      <c r="V13" s="5">
        <f t="shared" si="9"/>
        <v>36.000000000000007</v>
      </c>
      <c r="W13" s="1"/>
      <c r="X13" s="1">
        <f t="shared" si="6"/>
        <v>15</v>
      </c>
      <c r="Y13" s="1">
        <f t="shared" si="4"/>
        <v>11.896551724137931</v>
      </c>
      <c r="Z13" s="1">
        <v>15</v>
      </c>
      <c r="AA13" s="1">
        <v>14</v>
      </c>
      <c r="AB13" s="1">
        <v>14.8</v>
      </c>
      <c r="AC13" s="1">
        <v>20</v>
      </c>
      <c r="AD13" s="1">
        <v>20.2</v>
      </c>
      <c r="AE13" s="1">
        <v>24.8</v>
      </c>
      <c r="AF13" s="1">
        <v>23.6</v>
      </c>
      <c r="AG13" s="1">
        <v>20.6</v>
      </c>
      <c r="AH13" s="1">
        <v>16.399999999999999</v>
      </c>
      <c r="AI13" s="1">
        <v>10.199999999999999</v>
      </c>
      <c r="AJ13" s="1"/>
      <c r="AK13" s="1">
        <f t="shared" si="7"/>
        <v>6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51</v>
      </c>
      <c r="B14" s="1" t="s">
        <v>46</v>
      </c>
      <c r="C14" s="1">
        <v>190</v>
      </c>
      <c r="D14" s="1"/>
      <c r="E14" s="1">
        <v>82</v>
      </c>
      <c r="F14" s="1">
        <v>75</v>
      </c>
      <c r="G14" s="7">
        <v>0.3</v>
      </c>
      <c r="H14" s="1">
        <v>40</v>
      </c>
      <c r="I14" s="1" t="s">
        <v>40</v>
      </c>
      <c r="J14" s="1"/>
      <c r="K14" s="1">
        <v>110</v>
      </c>
      <c r="L14" s="1">
        <f t="shared" si="2"/>
        <v>-28</v>
      </c>
      <c r="M14" s="1"/>
      <c r="N14" s="1"/>
      <c r="O14" s="1">
        <v>21</v>
      </c>
      <c r="P14" s="1"/>
      <c r="Q14" s="1"/>
      <c r="R14" s="1"/>
      <c r="S14" s="1">
        <v>73.200000000000045</v>
      </c>
      <c r="T14" s="1">
        <f t="shared" si="3"/>
        <v>16.399999999999999</v>
      </c>
      <c r="U14" s="5">
        <f t="shared" ref="U14:U19" si="10">12*T14-S14-R14-Q14-P14-O14-F14+W14</f>
        <v>27.599999999999937</v>
      </c>
      <c r="V14" s="5">
        <f t="shared" si="9"/>
        <v>76.79999999999994</v>
      </c>
      <c r="W14" s="1"/>
      <c r="X14" s="1">
        <f t="shared" si="6"/>
        <v>15.000000000000002</v>
      </c>
      <c r="Y14" s="1">
        <f t="shared" si="4"/>
        <v>10.31707317073171</v>
      </c>
      <c r="Z14" s="1">
        <v>19.8</v>
      </c>
      <c r="AA14" s="1">
        <v>23.6</v>
      </c>
      <c r="AB14" s="1">
        <v>21</v>
      </c>
      <c r="AC14" s="1">
        <v>13.6</v>
      </c>
      <c r="AD14" s="1">
        <v>30.4</v>
      </c>
      <c r="AE14" s="1">
        <v>28.8</v>
      </c>
      <c r="AF14" s="1">
        <v>27.8</v>
      </c>
      <c r="AG14" s="1">
        <v>31.8</v>
      </c>
      <c r="AH14" s="1">
        <v>25.6</v>
      </c>
      <c r="AI14" s="1">
        <v>14.2</v>
      </c>
      <c r="AJ14" s="1"/>
      <c r="AK14" s="1">
        <f t="shared" si="7"/>
        <v>23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52</v>
      </c>
      <c r="B15" s="1" t="s">
        <v>46</v>
      </c>
      <c r="C15" s="1">
        <v>219</v>
      </c>
      <c r="D15" s="1">
        <v>62</v>
      </c>
      <c r="E15" s="1">
        <v>107</v>
      </c>
      <c r="F15" s="1">
        <v>167</v>
      </c>
      <c r="G15" s="7">
        <v>0.17</v>
      </c>
      <c r="H15" s="1">
        <v>180</v>
      </c>
      <c r="I15" s="1" t="s">
        <v>40</v>
      </c>
      <c r="J15" s="1"/>
      <c r="K15" s="1">
        <v>120</v>
      </c>
      <c r="L15" s="1">
        <f t="shared" si="2"/>
        <v>-13</v>
      </c>
      <c r="M15" s="1"/>
      <c r="N15" s="1"/>
      <c r="O15" s="1">
        <v>27.6</v>
      </c>
      <c r="P15" s="1"/>
      <c r="Q15" s="1"/>
      <c r="R15" s="1"/>
      <c r="S15" s="1">
        <v>0</v>
      </c>
      <c r="T15" s="1">
        <f t="shared" si="3"/>
        <v>21.4</v>
      </c>
      <c r="U15" s="5">
        <f t="shared" si="10"/>
        <v>62.19999999999996</v>
      </c>
      <c r="V15" s="5">
        <f t="shared" si="9"/>
        <v>126.39999999999999</v>
      </c>
      <c r="W15" s="1"/>
      <c r="X15" s="1">
        <f t="shared" si="6"/>
        <v>15.000000000000002</v>
      </c>
      <c r="Y15" s="1">
        <f t="shared" si="4"/>
        <v>9.0934579439252339</v>
      </c>
      <c r="Z15" s="1">
        <v>18.2</v>
      </c>
      <c r="AA15" s="1">
        <v>21.2</v>
      </c>
      <c r="AB15" s="1">
        <v>27.6</v>
      </c>
      <c r="AC15" s="1">
        <v>28.6</v>
      </c>
      <c r="AD15" s="1">
        <v>30.2</v>
      </c>
      <c r="AE15" s="1">
        <v>40.200000000000003</v>
      </c>
      <c r="AF15" s="1">
        <v>31.4</v>
      </c>
      <c r="AG15" s="1">
        <v>25.6</v>
      </c>
      <c r="AH15" s="1">
        <v>24</v>
      </c>
      <c r="AI15" s="1">
        <v>16.2</v>
      </c>
      <c r="AJ15" s="1"/>
      <c r="AK15" s="1">
        <f t="shared" si="7"/>
        <v>21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53</v>
      </c>
      <c r="B16" s="1" t="s">
        <v>39</v>
      </c>
      <c r="C16" s="1">
        <v>544.29399999999998</v>
      </c>
      <c r="D16" s="1">
        <v>460.077</v>
      </c>
      <c r="E16" s="1">
        <v>304.01499999999999</v>
      </c>
      <c r="F16" s="1">
        <v>680.54700000000003</v>
      </c>
      <c r="G16" s="7">
        <v>1</v>
      </c>
      <c r="H16" s="1">
        <v>70</v>
      </c>
      <c r="I16" s="1" t="s">
        <v>40</v>
      </c>
      <c r="J16" s="1"/>
      <c r="K16" s="1">
        <v>306</v>
      </c>
      <c r="L16" s="1">
        <f t="shared" si="2"/>
        <v>-1.9850000000000136</v>
      </c>
      <c r="M16" s="1"/>
      <c r="N16" s="1"/>
      <c r="O16" s="1">
        <v>300</v>
      </c>
      <c r="P16" s="1"/>
      <c r="Q16" s="1"/>
      <c r="R16" s="1"/>
      <c r="S16" s="1">
        <v>69.015561999999932</v>
      </c>
      <c r="T16" s="1">
        <f t="shared" si="3"/>
        <v>60.802999999999997</v>
      </c>
      <c r="U16" s="5"/>
      <c r="V16" s="5">
        <f t="shared" si="5"/>
        <v>0</v>
      </c>
      <c r="W16" s="1"/>
      <c r="X16" s="1">
        <f t="shared" si="6"/>
        <v>17.261690410012665</v>
      </c>
      <c r="Y16" s="1">
        <f t="shared" si="4"/>
        <v>17.261690410012665</v>
      </c>
      <c r="Z16" s="1">
        <v>75.010400000000004</v>
      </c>
      <c r="AA16" s="1">
        <v>103.798</v>
      </c>
      <c r="AB16" s="1">
        <v>100.63639999999999</v>
      </c>
      <c r="AC16" s="1">
        <v>101.03440000000001</v>
      </c>
      <c r="AD16" s="1">
        <v>101.12820000000001</v>
      </c>
      <c r="AE16" s="1">
        <v>101.80880000000001</v>
      </c>
      <c r="AF16" s="1">
        <v>108.13339999999999</v>
      </c>
      <c r="AG16" s="1">
        <v>101.485</v>
      </c>
      <c r="AH16" s="1">
        <v>95.054000000000002</v>
      </c>
      <c r="AI16" s="1">
        <v>97.219200000000001</v>
      </c>
      <c r="AJ16" s="1"/>
      <c r="AK16" s="1">
        <f t="shared" si="7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54</v>
      </c>
      <c r="B17" s="1" t="s">
        <v>39</v>
      </c>
      <c r="C17" s="1">
        <v>2160.2109999999998</v>
      </c>
      <c r="D17" s="1">
        <v>2863.9029999999998</v>
      </c>
      <c r="E17" s="1">
        <v>1471.704</v>
      </c>
      <c r="F17" s="1">
        <v>3408.6529999999998</v>
      </c>
      <c r="G17" s="7">
        <v>1</v>
      </c>
      <c r="H17" s="1">
        <v>50</v>
      </c>
      <c r="I17" s="1" t="s">
        <v>40</v>
      </c>
      <c r="J17" s="1"/>
      <c r="K17" s="1">
        <v>1624.16</v>
      </c>
      <c r="L17" s="1">
        <f t="shared" si="2"/>
        <v>-152.45600000000013</v>
      </c>
      <c r="M17" s="1"/>
      <c r="N17" s="1"/>
      <c r="O17" s="1">
        <v>0</v>
      </c>
      <c r="P17" s="1">
        <v>2500</v>
      </c>
      <c r="Q17" s="1"/>
      <c r="R17" s="1"/>
      <c r="S17" s="1">
        <v>0</v>
      </c>
      <c r="T17" s="1">
        <f t="shared" si="3"/>
        <v>294.3408</v>
      </c>
      <c r="U17" s="5"/>
      <c r="V17" s="5">
        <f t="shared" si="5"/>
        <v>0</v>
      </c>
      <c r="W17" s="1"/>
      <c r="X17" s="1">
        <f t="shared" si="6"/>
        <v>20.074189510934264</v>
      </c>
      <c r="Y17" s="1">
        <f t="shared" si="4"/>
        <v>20.074189510934264</v>
      </c>
      <c r="Z17" s="1">
        <v>370.44220000000001</v>
      </c>
      <c r="AA17" s="1">
        <v>447.33139999999997</v>
      </c>
      <c r="AB17" s="1">
        <v>426.28320000000002</v>
      </c>
      <c r="AC17" s="1">
        <v>485.00200000000012</v>
      </c>
      <c r="AD17" s="1">
        <v>444.64399999999989</v>
      </c>
      <c r="AE17" s="1">
        <v>417.89479999999998</v>
      </c>
      <c r="AF17" s="1">
        <v>444.3236</v>
      </c>
      <c r="AG17" s="1">
        <v>493.88639999999998</v>
      </c>
      <c r="AH17" s="1">
        <v>433.84800000000001</v>
      </c>
      <c r="AI17" s="1">
        <v>434.37839999999989</v>
      </c>
      <c r="AJ17" s="1"/>
      <c r="AK17" s="1">
        <f t="shared" si="7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55</v>
      </c>
      <c r="B18" s="1" t="s">
        <v>39</v>
      </c>
      <c r="C18" s="1">
        <v>97.149000000000001</v>
      </c>
      <c r="D18" s="1">
        <v>5.78</v>
      </c>
      <c r="E18" s="1">
        <v>34.896000000000001</v>
      </c>
      <c r="F18" s="1">
        <v>60.192</v>
      </c>
      <c r="G18" s="7">
        <v>1</v>
      </c>
      <c r="H18" s="1">
        <v>60</v>
      </c>
      <c r="I18" s="1" t="s">
        <v>40</v>
      </c>
      <c r="J18" s="1"/>
      <c r="K18" s="1">
        <v>39.1</v>
      </c>
      <c r="L18" s="1">
        <f t="shared" si="2"/>
        <v>-4.2040000000000006</v>
      </c>
      <c r="M18" s="1"/>
      <c r="N18" s="1"/>
      <c r="O18" s="1">
        <v>81.982000000000028</v>
      </c>
      <c r="P18" s="1"/>
      <c r="Q18" s="1"/>
      <c r="R18" s="1"/>
      <c r="S18" s="1">
        <v>86.847799999999964</v>
      </c>
      <c r="T18" s="1">
        <f t="shared" si="3"/>
        <v>6.9792000000000005</v>
      </c>
      <c r="U18" s="5"/>
      <c r="V18" s="5">
        <f t="shared" si="5"/>
        <v>0</v>
      </c>
      <c r="W18" s="1"/>
      <c r="X18" s="1">
        <f t="shared" si="6"/>
        <v>32.814907152682252</v>
      </c>
      <c r="Y18" s="1">
        <f t="shared" si="4"/>
        <v>32.814907152682252</v>
      </c>
      <c r="Z18" s="1">
        <v>11.373200000000001</v>
      </c>
      <c r="AA18" s="1">
        <v>21.314399999999999</v>
      </c>
      <c r="AB18" s="1">
        <v>17.635999999999999</v>
      </c>
      <c r="AC18" s="1">
        <v>7.6536</v>
      </c>
      <c r="AD18" s="1">
        <v>10.663399999999999</v>
      </c>
      <c r="AE18" s="1">
        <v>17.847000000000001</v>
      </c>
      <c r="AF18" s="1">
        <v>16.242799999999999</v>
      </c>
      <c r="AG18" s="1">
        <v>14.605600000000001</v>
      </c>
      <c r="AH18" s="1">
        <v>13.058199999999999</v>
      </c>
      <c r="AI18" s="1">
        <v>15.687200000000001</v>
      </c>
      <c r="AJ18" s="17" t="s">
        <v>142</v>
      </c>
      <c r="AK18" s="1">
        <f t="shared" si="7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56</v>
      </c>
      <c r="B19" s="1" t="s">
        <v>39</v>
      </c>
      <c r="C19" s="1">
        <v>33.119999999999997</v>
      </c>
      <c r="D19" s="1">
        <v>2.641</v>
      </c>
      <c r="E19" s="1">
        <v>32.802</v>
      </c>
      <c r="F19" s="1">
        <v>2.097</v>
      </c>
      <c r="G19" s="7">
        <v>1</v>
      </c>
      <c r="H19" s="1">
        <v>60</v>
      </c>
      <c r="I19" s="1" t="s">
        <v>40</v>
      </c>
      <c r="J19" s="1"/>
      <c r="K19" s="1">
        <v>27.1</v>
      </c>
      <c r="L19" s="1">
        <f t="shared" si="2"/>
        <v>5.7019999999999982</v>
      </c>
      <c r="M19" s="1"/>
      <c r="N19" s="1"/>
      <c r="O19" s="1">
        <v>26.3902</v>
      </c>
      <c r="P19" s="1"/>
      <c r="Q19" s="1"/>
      <c r="R19" s="1"/>
      <c r="S19" s="1">
        <v>16.652200000000001</v>
      </c>
      <c r="T19" s="1">
        <f t="shared" si="3"/>
        <v>6.5603999999999996</v>
      </c>
      <c r="U19" s="5">
        <f t="shared" si="10"/>
        <v>33.585399999999986</v>
      </c>
      <c r="V19" s="5">
        <f t="shared" ref="V19:V21" si="11">T19*($V$1-Y19)</f>
        <v>53.266599999999997</v>
      </c>
      <c r="W19" s="1"/>
      <c r="X19" s="1">
        <f t="shared" si="6"/>
        <v>15.000000000000002</v>
      </c>
      <c r="Y19" s="1">
        <f t="shared" si="4"/>
        <v>6.8805865496006344</v>
      </c>
      <c r="Z19" s="1">
        <v>4.7707999999999986</v>
      </c>
      <c r="AA19" s="1">
        <v>6.2031999999999998</v>
      </c>
      <c r="AB19" s="1">
        <v>6.2096</v>
      </c>
      <c r="AC19" s="1">
        <v>4.9654000000000007</v>
      </c>
      <c r="AD19" s="1">
        <v>3.7240000000000002</v>
      </c>
      <c r="AE19" s="1">
        <v>4.6079999999999997</v>
      </c>
      <c r="AF19" s="1">
        <v>6.5492000000000008</v>
      </c>
      <c r="AG19" s="1">
        <v>9.0280000000000005</v>
      </c>
      <c r="AH19" s="1">
        <v>8.1191999999999993</v>
      </c>
      <c r="AI19" s="1">
        <v>9.7012</v>
      </c>
      <c r="AJ19" s="1"/>
      <c r="AK19" s="1">
        <f t="shared" si="7"/>
        <v>53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57</v>
      </c>
      <c r="B20" s="1" t="s">
        <v>39</v>
      </c>
      <c r="C20" s="1">
        <v>48.777999999999999</v>
      </c>
      <c r="D20" s="1">
        <v>0.34</v>
      </c>
      <c r="E20" s="1">
        <v>13.837999999999999</v>
      </c>
      <c r="F20" s="1">
        <v>30.931000000000001</v>
      </c>
      <c r="G20" s="7">
        <v>1</v>
      </c>
      <c r="H20" s="1">
        <v>180</v>
      </c>
      <c r="I20" s="1" t="s">
        <v>40</v>
      </c>
      <c r="J20" s="1"/>
      <c r="K20" s="1">
        <v>17.260000000000002</v>
      </c>
      <c r="L20" s="1">
        <f t="shared" si="2"/>
        <v>-3.4220000000000024</v>
      </c>
      <c r="M20" s="1"/>
      <c r="N20" s="1"/>
      <c r="O20" s="1">
        <v>0</v>
      </c>
      <c r="P20" s="1"/>
      <c r="Q20" s="1"/>
      <c r="R20" s="1"/>
      <c r="S20" s="1">
        <v>0</v>
      </c>
      <c r="T20" s="1">
        <f t="shared" si="3"/>
        <v>2.7675999999999998</v>
      </c>
      <c r="U20" s="5">
        <v>4</v>
      </c>
      <c r="V20" s="5">
        <f t="shared" si="11"/>
        <v>10.582999999999998</v>
      </c>
      <c r="W20" s="1"/>
      <c r="X20" s="1">
        <f t="shared" si="6"/>
        <v>15</v>
      </c>
      <c r="Y20" s="1">
        <f t="shared" si="4"/>
        <v>11.176109264344559</v>
      </c>
      <c r="Z20" s="1">
        <v>2.0844</v>
      </c>
      <c r="AA20" s="1">
        <v>1.048</v>
      </c>
      <c r="AB20" s="1">
        <v>2.5106000000000002</v>
      </c>
      <c r="AC20" s="1">
        <v>4.2141999999999999</v>
      </c>
      <c r="AD20" s="1">
        <v>3.7368000000000001</v>
      </c>
      <c r="AE20" s="1">
        <v>4.8635999999999999</v>
      </c>
      <c r="AF20" s="1">
        <v>4.5688000000000004</v>
      </c>
      <c r="AG20" s="1">
        <v>4.2078000000000007</v>
      </c>
      <c r="AH20" s="1">
        <v>4.0621999999999998</v>
      </c>
      <c r="AI20" s="1">
        <v>2.8765999999999998</v>
      </c>
      <c r="AJ20" s="1"/>
      <c r="AK20" s="1">
        <f t="shared" si="7"/>
        <v>11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59</v>
      </c>
      <c r="B21" s="1" t="s">
        <v>39</v>
      </c>
      <c r="C21" s="1">
        <v>455.06</v>
      </c>
      <c r="D21" s="1">
        <v>357.858</v>
      </c>
      <c r="E21" s="1">
        <v>253.79400000000001</v>
      </c>
      <c r="F21" s="1">
        <v>548.53800000000001</v>
      </c>
      <c r="G21" s="7">
        <v>1</v>
      </c>
      <c r="H21" s="1">
        <v>60</v>
      </c>
      <c r="I21" s="1" t="s">
        <v>40</v>
      </c>
      <c r="J21" s="1"/>
      <c r="K21" s="1">
        <v>243.1</v>
      </c>
      <c r="L21" s="1">
        <f t="shared" si="2"/>
        <v>10.694000000000017</v>
      </c>
      <c r="M21" s="1"/>
      <c r="N21" s="1"/>
      <c r="O21" s="1">
        <v>0</v>
      </c>
      <c r="P21" s="1"/>
      <c r="Q21" s="1"/>
      <c r="R21" s="1"/>
      <c r="S21" s="1">
        <v>167.11847200000011</v>
      </c>
      <c r="T21" s="1">
        <f t="shared" si="3"/>
        <v>50.758800000000001</v>
      </c>
      <c r="U21" s="5"/>
      <c r="V21" s="5">
        <f t="shared" si="11"/>
        <v>45.725527999999898</v>
      </c>
      <c r="W21" s="1"/>
      <c r="X21" s="1">
        <f t="shared" si="6"/>
        <v>15.000000000000002</v>
      </c>
      <c r="Y21" s="1">
        <f t="shared" si="4"/>
        <v>14.099160579052304</v>
      </c>
      <c r="Z21" s="1">
        <v>59.435799999999993</v>
      </c>
      <c r="AA21" s="1">
        <v>77.672799999999995</v>
      </c>
      <c r="AB21" s="1">
        <v>76.057199999999995</v>
      </c>
      <c r="AC21" s="1">
        <v>82.202399999999997</v>
      </c>
      <c r="AD21" s="1">
        <v>88.697599999999994</v>
      </c>
      <c r="AE21" s="1">
        <v>89.646000000000001</v>
      </c>
      <c r="AF21" s="1">
        <v>88.110399999999998</v>
      </c>
      <c r="AG21" s="1">
        <v>82.381200000000007</v>
      </c>
      <c r="AH21" s="1">
        <v>76.139800000000008</v>
      </c>
      <c r="AI21" s="1">
        <v>91.680800000000005</v>
      </c>
      <c r="AJ21" s="1"/>
      <c r="AK21" s="1">
        <f t="shared" si="7"/>
        <v>46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60</v>
      </c>
      <c r="B22" s="1" t="s">
        <v>39</v>
      </c>
      <c r="C22" s="1">
        <v>147.84800000000001</v>
      </c>
      <c r="D22" s="1">
        <v>2.6309999999999998</v>
      </c>
      <c r="E22" s="1">
        <v>63.887</v>
      </c>
      <c r="F22" s="1">
        <v>79.498000000000005</v>
      </c>
      <c r="G22" s="7">
        <v>1</v>
      </c>
      <c r="H22" s="1">
        <v>70</v>
      </c>
      <c r="I22" s="1" t="s">
        <v>40</v>
      </c>
      <c r="J22" s="1"/>
      <c r="K22" s="1">
        <v>68.7</v>
      </c>
      <c r="L22" s="1">
        <f t="shared" si="2"/>
        <v>-4.8130000000000024</v>
      </c>
      <c r="M22" s="1"/>
      <c r="N22" s="1"/>
      <c r="O22" s="1">
        <v>0</v>
      </c>
      <c r="P22" s="1"/>
      <c r="Q22" s="1"/>
      <c r="R22" s="1"/>
      <c r="S22" s="1">
        <v>111.71680000000001</v>
      </c>
      <c r="T22" s="1">
        <f t="shared" si="3"/>
        <v>12.7774</v>
      </c>
      <c r="U22" s="5"/>
      <c r="V22" s="5"/>
      <c r="W22" s="1"/>
      <c r="X22" s="1">
        <f t="shared" si="6"/>
        <v>14.965078967552087</v>
      </c>
      <c r="Y22" s="1">
        <f t="shared" si="4"/>
        <v>14.965078967552087</v>
      </c>
      <c r="Z22" s="1">
        <v>14.9056</v>
      </c>
      <c r="AA22" s="1">
        <v>21.267399999999999</v>
      </c>
      <c r="AB22" s="1">
        <v>15.830399999999999</v>
      </c>
      <c r="AC22" s="1">
        <v>19.5242</v>
      </c>
      <c r="AD22" s="1">
        <v>23.744399999999999</v>
      </c>
      <c r="AE22" s="1">
        <v>22.281199999999998</v>
      </c>
      <c r="AF22" s="1">
        <v>26.270199999999999</v>
      </c>
      <c r="AG22" s="1">
        <v>28.505600000000001</v>
      </c>
      <c r="AH22" s="1">
        <v>26.021799999999999</v>
      </c>
      <c r="AI22" s="1">
        <v>23.624600000000001</v>
      </c>
      <c r="AJ22" s="1"/>
      <c r="AK22" s="1">
        <f t="shared" si="7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61</v>
      </c>
      <c r="B23" s="1" t="s">
        <v>39</v>
      </c>
      <c r="C23" s="1">
        <v>253.53</v>
      </c>
      <c r="D23" s="1">
        <v>58.128</v>
      </c>
      <c r="E23" s="1">
        <v>97.207999999999998</v>
      </c>
      <c r="F23" s="1">
        <v>205.90100000000001</v>
      </c>
      <c r="G23" s="7">
        <v>1</v>
      </c>
      <c r="H23" s="1">
        <v>70</v>
      </c>
      <c r="I23" s="1" t="s">
        <v>40</v>
      </c>
      <c r="J23" s="1"/>
      <c r="K23" s="1">
        <v>101.6</v>
      </c>
      <c r="L23" s="1">
        <f t="shared" si="2"/>
        <v>-4.3919999999999959</v>
      </c>
      <c r="M23" s="1"/>
      <c r="N23" s="1"/>
      <c r="O23" s="1">
        <v>33.106000000000002</v>
      </c>
      <c r="P23" s="1"/>
      <c r="Q23" s="1"/>
      <c r="R23" s="1"/>
      <c r="S23" s="1">
        <v>99.88039999999998</v>
      </c>
      <c r="T23" s="1">
        <f t="shared" si="3"/>
        <v>19.441600000000001</v>
      </c>
      <c r="U23" s="5"/>
      <c r="V23" s="5">
        <f t="shared" si="5"/>
        <v>0</v>
      </c>
      <c r="W23" s="1"/>
      <c r="X23" s="1">
        <f t="shared" si="6"/>
        <v>17.431044769977778</v>
      </c>
      <c r="Y23" s="1">
        <f t="shared" si="4"/>
        <v>17.431044769977778</v>
      </c>
      <c r="Z23" s="1">
        <v>26.1462</v>
      </c>
      <c r="AA23" s="1">
        <v>35.3934</v>
      </c>
      <c r="AB23" s="1">
        <v>33.106000000000002</v>
      </c>
      <c r="AC23" s="1">
        <v>38.613</v>
      </c>
      <c r="AD23" s="1">
        <v>42.749600000000001</v>
      </c>
      <c r="AE23" s="1">
        <v>46.347000000000001</v>
      </c>
      <c r="AF23" s="1">
        <v>45.730200000000004</v>
      </c>
      <c r="AG23" s="1">
        <v>49.275599999999997</v>
      </c>
      <c r="AH23" s="1">
        <v>48.636000000000003</v>
      </c>
      <c r="AI23" s="1">
        <v>32.852600000000002</v>
      </c>
      <c r="AJ23" s="1"/>
      <c r="AK23" s="1">
        <f t="shared" si="7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62</v>
      </c>
      <c r="B24" s="1" t="s">
        <v>39</v>
      </c>
      <c r="C24" s="1">
        <v>4.5789999999999997</v>
      </c>
      <c r="D24" s="1">
        <v>49.417999999999999</v>
      </c>
      <c r="E24" s="1">
        <v>6.9029999999999996</v>
      </c>
      <c r="F24" s="1">
        <v>43.99</v>
      </c>
      <c r="G24" s="7">
        <v>1</v>
      </c>
      <c r="H24" s="1">
        <v>180</v>
      </c>
      <c r="I24" s="1" t="s">
        <v>40</v>
      </c>
      <c r="J24" s="1"/>
      <c r="K24" s="1">
        <v>14.93</v>
      </c>
      <c r="L24" s="1">
        <f t="shared" si="2"/>
        <v>-8.027000000000001</v>
      </c>
      <c r="M24" s="1"/>
      <c r="N24" s="1"/>
      <c r="O24" s="1">
        <v>0</v>
      </c>
      <c r="P24" s="1"/>
      <c r="Q24" s="1"/>
      <c r="R24" s="1"/>
      <c r="S24" s="1">
        <v>0</v>
      </c>
      <c r="T24" s="1">
        <f t="shared" si="3"/>
        <v>1.3805999999999998</v>
      </c>
      <c r="U24" s="5"/>
      <c r="V24" s="5">
        <f t="shared" si="5"/>
        <v>0</v>
      </c>
      <c r="W24" s="1"/>
      <c r="X24" s="1">
        <f t="shared" si="6"/>
        <v>31.862958134144581</v>
      </c>
      <c r="Y24" s="1">
        <f t="shared" si="4"/>
        <v>31.862958134144581</v>
      </c>
      <c r="Z24" s="1">
        <v>1.7283999999999999</v>
      </c>
      <c r="AA24" s="1">
        <v>4.5865999999999998</v>
      </c>
      <c r="AB24" s="1">
        <v>6.9908000000000001</v>
      </c>
      <c r="AC24" s="1">
        <v>5.9451999999999998</v>
      </c>
      <c r="AD24" s="1">
        <v>3.044</v>
      </c>
      <c r="AE24" s="1">
        <v>3.5346000000000002</v>
      </c>
      <c r="AF24" s="1">
        <v>4.4659999999999993</v>
      </c>
      <c r="AG24" s="1">
        <v>4.6436000000000002</v>
      </c>
      <c r="AH24" s="1">
        <v>4.6448</v>
      </c>
      <c r="AI24" s="1">
        <v>2.6063999999999998</v>
      </c>
      <c r="AJ24" s="1"/>
      <c r="AK24" s="1">
        <f t="shared" si="7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63</v>
      </c>
      <c r="B25" s="1" t="s">
        <v>39</v>
      </c>
      <c r="C25" s="1">
        <v>425.26600000000002</v>
      </c>
      <c r="D25" s="1">
        <v>5.2530000000000001</v>
      </c>
      <c r="E25" s="1">
        <v>141.86000000000001</v>
      </c>
      <c r="F25" s="1">
        <v>281.649</v>
      </c>
      <c r="G25" s="7">
        <v>1</v>
      </c>
      <c r="H25" s="1">
        <v>70</v>
      </c>
      <c r="I25" s="1" t="s">
        <v>40</v>
      </c>
      <c r="J25" s="1"/>
      <c r="K25" s="1">
        <v>139.6</v>
      </c>
      <c r="L25" s="1">
        <f t="shared" si="2"/>
        <v>2.2600000000000193</v>
      </c>
      <c r="M25" s="1"/>
      <c r="N25" s="1"/>
      <c r="O25" s="1">
        <v>0</v>
      </c>
      <c r="P25" s="1"/>
      <c r="Q25" s="1"/>
      <c r="R25" s="1"/>
      <c r="S25" s="1">
        <v>182.9682</v>
      </c>
      <c r="T25" s="1">
        <f t="shared" si="3"/>
        <v>28.372000000000003</v>
      </c>
      <c r="U25" s="5"/>
      <c r="V25" s="5">
        <f t="shared" si="5"/>
        <v>0</v>
      </c>
      <c r="W25" s="1"/>
      <c r="X25" s="1">
        <f t="shared" si="6"/>
        <v>16.375905822642039</v>
      </c>
      <c r="Y25" s="1">
        <f t="shared" si="4"/>
        <v>16.375905822642039</v>
      </c>
      <c r="Z25" s="1">
        <v>35.245800000000003</v>
      </c>
      <c r="AA25" s="1">
        <v>48.939599999999999</v>
      </c>
      <c r="AB25" s="1">
        <v>43.491199999999999</v>
      </c>
      <c r="AC25" s="1">
        <v>38.692599999999999</v>
      </c>
      <c r="AD25" s="1">
        <v>45.932200000000002</v>
      </c>
      <c r="AE25" s="1">
        <v>42.074399999999997</v>
      </c>
      <c r="AF25" s="1">
        <v>40.281599999999997</v>
      </c>
      <c r="AG25" s="1">
        <v>49.956400000000002</v>
      </c>
      <c r="AH25" s="1">
        <v>44.857199999999999</v>
      </c>
      <c r="AI25" s="1">
        <v>48.375</v>
      </c>
      <c r="AJ25" s="1"/>
      <c r="AK25" s="1">
        <f t="shared" si="7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9" t="s">
        <v>64</v>
      </c>
      <c r="B26" s="9" t="s">
        <v>39</v>
      </c>
      <c r="C26" s="9"/>
      <c r="D26" s="9"/>
      <c r="E26" s="9"/>
      <c r="F26" s="9"/>
      <c r="G26" s="10">
        <v>0</v>
      </c>
      <c r="H26" s="9"/>
      <c r="I26" s="9" t="s">
        <v>40</v>
      </c>
      <c r="J26" s="9"/>
      <c r="K26" s="9"/>
      <c r="L26" s="9">
        <f t="shared" si="2"/>
        <v>0</v>
      </c>
      <c r="M26" s="9"/>
      <c r="N26" s="9"/>
      <c r="O26" s="9">
        <v>0</v>
      </c>
      <c r="P26" s="9"/>
      <c r="Q26" s="9"/>
      <c r="R26" s="9"/>
      <c r="S26" s="9">
        <v>0</v>
      </c>
      <c r="T26" s="9">
        <f t="shared" si="3"/>
        <v>0</v>
      </c>
      <c r="U26" s="11"/>
      <c r="V26" s="5">
        <f t="shared" si="5"/>
        <v>0</v>
      </c>
      <c r="W26" s="9"/>
      <c r="X26" s="1" t="e">
        <f t="shared" si="6"/>
        <v>#DIV/0!</v>
      </c>
      <c r="Y26" s="9" t="e">
        <f t="shared" si="4"/>
        <v>#DIV/0!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 t="s">
        <v>47</v>
      </c>
      <c r="AK26" s="1">
        <f t="shared" si="7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39</v>
      </c>
      <c r="C27" s="1">
        <v>129.19800000000001</v>
      </c>
      <c r="D27" s="1">
        <v>8.3190000000000008</v>
      </c>
      <c r="E27" s="1">
        <v>111.758</v>
      </c>
      <c r="F27" s="1">
        <v>10.56</v>
      </c>
      <c r="G27" s="7">
        <v>1</v>
      </c>
      <c r="H27" s="1"/>
      <c r="I27" s="1" t="s">
        <v>40</v>
      </c>
      <c r="J27" s="1"/>
      <c r="K27" s="1">
        <v>140.90199999999999</v>
      </c>
      <c r="L27" s="1">
        <f t="shared" si="2"/>
        <v>-29.143999999999991</v>
      </c>
      <c r="M27" s="1"/>
      <c r="N27" s="1"/>
      <c r="O27" s="1">
        <v>0</v>
      </c>
      <c r="P27" s="1"/>
      <c r="Q27" s="1"/>
      <c r="R27" s="1"/>
      <c r="S27" s="1">
        <v>0</v>
      </c>
      <c r="T27" s="1">
        <f t="shared" si="3"/>
        <v>22.351599999999998</v>
      </c>
      <c r="U27" s="5">
        <f>7*T27-S27-R27-Q27-P27-O27-F27+W27</f>
        <v>145.90119999999999</v>
      </c>
      <c r="V27" s="5">
        <f>T27*($V$1-Y27)</f>
        <v>324.714</v>
      </c>
      <c r="W27" s="1"/>
      <c r="X27" s="1">
        <f t="shared" si="6"/>
        <v>15.000000000000002</v>
      </c>
      <c r="Y27" s="1">
        <f t="shared" si="4"/>
        <v>0.47244939959555476</v>
      </c>
      <c r="Z27" s="1">
        <v>23.732600000000001</v>
      </c>
      <c r="AA27" s="1">
        <v>5.7994000000000003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 t="s">
        <v>66</v>
      </c>
      <c r="AK27" s="1">
        <f t="shared" si="7"/>
        <v>325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39</v>
      </c>
      <c r="C28" s="1">
        <v>34.192</v>
      </c>
      <c r="D28" s="1">
        <v>15.882999999999999</v>
      </c>
      <c r="E28" s="1">
        <v>47.889000000000003</v>
      </c>
      <c r="F28" s="1">
        <v>-12.327</v>
      </c>
      <c r="G28" s="7">
        <v>1</v>
      </c>
      <c r="H28" s="1">
        <v>40</v>
      </c>
      <c r="I28" s="12" t="s">
        <v>68</v>
      </c>
      <c r="J28" s="1"/>
      <c r="K28" s="1">
        <v>72.900000000000006</v>
      </c>
      <c r="L28" s="1">
        <f t="shared" si="2"/>
        <v>-25.011000000000003</v>
      </c>
      <c r="M28" s="1"/>
      <c r="N28" s="1"/>
      <c r="O28" s="1">
        <v>0</v>
      </c>
      <c r="P28" s="1"/>
      <c r="Q28" s="1"/>
      <c r="R28" s="1"/>
      <c r="S28" s="1">
        <v>0</v>
      </c>
      <c r="T28" s="1">
        <f t="shared" si="3"/>
        <v>9.5777999999999999</v>
      </c>
      <c r="U28" s="19">
        <v>100</v>
      </c>
      <c r="V28" s="5">
        <v>150</v>
      </c>
      <c r="W28" s="1"/>
      <c r="X28" s="1">
        <f t="shared" si="6"/>
        <v>14.374177786130428</v>
      </c>
      <c r="Y28" s="1">
        <f t="shared" si="4"/>
        <v>-1.2870387771722107</v>
      </c>
      <c r="Z28" s="1">
        <v>37.691400000000002</v>
      </c>
      <c r="AA28" s="1">
        <v>56.543799999999997</v>
      </c>
      <c r="AB28" s="1">
        <v>34.541200000000003</v>
      </c>
      <c r="AC28" s="1">
        <v>38.505600000000001</v>
      </c>
      <c r="AD28" s="1">
        <v>32.977800000000002</v>
      </c>
      <c r="AE28" s="1">
        <v>14.902200000000001</v>
      </c>
      <c r="AF28" s="1">
        <v>40.676000000000002</v>
      </c>
      <c r="AG28" s="1">
        <v>54.751800000000003</v>
      </c>
      <c r="AH28" s="1">
        <v>34.035200000000003</v>
      </c>
      <c r="AI28" s="1">
        <v>15.829800000000001</v>
      </c>
      <c r="AJ28" s="1"/>
      <c r="AK28" s="1">
        <f t="shared" si="7"/>
        <v>150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69</v>
      </c>
      <c r="B29" s="1" t="s">
        <v>39</v>
      </c>
      <c r="C29" s="1">
        <v>10.726000000000001</v>
      </c>
      <c r="D29" s="1">
        <v>79.013000000000005</v>
      </c>
      <c r="E29" s="1">
        <v>59.08</v>
      </c>
      <c r="F29" s="1">
        <v>9.6750000000000007</v>
      </c>
      <c r="G29" s="7">
        <v>1</v>
      </c>
      <c r="H29" s="1">
        <v>30</v>
      </c>
      <c r="I29" s="12" t="s">
        <v>68</v>
      </c>
      <c r="J29" s="1"/>
      <c r="K29" s="1">
        <v>122.654</v>
      </c>
      <c r="L29" s="1">
        <f t="shared" si="2"/>
        <v>-63.573999999999998</v>
      </c>
      <c r="M29" s="1"/>
      <c r="N29" s="1"/>
      <c r="O29" s="1">
        <v>345.96039999999999</v>
      </c>
      <c r="P29" s="1"/>
      <c r="Q29" s="1"/>
      <c r="R29" s="1"/>
      <c r="S29" s="1">
        <v>0</v>
      </c>
      <c r="T29" s="1">
        <f t="shared" si="3"/>
        <v>11.815999999999999</v>
      </c>
      <c r="U29" s="19">
        <v>50</v>
      </c>
      <c r="V29" s="5">
        <v>70</v>
      </c>
      <c r="W29" s="1"/>
      <c r="X29" s="1">
        <f t="shared" si="6"/>
        <v>36.021953283683146</v>
      </c>
      <c r="Y29" s="1">
        <f t="shared" si="4"/>
        <v>30.097782667569401</v>
      </c>
      <c r="Z29" s="1">
        <v>3.6137999999999999</v>
      </c>
      <c r="AA29" s="1">
        <v>28.007400000000001</v>
      </c>
      <c r="AB29" s="1">
        <v>35.287799999999997</v>
      </c>
      <c r="AC29" s="1">
        <v>16.3886</v>
      </c>
      <c r="AD29" s="1">
        <v>14.622999999999999</v>
      </c>
      <c r="AE29" s="1">
        <v>57.747199999999999</v>
      </c>
      <c r="AF29" s="1">
        <v>92.522199999999998</v>
      </c>
      <c r="AG29" s="1">
        <v>52.175400000000003</v>
      </c>
      <c r="AH29" s="1">
        <v>48.465800000000002</v>
      </c>
      <c r="AI29" s="1">
        <v>53.796000000000006</v>
      </c>
      <c r="AJ29" s="1"/>
      <c r="AK29" s="1">
        <f t="shared" si="7"/>
        <v>70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70</v>
      </c>
      <c r="B30" s="1" t="s">
        <v>39</v>
      </c>
      <c r="C30" s="1">
        <v>-20.225999999999999</v>
      </c>
      <c r="D30" s="1">
        <v>599.52800000000002</v>
      </c>
      <c r="E30" s="1">
        <v>581.94500000000005</v>
      </c>
      <c r="F30" s="1">
        <v>-26.673999999999999</v>
      </c>
      <c r="G30" s="7">
        <v>1</v>
      </c>
      <c r="H30" s="1">
        <v>40</v>
      </c>
      <c r="I30" s="12" t="s">
        <v>68</v>
      </c>
      <c r="J30" s="1"/>
      <c r="K30" s="1">
        <v>959.11800000000005</v>
      </c>
      <c r="L30" s="1">
        <f t="shared" si="2"/>
        <v>-377.173</v>
      </c>
      <c r="M30" s="1"/>
      <c r="N30" s="1"/>
      <c r="O30" s="1">
        <v>0</v>
      </c>
      <c r="P30" s="1">
        <v>0</v>
      </c>
      <c r="Q30" s="1"/>
      <c r="R30" s="1"/>
      <c r="S30" s="1">
        <v>0</v>
      </c>
      <c r="T30" s="1">
        <f t="shared" si="3"/>
        <v>116.38900000000001</v>
      </c>
      <c r="U30" s="19">
        <v>250</v>
      </c>
      <c r="V30" s="5">
        <v>300</v>
      </c>
      <c r="W30" s="1"/>
      <c r="X30" s="1">
        <f t="shared" si="6"/>
        <v>2.3483834382974336</v>
      </c>
      <c r="Y30" s="1">
        <f t="shared" si="4"/>
        <v>-0.22917973347996801</v>
      </c>
      <c r="Z30" s="1">
        <v>99.9422</v>
      </c>
      <c r="AA30" s="1">
        <v>194.2286</v>
      </c>
      <c r="AB30" s="1">
        <v>221.15479999999999</v>
      </c>
      <c r="AC30" s="1">
        <v>290.73820000000001</v>
      </c>
      <c r="AD30" s="1">
        <v>221.20740000000001</v>
      </c>
      <c r="AE30" s="1">
        <v>21.023</v>
      </c>
      <c r="AF30" s="1">
        <v>97.070799999999991</v>
      </c>
      <c r="AG30" s="1">
        <v>200.02199999999999</v>
      </c>
      <c r="AH30" s="1">
        <v>174.52520000000001</v>
      </c>
      <c r="AI30" s="1">
        <v>208.46619999999999</v>
      </c>
      <c r="AJ30" s="1"/>
      <c r="AK30" s="1">
        <f t="shared" si="7"/>
        <v>300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71</v>
      </c>
      <c r="B31" s="1" t="s">
        <v>39</v>
      </c>
      <c r="C31" s="1">
        <v>-0.14000000000000001</v>
      </c>
      <c r="D31" s="1">
        <v>49.258000000000003</v>
      </c>
      <c r="E31" s="1">
        <v>7.492</v>
      </c>
      <c r="F31" s="1">
        <v>32.61</v>
      </c>
      <c r="G31" s="7">
        <v>1</v>
      </c>
      <c r="H31" s="1">
        <v>40</v>
      </c>
      <c r="I31" s="1" t="s">
        <v>40</v>
      </c>
      <c r="J31" s="1"/>
      <c r="K31" s="1">
        <v>11.22</v>
      </c>
      <c r="L31" s="1">
        <f t="shared" si="2"/>
        <v>-3.7280000000000006</v>
      </c>
      <c r="M31" s="1"/>
      <c r="N31" s="1"/>
      <c r="O31" s="1">
        <v>0</v>
      </c>
      <c r="P31" s="1"/>
      <c r="Q31" s="1"/>
      <c r="R31" s="1"/>
      <c r="S31" s="1">
        <v>0</v>
      </c>
      <c r="T31" s="1">
        <f t="shared" si="3"/>
        <v>1.4984</v>
      </c>
      <c r="U31" s="5"/>
      <c r="V31" s="5">
        <f t="shared" si="5"/>
        <v>0</v>
      </c>
      <c r="W31" s="1"/>
      <c r="X31" s="1">
        <f t="shared" si="6"/>
        <v>21.763214095034705</v>
      </c>
      <c r="Y31" s="1">
        <f t="shared" si="4"/>
        <v>21.763214095034705</v>
      </c>
      <c r="Z31" s="1">
        <v>0</v>
      </c>
      <c r="AA31" s="1">
        <v>0</v>
      </c>
      <c r="AB31" s="1">
        <v>0.90600000000000003</v>
      </c>
      <c r="AC31" s="1">
        <v>5.2767999999999997</v>
      </c>
      <c r="AD31" s="1">
        <v>4.3708</v>
      </c>
      <c r="AE31" s="1">
        <v>-0.6048</v>
      </c>
      <c r="AF31" s="1">
        <v>-0.6048</v>
      </c>
      <c r="AG31" s="1">
        <v>0</v>
      </c>
      <c r="AH31" s="1">
        <v>0</v>
      </c>
      <c r="AI31" s="1">
        <v>0</v>
      </c>
      <c r="AJ31" s="1"/>
      <c r="AK31" s="1">
        <f t="shared" si="7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72</v>
      </c>
      <c r="B32" s="1" t="s">
        <v>39</v>
      </c>
      <c r="C32" s="1">
        <v>8.9779999999999998</v>
      </c>
      <c r="D32" s="1">
        <v>143.374</v>
      </c>
      <c r="E32" s="1">
        <v>49.845999999999997</v>
      </c>
      <c r="F32" s="1">
        <v>64.36</v>
      </c>
      <c r="G32" s="7">
        <v>1</v>
      </c>
      <c r="H32" s="1">
        <v>30</v>
      </c>
      <c r="I32" s="1" t="s">
        <v>40</v>
      </c>
      <c r="J32" s="1"/>
      <c r="K32" s="1">
        <v>86.7</v>
      </c>
      <c r="L32" s="1">
        <f t="shared" si="2"/>
        <v>-36.854000000000006</v>
      </c>
      <c r="M32" s="1"/>
      <c r="N32" s="1"/>
      <c r="O32" s="1">
        <v>32.216800000000013</v>
      </c>
      <c r="P32" s="1"/>
      <c r="Q32" s="1"/>
      <c r="R32" s="1"/>
      <c r="S32" s="1">
        <v>0</v>
      </c>
      <c r="T32" s="1">
        <f t="shared" si="3"/>
        <v>9.969199999999999</v>
      </c>
      <c r="U32" s="5">
        <f t="shared" ref="U32:U42" si="12">12*T32-S32-R32-Q32-P32-O32-F32+W32</f>
        <v>23.053599999999975</v>
      </c>
      <c r="V32" s="5">
        <f t="shared" ref="V32:V34" si="13">T32*($V$1-Y32)</f>
        <v>52.96119999999997</v>
      </c>
      <c r="W32" s="1"/>
      <c r="X32" s="1">
        <f t="shared" si="6"/>
        <v>15</v>
      </c>
      <c r="Y32" s="1">
        <f t="shared" si="4"/>
        <v>9.6875175540665275</v>
      </c>
      <c r="Z32" s="1">
        <v>5.0338000000000003</v>
      </c>
      <c r="AA32" s="1">
        <v>7.6532</v>
      </c>
      <c r="AB32" s="1">
        <v>15.609400000000001</v>
      </c>
      <c r="AC32" s="1">
        <v>19.0808</v>
      </c>
      <c r="AD32" s="1">
        <v>10.242800000000001</v>
      </c>
      <c r="AE32" s="1">
        <v>10.489800000000001</v>
      </c>
      <c r="AF32" s="1">
        <v>15.446199999999999</v>
      </c>
      <c r="AG32" s="1">
        <v>15.259600000000001</v>
      </c>
      <c r="AH32" s="1">
        <v>18.017800000000001</v>
      </c>
      <c r="AI32" s="1">
        <v>21.190799999999999</v>
      </c>
      <c r="AJ32" s="1"/>
      <c r="AK32" s="1">
        <f t="shared" si="7"/>
        <v>53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73</v>
      </c>
      <c r="B33" s="1" t="s">
        <v>39</v>
      </c>
      <c r="C33" s="1">
        <v>301.39999999999998</v>
      </c>
      <c r="D33" s="1">
        <v>1.782</v>
      </c>
      <c r="E33" s="1">
        <v>83.361000000000004</v>
      </c>
      <c r="F33" s="1">
        <v>199.14400000000001</v>
      </c>
      <c r="G33" s="7">
        <v>1</v>
      </c>
      <c r="H33" s="1">
        <v>50</v>
      </c>
      <c r="I33" s="1" t="s">
        <v>40</v>
      </c>
      <c r="J33" s="1"/>
      <c r="K33" s="1">
        <v>101.4</v>
      </c>
      <c r="L33" s="1">
        <f t="shared" si="2"/>
        <v>-18.039000000000001</v>
      </c>
      <c r="M33" s="1"/>
      <c r="N33" s="1"/>
      <c r="O33" s="1">
        <v>0</v>
      </c>
      <c r="P33" s="1"/>
      <c r="Q33" s="1"/>
      <c r="R33" s="1"/>
      <c r="S33" s="1">
        <v>0</v>
      </c>
      <c r="T33" s="1">
        <f t="shared" si="3"/>
        <v>16.6722</v>
      </c>
      <c r="U33" s="5">
        <v>4</v>
      </c>
      <c r="V33" s="5">
        <f t="shared" si="13"/>
        <v>50.939000000000007</v>
      </c>
      <c r="W33" s="1"/>
      <c r="X33" s="1">
        <f t="shared" si="6"/>
        <v>15.000000000000002</v>
      </c>
      <c r="Y33" s="1">
        <f t="shared" si="4"/>
        <v>11.944674368109787</v>
      </c>
      <c r="Z33" s="1">
        <v>19.813600000000001</v>
      </c>
      <c r="AA33" s="1">
        <v>12.786799999999999</v>
      </c>
      <c r="AB33" s="1">
        <v>7.3365999999999998</v>
      </c>
      <c r="AC33" s="1">
        <v>20.953199999999999</v>
      </c>
      <c r="AD33" s="1">
        <v>32.764400000000002</v>
      </c>
      <c r="AE33" s="1">
        <v>27.847000000000001</v>
      </c>
      <c r="AF33" s="1">
        <v>21.542999999999999</v>
      </c>
      <c r="AG33" s="1">
        <v>17.402000000000001</v>
      </c>
      <c r="AH33" s="1">
        <v>24.775200000000002</v>
      </c>
      <c r="AI33" s="1">
        <v>14.6998</v>
      </c>
      <c r="AJ33" s="1"/>
      <c r="AK33" s="1">
        <f t="shared" si="7"/>
        <v>51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74</v>
      </c>
      <c r="B34" s="1" t="s">
        <v>39</v>
      </c>
      <c r="C34" s="1">
        <v>181.38300000000001</v>
      </c>
      <c r="D34" s="1">
        <v>0.90400000000000003</v>
      </c>
      <c r="E34" s="1">
        <v>67.867000000000004</v>
      </c>
      <c r="F34" s="1">
        <v>99.837999999999994</v>
      </c>
      <c r="G34" s="7">
        <v>1</v>
      </c>
      <c r="H34" s="1">
        <v>50</v>
      </c>
      <c r="I34" s="1" t="s">
        <v>40</v>
      </c>
      <c r="J34" s="1"/>
      <c r="K34" s="1">
        <v>79</v>
      </c>
      <c r="L34" s="1">
        <f t="shared" si="2"/>
        <v>-11.132999999999996</v>
      </c>
      <c r="M34" s="1"/>
      <c r="N34" s="1"/>
      <c r="O34" s="1">
        <v>0</v>
      </c>
      <c r="P34" s="1"/>
      <c r="Q34" s="1"/>
      <c r="R34" s="1"/>
      <c r="S34" s="1">
        <v>0</v>
      </c>
      <c r="T34" s="1">
        <f t="shared" si="3"/>
        <v>13.573400000000001</v>
      </c>
      <c r="U34" s="5">
        <f t="shared" si="12"/>
        <v>63.042800000000028</v>
      </c>
      <c r="V34" s="5">
        <f t="shared" si="13"/>
        <v>103.76300000000002</v>
      </c>
      <c r="W34" s="1"/>
      <c r="X34" s="1">
        <f t="shared" si="6"/>
        <v>14.999999999999998</v>
      </c>
      <c r="Y34" s="1">
        <f t="shared" si="4"/>
        <v>7.3554157396083504</v>
      </c>
      <c r="Z34" s="1">
        <v>14.6586</v>
      </c>
      <c r="AA34" s="1">
        <v>12.297599999999999</v>
      </c>
      <c r="AB34" s="1">
        <v>10.6524</v>
      </c>
      <c r="AC34" s="1">
        <v>7.8666</v>
      </c>
      <c r="AD34" s="1">
        <v>12.2232</v>
      </c>
      <c r="AE34" s="1">
        <v>20.489599999999999</v>
      </c>
      <c r="AF34" s="1">
        <v>20.728200000000001</v>
      </c>
      <c r="AG34" s="1">
        <v>15.374000000000001</v>
      </c>
      <c r="AH34" s="1">
        <v>15.021800000000001</v>
      </c>
      <c r="AI34" s="1">
        <v>11.911799999999999</v>
      </c>
      <c r="AJ34" s="1"/>
      <c r="AK34" s="1">
        <f t="shared" si="7"/>
        <v>104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75</v>
      </c>
      <c r="B35" s="1" t="s">
        <v>46</v>
      </c>
      <c r="C35" s="1">
        <v>1704</v>
      </c>
      <c r="D35" s="1">
        <v>1899</v>
      </c>
      <c r="E35" s="1">
        <v>1209</v>
      </c>
      <c r="F35" s="1">
        <v>2277</v>
      </c>
      <c r="G35" s="7">
        <v>0.4</v>
      </c>
      <c r="H35" s="1">
        <v>45</v>
      </c>
      <c r="I35" s="12" t="s">
        <v>68</v>
      </c>
      <c r="J35" s="1"/>
      <c r="K35" s="1">
        <v>1374</v>
      </c>
      <c r="L35" s="1">
        <f t="shared" si="2"/>
        <v>-165</v>
      </c>
      <c r="M35" s="1"/>
      <c r="N35" s="1"/>
      <c r="O35" s="1">
        <v>0</v>
      </c>
      <c r="P35" s="1">
        <v>0</v>
      </c>
      <c r="Q35" s="1"/>
      <c r="R35" s="1"/>
      <c r="S35" s="1">
        <v>0</v>
      </c>
      <c r="T35" s="1">
        <f t="shared" si="3"/>
        <v>241.8</v>
      </c>
      <c r="U35" s="19">
        <v>400</v>
      </c>
      <c r="V35" s="5">
        <v>500</v>
      </c>
      <c r="W35" s="1"/>
      <c r="X35" s="1">
        <f t="shared" si="6"/>
        <v>11.484698097601322</v>
      </c>
      <c r="Y35" s="1">
        <f t="shared" si="4"/>
        <v>9.4168734491315131</v>
      </c>
      <c r="Z35" s="1">
        <v>278.8</v>
      </c>
      <c r="AA35" s="1">
        <v>324.39999999999998</v>
      </c>
      <c r="AB35" s="1">
        <v>336.4</v>
      </c>
      <c r="AC35" s="1">
        <v>363</v>
      </c>
      <c r="AD35" s="1">
        <v>355.6</v>
      </c>
      <c r="AE35" s="1">
        <v>357.8</v>
      </c>
      <c r="AF35" s="1">
        <v>387.50299999999999</v>
      </c>
      <c r="AG35" s="1">
        <v>375.50299999999999</v>
      </c>
      <c r="AH35" s="1">
        <v>320.60000000000002</v>
      </c>
      <c r="AI35" s="1">
        <v>255</v>
      </c>
      <c r="AJ35" s="1"/>
      <c r="AK35" s="1">
        <f t="shared" si="7"/>
        <v>200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76</v>
      </c>
      <c r="B36" s="1" t="s">
        <v>46</v>
      </c>
      <c r="C36" s="1">
        <v>363</v>
      </c>
      <c r="D36" s="1">
        <v>16</v>
      </c>
      <c r="E36" s="1">
        <v>197</v>
      </c>
      <c r="F36" s="1">
        <v>180</v>
      </c>
      <c r="G36" s="7">
        <v>0.45</v>
      </c>
      <c r="H36" s="1">
        <v>50</v>
      </c>
      <c r="I36" s="1" t="s">
        <v>40</v>
      </c>
      <c r="J36" s="1"/>
      <c r="K36" s="1">
        <v>198</v>
      </c>
      <c r="L36" s="1">
        <f t="shared" si="2"/>
        <v>-1</v>
      </c>
      <c r="M36" s="1"/>
      <c r="N36" s="1"/>
      <c r="O36" s="1">
        <v>133.81000000000009</v>
      </c>
      <c r="P36" s="1"/>
      <c r="Q36" s="1"/>
      <c r="R36" s="1"/>
      <c r="S36" s="1">
        <v>667.72399999999971</v>
      </c>
      <c r="T36" s="1">
        <f t="shared" si="3"/>
        <v>39.4</v>
      </c>
      <c r="U36" s="5"/>
      <c r="V36" s="5">
        <f t="shared" si="5"/>
        <v>0</v>
      </c>
      <c r="W36" s="1"/>
      <c r="X36" s="1">
        <f t="shared" si="6"/>
        <v>24.912030456852786</v>
      </c>
      <c r="Y36" s="1">
        <f t="shared" si="4"/>
        <v>24.912030456852786</v>
      </c>
      <c r="Z36" s="1">
        <v>68.8</v>
      </c>
      <c r="AA36" s="1">
        <v>92.6</v>
      </c>
      <c r="AB36" s="1">
        <v>61</v>
      </c>
      <c r="AC36" s="1">
        <v>66.8</v>
      </c>
      <c r="AD36" s="1">
        <v>81</v>
      </c>
      <c r="AE36" s="1">
        <v>67.8</v>
      </c>
      <c r="AF36" s="1">
        <v>74.8</v>
      </c>
      <c r="AG36" s="1">
        <v>65.599999999999994</v>
      </c>
      <c r="AH36" s="1">
        <v>63.8</v>
      </c>
      <c r="AI36" s="1">
        <v>64.2</v>
      </c>
      <c r="AJ36" s="15" t="s">
        <v>58</v>
      </c>
      <c r="AK36" s="1">
        <f t="shared" si="7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77</v>
      </c>
      <c r="B37" s="1" t="s">
        <v>46</v>
      </c>
      <c r="C37" s="1">
        <v>193</v>
      </c>
      <c r="D37" s="1">
        <v>841</v>
      </c>
      <c r="E37" s="1">
        <v>535</v>
      </c>
      <c r="F37" s="1">
        <v>489</v>
      </c>
      <c r="G37" s="7">
        <v>0.4</v>
      </c>
      <c r="H37" s="1">
        <v>45</v>
      </c>
      <c r="I37" s="12" t="s">
        <v>68</v>
      </c>
      <c r="J37" s="1"/>
      <c r="K37" s="1">
        <v>548</v>
      </c>
      <c r="L37" s="1">
        <f t="shared" si="2"/>
        <v>-13</v>
      </c>
      <c r="M37" s="1"/>
      <c r="N37" s="1"/>
      <c r="O37" s="1">
        <v>0</v>
      </c>
      <c r="P37" s="1"/>
      <c r="Q37" s="1"/>
      <c r="R37" s="1"/>
      <c r="S37" s="1">
        <v>0</v>
      </c>
      <c r="T37" s="1">
        <f t="shared" si="3"/>
        <v>107</v>
      </c>
      <c r="U37" s="19">
        <v>200</v>
      </c>
      <c r="V37" s="5">
        <v>300</v>
      </c>
      <c r="W37" s="1"/>
      <c r="X37" s="1">
        <f t="shared" si="6"/>
        <v>7.3738317757009346</v>
      </c>
      <c r="Y37" s="1">
        <f t="shared" si="4"/>
        <v>4.5700934579439254</v>
      </c>
      <c r="Z37" s="1">
        <v>101.8</v>
      </c>
      <c r="AA37" s="1">
        <v>124.8</v>
      </c>
      <c r="AB37" s="1">
        <v>136.80000000000001</v>
      </c>
      <c r="AC37" s="1">
        <v>134</v>
      </c>
      <c r="AD37" s="1">
        <v>123.8</v>
      </c>
      <c r="AE37" s="1">
        <v>108.4</v>
      </c>
      <c r="AF37" s="1">
        <v>141.80000000000001</v>
      </c>
      <c r="AG37" s="1">
        <v>155.80000000000001</v>
      </c>
      <c r="AH37" s="1">
        <v>127.8</v>
      </c>
      <c r="AI37" s="1">
        <v>123</v>
      </c>
      <c r="AJ37" s="1"/>
      <c r="AK37" s="1">
        <f t="shared" si="7"/>
        <v>120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78</v>
      </c>
      <c r="B38" s="1" t="s">
        <v>46</v>
      </c>
      <c r="C38" s="1">
        <v>13</v>
      </c>
      <c r="D38" s="1">
        <v>172</v>
      </c>
      <c r="E38" s="1">
        <v>53</v>
      </c>
      <c r="F38" s="1">
        <v>134</v>
      </c>
      <c r="G38" s="7">
        <v>0.4</v>
      </c>
      <c r="H38" s="1">
        <v>40</v>
      </c>
      <c r="I38" s="12" t="s">
        <v>68</v>
      </c>
      <c r="J38" s="1"/>
      <c r="K38" s="1">
        <v>51</v>
      </c>
      <c r="L38" s="1">
        <f t="shared" ref="L38:L69" si="14">E38-K38</f>
        <v>2</v>
      </c>
      <c r="M38" s="1"/>
      <c r="N38" s="1"/>
      <c r="O38" s="1">
        <v>53.399999999999991</v>
      </c>
      <c r="P38" s="1"/>
      <c r="Q38" s="1"/>
      <c r="R38" s="1"/>
      <c r="S38" s="1">
        <v>0</v>
      </c>
      <c r="T38" s="1">
        <f t="shared" ref="T38:T69" si="15">E38/5</f>
        <v>10.6</v>
      </c>
      <c r="U38" s="5"/>
      <c r="V38" s="5">
        <f t="shared" si="5"/>
        <v>0</v>
      </c>
      <c r="W38" s="1"/>
      <c r="X38" s="1">
        <f t="shared" si="6"/>
        <v>17.679245283018865</v>
      </c>
      <c r="Y38" s="1">
        <f t="shared" ref="Y38:Y69" si="16">(F38+O38+P38+Q38+R38+S38)/T38</f>
        <v>17.679245283018865</v>
      </c>
      <c r="Z38" s="1">
        <v>20.6</v>
      </c>
      <c r="AA38" s="1">
        <v>26</v>
      </c>
      <c r="AB38" s="1">
        <v>27.2</v>
      </c>
      <c r="AC38" s="1">
        <v>26</v>
      </c>
      <c r="AD38" s="1">
        <v>11</v>
      </c>
      <c r="AE38" s="1">
        <v>9</v>
      </c>
      <c r="AF38" s="1">
        <v>29.8</v>
      </c>
      <c r="AG38" s="1">
        <v>28.6</v>
      </c>
      <c r="AH38" s="1">
        <v>21.4</v>
      </c>
      <c r="AI38" s="1">
        <v>16.8</v>
      </c>
      <c r="AJ38" s="1"/>
      <c r="AK38" s="1">
        <f t="shared" si="7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79</v>
      </c>
      <c r="B39" s="1" t="s">
        <v>39</v>
      </c>
      <c r="C39" s="1">
        <v>55.110999999999997</v>
      </c>
      <c r="D39" s="1">
        <v>2.8860000000000001</v>
      </c>
      <c r="E39" s="1">
        <v>23.335999999999999</v>
      </c>
      <c r="F39" s="1">
        <v>23.353000000000002</v>
      </c>
      <c r="G39" s="7">
        <v>1</v>
      </c>
      <c r="H39" s="1">
        <v>45</v>
      </c>
      <c r="I39" s="1" t="s">
        <v>40</v>
      </c>
      <c r="J39" s="1"/>
      <c r="K39" s="1">
        <v>32.43</v>
      </c>
      <c r="L39" s="1">
        <f t="shared" si="14"/>
        <v>-9.0940000000000012</v>
      </c>
      <c r="M39" s="1"/>
      <c r="N39" s="1"/>
      <c r="O39" s="1">
        <v>0</v>
      </c>
      <c r="P39" s="1"/>
      <c r="Q39" s="1"/>
      <c r="R39" s="1"/>
      <c r="S39" s="1">
        <v>0</v>
      </c>
      <c r="T39" s="1">
        <f t="shared" si="15"/>
        <v>4.6671999999999993</v>
      </c>
      <c r="U39" s="5">
        <f t="shared" si="12"/>
        <v>32.653399999999991</v>
      </c>
      <c r="V39" s="5">
        <f t="shared" ref="V39:V42" si="17">T39*($V$1-Y39)</f>
        <v>46.654999999999987</v>
      </c>
      <c r="W39" s="1"/>
      <c r="X39" s="1">
        <f t="shared" si="6"/>
        <v>14.999999999999998</v>
      </c>
      <c r="Y39" s="1">
        <f t="shared" si="16"/>
        <v>5.003642440863902</v>
      </c>
      <c r="Z39" s="1">
        <v>6.0350000000000001</v>
      </c>
      <c r="AA39" s="1">
        <v>5.3391999999999999</v>
      </c>
      <c r="AB39" s="1">
        <v>4.4689999999999994</v>
      </c>
      <c r="AC39" s="1">
        <v>1.9303999999999999</v>
      </c>
      <c r="AD39" s="1">
        <v>2.2482000000000002</v>
      </c>
      <c r="AE39" s="1">
        <v>5.7770000000000001</v>
      </c>
      <c r="AF39" s="1">
        <v>6.0679999999999996</v>
      </c>
      <c r="AG39" s="1">
        <v>3.7372000000000001</v>
      </c>
      <c r="AH39" s="1">
        <v>2.1223999999999998</v>
      </c>
      <c r="AI39" s="1">
        <v>1.2802</v>
      </c>
      <c r="AJ39" s="1" t="s">
        <v>80</v>
      </c>
      <c r="AK39" s="1">
        <f t="shared" si="7"/>
        <v>47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81</v>
      </c>
      <c r="B40" s="1" t="s">
        <v>46</v>
      </c>
      <c r="C40" s="1">
        <v>54</v>
      </c>
      <c r="D40" s="1">
        <v>25</v>
      </c>
      <c r="E40" s="1">
        <v>114</v>
      </c>
      <c r="F40" s="13">
        <f>-37+F131</f>
        <v>83</v>
      </c>
      <c r="G40" s="7">
        <v>0.1</v>
      </c>
      <c r="H40" s="1">
        <v>731</v>
      </c>
      <c r="I40" s="1" t="s">
        <v>40</v>
      </c>
      <c r="J40" s="1"/>
      <c r="K40" s="1">
        <v>116</v>
      </c>
      <c r="L40" s="1">
        <f t="shared" si="14"/>
        <v>-2</v>
      </c>
      <c r="M40" s="1"/>
      <c r="N40" s="1"/>
      <c r="O40" s="1">
        <v>0</v>
      </c>
      <c r="P40" s="1"/>
      <c r="Q40" s="1"/>
      <c r="R40" s="1"/>
      <c r="S40" s="1">
        <v>103.60000000000009</v>
      </c>
      <c r="T40" s="1">
        <f t="shared" si="15"/>
        <v>22.8</v>
      </c>
      <c r="U40" s="5">
        <f t="shared" si="12"/>
        <v>86.999999999999943</v>
      </c>
      <c r="V40" s="5">
        <f t="shared" si="17"/>
        <v>155.39999999999992</v>
      </c>
      <c r="W40" s="1"/>
      <c r="X40" s="1">
        <f t="shared" si="6"/>
        <v>15</v>
      </c>
      <c r="Y40" s="1">
        <f t="shared" si="16"/>
        <v>8.1842105263157929</v>
      </c>
      <c r="Z40" s="1">
        <v>20.2</v>
      </c>
      <c r="AA40" s="1">
        <v>22</v>
      </c>
      <c r="AB40" s="1">
        <v>19.399999999999999</v>
      </c>
      <c r="AC40" s="1">
        <v>23.4</v>
      </c>
      <c r="AD40" s="1">
        <v>27.4</v>
      </c>
      <c r="AE40" s="1">
        <v>21.2</v>
      </c>
      <c r="AF40" s="1">
        <v>16</v>
      </c>
      <c r="AG40" s="1">
        <v>12.8</v>
      </c>
      <c r="AH40" s="1">
        <v>11.6</v>
      </c>
      <c r="AI40" s="1">
        <v>6.8</v>
      </c>
      <c r="AJ40" s="1"/>
      <c r="AK40" s="1">
        <f t="shared" si="7"/>
        <v>16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82</v>
      </c>
      <c r="B41" s="1" t="s">
        <v>46</v>
      </c>
      <c r="C41" s="1">
        <v>66</v>
      </c>
      <c r="D41" s="1">
        <v>4</v>
      </c>
      <c r="E41" s="1">
        <v>54</v>
      </c>
      <c r="F41" s="1">
        <v>8</v>
      </c>
      <c r="G41" s="7">
        <v>0.35</v>
      </c>
      <c r="H41" s="1">
        <v>40</v>
      </c>
      <c r="I41" s="1" t="s">
        <v>40</v>
      </c>
      <c r="J41" s="1"/>
      <c r="K41" s="1">
        <v>80</v>
      </c>
      <c r="L41" s="1">
        <f t="shared" si="14"/>
        <v>-26</v>
      </c>
      <c r="M41" s="1"/>
      <c r="N41" s="1"/>
      <c r="O41" s="1">
        <v>0</v>
      </c>
      <c r="P41" s="1"/>
      <c r="Q41" s="1"/>
      <c r="R41" s="1"/>
      <c r="S41" s="1">
        <v>0</v>
      </c>
      <c r="T41" s="1">
        <f t="shared" si="15"/>
        <v>10.8</v>
      </c>
      <c r="U41" s="5">
        <f>10*T41-S41-R41-Q41-P41-O41-F41+W41</f>
        <v>100</v>
      </c>
      <c r="V41" s="5">
        <f t="shared" si="17"/>
        <v>154</v>
      </c>
      <c r="W41" s="1"/>
      <c r="X41" s="1">
        <f t="shared" si="6"/>
        <v>14.999999999999998</v>
      </c>
      <c r="Y41" s="1">
        <f t="shared" si="16"/>
        <v>0.7407407407407407</v>
      </c>
      <c r="Z41" s="1">
        <v>15.8</v>
      </c>
      <c r="AA41" s="1">
        <v>20.2</v>
      </c>
      <c r="AB41" s="1">
        <v>28.4</v>
      </c>
      <c r="AC41" s="1">
        <v>33</v>
      </c>
      <c r="AD41" s="1">
        <v>19.600000000000001</v>
      </c>
      <c r="AE41" s="1">
        <v>-0.4</v>
      </c>
      <c r="AF41" s="1">
        <v>12.2</v>
      </c>
      <c r="AG41" s="1">
        <v>26.4</v>
      </c>
      <c r="AH41" s="1">
        <v>27.4</v>
      </c>
      <c r="AI41" s="1">
        <v>18</v>
      </c>
      <c r="AJ41" s="1"/>
      <c r="AK41" s="1">
        <f t="shared" si="7"/>
        <v>54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83</v>
      </c>
      <c r="B42" s="1" t="s">
        <v>39</v>
      </c>
      <c r="C42" s="1">
        <v>62.99</v>
      </c>
      <c r="D42" s="1">
        <v>0.73399999999999999</v>
      </c>
      <c r="E42" s="1">
        <v>50.027999999999999</v>
      </c>
      <c r="F42" s="1">
        <v>5.6669999999999998</v>
      </c>
      <c r="G42" s="7">
        <v>1</v>
      </c>
      <c r="H42" s="1">
        <v>40</v>
      </c>
      <c r="I42" s="1" t="s">
        <v>40</v>
      </c>
      <c r="J42" s="1"/>
      <c r="K42" s="1">
        <v>61.2</v>
      </c>
      <c r="L42" s="1">
        <f t="shared" si="14"/>
        <v>-11.172000000000004</v>
      </c>
      <c r="M42" s="1"/>
      <c r="N42" s="1"/>
      <c r="O42" s="1">
        <v>0</v>
      </c>
      <c r="P42" s="1"/>
      <c r="Q42" s="1"/>
      <c r="R42" s="1"/>
      <c r="S42" s="1">
        <v>89.7376</v>
      </c>
      <c r="T42" s="1">
        <f t="shared" si="15"/>
        <v>10.005599999999999</v>
      </c>
      <c r="U42" s="5">
        <f t="shared" si="12"/>
        <v>24.662599999999983</v>
      </c>
      <c r="V42" s="5">
        <f t="shared" si="17"/>
        <v>54.679399999999994</v>
      </c>
      <c r="W42" s="1"/>
      <c r="X42" s="1">
        <f t="shared" si="6"/>
        <v>15.000000000000002</v>
      </c>
      <c r="Y42" s="1">
        <f t="shared" si="16"/>
        <v>9.5351203326137366</v>
      </c>
      <c r="Z42" s="1">
        <v>12.919600000000001</v>
      </c>
      <c r="AA42" s="1">
        <v>11.806800000000001</v>
      </c>
      <c r="AB42" s="1">
        <v>7.1319999999999997</v>
      </c>
      <c r="AC42" s="1">
        <v>-0.14000000000000001</v>
      </c>
      <c r="AD42" s="1">
        <v>1.7484</v>
      </c>
      <c r="AE42" s="1">
        <v>8.5668000000000006</v>
      </c>
      <c r="AF42" s="1">
        <v>10.9542</v>
      </c>
      <c r="AG42" s="1">
        <v>3.12</v>
      </c>
      <c r="AH42" s="1">
        <v>-2.3201999999999998</v>
      </c>
      <c r="AI42" s="1">
        <v>4.6399999999999997</v>
      </c>
      <c r="AJ42" s="1"/>
      <c r="AK42" s="1">
        <f t="shared" si="7"/>
        <v>55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9" t="s">
        <v>84</v>
      </c>
      <c r="B43" s="9" t="s">
        <v>46</v>
      </c>
      <c r="C43" s="9">
        <v>44</v>
      </c>
      <c r="D43" s="9">
        <v>1</v>
      </c>
      <c r="E43" s="9">
        <v>11</v>
      </c>
      <c r="F43" s="9">
        <v>33</v>
      </c>
      <c r="G43" s="10">
        <v>0</v>
      </c>
      <c r="H43" s="9">
        <v>50</v>
      </c>
      <c r="I43" s="9" t="s">
        <v>42</v>
      </c>
      <c r="J43" s="9"/>
      <c r="K43" s="9">
        <v>11</v>
      </c>
      <c r="L43" s="9">
        <f t="shared" si="14"/>
        <v>0</v>
      </c>
      <c r="M43" s="9"/>
      <c r="N43" s="9"/>
      <c r="O43" s="9"/>
      <c r="P43" s="9"/>
      <c r="Q43" s="9"/>
      <c r="R43" s="9"/>
      <c r="S43" s="9">
        <v>0</v>
      </c>
      <c r="T43" s="9">
        <f t="shared" si="15"/>
        <v>2.2000000000000002</v>
      </c>
      <c r="U43" s="11"/>
      <c r="V43" s="5">
        <f t="shared" si="5"/>
        <v>0</v>
      </c>
      <c r="W43" s="9"/>
      <c r="X43" s="1">
        <f t="shared" si="6"/>
        <v>14.999999999999998</v>
      </c>
      <c r="Y43" s="9">
        <f t="shared" si="16"/>
        <v>14.999999999999998</v>
      </c>
      <c r="Z43" s="9">
        <v>3.2</v>
      </c>
      <c r="AA43" s="9">
        <v>7</v>
      </c>
      <c r="AB43" s="9">
        <v>7</v>
      </c>
      <c r="AC43" s="9">
        <v>4.5999999999999996</v>
      </c>
      <c r="AD43" s="9">
        <v>4.5999999999999996</v>
      </c>
      <c r="AE43" s="9">
        <v>6.6</v>
      </c>
      <c r="AF43" s="9">
        <v>8.1999999999999993</v>
      </c>
      <c r="AG43" s="9">
        <v>9.6</v>
      </c>
      <c r="AH43" s="9">
        <v>7.4</v>
      </c>
      <c r="AI43" s="9">
        <v>10</v>
      </c>
      <c r="AJ43" s="9"/>
      <c r="AK43" s="1">
        <f t="shared" si="7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85</v>
      </c>
      <c r="B44" s="1" t="s">
        <v>46</v>
      </c>
      <c r="C44" s="1">
        <v>3</v>
      </c>
      <c r="D44" s="1">
        <v>3</v>
      </c>
      <c r="E44" s="1">
        <v>-21</v>
      </c>
      <c r="F44" s="1">
        <v>6</v>
      </c>
      <c r="G44" s="7">
        <v>0.4</v>
      </c>
      <c r="H44" s="1">
        <v>40</v>
      </c>
      <c r="I44" s="12" t="s">
        <v>68</v>
      </c>
      <c r="J44" s="1"/>
      <c r="K44" s="1">
        <v>147</v>
      </c>
      <c r="L44" s="1">
        <f t="shared" si="14"/>
        <v>-168</v>
      </c>
      <c r="M44" s="1"/>
      <c r="N44" s="1"/>
      <c r="O44" s="1">
        <v>0</v>
      </c>
      <c r="P44" s="1"/>
      <c r="Q44" s="1"/>
      <c r="R44" s="1"/>
      <c r="S44" s="1">
        <v>0</v>
      </c>
      <c r="T44" s="1">
        <f t="shared" si="15"/>
        <v>-4.2</v>
      </c>
      <c r="U44" s="19">
        <v>50</v>
      </c>
      <c r="V44" s="5">
        <v>70</v>
      </c>
      <c r="W44" s="1"/>
      <c r="X44" s="1">
        <f t="shared" si="6"/>
        <v>-18.095238095238095</v>
      </c>
      <c r="Y44" s="1">
        <f t="shared" si="16"/>
        <v>-1.4285714285714286</v>
      </c>
      <c r="Z44" s="1">
        <v>-3</v>
      </c>
      <c r="AA44" s="1">
        <v>8.4</v>
      </c>
      <c r="AB44" s="1">
        <v>11.2</v>
      </c>
      <c r="AC44" s="1">
        <v>18.8</v>
      </c>
      <c r="AD44" s="1">
        <v>25.6</v>
      </c>
      <c r="AE44" s="1">
        <v>53</v>
      </c>
      <c r="AF44" s="1">
        <v>54</v>
      </c>
      <c r="AG44" s="1">
        <v>22.6</v>
      </c>
      <c r="AH44" s="1">
        <v>23.4</v>
      </c>
      <c r="AI44" s="1">
        <v>28.8</v>
      </c>
      <c r="AJ44" s="1"/>
      <c r="AK44" s="1">
        <f t="shared" si="7"/>
        <v>28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86</v>
      </c>
      <c r="B45" s="1" t="s">
        <v>46</v>
      </c>
      <c r="C45" s="1">
        <v>-1</v>
      </c>
      <c r="D45" s="1">
        <v>408</v>
      </c>
      <c r="E45" s="1">
        <v>124</v>
      </c>
      <c r="F45" s="1">
        <v>275</v>
      </c>
      <c r="G45" s="7">
        <v>0.4</v>
      </c>
      <c r="H45" s="1">
        <v>45</v>
      </c>
      <c r="I45" s="12" t="s">
        <v>68</v>
      </c>
      <c r="J45" s="1"/>
      <c r="K45" s="1">
        <v>222</v>
      </c>
      <c r="L45" s="1">
        <f t="shared" si="14"/>
        <v>-98</v>
      </c>
      <c r="M45" s="1"/>
      <c r="N45" s="1"/>
      <c r="O45" s="1">
        <v>0</v>
      </c>
      <c r="P45" s="1"/>
      <c r="Q45" s="1"/>
      <c r="R45" s="1"/>
      <c r="S45" s="1">
        <v>0</v>
      </c>
      <c r="T45" s="1">
        <f t="shared" si="15"/>
        <v>24.8</v>
      </c>
      <c r="U45" s="19">
        <v>50</v>
      </c>
      <c r="V45" s="5">
        <v>80</v>
      </c>
      <c r="W45" s="1"/>
      <c r="X45" s="1">
        <f t="shared" si="6"/>
        <v>14.314516129032258</v>
      </c>
      <c r="Y45" s="1">
        <f t="shared" si="16"/>
        <v>11.088709677419354</v>
      </c>
      <c r="Z45" s="1">
        <v>1</v>
      </c>
      <c r="AA45" s="1">
        <v>13.4</v>
      </c>
      <c r="AB45" s="1">
        <v>25.4</v>
      </c>
      <c r="AC45" s="1">
        <v>53.4</v>
      </c>
      <c r="AD45" s="1">
        <v>48.2</v>
      </c>
      <c r="AE45" s="1">
        <v>27.4</v>
      </c>
      <c r="AF45" s="1">
        <v>39.4</v>
      </c>
      <c r="AG45" s="1">
        <v>37.799999999999997</v>
      </c>
      <c r="AH45" s="1">
        <v>38.6</v>
      </c>
      <c r="AI45" s="1">
        <v>36.4</v>
      </c>
      <c r="AJ45" s="1"/>
      <c r="AK45" s="1">
        <f t="shared" si="7"/>
        <v>32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87</v>
      </c>
      <c r="B46" s="1" t="s">
        <v>39</v>
      </c>
      <c r="C46" s="1">
        <v>161.91399999999999</v>
      </c>
      <c r="D46" s="1">
        <v>2.1970000000000001</v>
      </c>
      <c r="E46" s="1">
        <v>58.716999999999999</v>
      </c>
      <c r="F46" s="1">
        <v>82.91</v>
      </c>
      <c r="G46" s="7">
        <v>1</v>
      </c>
      <c r="H46" s="1">
        <v>40</v>
      </c>
      <c r="I46" s="1" t="s">
        <v>40</v>
      </c>
      <c r="J46" s="1"/>
      <c r="K46" s="1">
        <v>90.9</v>
      </c>
      <c r="L46" s="1">
        <f t="shared" si="14"/>
        <v>-32.183000000000007</v>
      </c>
      <c r="M46" s="1"/>
      <c r="N46" s="1"/>
      <c r="O46" s="1">
        <v>0</v>
      </c>
      <c r="P46" s="1"/>
      <c r="Q46" s="1"/>
      <c r="R46" s="1"/>
      <c r="S46" s="1">
        <v>101.8304</v>
      </c>
      <c r="T46" s="1">
        <f t="shared" si="15"/>
        <v>11.743399999999999</v>
      </c>
      <c r="U46" s="5"/>
      <c r="V46" s="5"/>
      <c r="W46" s="1"/>
      <c r="X46" s="1">
        <f t="shared" si="6"/>
        <v>15.731423608154367</v>
      </c>
      <c r="Y46" s="1">
        <f t="shared" si="16"/>
        <v>15.731423608154367</v>
      </c>
      <c r="Z46" s="1">
        <v>20.163799999999998</v>
      </c>
      <c r="AA46" s="1">
        <v>20.949200000000001</v>
      </c>
      <c r="AB46" s="1">
        <v>12.702400000000001</v>
      </c>
      <c r="AC46" s="1">
        <v>19.9008</v>
      </c>
      <c r="AD46" s="1">
        <v>25.02</v>
      </c>
      <c r="AE46" s="1">
        <v>23.82</v>
      </c>
      <c r="AF46" s="1">
        <v>23.102399999999999</v>
      </c>
      <c r="AG46" s="1">
        <v>16.805800000000001</v>
      </c>
      <c r="AH46" s="1">
        <v>22.568000000000001</v>
      </c>
      <c r="AI46" s="1">
        <v>21.9788</v>
      </c>
      <c r="AJ46" s="1"/>
      <c r="AK46" s="1">
        <f t="shared" si="7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88</v>
      </c>
      <c r="B47" s="1" t="s">
        <v>46</v>
      </c>
      <c r="C47" s="1">
        <v>192</v>
      </c>
      <c r="D47" s="1">
        <v>549</v>
      </c>
      <c r="E47" s="1">
        <v>203</v>
      </c>
      <c r="F47" s="1">
        <v>493</v>
      </c>
      <c r="G47" s="7">
        <v>0.35</v>
      </c>
      <c r="H47" s="1">
        <v>40</v>
      </c>
      <c r="I47" s="1" t="s">
        <v>40</v>
      </c>
      <c r="J47" s="1"/>
      <c r="K47" s="1">
        <v>248</v>
      </c>
      <c r="L47" s="1">
        <f t="shared" si="14"/>
        <v>-45</v>
      </c>
      <c r="M47" s="1"/>
      <c r="N47" s="1"/>
      <c r="O47" s="1">
        <v>0</v>
      </c>
      <c r="P47" s="1">
        <v>200</v>
      </c>
      <c r="Q47" s="1"/>
      <c r="R47" s="1"/>
      <c r="S47" s="1">
        <v>0</v>
      </c>
      <c r="T47" s="1">
        <f t="shared" si="15"/>
        <v>40.6</v>
      </c>
      <c r="U47" s="5"/>
      <c r="V47" s="5">
        <f t="shared" si="5"/>
        <v>0</v>
      </c>
      <c r="W47" s="1"/>
      <c r="X47" s="1">
        <f t="shared" si="6"/>
        <v>17.068965517241377</v>
      </c>
      <c r="Y47" s="1">
        <f t="shared" si="16"/>
        <v>17.068965517241377</v>
      </c>
      <c r="Z47" s="1">
        <v>37.200000000000003</v>
      </c>
      <c r="AA47" s="1">
        <v>44</v>
      </c>
      <c r="AB47" s="1">
        <v>52.6</v>
      </c>
      <c r="AC47" s="1">
        <v>65.599999999999994</v>
      </c>
      <c r="AD47" s="1">
        <v>46.2</v>
      </c>
      <c r="AE47" s="1">
        <v>30.6</v>
      </c>
      <c r="AF47" s="1">
        <v>58.6</v>
      </c>
      <c r="AG47" s="1">
        <v>64.400000000000006</v>
      </c>
      <c r="AH47" s="1">
        <v>53</v>
      </c>
      <c r="AI47" s="1">
        <v>37.6</v>
      </c>
      <c r="AJ47" s="1"/>
      <c r="AK47" s="1">
        <f t="shared" si="7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89</v>
      </c>
      <c r="B48" s="1" t="s">
        <v>46</v>
      </c>
      <c r="C48" s="1">
        <v>27</v>
      </c>
      <c r="D48" s="1">
        <v>208</v>
      </c>
      <c r="E48" s="1">
        <v>180</v>
      </c>
      <c r="F48" s="1">
        <v>53</v>
      </c>
      <c r="G48" s="7">
        <v>0.4</v>
      </c>
      <c r="H48" s="1">
        <v>40</v>
      </c>
      <c r="I48" s="12" t="s">
        <v>68</v>
      </c>
      <c r="J48" s="1"/>
      <c r="K48" s="1">
        <v>348</v>
      </c>
      <c r="L48" s="1">
        <f t="shared" si="14"/>
        <v>-168</v>
      </c>
      <c r="M48" s="1"/>
      <c r="N48" s="1"/>
      <c r="O48" s="1">
        <v>0</v>
      </c>
      <c r="P48" s="1">
        <v>280</v>
      </c>
      <c r="Q48" s="1"/>
      <c r="R48" s="1"/>
      <c r="S48" s="1">
        <v>0</v>
      </c>
      <c r="T48" s="1">
        <f t="shared" si="15"/>
        <v>36</v>
      </c>
      <c r="U48" s="19">
        <v>100</v>
      </c>
      <c r="V48" s="5">
        <v>120</v>
      </c>
      <c r="W48" s="1"/>
      <c r="X48" s="1">
        <f t="shared" si="6"/>
        <v>12.583333333333334</v>
      </c>
      <c r="Y48" s="1">
        <f t="shared" si="16"/>
        <v>9.25</v>
      </c>
      <c r="Z48" s="1">
        <v>40.799999999999997</v>
      </c>
      <c r="AA48" s="1">
        <v>54</v>
      </c>
      <c r="AB48" s="1">
        <v>35.799999999999997</v>
      </c>
      <c r="AC48" s="1">
        <v>5.6</v>
      </c>
      <c r="AD48" s="1">
        <v>1</v>
      </c>
      <c r="AE48" s="1">
        <v>56</v>
      </c>
      <c r="AF48" s="1">
        <v>90.8</v>
      </c>
      <c r="AG48" s="1">
        <v>85.6</v>
      </c>
      <c r="AH48" s="1">
        <v>77.8</v>
      </c>
      <c r="AI48" s="1">
        <v>66.702799999999996</v>
      </c>
      <c r="AJ48" s="1"/>
      <c r="AK48" s="1">
        <f t="shared" si="7"/>
        <v>48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90</v>
      </c>
      <c r="B49" s="1" t="s">
        <v>39</v>
      </c>
      <c r="C49" s="1">
        <v>125.295</v>
      </c>
      <c r="D49" s="1">
        <v>9.3510000000000009</v>
      </c>
      <c r="E49" s="1">
        <v>59.371000000000002</v>
      </c>
      <c r="F49" s="1">
        <v>61.978999999999999</v>
      </c>
      <c r="G49" s="7">
        <v>1</v>
      </c>
      <c r="H49" s="1">
        <v>50</v>
      </c>
      <c r="I49" s="1" t="s">
        <v>40</v>
      </c>
      <c r="J49" s="1"/>
      <c r="K49" s="1">
        <v>74.951999999999998</v>
      </c>
      <c r="L49" s="1">
        <f t="shared" si="14"/>
        <v>-15.580999999999996</v>
      </c>
      <c r="M49" s="1"/>
      <c r="N49" s="1"/>
      <c r="O49" s="1">
        <v>14.181800000000001</v>
      </c>
      <c r="P49" s="1"/>
      <c r="Q49" s="1"/>
      <c r="R49" s="1"/>
      <c r="S49" s="1">
        <v>92.494599999999977</v>
      </c>
      <c r="T49" s="1">
        <f t="shared" si="15"/>
        <v>11.8742</v>
      </c>
      <c r="U49" s="5"/>
      <c r="V49" s="5">
        <f>T49*($V$1-Y49)</f>
        <v>9.4576000000000171</v>
      </c>
      <c r="W49" s="1"/>
      <c r="X49" s="1">
        <f t="shared" si="6"/>
        <v>15</v>
      </c>
      <c r="Y49" s="1">
        <f t="shared" si="16"/>
        <v>14.203516868504824</v>
      </c>
      <c r="Z49" s="1">
        <v>13.991400000000001</v>
      </c>
      <c r="AA49" s="1">
        <v>17.976199999999999</v>
      </c>
      <c r="AB49" s="1">
        <v>14.181800000000001</v>
      </c>
      <c r="AC49" s="1">
        <v>13.4892</v>
      </c>
      <c r="AD49" s="1">
        <v>18.758400000000002</v>
      </c>
      <c r="AE49" s="1">
        <v>21.601400000000002</v>
      </c>
      <c r="AF49" s="1">
        <v>23.608799999999999</v>
      </c>
      <c r="AG49" s="1">
        <v>18.345400000000001</v>
      </c>
      <c r="AH49" s="1">
        <v>14.846399999999999</v>
      </c>
      <c r="AI49" s="1">
        <v>11.8916</v>
      </c>
      <c r="AJ49" s="1"/>
      <c r="AK49" s="1">
        <f t="shared" si="7"/>
        <v>9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91</v>
      </c>
      <c r="B50" s="1" t="s">
        <v>39</v>
      </c>
      <c r="C50" s="1">
        <v>314.04599999999999</v>
      </c>
      <c r="D50" s="1">
        <v>18.919</v>
      </c>
      <c r="E50" s="1">
        <v>82.93</v>
      </c>
      <c r="F50" s="1">
        <v>227.46799999999999</v>
      </c>
      <c r="G50" s="7">
        <v>1</v>
      </c>
      <c r="H50" s="1">
        <v>50</v>
      </c>
      <c r="I50" s="1" t="s">
        <v>40</v>
      </c>
      <c r="J50" s="1"/>
      <c r="K50" s="1">
        <v>119.96299999999999</v>
      </c>
      <c r="L50" s="1">
        <f t="shared" si="14"/>
        <v>-37.032999999999987</v>
      </c>
      <c r="M50" s="1"/>
      <c r="N50" s="1"/>
      <c r="O50" s="1">
        <v>0</v>
      </c>
      <c r="P50" s="1"/>
      <c r="Q50" s="1"/>
      <c r="R50" s="1"/>
      <c r="S50" s="1">
        <v>39.322400000000073</v>
      </c>
      <c r="T50" s="1">
        <f t="shared" si="15"/>
        <v>16.586000000000002</v>
      </c>
      <c r="U50" s="5"/>
      <c r="V50" s="5">
        <f t="shared" si="5"/>
        <v>0</v>
      </c>
      <c r="W50" s="1"/>
      <c r="X50" s="1">
        <f t="shared" si="6"/>
        <v>16.085276739418791</v>
      </c>
      <c r="Y50" s="1">
        <f t="shared" si="16"/>
        <v>16.085276739418791</v>
      </c>
      <c r="Z50" s="1">
        <v>22.036000000000001</v>
      </c>
      <c r="AA50" s="1">
        <v>27.9922</v>
      </c>
      <c r="AB50" s="1">
        <v>30.0686</v>
      </c>
      <c r="AC50" s="1">
        <v>29.352599999999999</v>
      </c>
      <c r="AD50" s="1">
        <v>27.397400000000001</v>
      </c>
      <c r="AE50" s="1">
        <v>30.834</v>
      </c>
      <c r="AF50" s="1">
        <v>34.377200000000002</v>
      </c>
      <c r="AG50" s="1">
        <v>30.298400000000001</v>
      </c>
      <c r="AH50" s="1">
        <v>23.753599999999999</v>
      </c>
      <c r="AI50" s="1">
        <v>27.530799999999999</v>
      </c>
      <c r="AJ50" s="1"/>
      <c r="AK50" s="1">
        <f t="shared" si="7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92</v>
      </c>
      <c r="B51" s="1" t="s">
        <v>39</v>
      </c>
      <c r="C51" s="1">
        <v>-1.575</v>
      </c>
      <c r="D51" s="1">
        <v>244.59899999999999</v>
      </c>
      <c r="E51" s="1">
        <v>28.055</v>
      </c>
      <c r="F51" s="1">
        <v>183.434</v>
      </c>
      <c r="G51" s="7">
        <v>1</v>
      </c>
      <c r="H51" s="1">
        <v>45</v>
      </c>
      <c r="I51" s="1" t="s">
        <v>40</v>
      </c>
      <c r="J51" s="1"/>
      <c r="K51" s="1">
        <v>51</v>
      </c>
      <c r="L51" s="1">
        <f t="shared" si="14"/>
        <v>-22.945</v>
      </c>
      <c r="M51" s="1"/>
      <c r="N51" s="1"/>
      <c r="O51" s="1">
        <v>0</v>
      </c>
      <c r="P51" s="1"/>
      <c r="Q51" s="1"/>
      <c r="R51" s="1"/>
      <c r="S51" s="1">
        <v>0</v>
      </c>
      <c r="T51" s="1">
        <f t="shared" si="15"/>
        <v>5.6109999999999998</v>
      </c>
      <c r="U51" s="5"/>
      <c r="V51" s="5">
        <f t="shared" si="5"/>
        <v>0</v>
      </c>
      <c r="W51" s="1"/>
      <c r="X51" s="1">
        <f t="shared" si="6"/>
        <v>32.691855284263056</v>
      </c>
      <c r="Y51" s="1">
        <f t="shared" si="16"/>
        <v>32.691855284263056</v>
      </c>
      <c r="Z51" s="1">
        <v>1.4787999999999999</v>
      </c>
      <c r="AA51" s="1">
        <v>26.138999999999999</v>
      </c>
      <c r="AB51" s="1">
        <v>35.246200000000002</v>
      </c>
      <c r="AC51" s="1">
        <v>41.248800000000003</v>
      </c>
      <c r="AD51" s="1">
        <v>33.955399999999997</v>
      </c>
      <c r="AE51" s="1">
        <v>1.6262000000000001</v>
      </c>
      <c r="AF51" s="1">
        <v>13.767799999999999</v>
      </c>
      <c r="AG51" s="1">
        <v>26.409400000000002</v>
      </c>
      <c r="AH51" s="1">
        <v>23.374400000000001</v>
      </c>
      <c r="AI51" s="1">
        <v>24.1386</v>
      </c>
      <c r="AJ51" s="1"/>
      <c r="AK51" s="1">
        <f t="shared" si="7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93</v>
      </c>
      <c r="B52" s="1" t="s">
        <v>46</v>
      </c>
      <c r="C52" s="1">
        <v>243</v>
      </c>
      <c r="D52" s="1">
        <v>11</v>
      </c>
      <c r="E52" s="1">
        <v>99</v>
      </c>
      <c r="F52" s="1">
        <v>147</v>
      </c>
      <c r="G52" s="7">
        <v>0.45</v>
      </c>
      <c r="H52" s="1">
        <v>50</v>
      </c>
      <c r="I52" s="1" t="s">
        <v>40</v>
      </c>
      <c r="J52" s="1"/>
      <c r="K52" s="1">
        <v>105</v>
      </c>
      <c r="L52" s="1">
        <f t="shared" si="14"/>
        <v>-6</v>
      </c>
      <c r="M52" s="1"/>
      <c r="N52" s="1"/>
      <c r="O52" s="1">
        <v>0</v>
      </c>
      <c r="P52" s="1"/>
      <c r="Q52" s="1"/>
      <c r="R52" s="1"/>
      <c r="S52" s="1">
        <v>246.8</v>
      </c>
      <c r="T52" s="1">
        <f t="shared" si="15"/>
        <v>19.8</v>
      </c>
      <c r="U52" s="5"/>
      <c r="V52" s="5">
        <f t="shared" si="5"/>
        <v>0</v>
      </c>
      <c r="W52" s="1"/>
      <c r="X52" s="1">
        <f t="shared" si="6"/>
        <v>19.888888888888889</v>
      </c>
      <c r="Y52" s="1">
        <f t="shared" si="16"/>
        <v>19.888888888888889</v>
      </c>
      <c r="Z52" s="1">
        <v>29.6</v>
      </c>
      <c r="AA52" s="1">
        <v>39.4</v>
      </c>
      <c r="AB52" s="1">
        <v>27.6</v>
      </c>
      <c r="AC52" s="1">
        <v>20.8</v>
      </c>
      <c r="AD52" s="1">
        <v>35.4</v>
      </c>
      <c r="AE52" s="1">
        <v>42.4</v>
      </c>
      <c r="AF52" s="1">
        <v>34.4</v>
      </c>
      <c r="AG52" s="1">
        <v>31</v>
      </c>
      <c r="AH52" s="1">
        <v>32</v>
      </c>
      <c r="AI52" s="1">
        <v>33.200000000000003</v>
      </c>
      <c r="AJ52" s="1"/>
      <c r="AK52" s="1">
        <f t="shared" si="7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94</v>
      </c>
      <c r="B53" s="1" t="s">
        <v>46</v>
      </c>
      <c r="C53" s="1">
        <v>208</v>
      </c>
      <c r="D53" s="1">
        <v>17</v>
      </c>
      <c r="E53" s="1">
        <v>171</v>
      </c>
      <c r="F53" s="1">
        <v>38</v>
      </c>
      <c r="G53" s="7">
        <v>0.45</v>
      </c>
      <c r="H53" s="1">
        <v>50</v>
      </c>
      <c r="I53" s="1" t="s">
        <v>40</v>
      </c>
      <c r="J53" s="1"/>
      <c r="K53" s="1">
        <v>197</v>
      </c>
      <c r="L53" s="1">
        <f t="shared" si="14"/>
        <v>-26</v>
      </c>
      <c r="M53" s="1"/>
      <c r="N53" s="1"/>
      <c r="O53" s="1">
        <v>230.2</v>
      </c>
      <c r="P53" s="1"/>
      <c r="Q53" s="1"/>
      <c r="R53" s="1"/>
      <c r="S53" s="1">
        <v>368.39600000000007</v>
      </c>
      <c r="T53" s="1">
        <f t="shared" si="15"/>
        <v>34.200000000000003</v>
      </c>
      <c r="U53" s="5"/>
      <c r="V53" s="5">
        <f t="shared" si="5"/>
        <v>0</v>
      </c>
      <c r="W53" s="1"/>
      <c r="X53" s="1">
        <f t="shared" si="6"/>
        <v>18.613918128654969</v>
      </c>
      <c r="Y53" s="1">
        <f t="shared" si="16"/>
        <v>18.613918128654969</v>
      </c>
      <c r="Z53" s="1">
        <v>42.6</v>
      </c>
      <c r="AA53" s="1">
        <v>64.400000000000006</v>
      </c>
      <c r="AB53" s="1">
        <v>46.6</v>
      </c>
      <c r="AC53" s="1">
        <v>38.4</v>
      </c>
      <c r="AD53" s="1">
        <v>47.2</v>
      </c>
      <c r="AE53" s="1">
        <v>63.6</v>
      </c>
      <c r="AF53" s="1">
        <v>69.599999999999994</v>
      </c>
      <c r="AG53" s="1">
        <v>55.4</v>
      </c>
      <c r="AH53" s="1">
        <v>41</v>
      </c>
      <c r="AI53" s="1">
        <v>59</v>
      </c>
      <c r="AJ53" s="1"/>
      <c r="AK53" s="1">
        <f t="shared" si="7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95</v>
      </c>
      <c r="B54" s="1" t="s">
        <v>46</v>
      </c>
      <c r="C54" s="1">
        <v>35</v>
      </c>
      <c r="D54" s="1">
        <v>48</v>
      </c>
      <c r="E54" s="1">
        <v>27</v>
      </c>
      <c r="F54" s="1">
        <v>34</v>
      </c>
      <c r="G54" s="7">
        <v>0.4</v>
      </c>
      <c r="H54" s="1">
        <v>40</v>
      </c>
      <c r="I54" s="1" t="s">
        <v>40</v>
      </c>
      <c r="J54" s="1"/>
      <c r="K54" s="1">
        <v>53</v>
      </c>
      <c r="L54" s="1">
        <f t="shared" si="14"/>
        <v>-26</v>
      </c>
      <c r="M54" s="1"/>
      <c r="N54" s="1"/>
      <c r="O54" s="1">
        <v>0</v>
      </c>
      <c r="P54" s="1"/>
      <c r="Q54" s="1"/>
      <c r="R54" s="1"/>
      <c r="S54" s="1">
        <v>0</v>
      </c>
      <c r="T54" s="1">
        <f t="shared" si="15"/>
        <v>5.4</v>
      </c>
      <c r="U54" s="5">
        <f t="shared" ref="U54:U68" si="18">12*T54-S54-R54-Q54-P54-O54-F54+W54</f>
        <v>30.800000000000011</v>
      </c>
      <c r="V54" s="5">
        <f>T54*($V$1-Y54)</f>
        <v>47.000000000000007</v>
      </c>
      <c r="W54" s="1"/>
      <c r="X54" s="1">
        <f t="shared" si="6"/>
        <v>14.999999999999998</v>
      </c>
      <c r="Y54" s="1">
        <f t="shared" si="16"/>
        <v>6.2962962962962958</v>
      </c>
      <c r="Z54" s="1">
        <v>5</v>
      </c>
      <c r="AA54" s="1">
        <v>4.8</v>
      </c>
      <c r="AB54" s="1">
        <v>5.2</v>
      </c>
      <c r="AC54" s="1">
        <v>8.4</v>
      </c>
      <c r="AD54" s="1">
        <v>6.2</v>
      </c>
      <c r="AE54" s="1">
        <v>0.6</v>
      </c>
      <c r="AF54" s="1">
        <v>1</v>
      </c>
      <c r="AG54" s="1">
        <v>7.6</v>
      </c>
      <c r="AH54" s="1">
        <v>7.8</v>
      </c>
      <c r="AI54" s="1">
        <v>0.4</v>
      </c>
      <c r="AJ54" s="1"/>
      <c r="AK54" s="1">
        <f t="shared" si="7"/>
        <v>19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96</v>
      </c>
      <c r="B55" s="1" t="s">
        <v>46</v>
      </c>
      <c r="C55" s="1">
        <v>12</v>
      </c>
      <c r="D55" s="1">
        <v>22</v>
      </c>
      <c r="E55" s="1">
        <v>28</v>
      </c>
      <c r="F55" s="1">
        <v>5</v>
      </c>
      <c r="G55" s="7">
        <v>0.4</v>
      </c>
      <c r="H55" s="1">
        <v>40</v>
      </c>
      <c r="I55" s="12" t="s">
        <v>68</v>
      </c>
      <c r="J55" s="1"/>
      <c r="K55" s="1">
        <v>35</v>
      </c>
      <c r="L55" s="1">
        <f t="shared" si="14"/>
        <v>-7</v>
      </c>
      <c r="M55" s="1"/>
      <c r="N55" s="1"/>
      <c r="O55" s="1">
        <v>0</v>
      </c>
      <c r="P55" s="1"/>
      <c r="Q55" s="1"/>
      <c r="R55" s="1"/>
      <c r="S55" s="1">
        <v>0</v>
      </c>
      <c r="T55" s="1">
        <f t="shared" si="15"/>
        <v>5.6</v>
      </c>
      <c r="U55" s="19">
        <v>30</v>
      </c>
      <c r="V55" s="5">
        <v>40</v>
      </c>
      <c r="W55" s="1"/>
      <c r="X55" s="1">
        <f t="shared" si="6"/>
        <v>8.0357142857142865</v>
      </c>
      <c r="Y55" s="1">
        <f t="shared" si="16"/>
        <v>0.8928571428571429</v>
      </c>
      <c r="Z55" s="1">
        <v>7.2</v>
      </c>
      <c r="AA55" s="1">
        <v>17.2</v>
      </c>
      <c r="AB55" s="1">
        <v>18.600000000000001</v>
      </c>
      <c r="AC55" s="1">
        <v>9.4</v>
      </c>
      <c r="AD55" s="1">
        <v>6.2</v>
      </c>
      <c r="AE55" s="1">
        <v>10.199999999999999</v>
      </c>
      <c r="AF55" s="1">
        <v>12</v>
      </c>
      <c r="AG55" s="1">
        <v>12.4</v>
      </c>
      <c r="AH55" s="1">
        <v>10.8</v>
      </c>
      <c r="AI55" s="1">
        <v>1.4</v>
      </c>
      <c r="AJ55" s="1"/>
      <c r="AK55" s="1">
        <f t="shared" si="7"/>
        <v>16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97</v>
      </c>
      <c r="B56" s="1" t="s">
        <v>39</v>
      </c>
      <c r="C56" s="1">
        <v>132.51400000000001</v>
      </c>
      <c r="D56" s="1">
        <v>5.367</v>
      </c>
      <c r="E56" s="1">
        <v>50.783000000000001</v>
      </c>
      <c r="F56" s="1">
        <v>80.394000000000005</v>
      </c>
      <c r="G56" s="7">
        <v>1</v>
      </c>
      <c r="H56" s="1">
        <v>50</v>
      </c>
      <c r="I56" s="1" t="s">
        <v>40</v>
      </c>
      <c r="J56" s="1"/>
      <c r="K56" s="1">
        <v>63.043999999999997</v>
      </c>
      <c r="L56" s="1">
        <f t="shared" si="14"/>
        <v>-12.260999999999996</v>
      </c>
      <c r="M56" s="1"/>
      <c r="N56" s="1"/>
      <c r="O56" s="1">
        <v>47.396199999999993</v>
      </c>
      <c r="P56" s="1"/>
      <c r="Q56" s="1"/>
      <c r="R56" s="1"/>
      <c r="S56" s="1">
        <v>0</v>
      </c>
      <c r="T56" s="1">
        <f t="shared" si="15"/>
        <v>10.156600000000001</v>
      </c>
      <c r="U56" s="5"/>
      <c r="V56" s="5">
        <f t="shared" ref="V56:V60" si="19">T56*($V$1-Y56)</f>
        <v>24.558800000000016</v>
      </c>
      <c r="W56" s="1"/>
      <c r="X56" s="1">
        <f t="shared" si="6"/>
        <v>15</v>
      </c>
      <c r="Y56" s="1">
        <f t="shared" si="16"/>
        <v>12.581986097709862</v>
      </c>
      <c r="Z56" s="1">
        <v>6.9614000000000003</v>
      </c>
      <c r="AA56" s="1">
        <v>12.7996</v>
      </c>
      <c r="AB56" s="1">
        <v>15.9956</v>
      </c>
      <c r="AC56" s="1">
        <v>14.400600000000001</v>
      </c>
      <c r="AD56" s="1">
        <v>10.9184</v>
      </c>
      <c r="AE56" s="1">
        <v>9.3290000000000006</v>
      </c>
      <c r="AF56" s="1">
        <v>14.9518</v>
      </c>
      <c r="AG56" s="1">
        <v>16.250800000000002</v>
      </c>
      <c r="AH56" s="1">
        <v>13.851000000000001</v>
      </c>
      <c r="AI56" s="1">
        <v>12.593400000000001</v>
      </c>
      <c r="AJ56" s="1"/>
      <c r="AK56" s="1">
        <f t="shared" si="7"/>
        <v>25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98</v>
      </c>
      <c r="B57" s="1" t="s">
        <v>46</v>
      </c>
      <c r="C57" s="1">
        <v>178</v>
      </c>
      <c r="D57" s="1">
        <v>5</v>
      </c>
      <c r="E57" s="1">
        <v>100</v>
      </c>
      <c r="F57" s="1">
        <v>81</v>
      </c>
      <c r="G57" s="7">
        <v>0.1</v>
      </c>
      <c r="H57" s="1">
        <v>731</v>
      </c>
      <c r="I57" s="1" t="s">
        <v>40</v>
      </c>
      <c r="J57" s="1"/>
      <c r="K57" s="1">
        <v>102</v>
      </c>
      <c r="L57" s="1">
        <f t="shared" si="14"/>
        <v>-2</v>
      </c>
      <c r="M57" s="1"/>
      <c r="N57" s="1"/>
      <c r="O57" s="1">
        <v>0</v>
      </c>
      <c r="P57" s="1"/>
      <c r="Q57" s="1"/>
      <c r="R57" s="1"/>
      <c r="S57" s="1">
        <v>10.600000000000019</v>
      </c>
      <c r="T57" s="1">
        <f t="shared" si="15"/>
        <v>20</v>
      </c>
      <c r="U57" s="5">
        <f t="shared" si="18"/>
        <v>148.39999999999998</v>
      </c>
      <c r="V57" s="5">
        <f t="shared" si="19"/>
        <v>208.39999999999998</v>
      </c>
      <c r="W57" s="1"/>
      <c r="X57" s="1">
        <f t="shared" si="6"/>
        <v>15</v>
      </c>
      <c r="Y57" s="1">
        <f t="shared" si="16"/>
        <v>4.580000000000001</v>
      </c>
      <c r="Z57" s="1">
        <v>18.8</v>
      </c>
      <c r="AA57" s="1">
        <v>13.8</v>
      </c>
      <c r="AB57" s="1">
        <v>10.4</v>
      </c>
      <c r="AC57" s="1">
        <v>7.8</v>
      </c>
      <c r="AD57" s="1">
        <v>11</v>
      </c>
      <c r="AE57" s="1">
        <v>13.6</v>
      </c>
      <c r="AF57" s="1">
        <v>13.2</v>
      </c>
      <c r="AG57" s="1">
        <v>11.6</v>
      </c>
      <c r="AH57" s="1">
        <v>10.4</v>
      </c>
      <c r="AI57" s="1">
        <v>12.4</v>
      </c>
      <c r="AJ57" s="1"/>
      <c r="AK57" s="1">
        <f t="shared" si="7"/>
        <v>21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99</v>
      </c>
      <c r="B58" s="1" t="s">
        <v>39</v>
      </c>
      <c r="C58" s="1">
        <v>226.154</v>
      </c>
      <c r="D58" s="1">
        <v>115.35899999999999</v>
      </c>
      <c r="E58" s="1">
        <v>82.796000000000006</v>
      </c>
      <c r="F58" s="1">
        <v>247.65299999999999</v>
      </c>
      <c r="G58" s="7">
        <v>1</v>
      </c>
      <c r="H58" s="1">
        <v>50</v>
      </c>
      <c r="I58" s="1" t="s">
        <v>40</v>
      </c>
      <c r="J58" s="1"/>
      <c r="K58" s="1">
        <v>97.849000000000004</v>
      </c>
      <c r="L58" s="1">
        <f t="shared" si="14"/>
        <v>-15.052999999999997</v>
      </c>
      <c r="M58" s="1"/>
      <c r="N58" s="1"/>
      <c r="O58" s="1">
        <v>0</v>
      </c>
      <c r="P58" s="1"/>
      <c r="Q58" s="1"/>
      <c r="R58" s="1"/>
      <c r="S58" s="1">
        <v>0</v>
      </c>
      <c r="T58" s="1">
        <f t="shared" si="15"/>
        <v>16.559200000000001</v>
      </c>
      <c r="U58" s="5"/>
      <c r="V58" s="5"/>
      <c r="W58" s="1"/>
      <c r="X58" s="1">
        <f t="shared" si="6"/>
        <v>14.955613797768008</v>
      </c>
      <c r="Y58" s="1">
        <f t="shared" si="16"/>
        <v>14.955613797768008</v>
      </c>
      <c r="Z58" s="1">
        <v>14.959199999999999</v>
      </c>
      <c r="AA58" s="1">
        <v>24.415600000000001</v>
      </c>
      <c r="AB58" s="1">
        <v>28.695599999999999</v>
      </c>
      <c r="AC58" s="1">
        <v>35.496600000000001</v>
      </c>
      <c r="AD58" s="1">
        <v>35.494799999999998</v>
      </c>
      <c r="AE58" s="1">
        <v>30.4786</v>
      </c>
      <c r="AF58" s="1">
        <v>39.569600000000001</v>
      </c>
      <c r="AG58" s="1">
        <v>35.916200000000003</v>
      </c>
      <c r="AH58" s="1">
        <v>27.1142</v>
      </c>
      <c r="AI58" s="1">
        <v>24.8506</v>
      </c>
      <c r="AJ58" s="1"/>
      <c r="AK58" s="1">
        <f t="shared" si="7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100</v>
      </c>
      <c r="B59" s="1" t="s">
        <v>39</v>
      </c>
      <c r="C59" s="1">
        <v>51.526000000000003</v>
      </c>
      <c r="D59" s="1">
        <v>12.194000000000001</v>
      </c>
      <c r="E59" s="1">
        <v>28.491</v>
      </c>
      <c r="F59" s="1">
        <v>32.517000000000003</v>
      </c>
      <c r="G59" s="7">
        <v>1</v>
      </c>
      <c r="H59" s="1">
        <v>55</v>
      </c>
      <c r="I59" s="1" t="s">
        <v>40</v>
      </c>
      <c r="J59" s="1"/>
      <c r="K59" s="1">
        <v>30.856999999999999</v>
      </c>
      <c r="L59" s="1">
        <f t="shared" si="14"/>
        <v>-2.3659999999999997</v>
      </c>
      <c r="M59" s="1"/>
      <c r="N59" s="1"/>
      <c r="O59" s="1">
        <v>0</v>
      </c>
      <c r="P59" s="1"/>
      <c r="Q59" s="1"/>
      <c r="R59" s="1"/>
      <c r="S59" s="1">
        <v>12.45080000000001</v>
      </c>
      <c r="T59" s="1">
        <f t="shared" si="15"/>
        <v>5.6981999999999999</v>
      </c>
      <c r="U59" s="5">
        <f t="shared" si="18"/>
        <v>23.410599999999988</v>
      </c>
      <c r="V59" s="5">
        <f t="shared" si="19"/>
        <v>40.505199999999988</v>
      </c>
      <c r="W59" s="1"/>
      <c r="X59" s="1">
        <f t="shared" si="6"/>
        <v>15</v>
      </c>
      <c r="Y59" s="1">
        <f t="shared" si="16"/>
        <v>7.8915797971289203</v>
      </c>
      <c r="Z59" s="1">
        <v>4.8959999999999999</v>
      </c>
      <c r="AA59" s="1">
        <v>5.1875999999999998</v>
      </c>
      <c r="AB59" s="1">
        <v>7.9328000000000003</v>
      </c>
      <c r="AC59" s="1">
        <v>9.3141999999999996</v>
      </c>
      <c r="AD59" s="1">
        <v>6.2875999999999994</v>
      </c>
      <c r="AE59" s="1">
        <v>7.8018000000000001</v>
      </c>
      <c r="AF59" s="1">
        <v>9.2653999999999996</v>
      </c>
      <c r="AG59" s="1">
        <v>6.8365999999999998</v>
      </c>
      <c r="AH59" s="1">
        <v>8.6145999999999994</v>
      </c>
      <c r="AI59" s="1">
        <v>6.7657999999999996</v>
      </c>
      <c r="AJ59" s="1"/>
      <c r="AK59" s="1">
        <f t="shared" si="7"/>
        <v>41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101</v>
      </c>
      <c r="B60" s="1" t="s">
        <v>46</v>
      </c>
      <c r="C60" s="1">
        <v>78</v>
      </c>
      <c r="D60" s="1">
        <v>15</v>
      </c>
      <c r="E60" s="1">
        <v>86</v>
      </c>
      <c r="F60" s="1">
        <v>2</v>
      </c>
      <c r="G60" s="7">
        <v>0.1</v>
      </c>
      <c r="H60" s="1">
        <v>731</v>
      </c>
      <c r="I60" s="1" t="s">
        <v>40</v>
      </c>
      <c r="J60" s="1"/>
      <c r="K60" s="1">
        <v>120</v>
      </c>
      <c r="L60" s="1">
        <f t="shared" si="14"/>
        <v>-34</v>
      </c>
      <c r="M60" s="1"/>
      <c r="N60" s="1"/>
      <c r="O60" s="1">
        <v>103.6</v>
      </c>
      <c r="P60" s="1"/>
      <c r="Q60" s="1"/>
      <c r="R60" s="1"/>
      <c r="S60" s="1">
        <v>79.600000000000023</v>
      </c>
      <c r="T60" s="1">
        <f t="shared" si="15"/>
        <v>17.2</v>
      </c>
      <c r="U60" s="5">
        <f t="shared" si="18"/>
        <v>21.19999999999996</v>
      </c>
      <c r="V60" s="5">
        <f t="shared" si="19"/>
        <v>72.799999999999969</v>
      </c>
      <c r="W60" s="1"/>
      <c r="X60" s="1">
        <f t="shared" si="6"/>
        <v>15</v>
      </c>
      <c r="Y60" s="1">
        <f t="shared" si="16"/>
        <v>10.767441860465118</v>
      </c>
      <c r="Z60" s="1">
        <v>17.8</v>
      </c>
      <c r="AA60" s="1">
        <v>18.600000000000001</v>
      </c>
      <c r="AB60" s="1">
        <v>16.8</v>
      </c>
      <c r="AC60" s="1">
        <v>10.8</v>
      </c>
      <c r="AD60" s="1">
        <v>12.8</v>
      </c>
      <c r="AE60" s="1">
        <v>10.199999999999999</v>
      </c>
      <c r="AF60" s="1">
        <v>12.6</v>
      </c>
      <c r="AG60" s="1">
        <v>14.6</v>
      </c>
      <c r="AH60" s="1">
        <v>10.4</v>
      </c>
      <c r="AI60" s="1">
        <v>2.6</v>
      </c>
      <c r="AJ60" s="1"/>
      <c r="AK60" s="1">
        <f t="shared" si="7"/>
        <v>7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102</v>
      </c>
      <c r="B61" s="1" t="s">
        <v>46</v>
      </c>
      <c r="C61" s="1">
        <v>4</v>
      </c>
      <c r="D61" s="1"/>
      <c r="E61" s="1">
        <v>5</v>
      </c>
      <c r="F61" s="1">
        <v>-1</v>
      </c>
      <c r="G61" s="7">
        <v>0.4</v>
      </c>
      <c r="H61" s="1">
        <v>50</v>
      </c>
      <c r="I61" s="1" t="s">
        <v>40</v>
      </c>
      <c r="J61" s="1"/>
      <c r="K61" s="1">
        <v>5</v>
      </c>
      <c r="L61" s="1">
        <f t="shared" si="14"/>
        <v>0</v>
      </c>
      <c r="M61" s="1"/>
      <c r="N61" s="1"/>
      <c r="O61" s="1">
        <v>18</v>
      </c>
      <c r="P61" s="1"/>
      <c r="Q61" s="1"/>
      <c r="R61" s="1"/>
      <c r="S61" s="1">
        <v>9.7999999999999972</v>
      </c>
      <c r="T61" s="1">
        <f t="shared" si="15"/>
        <v>1</v>
      </c>
      <c r="U61" s="5"/>
      <c r="V61" s="5">
        <f t="shared" si="5"/>
        <v>0</v>
      </c>
      <c r="W61" s="1"/>
      <c r="X61" s="1">
        <f t="shared" si="6"/>
        <v>26.799999999999997</v>
      </c>
      <c r="Y61" s="1">
        <f t="shared" si="16"/>
        <v>26.799999999999997</v>
      </c>
      <c r="Z61" s="1">
        <v>1.4</v>
      </c>
      <c r="AA61" s="1">
        <v>2.4</v>
      </c>
      <c r="AB61" s="1">
        <v>2</v>
      </c>
      <c r="AC61" s="1">
        <v>0.8</v>
      </c>
      <c r="AD61" s="1">
        <v>0.8</v>
      </c>
      <c r="AE61" s="1">
        <v>1.6</v>
      </c>
      <c r="AF61" s="1">
        <v>3.2</v>
      </c>
      <c r="AG61" s="1">
        <v>2.4</v>
      </c>
      <c r="AH61" s="1">
        <v>1.8</v>
      </c>
      <c r="AI61" s="1">
        <v>3.2</v>
      </c>
      <c r="AJ61" s="1"/>
      <c r="AK61" s="1">
        <f t="shared" si="7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103</v>
      </c>
      <c r="B62" s="1" t="s">
        <v>39</v>
      </c>
      <c r="C62" s="1">
        <v>74.957999999999998</v>
      </c>
      <c r="D62" s="1">
        <v>67.878</v>
      </c>
      <c r="E62" s="1">
        <v>94.27</v>
      </c>
      <c r="F62" s="1">
        <v>21.097000000000001</v>
      </c>
      <c r="G62" s="7">
        <v>1</v>
      </c>
      <c r="H62" s="1">
        <v>40</v>
      </c>
      <c r="I62" s="1" t="s">
        <v>40</v>
      </c>
      <c r="J62" s="1"/>
      <c r="K62" s="1">
        <v>121.834</v>
      </c>
      <c r="L62" s="1">
        <f t="shared" si="14"/>
        <v>-27.564000000000007</v>
      </c>
      <c r="M62" s="1"/>
      <c r="N62" s="1"/>
      <c r="O62" s="1">
        <v>22.399199999999979</v>
      </c>
      <c r="P62" s="1"/>
      <c r="Q62" s="1"/>
      <c r="R62" s="1"/>
      <c r="S62" s="1">
        <v>26.341400000000011</v>
      </c>
      <c r="T62" s="1">
        <f t="shared" si="15"/>
        <v>18.853999999999999</v>
      </c>
      <c r="U62" s="5">
        <f>11*T62-S62-R62-Q62-P62-O62-F62+W62</f>
        <v>137.5564</v>
      </c>
      <c r="V62" s="5">
        <f t="shared" ref="V62:V64" si="20">T62*($V$1-Y62)</f>
        <v>212.97240000000002</v>
      </c>
      <c r="W62" s="1"/>
      <c r="X62" s="1">
        <f t="shared" si="6"/>
        <v>15</v>
      </c>
      <c r="Y62" s="1">
        <f t="shared" si="16"/>
        <v>3.7041264453166436</v>
      </c>
      <c r="Z62" s="1">
        <v>16.659800000000001</v>
      </c>
      <c r="AA62" s="1">
        <v>14.296200000000001</v>
      </c>
      <c r="AB62" s="1">
        <v>17.922999999999998</v>
      </c>
      <c r="AC62" s="1">
        <v>17.2974</v>
      </c>
      <c r="AD62" s="1">
        <v>4.2414000000000014</v>
      </c>
      <c r="AE62" s="1">
        <v>8.469199999999999</v>
      </c>
      <c r="AF62" s="1">
        <v>20.630199999999999</v>
      </c>
      <c r="AG62" s="1">
        <v>17.4864</v>
      </c>
      <c r="AH62" s="1">
        <v>11.520799999999999</v>
      </c>
      <c r="AI62" s="1">
        <v>10.605399999999999</v>
      </c>
      <c r="AJ62" s="1"/>
      <c r="AK62" s="1">
        <f t="shared" si="7"/>
        <v>213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104</v>
      </c>
      <c r="B63" s="1" t="s">
        <v>39</v>
      </c>
      <c r="C63" s="1">
        <v>22.893999999999998</v>
      </c>
      <c r="D63" s="1">
        <v>9.2390000000000008</v>
      </c>
      <c r="E63" s="1">
        <v>29.562999999999999</v>
      </c>
      <c r="F63" s="1">
        <v>-1.498</v>
      </c>
      <c r="G63" s="7">
        <v>1</v>
      </c>
      <c r="H63" s="1">
        <v>40</v>
      </c>
      <c r="I63" s="1" t="s">
        <v>40</v>
      </c>
      <c r="J63" s="1"/>
      <c r="K63" s="1">
        <v>31.547000000000001</v>
      </c>
      <c r="L63" s="1">
        <f t="shared" si="14"/>
        <v>-1.9840000000000018</v>
      </c>
      <c r="M63" s="1"/>
      <c r="N63" s="1"/>
      <c r="O63" s="1">
        <v>0</v>
      </c>
      <c r="P63" s="1"/>
      <c r="Q63" s="1"/>
      <c r="R63" s="1"/>
      <c r="S63" s="1">
        <v>70</v>
      </c>
      <c r="T63" s="1">
        <f t="shared" si="15"/>
        <v>5.9125999999999994</v>
      </c>
      <c r="U63" s="5">
        <v>4</v>
      </c>
      <c r="V63" s="5">
        <f t="shared" si="20"/>
        <v>20.186999999999994</v>
      </c>
      <c r="W63" s="1"/>
      <c r="X63" s="1">
        <f t="shared" si="6"/>
        <v>15</v>
      </c>
      <c r="Y63" s="1">
        <f t="shared" si="16"/>
        <v>11.585765991272876</v>
      </c>
      <c r="Z63" s="1">
        <v>4.6542000000000003</v>
      </c>
      <c r="AA63" s="1">
        <v>3.8302</v>
      </c>
      <c r="AB63" s="1">
        <v>5.4445999999999994</v>
      </c>
      <c r="AC63" s="1">
        <v>7.3133999999999997</v>
      </c>
      <c r="AD63" s="1">
        <v>8.4963999999999995</v>
      </c>
      <c r="AE63" s="1">
        <v>5.2677999999999994</v>
      </c>
      <c r="AF63" s="1">
        <v>2.68</v>
      </c>
      <c r="AG63" s="1">
        <v>5.5876000000000001</v>
      </c>
      <c r="AH63" s="1">
        <v>5.6307999999999998</v>
      </c>
      <c r="AI63" s="1">
        <v>3.1223999999999998</v>
      </c>
      <c r="AJ63" s="1" t="s">
        <v>105</v>
      </c>
      <c r="AK63" s="1">
        <f t="shared" si="7"/>
        <v>20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106</v>
      </c>
      <c r="B64" s="1" t="s">
        <v>46</v>
      </c>
      <c r="C64" s="1">
        <v>408</v>
      </c>
      <c r="D64" s="1">
        <v>407</v>
      </c>
      <c r="E64" s="1">
        <v>381</v>
      </c>
      <c r="F64" s="1">
        <v>409</v>
      </c>
      <c r="G64" s="7">
        <v>0.4</v>
      </c>
      <c r="H64" s="1">
        <v>40</v>
      </c>
      <c r="I64" s="1" t="s">
        <v>40</v>
      </c>
      <c r="J64" s="1"/>
      <c r="K64" s="1">
        <v>431</v>
      </c>
      <c r="L64" s="1">
        <f t="shared" si="14"/>
        <v>-50</v>
      </c>
      <c r="M64" s="1"/>
      <c r="N64" s="1"/>
      <c r="O64" s="1">
        <v>183.34800000000021</v>
      </c>
      <c r="P64" s="1"/>
      <c r="Q64" s="1"/>
      <c r="R64" s="1"/>
      <c r="S64" s="1">
        <v>478.04600000000028</v>
      </c>
      <c r="T64" s="1">
        <f t="shared" si="15"/>
        <v>76.2</v>
      </c>
      <c r="U64" s="5"/>
      <c r="V64" s="5">
        <f t="shared" si="20"/>
        <v>72.605999999999611</v>
      </c>
      <c r="W64" s="1"/>
      <c r="X64" s="1">
        <f t="shared" si="6"/>
        <v>15</v>
      </c>
      <c r="Y64" s="1">
        <f t="shared" si="16"/>
        <v>14.047165354330714</v>
      </c>
      <c r="Z64" s="1">
        <v>89.8</v>
      </c>
      <c r="AA64" s="1">
        <v>109.4</v>
      </c>
      <c r="AB64" s="1">
        <v>105.6</v>
      </c>
      <c r="AC64" s="1">
        <v>92.6</v>
      </c>
      <c r="AD64" s="1">
        <v>65.8</v>
      </c>
      <c r="AE64" s="1">
        <v>9.1999999999999993</v>
      </c>
      <c r="AF64" s="1">
        <v>52.6</v>
      </c>
      <c r="AG64" s="1">
        <v>111.4</v>
      </c>
      <c r="AH64" s="1">
        <v>104.6</v>
      </c>
      <c r="AI64" s="1">
        <v>52.2</v>
      </c>
      <c r="AJ64" s="1"/>
      <c r="AK64" s="1">
        <f t="shared" si="7"/>
        <v>29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107</v>
      </c>
      <c r="B65" s="1" t="s">
        <v>46</v>
      </c>
      <c r="C65" s="1">
        <v>-9</v>
      </c>
      <c r="D65" s="1">
        <v>498</v>
      </c>
      <c r="E65" s="1">
        <v>115</v>
      </c>
      <c r="F65" s="1">
        <v>363</v>
      </c>
      <c r="G65" s="7">
        <v>0.4</v>
      </c>
      <c r="H65" s="1">
        <v>40</v>
      </c>
      <c r="I65" s="12" t="s">
        <v>68</v>
      </c>
      <c r="J65" s="1"/>
      <c r="K65" s="1">
        <v>130</v>
      </c>
      <c r="L65" s="1">
        <f t="shared" si="14"/>
        <v>-15</v>
      </c>
      <c r="M65" s="1"/>
      <c r="N65" s="1"/>
      <c r="O65" s="1">
        <v>0</v>
      </c>
      <c r="P65" s="1">
        <v>0</v>
      </c>
      <c r="Q65" s="1"/>
      <c r="R65" s="1"/>
      <c r="S65" s="1">
        <v>0</v>
      </c>
      <c r="T65" s="1">
        <f t="shared" si="15"/>
        <v>23</v>
      </c>
      <c r="U65" s="19">
        <v>50</v>
      </c>
      <c r="V65" s="5">
        <v>120</v>
      </c>
      <c r="W65" s="1"/>
      <c r="X65" s="1">
        <f t="shared" si="6"/>
        <v>21</v>
      </c>
      <c r="Y65" s="1">
        <f t="shared" si="16"/>
        <v>15.782608695652174</v>
      </c>
      <c r="Z65" s="1">
        <v>6</v>
      </c>
      <c r="AA65" s="1">
        <v>53.4</v>
      </c>
      <c r="AB65" s="1">
        <v>72</v>
      </c>
      <c r="AC65" s="1">
        <v>66.2</v>
      </c>
      <c r="AD65" s="1">
        <v>60.8</v>
      </c>
      <c r="AE65" s="1">
        <v>62.2</v>
      </c>
      <c r="AF65" s="1">
        <v>77.400000000000006</v>
      </c>
      <c r="AG65" s="1">
        <v>76.8</v>
      </c>
      <c r="AH65" s="1">
        <v>71.2</v>
      </c>
      <c r="AI65" s="1">
        <v>36.200000000000003</v>
      </c>
      <c r="AJ65" s="1"/>
      <c r="AK65" s="1">
        <f t="shared" si="7"/>
        <v>48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108</v>
      </c>
      <c r="B66" s="1" t="s">
        <v>39</v>
      </c>
      <c r="C66" s="1">
        <v>190.262</v>
      </c>
      <c r="D66" s="1">
        <v>4.5910000000000002</v>
      </c>
      <c r="E66" s="1">
        <v>83.441000000000003</v>
      </c>
      <c r="F66" s="1">
        <v>89.388000000000005</v>
      </c>
      <c r="G66" s="7">
        <v>1</v>
      </c>
      <c r="H66" s="1">
        <v>40</v>
      </c>
      <c r="I66" s="1" t="s">
        <v>40</v>
      </c>
      <c r="J66" s="1"/>
      <c r="K66" s="1">
        <v>102.5</v>
      </c>
      <c r="L66" s="1">
        <f t="shared" si="14"/>
        <v>-19.058999999999997</v>
      </c>
      <c r="M66" s="1"/>
      <c r="N66" s="1"/>
      <c r="O66" s="1">
        <v>107.9492</v>
      </c>
      <c r="P66" s="1"/>
      <c r="Q66" s="1"/>
      <c r="R66" s="1"/>
      <c r="S66" s="1">
        <v>82.244400000000013</v>
      </c>
      <c r="T66" s="1">
        <f t="shared" si="15"/>
        <v>16.688200000000002</v>
      </c>
      <c r="U66" s="5"/>
      <c r="V66" s="5">
        <f t="shared" si="5"/>
        <v>0</v>
      </c>
      <c r="W66" s="1"/>
      <c r="X66" s="1">
        <f t="shared" si="6"/>
        <v>16.753250799966441</v>
      </c>
      <c r="Y66" s="1">
        <f t="shared" si="16"/>
        <v>16.753250799966441</v>
      </c>
      <c r="Z66" s="1">
        <v>22.345800000000001</v>
      </c>
      <c r="AA66" s="1">
        <v>30.636800000000001</v>
      </c>
      <c r="AB66" s="1">
        <v>29.345600000000001</v>
      </c>
      <c r="AC66" s="1">
        <v>27.9176</v>
      </c>
      <c r="AD66" s="1">
        <v>32.401799999999987</v>
      </c>
      <c r="AE66" s="1">
        <v>36.8142</v>
      </c>
      <c r="AF66" s="1">
        <v>33.589199999999998</v>
      </c>
      <c r="AG66" s="1">
        <v>33.845399999999998</v>
      </c>
      <c r="AH66" s="1">
        <v>30.9146</v>
      </c>
      <c r="AI66" s="1">
        <v>30.956199999999999</v>
      </c>
      <c r="AJ66" s="1"/>
      <c r="AK66" s="1">
        <f t="shared" si="7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109</v>
      </c>
      <c r="B67" s="1" t="s">
        <v>39</v>
      </c>
      <c r="C67" s="1">
        <v>73.426000000000002</v>
      </c>
      <c r="D67" s="1">
        <v>234.76900000000001</v>
      </c>
      <c r="E67" s="1">
        <v>82.835999999999999</v>
      </c>
      <c r="F67" s="1">
        <v>205.41800000000001</v>
      </c>
      <c r="G67" s="7">
        <v>1</v>
      </c>
      <c r="H67" s="1">
        <v>40</v>
      </c>
      <c r="I67" s="1" t="s">
        <v>40</v>
      </c>
      <c r="J67" s="1"/>
      <c r="K67" s="1">
        <v>102.4</v>
      </c>
      <c r="L67" s="1">
        <f t="shared" si="14"/>
        <v>-19.564000000000007</v>
      </c>
      <c r="M67" s="1"/>
      <c r="N67" s="1"/>
      <c r="O67" s="1">
        <v>30.630400000000002</v>
      </c>
      <c r="P67" s="1"/>
      <c r="Q67" s="1"/>
      <c r="R67" s="1"/>
      <c r="S67" s="1">
        <v>0</v>
      </c>
      <c r="T67" s="1">
        <f t="shared" si="15"/>
        <v>16.5672</v>
      </c>
      <c r="U67" s="5"/>
      <c r="V67" s="5">
        <f t="shared" ref="V67:V69" si="21">T67*($V$1-Y67)</f>
        <v>12.459599999999993</v>
      </c>
      <c r="W67" s="1"/>
      <c r="X67" s="1">
        <f t="shared" si="6"/>
        <v>15</v>
      </c>
      <c r="Y67" s="1">
        <f t="shared" si="16"/>
        <v>14.24793568013907</v>
      </c>
      <c r="Z67" s="1">
        <v>20.6828</v>
      </c>
      <c r="AA67" s="1">
        <v>25.505199999999999</v>
      </c>
      <c r="AB67" s="1">
        <v>30.630400000000002</v>
      </c>
      <c r="AC67" s="1">
        <v>35.2286</v>
      </c>
      <c r="AD67" s="1">
        <v>27.577400000000001</v>
      </c>
      <c r="AE67" s="1">
        <v>23.778400000000001</v>
      </c>
      <c r="AF67" s="1">
        <v>29.741199999999999</v>
      </c>
      <c r="AG67" s="1">
        <v>31.115600000000001</v>
      </c>
      <c r="AH67" s="1">
        <v>35.332799999999999</v>
      </c>
      <c r="AI67" s="1">
        <v>22.806999999999999</v>
      </c>
      <c r="AJ67" s="1"/>
      <c r="AK67" s="1">
        <f t="shared" si="7"/>
        <v>12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110</v>
      </c>
      <c r="B68" s="1" t="s">
        <v>39</v>
      </c>
      <c r="C68" s="1">
        <v>338.03</v>
      </c>
      <c r="D68" s="1">
        <v>365.49299999999999</v>
      </c>
      <c r="E68" s="1">
        <v>245.76599999999999</v>
      </c>
      <c r="F68" s="1">
        <v>401.28300000000002</v>
      </c>
      <c r="G68" s="7">
        <v>1</v>
      </c>
      <c r="H68" s="1">
        <v>40</v>
      </c>
      <c r="I68" s="1" t="s">
        <v>40</v>
      </c>
      <c r="J68" s="1"/>
      <c r="K68" s="1">
        <v>284.416</v>
      </c>
      <c r="L68" s="1">
        <f t="shared" si="14"/>
        <v>-38.650000000000006</v>
      </c>
      <c r="M68" s="1"/>
      <c r="N68" s="1"/>
      <c r="O68" s="1">
        <v>88.988664000000384</v>
      </c>
      <c r="P68" s="1"/>
      <c r="Q68" s="1"/>
      <c r="R68" s="1"/>
      <c r="S68" s="1">
        <v>14.14059399999978</v>
      </c>
      <c r="T68" s="1">
        <f t="shared" si="15"/>
        <v>49.153199999999998</v>
      </c>
      <c r="U68" s="5">
        <f t="shared" si="18"/>
        <v>85.426141999999857</v>
      </c>
      <c r="V68" s="5">
        <f t="shared" si="21"/>
        <v>232.88574199999979</v>
      </c>
      <c r="W68" s="1"/>
      <c r="X68" s="1">
        <f t="shared" si="6"/>
        <v>15</v>
      </c>
      <c r="Y68" s="1">
        <f t="shared" si="16"/>
        <v>10.262043122319609</v>
      </c>
      <c r="Z68" s="1">
        <v>53.758000000000003</v>
      </c>
      <c r="AA68" s="1">
        <v>60.426599999999993</v>
      </c>
      <c r="AB68" s="1">
        <v>71.873000000000005</v>
      </c>
      <c r="AC68" s="1">
        <v>68.0488</v>
      </c>
      <c r="AD68" s="1">
        <v>44.416800000000002</v>
      </c>
      <c r="AE68" s="1">
        <v>80.647599999999997</v>
      </c>
      <c r="AF68" s="1">
        <v>104.0168</v>
      </c>
      <c r="AG68" s="1">
        <v>79.371600000000001</v>
      </c>
      <c r="AH68" s="1">
        <v>74.468199999999996</v>
      </c>
      <c r="AI68" s="1">
        <v>94.776600000000002</v>
      </c>
      <c r="AJ68" s="1"/>
      <c r="AK68" s="1">
        <f t="shared" si="7"/>
        <v>233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111</v>
      </c>
      <c r="B69" s="1" t="s">
        <v>39</v>
      </c>
      <c r="C69" s="1">
        <v>476.85700000000003</v>
      </c>
      <c r="D69" s="1">
        <v>5.4669999999999996</v>
      </c>
      <c r="E69" s="1">
        <v>120.596</v>
      </c>
      <c r="F69" s="1">
        <v>325.221</v>
      </c>
      <c r="G69" s="7">
        <v>1</v>
      </c>
      <c r="H69" s="1">
        <v>40</v>
      </c>
      <c r="I69" s="1" t="s">
        <v>40</v>
      </c>
      <c r="J69" s="1"/>
      <c r="K69" s="1">
        <v>153.4</v>
      </c>
      <c r="L69" s="1">
        <f t="shared" si="14"/>
        <v>-32.804000000000002</v>
      </c>
      <c r="M69" s="1"/>
      <c r="N69" s="1"/>
      <c r="O69" s="1">
        <v>0</v>
      </c>
      <c r="P69" s="1"/>
      <c r="Q69" s="1"/>
      <c r="R69" s="1"/>
      <c r="S69" s="1">
        <v>0</v>
      </c>
      <c r="T69" s="1">
        <f t="shared" si="15"/>
        <v>24.119199999999999</v>
      </c>
      <c r="U69" s="5"/>
      <c r="V69" s="5">
        <f t="shared" si="21"/>
        <v>36.567</v>
      </c>
      <c r="W69" s="1"/>
      <c r="X69" s="1">
        <f t="shared" si="6"/>
        <v>15</v>
      </c>
      <c r="Y69" s="1">
        <f t="shared" si="16"/>
        <v>13.48390493880394</v>
      </c>
      <c r="Z69" s="1">
        <v>27.015599999999999</v>
      </c>
      <c r="AA69" s="1">
        <v>23.341799999999999</v>
      </c>
      <c r="AB69" s="1">
        <v>16.409400000000002</v>
      </c>
      <c r="AC69" s="1">
        <v>37.777799999999999</v>
      </c>
      <c r="AD69" s="1">
        <v>58.898200000000003</v>
      </c>
      <c r="AE69" s="1">
        <v>45.1404</v>
      </c>
      <c r="AF69" s="1">
        <v>32.860199999999999</v>
      </c>
      <c r="AG69" s="1">
        <v>31.357600000000001</v>
      </c>
      <c r="AH69" s="1">
        <v>34.3932</v>
      </c>
      <c r="AI69" s="1">
        <v>31.567399999999999</v>
      </c>
      <c r="AJ69" s="1"/>
      <c r="AK69" s="1">
        <f t="shared" si="7"/>
        <v>37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9" t="s">
        <v>112</v>
      </c>
      <c r="B70" s="9" t="s">
        <v>46</v>
      </c>
      <c r="C70" s="9"/>
      <c r="D70" s="9"/>
      <c r="E70" s="9"/>
      <c r="F70" s="9"/>
      <c r="G70" s="10">
        <v>0</v>
      </c>
      <c r="H70" s="9"/>
      <c r="I70" s="9" t="s">
        <v>40</v>
      </c>
      <c r="J70" s="9"/>
      <c r="K70" s="9"/>
      <c r="L70" s="9">
        <f t="shared" ref="L70:L101" si="22">E70-K70</f>
        <v>0</v>
      </c>
      <c r="M70" s="9"/>
      <c r="N70" s="9"/>
      <c r="O70" s="9">
        <v>0</v>
      </c>
      <c r="P70" s="9"/>
      <c r="Q70" s="9"/>
      <c r="R70" s="9"/>
      <c r="S70" s="9">
        <v>0</v>
      </c>
      <c r="T70" s="9">
        <f t="shared" ref="T70:T101" si="23">E70/5</f>
        <v>0</v>
      </c>
      <c r="U70" s="11"/>
      <c r="V70" s="5">
        <f t="shared" si="5"/>
        <v>0</v>
      </c>
      <c r="W70" s="9"/>
      <c r="X70" s="1" t="e">
        <f t="shared" si="6"/>
        <v>#DIV/0!</v>
      </c>
      <c r="Y70" s="9" t="e">
        <f t="shared" ref="Y70:Y101" si="24">(F70+O70+P70+Q70+R70+S70)/T70</f>
        <v>#DIV/0!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 t="s">
        <v>47</v>
      </c>
      <c r="AK70" s="1">
        <f t="shared" si="7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113</v>
      </c>
      <c r="B71" s="1" t="s">
        <v>39</v>
      </c>
      <c r="C71" s="1">
        <v>270.98599999999999</v>
      </c>
      <c r="D71" s="1">
        <v>61.207999999999998</v>
      </c>
      <c r="E71" s="1">
        <v>113.934</v>
      </c>
      <c r="F71" s="1">
        <v>155.93199999999999</v>
      </c>
      <c r="G71" s="7">
        <v>1</v>
      </c>
      <c r="H71" s="1">
        <v>30</v>
      </c>
      <c r="I71" s="1" t="s">
        <v>40</v>
      </c>
      <c r="J71" s="1"/>
      <c r="K71" s="1">
        <v>184.39</v>
      </c>
      <c r="L71" s="1">
        <f t="shared" si="22"/>
        <v>-70.455999999999989</v>
      </c>
      <c r="M71" s="1"/>
      <c r="N71" s="1"/>
      <c r="O71" s="1">
        <v>29.864999999999998</v>
      </c>
      <c r="P71" s="1"/>
      <c r="Q71" s="1"/>
      <c r="R71" s="1"/>
      <c r="S71" s="1">
        <v>4</v>
      </c>
      <c r="T71" s="1">
        <f t="shared" si="23"/>
        <v>22.786799999999999</v>
      </c>
      <c r="U71" s="5">
        <f t="shared" ref="U71:U76" si="25">12*T71-S71-R71-Q71-P71-O71-F71+W71</f>
        <v>83.644599999999997</v>
      </c>
      <c r="V71" s="5">
        <f t="shared" ref="V71:V72" si="26">T71*($V$1-Y71)</f>
        <v>152.00500000000002</v>
      </c>
      <c r="W71" s="1"/>
      <c r="X71" s="1">
        <f t="shared" ref="X71:X131" si="27">(F71+O71+P71+Q71+R71+S71+V71)/T71</f>
        <v>15.000000000000002</v>
      </c>
      <c r="Y71" s="1">
        <f t="shared" si="24"/>
        <v>8.3292520231010929</v>
      </c>
      <c r="Z71" s="1">
        <v>21.472200000000001</v>
      </c>
      <c r="AA71" s="1">
        <v>26.0868</v>
      </c>
      <c r="AB71" s="1">
        <v>29.864999999999998</v>
      </c>
      <c r="AC71" s="1">
        <v>35.738799999999998</v>
      </c>
      <c r="AD71" s="1">
        <v>40.323999999999977</v>
      </c>
      <c r="AE71" s="1">
        <v>35.8322</v>
      </c>
      <c r="AF71" s="1">
        <v>35.826999999999998</v>
      </c>
      <c r="AG71" s="1">
        <v>37.896599999999999</v>
      </c>
      <c r="AH71" s="1">
        <v>39.866</v>
      </c>
      <c r="AI71" s="1">
        <v>52.215400000000002</v>
      </c>
      <c r="AJ71" s="1"/>
      <c r="AK71" s="1">
        <f t="shared" ref="AK71:AK131" si="28">ROUND(G71*V71,0)</f>
        <v>152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114</v>
      </c>
      <c r="B72" s="1" t="s">
        <v>46</v>
      </c>
      <c r="C72" s="1">
        <v>76</v>
      </c>
      <c r="D72" s="1">
        <v>1</v>
      </c>
      <c r="E72" s="1">
        <v>76</v>
      </c>
      <c r="F72" s="1">
        <v>6</v>
      </c>
      <c r="G72" s="7">
        <v>0.6</v>
      </c>
      <c r="H72" s="1">
        <v>60</v>
      </c>
      <c r="I72" s="1" t="s">
        <v>40</v>
      </c>
      <c r="J72" s="1"/>
      <c r="K72" s="1">
        <v>56</v>
      </c>
      <c r="L72" s="1">
        <f t="shared" si="22"/>
        <v>20</v>
      </c>
      <c r="M72" s="1"/>
      <c r="N72" s="1"/>
      <c r="O72" s="1">
        <v>0</v>
      </c>
      <c r="P72" s="1"/>
      <c r="Q72" s="1"/>
      <c r="R72" s="1"/>
      <c r="S72" s="1">
        <v>179.4</v>
      </c>
      <c r="T72" s="1">
        <f t="shared" si="23"/>
        <v>15.2</v>
      </c>
      <c r="U72" s="5"/>
      <c r="V72" s="5">
        <f t="shared" si="26"/>
        <v>42.599999999999994</v>
      </c>
      <c r="W72" s="1"/>
      <c r="X72" s="1">
        <f t="shared" si="27"/>
        <v>15</v>
      </c>
      <c r="Y72" s="1">
        <f t="shared" si="24"/>
        <v>12.197368421052632</v>
      </c>
      <c r="Z72" s="1">
        <v>27</v>
      </c>
      <c r="AA72" s="1">
        <v>26.6</v>
      </c>
      <c r="AB72" s="1">
        <v>13.2</v>
      </c>
      <c r="AC72" s="1">
        <v>11.8</v>
      </c>
      <c r="AD72" s="1">
        <v>20.399999999999999</v>
      </c>
      <c r="AE72" s="1">
        <v>20.2</v>
      </c>
      <c r="AF72" s="1">
        <v>18.8</v>
      </c>
      <c r="AG72" s="1">
        <v>23.4</v>
      </c>
      <c r="AH72" s="1">
        <v>19.2</v>
      </c>
      <c r="AI72" s="1">
        <v>16</v>
      </c>
      <c r="AJ72" s="1"/>
      <c r="AK72" s="1">
        <f t="shared" si="28"/>
        <v>26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115</v>
      </c>
      <c r="B73" s="1" t="s">
        <v>46</v>
      </c>
      <c r="C73" s="1">
        <v>92</v>
      </c>
      <c r="D73" s="1">
        <v>131</v>
      </c>
      <c r="E73" s="1">
        <v>76</v>
      </c>
      <c r="F73" s="1">
        <v>148</v>
      </c>
      <c r="G73" s="7">
        <v>0.6</v>
      </c>
      <c r="H73" s="1">
        <v>60</v>
      </c>
      <c r="I73" s="1" t="s">
        <v>40</v>
      </c>
      <c r="J73" s="1"/>
      <c r="K73" s="1">
        <v>69</v>
      </c>
      <c r="L73" s="1">
        <f t="shared" si="22"/>
        <v>7</v>
      </c>
      <c r="M73" s="1"/>
      <c r="N73" s="1"/>
      <c r="O73" s="1">
        <v>148.08999999999989</v>
      </c>
      <c r="P73" s="1"/>
      <c r="Q73" s="1"/>
      <c r="R73" s="1"/>
      <c r="S73" s="1">
        <v>123.2</v>
      </c>
      <c r="T73" s="1">
        <f t="shared" si="23"/>
        <v>15.2</v>
      </c>
      <c r="U73" s="5"/>
      <c r="V73" s="5">
        <f t="shared" ref="V73:V131" si="29">U73</f>
        <v>0</v>
      </c>
      <c r="W73" s="1"/>
      <c r="X73" s="1">
        <f t="shared" si="27"/>
        <v>27.584868421052626</v>
      </c>
      <c r="Y73" s="1">
        <f t="shared" si="24"/>
        <v>27.584868421052626</v>
      </c>
      <c r="Z73" s="1">
        <v>26.6</v>
      </c>
      <c r="AA73" s="1">
        <v>40.799999999999997</v>
      </c>
      <c r="AB73" s="1">
        <v>41.2</v>
      </c>
      <c r="AC73" s="1">
        <v>32.6</v>
      </c>
      <c r="AD73" s="1">
        <v>37.200000000000003</v>
      </c>
      <c r="AE73" s="1">
        <v>36.200000000000003</v>
      </c>
      <c r="AF73" s="1">
        <v>28.2</v>
      </c>
      <c r="AG73" s="1">
        <v>30.8</v>
      </c>
      <c r="AH73" s="1">
        <v>32</v>
      </c>
      <c r="AI73" s="1">
        <v>38.799999999999997</v>
      </c>
      <c r="AJ73" s="15" t="s">
        <v>58</v>
      </c>
      <c r="AK73" s="1">
        <f t="shared" si="28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116</v>
      </c>
      <c r="B74" s="1" t="s">
        <v>46</v>
      </c>
      <c r="C74" s="1">
        <v>67</v>
      </c>
      <c r="D74" s="1">
        <v>125</v>
      </c>
      <c r="E74" s="1">
        <v>88</v>
      </c>
      <c r="F74" s="1">
        <v>91</v>
      </c>
      <c r="G74" s="7">
        <v>0.4</v>
      </c>
      <c r="H74" s="1">
        <v>90</v>
      </c>
      <c r="I74" s="1" t="s">
        <v>40</v>
      </c>
      <c r="J74" s="1"/>
      <c r="K74" s="1">
        <v>102</v>
      </c>
      <c r="L74" s="1">
        <f t="shared" si="22"/>
        <v>-14</v>
      </c>
      <c r="M74" s="1"/>
      <c r="N74" s="1"/>
      <c r="O74" s="1">
        <v>63.60000000000003</v>
      </c>
      <c r="P74" s="1"/>
      <c r="Q74" s="1"/>
      <c r="R74" s="1"/>
      <c r="S74" s="1">
        <v>0</v>
      </c>
      <c r="T74" s="1">
        <f t="shared" si="23"/>
        <v>17.600000000000001</v>
      </c>
      <c r="U74" s="5">
        <f t="shared" si="25"/>
        <v>56.599999999999994</v>
      </c>
      <c r="V74" s="5">
        <f t="shared" ref="V74:V76" si="30">T74*($V$1-Y74)</f>
        <v>109.39999999999999</v>
      </c>
      <c r="W74" s="1"/>
      <c r="X74" s="1">
        <f t="shared" si="27"/>
        <v>14.999999999999998</v>
      </c>
      <c r="Y74" s="1">
        <f t="shared" si="24"/>
        <v>8.7840909090909101</v>
      </c>
      <c r="Z74" s="1">
        <v>13.6</v>
      </c>
      <c r="AA74" s="1">
        <v>19</v>
      </c>
      <c r="AB74" s="1">
        <v>22.6</v>
      </c>
      <c r="AC74" s="1">
        <v>21.8</v>
      </c>
      <c r="AD74" s="1">
        <v>17.8</v>
      </c>
      <c r="AE74" s="1">
        <v>17.2</v>
      </c>
      <c r="AF74" s="1">
        <v>23.2</v>
      </c>
      <c r="AG74" s="1">
        <v>27</v>
      </c>
      <c r="AH74" s="1">
        <v>24.4</v>
      </c>
      <c r="AI74" s="1">
        <v>24.8</v>
      </c>
      <c r="AJ74" s="1"/>
      <c r="AK74" s="1">
        <f t="shared" si="28"/>
        <v>44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117</v>
      </c>
      <c r="B75" s="1" t="s">
        <v>46</v>
      </c>
      <c r="C75" s="1">
        <v>152</v>
      </c>
      <c r="D75" s="1">
        <v>85</v>
      </c>
      <c r="E75" s="1">
        <v>159</v>
      </c>
      <c r="F75" s="1">
        <v>64</v>
      </c>
      <c r="G75" s="7">
        <v>0.33</v>
      </c>
      <c r="H75" s="1">
        <v>60</v>
      </c>
      <c r="I75" s="1" t="s">
        <v>40</v>
      </c>
      <c r="J75" s="1"/>
      <c r="K75" s="1">
        <v>166</v>
      </c>
      <c r="L75" s="1">
        <f t="shared" si="22"/>
        <v>-7</v>
      </c>
      <c r="M75" s="1"/>
      <c r="N75" s="1"/>
      <c r="O75" s="1">
        <v>37.759999999999977</v>
      </c>
      <c r="P75" s="1"/>
      <c r="Q75" s="1"/>
      <c r="R75" s="1"/>
      <c r="S75" s="1">
        <v>111.03999999999979</v>
      </c>
      <c r="T75" s="1">
        <f t="shared" si="23"/>
        <v>31.8</v>
      </c>
      <c r="U75" s="5">
        <f t="shared" si="25"/>
        <v>168.80000000000024</v>
      </c>
      <c r="V75" s="5">
        <f t="shared" si="30"/>
        <v>264.20000000000022</v>
      </c>
      <c r="W75" s="1"/>
      <c r="X75" s="1">
        <f t="shared" si="27"/>
        <v>15</v>
      </c>
      <c r="Y75" s="1">
        <f t="shared" si="24"/>
        <v>6.6918238993710624</v>
      </c>
      <c r="Z75" s="1">
        <v>24.8</v>
      </c>
      <c r="AA75" s="1">
        <v>29.4</v>
      </c>
      <c r="AB75" s="1">
        <v>26.2</v>
      </c>
      <c r="AC75" s="1">
        <v>28.6</v>
      </c>
      <c r="AD75" s="1">
        <v>30.2</v>
      </c>
      <c r="AE75" s="1">
        <v>28.8</v>
      </c>
      <c r="AF75" s="1">
        <v>29.6</v>
      </c>
      <c r="AG75" s="1">
        <v>27.4</v>
      </c>
      <c r="AH75" s="1">
        <v>29.6</v>
      </c>
      <c r="AI75" s="1">
        <v>32.4</v>
      </c>
      <c r="AJ75" s="1"/>
      <c r="AK75" s="1">
        <f t="shared" si="28"/>
        <v>87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118</v>
      </c>
      <c r="B76" s="1" t="s">
        <v>46</v>
      </c>
      <c r="C76" s="1">
        <v>177</v>
      </c>
      <c r="D76" s="1">
        <v>76</v>
      </c>
      <c r="E76" s="1">
        <v>151</v>
      </c>
      <c r="F76" s="1">
        <v>90</v>
      </c>
      <c r="G76" s="7">
        <v>0.35</v>
      </c>
      <c r="H76" s="1">
        <v>90</v>
      </c>
      <c r="I76" s="1" t="s">
        <v>40</v>
      </c>
      <c r="J76" s="1"/>
      <c r="K76" s="1">
        <v>159</v>
      </c>
      <c r="L76" s="1">
        <f t="shared" si="22"/>
        <v>-8</v>
      </c>
      <c r="M76" s="1"/>
      <c r="N76" s="1"/>
      <c r="O76" s="1">
        <v>0</v>
      </c>
      <c r="P76" s="1"/>
      <c r="Q76" s="1"/>
      <c r="R76" s="1"/>
      <c r="S76" s="1">
        <v>71.200000000000102</v>
      </c>
      <c r="T76" s="1">
        <f t="shared" si="23"/>
        <v>30.2</v>
      </c>
      <c r="U76" s="5">
        <f t="shared" si="25"/>
        <v>201.19999999999987</v>
      </c>
      <c r="V76" s="5">
        <f t="shared" si="30"/>
        <v>291.79999999999984</v>
      </c>
      <c r="W76" s="1"/>
      <c r="X76" s="1">
        <f t="shared" si="27"/>
        <v>14.999999999999998</v>
      </c>
      <c r="Y76" s="1">
        <f t="shared" si="24"/>
        <v>5.3377483443708647</v>
      </c>
      <c r="Z76" s="1">
        <v>21.8</v>
      </c>
      <c r="AA76" s="1">
        <v>25.6</v>
      </c>
      <c r="AB76" s="1">
        <v>22</v>
      </c>
      <c r="AC76" s="1">
        <v>30.2</v>
      </c>
      <c r="AD76" s="1">
        <v>31</v>
      </c>
      <c r="AE76" s="1">
        <v>18.600000000000001</v>
      </c>
      <c r="AF76" s="1">
        <v>26.4</v>
      </c>
      <c r="AG76" s="1">
        <v>40</v>
      </c>
      <c r="AH76" s="1">
        <v>36.4</v>
      </c>
      <c r="AI76" s="1">
        <v>27.2</v>
      </c>
      <c r="AJ76" s="1"/>
      <c r="AK76" s="1">
        <f t="shared" si="28"/>
        <v>102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9" t="s">
        <v>119</v>
      </c>
      <c r="B77" s="9" t="s">
        <v>46</v>
      </c>
      <c r="C77" s="9"/>
      <c r="D77" s="9"/>
      <c r="E77" s="9"/>
      <c r="F77" s="9"/>
      <c r="G77" s="10">
        <v>0</v>
      </c>
      <c r="H77" s="9"/>
      <c r="I77" s="9" t="s">
        <v>40</v>
      </c>
      <c r="J77" s="9"/>
      <c r="K77" s="9">
        <v>16</v>
      </c>
      <c r="L77" s="9">
        <f t="shared" si="22"/>
        <v>-16</v>
      </c>
      <c r="M77" s="9"/>
      <c r="N77" s="9"/>
      <c r="O77" s="9">
        <v>0</v>
      </c>
      <c r="P77" s="9"/>
      <c r="Q77" s="9"/>
      <c r="R77" s="9"/>
      <c r="S77" s="9">
        <v>0</v>
      </c>
      <c r="T77" s="9">
        <f t="shared" si="23"/>
        <v>0</v>
      </c>
      <c r="U77" s="11"/>
      <c r="V77" s="5">
        <f t="shared" si="29"/>
        <v>0</v>
      </c>
      <c r="W77" s="9"/>
      <c r="X77" s="1" t="e">
        <f t="shared" si="27"/>
        <v>#DIV/0!</v>
      </c>
      <c r="Y77" s="9" t="e">
        <f t="shared" si="24"/>
        <v>#DIV/0!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 t="s">
        <v>47</v>
      </c>
      <c r="AK77" s="1">
        <f t="shared" si="28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120</v>
      </c>
      <c r="B78" s="1" t="s">
        <v>46</v>
      </c>
      <c r="C78" s="1">
        <v>21</v>
      </c>
      <c r="D78" s="1">
        <v>128</v>
      </c>
      <c r="E78" s="1">
        <v>41</v>
      </c>
      <c r="F78" s="1">
        <v>109</v>
      </c>
      <c r="G78" s="7">
        <v>0.6</v>
      </c>
      <c r="H78" s="1">
        <v>70</v>
      </c>
      <c r="I78" s="1" t="s">
        <v>40</v>
      </c>
      <c r="J78" s="1"/>
      <c r="K78" s="1">
        <v>34</v>
      </c>
      <c r="L78" s="1">
        <f t="shared" si="22"/>
        <v>7</v>
      </c>
      <c r="M78" s="1"/>
      <c r="N78" s="1"/>
      <c r="O78" s="1">
        <v>87.6</v>
      </c>
      <c r="P78" s="1"/>
      <c r="Q78" s="1"/>
      <c r="R78" s="1"/>
      <c r="S78" s="1">
        <v>0</v>
      </c>
      <c r="T78" s="1">
        <f t="shared" si="23"/>
        <v>8.1999999999999993</v>
      </c>
      <c r="U78" s="5"/>
      <c r="V78" s="5">
        <f t="shared" si="29"/>
        <v>0</v>
      </c>
      <c r="W78" s="1"/>
      <c r="X78" s="1">
        <f t="shared" si="27"/>
        <v>23.975609756097562</v>
      </c>
      <c r="Y78" s="1">
        <f t="shared" si="24"/>
        <v>23.975609756097562</v>
      </c>
      <c r="Z78" s="1">
        <v>3</v>
      </c>
      <c r="AA78" s="1">
        <v>16</v>
      </c>
      <c r="AB78" s="1">
        <v>20.2</v>
      </c>
      <c r="AC78" s="1">
        <v>17.399999999999999</v>
      </c>
      <c r="AD78" s="1">
        <v>11.6</v>
      </c>
      <c r="AE78" s="1">
        <v>2</v>
      </c>
      <c r="AF78" s="1">
        <v>8.6</v>
      </c>
      <c r="AG78" s="1">
        <v>13.6</v>
      </c>
      <c r="AH78" s="1">
        <v>13.8</v>
      </c>
      <c r="AI78" s="1">
        <v>18.2</v>
      </c>
      <c r="AJ78" s="1"/>
      <c r="AK78" s="1">
        <f t="shared" si="28"/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121</v>
      </c>
      <c r="B79" s="1" t="s">
        <v>46</v>
      </c>
      <c r="C79" s="1">
        <v>63</v>
      </c>
      <c r="D79" s="1"/>
      <c r="E79" s="1">
        <v>49</v>
      </c>
      <c r="F79" s="1">
        <v>14</v>
      </c>
      <c r="G79" s="7">
        <v>0.33</v>
      </c>
      <c r="H79" s="1">
        <v>40</v>
      </c>
      <c r="I79" s="1" t="s">
        <v>40</v>
      </c>
      <c r="J79" s="1"/>
      <c r="K79" s="1">
        <v>49</v>
      </c>
      <c r="L79" s="1">
        <f t="shared" si="22"/>
        <v>0</v>
      </c>
      <c r="M79" s="1"/>
      <c r="N79" s="1"/>
      <c r="O79" s="1">
        <v>14.60000000000001</v>
      </c>
      <c r="P79" s="1"/>
      <c r="Q79" s="1"/>
      <c r="R79" s="1"/>
      <c r="S79" s="1">
        <v>0</v>
      </c>
      <c r="T79" s="1">
        <f t="shared" si="23"/>
        <v>9.8000000000000007</v>
      </c>
      <c r="U79" s="5">
        <f>10*T79-S79-R79-Q79-P79-O79-F79+W79</f>
        <v>69.399999999999991</v>
      </c>
      <c r="V79" s="5">
        <f t="shared" ref="V79:V80" si="31">T79*($V$1-Y79)</f>
        <v>118.4</v>
      </c>
      <c r="W79" s="1"/>
      <c r="X79" s="1">
        <f t="shared" si="27"/>
        <v>14.999999999999998</v>
      </c>
      <c r="Y79" s="1">
        <f t="shared" si="24"/>
        <v>2.9183673469387763</v>
      </c>
      <c r="Z79" s="1">
        <v>10.8</v>
      </c>
      <c r="AA79" s="1">
        <v>16.2</v>
      </c>
      <c r="AB79" s="1">
        <v>8.8000000000000007</v>
      </c>
      <c r="AC79" s="1">
        <v>5.4</v>
      </c>
      <c r="AD79" s="1">
        <v>11.6</v>
      </c>
      <c r="AE79" s="1">
        <v>9</v>
      </c>
      <c r="AF79" s="1">
        <v>16.2</v>
      </c>
      <c r="AG79" s="1">
        <v>13.4</v>
      </c>
      <c r="AH79" s="1">
        <v>10</v>
      </c>
      <c r="AI79" s="1">
        <v>8.4</v>
      </c>
      <c r="AJ79" s="1"/>
      <c r="AK79" s="1">
        <f t="shared" si="28"/>
        <v>39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122</v>
      </c>
      <c r="B80" s="1" t="s">
        <v>46</v>
      </c>
      <c r="C80" s="1">
        <v>89</v>
      </c>
      <c r="D80" s="1">
        <v>12</v>
      </c>
      <c r="E80" s="1">
        <v>36</v>
      </c>
      <c r="F80" s="1">
        <v>64</v>
      </c>
      <c r="G80" s="7">
        <v>0.4</v>
      </c>
      <c r="H80" s="1">
        <v>55</v>
      </c>
      <c r="I80" s="1" t="s">
        <v>40</v>
      </c>
      <c r="J80" s="1"/>
      <c r="K80" s="1">
        <v>44</v>
      </c>
      <c r="L80" s="1">
        <f t="shared" si="22"/>
        <v>-8</v>
      </c>
      <c r="M80" s="1"/>
      <c r="N80" s="1"/>
      <c r="O80" s="1">
        <v>0</v>
      </c>
      <c r="P80" s="1"/>
      <c r="Q80" s="1"/>
      <c r="R80" s="1"/>
      <c r="S80" s="1">
        <v>0</v>
      </c>
      <c r="T80" s="1">
        <f t="shared" si="23"/>
        <v>7.2</v>
      </c>
      <c r="U80" s="5">
        <f t="shared" ref="U80" si="32">12*T80-S80-R80-Q80-P80-O80-F80+W80</f>
        <v>22.400000000000006</v>
      </c>
      <c r="V80" s="5">
        <f t="shared" si="31"/>
        <v>44</v>
      </c>
      <c r="W80" s="1"/>
      <c r="X80" s="1">
        <f t="shared" si="27"/>
        <v>15</v>
      </c>
      <c r="Y80" s="1">
        <f t="shared" si="24"/>
        <v>8.8888888888888893</v>
      </c>
      <c r="Z80" s="1">
        <v>6</v>
      </c>
      <c r="AA80" s="1">
        <v>7.2</v>
      </c>
      <c r="AB80" s="1">
        <v>5.8</v>
      </c>
      <c r="AC80" s="1">
        <v>10.4</v>
      </c>
      <c r="AD80" s="1">
        <v>12.2</v>
      </c>
      <c r="AE80" s="1">
        <v>7.2</v>
      </c>
      <c r="AF80" s="1">
        <v>7.2</v>
      </c>
      <c r="AG80" s="1">
        <v>9.4</v>
      </c>
      <c r="AH80" s="1">
        <v>9</v>
      </c>
      <c r="AI80" s="1">
        <v>4.2</v>
      </c>
      <c r="AJ80" s="1"/>
      <c r="AK80" s="1">
        <f t="shared" si="28"/>
        <v>18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123</v>
      </c>
      <c r="B81" s="1" t="s">
        <v>46</v>
      </c>
      <c r="C81" s="1">
        <v>11</v>
      </c>
      <c r="D81" s="1">
        <v>12</v>
      </c>
      <c r="E81" s="1">
        <v>7</v>
      </c>
      <c r="F81" s="1">
        <v>19</v>
      </c>
      <c r="G81" s="7">
        <v>0.35</v>
      </c>
      <c r="H81" s="1">
        <v>40</v>
      </c>
      <c r="I81" s="1" t="s">
        <v>40</v>
      </c>
      <c r="J81" s="1"/>
      <c r="K81" s="1">
        <v>8</v>
      </c>
      <c r="L81" s="1">
        <f t="shared" si="22"/>
        <v>-1</v>
      </c>
      <c r="M81" s="1"/>
      <c r="N81" s="1"/>
      <c r="O81" s="1">
        <v>46.599999999999987</v>
      </c>
      <c r="P81" s="1"/>
      <c r="Q81" s="1"/>
      <c r="R81" s="1"/>
      <c r="S81" s="1">
        <v>0</v>
      </c>
      <c r="T81" s="1">
        <f t="shared" si="23"/>
        <v>1.4</v>
      </c>
      <c r="U81" s="5"/>
      <c r="V81" s="5">
        <f t="shared" si="29"/>
        <v>0</v>
      </c>
      <c r="W81" s="1"/>
      <c r="X81" s="1">
        <f t="shared" si="27"/>
        <v>46.857142857142854</v>
      </c>
      <c r="Y81" s="1">
        <f t="shared" si="24"/>
        <v>46.857142857142854</v>
      </c>
      <c r="Z81" s="1">
        <v>4</v>
      </c>
      <c r="AA81" s="1">
        <v>6.8</v>
      </c>
      <c r="AB81" s="1">
        <v>6.8</v>
      </c>
      <c r="AC81" s="1">
        <v>4.4000000000000004</v>
      </c>
      <c r="AD81" s="1">
        <v>3.8</v>
      </c>
      <c r="AE81" s="1">
        <v>4.8</v>
      </c>
      <c r="AF81" s="1">
        <v>5</v>
      </c>
      <c r="AG81" s="1">
        <v>5.8</v>
      </c>
      <c r="AH81" s="1">
        <v>6.6</v>
      </c>
      <c r="AI81" s="1">
        <v>7.4</v>
      </c>
      <c r="AJ81" s="1"/>
      <c r="AK81" s="1">
        <f t="shared" si="28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124</v>
      </c>
      <c r="B82" s="1" t="s">
        <v>46</v>
      </c>
      <c r="C82" s="1">
        <v>5</v>
      </c>
      <c r="D82" s="1">
        <v>240</v>
      </c>
      <c r="E82" s="1">
        <v>28</v>
      </c>
      <c r="F82" s="1">
        <v>216</v>
      </c>
      <c r="G82" s="7">
        <v>0.35</v>
      </c>
      <c r="H82" s="1">
        <v>45</v>
      </c>
      <c r="I82" s="1" t="s">
        <v>40</v>
      </c>
      <c r="J82" s="1"/>
      <c r="K82" s="1">
        <v>35</v>
      </c>
      <c r="L82" s="1">
        <f t="shared" si="22"/>
        <v>-7</v>
      </c>
      <c r="M82" s="1"/>
      <c r="N82" s="1"/>
      <c r="O82" s="1">
        <v>0</v>
      </c>
      <c r="P82" s="1"/>
      <c r="Q82" s="1"/>
      <c r="R82" s="1"/>
      <c r="S82" s="1">
        <v>0</v>
      </c>
      <c r="T82" s="1">
        <f t="shared" si="23"/>
        <v>5.6</v>
      </c>
      <c r="U82" s="5"/>
      <c r="V82" s="5">
        <f t="shared" si="29"/>
        <v>0</v>
      </c>
      <c r="W82" s="1"/>
      <c r="X82" s="1">
        <f t="shared" si="27"/>
        <v>38.571428571428577</v>
      </c>
      <c r="Y82" s="1">
        <f t="shared" si="24"/>
        <v>38.571428571428577</v>
      </c>
      <c r="Z82" s="1">
        <v>14.8</v>
      </c>
      <c r="AA82" s="1">
        <v>33</v>
      </c>
      <c r="AB82" s="1">
        <v>26</v>
      </c>
      <c r="AC82" s="1">
        <v>36.6</v>
      </c>
      <c r="AD82" s="1">
        <v>33.4</v>
      </c>
      <c r="AE82" s="1">
        <v>18.8</v>
      </c>
      <c r="AF82" s="1">
        <v>31.2</v>
      </c>
      <c r="AG82" s="1">
        <v>21.6</v>
      </c>
      <c r="AH82" s="1">
        <v>22.6</v>
      </c>
      <c r="AI82" s="1">
        <v>44.8</v>
      </c>
      <c r="AJ82" s="1"/>
      <c r="AK82" s="1">
        <f t="shared" si="28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9" t="s">
        <v>125</v>
      </c>
      <c r="B83" s="9" t="s">
        <v>46</v>
      </c>
      <c r="C83" s="9"/>
      <c r="D83" s="9"/>
      <c r="E83" s="9"/>
      <c r="F83" s="9"/>
      <c r="G83" s="10">
        <v>0</v>
      </c>
      <c r="H83" s="9"/>
      <c r="I83" s="9" t="s">
        <v>40</v>
      </c>
      <c r="J83" s="9"/>
      <c r="K83" s="9"/>
      <c r="L83" s="9">
        <f t="shared" si="22"/>
        <v>0</v>
      </c>
      <c r="M83" s="9"/>
      <c r="N83" s="9"/>
      <c r="O83" s="9">
        <v>0</v>
      </c>
      <c r="P83" s="9"/>
      <c r="Q83" s="9"/>
      <c r="R83" s="9"/>
      <c r="S83" s="9">
        <v>0</v>
      </c>
      <c r="T83" s="9">
        <f t="shared" si="23"/>
        <v>0</v>
      </c>
      <c r="U83" s="11"/>
      <c r="V83" s="5">
        <f t="shared" si="29"/>
        <v>0</v>
      </c>
      <c r="W83" s="9"/>
      <c r="X83" s="1" t="e">
        <f t="shared" si="27"/>
        <v>#DIV/0!</v>
      </c>
      <c r="Y83" s="9" t="e">
        <f t="shared" si="24"/>
        <v>#DIV/0!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 t="s">
        <v>47</v>
      </c>
      <c r="AK83" s="1">
        <f t="shared" si="28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9" t="s">
        <v>126</v>
      </c>
      <c r="B84" s="9" t="s">
        <v>39</v>
      </c>
      <c r="C84" s="9"/>
      <c r="D84" s="9"/>
      <c r="E84" s="9"/>
      <c r="F84" s="9"/>
      <c r="G84" s="10">
        <v>0</v>
      </c>
      <c r="H84" s="9"/>
      <c r="I84" s="9" t="s">
        <v>40</v>
      </c>
      <c r="J84" s="9"/>
      <c r="K84" s="9"/>
      <c r="L84" s="9">
        <f t="shared" si="22"/>
        <v>0</v>
      </c>
      <c r="M84" s="9"/>
      <c r="N84" s="9"/>
      <c r="O84" s="9">
        <v>0</v>
      </c>
      <c r="P84" s="9"/>
      <c r="Q84" s="9"/>
      <c r="R84" s="9"/>
      <c r="S84" s="9">
        <v>0</v>
      </c>
      <c r="T84" s="9">
        <f t="shared" si="23"/>
        <v>0</v>
      </c>
      <c r="U84" s="11"/>
      <c r="V84" s="5">
        <f t="shared" si="29"/>
        <v>0</v>
      </c>
      <c r="W84" s="9"/>
      <c r="X84" s="1" t="e">
        <f t="shared" si="27"/>
        <v>#DIV/0!</v>
      </c>
      <c r="Y84" s="9" t="e">
        <f t="shared" si="24"/>
        <v>#DIV/0!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 t="s">
        <v>47</v>
      </c>
      <c r="AK84" s="1">
        <f t="shared" si="28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9" t="s">
        <v>127</v>
      </c>
      <c r="B85" s="9" t="s">
        <v>39</v>
      </c>
      <c r="C85" s="9"/>
      <c r="D85" s="9"/>
      <c r="E85" s="9"/>
      <c r="F85" s="9"/>
      <c r="G85" s="10">
        <v>0</v>
      </c>
      <c r="H85" s="9"/>
      <c r="I85" s="9" t="s">
        <v>40</v>
      </c>
      <c r="J85" s="9"/>
      <c r="K85" s="9"/>
      <c r="L85" s="9">
        <f t="shared" si="22"/>
        <v>0</v>
      </c>
      <c r="M85" s="9"/>
      <c r="N85" s="9"/>
      <c r="O85" s="9">
        <v>0</v>
      </c>
      <c r="P85" s="9"/>
      <c r="Q85" s="9"/>
      <c r="R85" s="9"/>
      <c r="S85" s="9">
        <v>0</v>
      </c>
      <c r="T85" s="9">
        <f t="shared" si="23"/>
        <v>0</v>
      </c>
      <c r="U85" s="11"/>
      <c r="V85" s="5">
        <f t="shared" si="29"/>
        <v>0</v>
      </c>
      <c r="W85" s="9"/>
      <c r="X85" s="1" t="e">
        <f t="shared" si="27"/>
        <v>#DIV/0!</v>
      </c>
      <c r="Y85" s="9" t="e">
        <f t="shared" si="24"/>
        <v>#DIV/0!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 t="s">
        <v>47</v>
      </c>
      <c r="AK85" s="1">
        <f t="shared" si="28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128</v>
      </c>
      <c r="B86" s="1" t="s">
        <v>39</v>
      </c>
      <c r="C86" s="1">
        <v>341.673</v>
      </c>
      <c r="D86" s="1">
        <v>134.042</v>
      </c>
      <c r="E86" s="1">
        <v>100.345</v>
      </c>
      <c r="F86" s="1">
        <v>370.33300000000003</v>
      </c>
      <c r="G86" s="7">
        <v>1</v>
      </c>
      <c r="H86" s="1">
        <v>60</v>
      </c>
      <c r="I86" s="1" t="s">
        <v>40</v>
      </c>
      <c r="J86" s="1"/>
      <c r="K86" s="1">
        <v>101.2</v>
      </c>
      <c r="L86" s="1">
        <f t="shared" si="22"/>
        <v>-0.85500000000000398</v>
      </c>
      <c r="M86" s="1"/>
      <c r="N86" s="1"/>
      <c r="O86" s="1">
        <v>0</v>
      </c>
      <c r="P86" s="1"/>
      <c r="Q86" s="1"/>
      <c r="R86" s="1"/>
      <c r="S86" s="1">
        <v>0</v>
      </c>
      <c r="T86" s="1">
        <f t="shared" si="23"/>
        <v>20.068999999999999</v>
      </c>
      <c r="U86" s="5"/>
      <c r="V86" s="5">
        <f t="shared" si="29"/>
        <v>0</v>
      </c>
      <c r="W86" s="1"/>
      <c r="X86" s="1">
        <f t="shared" si="27"/>
        <v>18.452987194180082</v>
      </c>
      <c r="Y86" s="1">
        <f t="shared" si="24"/>
        <v>18.452987194180082</v>
      </c>
      <c r="Z86" s="1">
        <v>23.865600000000001</v>
      </c>
      <c r="AA86" s="1">
        <v>32.620199999999997</v>
      </c>
      <c r="AB86" s="1">
        <v>28.968800000000002</v>
      </c>
      <c r="AC86" s="1">
        <v>43.807400000000001</v>
      </c>
      <c r="AD86" s="1">
        <v>49.8904</v>
      </c>
      <c r="AE86" s="1">
        <v>45.323</v>
      </c>
      <c r="AF86" s="1">
        <v>52.400599999999997</v>
      </c>
      <c r="AG86" s="1">
        <v>49.375999999999998</v>
      </c>
      <c r="AH86" s="1">
        <v>39.700599999999987</v>
      </c>
      <c r="AI86" s="1">
        <v>34.451799999999999</v>
      </c>
      <c r="AJ86" s="1"/>
      <c r="AK86" s="1">
        <f t="shared" si="28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9" t="s">
        <v>129</v>
      </c>
      <c r="B87" s="9" t="s">
        <v>46</v>
      </c>
      <c r="C87" s="9"/>
      <c r="D87" s="9"/>
      <c r="E87" s="9"/>
      <c r="F87" s="9"/>
      <c r="G87" s="10">
        <v>0</v>
      </c>
      <c r="H87" s="9"/>
      <c r="I87" s="9" t="s">
        <v>40</v>
      </c>
      <c r="J87" s="9"/>
      <c r="K87" s="9"/>
      <c r="L87" s="9">
        <f t="shared" si="22"/>
        <v>0</v>
      </c>
      <c r="M87" s="9"/>
      <c r="N87" s="9"/>
      <c r="O87" s="9">
        <v>0</v>
      </c>
      <c r="P87" s="9"/>
      <c r="Q87" s="9"/>
      <c r="R87" s="9"/>
      <c r="S87" s="9">
        <v>0</v>
      </c>
      <c r="T87" s="9">
        <f t="shared" si="23"/>
        <v>0</v>
      </c>
      <c r="U87" s="11"/>
      <c r="V87" s="5">
        <f t="shared" si="29"/>
        <v>0</v>
      </c>
      <c r="W87" s="9"/>
      <c r="X87" s="1" t="e">
        <f t="shared" si="27"/>
        <v>#DIV/0!</v>
      </c>
      <c r="Y87" s="9" t="e">
        <f t="shared" si="24"/>
        <v>#DIV/0!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 t="s">
        <v>47</v>
      </c>
      <c r="AK87" s="1">
        <f t="shared" si="28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130</v>
      </c>
      <c r="B88" s="1" t="s">
        <v>39</v>
      </c>
      <c r="C88" s="1">
        <v>2313.4259999999999</v>
      </c>
      <c r="D88" s="1">
        <v>1167.4069999999999</v>
      </c>
      <c r="E88" s="1">
        <v>924.96299999999997</v>
      </c>
      <c r="F88" s="1">
        <v>2396.8629999999998</v>
      </c>
      <c r="G88" s="7">
        <v>1</v>
      </c>
      <c r="H88" s="1">
        <v>60</v>
      </c>
      <c r="I88" s="1" t="s">
        <v>40</v>
      </c>
      <c r="J88" s="1"/>
      <c r="K88" s="1">
        <v>1042.3900000000001</v>
      </c>
      <c r="L88" s="1">
        <f t="shared" si="22"/>
        <v>-117.42700000000013</v>
      </c>
      <c r="M88" s="1"/>
      <c r="N88" s="1"/>
      <c r="O88" s="1">
        <v>0</v>
      </c>
      <c r="P88" s="1"/>
      <c r="Q88" s="1"/>
      <c r="R88" s="1"/>
      <c r="S88" s="1">
        <v>0</v>
      </c>
      <c r="T88" s="1">
        <f t="shared" si="23"/>
        <v>184.99259999999998</v>
      </c>
      <c r="U88" s="5"/>
      <c r="V88" s="5">
        <v>900</v>
      </c>
      <c r="W88" s="1"/>
      <c r="X88" s="1">
        <f t="shared" si="27"/>
        <v>17.821593944838874</v>
      </c>
      <c r="Y88" s="1">
        <f t="shared" si="24"/>
        <v>12.956534477595321</v>
      </c>
      <c r="Z88" s="1">
        <v>192.30119999999999</v>
      </c>
      <c r="AA88" s="1">
        <v>242.393</v>
      </c>
      <c r="AB88" s="1">
        <v>281.09039999999999</v>
      </c>
      <c r="AC88" s="1">
        <v>332.67239999999998</v>
      </c>
      <c r="AD88" s="1">
        <v>305.48419999999999</v>
      </c>
      <c r="AE88" s="1">
        <v>286.5274</v>
      </c>
      <c r="AF88" s="1">
        <v>307.87279999999998</v>
      </c>
      <c r="AG88" s="1">
        <v>311.91879999999998</v>
      </c>
      <c r="AH88" s="1">
        <v>320.28199999999998</v>
      </c>
      <c r="AI88" s="1">
        <v>299.32</v>
      </c>
      <c r="AJ88" s="1"/>
      <c r="AK88" s="1">
        <f t="shared" si="28"/>
        <v>900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131</v>
      </c>
      <c r="B89" s="1" t="s">
        <v>39</v>
      </c>
      <c r="C89" s="1">
        <v>1527.318</v>
      </c>
      <c r="D89" s="1">
        <v>995.221</v>
      </c>
      <c r="E89" s="1">
        <v>564.41600000000005</v>
      </c>
      <c r="F89" s="1">
        <v>1877.32</v>
      </c>
      <c r="G89" s="7">
        <v>1</v>
      </c>
      <c r="H89" s="1">
        <v>60</v>
      </c>
      <c r="I89" s="1" t="s">
        <v>40</v>
      </c>
      <c r="J89" s="1"/>
      <c r="K89" s="1">
        <v>647.10500000000002</v>
      </c>
      <c r="L89" s="1">
        <f t="shared" si="22"/>
        <v>-82.688999999999965</v>
      </c>
      <c r="M89" s="1"/>
      <c r="N89" s="1"/>
      <c r="O89" s="1">
        <v>0</v>
      </c>
      <c r="P89" s="1"/>
      <c r="Q89" s="1">
        <v>438.29765999999989</v>
      </c>
      <c r="R89" s="1">
        <v>400</v>
      </c>
      <c r="S89" s="1">
        <v>0</v>
      </c>
      <c r="T89" s="1">
        <f t="shared" si="23"/>
        <v>112.88320000000002</v>
      </c>
      <c r="U89" s="5"/>
      <c r="V89" s="5">
        <f t="shared" si="29"/>
        <v>0</v>
      </c>
      <c r="W89" s="1"/>
      <c r="X89" s="1">
        <f t="shared" si="27"/>
        <v>24.056880563272475</v>
      </c>
      <c r="Y89" s="1">
        <f t="shared" si="24"/>
        <v>24.056880563272475</v>
      </c>
      <c r="Z89" s="1">
        <v>123.03279999999999</v>
      </c>
      <c r="AA89" s="1">
        <v>190.5642</v>
      </c>
      <c r="AB89" s="1">
        <v>220.67740000000001</v>
      </c>
      <c r="AC89" s="1">
        <v>250.80779999999999</v>
      </c>
      <c r="AD89" s="1">
        <v>213.42420000000001</v>
      </c>
      <c r="AE89" s="1">
        <v>191.51259999999999</v>
      </c>
      <c r="AF89" s="1">
        <v>214.91640000000001</v>
      </c>
      <c r="AG89" s="1">
        <v>247.22239999999999</v>
      </c>
      <c r="AH89" s="1">
        <v>266.541</v>
      </c>
      <c r="AI89" s="1">
        <v>299.10000000000002</v>
      </c>
      <c r="AJ89" s="17" t="s">
        <v>142</v>
      </c>
      <c r="AK89" s="1">
        <f t="shared" si="28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132</v>
      </c>
      <c r="B90" s="1" t="s">
        <v>39</v>
      </c>
      <c r="C90" s="1">
        <v>2202.221</v>
      </c>
      <c r="D90" s="1">
        <v>1879.741</v>
      </c>
      <c r="E90" s="1">
        <v>1376.2260000000001</v>
      </c>
      <c r="F90" s="1">
        <v>2543.6480000000001</v>
      </c>
      <c r="G90" s="7">
        <v>1</v>
      </c>
      <c r="H90" s="1">
        <v>60</v>
      </c>
      <c r="I90" s="1" t="s">
        <v>40</v>
      </c>
      <c r="J90" s="1"/>
      <c r="K90" s="1">
        <v>1564.335</v>
      </c>
      <c r="L90" s="1">
        <f t="shared" si="22"/>
        <v>-188.10899999999992</v>
      </c>
      <c r="M90" s="1"/>
      <c r="N90" s="1"/>
      <c r="O90" s="1">
        <v>0</v>
      </c>
      <c r="P90" s="1"/>
      <c r="Q90" s="1">
        <v>814.12087999999994</v>
      </c>
      <c r="R90" s="1">
        <v>1000</v>
      </c>
      <c r="S90" s="1">
        <v>492.90262599999909</v>
      </c>
      <c r="T90" s="1">
        <f t="shared" si="23"/>
        <v>275.24520000000001</v>
      </c>
      <c r="U90" s="5"/>
      <c r="V90" s="5">
        <v>600</v>
      </c>
      <c r="W90" s="1"/>
      <c r="X90" s="1">
        <f t="shared" si="27"/>
        <v>19.802966613041747</v>
      </c>
      <c r="Y90" s="1">
        <f t="shared" si="24"/>
        <v>17.62309208661949</v>
      </c>
      <c r="Z90" s="1">
        <v>319.42960000000011</v>
      </c>
      <c r="AA90" s="1">
        <v>353.96559999999999</v>
      </c>
      <c r="AB90" s="1">
        <v>357.76280000000003</v>
      </c>
      <c r="AC90" s="1">
        <v>414.20119999999997</v>
      </c>
      <c r="AD90" s="1">
        <v>411.19539999999989</v>
      </c>
      <c r="AE90" s="1">
        <v>457.66879999999998</v>
      </c>
      <c r="AF90" s="1">
        <v>475.00880000000001</v>
      </c>
      <c r="AG90" s="1">
        <v>401.34320000000002</v>
      </c>
      <c r="AH90" s="1">
        <v>381.37920000000003</v>
      </c>
      <c r="AI90" s="1">
        <v>392.51780000000002</v>
      </c>
      <c r="AJ90" s="1"/>
      <c r="AK90" s="1">
        <f t="shared" si="28"/>
        <v>600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9" t="s">
        <v>133</v>
      </c>
      <c r="B91" s="9" t="s">
        <v>39</v>
      </c>
      <c r="C91" s="9"/>
      <c r="D91" s="9"/>
      <c r="E91" s="9"/>
      <c r="F91" s="9"/>
      <c r="G91" s="10">
        <v>0</v>
      </c>
      <c r="H91" s="9"/>
      <c r="I91" s="9" t="s">
        <v>40</v>
      </c>
      <c r="J91" s="9"/>
      <c r="K91" s="9"/>
      <c r="L91" s="9">
        <f t="shared" si="22"/>
        <v>0</v>
      </c>
      <c r="M91" s="9"/>
      <c r="N91" s="9"/>
      <c r="O91" s="9">
        <v>0</v>
      </c>
      <c r="P91" s="9"/>
      <c r="Q91" s="9"/>
      <c r="R91" s="9"/>
      <c r="S91" s="9">
        <v>0</v>
      </c>
      <c r="T91" s="9">
        <f t="shared" si="23"/>
        <v>0</v>
      </c>
      <c r="U91" s="11"/>
      <c r="V91" s="5">
        <f t="shared" si="29"/>
        <v>0</v>
      </c>
      <c r="W91" s="9"/>
      <c r="X91" s="1" t="e">
        <f t="shared" si="27"/>
        <v>#DIV/0!</v>
      </c>
      <c r="Y91" s="9" t="e">
        <f t="shared" si="24"/>
        <v>#DIV/0!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 t="s">
        <v>47</v>
      </c>
      <c r="AK91" s="1">
        <f t="shared" si="28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134</v>
      </c>
      <c r="B92" s="1" t="s">
        <v>46</v>
      </c>
      <c r="C92" s="1">
        <v>37</v>
      </c>
      <c r="D92" s="1">
        <v>2</v>
      </c>
      <c r="E92" s="1">
        <v>27</v>
      </c>
      <c r="F92" s="1"/>
      <c r="G92" s="7">
        <v>0.3</v>
      </c>
      <c r="H92" s="1">
        <v>40</v>
      </c>
      <c r="I92" s="1" t="s">
        <v>40</v>
      </c>
      <c r="J92" s="1"/>
      <c r="K92" s="1">
        <v>45</v>
      </c>
      <c r="L92" s="1">
        <f t="shared" si="22"/>
        <v>-18</v>
      </c>
      <c r="M92" s="1"/>
      <c r="N92" s="1"/>
      <c r="O92" s="1">
        <v>162.19999999999999</v>
      </c>
      <c r="P92" s="1"/>
      <c r="Q92" s="1"/>
      <c r="R92" s="1"/>
      <c r="S92" s="1">
        <v>0</v>
      </c>
      <c r="T92" s="1">
        <f t="shared" si="23"/>
        <v>5.4</v>
      </c>
      <c r="U92" s="5"/>
      <c r="V92" s="5">
        <f t="shared" si="29"/>
        <v>0</v>
      </c>
      <c r="W92" s="1"/>
      <c r="X92" s="1">
        <f t="shared" si="27"/>
        <v>30.037037037037035</v>
      </c>
      <c r="Y92" s="1">
        <f t="shared" si="24"/>
        <v>30.037037037037035</v>
      </c>
      <c r="Z92" s="1">
        <v>12.2</v>
      </c>
      <c r="AA92" s="1">
        <v>28.4</v>
      </c>
      <c r="AB92" s="1">
        <v>31.2</v>
      </c>
      <c r="AC92" s="1">
        <v>25.6</v>
      </c>
      <c r="AD92" s="1">
        <v>17</v>
      </c>
      <c r="AE92" s="1">
        <v>10.199999999999999</v>
      </c>
      <c r="AF92" s="1">
        <v>23.4</v>
      </c>
      <c r="AG92" s="1">
        <v>31.2</v>
      </c>
      <c r="AH92" s="1">
        <v>28</v>
      </c>
      <c r="AI92" s="1">
        <v>15.6</v>
      </c>
      <c r="AJ92" s="1"/>
      <c r="AK92" s="1">
        <f t="shared" si="28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9" t="s">
        <v>135</v>
      </c>
      <c r="B93" s="9" t="s">
        <v>46</v>
      </c>
      <c r="C93" s="9"/>
      <c r="D93" s="9"/>
      <c r="E93" s="9"/>
      <c r="F93" s="9"/>
      <c r="G93" s="10">
        <v>0</v>
      </c>
      <c r="H93" s="9"/>
      <c r="I93" s="9" t="s">
        <v>40</v>
      </c>
      <c r="J93" s="9"/>
      <c r="K93" s="9"/>
      <c r="L93" s="9">
        <f t="shared" si="22"/>
        <v>0</v>
      </c>
      <c r="M93" s="9"/>
      <c r="N93" s="9"/>
      <c r="O93" s="9">
        <v>0</v>
      </c>
      <c r="P93" s="9"/>
      <c r="Q93" s="9"/>
      <c r="R93" s="9"/>
      <c r="S93" s="9">
        <v>0</v>
      </c>
      <c r="T93" s="9">
        <f t="shared" si="23"/>
        <v>0</v>
      </c>
      <c r="U93" s="11"/>
      <c r="V93" s="5">
        <f t="shared" si="29"/>
        <v>0</v>
      </c>
      <c r="W93" s="9"/>
      <c r="X93" s="1" t="e">
        <f t="shared" si="27"/>
        <v>#DIV/0!</v>
      </c>
      <c r="Y93" s="9" t="e">
        <f t="shared" si="24"/>
        <v>#DIV/0!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 t="s">
        <v>47</v>
      </c>
      <c r="AK93" s="1">
        <f t="shared" si="28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136</v>
      </c>
      <c r="B94" s="1" t="s">
        <v>46</v>
      </c>
      <c r="C94" s="1">
        <v>18</v>
      </c>
      <c r="D94" s="1">
        <v>57</v>
      </c>
      <c r="E94" s="1">
        <v>42</v>
      </c>
      <c r="F94" s="1">
        <v>33</v>
      </c>
      <c r="G94" s="7">
        <v>7.0000000000000007E-2</v>
      </c>
      <c r="H94" s="1">
        <v>90</v>
      </c>
      <c r="I94" s="1" t="s">
        <v>40</v>
      </c>
      <c r="J94" s="1"/>
      <c r="K94" s="1">
        <v>44</v>
      </c>
      <c r="L94" s="1">
        <f t="shared" si="22"/>
        <v>-2</v>
      </c>
      <c r="M94" s="1"/>
      <c r="N94" s="1"/>
      <c r="O94" s="1">
        <v>140.4</v>
      </c>
      <c r="P94" s="1"/>
      <c r="Q94" s="1"/>
      <c r="R94" s="1"/>
      <c r="S94" s="1">
        <v>42.400000000000027</v>
      </c>
      <c r="T94" s="1">
        <f t="shared" si="23"/>
        <v>8.4</v>
      </c>
      <c r="U94" s="5">
        <f>W94</f>
        <v>80</v>
      </c>
      <c r="V94" s="5">
        <f t="shared" si="29"/>
        <v>80</v>
      </c>
      <c r="W94" s="1">
        <f>VLOOKUP(A94,[1]Sheet!$A:$W,23,0)</f>
        <v>80</v>
      </c>
      <c r="X94" s="1">
        <f t="shared" si="27"/>
        <v>35.214285714285722</v>
      </c>
      <c r="Y94" s="1">
        <f t="shared" si="24"/>
        <v>25.690476190476193</v>
      </c>
      <c r="Z94" s="1">
        <v>10.8</v>
      </c>
      <c r="AA94" s="1">
        <v>19.600000000000001</v>
      </c>
      <c r="AB94" s="1">
        <v>20.399999999999999</v>
      </c>
      <c r="AC94" s="1">
        <v>13</v>
      </c>
      <c r="AD94" s="1">
        <v>11</v>
      </c>
      <c r="AE94" s="1">
        <v>13.2</v>
      </c>
      <c r="AF94" s="1">
        <v>16.399999999999999</v>
      </c>
      <c r="AG94" s="1">
        <v>17.2</v>
      </c>
      <c r="AH94" s="1">
        <v>14.8</v>
      </c>
      <c r="AI94" s="1">
        <v>11.8</v>
      </c>
      <c r="AJ94" s="1" t="s">
        <v>179</v>
      </c>
      <c r="AK94" s="1">
        <f t="shared" si="28"/>
        <v>6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137</v>
      </c>
      <c r="B95" s="1" t="s">
        <v>46</v>
      </c>
      <c r="C95" s="1">
        <v>81</v>
      </c>
      <c r="D95" s="1">
        <v>26</v>
      </c>
      <c r="E95" s="1">
        <v>89</v>
      </c>
      <c r="F95" s="1">
        <v>13</v>
      </c>
      <c r="G95" s="7">
        <v>7.0000000000000007E-2</v>
      </c>
      <c r="H95" s="1">
        <v>90</v>
      </c>
      <c r="I95" s="1" t="s">
        <v>40</v>
      </c>
      <c r="J95" s="1"/>
      <c r="K95" s="1">
        <v>92</v>
      </c>
      <c r="L95" s="1">
        <f t="shared" si="22"/>
        <v>-3</v>
      </c>
      <c r="M95" s="1"/>
      <c r="N95" s="1"/>
      <c r="O95" s="1">
        <v>34.800000000000011</v>
      </c>
      <c r="P95" s="1"/>
      <c r="Q95" s="1"/>
      <c r="R95" s="1"/>
      <c r="S95" s="1">
        <v>0</v>
      </c>
      <c r="T95" s="1">
        <f t="shared" si="23"/>
        <v>17.8</v>
      </c>
      <c r="U95" s="5">
        <f>10*T95-S95-R95-Q95-P95-O95-F95+W95</f>
        <v>210.2</v>
      </c>
      <c r="V95" s="5">
        <v>290</v>
      </c>
      <c r="W95" s="1">
        <f>VLOOKUP(A95,[1]Sheet!$A:$W,23,0)</f>
        <v>80</v>
      </c>
      <c r="X95" s="1">
        <f t="shared" si="27"/>
        <v>18.977528089887642</v>
      </c>
      <c r="Y95" s="1">
        <f t="shared" si="24"/>
        <v>2.6853932584269669</v>
      </c>
      <c r="Z95" s="1">
        <v>18.8</v>
      </c>
      <c r="AA95" s="1">
        <v>16.399999999999999</v>
      </c>
      <c r="AB95" s="1">
        <v>14</v>
      </c>
      <c r="AC95" s="1">
        <v>15</v>
      </c>
      <c r="AD95" s="1">
        <v>20.8</v>
      </c>
      <c r="AE95" s="1">
        <v>16.8</v>
      </c>
      <c r="AF95" s="1">
        <v>19.2</v>
      </c>
      <c r="AG95" s="1">
        <v>18</v>
      </c>
      <c r="AH95" s="1">
        <v>16</v>
      </c>
      <c r="AI95" s="1">
        <v>13</v>
      </c>
      <c r="AJ95" s="1" t="s">
        <v>179</v>
      </c>
      <c r="AK95" s="1">
        <f t="shared" si="28"/>
        <v>20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138</v>
      </c>
      <c r="B96" s="1" t="s">
        <v>46</v>
      </c>
      <c r="C96" s="1">
        <v>29</v>
      </c>
      <c r="D96" s="1">
        <v>24</v>
      </c>
      <c r="E96" s="1">
        <v>34</v>
      </c>
      <c r="F96" s="1">
        <v>16</v>
      </c>
      <c r="G96" s="7">
        <v>7.0000000000000007E-2</v>
      </c>
      <c r="H96" s="1">
        <v>90</v>
      </c>
      <c r="I96" s="1" t="s">
        <v>40</v>
      </c>
      <c r="J96" s="1"/>
      <c r="K96" s="1">
        <v>37</v>
      </c>
      <c r="L96" s="1">
        <f t="shared" si="22"/>
        <v>-3</v>
      </c>
      <c r="M96" s="1"/>
      <c r="N96" s="1"/>
      <c r="O96" s="1">
        <v>131.4</v>
      </c>
      <c r="P96" s="1"/>
      <c r="Q96" s="1"/>
      <c r="R96" s="1"/>
      <c r="S96" s="1">
        <v>61.8</v>
      </c>
      <c r="T96" s="1">
        <f t="shared" si="23"/>
        <v>6.8</v>
      </c>
      <c r="U96" s="5">
        <f>W96</f>
        <v>80</v>
      </c>
      <c r="V96" s="5">
        <f t="shared" si="29"/>
        <v>80</v>
      </c>
      <c r="W96" s="1">
        <f>VLOOKUP(A96,[1]Sheet!$A:$W,23,0)</f>
        <v>80</v>
      </c>
      <c r="X96" s="1">
        <f t="shared" si="27"/>
        <v>42.529411764705884</v>
      </c>
      <c r="Y96" s="1">
        <f t="shared" si="24"/>
        <v>30.764705882352942</v>
      </c>
      <c r="Z96" s="1">
        <v>10</v>
      </c>
      <c r="AA96" s="1">
        <v>18.399999999999999</v>
      </c>
      <c r="AB96" s="1">
        <v>16.399999999999999</v>
      </c>
      <c r="AC96" s="1">
        <v>10.199999999999999</v>
      </c>
      <c r="AD96" s="1">
        <v>12</v>
      </c>
      <c r="AE96" s="1">
        <v>10.6</v>
      </c>
      <c r="AF96" s="1">
        <v>11.6</v>
      </c>
      <c r="AG96" s="1">
        <v>15.6</v>
      </c>
      <c r="AH96" s="1">
        <v>13.8</v>
      </c>
      <c r="AI96" s="1">
        <v>10</v>
      </c>
      <c r="AJ96" s="1" t="s">
        <v>179</v>
      </c>
      <c r="AK96" s="1">
        <f t="shared" si="28"/>
        <v>6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9" t="s">
        <v>139</v>
      </c>
      <c r="B97" s="9" t="s">
        <v>46</v>
      </c>
      <c r="C97" s="9">
        <v>146</v>
      </c>
      <c r="D97" s="9">
        <v>6</v>
      </c>
      <c r="E97" s="9">
        <v>37</v>
      </c>
      <c r="F97" s="9">
        <v>108</v>
      </c>
      <c r="G97" s="10">
        <v>0</v>
      </c>
      <c r="H97" s="9">
        <v>90</v>
      </c>
      <c r="I97" s="9" t="s">
        <v>42</v>
      </c>
      <c r="J97" s="9"/>
      <c r="K97" s="9">
        <v>49</v>
      </c>
      <c r="L97" s="9">
        <f t="shared" si="22"/>
        <v>-12</v>
      </c>
      <c r="M97" s="9"/>
      <c r="N97" s="9"/>
      <c r="O97" s="9">
        <v>0</v>
      </c>
      <c r="P97" s="9"/>
      <c r="Q97" s="9"/>
      <c r="R97" s="9"/>
      <c r="S97" s="9">
        <v>0</v>
      </c>
      <c r="T97" s="9">
        <f t="shared" si="23"/>
        <v>7.4</v>
      </c>
      <c r="U97" s="11"/>
      <c r="V97" s="5">
        <f t="shared" si="29"/>
        <v>0</v>
      </c>
      <c r="W97" s="9"/>
      <c r="X97" s="1">
        <f t="shared" si="27"/>
        <v>14.594594594594595</v>
      </c>
      <c r="Y97" s="9">
        <f t="shared" si="24"/>
        <v>14.594594594594595</v>
      </c>
      <c r="Z97" s="9">
        <v>7.4</v>
      </c>
      <c r="AA97" s="9">
        <v>8.6</v>
      </c>
      <c r="AB97" s="9">
        <v>12</v>
      </c>
      <c r="AC97" s="9">
        <v>14.4</v>
      </c>
      <c r="AD97" s="9">
        <v>13.8</v>
      </c>
      <c r="AE97" s="9">
        <v>14.8</v>
      </c>
      <c r="AF97" s="9">
        <v>16.2</v>
      </c>
      <c r="AG97" s="9">
        <v>17</v>
      </c>
      <c r="AH97" s="9">
        <v>15.6</v>
      </c>
      <c r="AI97" s="9">
        <v>15.4</v>
      </c>
      <c r="AJ97" s="9" t="s">
        <v>58</v>
      </c>
      <c r="AK97" s="1">
        <f t="shared" si="28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9" t="s">
        <v>140</v>
      </c>
      <c r="B98" s="9" t="s">
        <v>46</v>
      </c>
      <c r="C98" s="9"/>
      <c r="D98" s="9"/>
      <c r="E98" s="9"/>
      <c r="F98" s="9"/>
      <c r="G98" s="10">
        <v>0</v>
      </c>
      <c r="H98" s="9"/>
      <c r="I98" s="9" t="s">
        <v>40</v>
      </c>
      <c r="J98" s="9"/>
      <c r="K98" s="9"/>
      <c r="L98" s="9">
        <f t="shared" si="22"/>
        <v>0</v>
      </c>
      <c r="M98" s="9"/>
      <c r="N98" s="9"/>
      <c r="O98" s="9">
        <v>0</v>
      </c>
      <c r="P98" s="9"/>
      <c r="Q98" s="9"/>
      <c r="R98" s="9"/>
      <c r="S98" s="9">
        <v>0</v>
      </c>
      <c r="T98" s="9">
        <f t="shared" si="23"/>
        <v>0</v>
      </c>
      <c r="U98" s="11"/>
      <c r="V98" s="5">
        <f t="shared" si="29"/>
        <v>0</v>
      </c>
      <c r="W98" s="9"/>
      <c r="X98" s="1" t="e">
        <f t="shared" si="27"/>
        <v>#DIV/0!</v>
      </c>
      <c r="Y98" s="9" t="e">
        <f t="shared" si="24"/>
        <v>#DIV/0!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 t="s">
        <v>47</v>
      </c>
      <c r="AK98" s="1">
        <f t="shared" si="28"/>
        <v>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141</v>
      </c>
      <c r="B99" s="1" t="s">
        <v>39</v>
      </c>
      <c r="C99" s="1">
        <v>69.331000000000003</v>
      </c>
      <c r="D99" s="1"/>
      <c r="E99" s="1">
        <v>9.6859999999999999</v>
      </c>
      <c r="F99" s="1">
        <v>59.645000000000003</v>
      </c>
      <c r="G99" s="7">
        <v>1</v>
      </c>
      <c r="H99" s="1">
        <v>55</v>
      </c>
      <c r="I99" s="1" t="s">
        <v>40</v>
      </c>
      <c r="J99" s="1"/>
      <c r="K99" s="1">
        <v>8</v>
      </c>
      <c r="L99" s="1">
        <f t="shared" si="22"/>
        <v>1.6859999999999999</v>
      </c>
      <c r="M99" s="1"/>
      <c r="N99" s="1"/>
      <c r="O99" s="1">
        <v>0</v>
      </c>
      <c r="P99" s="1"/>
      <c r="Q99" s="1"/>
      <c r="R99" s="1"/>
      <c r="S99" s="1">
        <v>0</v>
      </c>
      <c r="T99" s="1">
        <f t="shared" si="23"/>
        <v>1.9372</v>
      </c>
      <c r="U99" s="5"/>
      <c r="V99" s="5">
        <f t="shared" si="29"/>
        <v>0</v>
      </c>
      <c r="W99" s="1"/>
      <c r="X99" s="1">
        <f t="shared" si="27"/>
        <v>30.789283501961595</v>
      </c>
      <c r="Y99" s="1">
        <f t="shared" si="24"/>
        <v>30.789283501961595</v>
      </c>
      <c r="Z99" s="1">
        <v>2.2138</v>
      </c>
      <c r="AA99" s="1">
        <v>4.1204000000000001</v>
      </c>
      <c r="AB99" s="1">
        <v>3.4714</v>
      </c>
      <c r="AC99" s="1">
        <v>2.1972</v>
      </c>
      <c r="AD99" s="1">
        <v>3.1594000000000002</v>
      </c>
      <c r="AE99" s="1">
        <v>4.0695999999999994</v>
      </c>
      <c r="AF99" s="1">
        <v>3.1516000000000002</v>
      </c>
      <c r="AG99" s="1">
        <v>3.5156000000000001</v>
      </c>
      <c r="AH99" s="1">
        <v>4.7962000000000007</v>
      </c>
      <c r="AI99" s="1">
        <v>8.3277999999999999</v>
      </c>
      <c r="AJ99" s="17" t="s">
        <v>142</v>
      </c>
      <c r="AK99" s="1">
        <f t="shared" si="28"/>
        <v>0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4" t="s">
        <v>143</v>
      </c>
      <c r="B100" s="1" t="s">
        <v>46</v>
      </c>
      <c r="C100" s="1"/>
      <c r="D100" s="1"/>
      <c r="E100" s="1"/>
      <c r="F100" s="1"/>
      <c r="G100" s="7">
        <v>0.11</v>
      </c>
      <c r="H100" s="1">
        <v>30</v>
      </c>
      <c r="I100" s="1" t="s">
        <v>40</v>
      </c>
      <c r="J100" s="1"/>
      <c r="K100" s="1"/>
      <c r="L100" s="1">
        <f t="shared" si="22"/>
        <v>0</v>
      </c>
      <c r="M100" s="1"/>
      <c r="N100" s="1"/>
      <c r="O100" s="1">
        <v>0</v>
      </c>
      <c r="P100" s="1"/>
      <c r="Q100" s="1"/>
      <c r="R100" s="1"/>
      <c r="S100" s="1">
        <v>0</v>
      </c>
      <c r="T100" s="1">
        <f t="shared" si="23"/>
        <v>0</v>
      </c>
      <c r="U100" s="5">
        <v>110</v>
      </c>
      <c r="V100" s="5">
        <f t="shared" si="29"/>
        <v>110</v>
      </c>
      <c r="W100" s="1">
        <f>VLOOKUP(A100,[1]Sheet!$A:$W,23,0)</f>
        <v>70</v>
      </c>
      <c r="X100" s="1" t="e">
        <f t="shared" si="27"/>
        <v>#DIV/0!</v>
      </c>
      <c r="Y100" s="1" t="e">
        <f t="shared" si="24"/>
        <v>#DIV/0!</v>
      </c>
      <c r="Z100" s="1">
        <v>3.2</v>
      </c>
      <c r="AA100" s="1">
        <v>3.2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-0.2</v>
      </c>
      <c r="AI100" s="1">
        <v>-0.4</v>
      </c>
      <c r="AJ100" s="1" t="s">
        <v>180</v>
      </c>
      <c r="AK100" s="1">
        <f t="shared" si="28"/>
        <v>12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9" t="s">
        <v>144</v>
      </c>
      <c r="B101" s="9" t="s">
        <v>46</v>
      </c>
      <c r="C101" s="9"/>
      <c r="D101" s="9"/>
      <c r="E101" s="9"/>
      <c r="F101" s="9"/>
      <c r="G101" s="10">
        <v>0</v>
      </c>
      <c r="H101" s="9"/>
      <c r="I101" s="9" t="s">
        <v>40</v>
      </c>
      <c r="J101" s="9"/>
      <c r="K101" s="9"/>
      <c r="L101" s="9">
        <f t="shared" si="22"/>
        <v>0</v>
      </c>
      <c r="M101" s="9"/>
      <c r="N101" s="9"/>
      <c r="O101" s="9">
        <v>0</v>
      </c>
      <c r="P101" s="9"/>
      <c r="Q101" s="9"/>
      <c r="R101" s="9"/>
      <c r="S101" s="9">
        <v>0</v>
      </c>
      <c r="T101" s="9">
        <f t="shared" si="23"/>
        <v>0</v>
      </c>
      <c r="U101" s="11"/>
      <c r="V101" s="5">
        <f t="shared" si="29"/>
        <v>0</v>
      </c>
      <c r="W101" s="9"/>
      <c r="X101" s="1" t="e">
        <f t="shared" si="27"/>
        <v>#DIV/0!</v>
      </c>
      <c r="Y101" s="9" t="e">
        <f t="shared" si="24"/>
        <v>#DIV/0!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 t="s">
        <v>47</v>
      </c>
      <c r="AK101" s="1">
        <f t="shared" si="28"/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145</v>
      </c>
      <c r="B102" s="1" t="s">
        <v>46</v>
      </c>
      <c r="C102" s="1">
        <v>54</v>
      </c>
      <c r="D102" s="1">
        <v>25</v>
      </c>
      <c r="E102" s="1">
        <v>70</v>
      </c>
      <c r="F102" s="1">
        <v>4</v>
      </c>
      <c r="G102" s="7">
        <v>0.08</v>
      </c>
      <c r="H102" s="1">
        <v>45</v>
      </c>
      <c r="I102" s="1" t="s">
        <v>40</v>
      </c>
      <c r="J102" s="1"/>
      <c r="K102" s="1">
        <v>75</v>
      </c>
      <c r="L102" s="1">
        <f t="shared" ref="L102:L131" si="33">E102-K102</f>
        <v>-5</v>
      </c>
      <c r="M102" s="1"/>
      <c r="N102" s="1"/>
      <c r="O102" s="1">
        <v>144.6</v>
      </c>
      <c r="P102" s="1"/>
      <c r="Q102" s="1"/>
      <c r="R102" s="1"/>
      <c r="S102" s="1">
        <v>81.599999999999994</v>
      </c>
      <c r="T102" s="1">
        <f t="shared" ref="T102:T131" si="34">E102/5</f>
        <v>14</v>
      </c>
      <c r="U102" s="5">
        <v>70</v>
      </c>
      <c r="V102" s="5">
        <f t="shared" si="29"/>
        <v>70</v>
      </c>
      <c r="W102" s="1">
        <f>VLOOKUP(A102,[1]Sheet!$A:$W,23,0)</f>
        <v>70</v>
      </c>
      <c r="X102" s="1">
        <f t="shared" si="27"/>
        <v>21.442857142857143</v>
      </c>
      <c r="Y102" s="1">
        <f t="shared" ref="Y102:Y131" si="35">(F102+O102+P102+Q102+R102+S102)/T102</f>
        <v>16.442857142857143</v>
      </c>
      <c r="Z102" s="1">
        <v>17.399999999999999</v>
      </c>
      <c r="AA102" s="1">
        <v>23</v>
      </c>
      <c r="AB102" s="1">
        <v>22.2</v>
      </c>
      <c r="AC102" s="1">
        <v>15.4</v>
      </c>
      <c r="AD102" s="1">
        <v>9.8000000000000007</v>
      </c>
      <c r="AE102" s="1">
        <v>10.6</v>
      </c>
      <c r="AF102" s="1">
        <v>19</v>
      </c>
      <c r="AG102" s="1">
        <v>23.2</v>
      </c>
      <c r="AH102" s="1">
        <v>23</v>
      </c>
      <c r="AI102" s="1">
        <v>23.8</v>
      </c>
      <c r="AJ102" s="1" t="s">
        <v>180</v>
      </c>
      <c r="AK102" s="1">
        <f t="shared" si="28"/>
        <v>6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146</v>
      </c>
      <c r="B103" s="1" t="s">
        <v>46</v>
      </c>
      <c r="C103" s="1">
        <v>65</v>
      </c>
      <c r="D103" s="1">
        <v>43</v>
      </c>
      <c r="E103" s="1">
        <v>78</v>
      </c>
      <c r="F103" s="1">
        <v>29</v>
      </c>
      <c r="G103" s="7">
        <v>0.08</v>
      </c>
      <c r="H103" s="1">
        <v>45</v>
      </c>
      <c r="I103" s="1" t="s">
        <v>40</v>
      </c>
      <c r="J103" s="1"/>
      <c r="K103" s="1">
        <v>80</v>
      </c>
      <c r="L103" s="1">
        <f t="shared" si="33"/>
        <v>-2</v>
      </c>
      <c r="M103" s="1"/>
      <c r="N103" s="1"/>
      <c r="O103" s="1">
        <v>26</v>
      </c>
      <c r="P103" s="1"/>
      <c r="Q103" s="1"/>
      <c r="R103" s="1"/>
      <c r="S103" s="1">
        <v>55</v>
      </c>
      <c r="T103" s="1">
        <f t="shared" si="34"/>
        <v>15.6</v>
      </c>
      <c r="U103" s="5">
        <f t="shared" ref="U103:U107" si="36">12*T103-S103-R103-Q103-P103-O103-F103+W103</f>
        <v>147.19999999999999</v>
      </c>
      <c r="V103" s="5">
        <f t="shared" si="29"/>
        <v>147.19999999999999</v>
      </c>
      <c r="W103" s="1">
        <f>VLOOKUP(A103,[1]Sheet!$A:$W,23,0)</f>
        <v>70</v>
      </c>
      <c r="X103" s="1">
        <f t="shared" si="27"/>
        <v>16.487179487179485</v>
      </c>
      <c r="Y103" s="1">
        <f t="shared" si="35"/>
        <v>7.0512820512820511</v>
      </c>
      <c r="Z103" s="1">
        <v>12</v>
      </c>
      <c r="AA103" s="1">
        <v>14</v>
      </c>
      <c r="AB103" s="1">
        <v>14</v>
      </c>
      <c r="AC103" s="1">
        <v>12.4</v>
      </c>
      <c r="AD103" s="1">
        <v>17.399999999999999</v>
      </c>
      <c r="AE103" s="1">
        <v>17</v>
      </c>
      <c r="AF103" s="1">
        <v>11</v>
      </c>
      <c r="AG103" s="1">
        <v>13</v>
      </c>
      <c r="AH103" s="1">
        <v>16.2</v>
      </c>
      <c r="AI103" s="1">
        <v>19.399999999999999</v>
      </c>
      <c r="AJ103" s="1" t="s">
        <v>180</v>
      </c>
      <c r="AK103" s="1">
        <f t="shared" si="28"/>
        <v>12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147</v>
      </c>
      <c r="B104" s="1" t="s">
        <v>46</v>
      </c>
      <c r="C104" s="1">
        <v>13</v>
      </c>
      <c r="D104" s="1">
        <v>3</v>
      </c>
      <c r="E104" s="1">
        <v>2</v>
      </c>
      <c r="F104" s="1">
        <v>14</v>
      </c>
      <c r="G104" s="7">
        <v>0.17</v>
      </c>
      <c r="H104" s="1">
        <v>30</v>
      </c>
      <c r="I104" s="1" t="s">
        <v>40</v>
      </c>
      <c r="J104" s="1"/>
      <c r="K104" s="1">
        <v>12</v>
      </c>
      <c r="L104" s="1">
        <f t="shared" si="33"/>
        <v>-10</v>
      </c>
      <c r="M104" s="1"/>
      <c r="N104" s="1"/>
      <c r="O104" s="1">
        <v>0</v>
      </c>
      <c r="P104" s="1"/>
      <c r="Q104" s="1"/>
      <c r="R104" s="1"/>
      <c r="S104" s="1">
        <v>0</v>
      </c>
      <c r="T104" s="1">
        <f t="shared" si="34"/>
        <v>0.4</v>
      </c>
      <c r="U104" s="5">
        <v>70</v>
      </c>
      <c r="V104" s="5">
        <f t="shared" si="29"/>
        <v>70</v>
      </c>
      <c r="W104" s="1">
        <f>VLOOKUP(A104,[1]Sheet!$A:$W,23,0)</f>
        <v>70</v>
      </c>
      <c r="X104" s="1">
        <f t="shared" si="27"/>
        <v>210</v>
      </c>
      <c r="Y104" s="1">
        <f t="shared" si="35"/>
        <v>35</v>
      </c>
      <c r="Z104" s="1">
        <v>0.8</v>
      </c>
      <c r="AA104" s="1">
        <v>0.4</v>
      </c>
      <c r="AB104" s="1">
        <v>0.2</v>
      </c>
      <c r="AC104" s="1">
        <v>0.4</v>
      </c>
      <c r="AD104" s="1">
        <v>0.2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6" t="s">
        <v>181</v>
      </c>
      <c r="AK104" s="1">
        <f t="shared" si="28"/>
        <v>12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148</v>
      </c>
      <c r="B105" s="1" t="s">
        <v>39</v>
      </c>
      <c r="C105" s="1">
        <v>124.45099999999999</v>
      </c>
      <c r="D105" s="1">
        <v>179.78200000000001</v>
      </c>
      <c r="E105" s="1">
        <v>76.453999999999994</v>
      </c>
      <c r="F105" s="1">
        <v>202.464</v>
      </c>
      <c r="G105" s="7">
        <v>1</v>
      </c>
      <c r="H105" s="1">
        <v>40</v>
      </c>
      <c r="I105" s="1" t="s">
        <v>40</v>
      </c>
      <c r="J105" s="1"/>
      <c r="K105" s="1">
        <v>107.3</v>
      </c>
      <c r="L105" s="1">
        <f t="shared" si="33"/>
        <v>-30.846000000000004</v>
      </c>
      <c r="M105" s="1"/>
      <c r="N105" s="1"/>
      <c r="O105" s="1">
        <v>0</v>
      </c>
      <c r="P105" s="1"/>
      <c r="Q105" s="1"/>
      <c r="R105" s="1"/>
      <c r="S105" s="1">
        <v>0</v>
      </c>
      <c r="T105" s="1">
        <f t="shared" si="34"/>
        <v>15.290799999999999</v>
      </c>
      <c r="U105" s="5"/>
      <c r="V105" s="5">
        <f>T105*($V$1-Y105)</f>
        <v>26.897999999999993</v>
      </c>
      <c r="W105" s="1"/>
      <c r="X105" s="1">
        <f t="shared" si="27"/>
        <v>15</v>
      </c>
      <c r="Y105" s="1">
        <f t="shared" si="35"/>
        <v>13.240903026656552</v>
      </c>
      <c r="Z105" s="1">
        <v>20.459199999999999</v>
      </c>
      <c r="AA105" s="1">
        <v>22.341999999999999</v>
      </c>
      <c r="AB105" s="1">
        <v>26.3384</v>
      </c>
      <c r="AC105" s="1">
        <v>31.392800000000001</v>
      </c>
      <c r="AD105" s="1">
        <v>26.237200000000001</v>
      </c>
      <c r="AE105" s="1">
        <v>30.513999999999999</v>
      </c>
      <c r="AF105" s="1">
        <v>35.223799999999997</v>
      </c>
      <c r="AG105" s="1">
        <v>32.168799999999997</v>
      </c>
      <c r="AH105" s="1">
        <v>34.5154</v>
      </c>
      <c r="AI105" s="1">
        <v>32.029400000000003</v>
      </c>
      <c r="AJ105" s="1"/>
      <c r="AK105" s="1">
        <f t="shared" si="28"/>
        <v>27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149</v>
      </c>
      <c r="B106" s="1" t="s">
        <v>39</v>
      </c>
      <c r="C106" s="1">
        <v>147.74299999999999</v>
      </c>
      <c r="D106" s="1">
        <v>129.80099999999999</v>
      </c>
      <c r="E106" s="1">
        <v>50.091999999999999</v>
      </c>
      <c r="F106" s="1">
        <v>200.55</v>
      </c>
      <c r="G106" s="7">
        <v>1</v>
      </c>
      <c r="H106" s="1">
        <v>40</v>
      </c>
      <c r="I106" s="1" t="s">
        <v>40</v>
      </c>
      <c r="J106" s="1"/>
      <c r="K106" s="1">
        <v>81.599999999999994</v>
      </c>
      <c r="L106" s="1">
        <f t="shared" si="33"/>
        <v>-31.507999999999996</v>
      </c>
      <c r="M106" s="1"/>
      <c r="N106" s="1"/>
      <c r="O106" s="1">
        <v>0</v>
      </c>
      <c r="P106" s="1"/>
      <c r="Q106" s="1"/>
      <c r="R106" s="1"/>
      <c r="S106" s="1">
        <v>0</v>
      </c>
      <c r="T106" s="1">
        <f t="shared" si="34"/>
        <v>10.0184</v>
      </c>
      <c r="U106" s="5"/>
      <c r="V106" s="5">
        <f t="shared" si="29"/>
        <v>0</v>
      </c>
      <c r="W106" s="1"/>
      <c r="X106" s="1">
        <f t="shared" si="27"/>
        <v>20.018166573504754</v>
      </c>
      <c r="Y106" s="1">
        <f t="shared" si="35"/>
        <v>20.018166573504754</v>
      </c>
      <c r="Z106" s="1">
        <v>10.5992</v>
      </c>
      <c r="AA106" s="1">
        <v>15.360799999999999</v>
      </c>
      <c r="AB106" s="1">
        <v>21.815000000000001</v>
      </c>
      <c r="AC106" s="1">
        <v>26.238600000000002</v>
      </c>
      <c r="AD106" s="1">
        <v>26.207999999999998</v>
      </c>
      <c r="AE106" s="1">
        <v>30.0702</v>
      </c>
      <c r="AF106" s="1">
        <v>27.5472</v>
      </c>
      <c r="AG106" s="1">
        <v>24.343599999999999</v>
      </c>
      <c r="AH106" s="1">
        <v>23.461200000000002</v>
      </c>
      <c r="AI106" s="1">
        <v>22.640799999999999</v>
      </c>
      <c r="AJ106" s="17" t="s">
        <v>142</v>
      </c>
      <c r="AK106" s="1">
        <f t="shared" si="28"/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150</v>
      </c>
      <c r="B107" s="1" t="s">
        <v>39</v>
      </c>
      <c r="C107" s="1">
        <v>226.19200000000001</v>
      </c>
      <c r="D107" s="1">
        <v>7.8419999999999996</v>
      </c>
      <c r="E107" s="1">
        <v>104.79600000000001</v>
      </c>
      <c r="F107" s="1">
        <v>103.48699999999999</v>
      </c>
      <c r="G107" s="7">
        <v>1</v>
      </c>
      <c r="H107" s="1">
        <v>40</v>
      </c>
      <c r="I107" s="1" t="s">
        <v>40</v>
      </c>
      <c r="J107" s="1"/>
      <c r="K107" s="1">
        <v>150</v>
      </c>
      <c r="L107" s="1">
        <f t="shared" si="33"/>
        <v>-45.203999999999994</v>
      </c>
      <c r="M107" s="1"/>
      <c r="N107" s="1"/>
      <c r="O107" s="1">
        <v>0</v>
      </c>
      <c r="P107" s="1"/>
      <c r="Q107" s="1"/>
      <c r="R107" s="1"/>
      <c r="S107" s="1">
        <v>101.3128000000001</v>
      </c>
      <c r="T107" s="1">
        <f t="shared" si="34"/>
        <v>20.959200000000003</v>
      </c>
      <c r="U107" s="5">
        <f t="shared" si="36"/>
        <v>46.710599999999943</v>
      </c>
      <c r="V107" s="5">
        <f>T107*($V$1-Y107)</f>
        <v>109.58819999999997</v>
      </c>
      <c r="W107" s="1"/>
      <c r="X107" s="1">
        <f t="shared" si="27"/>
        <v>15</v>
      </c>
      <c r="Y107" s="1">
        <f t="shared" si="35"/>
        <v>9.7713557769380532</v>
      </c>
      <c r="Z107" s="1">
        <v>21.774000000000001</v>
      </c>
      <c r="AA107" s="1">
        <v>25.6434</v>
      </c>
      <c r="AB107" s="1">
        <v>20.285</v>
      </c>
      <c r="AC107" s="1">
        <v>3.4573999999999998</v>
      </c>
      <c r="AD107" s="1">
        <v>9.8133999999999997</v>
      </c>
      <c r="AE107" s="1">
        <v>30.8186</v>
      </c>
      <c r="AF107" s="1">
        <v>32.925199999999997</v>
      </c>
      <c r="AG107" s="1">
        <v>17.869199999999999</v>
      </c>
      <c r="AH107" s="1">
        <v>6.8346</v>
      </c>
      <c r="AI107" s="1">
        <v>-0.71160000000000001</v>
      </c>
      <c r="AJ107" s="1"/>
      <c r="AK107" s="1">
        <f t="shared" si="28"/>
        <v>110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9" t="s">
        <v>151</v>
      </c>
      <c r="B108" s="9" t="s">
        <v>46</v>
      </c>
      <c r="C108" s="9"/>
      <c r="D108" s="9"/>
      <c r="E108" s="9"/>
      <c r="F108" s="9"/>
      <c r="G108" s="10">
        <v>0</v>
      </c>
      <c r="H108" s="9"/>
      <c r="I108" s="9" t="s">
        <v>40</v>
      </c>
      <c r="J108" s="9"/>
      <c r="K108" s="9"/>
      <c r="L108" s="9">
        <f t="shared" si="33"/>
        <v>0</v>
      </c>
      <c r="M108" s="9"/>
      <c r="N108" s="9"/>
      <c r="O108" s="9">
        <v>0</v>
      </c>
      <c r="P108" s="9"/>
      <c r="Q108" s="9"/>
      <c r="R108" s="9"/>
      <c r="S108" s="9">
        <v>0</v>
      </c>
      <c r="T108" s="9">
        <f t="shared" si="34"/>
        <v>0</v>
      </c>
      <c r="U108" s="11"/>
      <c r="V108" s="5">
        <f t="shared" si="29"/>
        <v>0</v>
      </c>
      <c r="W108" s="9"/>
      <c r="X108" s="1" t="e">
        <f t="shared" si="27"/>
        <v>#DIV/0!</v>
      </c>
      <c r="Y108" s="9" t="e">
        <f t="shared" si="35"/>
        <v>#DIV/0!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 t="s">
        <v>47</v>
      </c>
      <c r="AK108" s="1">
        <f t="shared" si="28"/>
        <v>0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9" t="s">
        <v>152</v>
      </c>
      <c r="B109" s="9" t="s">
        <v>39</v>
      </c>
      <c r="C109" s="9"/>
      <c r="D109" s="9"/>
      <c r="E109" s="9"/>
      <c r="F109" s="9"/>
      <c r="G109" s="10">
        <v>0</v>
      </c>
      <c r="H109" s="9"/>
      <c r="I109" s="9" t="s">
        <v>40</v>
      </c>
      <c r="J109" s="9"/>
      <c r="K109" s="9"/>
      <c r="L109" s="9">
        <f t="shared" si="33"/>
        <v>0</v>
      </c>
      <c r="M109" s="9"/>
      <c r="N109" s="9"/>
      <c r="O109" s="9">
        <v>0</v>
      </c>
      <c r="P109" s="9"/>
      <c r="Q109" s="9"/>
      <c r="R109" s="9"/>
      <c r="S109" s="9">
        <v>0</v>
      </c>
      <c r="T109" s="9">
        <f t="shared" si="34"/>
        <v>0</v>
      </c>
      <c r="U109" s="11"/>
      <c r="V109" s="5">
        <f t="shared" si="29"/>
        <v>0</v>
      </c>
      <c r="W109" s="9"/>
      <c r="X109" s="1" t="e">
        <f t="shared" si="27"/>
        <v>#DIV/0!</v>
      </c>
      <c r="Y109" s="9" t="e">
        <f t="shared" si="35"/>
        <v>#DIV/0!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 t="s">
        <v>47</v>
      </c>
      <c r="AK109" s="1">
        <f t="shared" si="28"/>
        <v>0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153</v>
      </c>
      <c r="B110" s="1" t="s">
        <v>46</v>
      </c>
      <c r="C110" s="1">
        <v>357</v>
      </c>
      <c r="D110" s="1">
        <v>269</v>
      </c>
      <c r="E110" s="1">
        <v>170</v>
      </c>
      <c r="F110" s="1">
        <v>408</v>
      </c>
      <c r="G110" s="7">
        <v>0.28000000000000003</v>
      </c>
      <c r="H110" s="1">
        <v>40</v>
      </c>
      <c r="I110" s="1" t="s">
        <v>40</v>
      </c>
      <c r="J110" s="1"/>
      <c r="K110" s="1">
        <v>224</v>
      </c>
      <c r="L110" s="1">
        <f t="shared" si="33"/>
        <v>-54</v>
      </c>
      <c r="M110" s="1"/>
      <c r="N110" s="1"/>
      <c r="O110" s="1">
        <v>0</v>
      </c>
      <c r="P110" s="1"/>
      <c r="Q110" s="1"/>
      <c r="R110" s="1"/>
      <c r="S110" s="1">
        <v>0</v>
      </c>
      <c r="T110" s="1">
        <f t="shared" si="34"/>
        <v>34</v>
      </c>
      <c r="U110" s="5"/>
      <c r="V110" s="5">
        <f>T110*($V$1-Y110)</f>
        <v>102</v>
      </c>
      <c r="W110" s="1"/>
      <c r="X110" s="1">
        <f t="shared" si="27"/>
        <v>15</v>
      </c>
      <c r="Y110" s="1">
        <f t="shared" si="35"/>
        <v>12</v>
      </c>
      <c r="Z110" s="1">
        <v>24.2</v>
      </c>
      <c r="AA110" s="1">
        <v>32.6</v>
      </c>
      <c r="AB110" s="1">
        <v>45.6</v>
      </c>
      <c r="AC110" s="1">
        <v>52.8</v>
      </c>
      <c r="AD110" s="1">
        <v>57.2</v>
      </c>
      <c r="AE110" s="1">
        <v>51.4</v>
      </c>
      <c r="AF110" s="1">
        <v>46.4</v>
      </c>
      <c r="AG110" s="1">
        <v>51</v>
      </c>
      <c r="AH110" s="1">
        <v>48.8</v>
      </c>
      <c r="AI110" s="1">
        <v>37.4</v>
      </c>
      <c r="AJ110" s="15" t="s">
        <v>58</v>
      </c>
      <c r="AK110" s="1">
        <f t="shared" si="28"/>
        <v>29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154</v>
      </c>
      <c r="B111" s="1" t="s">
        <v>46</v>
      </c>
      <c r="C111" s="1">
        <v>8</v>
      </c>
      <c r="D111" s="1">
        <v>430</v>
      </c>
      <c r="E111" s="1">
        <v>105</v>
      </c>
      <c r="F111" s="1">
        <v>320</v>
      </c>
      <c r="G111" s="7">
        <v>0.28000000000000003</v>
      </c>
      <c r="H111" s="1">
        <v>40</v>
      </c>
      <c r="I111" s="1" t="s">
        <v>40</v>
      </c>
      <c r="J111" s="1"/>
      <c r="K111" s="1">
        <v>127</v>
      </c>
      <c r="L111" s="1">
        <f t="shared" si="33"/>
        <v>-22</v>
      </c>
      <c r="M111" s="1"/>
      <c r="N111" s="1"/>
      <c r="O111" s="1">
        <v>43.4</v>
      </c>
      <c r="P111" s="1"/>
      <c r="Q111" s="1"/>
      <c r="R111" s="1"/>
      <c r="S111" s="1">
        <v>0</v>
      </c>
      <c r="T111" s="1">
        <f t="shared" si="34"/>
        <v>21</v>
      </c>
      <c r="U111" s="5"/>
      <c r="V111" s="5">
        <f t="shared" si="29"/>
        <v>0</v>
      </c>
      <c r="W111" s="1"/>
      <c r="X111" s="1">
        <f t="shared" si="27"/>
        <v>17.304761904761904</v>
      </c>
      <c r="Y111" s="1">
        <f t="shared" si="35"/>
        <v>17.304761904761904</v>
      </c>
      <c r="Z111" s="1">
        <v>19.399999999999999</v>
      </c>
      <c r="AA111" s="1">
        <v>32.799999999999997</v>
      </c>
      <c r="AB111" s="1">
        <v>43.4</v>
      </c>
      <c r="AC111" s="1">
        <v>46.6</v>
      </c>
      <c r="AD111" s="1">
        <v>24</v>
      </c>
      <c r="AE111" s="1">
        <v>-0.2</v>
      </c>
      <c r="AF111" s="1">
        <v>1.8</v>
      </c>
      <c r="AG111" s="1">
        <v>19.2</v>
      </c>
      <c r="AH111" s="1">
        <v>39.200000000000003</v>
      </c>
      <c r="AI111" s="1">
        <v>28.2</v>
      </c>
      <c r="AJ111" s="1"/>
      <c r="AK111" s="1">
        <f t="shared" si="28"/>
        <v>0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155</v>
      </c>
      <c r="B112" s="1" t="s">
        <v>46</v>
      </c>
      <c r="C112" s="1">
        <v>198</v>
      </c>
      <c r="D112" s="1">
        <v>285</v>
      </c>
      <c r="E112" s="1">
        <v>174</v>
      </c>
      <c r="F112" s="1">
        <v>280</v>
      </c>
      <c r="G112" s="7">
        <v>0.28000000000000003</v>
      </c>
      <c r="H112" s="1">
        <v>40</v>
      </c>
      <c r="I112" s="1" t="s">
        <v>40</v>
      </c>
      <c r="J112" s="1"/>
      <c r="K112" s="1">
        <v>203</v>
      </c>
      <c r="L112" s="1">
        <f t="shared" si="33"/>
        <v>-29</v>
      </c>
      <c r="M112" s="1"/>
      <c r="N112" s="1"/>
      <c r="O112" s="1">
        <v>0</v>
      </c>
      <c r="P112" s="1"/>
      <c r="Q112" s="1"/>
      <c r="R112" s="1"/>
      <c r="S112" s="1">
        <v>4.6999999999999602</v>
      </c>
      <c r="T112" s="1">
        <f t="shared" si="34"/>
        <v>34.799999999999997</v>
      </c>
      <c r="U112" s="5">
        <f t="shared" ref="U112:U126" si="37">12*T112-S112-R112-Q112-P112-O112-F112+W112</f>
        <v>132.89999999999998</v>
      </c>
      <c r="V112" s="5">
        <f>T112*($V$1-Y112)</f>
        <v>237.30000000000004</v>
      </c>
      <c r="W112" s="1"/>
      <c r="X112" s="1">
        <f t="shared" si="27"/>
        <v>15.000000000000002</v>
      </c>
      <c r="Y112" s="1">
        <f t="shared" si="35"/>
        <v>8.1810344827586192</v>
      </c>
      <c r="Z112" s="1">
        <v>33.200000000000003</v>
      </c>
      <c r="AA112" s="1">
        <v>37.799999999999997</v>
      </c>
      <c r="AB112" s="1">
        <v>41.6</v>
      </c>
      <c r="AC112" s="1">
        <v>45</v>
      </c>
      <c r="AD112" s="1">
        <v>46</v>
      </c>
      <c r="AE112" s="1">
        <v>43.4</v>
      </c>
      <c r="AF112" s="1">
        <v>45.8</v>
      </c>
      <c r="AG112" s="1">
        <v>41</v>
      </c>
      <c r="AH112" s="1">
        <v>35.799999999999997</v>
      </c>
      <c r="AI112" s="1">
        <v>46</v>
      </c>
      <c r="AJ112" s="1"/>
      <c r="AK112" s="1">
        <f t="shared" si="28"/>
        <v>66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156</v>
      </c>
      <c r="B113" s="1" t="s">
        <v>46</v>
      </c>
      <c r="C113" s="1">
        <v>6</v>
      </c>
      <c r="D113" s="1">
        <v>40</v>
      </c>
      <c r="E113" s="1">
        <v>12</v>
      </c>
      <c r="F113" s="1">
        <v>33</v>
      </c>
      <c r="G113" s="7">
        <v>0.09</v>
      </c>
      <c r="H113" s="1">
        <v>45</v>
      </c>
      <c r="I113" s="1" t="s">
        <v>40</v>
      </c>
      <c r="J113" s="1"/>
      <c r="K113" s="1">
        <v>23</v>
      </c>
      <c r="L113" s="1">
        <f t="shared" si="33"/>
        <v>-11</v>
      </c>
      <c r="M113" s="1"/>
      <c r="N113" s="1"/>
      <c r="O113" s="1">
        <v>59.000000000000007</v>
      </c>
      <c r="P113" s="1"/>
      <c r="Q113" s="1"/>
      <c r="R113" s="1"/>
      <c r="S113" s="1">
        <v>10</v>
      </c>
      <c r="T113" s="1">
        <f t="shared" si="34"/>
        <v>2.4</v>
      </c>
      <c r="U113" s="5">
        <f>W113</f>
        <v>70</v>
      </c>
      <c r="V113" s="5">
        <f t="shared" si="29"/>
        <v>70</v>
      </c>
      <c r="W113" s="1">
        <f>VLOOKUP(A113,[1]Sheet!$A:$W,23,0)</f>
        <v>70</v>
      </c>
      <c r="X113" s="1">
        <f t="shared" si="27"/>
        <v>71.666666666666671</v>
      </c>
      <c r="Y113" s="1">
        <f t="shared" si="35"/>
        <v>42.5</v>
      </c>
      <c r="Z113" s="1">
        <v>3.6</v>
      </c>
      <c r="AA113" s="1">
        <v>8.1999999999999993</v>
      </c>
      <c r="AB113" s="1">
        <v>9.6</v>
      </c>
      <c r="AC113" s="1">
        <v>6.6</v>
      </c>
      <c r="AD113" s="1">
        <v>2.8</v>
      </c>
      <c r="AE113" s="1">
        <v>4.2</v>
      </c>
      <c r="AF113" s="1">
        <v>6</v>
      </c>
      <c r="AG113" s="1">
        <v>1.8</v>
      </c>
      <c r="AH113" s="1">
        <v>5.6</v>
      </c>
      <c r="AI113" s="1">
        <v>6.4</v>
      </c>
      <c r="AJ113" s="1" t="s">
        <v>180</v>
      </c>
      <c r="AK113" s="1">
        <f t="shared" si="28"/>
        <v>6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157</v>
      </c>
      <c r="B114" s="1" t="s">
        <v>39</v>
      </c>
      <c r="C114" s="1">
        <v>201.14</v>
      </c>
      <c r="D114" s="1">
        <v>39.450000000000003</v>
      </c>
      <c r="E114" s="1">
        <v>40.408999999999999</v>
      </c>
      <c r="F114" s="1">
        <v>189.84</v>
      </c>
      <c r="G114" s="7">
        <v>1</v>
      </c>
      <c r="H114" s="1">
        <v>60</v>
      </c>
      <c r="I114" s="1" t="s">
        <v>40</v>
      </c>
      <c r="J114" s="1"/>
      <c r="K114" s="1">
        <v>42.54</v>
      </c>
      <c r="L114" s="1">
        <f t="shared" si="33"/>
        <v>-2.1310000000000002</v>
      </c>
      <c r="M114" s="1"/>
      <c r="N114" s="1"/>
      <c r="O114" s="1">
        <v>0</v>
      </c>
      <c r="P114" s="1"/>
      <c r="Q114" s="1"/>
      <c r="R114" s="1"/>
      <c r="S114" s="1">
        <v>0</v>
      </c>
      <c r="T114" s="1">
        <f t="shared" si="34"/>
        <v>8.0817999999999994</v>
      </c>
      <c r="U114" s="5"/>
      <c r="V114" s="5">
        <f t="shared" si="29"/>
        <v>0</v>
      </c>
      <c r="W114" s="1"/>
      <c r="X114" s="1">
        <f t="shared" si="27"/>
        <v>23.489816625009283</v>
      </c>
      <c r="Y114" s="1">
        <f t="shared" si="35"/>
        <v>23.489816625009283</v>
      </c>
      <c r="Z114" s="1">
        <v>7.9066000000000001</v>
      </c>
      <c r="AA114" s="1">
        <v>7.5061999999999998</v>
      </c>
      <c r="AB114" s="1">
        <v>11.083399999999999</v>
      </c>
      <c r="AC114" s="1">
        <v>18.972999999999999</v>
      </c>
      <c r="AD114" s="1">
        <v>21.614599999999999</v>
      </c>
      <c r="AE114" s="1">
        <v>13.019600000000001</v>
      </c>
      <c r="AF114" s="1">
        <v>9.3587999999999987</v>
      </c>
      <c r="AG114" s="1">
        <v>18.064599999999999</v>
      </c>
      <c r="AH114" s="1">
        <v>21.049600000000002</v>
      </c>
      <c r="AI114" s="1">
        <v>5.7427999999999999</v>
      </c>
      <c r="AJ114" s="17" t="s">
        <v>142</v>
      </c>
      <c r="AK114" s="1">
        <f t="shared" si="28"/>
        <v>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158</v>
      </c>
      <c r="B115" s="1" t="s">
        <v>39</v>
      </c>
      <c r="C115" s="1">
        <v>234.95</v>
      </c>
      <c r="D115" s="1">
        <v>14.965</v>
      </c>
      <c r="E115" s="1">
        <v>69.641999999999996</v>
      </c>
      <c r="F115" s="1">
        <v>164.959</v>
      </c>
      <c r="G115" s="7">
        <v>1</v>
      </c>
      <c r="H115" s="1">
        <v>50</v>
      </c>
      <c r="I115" s="1" t="s">
        <v>40</v>
      </c>
      <c r="J115" s="1"/>
      <c r="K115" s="1">
        <v>79.185000000000002</v>
      </c>
      <c r="L115" s="1">
        <f t="shared" si="33"/>
        <v>-9.5430000000000064</v>
      </c>
      <c r="M115" s="1"/>
      <c r="N115" s="1"/>
      <c r="O115" s="1">
        <v>0</v>
      </c>
      <c r="P115" s="1"/>
      <c r="Q115" s="1"/>
      <c r="R115" s="1"/>
      <c r="S115" s="1">
        <v>0</v>
      </c>
      <c r="T115" s="1">
        <f t="shared" si="34"/>
        <v>13.9284</v>
      </c>
      <c r="U115" s="5"/>
      <c r="V115" s="5">
        <f>T115*($V$1-Y115)</f>
        <v>43.966999999999999</v>
      </c>
      <c r="W115" s="1"/>
      <c r="X115" s="1">
        <f t="shared" si="27"/>
        <v>15</v>
      </c>
      <c r="Y115" s="1">
        <f t="shared" si="35"/>
        <v>11.843356020792051</v>
      </c>
      <c r="Z115" s="1">
        <v>8.4375999999999998</v>
      </c>
      <c r="AA115" s="1">
        <v>7.9498000000000006</v>
      </c>
      <c r="AB115" s="1">
        <v>13.4292</v>
      </c>
      <c r="AC115" s="1">
        <v>21.123000000000001</v>
      </c>
      <c r="AD115" s="1">
        <v>25.892800000000001</v>
      </c>
      <c r="AE115" s="1">
        <v>21.508199999999999</v>
      </c>
      <c r="AF115" s="1">
        <v>16.107800000000001</v>
      </c>
      <c r="AG115" s="1">
        <v>20.5518</v>
      </c>
      <c r="AH115" s="1">
        <v>23.8172</v>
      </c>
      <c r="AI115" s="1">
        <v>10.0442</v>
      </c>
      <c r="AJ115" s="17" t="s">
        <v>142</v>
      </c>
      <c r="AK115" s="1">
        <f t="shared" si="28"/>
        <v>44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159</v>
      </c>
      <c r="B116" s="1" t="s">
        <v>46</v>
      </c>
      <c r="C116" s="1">
        <v>33</v>
      </c>
      <c r="D116" s="1">
        <v>2</v>
      </c>
      <c r="E116" s="1">
        <v>17</v>
      </c>
      <c r="F116" s="1">
        <v>17</v>
      </c>
      <c r="G116" s="7">
        <v>0.09</v>
      </c>
      <c r="H116" s="1">
        <v>45</v>
      </c>
      <c r="I116" s="1" t="s">
        <v>40</v>
      </c>
      <c r="J116" s="1"/>
      <c r="K116" s="1">
        <v>28</v>
      </c>
      <c r="L116" s="1">
        <f t="shared" si="33"/>
        <v>-11</v>
      </c>
      <c r="M116" s="1"/>
      <c r="N116" s="1"/>
      <c r="O116" s="1">
        <v>20</v>
      </c>
      <c r="P116" s="1"/>
      <c r="Q116" s="1"/>
      <c r="R116" s="1"/>
      <c r="S116" s="1">
        <v>65.800000000000011</v>
      </c>
      <c r="T116" s="1">
        <f t="shared" si="34"/>
        <v>3.4</v>
      </c>
      <c r="U116" s="5">
        <v>70</v>
      </c>
      <c r="V116" s="5">
        <f t="shared" si="29"/>
        <v>70</v>
      </c>
      <c r="W116" s="1">
        <f>VLOOKUP(A116,[1]Sheet!$A:$W,23,0)</f>
        <v>70</v>
      </c>
      <c r="X116" s="1">
        <f t="shared" si="27"/>
        <v>50.82352941176471</v>
      </c>
      <c r="Y116" s="1">
        <f t="shared" si="35"/>
        <v>30.235294117647062</v>
      </c>
      <c r="Z116" s="1">
        <v>6.2</v>
      </c>
      <c r="AA116" s="1">
        <v>9.4</v>
      </c>
      <c r="AB116" s="1">
        <v>6</v>
      </c>
      <c r="AC116" s="1">
        <v>3.8</v>
      </c>
      <c r="AD116" s="1">
        <v>5.2</v>
      </c>
      <c r="AE116" s="1">
        <v>5.6</v>
      </c>
      <c r="AF116" s="1">
        <v>6.4</v>
      </c>
      <c r="AG116" s="1">
        <v>2.4</v>
      </c>
      <c r="AH116" s="1">
        <v>3.2</v>
      </c>
      <c r="AI116" s="1">
        <v>4</v>
      </c>
      <c r="AJ116" s="1" t="s">
        <v>180</v>
      </c>
      <c r="AK116" s="1">
        <f t="shared" si="28"/>
        <v>6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 t="s">
        <v>160</v>
      </c>
      <c r="B117" s="1" t="s">
        <v>46</v>
      </c>
      <c r="C117" s="1">
        <v>53</v>
      </c>
      <c r="D117" s="1">
        <v>2</v>
      </c>
      <c r="E117" s="1">
        <v>28</v>
      </c>
      <c r="F117" s="1">
        <v>25</v>
      </c>
      <c r="G117" s="7">
        <v>0.09</v>
      </c>
      <c r="H117" s="1">
        <v>45</v>
      </c>
      <c r="I117" s="1" t="s">
        <v>40</v>
      </c>
      <c r="J117" s="1"/>
      <c r="K117" s="1">
        <v>30</v>
      </c>
      <c r="L117" s="1">
        <f t="shared" si="33"/>
        <v>-2</v>
      </c>
      <c r="M117" s="1"/>
      <c r="N117" s="1"/>
      <c r="O117" s="1">
        <v>0</v>
      </c>
      <c r="P117" s="1"/>
      <c r="Q117" s="1"/>
      <c r="R117" s="1"/>
      <c r="S117" s="1">
        <v>46.599999999999987</v>
      </c>
      <c r="T117" s="1">
        <f t="shared" si="34"/>
        <v>5.6</v>
      </c>
      <c r="U117" s="5">
        <v>70</v>
      </c>
      <c r="V117" s="5">
        <f t="shared" si="29"/>
        <v>70</v>
      </c>
      <c r="W117" s="1">
        <f>VLOOKUP(A117,[1]Sheet!$A:$W,23,0)</f>
        <v>70</v>
      </c>
      <c r="X117" s="1">
        <f t="shared" si="27"/>
        <v>25.285714285714285</v>
      </c>
      <c r="Y117" s="1">
        <f t="shared" si="35"/>
        <v>12.785714285714285</v>
      </c>
      <c r="Z117" s="1">
        <v>5.6</v>
      </c>
      <c r="AA117" s="1">
        <v>7.8</v>
      </c>
      <c r="AB117" s="1">
        <v>6</v>
      </c>
      <c r="AC117" s="1">
        <v>3.2</v>
      </c>
      <c r="AD117" s="1">
        <v>3.8</v>
      </c>
      <c r="AE117" s="1">
        <v>6.2</v>
      </c>
      <c r="AF117" s="1">
        <v>6.2</v>
      </c>
      <c r="AG117" s="1">
        <v>2</v>
      </c>
      <c r="AH117" s="1">
        <v>3.4</v>
      </c>
      <c r="AI117" s="1">
        <v>4</v>
      </c>
      <c r="AJ117" s="1" t="s">
        <v>180</v>
      </c>
      <c r="AK117" s="1">
        <f t="shared" si="28"/>
        <v>6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161</v>
      </c>
      <c r="B118" s="1" t="s">
        <v>39</v>
      </c>
      <c r="C118" s="1">
        <v>82.674999999999997</v>
      </c>
      <c r="D118" s="1">
        <v>117.998</v>
      </c>
      <c r="E118" s="1">
        <v>37.746000000000002</v>
      </c>
      <c r="F118" s="1">
        <v>152.58600000000001</v>
      </c>
      <c r="G118" s="7">
        <v>1</v>
      </c>
      <c r="H118" s="1">
        <v>60</v>
      </c>
      <c r="I118" s="1" t="s">
        <v>40</v>
      </c>
      <c r="J118" s="1"/>
      <c r="K118" s="1">
        <v>42.768999999999998</v>
      </c>
      <c r="L118" s="1">
        <f t="shared" si="33"/>
        <v>-5.0229999999999961</v>
      </c>
      <c r="M118" s="1"/>
      <c r="N118" s="1"/>
      <c r="O118" s="1">
        <v>0</v>
      </c>
      <c r="P118" s="1"/>
      <c r="Q118" s="1"/>
      <c r="R118" s="1"/>
      <c r="S118" s="1">
        <v>0</v>
      </c>
      <c r="T118" s="1">
        <f t="shared" si="34"/>
        <v>7.5492000000000008</v>
      </c>
      <c r="U118" s="5"/>
      <c r="V118" s="5">
        <f t="shared" si="29"/>
        <v>0</v>
      </c>
      <c r="W118" s="1"/>
      <c r="X118" s="1">
        <f t="shared" si="27"/>
        <v>20.212207916070575</v>
      </c>
      <c r="Y118" s="1">
        <f t="shared" si="35"/>
        <v>20.212207916070575</v>
      </c>
      <c r="Z118" s="1">
        <v>5.8979999999999997</v>
      </c>
      <c r="AA118" s="1">
        <v>11.662599999999999</v>
      </c>
      <c r="AB118" s="1">
        <v>14.193199999999999</v>
      </c>
      <c r="AC118" s="1">
        <v>18.148800000000001</v>
      </c>
      <c r="AD118" s="1">
        <v>14.731400000000001</v>
      </c>
      <c r="AE118" s="1">
        <v>11.702199999999999</v>
      </c>
      <c r="AF118" s="1">
        <v>16.356999999999999</v>
      </c>
      <c r="AG118" s="1">
        <v>14.2948</v>
      </c>
      <c r="AH118" s="1">
        <v>16.265000000000001</v>
      </c>
      <c r="AI118" s="1">
        <v>16.506799999999998</v>
      </c>
      <c r="AJ118" s="1"/>
      <c r="AK118" s="1">
        <f t="shared" si="28"/>
        <v>0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 t="s">
        <v>162</v>
      </c>
      <c r="B119" s="1" t="s">
        <v>39</v>
      </c>
      <c r="C119" s="1">
        <v>197.07900000000001</v>
      </c>
      <c r="D119" s="1">
        <v>119.943</v>
      </c>
      <c r="E119" s="1">
        <v>56.277999999999999</v>
      </c>
      <c r="F119" s="1">
        <v>246.709</v>
      </c>
      <c r="G119" s="7">
        <v>1</v>
      </c>
      <c r="H119" s="1">
        <v>60</v>
      </c>
      <c r="I119" s="1" t="s">
        <v>40</v>
      </c>
      <c r="J119" s="1"/>
      <c r="K119" s="1">
        <v>68.349999999999994</v>
      </c>
      <c r="L119" s="1">
        <f t="shared" si="33"/>
        <v>-12.071999999999996</v>
      </c>
      <c r="M119" s="1"/>
      <c r="N119" s="1"/>
      <c r="O119" s="1">
        <v>0</v>
      </c>
      <c r="P119" s="1"/>
      <c r="Q119" s="1"/>
      <c r="R119" s="1"/>
      <c r="S119" s="1">
        <v>0</v>
      </c>
      <c r="T119" s="1">
        <f t="shared" si="34"/>
        <v>11.255599999999999</v>
      </c>
      <c r="U119" s="5"/>
      <c r="V119" s="5">
        <f t="shared" si="29"/>
        <v>0</v>
      </c>
      <c r="W119" s="1"/>
      <c r="X119" s="1">
        <f t="shared" si="27"/>
        <v>21.918778208180818</v>
      </c>
      <c r="Y119" s="1">
        <f t="shared" si="35"/>
        <v>21.918778208180818</v>
      </c>
      <c r="Z119" s="1">
        <v>13.8432</v>
      </c>
      <c r="AA119" s="1">
        <v>24.488800000000001</v>
      </c>
      <c r="AB119" s="1">
        <v>27.658799999999999</v>
      </c>
      <c r="AC119" s="1">
        <v>32.487400000000001</v>
      </c>
      <c r="AD119" s="1">
        <v>32.491</v>
      </c>
      <c r="AE119" s="1">
        <v>33.539200000000001</v>
      </c>
      <c r="AF119" s="1">
        <v>38.166400000000003</v>
      </c>
      <c r="AG119" s="1">
        <v>33.573999999999998</v>
      </c>
      <c r="AH119" s="1">
        <v>28.9922</v>
      </c>
      <c r="AI119" s="1">
        <v>22.5944</v>
      </c>
      <c r="AJ119" s="17" t="s">
        <v>142</v>
      </c>
      <c r="AK119" s="1">
        <f t="shared" si="28"/>
        <v>0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 t="s">
        <v>163</v>
      </c>
      <c r="B120" s="1" t="s">
        <v>39</v>
      </c>
      <c r="C120" s="1">
        <v>66.340999999999994</v>
      </c>
      <c r="D120" s="1">
        <v>4.1109999999999998</v>
      </c>
      <c r="E120" s="1">
        <v>26.51</v>
      </c>
      <c r="F120" s="1">
        <v>40.773000000000003</v>
      </c>
      <c r="G120" s="7">
        <v>1</v>
      </c>
      <c r="H120" s="1">
        <v>60</v>
      </c>
      <c r="I120" s="1" t="s">
        <v>40</v>
      </c>
      <c r="J120" s="1"/>
      <c r="K120" s="1">
        <v>24.254000000000001</v>
      </c>
      <c r="L120" s="1">
        <f t="shared" si="33"/>
        <v>2.2560000000000002</v>
      </c>
      <c r="M120" s="1"/>
      <c r="N120" s="1"/>
      <c r="O120" s="1">
        <v>11.00720000000001</v>
      </c>
      <c r="P120" s="1"/>
      <c r="Q120" s="1"/>
      <c r="R120" s="1"/>
      <c r="S120" s="1">
        <v>0</v>
      </c>
      <c r="T120" s="1">
        <f t="shared" si="34"/>
        <v>5.3020000000000005</v>
      </c>
      <c r="U120" s="5">
        <f t="shared" si="37"/>
        <v>11.843799999999995</v>
      </c>
      <c r="V120" s="5">
        <f t="shared" ref="V120:V126" si="38">T120*($V$1-Y120)</f>
        <v>27.749799999999997</v>
      </c>
      <c r="W120" s="1"/>
      <c r="X120" s="1">
        <f t="shared" si="27"/>
        <v>15.000000000000002</v>
      </c>
      <c r="Y120" s="1">
        <f t="shared" si="35"/>
        <v>9.7661637118068665</v>
      </c>
      <c r="Z120" s="1">
        <v>3.3967999999999998</v>
      </c>
      <c r="AA120" s="1">
        <v>6.5150000000000006</v>
      </c>
      <c r="AB120" s="1">
        <v>7.4676</v>
      </c>
      <c r="AC120" s="1">
        <v>6.0911999999999997</v>
      </c>
      <c r="AD120" s="1">
        <v>8.3735999999999997</v>
      </c>
      <c r="AE120" s="1">
        <v>6.7864000000000004</v>
      </c>
      <c r="AF120" s="1">
        <v>2.7437999999999998</v>
      </c>
      <c r="AG120" s="1">
        <v>5.9551999999999996</v>
      </c>
      <c r="AH120" s="1">
        <v>7.2919999999999998</v>
      </c>
      <c r="AI120" s="1">
        <v>3.9214000000000002</v>
      </c>
      <c r="AJ120" s="1"/>
      <c r="AK120" s="1">
        <f t="shared" si="28"/>
        <v>28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 t="s">
        <v>164</v>
      </c>
      <c r="B121" s="1" t="s">
        <v>39</v>
      </c>
      <c r="C121" s="1">
        <v>2093.2849999999999</v>
      </c>
      <c r="D121" s="1">
        <v>47.320999999999998</v>
      </c>
      <c r="E121" s="1">
        <v>651.29300000000001</v>
      </c>
      <c r="F121" s="1">
        <v>1391.5129999999999</v>
      </c>
      <c r="G121" s="7">
        <v>1</v>
      </c>
      <c r="H121" s="1">
        <v>60</v>
      </c>
      <c r="I121" s="1" t="s">
        <v>40</v>
      </c>
      <c r="J121" s="1"/>
      <c r="K121" s="1">
        <v>767.42</v>
      </c>
      <c r="L121" s="1">
        <f t="shared" si="33"/>
        <v>-116.12699999999995</v>
      </c>
      <c r="M121" s="1"/>
      <c r="N121" s="1"/>
      <c r="O121" s="1">
        <v>0</v>
      </c>
      <c r="P121" s="1"/>
      <c r="Q121" s="1"/>
      <c r="R121" s="1">
        <v>600</v>
      </c>
      <c r="S121" s="1">
        <v>0</v>
      </c>
      <c r="T121" s="1">
        <f t="shared" si="34"/>
        <v>130.2586</v>
      </c>
      <c r="U121" s="5"/>
      <c r="V121" s="5">
        <v>250</v>
      </c>
      <c r="W121" s="1"/>
      <c r="X121" s="1">
        <f t="shared" si="27"/>
        <v>17.208176657817603</v>
      </c>
      <c r="Y121" s="1">
        <f t="shared" si="35"/>
        <v>15.288917583944553</v>
      </c>
      <c r="Z121" s="1">
        <v>161.93</v>
      </c>
      <c r="AA121" s="1">
        <v>151.02940000000001</v>
      </c>
      <c r="AB121" s="1">
        <v>117.4376</v>
      </c>
      <c r="AC121" s="1">
        <v>168.51339999999999</v>
      </c>
      <c r="AD121" s="1">
        <v>198.84460000000001</v>
      </c>
      <c r="AE121" s="1">
        <v>196.62360000000001</v>
      </c>
      <c r="AF121" s="1">
        <v>210.56399999999999</v>
      </c>
      <c r="AG121" s="1">
        <v>163.96199999999999</v>
      </c>
      <c r="AH121" s="1">
        <v>143.77440000000001</v>
      </c>
      <c r="AI121" s="1">
        <v>106.32680000000001</v>
      </c>
      <c r="AJ121" s="1"/>
      <c r="AK121" s="1">
        <f t="shared" si="28"/>
        <v>250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 t="s">
        <v>165</v>
      </c>
      <c r="B122" s="1" t="s">
        <v>46</v>
      </c>
      <c r="C122" s="1">
        <v>202</v>
      </c>
      <c r="D122" s="1">
        <v>2</v>
      </c>
      <c r="E122" s="1">
        <v>201</v>
      </c>
      <c r="F122" s="1">
        <v>3</v>
      </c>
      <c r="G122" s="7">
        <v>0.25</v>
      </c>
      <c r="H122" s="1"/>
      <c r="I122" s="1" t="s">
        <v>40</v>
      </c>
      <c r="J122" s="1"/>
      <c r="K122" s="1">
        <v>220</v>
      </c>
      <c r="L122" s="1">
        <f t="shared" si="33"/>
        <v>-19</v>
      </c>
      <c r="M122" s="1"/>
      <c r="N122" s="1"/>
      <c r="O122" s="1">
        <v>0</v>
      </c>
      <c r="P122" s="1"/>
      <c r="Q122" s="1"/>
      <c r="R122" s="1"/>
      <c r="S122" s="1">
        <v>0</v>
      </c>
      <c r="T122" s="1">
        <f t="shared" si="34"/>
        <v>40.200000000000003</v>
      </c>
      <c r="U122" s="5">
        <v>500</v>
      </c>
      <c r="V122" s="5">
        <f t="shared" si="38"/>
        <v>600.00000000000011</v>
      </c>
      <c r="W122" s="1"/>
      <c r="X122" s="1">
        <f t="shared" si="27"/>
        <v>15.000000000000002</v>
      </c>
      <c r="Y122" s="1">
        <f t="shared" si="35"/>
        <v>7.4626865671641784E-2</v>
      </c>
      <c r="Z122" s="1">
        <v>33.799999999999997</v>
      </c>
      <c r="AA122" s="1">
        <v>0</v>
      </c>
      <c r="AB122" s="1">
        <v>0</v>
      </c>
      <c r="AC122" s="1">
        <v>0</v>
      </c>
      <c r="AD122" s="1">
        <v>0.05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8" t="s">
        <v>182</v>
      </c>
      <c r="AK122" s="1">
        <f t="shared" si="28"/>
        <v>150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 t="s">
        <v>166</v>
      </c>
      <c r="B123" s="1" t="s">
        <v>46</v>
      </c>
      <c r="C123" s="1">
        <v>204</v>
      </c>
      <c r="D123" s="1">
        <v>5</v>
      </c>
      <c r="E123" s="13">
        <f>97+E130</f>
        <v>106</v>
      </c>
      <c r="F123" s="13">
        <f>107+F130</f>
        <v>98</v>
      </c>
      <c r="G123" s="7">
        <v>0.32500000000000001</v>
      </c>
      <c r="H123" s="1"/>
      <c r="I123" s="1" t="s">
        <v>40</v>
      </c>
      <c r="J123" s="1"/>
      <c r="K123" s="1">
        <v>100</v>
      </c>
      <c r="L123" s="1">
        <f t="shared" si="33"/>
        <v>6</v>
      </c>
      <c r="M123" s="1"/>
      <c r="N123" s="1"/>
      <c r="O123" s="1">
        <v>0</v>
      </c>
      <c r="P123" s="1"/>
      <c r="Q123" s="1"/>
      <c r="R123" s="1"/>
      <c r="S123" s="1">
        <v>0</v>
      </c>
      <c r="T123" s="1">
        <f t="shared" si="34"/>
        <v>21.2</v>
      </c>
      <c r="U123" s="5">
        <v>500</v>
      </c>
      <c r="V123" s="5">
        <f t="shared" si="38"/>
        <v>220</v>
      </c>
      <c r="W123" s="1"/>
      <c r="X123" s="1">
        <f t="shared" si="27"/>
        <v>15</v>
      </c>
      <c r="Y123" s="1">
        <f t="shared" si="35"/>
        <v>4.6226415094339623</v>
      </c>
      <c r="Z123" s="1">
        <v>15.8</v>
      </c>
      <c r="AA123" s="1">
        <v>0</v>
      </c>
      <c r="AB123" s="1">
        <v>0</v>
      </c>
      <c r="AC123" s="1">
        <v>0</v>
      </c>
      <c r="AD123" s="1">
        <v>6.5000000000000002E-2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8" t="s">
        <v>182</v>
      </c>
      <c r="AK123" s="1">
        <f t="shared" si="28"/>
        <v>72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 t="s">
        <v>167</v>
      </c>
      <c r="B124" s="1" t="s">
        <v>46</v>
      </c>
      <c r="C124" s="1">
        <v>202</v>
      </c>
      <c r="D124" s="1">
        <v>3</v>
      </c>
      <c r="E124" s="1">
        <v>202</v>
      </c>
      <c r="F124" s="1">
        <v>2</v>
      </c>
      <c r="G124" s="7">
        <v>0.25</v>
      </c>
      <c r="H124" s="1"/>
      <c r="I124" s="1" t="s">
        <v>40</v>
      </c>
      <c r="J124" s="1"/>
      <c r="K124" s="1">
        <v>223</v>
      </c>
      <c r="L124" s="1">
        <f t="shared" si="33"/>
        <v>-21</v>
      </c>
      <c r="M124" s="1"/>
      <c r="N124" s="1"/>
      <c r="O124" s="1">
        <v>0</v>
      </c>
      <c r="P124" s="1"/>
      <c r="Q124" s="1"/>
      <c r="R124" s="1"/>
      <c r="S124" s="1">
        <v>0</v>
      </c>
      <c r="T124" s="1">
        <f t="shared" si="34"/>
        <v>40.4</v>
      </c>
      <c r="U124" s="5">
        <v>500</v>
      </c>
      <c r="V124" s="5">
        <f t="shared" si="38"/>
        <v>604</v>
      </c>
      <c r="W124" s="1"/>
      <c r="X124" s="1">
        <f t="shared" si="27"/>
        <v>15</v>
      </c>
      <c r="Y124" s="1">
        <f t="shared" si="35"/>
        <v>4.9504950495049507E-2</v>
      </c>
      <c r="Z124" s="1">
        <v>34.4</v>
      </c>
      <c r="AA124" s="1">
        <v>0</v>
      </c>
      <c r="AB124" s="1">
        <v>0</v>
      </c>
      <c r="AC124" s="1">
        <v>0</v>
      </c>
      <c r="AD124" s="1">
        <v>0.05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8" t="s">
        <v>182</v>
      </c>
      <c r="AK124" s="1">
        <f t="shared" si="28"/>
        <v>151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 t="s">
        <v>168</v>
      </c>
      <c r="B125" s="1" t="s">
        <v>46</v>
      </c>
      <c r="C125" s="1">
        <v>250</v>
      </c>
      <c r="D125" s="1">
        <v>6</v>
      </c>
      <c r="E125" s="1">
        <v>161</v>
      </c>
      <c r="F125" s="1">
        <v>75</v>
      </c>
      <c r="G125" s="7">
        <v>0.3</v>
      </c>
      <c r="H125" s="1">
        <v>40</v>
      </c>
      <c r="I125" s="1" t="s">
        <v>40</v>
      </c>
      <c r="J125" s="1"/>
      <c r="K125" s="1">
        <v>186</v>
      </c>
      <c r="L125" s="1">
        <f t="shared" si="33"/>
        <v>-25</v>
      </c>
      <c r="M125" s="1"/>
      <c r="N125" s="1"/>
      <c r="O125" s="1">
        <v>159.80000000000001</v>
      </c>
      <c r="P125" s="1"/>
      <c r="Q125" s="1">
        <v>102.12</v>
      </c>
      <c r="R125" s="1"/>
      <c r="S125" s="1">
        <v>0</v>
      </c>
      <c r="T125" s="1">
        <f t="shared" si="34"/>
        <v>32.200000000000003</v>
      </c>
      <c r="U125" s="5">
        <f t="shared" si="37"/>
        <v>49.480000000000018</v>
      </c>
      <c r="V125" s="5">
        <f t="shared" si="38"/>
        <v>146.08000000000001</v>
      </c>
      <c r="W125" s="1"/>
      <c r="X125" s="1">
        <f t="shared" si="27"/>
        <v>14.999999999999998</v>
      </c>
      <c r="Y125" s="1">
        <f t="shared" si="35"/>
        <v>10.463354037267081</v>
      </c>
      <c r="Z125" s="1">
        <v>32</v>
      </c>
      <c r="AA125" s="1">
        <v>44.4</v>
      </c>
      <c r="AB125" s="1">
        <v>38.4</v>
      </c>
      <c r="AC125" s="1">
        <v>19.399999999999999</v>
      </c>
      <c r="AD125" s="1">
        <v>29</v>
      </c>
      <c r="AE125" s="1">
        <v>46.8</v>
      </c>
      <c r="AF125" s="1">
        <v>49.4</v>
      </c>
      <c r="AG125" s="1">
        <v>40.200000000000003</v>
      </c>
      <c r="AH125" s="1">
        <v>31.4</v>
      </c>
      <c r="AI125" s="1">
        <v>26.8</v>
      </c>
      <c r="AJ125" s="1"/>
      <c r="AK125" s="1">
        <f t="shared" si="28"/>
        <v>44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 t="s">
        <v>169</v>
      </c>
      <c r="B126" s="1" t="s">
        <v>46</v>
      </c>
      <c r="C126" s="1">
        <v>352</v>
      </c>
      <c r="D126" s="1">
        <v>4</v>
      </c>
      <c r="E126" s="1">
        <v>126</v>
      </c>
      <c r="F126" s="1">
        <v>201</v>
      </c>
      <c r="G126" s="7">
        <v>0.3</v>
      </c>
      <c r="H126" s="1">
        <v>40</v>
      </c>
      <c r="I126" s="1" t="s">
        <v>40</v>
      </c>
      <c r="J126" s="1"/>
      <c r="K126" s="1">
        <v>159</v>
      </c>
      <c r="L126" s="1">
        <f t="shared" si="33"/>
        <v>-33</v>
      </c>
      <c r="M126" s="1"/>
      <c r="N126" s="1"/>
      <c r="O126" s="1">
        <v>0</v>
      </c>
      <c r="P126" s="1"/>
      <c r="Q126" s="1"/>
      <c r="R126" s="1"/>
      <c r="S126" s="1">
        <v>0</v>
      </c>
      <c r="T126" s="1">
        <f t="shared" si="34"/>
        <v>25.2</v>
      </c>
      <c r="U126" s="5">
        <f t="shared" si="37"/>
        <v>101.39999999999998</v>
      </c>
      <c r="V126" s="5">
        <f t="shared" si="38"/>
        <v>177</v>
      </c>
      <c r="W126" s="1"/>
      <c r="X126" s="1">
        <f t="shared" si="27"/>
        <v>15</v>
      </c>
      <c r="Y126" s="1">
        <f t="shared" si="35"/>
        <v>7.9761904761904763</v>
      </c>
      <c r="Z126" s="1">
        <v>24.6</v>
      </c>
      <c r="AA126" s="1">
        <v>23.6</v>
      </c>
      <c r="AB126" s="1">
        <v>18.399999999999999</v>
      </c>
      <c r="AC126" s="1">
        <v>7.4</v>
      </c>
      <c r="AD126" s="1">
        <v>13.2</v>
      </c>
      <c r="AE126" s="1">
        <v>39.200000000000003</v>
      </c>
      <c r="AF126" s="1">
        <v>42.6</v>
      </c>
      <c r="AG126" s="1">
        <v>33.4</v>
      </c>
      <c r="AH126" s="1">
        <v>20.399999999999999</v>
      </c>
      <c r="AI126" s="1">
        <v>10.4</v>
      </c>
      <c r="AJ126" s="1"/>
      <c r="AK126" s="1">
        <f t="shared" si="28"/>
        <v>53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 t="s">
        <v>170</v>
      </c>
      <c r="B127" s="1" t="s">
        <v>39</v>
      </c>
      <c r="C127" s="1">
        <v>28.529</v>
      </c>
      <c r="D127" s="1">
        <v>23.334</v>
      </c>
      <c r="E127" s="1">
        <v>10.629</v>
      </c>
      <c r="F127" s="1">
        <v>39.584000000000003</v>
      </c>
      <c r="G127" s="7">
        <v>1</v>
      </c>
      <c r="H127" s="1">
        <v>50</v>
      </c>
      <c r="I127" s="1" t="s">
        <v>40</v>
      </c>
      <c r="J127" s="1"/>
      <c r="K127" s="1">
        <v>12.1</v>
      </c>
      <c r="L127" s="1">
        <f t="shared" si="33"/>
        <v>-1.4710000000000001</v>
      </c>
      <c r="M127" s="1"/>
      <c r="N127" s="1"/>
      <c r="O127" s="1">
        <v>0</v>
      </c>
      <c r="P127" s="1"/>
      <c r="Q127" s="1"/>
      <c r="R127" s="1"/>
      <c r="S127" s="1">
        <v>0</v>
      </c>
      <c r="T127" s="1">
        <f t="shared" si="34"/>
        <v>2.1257999999999999</v>
      </c>
      <c r="U127" s="5"/>
      <c r="V127" s="5">
        <f t="shared" si="29"/>
        <v>0</v>
      </c>
      <c r="W127" s="1"/>
      <c r="X127" s="1">
        <f t="shared" si="27"/>
        <v>18.620754539467498</v>
      </c>
      <c r="Y127" s="1">
        <f t="shared" si="35"/>
        <v>18.620754539467498</v>
      </c>
      <c r="Z127" s="1">
        <v>2.6814</v>
      </c>
      <c r="AA127" s="1">
        <v>3.0156000000000001</v>
      </c>
      <c r="AB127" s="1">
        <v>2.7410000000000001</v>
      </c>
      <c r="AC127" s="1">
        <v>3.8424</v>
      </c>
      <c r="AD127" s="1">
        <v>3.2942</v>
      </c>
      <c r="AE127" s="1">
        <v>3.3081999999999998</v>
      </c>
      <c r="AF127" s="1">
        <v>3.577</v>
      </c>
      <c r="AG127" s="1">
        <v>3.5870000000000002</v>
      </c>
      <c r="AH127" s="1">
        <v>3.0451999999999999</v>
      </c>
      <c r="AI127" s="1">
        <v>0.82739999999999991</v>
      </c>
      <c r="AJ127" s="1"/>
      <c r="AK127" s="1">
        <f t="shared" si="28"/>
        <v>0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 t="s">
        <v>171</v>
      </c>
      <c r="B128" s="1" t="s">
        <v>46</v>
      </c>
      <c r="C128" s="1">
        <v>127</v>
      </c>
      <c r="D128" s="1">
        <v>73</v>
      </c>
      <c r="E128" s="1">
        <v>98</v>
      </c>
      <c r="F128" s="1">
        <v>86</v>
      </c>
      <c r="G128" s="7">
        <v>0.3</v>
      </c>
      <c r="H128" s="1">
        <v>40</v>
      </c>
      <c r="I128" s="12" t="s">
        <v>68</v>
      </c>
      <c r="J128" s="1"/>
      <c r="K128" s="1">
        <v>117</v>
      </c>
      <c r="L128" s="1">
        <f t="shared" si="33"/>
        <v>-19</v>
      </c>
      <c r="M128" s="1"/>
      <c r="N128" s="1"/>
      <c r="O128" s="1">
        <v>0</v>
      </c>
      <c r="P128" s="1"/>
      <c r="Q128" s="1"/>
      <c r="R128" s="1"/>
      <c r="S128" s="1">
        <v>0</v>
      </c>
      <c r="T128" s="1">
        <f t="shared" si="34"/>
        <v>19.600000000000001</v>
      </c>
      <c r="U128" s="19">
        <v>50</v>
      </c>
      <c r="V128" s="5">
        <v>80</v>
      </c>
      <c r="W128" s="1"/>
      <c r="X128" s="1">
        <f t="shared" si="27"/>
        <v>8.4693877551020407</v>
      </c>
      <c r="Y128" s="1">
        <f t="shared" si="35"/>
        <v>4.3877551020408161</v>
      </c>
      <c r="Z128" s="1">
        <v>19.8</v>
      </c>
      <c r="AA128" s="1">
        <v>17.600000000000001</v>
      </c>
      <c r="AB128" s="1">
        <v>21.6</v>
      </c>
      <c r="AC128" s="1">
        <v>22.8</v>
      </c>
      <c r="AD128" s="1">
        <v>13.4</v>
      </c>
      <c r="AE128" s="1">
        <v>-0.8</v>
      </c>
      <c r="AF128" s="1">
        <v>11.6</v>
      </c>
      <c r="AG128" s="1">
        <v>28.8</v>
      </c>
      <c r="AH128" s="1">
        <v>24</v>
      </c>
      <c r="AI128" s="1">
        <v>22.4</v>
      </c>
      <c r="AJ128" s="1"/>
      <c r="AK128" s="1">
        <f t="shared" si="28"/>
        <v>24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 t="s">
        <v>172</v>
      </c>
      <c r="B129" s="1" t="s">
        <v>46</v>
      </c>
      <c r="C129" s="1">
        <v>65</v>
      </c>
      <c r="D129" s="1">
        <v>15</v>
      </c>
      <c r="E129" s="1">
        <v>28</v>
      </c>
      <c r="F129" s="1">
        <v>46</v>
      </c>
      <c r="G129" s="7">
        <v>0.12</v>
      </c>
      <c r="H129" s="1">
        <v>45</v>
      </c>
      <c r="I129" s="1" t="s">
        <v>40</v>
      </c>
      <c r="J129" s="1"/>
      <c r="K129" s="1">
        <v>34</v>
      </c>
      <c r="L129" s="1">
        <f t="shared" si="33"/>
        <v>-6</v>
      </c>
      <c r="M129" s="1"/>
      <c r="N129" s="1"/>
      <c r="O129" s="1">
        <v>47.399999999999991</v>
      </c>
      <c r="P129" s="1"/>
      <c r="Q129" s="1"/>
      <c r="R129" s="1"/>
      <c r="S129" s="1">
        <v>0</v>
      </c>
      <c r="T129" s="1">
        <f t="shared" si="34"/>
        <v>5.6</v>
      </c>
      <c r="U129" s="5"/>
      <c r="V129" s="5">
        <f t="shared" si="29"/>
        <v>0</v>
      </c>
      <c r="W129" s="1"/>
      <c r="X129" s="1">
        <f t="shared" si="27"/>
        <v>16.678571428571427</v>
      </c>
      <c r="Y129" s="1">
        <f t="shared" si="35"/>
        <v>16.678571428571427</v>
      </c>
      <c r="Z129" s="1">
        <v>5.4</v>
      </c>
      <c r="AA129" s="1">
        <v>8</v>
      </c>
      <c r="AB129" s="1">
        <v>11.2</v>
      </c>
      <c r="AC129" s="1">
        <v>9.1999999999999993</v>
      </c>
      <c r="AD129" s="1">
        <v>4.5999999999999996</v>
      </c>
      <c r="AE129" s="1">
        <v>8.1999999999999993</v>
      </c>
      <c r="AF129" s="1">
        <v>12.6</v>
      </c>
      <c r="AG129" s="1">
        <v>9.1999999999999993</v>
      </c>
      <c r="AH129" s="1">
        <v>8.6</v>
      </c>
      <c r="AI129" s="1">
        <v>8.8000000000000007</v>
      </c>
      <c r="AJ129" s="15" t="s">
        <v>58</v>
      </c>
      <c r="AK129" s="1">
        <f t="shared" si="28"/>
        <v>0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9" t="s">
        <v>173</v>
      </c>
      <c r="B130" s="9" t="s">
        <v>46</v>
      </c>
      <c r="C130" s="9"/>
      <c r="D130" s="9"/>
      <c r="E130" s="13">
        <v>9</v>
      </c>
      <c r="F130" s="13">
        <v>-9</v>
      </c>
      <c r="G130" s="10">
        <v>0</v>
      </c>
      <c r="H130" s="9"/>
      <c r="I130" s="9" t="s">
        <v>174</v>
      </c>
      <c r="J130" s="9" t="s">
        <v>166</v>
      </c>
      <c r="K130" s="9">
        <v>9</v>
      </c>
      <c r="L130" s="9">
        <f t="shared" si="33"/>
        <v>0</v>
      </c>
      <c r="M130" s="9"/>
      <c r="N130" s="9"/>
      <c r="O130" s="9"/>
      <c r="P130" s="9"/>
      <c r="Q130" s="9"/>
      <c r="R130" s="9"/>
      <c r="S130" s="9"/>
      <c r="T130" s="9">
        <f t="shared" si="34"/>
        <v>1.8</v>
      </c>
      <c r="U130" s="11"/>
      <c r="V130" s="5">
        <f t="shared" si="29"/>
        <v>0</v>
      </c>
      <c r="W130" s="9"/>
      <c r="X130" s="1">
        <f t="shared" si="27"/>
        <v>-5</v>
      </c>
      <c r="Y130" s="9">
        <f t="shared" si="35"/>
        <v>-5</v>
      </c>
      <c r="Z130" s="9">
        <v>1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/>
      <c r="AK130" s="1">
        <f t="shared" si="28"/>
        <v>0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9" t="s">
        <v>175</v>
      </c>
      <c r="B131" s="9" t="s">
        <v>46</v>
      </c>
      <c r="C131" s="9">
        <v>120</v>
      </c>
      <c r="D131" s="9"/>
      <c r="E131" s="9"/>
      <c r="F131" s="13">
        <v>120</v>
      </c>
      <c r="G131" s="10">
        <v>0</v>
      </c>
      <c r="H131" s="9"/>
      <c r="I131" s="9" t="s">
        <v>176</v>
      </c>
      <c r="J131" s="9" t="s">
        <v>81</v>
      </c>
      <c r="K131" s="9"/>
      <c r="L131" s="9">
        <f t="shared" si="33"/>
        <v>0</v>
      </c>
      <c r="M131" s="9"/>
      <c r="N131" s="9"/>
      <c r="O131" s="9"/>
      <c r="P131" s="9"/>
      <c r="Q131" s="9"/>
      <c r="R131" s="9"/>
      <c r="S131" s="9">
        <v>0</v>
      </c>
      <c r="T131" s="9">
        <f t="shared" si="34"/>
        <v>0</v>
      </c>
      <c r="U131" s="11"/>
      <c r="V131" s="5">
        <f t="shared" si="29"/>
        <v>0</v>
      </c>
      <c r="W131" s="9"/>
      <c r="X131" s="1" t="e">
        <f t="shared" si="27"/>
        <v>#DIV/0!</v>
      </c>
      <c r="Y131" s="9" t="e">
        <f t="shared" si="35"/>
        <v>#DIV/0!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/>
      <c r="AK131" s="1">
        <f t="shared" si="28"/>
        <v>0</v>
      </c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K13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2026-08-06T10:37:33Z</dcterms:created>
  <dcterms:modified xsi:type="dcterms:W3CDTF">2026-08-11T09:57:33Z</dcterms:modified>
</cp:coreProperties>
</file>