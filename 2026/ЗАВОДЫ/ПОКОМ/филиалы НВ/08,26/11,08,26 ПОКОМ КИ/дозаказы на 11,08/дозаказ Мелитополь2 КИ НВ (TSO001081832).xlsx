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F3A745C-9B6F-4BB9-A389-4C626B9055D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N521" i="2"/>
  <c r="BM521" i="2"/>
  <c r="Y521" i="2"/>
  <c r="BP521" i="2" s="1"/>
  <c r="P521" i="2"/>
  <c r="BO520" i="2"/>
  <c r="BM520" i="2"/>
  <c r="Y520" i="2"/>
  <c r="P520" i="2"/>
  <c r="BO519" i="2"/>
  <c r="BM519" i="2"/>
  <c r="Z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Z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N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N500" i="2"/>
  <c r="BM500" i="2"/>
  <c r="Y500" i="2"/>
  <c r="Z500" i="2" s="1"/>
  <c r="P500" i="2"/>
  <c r="BO499" i="2"/>
  <c r="BM499" i="2"/>
  <c r="Y499" i="2"/>
  <c r="P499" i="2"/>
  <c r="X495" i="2"/>
  <c r="X494" i="2"/>
  <c r="BO493" i="2"/>
  <c r="BN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Z474" i="2"/>
  <c r="Y474" i="2"/>
  <c r="BP474" i="2" s="1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N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N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N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N426" i="2"/>
  <c r="BM426" i="2"/>
  <c r="Y426" i="2"/>
  <c r="P426" i="2"/>
  <c r="X422" i="2"/>
  <c r="X421" i="2"/>
  <c r="BO420" i="2"/>
  <c r="BM420" i="2"/>
  <c r="Y420" i="2"/>
  <c r="P420" i="2"/>
  <c r="BO419" i="2"/>
  <c r="BN419" i="2"/>
  <c r="BM419" i="2"/>
  <c r="Y419" i="2"/>
  <c r="BP419" i="2" s="1"/>
  <c r="P419" i="2"/>
  <c r="BP418" i="2"/>
  <c r="BO418" i="2"/>
  <c r="BN418" i="2"/>
  <c r="BM418" i="2"/>
  <c r="Z418" i="2"/>
  <c r="Y418" i="2"/>
  <c r="Y421" i="2" s="1"/>
  <c r="P418" i="2"/>
  <c r="X415" i="2"/>
  <c r="X414" i="2"/>
  <c r="BO413" i="2"/>
  <c r="BM413" i="2"/>
  <c r="Y413" i="2"/>
  <c r="BP413" i="2" s="1"/>
  <c r="BO412" i="2"/>
  <c r="BN412" i="2"/>
  <c r="BM412" i="2"/>
  <c r="Y412" i="2"/>
  <c r="X409" i="2"/>
  <c r="X408" i="2"/>
  <c r="BO407" i="2"/>
  <c r="BN407" i="2"/>
  <c r="BM407" i="2"/>
  <c r="Y407" i="2"/>
  <c r="BP407" i="2" s="1"/>
  <c r="P407" i="2"/>
  <c r="BP406" i="2"/>
  <c r="BO406" i="2"/>
  <c r="BN406" i="2"/>
  <c r="BM406" i="2"/>
  <c r="Z406" i="2"/>
  <c r="Y406" i="2"/>
  <c r="P406" i="2"/>
  <c r="BO405" i="2"/>
  <c r="BM405" i="2"/>
  <c r="Y405" i="2"/>
  <c r="Y409" i="2" s="1"/>
  <c r="P405" i="2"/>
  <c r="X403" i="2"/>
  <c r="X402" i="2"/>
  <c r="BP401" i="2"/>
  <c r="BO401" i="2"/>
  <c r="BM401" i="2"/>
  <c r="Y401" i="2"/>
  <c r="BN401" i="2" s="1"/>
  <c r="P401" i="2"/>
  <c r="BO400" i="2"/>
  <c r="BM400" i="2"/>
  <c r="Y400" i="2"/>
  <c r="P400" i="2"/>
  <c r="BO399" i="2"/>
  <c r="BM399" i="2"/>
  <c r="Z399" i="2"/>
  <c r="Y399" i="2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Z388" i="2"/>
  <c r="Y388" i="2"/>
  <c r="BP388" i="2" s="1"/>
  <c r="P388" i="2"/>
  <c r="BO387" i="2"/>
  <c r="BM387" i="2"/>
  <c r="Z387" i="2"/>
  <c r="Y387" i="2"/>
  <c r="BP387" i="2" s="1"/>
  <c r="P387" i="2"/>
  <c r="BP386" i="2"/>
  <c r="BO386" i="2"/>
  <c r="BM386" i="2"/>
  <c r="Z386" i="2"/>
  <c r="Z389" i="2" s="1"/>
  <c r="Y386" i="2"/>
  <c r="Y389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N380" i="2"/>
  <c r="BM380" i="2"/>
  <c r="Y380" i="2"/>
  <c r="BP380" i="2" s="1"/>
  <c r="P380" i="2"/>
  <c r="BO379" i="2"/>
  <c r="BM379" i="2"/>
  <c r="Y379" i="2"/>
  <c r="P379" i="2"/>
  <c r="X377" i="2"/>
  <c r="X376" i="2"/>
  <c r="BP375" i="2"/>
  <c r="BO375" i="2"/>
  <c r="BM375" i="2"/>
  <c r="Z375" i="2"/>
  <c r="Y375" i="2"/>
  <c r="BN375" i="2" s="1"/>
  <c r="P375" i="2"/>
  <c r="BO374" i="2"/>
  <c r="BM374" i="2"/>
  <c r="Y374" i="2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P365" i="2"/>
  <c r="BO365" i="2"/>
  <c r="BM365" i="2"/>
  <c r="Z365" i="2"/>
  <c r="Y365" i="2"/>
  <c r="BN365" i="2" s="1"/>
  <c r="P365" i="2"/>
  <c r="BP364" i="2"/>
  <c r="BO364" i="2"/>
  <c r="BM364" i="2"/>
  <c r="Z364" i="2"/>
  <c r="Y364" i="2"/>
  <c r="BN364" i="2" s="1"/>
  <c r="P364" i="2"/>
  <c r="BO363" i="2"/>
  <c r="BM363" i="2"/>
  <c r="Z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Y358" i="2"/>
  <c r="X358" i="2"/>
  <c r="X357" i="2"/>
  <c r="BO356" i="2"/>
  <c r="BM356" i="2"/>
  <c r="Z356" i="2"/>
  <c r="Y356" i="2"/>
  <c r="BN356" i="2" s="1"/>
  <c r="P356" i="2"/>
  <c r="BP355" i="2"/>
  <c r="BO355" i="2"/>
  <c r="BM355" i="2"/>
  <c r="Y355" i="2"/>
  <c r="BN355" i="2" s="1"/>
  <c r="P355" i="2"/>
  <c r="BP354" i="2"/>
  <c r="BO354" i="2"/>
  <c r="BM354" i="2"/>
  <c r="Z354" i="2"/>
  <c r="Y354" i="2"/>
  <c r="S56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Z344" i="2"/>
  <c r="Y344" i="2"/>
  <c r="BP344" i="2" s="1"/>
  <c r="P344" i="2"/>
  <c r="BO343" i="2"/>
  <c r="BM343" i="2"/>
  <c r="Z343" i="2"/>
  <c r="Y343" i="2"/>
  <c r="BN343" i="2" s="1"/>
  <c r="P343" i="2"/>
  <c r="BP342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P335" i="2"/>
  <c r="BO335" i="2"/>
  <c r="BM335" i="2"/>
  <c r="Z335" i="2"/>
  <c r="Y335" i="2"/>
  <c r="BN335" i="2" s="1"/>
  <c r="P335" i="2"/>
  <c r="BO334" i="2"/>
  <c r="BN334" i="2"/>
  <c r="BM334" i="2"/>
  <c r="Y334" i="2"/>
  <c r="BP334" i="2" s="1"/>
  <c r="P334" i="2"/>
  <c r="BO333" i="2"/>
  <c r="BM333" i="2"/>
  <c r="Z333" i="2"/>
  <c r="Y333" i="2"/>
  <c r="P333" i="2"/>
  <c r="X330" i="2"/>
  <c r="X329" i="2"/>
  <c r="BO328" i="2"/>
  <c r="BM328" i="2"/>
  <c r="Y328" i="2"/>
  <c r="P328" i="2"/>
  <c r="BO327" i="2"/>
  <c r="BM327" i="2"/>
  <c r="Z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Y320" i="2"/>
  <c r="X320" i="2"/>
  <c r="BP319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Y311" i="2"/>
  <c r="X311" i="2"/>
  <c r="Y310" i="2"/>
  <c r="X310" i="2"/>
  <c r="BO309" i="2"/>
  <c r="BM309" i="2"/>
  <c r="Z309" i="2"/>
  <c r="Z310" i="2" s="1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Z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N288" i="2"/>
  <c r="BM288" i="2"/>
  <c r="Z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P280" i="2"/>
  <c r="BO280" i="2"/>
  <c r="BM280" i="2"/>
  <c r="Z280" i="2"/>
  <c r="Y280" i="2"/>
  <c r="BN280" i="2" s="1"/>
  <c r="P280" i="2"/>
  <c r="BO279" i="2"/>
  <c r="BN279" i="2"/>
  <c r="BM279" i="2"/>
  <c r="Y279" i="2"/>
  <c r="P279" i="2"/>
  <c r="BO278" i="2"/>
  <c r="BM278" i="2"/>
  <c r="Y278" i="2"/>
  <c r="P278" i="2"/>
  <c r="X276" i="2"/>
  <c r="X275" i="2"/>
  <c r="BP274" i="2"/>
  <c r="BO274" i="2"/>
  <c r="BM274" i="2"/>
  <c r="Z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N257" i="2" s="1"/>
  <c r="P257" i="2"/>
  <c r="Y254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P241" i="2"/>
  <c r="BO241" i="2"/>
  <c r="BM241" i="2"/>
  <c r="Z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N238" i="2"/>
  <c r="BM238" i="2"/>
  <c r="Y238" i="2"/>
  <c r="BP238" i="2" s="1"/>
  <c r="P238" i="2"/>
  <c r="X236" i="2"/>
  <c r="X235" i="2"/>
  <c r="BO234" i="2"/>
  <c r="BM234" i="2"/>
  <c r="Z234" i="2"/>
  <c r="Y234" i="2"/>
  <c r="BN234" i="2" s="1"/>
  <c r="P234" i="2"/>
  <c r="BO233" i="2"/>
  <c r="BM233" i="2"/>
  <c r="Y233" i="2"/>
  <c r="BN233" i="2" s="1"/>
  <c r="P233" i="2"/>
  <c r="BP232" i="2"/>
  <c r="BO232" i="2"/>
  <c r="BM232" i="2"/>
  <c r="Z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P217" i="2"/>
  <c r="BO217" i="2"/>
  <c r="BM217" i="2"/>
  <c r="Z217" i="2"/>
  <c r="Z218" i="2" s="1"/>
  <c r="Y217" i="2"/>
  <c r="Y219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P210" i="2"/>
  <c r="BO210" i="2"/>
  <c r="BN210" i="2"/>
  <c r="BM210" i="2"/>
  <c r="Z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N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Z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Z180" i="2"/>
  <c r="Y180" i="2"/>
  <c r="BP180" i="2" s="1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P176" i="2"/>
  <c r="BO176" i="2"/>
  <c r="BM176" i="2"/>
  <c r="Z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Z170" i="2"/>
  <c r="Y170" i="2"/>
  <c r="BP170" i="2" s="1"/>
  <c r="P170" i="2"/>
  <c r="X168" i="2"/>
  <c r="X167" i="2"/>
  <c r="BP166" i="2"/>
  <c r="BO166" i="2"/>
  <c r="BN166" i="2"/>
  <c r="BM166" i="2"/>
  <c r="Z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P155" i="2"/>
  <c r="BO155" i="2"/>
  <c r="BM155" i="2"/>
  <c r="Z155" i="2"/>
  <c r="Y155" i="2"/>
  <c r="BN155" i="2" s="1"/>
  <c r="P155" i="2"/>
  <c r="BO154" i="2"/>
  <c r="BM154" i="2"/>
  <c r="Y154" i="2"/>
  <c r="BP154" i="2" s="1"/>
  <c r="P154" i="2"/>
  <c r="BP153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N151" i="2"/>
  <c r="BM151" i="2"/>
  <c r="Y151" i="2"/>
  <c r="Z151" i="2" s="1"/>
  <c r="P151" i="2"/>
  <c r="BO150" i="2"/>
  <c r="BM150" i="2"/>
  <c r="Z150" i="2"/>
  <c r="Y150" i="2"/>
  <c r="BN150" i="2" s="1"/>
  <c r="P150" i="2"/>
  <c r="BO149" i="2"/>
  <c r="BM149" i="2"/>
  <c r="Y149" i="2"/>
  <c r="I564" i="2" s="1"/>
  <c r="P149" i="2"/>
  <c r="X146" i="2"/>
  <c r="X145" i="2"/>
  <c r="BP144" i="2"/>
  <c r="BO144" i="2"/>
  <c r="BM144" i="2"/>
  <c r="Z144" i="2"/>
  <c r="Y144" i="2"/>
  <c r="BN144" i="2" s="1"/>
  <c r="P144" i="2"/>
  <c r="BO143" i="2"/>
  <c r="BM143" i="2"/>
  <c r="Y143" i="2"/>
  <c r="P143" i="2"/>
  <c r="BP142" i="2"/>
  <c r="BO142" i="2"/>
  <c r="BM142" i="2"/>
  <c r="Z142" i="2"/>
  <c r="Y142" i="2"/>
  <c r="BN142" i="2" s="1"/>
  <c r="P142" i="2"/>
  <c r="X140" i="2"/>
  <c r="X139" i="2"/>
  <c r="BP138" i="2"/>
  <c r="BO138" i="2"/>
  <c r="BM138" i="2"/>
  <c r="Z138" i="2"/>
  <c r="Y138" i="2"/>
  <c r="BN138" i="2" s="1"/>
  <c r="P138" i="2"/>
  <c r="BO137" i="2"/>
  <c r="BN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P119" i="2"/>
  <c r="BO119" i="2"/>
  <c r="BM119" i="2"/>
  <c r="Z119" i="2"/>
  <c r="Y119" i="2"/>
  <c r="BN119" i="2" s="1"/>
  <c r="P119" i="2"/>
  <c r="BO118" i="2"/>
  <c r="BM118" i="2"/>
  <c r="Y118" i="2"/>
  <c r="BP118" i="2" s="1"/>
  <c r="P118" i="2"/>
  <c r="BO117" i="2"/>
  <c r="BN117" i="2"/>
  <c r="BM117" i="2"/>
  <c r="Y117" i="2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P94" i="2"/>
  <c r="BO94" i="2"/>
  <c r="BN94" i="2"/>
  <c r="BM94" i="2"/>
  <c r="Z94" i="2"/>
  <c r="Y94" i="2"/>
  <c r="P94" i="2"/>
  <c r="BO93" i="2"/>
  <c r="BM93" i="2"/>
  <c r="Y93" i="2"/>
  <c r="BP93" i="2" s="1"/>
  <c r="P93" i="2"/>
  <c r="BO92" i="2"/>
  <c r="BM92" i="2"/>
  <c r="Z92" i="2"/>
  <c r="Y92" i="2"/>
  <c r="BP92" i="2" s="1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N85" i="2"/>
  <c r="BM85" i="2"/>
  <c r="Y85" i="2"/>
  <c r="BP85" i="2" s="1"/>
  <c r="P85" i="2"/>
  <c r="BP84" i="2"/>
  <c r="BO84" i="2"/>
  <c r="BN84" i="2"/>
  <c r="BM84" i="2"/>
  <c r="Z84" i="2"/>
  <c r="Y84" i="2"/>
  <c r="P84" i="2"/>
  <c r="X81" i="2"/>
  <c r="X80" i="2"/>
  <c r="BO79" i="2"/>
  <c r="BM79" i="2"/>
  <c r="Y79" i="2"/>
  <c r="BN79" i="2" s="1"/>
  <c r="P79" i="2"/>
  <c r="BP78" i="2"/>
  <c r="BO78" i="2"/>
  <c r="BN78" i="2"/>
  <c r="BM78" i="2"/>
  <c r="Z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BP49" i="2" s="1"/>
  <c r="P49" i="2"/>
  <c r="BO48" i="2"/>
  <c r="BM48" i="2"/>
  <c r="Z48" i="2"/>
  <c r="Y48" i="2"/>
  <c r="BP48" i="2" s="1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N39" i="2"/>
  <c r="BM39" i="2"/>
  <c r="Y39" i="2"/>
  <c r="BP39" i="2" s="1"/>
  <c r="P39" i="2"/>
  <c r="BP38" i="2"/>
  <c r="BO38" i="2"/>
  <c r="BN38" i="2"/>
  <c r="BM38" i="2"/>
  <c r="Z38" i="2"/>
  <c r="Y38" i="2"/>
  <c r="P38" i="2"/>
  <c r="BO37" i="2"/>
  <c r="BN37" i="2"/>
  <c r="BM37" i="2"/>
  <c r="Y37" i="2"/>
  <c r="BP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N27" i="2"/>
  <c r="BM27" i="2"/>
  <c r="Y27" i="2"/>
  <c r="BP27" i="2" s="1"/>
  <c r="P27" i="2"/>
  <c r="X25" i="2"/>
  <c r="X24" i="2"/>
  <c r="BO23" i="2"/>
  <c r="BM23" i="2"/>
  <c r="Y23" i="2"/>
  <c r="Y25" i="2" s="1"/>
  <c r="P23" i="2"/>
  <c r="BP22" i="2"/>
  <c r="BO22" i="2"/>
  <c r="BM22" i="2"/>
  <c r="Y22" i="2"/>
  <c r="BN22" i="2" s="1"/>
  <c r="P22" i="2"/>
  <c r="H10" i="2"/>
  <c r="A9" i="2"/>
  <c r="F10" i="2" s="1"/>
  <c r="D7" i="2"/>
  <c r="Q6" i="2"/>
  <c r="P2" i="2"/>
  <c r="BP102" i="2" l="1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X557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14" i="2" s="1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67" i="2" s="1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Z357" i="2" s="1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Z186" i="2" s="1"/>
  <c r="BN240" i="2"/>
  <c r="Z27" i="2"/>
  <c r="Z32" i="2" s="1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3" i="2" s="1"/>
  <c r="Z248" i="2"/>
  <c r="Z271" i="2"/>
  <c r="Z281" i="2"/>
  <c r="Z302" i="2"/>
  <c r="Z325" i="2"/>
  <c r="Z329" i="2" s="1"/>
  <c r="BN349" i="2"/>
  <c r="Z361" i="2"/>
  <c r="Z366" i="2" s="1"/>
  <c r="Z371" i="2"/>
  <c r="Z381" i="2"/>
  <c r="BN393" i="2"/>
  <c r="BP405" i="2"/>
  <c r="Y415" i="2"/>
  <c r="Z427" i="2"/>
  <c r="Z434" i="2" s="1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78" i="2" s="1"/>
  <c r="Z482" i="2"/>
  <c r="Z483" i="2" s="1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139" i="2" s="1"/>
  <c r="Z226" i="2"/>
  <c r="Z246" i="2"/>
  <c r="Z249" i="2" s="1"/>
  <c r="Y260" i="2"/>
  <c r="Z269" i="2"/>
  <c r="Z275" i="2" s="1"/>
  <c r="Z279" i="2"/>
  <c r="Z300" i="2"/>
  <c r="Z306" i="2" s="1"/>
  <c r="Z334" i="2"/>
  <c r="Z336" i="2" s="1"/>
  <c r="Y350" i="2"/>
  <c r="Z369" i="2"/>
  <c r="Z379" i="2"/>
  <c r="Z383" i="2" s="1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167" i="2" s="1"/>
  <c r="Z208" i="2"/>
  <c r="BP279" i="2"/>
  <c r="BN399" i="2"/>
  <c r="Y554" i="2" l="1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559" i="2"/>
  <c r="Z350" i="2"/>
  <c r="Z524" i="2"/>
  <c r="Y557" i="2" l="1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<sst xmlns="http://schemas.openxmlformats.org/spreadsheetml/2006/main" count="4262" uniqueCount="913">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</sst>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/>
      <c r="I5" s="1000"/>
      <c r="J5" s="1000"/>
      <c r="K5" s="1000"/>
      <c r="L5" s="1000"/>
      <c r="M5" s="1000"/>
      <c r="N5" s="72"/>
      <c r="P5" s="27" t="s">
        <v>4</v>
      </c>
      <c r="Q5" s="1002">
        <v>46244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1000</v>
      </c>
      <c r="Y427" s="55">
        <f t="shared" si="53"/>
        <v>1005</v>
      </c>
      <c r="Z427" s="41">
        <f>IFERROR(IF(Y427=0,"",ROUNDUP(Y427/H427,0)*0.02175),"")</f>
        <v>1.4572499999999999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1031.3333333333333</v>
      </c>
      <c r="BN427" s="78">
        <f t="shared" si="55"/>
        <v>1036.49</v>
      </c>
      <c r="BO427" s="78">
        <f t="shared" si="56"/>
        <v>1.3888888888888888</v>
      </c>
      <c r="BP427" s="78">
        <f t="shared" si="57"/>
        <v>1.3958333333333333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300</v>
      </c>
      <c r="Y429" s="55">
        <f t="shared" si="53"/>
        <v>300</v>
      </c>
      <c r="Z429" s="41">
        <f>IFERROR(IF(Y429=0,"",ROUNDUP(Y429/H429,0)*0.02175),"")</f>
        <v>0.43499999999999994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309.39999999999998</v>
      </c>
      <c r="BN429" s="78">
        <f t="shared" si="55"/>
        <v>309.39999999999998</v>
      </c>
      <c r="BO429" s="78">
        <f t="shared" si="56"/>
        <v>0.41666666666666663</v>
      </c>
      <c r="BP429" s="78">
        <f t="shared" si="57"/>
        <v>0.41666666666666663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86.666666666666671</v>
      </c>
      <c r="Y434" s="43">
        <f>IFERROR(Y426/H426,"0")+IFERROR(Y427/H427,"0")+IFERROR(Y428/H428,"0")+IFERROR(Y429/H429,"0")+IFERROR(Y430/H430,"0")+IFERROR(Y431/H431,"0")+IFERROR(Y432/H432,"0")+IFERROR(Y433/H433,"0")</f>
        <v>87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1.8922499999999998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1300</v>
      </c>
      <c r="Y435" s="43">
        <f>IFERROR(SUM(Y426:Y433),"0")</f>
        <v>1305</v>
      </c>
      <c r="Z435" s="42"/>
      <c r="AA435" s="67"/>
      <c r="AB435" s="67"/>
      <c r="AC435" s="67"/>
    </row>
    <row r="436" spans="1:68" ht="14.25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1300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1305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1340.7333333333331</v>
      </c>
      <c r="Y555" s="43">
        <f>IFERROR(SUM(BN22:BN551),"0")</f>
        <v>1345.8899999999999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1390.7333333333331</v>
      </c>
      <c r="Y557" s="43">
        <f>GrossWeightTotalR+PalletQtyTotalR*25</f>
        <v>1395.8899999999999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86.666666666666671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87</v>
      </c>
      <c r="Z558" s="42"/>
      <c r="AA558" s="67"/>
      <c r="AB558" s="67"/>
      <c r="AC558" s="67"/>
    </row>
    <row r="559" spans="1:68" ht="14.25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1.8922499999999998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1305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1166</vt:i4>
      </vt:variant>
    </vt:vector>
  </HeadingPairs>
  <TitlesOfParts>
    <vt:vector size="11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2026-08-11T13:43:50Z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