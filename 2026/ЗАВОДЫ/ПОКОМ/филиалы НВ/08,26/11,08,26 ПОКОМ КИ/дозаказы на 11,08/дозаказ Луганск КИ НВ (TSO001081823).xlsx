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A35FAA34-CF65-4598-8F48-40FD6408593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N533" i="2"/>
  <c r="BM533" i="2"/>
  <c r="Z533" i="2"/>
  <c r="Z534" i="2" s="1"/>
  <c r="Y533" i="2"/>
  <c r="Y535" i="2" s="1"/>
  <c r="P533" i="2"/>
  <c r="X531" i="2"/>
  <c r="Y530" i="2"/>
  <c r="X530" i="2"/>
  <c r="BP529" i="2"/>
  <c r="BO529" i="2"/>
  <c r="BM529" i="2"/>
  <c r="Y529" i="2"/>
  <c r="P529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N521" i="2"/>
  <c r="BM521" i="2"/>
  <c r="Y521" i="2"/>
  <c r="BP521" i="2" s="1"/>
  <c r="P521" i="2"/>
  <c r="BO520" i="2"/>
  <c r="BM520" i="2"/>
  <c r="Y520" i="2"/>
  <c r="P520" i="2"/>
  <c r="BO519" i="2"/>
  <c r="BM519" i="2"/>
  <c r="Z519" i="2"/>
  <c r="Y519" i="2"/>
  <c r="BP519" i="2" s="1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Z513" i="2"/>
  <c r="Y513" i="2"/>
  <c r="BP513" i="2" s="1"/>
  <c r="P513" i="2"/>
  <c r="BO512" i="2"/>
  <c r="BN512" i="2"/>
  <c r="BM512" i="2"/>
  <c r="Z512" i="2"/>
  <c r="Y512" i="2"/>
  <c r="BP512" i="2" s="1"/>
  <c r="P512" i="2"/>
  <c r="BO511" i="2"/>
  <c r="BM511" i="2"/>
  <c r="Y511" i="2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N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N500" i="2"/>
  <c r="BM500" i="2"/>
  <c r="Y500" i="2"/>
  <c r="Z500" i="2" s="1"/>
  <c r="P500" i="2"/>
  <c r="BO499" i="2"/>
  <c r="BM499" i="2"/>
  <c r="Y499" i="2"/>
  <c r="P499" i="2"/>
  <c r="X495" i="2"/>
  <c r="X494" i="2"/>
  <c r="BO493" i="2"/>
  <c r="BN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P491" i="2"/>
  <c r="X489" i="2"/>
  <c r="X488" i="2"/>
  <c r="BO487" i="2"/>
  <c r="BN487" i="2"/>
  <c r="BM487" i="2"/>
  <c r="Z487" i="2"/>
  <c r="Z488" i="2" s="1"/>
  <c r="Y487" i="2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Z475" i="2" s="1"/>
  <c r="P475" i="2"/>
  <c r="BO474" i="2"/>
  <c r="BM474" i="2"/>
  <c r="Z474" i="2"/>
  <c r="Y474" i="2"/>
  <c r="BP474" i="2" s="1"/>
  <c r="P474" i="2"/>
  <c r="BO473" i="2"/>
  <c r="BM473" i="2"/>
  <c r="Y473" i="2"/>
  <c r="P473" i="2"/>
  <c r="BP472" i="2"/>
  <c r="BO472" i="2"/>
  <c r="BM472" i="2"/>
  <c r="Y472" i="2"/>
  <c r="P472" i="2"/>
  <c r="X468" i="2"/>
  <c r="X467" i="2"/>
  <c r="BO466" i="2"/>
  <c r="BM466" i="2"/>
  <c r="Y466" i="2"/>
  <c r="BP466" i="2" s="1"/>
  <c r="P466" i="2"/>
  <c r="BO465" i="2"/>
  <c r="BM465" i="2"/>
  <c r="Y465" i="2"/>
  <c r="P465" i="2"/>
  <c r="BO464" i="2"/>
  <c r="BM464" i="2"/>
  <c r="Y464" i="2"/>
  <c r="Y468" i="2" s="1"/>
  <c r="P464" i="2"/>
  <c r="X462" i="2"/>
  <c r="X461" i="2"/>
  <c r="BO460" i="2"/>
  <c r="BM460" i="2"/>
  <c r="Y460" i="2"/>
  <c r="BP460" i="2" s="1"/>
  <c r="P460" i="2"/>
  <c r="X458" i="2"/>
  <c r="X457" i="2"/>
  <c r="BO456" i="2"/>
  <c r="BN456" i="2"/>
  <c r="BM456" i="2"/>
  <c r="Z456" i="2"/>
  <c r="Y456" i="2"/>
  <c r="BP456" i="2" s="1"/>
  <c r="P456" i="2"/>
  <c r="BO455" i="2"/>
  <c r="BM455" i="2"/>
  <c r="Y455" i="2"/>
  <c r="P455" i="2"/>
  <c r="X452" i="2"/>
  <c r="X451" i="2"/>
  <c r="BO450" i="2"/>
  <c r="BM450" i="2"/>
  <c r="Y450" i="2"/>
  <c r="P450" i="2"/>
  <c r="BO449" i="2"/>
  <c r="BM449" i="2"/>
  <c r="Y449" i="2"/>
  <c r="BP449" i="2" s="1"/>
  <c r="P449" i="2"/>
  <c r="X447" i="2"/>
  <c r="X446" i="2"/>
  <c r="BO445" i="2"/>
  <c r="BN445" i="2"/>
  <c r="BM445" i="2"/>
  <c r="Y445" i="2"/>
  <c r="BP445" i="2" s="1"/>
  <c r="P445" i="2"/>
  <c r="BO444" i="2"/>
  <c r="BM444" i="2"/>
  <c r="Y444" i="2"/>
  <c r="P444" i="2"/>
  <c r="BO443" i="2"/>
  <c r="BM443" i="2"/>
  <c r="Z443" i="2"/>
  <c r="Y443" i="2"/>
  <c r="BP443" i="2" s="1"/>
  <c r="P443" i="2"/>
  <c r="X441" i="2"/>
  <c r="X440" i="2"/>
  <c r="BO439" i="2"/>
  <c r="BM439" i="2"/>
  <c r="Y439" i="2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N432" i="2" s="1"/>
  <c r="P432" i="2"/>
  <c r="BO431" i="2"/>
  <c r="BM431" i="2"/>
  <c r="Y431" i="2"/>
  <c r="P431" i="2"/>
  <c r="BO430" i="2"/>
  <c r="BN430" i="2"/>
  <c r="BM430" i="2"/>
  <c r="Y430" i="2"/>
  <c r="BP430" i="2" s="1"/>
  <c r="P430" i="2"/>
  <c r="BO429" i="2"/>
  <c r="BM429" i="2"/>
  <c r="Y429" i="2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N426" i="2"/>
  <c r="BM426" i="2"/>
  <c r="Y426" i="2"/>
  <c r="P426" i="2"/>
  <c r="X422" i="2"/>
  <c r="X421" i="2"/>
  <c r="BO420" i="2"/>
  <c r="BM420" i="2"/>
  <c r="Y420" i="2"/>
  <c r="P420" i="2"/>
  <c r="BO419" i="2"/>
  <c r="BN419" i="2"/>
  <c r="BM419" i="2"/>
  <c r="Y419" i="2"/>
  <c r="BP419" i="2" s="1"/>
  <c r="P419" i="2"/>
  <c r="BP418" i="2"/>
  <c r="BO418" i="2"/>
  <c r="BN418" i="2"/>
  <c r="BM418" i="2"/>
  <c r="Z418" i="2"/>
  <c r="Y418" i="2"/>
  <c r="Y421" i="2" s="1"/>
  <c r="P418" i="2"/>
  <c r="X415" i="2"/>
  <c r="X414" i="2"/>
  <c r="BO413" i="2"/>
  <c r="BM413" i="2"/>
  <c r="Y413" i="2"/>
  <c r="BP413" i="2" s="1"/>
  <c r="BO412" i="2"/>
  <c r="BN412" i="2"/>
  <c r="BM412" i="2"/>
  <c r="Y412" i="2"/>
  <c r="X409" i="2"/>
  <c r="X408" i="2"/>
  <c r="BO407" i="2"/>
  <c r="BN407" i="2"/>
  <c r="BM407" i="2"/>
  <c r="Y407" i="2"/>
  <c r="BP407" i="2" s="1"/>
  <c r="P407" i="2"/>
  <c r="BP406" i="2"/>
  <c r="BO406" i="2"/>
  <c r="BN406" i="2"/>
  <c r="BM406" i="2"/>
  <c r="Z406" i="2"/>
  <c r="Y406" i="2"/>
  <c r="P406" i="2"/>
  <c r="BO405" i="2"/>
  <c r="BM405" i="2"/>
  <c r="Y405" i="2"/>
  <c r="Y409" i="2" s="1"/>
  <c r="P405" i="2"/>
  <c r="X403" i="2"/>
  <c r="X402" i="2"/>
  <c r="BP401" i="2"/>
  <c r="BO401" i="2"/>
  <c r="BM401" i="2"/>
  <c r="Y401" i="2"/>
  <c r="BN401" i="2" s="1"/>
  <c r="P401" i="2"/>
  <c r="BO400" i="2"/>
  <c r="BM400" i="2"/>
  <c r="Y400" i="2"/>
  <c r="P400" i="2"/>
  <c r="BO399" i="2"/>
  <c r="BM399" i="2"/>
  <c r="Z399" i="2"/>
  <c r="Y399" i="2"/>
  <c r="P399" i="2"/>
  <c r="X397" i="2"/>
  <c r="X396" i="2"/>
  <c r="BO395" i="2"/>
  <c r="BM395" i="2"/>
  <c r="Y395" i="2"/>
  <c r="BP395" i="2" s="1"/>
  <c r="P395" i="2"/>
  <c r="BO394" i="2"/>
  <c r="BM394" i="2"/>
  <c r="Z394" i="2"/>
  <c r="Y394" i="2"/>
  <c r="BP394" i="2" s="1"/>
  <c r="P394" i="2"/>
  <c r="BO393" i="2"/>
  <c r="BM393" i="2"/>
  <c r="Y393" i="2"/>
  <c r="P393" i="2"/>
  <c r="BO392" i="2"/>
  <c r="BM392" i="2"/>
  <c r="Y392" i="2"/>
  <c r="Y396" i="2" s="1"/>
  <c r="P392" i="2"/>
  <c r="X390" i="2"/>
  <c r="X389" i="2"/>
  <c r="BO388" i="2"/>
  <c r="BM388" i="2"/>
  <c r="Z388" i="2"/>
  <c r="Y388" i="2"/>
  <c r="BP388" i="2" s="1"/>
  <c r="P388" i="2"/>
  <c r="BO387" i="2"/>
  <c r="BM387" i="2"/>
  <c r="Z387" i="2"/>
  <c r="Y387" i="2"/>
  <c r="BP387" i="2" s="1"/>
  <c r="P387" i="2"/>
  <c r="BP386" i="2"/>
  <c r="BO386" i="2"/>
  <c r="BM386" i="2"/>
  <c r="Z386" i="2"/>
  <c r="Z389" i="2" s="1"/>
  <c r="Y386" i="2"/>
  <c r="Y389" i="2" s="1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N380" i="2"/>
  <c r="BM380" i="2"/>
  <c r="Y380" i="2"/>
  <c r="BP380" i="2" s="1"/>
  <c r="P380" i="2"/>
  <c r="BO379" i="2"/>
  <c r="BM379" i="2"/>
  <c r="Y379" i="2"/>
  <c r="P379" i="2"/>
  <c r="X377" i="2"/>
  <c r="X376" i="2"/>
  <c r="BP375" i="2"/>
  <c r="BO375" i="2"/>
  <c r="BM375" i="2"/>
  <c r="Z375" i="2"/>
  <c r="Y375" i="2"/>
  <c r="BN375" i="2" s="1"/>
  <c r="P375" i="2"/>
  <c r="BO374" i="2"/>
  <c r="BM374" i="2"/>
  <c r="Y374" i="2"/>
  <c r="P374" i="2"/>
  <c r="BO373" i="2"/>
  <c r="BM373" i="2"/>
  <c r="Z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7" i="2"/>
  <c r="X366" i="2"/>
  <c r="BP365" i="2"/>
  <c r="BO365" i="2"/>
  <c r="BM365" i="2"/>
  <c r="Z365" i="2"/>
  <c r="Y365" i="2"/>
  <c r="BN365" i="2" s="1"/>
  <c r="P365" i="2"/>
  <c r="BP364" i="2"/>
  <c r="BO364" i="2"/>
  <c r="BM364" i="2"/>
  <c r="Z364" i="2"/>
  <c r="Y364" i="2"/>
  <c r="BN364" i="2" s="1"/>
  <c r="P364" i="2"/>
  <c r="BO363" i="2"/>
  <c r="BM363" i="2"/>
  <c r="Z363" i="2"/>
  <c r="Y363" i="2"/>
  <c r="BP363" i="2" s="1"/>
  <c r="P363" i="2"/>
  <c r="BO362" i="2"/>
  <c r="BM362" i="2"/>
  <c r="Y362" i="2"/>
  <c r="Z362" i="2" s="1"/>
  <c r="P362" i="2"/>
  <c r="BO361" i="2"/>
  <c r="BM361" i="2"/>
  <c r="Y361" i="2"/>
  <c r="BP361" i="2" s="1"/>
  <c r="P361" i="2"/>
  <c r="Y358" i="2"/>
  <c r="X358" i="2"/>
  <c r="X357" i="2"/>
  <c r="BO356" i="2"/>
  <c r="BM356" i="2"/>
  <c r="Z356" i="2"/>
  <c r="Y356" i="2"/>
  <c r="BN356" i="2" s="1"/>
  <c r="P356" i="2"/>
  <c r="BP355" i="2"/>
  <c r="BO355" i="2"/>
  <c r="BM355" i="2"/>
  <c r="Y355" i="2"/>
  <c r="BN355" i="2" s="1"/>
  <c r="P355" i="2"/>
  <c r="BP354" i="2"/>
  <c r="BO354" i="2"/>
  <c r="BM354" i="2"/>
  <c r="Z354" i="2"/>
  <c r="Y354" i="2"/>
  <c r="S564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Z344" i="2"/>
  <c r="Y344" i="2"/>
  <c r="BP344" i="2" s="1"/>
  <c r="P344" i="2"/>
  <c r="BO343" i="2"/>
  <c r="BM343" i="2"/>
  <c r="Z343" i="2"/>
  <c r="Y343" i="2"/>
  <c r="BN343" i="2" s="1"/>
  <c r="P343" i="2"/>
  <c r="BP342" i="2"/>
  <c r="BO342" i="2"/>
  <c r="BM342" i="2"/>
  <c r="Z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P335" i="2"/>
  <c r="BO335" i="2"/>
  <c r="BM335" i="2"/>
  <c r="Z335" i="2"/>
  <c r="Y335" i="2"/>
  <c r="BN335" i="2" s="1"/>
  <c r="P335" i="2"/>
  <c r="BO334" i="2"/>
  <c r="BN334" i="2"/>
  <c r="BM334" i="2"/>
  <c r="Y334" i="2"/>
  <c r="BP334" i="2" s="1"/>
  <c r="P334" i="2"/>
  <c r="BO333" i="2"/>
  <c r="BM333" i="2"/>
  <c r="Z333" i="2"/>
  <c r="Y333" i="2"/>
  <c r="P333" i="2"/>
  <c r="X330" i="2"/>
  <c r="X329" i="2"/>
  <c r="BO328" i="2"/>
  <c r="BM328" i="2"/>
  <c r="Y328" i="2"/>
  <c r="P328" i="2"/>
  <c r="BO327" i="2"/>
  <c r="BM327" i="2"/>
  <c r="Z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BP325" i="2" s="1"/>
  <c r="P325" i="2"/>
  <c r="BO324" i="2"/>
  <c r="BM324" i="2"/>
  <c r="Y324" i="2"/>
  <c r="P324" i="2"/>
  <c r="X321" i="2"/>
  <c r="Y320" i="2"/>
  <c r="X320" i="2"/>
  <c r="BP319" i="2"/>
  <c r="BO319" i="2"/>
  <c r="BM319" i="2"/>
  <c r="Y319" i="2"/>
  <c r="BN319" i="2" s="1"/>
  <c r="P319" i="2"/>
  <c r="BO318" i="2"/>
  <c r="BM318" i="2"/>
  <c r="Y318" i="2"/>
  <c r="P318" i="2"/>
  <c r="BP317" i="2"/>
  <c r="BO317" i="2"/>
  <c r="BN317" i="2"/>
  <c r="BM317" i="2"/>
  <c r="Z317" i="2"/>
  <c r="Y317" i="2"/>
  <c r="P317" i="2"/>
  <c r="X315" i="2"/>
  <c r="X314" i="2"/>
  <c r="BO313" i="2"/>
  <c r="BM313" i="2"/>
  <c r="Y313" i="2"/>
  <c r="Y315" i="2" s="1"/>
  <c r="P313" i="2"/>
  <c r="Y311" i="2"/>
  <c r="X311" i="2"/>
  <c r="Y310" i="2"/>
  <c r="X310" i="2"/>
  <c r="BO309" i="2"/>
  <c r="BM309" i="2"/>
  <c r="Z309" i="2"/>
  <c r="Z310" i="2" s="1"/>
  <c r="Y309" i="2"/>
  <c r="BP309" i="2" s="1"/>
  <c r="P309" i="2"/>
  <c r="X307" i="2"/>
  <c r="X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P302" i="2" s="1"/>
  <c r="P302" i="2"/>
  <c r="BP301" i="2"/>
  <c r="BO301" i="2"/>
  <c r="BN301" i="2"/>
  <c r="BM301" i="2"/>
  <c r="Z301" i="2"/>
  <c r="Y301" i="2"/>
  <c r="P301" i="2"/>
  <c r="BO300" i="2"/>
  <c r="BM300" i="2"/>
  <c r="Y300" i="2"/>
  <c r="P300" i="2"/>
  <c r="BO299" i="2"/>
  <c r="BM299" i="2"/>
  <c r="Z299" i="2"/>
  <c r="Y299" i="2"/>
  <c r="BP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BN289" i="2" s="1"/>
  <c r="P289" i="2"/>
  <c r="BO288" i="2"/>
  <c r="BN288" i="2"/>
  <c r="BM288" i="2"/>
  <c r="Z288" i="2"/>
  <c r="Y288" i="2"/>
  <c r="BP288" i="2" s="1"/>
  <c r="P288" i="2"/>
  <c r="BO287" i="2"/>
  <c r="BM287" i="2"/>
  <c r="Y287" i="2"/>
  <c r="P287" i="2"/>
  <c r="BO286" i="2"/>
  <c r="BM286" i="2"/>
  <c r="Y286" i="2"/>
  <c r="BN286" i="2" s="1"/>
  <c r="P286" i="2"/>
  <c r="BO285" i="2"/>
  <c r="BM285" i="2"/>
  <c r="Y285" i="2"/>
  <c r="P285" i="2"/>
  <c r="BP284" i="2"/>
  <c r="BO284" i="2"/>
  <c r="BN284" i="2"/>
  <c r="BM284" i="2"/>
  <c r="Z284" i="2"/>
  <c r="Y284" i="2"/>
  <c r="P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P280" i="2"/>
  <c r="BO280" i="2"/>
  <c r="BM280" i="2"/>
  <c r="Z280" i="2"/>
  <c r="Y280" i="2"/>
  <c r="BN280" i="2" s="1"/>
  <c r="P280" i="2"/>
  <c r="BO279" i="2"/>
  <c r="BN279" i="2"/>
  <c r="BM279" i="2"/>
  <c r="Y279" i="2"/>
  <c r="P279" i="2"/>
  <c r="BO278" i="2"/>
  <c r="BM278" i="2"/>
  <c r="Y278" i="2"/>
  <c r="P278" i="2"/>
  <c r="X276" i="2"/>
  <c r="X275" i="2"/>
  <c r="BP274" i="2"/>
  <c r="BO274" i="2"/>
  <c r="BM274" i="2"/>
  <c r="Z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Y267" i="2"/>
  <c r="BP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60" i="2"/>
  <c r="X259" i="2"/>
  <c r="BO258" i="2"/>
  <c r="BM258" i="2"/>
  <c r="Z258" i="2"/>
  <c r="Y258" i="2"/>
  <c r="BP258" i="2" s="1"/>
  <c r="P258" i="2"/>
  <c r="BO257" i="2"/>
  <c r="BM257" i="2"/>
  <c r="Z257" i="2"/>
  <c r="Y257" i="2"/>
  <c r="BN257" i="2" s="1"/>
  <c r="P257" i="2"/>
  <c r="Y254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P246" i="2" s="1"/>
  <c r="P246" i="2"/>
  <c r="X244" i="2"/>
  <c r="X243" i="2"/>
  <c r="BO242" i="2"/>
  <c r="BM242" i="2"/>
  <c r="Y242" i="2"/>
  <c r="BP242" i="2" s="1"/>
  <c r="P242" i="2"/>
  <c r="BP241" i="2"/>
  <c r="BO241" i="2"/>
  <c r="BM241" i="2"/>
  <c r="Z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N238" i="2"/>
  <c r="BM238" i="2"/>
  <c r="Y238" i="2"/>
  <c r="BP238" i="2" s="1"/>
  <c r="P238" i="2"/>
  <c r="X236" i="2"/>
  <c r="X235" i="2"/>
  <c r="BO234" i="2"/>
  <c r="BM234" i="2"/>
  <c r="Z234" i="2"/>
  <c r="Y234" i="2"/>
  <c r="BN234" i="2" s="1"/>
  <c r="P234" i="2"/>
  <c r="BO233" i="2"/>
  <c r="BM233" i="2"/>
  <c r="Y233" i="2"/>
  <c r="BN233" i="2" s="1"/>
  <c r="P233" i="2"/>
  <c r="BP232" i="2"/>
  <c r="BO232" i="2"/>
  <c r="BM232" i="2"/>
  <c r="Z232" i="2"/>
  <c r="Y232" i="2"/>
  <c r="BN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Z225" i="2"/>
  <c r="Y225" i="2"/>
  <c r="BP225" i="2" s="1"/>
  <c r="P225" i="2"/>
  <c r="BO224" i="2"/>
  <c r="BM224" i="2"/>
  <c r="Y224" i="2"/>
  <c r="P224" i="2"/>
  <c r="BP223" i="2"/>
  <c r="BO223" i="2"/>
  <c r="BN223" i="2"/>
  <c r="BM223" i="2"/>
  <c r="Z223" i="2"/>
  <c r="Y223" i="2"/>
  <c r="P223" i="2"/>
  <c r="BO222" i="2"/>
  <c r="BM222" i="2"/>
  <c r="Y222" i="2"/>
  <c r="BP222" i="2" s="1"/>
  <c r="P222" i="2"/>
  <c r="BO221" i="2"/>
  <c r="BM221" i="2"/>
  <c r="Y221" i="2"/>
  <c r="P221" i="2"/>
  <c r="X219" i="2"/>
  <c r="X218" i="2"/>
  <c r="BP217" i="2"/>
  <c r="BO217" i="2"/>
  <c r="BM217" i="2"/>
  <c r="Z217" i="2"/>
  <c r="Z218" i="2" s="1"/>
  <c r="Y217" i="2"/>
  <c r="Y219" i="2" s="1"/>
  <c r="P217" i="2"/>
  <c r="X214" i="2"/>
  <c r="X213" i="2"/>
  <c r="BP212" i="2"/>
  <c r="BO212" i="2"/>
  <c r="BM212" i="2"/>
  <c r="Y212" i="2"/>
  <c r="BN212" i="2" s="1"/>
  <c r="P212" i="2"/>
  <c r="BO211" i="2"/>
  <c r="BM211" i="2"/>
  <c r="Y211" i="2"/>
  <c r="P211" i="2"/>
  <c r="BP210" i="2"/>
  <c r="BO210" i="2"/>
  <c r="BN210" i="2"/>
  <c r="BM210" i="2"/>
  <c r="Z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P207" i="2" s="1"/>
  <c r="P207" i="2"/>
  <c r="BP206" i="2"/>
  <c r="BO206" i="2"/>
  <c r="BN206" i="2"/>
  <c r="BM206" i="2"/>
  <c r="Z206" i="2"/>
  <c r="Y206" i="2"/>
  <c r="P206" i="2"/>
  <c r="X202" i="2"/>
  <c r="X201" i="2"/>
  <c r="BO200" i="2"/>
  <c r="BM200" i="2"/>
  <c r="Y200" i="2"/>
  <c r="BN200" i="2" s="1"/>
  <c r="P200" i="2"/>
  <c r="X198" i="2"/>
  <c r="X197" i="2"/>
  <c r="BO196" i="2"/>
  <c r="BM196" i="2"/>
  <c r="Y196" i="2"/>
  <c r="BP196" i="2" s="1"/>
  <c r="P196" i="2"/>
  <c r="BO195" i="2"/>
  <c r="BM195" i="2"/>
  <c r="Y195" i="2"/>
  <c r="BP195" i="2" s="1"/>
  <c r="P195" i="2"/>
  <c r="X193" i="2"/>
  <c r="X192" i="2"/>
  <c r="BO191" i="2"/>
  <c r="BN191" i="2"/>
  <c r="BM191" i="2"/>
  <c r="Y191" i="2"/>
  <c r="Z191" i="2" s="1"/>
  <c r="P191" i="2"/>
  <c r="BO190" i="2"/>
  <c r="BM190" i="2"/>
  <c r="Y190" i="2"/>
  <c r="BP190" i="2" s="1"/>
  <c r="P190" i="2"/>
  <c r="BO189" i="2"/>
  <c r="BM189" i="2"/>
  <c r="Z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Z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Z180" i="2"/>
  <c r="Y180" i="2"/>
  <c r="BP180" i="2" s="1"/>
  <c r="P180" i="2"/>
  <c r="BO179" i="2"/>
  <c r="BM179" i="2"/>
  <c r="Y179" i="2"/>
  <c r="BN179" i="2" s="1"/>
  <c r="P179" i="2"/>
  <c r="BP178" i="2"/>
  <c r="BO178" i="2"/>
  <c r="BN178" i="2"/>
  <c r="BM178" i="2"/>
  <c r="Z178" i="2"/>
  <c r="Y178" i="2"/>
  <c r="P178" i="2"/>
  <c r="BO177" i="2"/>
  <c r="BM177" i="2"/>
  <c r="Y177" i="2"/>
  <c r="BP177" i="2" s="1"/>
  <c r="P177" i="2"/>
  <c r="BP176" i="2"/>
  <c r="BO176" i="2"/>
  <c r="BM176" i="2"/>
  <c r="Z176" i="2"/>
  <c r="Y176" i="2"/>
  <c r="BN176" i="2" s="1"/>
  <c r="P176" i="2"/>
  <c r="BO175" i="2"/>
  <c r="BM175" i="2"/>
  <c r="Y175" i="2"/>
  <c r="P175" i="2"/>
  <c r="X173" i="2"/>
  <c r="X172" i="2"/>
  <c r="BO171" i="2"/>
  <c r="BM171" i="2"/>
  <c r="Y171" i="2"/>
  <c r="Z171" i="2" s="1"/>
  <c r="P171" i="2"/>
  <c r="BO170" i="2"/>
  <c r="BM170" i="2"/>
  <c r="Z170" i="2"/>
  <c r="Y170" i="2"/>
  <c r="BP170" i="2" s="1"/>
  <c r="P170" i="2"/>
  <c r="X168" i="2"/>
  <c r="X167" i="2"/>
  <c r="BP166" i="2"/>
  <c r="BO166" i="2"/>
  <c r="BN166" i="2"/>
  <c r="BM166" i="2"/>
  <c r="Z166" i="2"/>
  <c r="Y166" i="2"/>
  <c r="P166" i="2"/>
  <c r="BO165" i="2"/>
  <c r="BM165" i="2"/>
  <c r="Y165" i="2"/>
  <c r="BP165" i="2" s="1"/>
  <c r="P165" i="2"/>
  <c r="BO164" i="2"/>
  <c r="BM164" i="2"/>
  <c r="Y164" i="2"/>
  <c r="P164" i="2"/>
  <c r="X161" i="2"/>
  <c r="X160" i="2"/>
  <c r="BO159" i="2"/>
  <c r="BM159" i="2"/>
  <c r="Y159" i="2"/>
  <c r="Y161" i="2" s="1"/>
  <c r="P159" i="2"/>
  <c r="X157" i="2"/>
  <c r="X156" i="2"/>
  <c r="BP155" i="2"/>
  <c r="BO155" i="2"/>
  <c r="BM155" i="2"/>
  <c r="Z155" i="2"/>
  <c r="Y155" i="2"/>
  <c r="BN155" i="2" s="1"/>
  <c r="P155" i="2"/>
  <c r="BO154" i="2"/>
  <c r="BM154" i="2"/>
  <c r="Y154" i="2"/>
  <c r="BP154" i="2" s="1"/>
  <c r="P154" i="2"/>
  <c r="BP153" i="2"/>
  <c r="BO153" i="2"/>
  <c r="BM153" i="2"/>
  <c r="Z153" i="2"/>
  <c r="Y153" i="2"/>
  <c r="BN153" i="2" s="1"/>
  <c r="P153" i="2"/>
  <c r="BO152" i="2"/>
  <c r="BM152" i="2"/>
  <c r="Y152" i="2"/>
  <c r="BP152" i="2" s="1"/>
  <c r="P152" i="2"/>
  <c r="BO151" i="2"/>
  <c r="BN151" i="2"/>
  <c r="BM151" i="2"/>
  <c r="Y151" i="2"/>
  <c r="Z151" i="2" s="1"/>
  <c r="P151" i="2"/>
  <c r="BO150" i="2"/>
  <c r="BM150" i="2"/>
  <c r="Z150" i="2"/>
  <c r="Y150" i="2"/>
  <c r="BN150" i="2" s="1"/>
  <c r="P150" i="2"/>
  <c r="BO149" i="2"/>
  <c r="BM149" i="2"/>
  <c r="Y149" i="2"/>
  <c r="I564" i="2" s="1"/>
  <c r="P149" i="2"/>
  <c r="X146" i="2"/>
  <c r="X145" i="2"/>
  <c r="BP144" i="2"/>
  <c r="BO144" i="2"/>
  <c r="BM144" i="2"/>
  <c r="Z144" i="2"/>
  <c r="Y144" i="2"/>
  <c r="BN144" i="2" s="1"/>
  <c r="P144" i="2"/>
  <c r="BO143" i="2"/>
  <c r="BM143" i="2"/>
  <c r="Y143" i="2"/>
  <c r="P143" i="2"/>
  <c r="BP142" i="2"/>
  <c r="BO142" i="2"/>
  <c r="BM142" i="2"/>
  <c r="Z142" i="2"/>
  <c r="Y142" i="2"/>
  <c r="BN142" i="2" s="1"/>
  <c r="P142" i="2"/>
  <c r="X140" i="2"/>
  <c r="X139" i="2"/>
  <c r="BP138" i="2"/>
  <c r="BO138" i="2"/>
  <c r="BM138" i="2"/>
  <c r="Z138" i="2"/>
  <c r="Y138" i="2"/>
  <c r="BN138" i="2" s="1"/>
  <c r="P138" i="2"/>
  <c r="BO137" i="2"/>
  <c r="BN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Z135" i="2"/>
  <c r="Y135" i="2"/>
  <c r="P135" i="2"/>
  <c r="X133" i="2"/>
  <c r="X132" i="2"/>
  <c r="BO131" i="2"/>
  <c r="BM131" i="2"/>
  <c r="Y131" i="2"/>
  <c r="BN131" i="2" s="1"/>
  <c r="P131" i="2"/>
  <c r="BO130" i="2"/>
  <c r="BM130" i="2"/>
  <c r="Y130" i="2"/>
  <c r="Z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BN124" i="2" s="1"/>
  <c r="P124" i="2"/>
  <c r="X122" i="2"/>
  <c r="X121" i="2"/>
  <c r="BO120" i="2"/>
  <c r="BM120" i="2"/>
  <c r="Y120" i="2"/>
  <c r="P120" i="2"/>
  <c r="BP119" i="2"/>
  <c r="BO119" i="2"/>
  <c r="BM119" i="2"/>
  <c r="Z119" i="2"/>
  <c r="Y119" i="2"/>
  <c r="BN119" i="2" s="1"/>
  <c r="P119" i="2"/>
  <c r="BO118" i="2"/>
  <c r="BM118" i="2"/>
  <c r="Y118" i="2"/>
  <c r="BP118" i="2" s="1"/>
  <c r="P118" i="2"/>
  <c r="BO117" i="2"/>
  <c r="BN117" i="2"/>
  <c r="BM117" i="2"/>
  <c r="Y117" i="2"/>
  <c r="P117" i="2"/>
  <c r="X115" i="2"/>
  <c r="X114" i="2"/>
  <c r="BO113" i="2"/>
  <c r="BM113" i="2"/>
  <c r="Z113" i="2"/>
  <c r="Y113" i="2"/>
  <c r="BP113" i="2" s="1"/>
  <c r="P113" i="2"/>
  <c r="BO112" i="2"/>
  <c r="BM112" i="2"/>
  <c r="Z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Y114" i="2" s="1"/>
  <c r="P110" i="2"/>
  <c r="BP109" i="2"/>
  <c r="BO109" i="2"/>
  <c r="BN109" i="2"/>
  <c r="BM109" i="2"/>
  <c r="Z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N102" i="2" s="1"/>
  <c r="P102" i="2"/>
  <c r="BP101" i="2"/>
  <c r="BO101" i="2"/>
  <c r="BN101" i="2"/>
  <c r="BM101" i="2"/>
  <c r="Z101" i="2"/>
  <c r="Y101" i="2"/>
  <c r="P101" i="2"/>
  <c r="BO100" i="2"/>
  <c r="BM100" i="2"/>
  <c r="Y100" i="2"/>
  <c r="P100" i="2"/>
  <c r="BO99" i="2"/>
  <c r="BM99" i="2"/>
  <c r="Y99" i="2"/>
  <c r="BN99" i="2" s="1"/>
  <c r="P99" i="2"/>
  <c r="X96" i="2"/>
  <c r="X95" i="2"/>
  <c r="BP94" i="2"/>
  <c r="BO94" i="2"/>
  <c r="BN94" i="2"/>
  <c r="BM94" i="2"/>
  <c r="Z94" i="2"/>
  <c r="Y94" i="2"/>
  <c r="P94" i="2"/>
  <c r="BO93" i="2"/>
  <c r="BM93" i="2"/>
  <c r="Y93" i="2"/>
  <c r="BP93" i="2" s="1"/>
  <c r="P93" i="2"/>
  <c r="BO92" i="2"/>
  <c r="BM92" i="2"/>
  <c r="Z92" i="2"/>
  <c r="Y92" i="2"/>
  <c r="BP92" i="2" s="1"/>
  <c r="P92" i="2"/>
  <c r="BO91" i="2"/>
  <c r="BM91" i="2"/>
  <c r="Z91" i="2"/>
  <c r="Y91" i="2"/>
  <c r="P91" i="2"/>
  <c r="X89" i="2"/>
  <c r="X88" i="2"/>
  <c r="BO87" i="2"/>
  <c r="BM87" i="2"/>
  <c r="Y87" i="2"/>
  <c r="BP87" i="2" s="1"/>
  <c r="P87" i="2"/>
  <c r="BO86" i="2"/>
  <c r="BM86" i="2"/>
  <c r="Y86" i="2"/>
  <c r="Z86" i="2" s="1"/>
  <c r="P86" i="2"/>
  <c r="BO85" i="2"/>
  <c r="BN85" i="2"/>
  <c r="BM85" i="2"/>
  <c r="Y85" i="2"/>
  <c r="BP85" i="2" s="1"/>
  <c r="P85" i="2"/>
  <c r="BP84" i="2"/>
  <c r="BO84" i="2"/>
  <c r="BN84" i="2"/>
  <c r="BM84" i="2"/>
  <c r="Z84" i="2"/>
  <c r="Y84" i="2"/>
  <c r="P84" i="2"/>
  <c r="X81" i="2"/>
  <c r="X80" i="2"/>
  <c r="BO79" i="2"/>
  <c r="BM79" i="2"/>
  <c r="Y79" i="2"/>
  <c r="BN79" i="2" s="1"/>
  <c r="P79" i="2"/>
  <c r="BP78" i="2"/>
  <c r="BO78" i="2"/>
  <c r="BN78" i="2"/>
  <c r="BM78" i="2"/>
  <c r="Z78" i="2"/>
  <c r="Y78" i="2"/>
  <c r="Y80" i="2" s="1"/>
  <c r="P78" i="2"/>
  <c r="X76" i="2"/>
  <c r="X75" i="2"/>
  <c r="BO74" i="2"/>
  <c r="BM74" i="2"/>
  <c r="Y74" i="2"/>
  <c r="BP74" i="2" s="1"/>
  <c r="P74" i="2"/>
  <c r="BO73" i="2"/>
  <c r="BM73" i="2"/>
  <c r="Y73" i="2"/>
  <c r="Y76" i="2" s="1"/>
  <c r="P73" i="2"/>
  <c r="X71" i="2"/>
  <c r="X70" i="2"/>
  <c r="BO69" i="2"/>
  <c r="BM69" i="2"/>
  <c r="Y69" i="2"/>
  <c r="BP69" i="2" s="1"/>
  <c r="P69" i="2"/>
  <c r="BO68" i="2"/>
  <c r="BM68" i="2"/>
  <c r="Y68" i="2"/>
  <c r="BN68" i="2" s="1"/>
  <c r="P68" i="2"/>
  <c r="BP67" i="2"/>
  <c r="BO67" i="2"/>
  <c r="BN67" i="2"/>
  <c r="BM67" i="2"/>
  <c r="Z67" i="2"/>
  <c r="Y67" i="2"/>
  <c r="P67" i="2"/>
  <c r="BO66" i="2"/>
  <c r="BM66" i="2"/>
  <c r="Y66" i="2"/>
  <c r="P66" i="2"/>
  <c r="X64" i="2"/>
  <c r="X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P57" i="2"/>
  <c r="BO57" i="2"/>
  <c r="BN57" i="2"/>
  <c r="BM57" i="2"/>
  <c r="Z57" i="2"/>
  <c r="Y57" i="2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P50" i="2"/>
  <c r="BO50" i="2"/>
  <c r="BN50" i="2"/>
  <c r="BM50" i="2"/>
  <c r="Z50" i="2"/>
  <c r="Y50" i="2"/>
  <c r="P50" i="2"/>
  <c r="BO49" i="2"/>
  <c r="BM49" i="2"/>
  <c r="Y49" i="2"/>
  <c r="BP49" i="2" s="1"/>
  <c r="P49" i="2"/>
  <c r="BO48" i="2"/>
  <c r="BM48" i="2"/>
  <c r="Z48" i="2"/>
  <c r="Y48" i="2"/>
  <c r="BP48" i="2" s="1"/>
  <c r="P48" i="2"/>
  <c r="BO47" i="2"/>
  <c r="BM47" i="2"/>
  <c r="Z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N39" i="2"/>
  <c r="BM39" i="2"/>
  <c r="Y39" i="2"/>
  <c r="BP39" i="2" s="1"/>
  <c r="P39" i="2"/>
  <c r="BP38" i="2"/>
  <c r="BO38" i="2"/>
  <c r="BN38" i="2"/>
  <c r="BM38" i="2"/>
  <c r="Z38" i="2"/>
  <c r="Y38" i="2"/>
  <c r="P38" i="2"/>
  <c r="BO37" i="2"/>
  <c r="BN37" i="2"/>
  <c r="BM37" i="2"/>
  <c r="Y37" i="2"/>
  <c r="BP37" i="2" s="1"/>
  <c r="P37" i="2"/>
  <c r="X33" i="2"/>
  <c r="X32" i="2"/>
  <c r="BP31" i="2"/>
  <c r="BO31" i="2"/>
  <c r="BN31" i="2"/>
  <c r="BM31" i="2"/>
  <c r="Z31" i="2"/>
  <c r="Y31" i="2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N27" i="2"/>
  <c r="BM27" i="2"/>
  <c r="Y27" i="2"/>
  <c r="BP27" i="2" s="1"/>
  <c r="P27" i="2"/>
  <c r="X25" i="2"/>
  <c r="X24" i="2"/>
  <c r="BO23" i="2"/>
  <c r="BM23" i="2"/>
  <c r="Y23" i="2"/>
  <c r="Y25" i="2" s="1"/>
  <c r="P23" i="2"/>
  <c r="BP22" i="2"/>
  <c r="BO22" i="2"/>
  <c r="BM22" i="2"/>
  <c r="Y22" i="2"/>
  <c r="BN22" i="2" s="1"/>
  <c r="P22" i="2"/>
  <c r="H10" i="2"/>
  <c r="A9" i="2"/>
  <c r="F10" i="2" s="1"/>
  <c r="D7" i="2"/>
  <c r="Q6" i="2"/>
  <c r="P2" i="2"/>
  <c r="BP102" i="2" l="1"/>
  <c r="BP179" i="2"/>
  <c r="BP211" i="2"/>
  <c r="Z211" i="2"/>
  <c r="BP221" i="2"/>
  <c r="BN221" i="2"/>
  <c r="BN224" i="2"/>
  <c r="Z224" i="2"/>
  <c r="BN247" i="2"/>
  <c r="BP247" i="2"/>
  <c r="Z247" i="2"/>
  <c r="BP429" i="2"/>
  <c r="Z429" i="2"/>
  <c r="BP499" i="2"/>
  <c r="AA564" i="2"/>
  <c r="Y508" i="2"/>
  <c r="Z499" i="2"/>
  <c r="Y515" i="2"/>
  <c r="BN511" i="2"/>
  <c r="BN30" i="2"/>
  <c r="D564" i="2"/>
  <c r="BP47" i="2"/>
  <c r="Z58" i="2"/>
  <c r="BN60" i="2"/>
  <c r="Z61" i="2"/>
  <c r="BP61" i="2"/>
  <c r="BN62" i="2"/>
  <c r="Z69" i="2"/>
  <c r="BP79" i="2"/>
  <c r="Y81" i="2"/>
  <c r="Y96" i="2"/>
  <c r="BP91" i="2"/>
  <c r="Y107" i="2"/>
  <c r="Z102" i="2"/>
  <c r="BN104" i="2"/>
  <c r="Z105" i="2"/>
  <c r="BP105" i="2"/>
  <c r="Z111" i="2"/>
  <c r="BP111" i="2"/>
  <c r="Y121" i="2"/>
  <c r="BP117" i="2"/>
  <c r="Z124" i="2"/>
  <c r="Z125" i="2" s="1"/>
  <c r="BN129" i="2"/>
  <c r="Z136" i="2"/>
  <c r="BP151" i="2"/>
  <c r="J564" i="2"/>
  <c r="BN171" i="2"/>
  <c r="Z179" i="2"/>
  <c r="BN181" i="2"/>
  <c r="Z182" i="2"/>
  <c r="BP182" i="2"/>
  <c r="BN183" i="2"/>
  <c r="Z190" i="2"/>
  <c r="Z192" i="2" s="1"/>
  <c r="Z196" i="2"/>
  <c r="Y201" i="2"/>
  <c r="Z221" i="2"/>
  <c r="BN270" i="2"/>
  <c r="BP270" i="2"/>
  <c r="Z270" i="2"/>
  <c r="BP278" i="2"/>
  <c r="Z278" i="2"/>
  <c r="BN305" i="2"/>
  <c r="BP305" i="2"/>
  <c r="Z305" i="2"/>
  <c r="BN318" i="2"/>
  <c r="Y321" i="2"/>
  <c r="BP318" i="2"/>
  <c r="Z318" i="2"/>
  <c r="P564" i="2"/>
  <c r="BN324" i="2"/>
  <c r="BP324" i="2"/>
  <c r="Z324" i="2"/>
  <c r="BN370" i="2"/>
  <c r="BP370" i="2"/>
  <c r="Z370" i="2"/>
  <c r="BN420" i="2"/>
  <c r="Y422" i="2"/>
  <c r="BP420" i="2"/>
  <c r="BN431" i="2"/>
  <c r="BP431" i="2"/>
  <c r="Z431" i="2"/>
  <c r="BP433" i="2"/>
  <c r="BN433" i="2"/>
  <c r="Z433" i="2"/>
  <c r="BP450" i="2"/>
  <c r="BN450" i="2"/>
  <c r="Z450" i="2"/>
  <c r="BP465" i="2"/>
  <c r="BN465" i="2"/>
  <c r="Z465" i="2"/>
  <c r="BP477" i="2"/>
  <c r="BN477" i="2"/>
  <c r="Z477" i="2"/>
  <c r="Y495" i="2"/>
  <c r="Z491" i="2"/>
  <c r="BP503" i="2"/>
  <c r="Z503" i="2"/>
  <c r="Y539" i="2"/>
  <c r="Y538" i="2"/>
  <c r="Z537" i="2"/>
  <c r="Z538" i="2" s="1"/>
  <c r="BP545" i="2"/>
  <c r="BN545" i="2"/>
  <c r="Z545" i="2"/>
  <c r="J9" i="2"/>
  <c r="X555" i="2"/>
  <c r="X558" i="2"/>
  <c r="BN49" i="2"/>
  <c r="E564" i="2"/>
  <c r="BP68" i="2"/>
  <c r="Y71" i="2"/>
  <c r="BN73" i="2"/>
  <c r="BN93" i="2"/>
  <c r="G564" i="2"/>
  <c r="Y122" i="2"/>
  <c r="Y140" i="2"/>
  <c r="BP135" i="2"/>
  <c r="Y145" i="2"/>
  <c r="Y186" i="2"/>
  <c r="Y192" i="2"/>
  <c r="BP189" i="2"/>
  <c r="BN207" i="2"/>
  <c r="BN211" i="2"/>
  <c r="BN227" i="2"/>
  <c r="BP227" i="2"/>
  <c r="Z227" i="2"/>
  <c r="BN231" i="2"/>
  <c r="BP231" i="2"/>
  <c r="Z231" i="2"/>
  <c r="BP300" i="2"/>
  <c r="BN300" i="2"/>
  <c r="BN328" i="2"/>
  <c r="BP328" i="2"/>
  <c r="Z328" i="2"/>
  <c r="R564" i="2"/>
  <c r="BN340" i="2"/>
  <c r="Y346" i="2"/>
  <c r="Z340" i="2"/>
  <c r="Y345" i="2"/>
  <c r="BN374" i="2"/>
  <c r="BP374" i="2"/>
  <c r="Z374" i="2"/>
  <c r="BP379" i="2"/>
  <c r="BN379" i="2"/>
  <c r="BP444" i="2"/>
  <c r="Z444" i="2"/>
  <c r="Z520" i="2"/>
  <c r="BN520" i="2"/>
  <c r="BP58" i="2"/>
  <c r="Y63" i="2"/>
  <c r="X556" i="2"/>
  <c r="Z23" i="2"/>
  <c r="X554" i="2"/>
  <c r="Z30" i="2"/>
  <c r="Z55" i="2"/>
  <c r="BP55" i="2"/>
  <c r="Z59" i="2"/>
  <c r="Y70" i="2"/>
  <c r="Z68" i="2"/>
  <c r="F564" i="2"/>
  <c r="Z99" i="2"/>
  <c r="BP99" i="2"/>
  <c r="Z103" i="2"/>
  <c r="BP112" i="2"/>
  <c r="Y115" i="2"/>
  <c r="BP150" i="2"/>
  <c r="Z172" i="2"/>
  <c r="BN196" i="2"/>
  <c r="BP200" i="2"/>
  <c r="Y202" i="2"/>
  <c r="BP224" i="2"/>
  <c r="Y276" i="2"/>
  <c r="Z267" i="2"/>
  <c r="BN285" i="2"/>
  <c r="BP285" i="2"/>
  <c r="Z285" i="2"/>
  <c r="BN287" i="2"/>
  <c r="Z287" i="2"/>
  <c r="BP400" i="2"/>
  <c r="BN400" i="2"/>
  <c r="Z400" i="2"/>
  <c r="BP439" i="2"/>
  <c r="Z439" i="2"/>
  <c r="X564" i="2"/>
  <c r="BP455" i="2"/>
  <c r="BP481" i="2"/>
  <c r="Y483" i="2"/>
  <c r="BN481" i="2"/>
  <c r="Y484" i="2"/>
  <c r="Z481" i="2"/>
  <c r="BP523" i="2"/>
  <c r="Z523" i="2"/>
  <c r="BN541" i="2"/>
  <c r="BP541" i="2"/>
  <c r="Y542" i="2"/>
  <c r="Y552" i="2"/>
  <c r="AC564" i="2"/>
  <c r="Y553" i="2"/>
  <c r="K564" i="2"/>
  <c r="Y214" i="2"/>
  <c r="BN217" i="2"/>
  <c r="BN226" i="2"/>
  <c r="BN228" i="2"/>
  <c r="BP233" i="2"/>
  <c r="BN242" i="2"/>
  <c r="BN246" i="2"/>
  <c r="BN258" i="2"/>
  <c r="BN269" i="2"/>
  <c r="Y290" i="2"/>
  <c r="BN294" i="2"/>
  <c r="Y337" i="2"/>
  <c r="BP343" i="2"/>
  <c r="BN354" i="2"/>
  <c r="BN369" i="2"/>
  <c r="BN386" i="2"/>
  <c r="Y390" i="2"/>
  <c r="U564" i="2"/>
  <c r="W564" i="2"/>
  <c r="Y461" i="2"/>
  <c r="Y564" i="2"/>
  <c r="BN475" i="2"/>
  <c r="BP482" i="2"/>
  <c r="BN502" i="2"/>
  <c r="BN506" i="2"/>
  <c r="BP517" i="2"/>
  <c r="BN522" i="2"/>
  <c r="Z259" i="2"/>
  <c r="BP286" i="2"/>
  <c r="BP289" i="2"/>
  <c r="Y314" i="2"/>
  <c r="Z380" i="2"/>
  <c r="BN394" i="2"/>
  <c r="Z405" i="2"/>
  <c r="Z407" i="2"/>
  <c r="Z412" i="2"/>
  <c r="BP412" i="2"/>
  <c r="V564" i="2"/>
  <c r="Z419" i="2"/>
  <c r="Z426" i="2"/>
  <c r="BP426" i="2"/>
  <c r="Z430" i="2"/>
  <c r="BP432" i="2"/>
  <c r="Y478" i="2"/>
  <c r="Z242" i="2"/>
  <c r="Y249" i="2"/>
  <c r="Z294" i="2"/>
  <c r="Y397" i="2"/>
  <c r="Y402" i="2"/>
  <c r="Y414" i="2"/>
  <c r="Z466" i="2"/>
  <c r="Z564" i="2"/>
  <c r="Z502" i="2"/>
  <c r="Z506" i="2"/>
  <c r="Y524" i="2"/>
  <c r="Z522" i="2"/>
  <c r="AB564" i="2"/>
  <c r="X557" i="2"/>
  <c r="BN23" i="2"/>
  <c r="F9" i="2"/>
  <c r="BN28" i="2"/>
  <c r="BN40" i="2"/>
  <c r="Y64" i="2"/>
  <c r="Z73" i="2"/>
  <c r="BN86" i="2"/>
  <c r="Z117" i="2"/>
  <c r="BN130" i="2"/>
  <c r="BN164" i="2"/>
  <c r="Y167" i="2"/>
  <c r="BN184" i="2"/>
  <c r="BN208" i="2"/>
  <c r="BN229" i="2"/>
  <c r="BN239" i="2"/>
  <c r="Y250" i="2"/>
  <c r="BN262" i="2"/>
  <c r="BN272" i="2"/>
  <c r="Y275" i="2"/>
  <c r="BN282" i="2"/>
  <c r="Y295" i="2"/>
  <c r="BN303" i="2"/>
  <c r="Y306" i="2"/>
  <c r="Z313" i="2"/>
  <c r="Z314" i="2" s="1"/>
  <c r="BN326" i="2"/>
  <c r="Y329" i="2"/>
  <c r="BP340" i="2"/>
  <c r="Z348" i="2"/>
  <c r="BN362" i="2"/>
  <c r="BN372" i="2"/>
  <c r="BN382" i="2"/>
  <c r="Z392" i="2"/>
  <c r="Z413" i="2"/>
  <c r="Z414" i="2" s="1"/>
  <c r="BN428" i="2"/>
  <c r="BN438" i="2"/>
  <c r="Y462" i="2"/>
  <c r="Z473" i="2"/>
  <c r="BP475" i="2"/>
  <c r="BP500" i="2"/>
  <c r="Y509" i="2"/>
  <c r="Z518" i="2"/>
  <c r="BP520" i="2"/>
  <c r="Y547" i="2"/>
  <c r="BP171" i="2"/>
  <c r="BP181" i="2"/>
  <c r="BP191" i="2"/>
  <c r="H9" i="2"/>
  <c r="BP23" i="2"/>
  <c r="BN47" i="2"/>
  <c r="BN91" i="2"/>
  <c r="BP124" i="2"/>
  <c r="BN135" i="2"/>
  <c r="Y146" i="2"/>
  <c r="Y157" i="2"/>
  <c r="Y172" i="2"/>
  <c r="BN189" i="2"/>
  <c r="BP234" i="2"/>
  <c r="BP257" i="2"/>
  <c r="BN267" i="2"/>
  <c r="BP287" i="2"/>
  <c r="BP356" i="2"/>
  <c r="BN387" i="2"/>
  <c r="BP399" i="2"/>
  <c r="BN443" i="2"/>
  <c r="Y446" i="2"/>
  <c r="BN466" i="2"/>
  <c r="Y479" i="2"/>
  <c r="BN491" i="2"/>
  <c r="Y494" i="2"/>
  <c r="BN503" i="2"/>
  <c r="BN513" i="2"/>
  <c r="BN523" i="2"/>
  <c r="BN537" i="2"/>
  <c r="L564" i="2"/>
  <c r="BP130" i="2"/>
  <c r="BP164" i="2"/>
  <c r="BP184" i="2"/>
  <c r="Y197" i="2"/>
  <c r="BP208" i="2"/>
  <c r="BP229" i="2"/>
  <c r="BP239" i="2"/>
  <c r="BP262" i="2"/>
  <c r="BP272" i="2"/>
  <c r="BP282" i="2"/>
  <c r="Y291" i="2"/>
  <c r="BP303" i="2"/>
  <c r="BN313" i="2"/>
  <c r="BP326" i="2"/>
  <c r="BN348" i="2"/>
  <c r="BP362" i="2"/>
  <c r="BP372" i="2"/>
  <c r="BP382" i="2"/>
  <c r="BN392" i="2"/>
  <c r="Y403" i="2"/>
  <c r="BN413" i="2"/>
  <c r="BP428" i="2"/>
  <c r="BP438" i="2"/>
  <c r="Y451" i="2"/>
  <c r="BN473" i="2"/>
  <c r="BN518" i="2"/>
  <c r="Y531" i="2"/>
  <c r="Y543" i="2"/>
  <c r="M564" i="2"/>
  <c r="A10" i="2"/>
  <c r="Z56" i="2"/>
  <c r="Z110" i="2"/>
  <c r="Z114" i="2" s="1"/>
  <c r="Z120" i="2"/>
  <c r="Y125" i="2"/>
  <c r="Z143" i="2"/>
  <c r="Z145" i="2" s="1"/>
  <c r="Z154" i="2"/>
  <c r="Y168" i="2"/>
  <c r="Z177" i="2"/>
  <c r="Z222" i="2"/>
  <c r="Y235" i="2"/>
  <c r="Z252" i="2"/>
  <c r="Z253" i="2" s="1"/>
  <c r="Y296" i="2"/>
  <c r="Y307" i="2"/>
  <c r="Y330" i="2"/>
  <c r="Z341" i="2"/>
  <c r="Z345" i="2" s="1"/>
  <c r="Y357" i="2"/>
  <c r="Z395" i="2"/>
  <c r="Y434" i="2"/>
  <c r="Y457" i="2"/>
  <c r="Z464" i="2"/>
  <c r="Z467" i="2" s="1"/>
  <c r="Z476" i="2"/>
  <c r="BP491" i="2"/>
  <c r="Z501" i="2"/>
  <c r="Z511" i="2"/>
  <c r="Z514" i="2" s="1"/>
  <c r="Z521" i="2"/>
  <c r="BP537" i="2"/>
  <c r="Y548" i="2"/>
  <c r="O564" i="2"/>
  <c r="BP40" i="2"/>
  <c r="Z149" i="2"/>
  <c r="Z159" i="2"/>
  <c r="Z160" i="2" s="1"/>
  <c r="Y173" i="2"/>
  <c r="Y193" i="2"/>
  <c r="BP313" i="2"/>
  <c r="BP348" i="2"/>
  <c r="Y383" i="2"/>
  <c r="BP392" i="2"/>
  <c r="Y447" i="2"/>
  <c r="BP473" i="2"/>
  <c r="BP518" i="2"/>
  <c r="Z29" i="2"/>
  <c r="Z41" i="2"/>
  <c r="BN56" i="2"/>
  <c r="BN66" i="2"/>
  <c r="Z87" i="2"/>
  <c r="BN100" i="2"/>
  <c r="BN110" i="2"/>
  <c r="BN120" i="2"/>
  <c r="Z131" i="2"/>
  <c r="BN143" i="2"/>
  <c r="BN154" i="2"/>
  <c r="Z165" i="2"/>
  <c r="BN177" i="2"/>
  <c r="Z185" i="2"/>
  <c r="Y198" i="2"/>
  <c r="Z209" i="2"/>
  <c r="BN222" i="2"/>
  <c r="Z230" i="2"/>
  <c r="Z240" i="2"/>
  <c r="BN252" i="2"/>
  <c r="Z263" i="2"/>
  <c r="Z264" i="2" s="1"/>
  <c r="Z273" i="2"/>
  <c r="Z283" i="2"/>
  <c r="Z293" i="2"/>
  <c r="Z295" i="2" s="1"/>
  <c r="Z304" i="2"/>
  <c r="BN341" i="2"/>
  <c r="BN395" i="2"/>
  <c r="Y452" i="2"/>
  <c r="BN464" i="2"/>
  <c r="Y467" i="2"/>
  <c r="BN476" i="2"/>
  <c r="BN501" i="2"/>
  <c r="Y514" i="2"/>
  <c r="Q564" i="2"/>
  <c r="Z66" i="2"/>
  <c r="Z70" i="2" s="1"/>
  <c r="BP73" i="2"/>
  <c r="BN149" i="2"/>
  <c r="BN159" i="2"/>
  <c r="Y435" i="2"/>
  <c r="Y458" i="2"/>
  <c r="Z492" i="2"/>
  <c r="Z504" i="2"/>
  <c r="Z551" i="2"/>
  <c r="Z552" i="2" s="1"/>
  <c r="Y236" i="2"/>
  <c r="BN41" i="2"/>
  <c r="BN87" i="2"/>
  <c r="Z118" i="2"/>
  <c r="BN230" i="2"/>
  <c r="Y243" i="2"/>
  <c r="BP252" i="2"/>
  <c r="BN263" i="2"/>
  <c r="BN273" i="2"/>
  <c r="BN283" i="2"/>
  <c r="BN293" i="2"/>
  <c r="BN304" i="2"/>
  <c r="BN327" i="2"/>
  <c r="Z349" i="2"/>
  <c r="BN363" i="2"/>
  <c r="Y366" i="2"/>
  <c r="BN373" i="2"/>
  <c r="Y376" i="2"/>
  <c r="Y384" i="2"/>
  <c r="Z393" i="2"/>
  <c r="BN405" i="2"/>
  <c r="Y408" i="2"/>
  <c r="BN429" i="2"/>
  <c r="BN439" i="2"/>
  <c r="Z449" i="2"/>
  <c r="Z451" i="2" s="1"/>
  <c r="BP464" i="2"/>
  <c r="BP511" i="2"/>
  <c r="BP28" i="2"/>
  <c r="BP86" i="2"/>
  <c r="Z100" i="2"/>
  <c r="BP66" i="2"/>
  <c r="BP100" i="2"/>
  <c r="BP120" i="2"/>
  <c r="BP143" i="2"/>
  <c r="Z152" i="2"/>
  <c r="BN185" i="2"/>
  <c r="Z195" i="2"/>
  <c r="Z197" i="2" s="1"/>
  <c r="BN209" i="2"/>
  <c r="Z22" i="2"/>
  <c r="Z24" i="2" s="1"/>
  <c r="BN48" i="2"/>
  <c r="Y51" i="2"/>
  <c r="BN59" i="2"/>
  <c r="BN69" i="2"/>
  <c r="Z79" i="2"/>
  <c r="Z80" i="2" s="1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Z200" i="2"/>
  <c r="Z201" i="2" s="1"/>
  <c r="Z212" i="2"/>
  <c r="Y218" i="2"/>
  <c r="BN225" i="2"/>
  <c r="Z233" i="2"/>
  <c r="BN268" i="2"/>
  <c r="BN278" i="2"/>
  <c r="Z286" i="2"/>
  <c r="BN299" i="2"/>
  <c r="BN309" i="2"/>
  <c r="Z319" i="2"/>
  <c r="Z320" i="2" s="1"/>
  <c r="BN333" i="2"/>
  <c r="Y336" i="2"/>
  <c r="BN344" i="2"/>
  <c r="Z355" i="2"/>
  <c r="Z357" i="2" s="1"/>
  <c r="BN388" i="2"/>
  <c r="Z420" i="2"/>
  <c r="Z421" i="2" s="1"/>
  <c r="Z432" i="2"/>
  <c r="BN444" i="2"/>
  <c r="Z455" i="2"/>
  <c r="Z457" i="2" s="1"/>
  <c r="BN492" i="2"/>
  <c r="BN504" i="2"/>
  <c r="Y525" i="2"/>
  <c r="BN551" i="2"/>
  <c r="T564" i="2"/>
  <c r="Y24" i="2"/>
  <c r="Y126" i="2"/>
  <c r="BN165" i="2"/>
  <c r="Z175" i="2"/>
  <c r="Z186" i="2" s="1"/>
  <c r="BN240" i="2"/>
  <c r="Z27" i="2"/>
  <c r="Z32" i="2" s="1"/>
  <c r="BP29" i="2"/>
  <c r="Z39" i="2"/>
  <c r="Z62" i="2"/>
  <c r="BN74" i="2"/>
  <c r="Z85" i="2"/>
  <c r="Z88" i="2" s="1"/>
  <c r="BN118" i="2"/>
  <c r="Z129" i="2"/>
  <c r="Z132" i="2" s="1"/>
  <c r="BP131" i="2"/>
  <c r="BN152" i="2"/>
  <c r="BN175" i="2"/>
  <c r="Z183" i="2"/>
  <c r="BN195" i="2"/>
  <c r="Z207" i="2"/>
  <c r="Z228" i="2"/>
  <c r="Z238" i="2"/>
  <c r="Z243" i="2" s="1"/>
  <c r="Z248" i="2"/>
  <c r="Z271" i="2"/>
  <c r="Z281" i="2"/>
  <c r="Z302" i="2"/>
  <c r="Z325" i="2"/>
  <c r="Z329" i="2" s="1"/>
  <c r="BN349" i="2"/>
  <c r="Z361" i="2"/>
  <c r="Z366" i="2" s="1"/>
  <c r="Z371" i="2"/>
  <c r="Z381" i="2"/>
  <c r="BN393" i="2"/>
  <c r="BP405" i="2"/>
  <c r="Y415" i="2"/>
  <c r="Z427" i="2"/>
  <c r="Z434" i="2" s="1"/>
  <c r="Z437" i="2"/>
  <c r="Z440" i="2" s="1"/>
  <c r="BN449" i="2"/>
  <c r="Z460" i="2"/>
  <c r="Z461" i="2" s="1"/>
  <c r="BN474" i="2"/>
  <c r="BP487" i="2"/>
  <c r="BN499" i="2"/>
  <c r="Z507" i="2"/>
  <c r="BN519" i="2"/>
  <c r="BP533" i="2"/>
  <c r="B564" i="2"/>
  <c r="Y32" i="2"/>
  <c r="Z74" i="2"/>
  <c r="BP110" i="2"/>
  <c r="Y33" i="2"/>
  <c r="Y160" i="2"/>
  <c r="Y244" i="2"/>
  <c r="Y259" i="2"/>
  <c r="BP333" i="2"/>
  <c r="Y367" i="2"/>
  <c r="Y377" i="2"/>
  <c r="BN455" i="2"/>
  <c r="BP551" i="2"/>
  <c r="C564" i="2"/>
  <c r="Y42" i="2"/>
  <c r="Y52" i="2"/>
  <c r="Y88" i="2"/>
  <c r="Y132" i="2"/>
  <c r="BP175" i="2"/>
  <c r="BN248" i="2"/>
  <c r="Y264" i="2"/>
  <c r="BN271" i="2"/>
  <c r="BN281" i="2"/>
  <c r="Z289" i="2"/>
  <c r="BN302" i="2"/>
  <c r="BN325" i="2"/>
  <c r="BN361" i="2"/>
  <c r="BN371" i="2"/>
  <c r="BN381" i="2"/>
  <c r="BP393" i="2"/>
  <c r="Z401" i="2"/>
  <c r="Z402" i="2" s="1"/>
  <c r="BN427" i="2"/>
  <c r="BN437" i="2"/>
  <c r="Y440" i="2"/>
  <c r="BN460" i="2"/>
  <c r="Z472" i="2"/>
  <c r="Z478" i="2" s="1"/>
  <c r="Z482" i="2"/>
  <c r="Z483" i="2" s="1"/>
  <c r="Y488" i="2"/>
  <c r="BN507" i="2"/>
  <c r="Z517" i="2"/>
  <c r="Z529" i="2"/>
  <c r="Z530" i="2" s="1"/>
  <c r="Y534" i="2"/>
  <c r="Z541" i="2"/>
  <c r="Z542" i="2" s="1"/>
  <c r="Z546" i="2"/>
  <c r="Z547" i="2" s="1"/>
  <c r="Z37" i="2"/>
  <c r="Z49" i="2"/>
  <c r="Z51" i="2" s="1"/>
  <c r="Z60" i="2"/>
  <c r="Y75" i="2"/>
  <c r="Z93" i="2"/>
  <c r="Z95" i="2" s="1"/>
  <c r="Z104" i="2"/>
  <c r="Z137" i="2"/>
  <c r="Z139" i="2" s="1"/>
  <c r="Z226" i="2"/>
  <c r="Z246" i="2"/>
  <c r="Z249" i="2" s="1"/>
  <c r="Y260" i="2"/>
  <c r="Z269" i="2"/>
  <c r="Z275" i="2" s="1"/>
  <c r="Z279" i="2"/>
  <c r="Z300" i="2"/>
  <c r="Z306" i="2" s="1"/>
  <c r="Z334" i="2"/>
  <c r="Z336" i="2" s="1"/>
  <c r="Y350" i="2"/>
  <c r="Z369" i="2"/>
  <c r="Z379" i="2"/>
  <c r="Z383" i="2" s="1"/>
  <c r="Z445" i="2"/>
  <c r="Z446" i="2" s="1"/>
  <c r="BN472" i="2"/>
  <c r="Z493" i="2"/>
  <c r="Z505" i="2"/>
  <c r="BN529" i="2"/>
  <c r="Y43" i="2"/>
  <c r="Y89" i="2"/>
  <c r="Y133" i="2"/>
  <c r="Y187" i="2"/>
  <c r="Y213" i="2"/>
  <c r="Y265" i="2"/>
  <c r="Y441" i="2"/>
  <c r="Y489" i="2"/>
  <c r="BN546" i="2"/>
  <c r="H564" i="2"/>
  <c r="Y156" i="2"/>
  <c r="Z164" i="2"/>
  <c r="Z167" i="2" s="1"/>
  <c r="Z208" i="2"/>
  <c r="BP279" i="2"/>
  <c r="BN399" i="2"/>
  <c r="Y554" i="2" l="1"/>
  <c r="Z121" i="2"/>
  <c r="Z408" i="2"/>
  <c r="Z376" i="2"/>
  <c r="Z290" i="2"/>
  <c r="Z213" i="2"/>
  <c r="Y556" i="2"/>
  <c r="Z508" i="2"/>
  <c r="Z156" i="2"/>
  <c r="Z106" i="2"/>
  <c r="Z494" i="2"/>
  <c r="Z235" i="2"/>
  <c r="Z63" i="2"/>
  <c r="Y555" i="2"/>
  <c r="Z75" i="2"/>
  <c r="Y558" i="2"/>
  <c r="Z396" i="2"/>
  <c r="Z42" i="2"/>
  <c r="Z559" i="2"/>
  <c r="Z350" i="2"/>
  <c r="Z524" i="2"/>
  <c r="Y557" i="2" l="1"/>
</calcChain>
</file>

<file path=xl/sharedStrings.xml><?xml version="1.0" encoding="utf-8"?>
<sst xmlns="http://schemas.openxmlformats.org/spreadsheetml/2006/main" count="4262" uniqueCount="913">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</sst>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topLeftCell="A530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67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68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8" t="s">
        <v>8</v>
      </c>
      <c r="B5" s="978"/>
      <c r="C5" s="978"/>
      <c r="D5" s="1000"/>
      <c r="E5" s="1000"/>
      <c r="F5" s="1001" t="s">
        <v>14</v>
      </c>
      <c r="G5" s="1001"/>
      <c r="H5" s="1000"/>
      <c r="I5" s="1000"/>
      <c r="J5" s="1000"/>
      <c r="K5" s="1000"/>
      <c r="L5" s="1000"/>
      <c r="M5" s="1000"/>
      <c r="N5" s="72"/>
      <c r="P5" s="27" t="s">
        <v>4</v>
      </c>
      <c r="Q5" s="1002">
        <v>46244</v>
      </c>
      <c r="R5" s="1002"/>
      <c r="T5" s="1003" t="s">
        <v>3</v>
      </c>
      <c r="U5" s="1004"/>
      <c r="V5" s="1005" t="s">
        <v>873</v>
      </c>
      <c r="W5" s="1006"/>
      <c r="AB5" s="59"/>
      <c r="AC5" s="59"/>
      <c r="AD5" s="59"/>
      <c r="AE5" s="59"/>
    </row>
    <row r="6" spans="1:32" s="17" customFormat="1" ht="24" customHeight="1" x14ac:dyDescent="0.2">
      <c r="A6" s="978" t="s">
        <v>1</v>
      </c>
      <c r="B6" s="978"/>
      <c r="C6" s="978"/>
      <c r="D6" s="979"/>
      <c r="E6" s="979"/>
      <c r="F6" s="979"/>
      <c r="G6" s="979"/>
      <c r="H6" s="979"/>
      <c r="I6" s="979"/>
      <c r="J6" s="979"/>
      <c r="K6" s="979"/>
      <c r="L6" s="979"/>
      <c r="M6" s="979"/>
      <c r="N6" s="73"/>
      <c r="P6" s="27" t="s">
        <v>27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980"/>
      <c r="T6" s="981" t="s">
        <v>5</v>
      </c>
      <c r="U6" s="982"/>
      <c r="V6" s="983" t="s">
        <v>70</v>
      </c>
      <c r="W6" s="98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9">
        <f>IFERROR(VLOOKUP(DeliveryAddress,Table,3,0),1)</f>
        <v>1</v>
      </c>
      <c r="E7" s="990"/>
      <c r="F7" s="990"/>
      <c r="G7" s="990"/>
      <c r="H7" s="990"/>
      <c r="I7" s="990"/>
      <c r="J7" s="990"/>
      <c r="K7" s="990"/>
      <c r="L7" s="990"/>
      <c r="M7" s="991"/>
      <c r="N7" s="74"/>
      <c r="P7" s="29"/>
      <c r="Q7" s="48"/>
      <c r="R7" s="48"/>
      <c r="T7" s="981"/>
      <c r="U7" s="982"/>
      <c r="V7" s="985"/>
      <c r="W7" s="986"/>
      <c r="AB7" s="59"/>
      <c r="AC7" s="59"/>
      <c r="AD7" s="59"/>
      <c r="AE7" s="59"/>
    </row>
    <row r="8" spans="1:32" s="17" customFormat="1" ht="25.5" customHeight="1" x14ac:dyDescent="0.2">
      <c r="A8" s="992" t="s">
        <v>58</v>
      </c>
      <c r="B8" s="992"/>
      <c r="C8" s="992"/>
      <c r="D8" s="993"/>
      <c r="E8" s="993"/>
      <c r="F8" s="993"/>
      <c r="G8" s="993"/>
      <c r="H8" s="993"/>
      <c r="I8" s="993"/>
      <c r="J8" s="993"/>
      <c r="K8" s="993"/>
      <c r="L8" s="993"/>
      <c r="M8" s="993"/>
      <c r="N8" s="75"/>
      <c r="P8" s="27" t="s">
        <v>11</v>
      </c>
      <c r="Q8" s="976">
        <v>0.41666666666666669</v>
      </c>
      <c r="R8" s="976"/>
      <c r="T8" s="981"/>
      <c r="U8" s="982"/>
      <c r="V8" s="985"/>
      <c r="W8" s="986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994" t="str">
        <f>IF(AND($A$9="Тип доверенности/получателя при получении в адресе перегруза:",$D$9="Разовая доверенность"),"Введите ФИО","")</f>
        <v/>
      </c>
      <c r="I9" s="994"/>
      <c r="J9" s="9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4"/>
      <c r="L9" s="994"/>
      <c r="M9" s="994"/>
      <c r="N9" s="70"/>
      <c r="P9" s="31" t="s">
        <v>15</v>
      </c>
      <c r="Q9" s="995"/>
      <c r="R9" s="995"/>
      <c r="T9" s="981"/>
      <c r="U9" s="982"/>
      <c r="V9" s="987"/>
      <c r="W9" s="98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71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54" t="s">
        <v>55</v>
      </c>
      <c r="W11" s="95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3" t="s">
        <v>72</v>
      </c>
      <c r="B12" s="953"/>
      <c r="C12" s="953"/>
      <c r="D12" s="953"/>
      <c r="E12" s="953"/>
      <c r="F12" s="953"/>
      <c r="G12" s="953"/>
      <c r="H12" s="953"/>
      <c r="I12" s="953"/>
      <c r="J12" s="953"/>
      <c r="K12" s="953"/>
      <c r="L12" s="953"/>
      <c r="M12" s="953"/>
      <c r="N12" s="76"/>
      <c r="P12" s="27" t="s">
        <v>30</v>
      </c>
      <c r="Q12" s="976"/>
      <c r="R12" s="976"/>
      <c r="S12" s="28"/>
      <c r="T12"/>
      <c r="U12" s="29" t="s">
        <v>46</v>
      </c>
      <c r="V12" s="977"/>
      <c r="W12" s="977"/>
      <c r="X12"/>
      <c r="AB12" s="59"/>
      <c r="AC12" s="59"/>
      <c r="AD12" s="59"/>
      <c r="AE12" s="59"/>
    </row>
    <row r="13" spans="1:32" s="17" customFormat="1" ht="23.25" customHeight="1" x14ac:dyDescent="0.2">
      <c r="A13" s="953" t="s">
        <v>73</v>
      </c>
      <c r="B13" s="953"/>
      <c r="C13" s="953"/>
      <c r="D13" s="953"/>
      <c r="E13" s="953"/>
      <c r="F13" s="953"/>
      <c r="G13" s="953"/>
      <c r="H13" s="953"/>
      <c r="I13" s="953"/>
      <c r="J13" s="953"/>
      <c r="K13" s="953"/>
      <c r="L13" s="953"/>
      <c r="M13" s="953"/>
      <c r="N13" s="76"/>
      <c r="O13" s="31"/>
      <c r="P13" s="31" t="s">
        <v>31</v>
      </c>
      <c r="Q13" s="954"/>
      <c r="R13" s="95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3" t="s">
        <v>74</v>
      </c>
      <c r="B14" s="953"/>
      <c r="C14" s="953"/>
      <c r="D14" s="953"/>
      <c r="E14" s="953"/>
      <c r="F14" s="953"/>
      <c r="G14" s="953"/>
      <c r="H14" s="953"/>
      <c r="I14" s="953"/>
      <c r="J14" s="953"/>
      <c r="K14" s="953"/>
      <c r="L14" s="953"/>
      <c r="M14" s="95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5" t="s">
        <v>75</v>
      </c>
      <c r="B15" s="955"/>
      <c r="C15" s="955"/>
      <c r="D15" s="955"/>
      <c r="E15" s="955"/>
      <c r="F15" s="955"/>
      <c r="G15" s="955"/>
      <c r="H15" s="955"/>
      <c r="I15" s="955"/>
      <c r="J15" s="955"/>
      <c r="K15" s="955"/>
      <c r="L15" s="955"/>
      <c r="M15" s="955"/>
      <c r="N15" s="77"/>
      <c r="O15"/>
      <c r="P15" s="956" t="s">
        <v>61</v>
      </c>
      <c r="Q15" s="956"/>
      <c r="R15" s="956"/>
      <c r="S15" s="956"/>
      <c r="T15" s="95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7"/>
      <c r="Q16" s="957"/>
      <c r="R16" s="957"/>
      <c r="S16" s="957"/>
      <c r="T16" s="95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59</v>
      </c>
      <c r="B17" s="939" t="s">
        <v>49</v>
      </c>
      <c r="C17" s="960" t="s">
        <v>48</v>
      </c>
      <c r="D17" s="962" t="s">
        <v>50</v>
      </c>
      <c r="E17" s="963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66</v>
      </c>
      <c r="L17" s="939" t="s">
        <v>64</v>
      </c>
      <c r="M17" s="939" t="s">
        <v>2</v>
      </c>
      <c r="N17" s="939" t="s">
        <v>63</v>
      </c>
      <c r="O17" s="939" t="s">
        <v>25</v>
      </c>
      <c r="P17" s="962" t="s">
        <v>17</v>
      </c>
      <c r="Q17" s="966"/>
      <c r="R17" s="966"/>
      <c r="S17" s="966"/>
      <c r="T17" s="963"/>
      <c r="U17" s="958" t="s">
        <v>56</v>
      </c>
      <c r="V17" s="959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60</v>
      </c>
      <c r="AB17" s="945" t="s">
        <v>19</v>
      </c>
      <c r="AC17" s="945" t="s">
        <v>65</v>
      </c>
      <c r="AD17" s="947" t="s">
        <v>57</v>
      </c>
      <c r="AE17" s="948"/>
      <c r="AF17" s="949"/>
      <c r="AG17" s="82"/>
      <c r="BD17" s="81" t="s">
        <v>62</v>
      </c>
    </row>
    <row r="18" spans="1:68" ht="14.25" customHeight="1" x14ac:dyDescent="0.2">
      <c r="A18" s="940"/>
      <c r="B18" s="940"/>
      <c r="C18" s="961"/>
      <c r="D18" s="964"/>
      <c r="E18" s="965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64"/>
      <c r="Q18" s="967"/>
      <c r="R18" s="967"/>
      <c r="S18" s="967"/>
      <c r="T18" s="965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customHeight="1" x14ac:dyDescent="0.25">
      <c r="A20" s="659" t="s">
        <v>76</v>
      </c>
      <c r="B20" s="659"/>
      <c r="C20" s="659"/>
      <c r="D20" s="659"/>
      <c r="E20" s="659"/>
      <c r="F20" s="659"/>
      <c r="G20" s="659"/>
      <c r="H20" s="659"/>
      <c r="I20" s="659"/>
      <c r="J20" s="659"/>
      <c r="K20" s="659"/>
      <c r="L20" s="659"/>
      <c r="M20" s="659"/>
      <c r="N20" s="659"/>
      <c r="O20" s="659"/>
      <c r="P20" s="659"/>
      <c r="Q20" s="659"/>
      <c r="R20" s="659"/>
      <c r="S20" s="659"/>
      <c r="T20" s="659"/>
      <c r="U20" s="659"/>
      <c r="V20" s="659"/>
      <c r="W20" s="659"/>
      <c r="X20" s="659"/>
      <c r="Y20" s="659"/>
      <c r="Z20" s="659"/>
      <c r="AA20" s="65"/>
      <c r="AB20" s="65"/>
      <c r="AC20" s="79"/>
    </row>
    <row r="21" spans="1:68" ht="14.25" customHeight="1" x14ac:dyDescent="0.25">
      <c r="A21" s="660" t="s">
        <v>77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55">
        <v>4680115886643</v>
      </c>
      <c r="E22" s="65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7"/>
      <c r="R22" s="657"/>
      <c r="S22" s="657"/>
      <c r="T22" s="65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55">
        <v>4680115889071</v>
      </c>
      <c r="E23" s="65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7"/>
      <c r="R23" s="657"/>
      <c r="S23" s="657"/>
      <c r="T23" s="65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49"/>
      <c r="B25" s="649"/>
      <c r="C25" s="649"/>
      <c r="D25" s="649"/>
      <c r="E25" s="649"/>
      <c r="F25" s="649"/>
      <c r="G25" s="649"/>
      <c r="H25" s="649"/>
      <c r="I25" s="649"/>
      <c r="J25" s="649"/>
      <c r="K25" s="649"/>
      <c r="L25" s="649"/>
      <c r="M25" s="649"/>
      <c r="N25" s="649"/>
      <c r="O25" s="650"/>
      <c r="P25" s="646" t="s">
        <v>40</v>
      </c>
      <c r="Q25" s="647"/>
      <c r="R25" s="647"/>
      <c r="S25" s="647"/>
      <c r="T25" s="647"/>
      <c r="U25" s="647"/>
      <c r="V25" s="64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60" t="s">
        <v>86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55">
        <v>4680115885912</v>
      </c>
      <c r="E27" s="65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7"/>
      <c r="R27" s="657"/>
      <c r="S27" s="657"/>
      <c r="T27" s="65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55">
        <v>4607091388237</v>
      </c>
      <c r="E28" s="65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7"/>
      <c r="R28" s="657"/>
      <c r="S28" s="657"/>
      <c r="T28" s="65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55">
        <v>4680115887350</v>
      </c>
      <c r="E29" s="65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7"/>
      <c r="R29" s="657"/>
      <c r="S29" s="657"/>
      <c r="T29" s="65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55">
        <v>4680115885905</v>
      </c>
      <c r="E30" s="65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7"/>
      <c r="R30" s="657"/>
      <c r="S30" s="657"/>
      <c r="T30" s="65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55">
        <v>4680115887619</v>
      </c>
      <c r="E31" s="65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7"/>
      <c r="R31" s="657"/>
      <c r="S31" s="657"/>
      <c r="T31" s="65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49"/>
      <c r="B33" s="649"/>
      <c r="C33" s="649"/>
      <c r="D33" s="649"/>
      <c r="E33" s="649"/>
      <c r="F33" s="649"/>
      <c r="G33" s="649"/>
      <c r="H33" s="649"/>
      <c r="I33" s="649"/>
      <c r="J33" s="649"/>
      <c r="K33" s="649"/>
      <c r="L33" s="649"/>
      <c r="M33" s="649"/>
      <c r="N33" s="649"/>
      <c r="O33" s="650"/>
      <c r="P33" s="646" t="s">
        <v>40</v>
      </c>
      <c r="Q33" s="647"/>
      <c r="R33" s="647"/>
      <c r="S33" s="647"/>
      <c r="T33" s="647"/>
      <c r="U33" s="647"/>
      <c r="V33" s="64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customHeight="1" x14ac:dyDescent="0.25">
      <c r="A35" s="659" t="s">
        <v>104</v>
      </c>
      <c r="B35" s="659"/>
      <c r="C35" s="659"/>
      <c r="D35" s="659"/>
      <c r="E35" s="659"/>
      <c r="F35" s="659"/>
      <c r="G35" s="659"/>
      <c r="H35" s="659"/>
      <c r="I35" s="659"/>
      <c r="J35" s="659"/>
      <c r="K35" s="659"/>
      <c r="L35" s="659"/>
      <c r="M35" s="659"/>
      <c r="N35" s="659"/>
      <c r="O35" s="659"/>
      <c r="P35" s="659"/>
      <c r="Q35" s="659"/>
      <c r="R35" s="659"/>
      <c r="S35" s="659"/>
      <c r="T35" s="659"/>
      <c r="U35" s="659"/>
      <c r="V35" s="659"/>
      <c r="W35" s="659"/>
      <c r="X35" s="659"/>
      <c r="Y35" s="659"/>
      <c r="Z35" s="659"/>
      <c r="AA35" s="65"/>
      <c r="AB35" s="65"/>
      <c r="AC35" s="79"/>
    </row>
    <row r="36" spans="1:68" ht="14.25" customHeight="1" x14ac:dyDescent="0.25">
      <c r="A36" s="660" t="s">
        <v>86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655">
        <v>4680115889354</v>
      </c>
      <c r="E37" s="65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7"/>
      <c r="R37" s="657"/>
      <c r="S37" s="657"/>
      <c r="T37" s="65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655">
        <v>4680115888463</v>
      </c>
      <c r="E38" s="65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7"/>
      <c r="R38" s="657"/>
      <c r="S38" s="657"/>
      <c r="T38" s="65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4301052202</v>
      </c>
      <c r="D39" s="655">
        <v>4680115888494</v>
      </c>
      <c r="E39" s="65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2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7"/>
      <c r="R39" s="657"/>
      <c r="S39" s="657"/>
      <c r="T39" s="65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55">
        <v>4680115888272</v>
      </c>
      <c r="E40" s="65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7"/>
      <c r="R40" s="657"/>
      <c r="S40" s="657"/>
      <c r="T40" s="65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55">
        <v>4680115888364</v>
      </c>
      <c r="E41" s="65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7"/>
      <c r="R41" s="657"/>
      <c r="S41" s="657"/>
      <c r="T41" s="65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649"/>
      <c r="B42" s="649"/>
      <c r="C42" s="649"/>
      <c r="D42" s="649"/>
      <c r="E42" s="649"/>
      <c r="F42" s="649"/>
      <c r="G42" s="649"/>
      <c r="H42" s="649"/>
      <c r="I42" s="649"/>
      <c r="J42" s="649"/>
      <c r="K42" s="649"/>
      <c r="L42" s="649"/>
      <c r="M42" s="649"/>
      <c r="N42" s="649"/>
      <c r="O42" s="650"/>
      <c r="P42" s="646" t="s">
        <v>40</v>
      </c>
      <c r="Q42" s="647"/>
      <c r="R42" s="647"/>
      <c r="S42" s="647"/>
      <c r="T42" s="647"/>
      <c r="U42" s="647"/>
      <c r="V42" s="64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649"/>
      <c r="B43" s="649"/>
      <c r="C43" s="649"/>
      <c r="D43" s="649"/>
      <c r="E43" s="649"/>
      <c r="F43" s="649"/>
      <c r="G43" s="649"/>
      <c r="H43" s="649"/>
      <c r="I43" s="649"/>
      <c r="J43" s="649"/>
      <c r="K43" s="649"/>
      <c r="L43" s="649"/>
      <c r="M43" s="649"/>
      <c r="N43" s="649"/>
      <c r="O43" s="650"/>
      <c r="P43" s="646" t="s">
        <v>40</v>
      </c>
      <c r="Q43" s="647"/>
      <c r="R43" s="647"/>
      <c r="S43" s="647"/>
      <c r="T43" s="647"/>
      <c r="U43" s="647"/>
      <c r="V43" s="64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666" t="s">
        <v>120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customHeight="1" x14ac:dyDescent="0.25">
      <c r="A45" s="659" t="s">
        <v>121</v>
      </c>
      <c r="B45" s="659"/>
      <c r="C45" s="659"/>
      <c r="D45" s="659"/>
      <c r="E45" s="659"/>
      <c r="F45" s="659"/>
      <c r="G45" s="659"/>
      <c r="H45" s="659"/>
      <c r="I45" s="659"/>
      <c r="J45" s="659"/>
      <c r="K45" s="659"/>
      <c r="L45" s="659"/>
      <c r="M45" s="659"/>
      <c r="N45" s="659"/>
      <c r="O45" s="659"/>
      <c r="P45" s="659"/>
      <c r="Q45" s="659"/>
      <c r="R45" s="659"/>
      <c r="S45" s="659"/>
      <c r="T45" s="659"/>
      <c r="U45" s="659"/>
      <c r="V45" s="659"/>
      <c r="W45" s="659"/>
      <c r="X45" s="659"/>
      <c r="Y45" s="659"/>
      <c r="Z45" s="659"/>
      <c r="AA45" s="65"/>
      <c r="AB45" s="65"/>
      <c r="AC45" s="79"/>
    </row>
    <row r="46" spans="1:68" ht="14.25" customHeight="1" x14ac:dyDescent="0.25">
      <c r="A46" s="660" t="s">
        <v>122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5">
        <v>4607091385670</v>
      </c>
      <c r="E47" s="65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7"/>
      <c r="R47" s="657"/>
      <c r="S47" s="657"/>
      <c r="T47" s="65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655">
        <v>4680115887725</v>
      </c>
      <c r="E48" s="65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7"/>
      <c r="R48" s="657"/>
      <c r="S48" s="657"/>
      <c r="T48" s="65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5">
        <v>4607091385687</v>
      </c>
      <c r="E49" s="65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7"/>
      <c r="R49" s="657"/>
      <c r="S49" s="657"/>
      <c r="T49" s="65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655">
        <v>4680115882539</v>
      </c>
      <c r="E50" s="65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7"/>
      <c r="R50" s="657"/>
      <c r="S50" s="657"/>
      <c r="T50" s="65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49"/>
      <c r="B51" s="649"/>
      <c r="C51" s="649"/>
      <c r="D51" s="649"/>
      <c r="E51" s="649"/>
      <c r="F51" s="649"/>
      <c r="G51" s="649"/>
      <c r="H51" s="649"/>
      <c r="I51" s="649"/>
      <c r="J51" s="649"/>
      <c r="K51" s="649"/>
      <c r="L51" s="649"/>
      <c r="M51" s="649"/>
      <c r="N51" s="649"/>
      <c r="O51" s="650"/>
      <c r="P51" s="646" t="s">
        <v>40</v>
      </c>
      <c r="Q51" s="647"/>
      <c r="R51" s="647"/>
      <c r="S51" s="647"/>
      <c r="T51" s="647"/>
      <c r="U51" s="647"/>
      <c r="V51" s="64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649"/>
      <c r="B52" s="649"/>
      <c r="C52" s="649"/>
      <c r="D52" s="649"/>
      <c r="E52" s="649"/>
      <c r="F52" s="649"/>
      <c r="G52" s="649"/>
      <c r="H52" s="649"/>
      <c r="I52" s="649"/>
      <c r="J52" s="649"/>
      <c r="K52" s="649"/>
      <c r="L52" s="649"/>
      <c r="M52" s="649"/>
      <c r="N52" s="649"/>
      <c r="O52" s="650"/>
      <c r="P52" s="646" t="s">
        <v>40</v>
      </c>
      <c r="Q52" s="647"/>
      <c r="R52" s="647"/>
      <c r="S52" s="647"/>
      <c r="T52" s="647"/>
      <c r="U52" s="647"/>
      <c r="V52" s="64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659" t="s">
        <v>137</v>
      </c>
      <c r="B53" s="659"/>
      <c r="C53" s="659"/>
      <c r="D53" s="659"/>
      <c r="E53" s="659"/>
      <c r="F53" s="659"/>
      <c r="G53" s="659"/>
      <c r="H53" s="659"/>
      <c r="I53" s="659"/>
      <c r="J53" s="659"/>
      <c r="K53" s="659"/>
      <c r="L53" s="659"/>
      <c r="M53" s="659"/>
      <c r="N53" s="659"/>
      <c r="O53" s="659"/>
      <c r="P53" s="659"/>
      <c r="Q53" s="659"/>
      <c r="R53" s="659"/>
      <c r="S53" s="659"/>
      <c r="T53" s="659"/>
      <c r="U53" s="659"/>
      <c r="V53" s="659"/>
      <c r="W53" s="659"/>
      <c r="X53" s="659"/>
      <c r="Y53" s="659"/>
      <c r="Z53" s="659"/>
      <c r="AA53" s="65"/>
      <c r="AB53" s="65"/>
      <c r="AC53" s="79"/>
    </row>
    <row r="54" spans="1:68" ht="14.25" customHeight="1" x14ac:dyDescent="0.25">
      <c r="A54" s="660" t="s">
        <v>122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4301012030</v>
      </c>
      <c r="D55" s="655">
        <v>4680115885882</v>
      </c>
      <c r="E55" s="65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7"/>
      <c r="R55" s="657"/>
      <c r="S55" s="657"/>
      <c r="T55" s="65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customHeight="1" x14ac:dyDescent="0.25">
      <c r="A56" s="63" t="s">
        <v>138</v>
      </c>
      <c r="B56" s="63" t="s">
        <v>141</v>
      </c>
      <c r="C56" s="36">
        <v>4301012161</v>
      </c>
      <c r="D56" s="655">
        <v>4680115885882</v>
      </c>
      <c r="E56" s="65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1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7"/>
      <c r="R56" s="657"/>
      <c r="S56" s="657"/>
      <c r="T56" s="65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655">
        <v>4680115881426</v>
      </c>
      <c r="E57" s="65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1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7"/>
      <c r="R57" s="657"/>
      <c r="S57" s="657"/>
      <c r="T57" s="65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146</v>
      </c>
      <c r="B58" s="63" t="s">
        <v>147</v>
      </c>
      <c r="C58" s="36">
        <v>4301011386</v>
      </c>
      <c r="D58" s="655">
        <v>4680115880283</v>
      </c>
      <c r="E58" s="65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1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7"/>
      <c r="R58" s="657"/>
      <c r="S58" s="657"/>
      <c r="T58" s="65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146</v>
      </c>
      <c r="B59" s="63" t="s">
        <v>149</v>
      </c>
      <c r="C59" s="36">
        <v>4301012259</v>
      </c>
      <c r="D59" s="655">
        <v>4680115880283</v>
      </c>
      <c r="E59" s="65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7"/>
      <c r="R59" s="657"/>
      <c r="S59" s="657"/>
      <c r="T59" s="65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150</v>
      </c>
      <c r="B60" s="63" t="s">
        <v>151</v>
      </c>
      <c r="C60" s="36">
        <v>4301011806</v>
      </c>
      <c r="D60" s="655">
        <v>4680115881525</v>
      </c>
      <c r="E60" s="65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7"/>
      <c r="R60" s="657"/>
      <c r="S60" s="657"/>
      <c r="T60" s="65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153</v>
      </c>
      <c r="B61" s="63" t="s">
        <v>154</v>
      </c>
      <c r="C61" s="36">
        <v>4301012165</v>
      </c>
      <c r="D61" s="655">
        <v>4680115885899</v>
      </c>
      <c r="E61" s="65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7"/>
      <c r="R61" s="657"/>
      <c r="S61" s="657"/>
      <c r="T61" s="65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55">
        <v>4680115881419</v>
      </c>
      <c r="E62" s="65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7"/>
      <c r="R62" s="657"/>
      <c r="S62" s="657"/>
      <c r="T62" s="65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x14ac:dyDescent="0.2">
      <c r="A63" s="649"/>
      <c r="B63" s="649"/>
      <c r="C63" s="649"/>
      <c r="D63" s="649"/>
      <c r="E63" s="649"/>
      <c r="F63" s="649"/>
      <c r="G63" s="649"/>
      <c r="H63" s="649"/>
      <c r="I63" s="649"/>
      <c r="J63" s="649"/>
      <c r="K63" s="649"/>
      <c r="L63" s="649"/>
      <c r="M63" s="649"/>
      <c r="N63" s="649"/>
      <c r="O63" s="650"/>
      <c r="P63" s="646" t="s">
        <v>40</v>
      </c>
      <c r="Q63" s="647"/>
      <c r="R63" s="647"/>
      <c r="S63" s="647"/>
      <c r="T63" s="647"/>
      <c r="U63" s="647"/>
      <c r="V63" s="648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49"/>
      <c r="B64" s="649"/>
      <c r="C64" s="649"/>
      <c r="D64" s="649"/>
      <c r="E64" s="649"/>
      <c r="F64" s="649"/>
      <c r="G64" s="649"/>
      <c r="H64" s="649"/>
      <c r="I64" s="649"/>
      <c r="J64" s="649"/>
      <c r="K64" s="649"/>
      <c r="L64" s="649"/>
      <c r="M64" s="649"/>
      <c r="N64" s="649"/>
      <c r="O64" s="650"/>
      <c r="P64" s="646" t="s">
        <v>40</v>
      </c>
      <c r="Q64" s="647"/>
      <c r="R64" s="647"/>
      <c r="S64" s="647"/>
      <c r="T64" s="647"/>
      <c r="U64" s="647"/>
      <c r="V64" s="648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customHeight="1" x14ac:dyDescent="0.25">
      <c r="A65" s="660" t="s">
        <v>158</v>
      </c>
      <c r="B65" s="660"/>
      <c r="C65" s="660"/>
      <c r="D65" s="660"/>
      <c r="E65" s="660"/>
      <c r="F65" s="660"/>
      <c r="G65" s="660"/>
      <c r="H65" s="660"/>
      <c r="I65" s="660"/>
      <c r="J65" s="660"/>
      <c r="K65" s="660"/>
      <c r="L65" s="660"/>
      <c r="M65" s="660"/>
      <c r="N65" s="660"/>
      <c r="O65" s="660"/>
      <c r="P65" s="660"/>
      <c r="Q65" s="660"/>
      <c r="R65" s="660"/>
      <c r="S65" s="660"/>
      <c r="T65" s="660"/>
      <c r="U65" s="660"/>
      <c r="V65" s="660"/>
      <c r="W65" s="660"/>
      <c r="X65" s="660"/>
      <c r="Y65" s="660"/>
      <c r="Z65" s="660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655">
        <v>4680115881440</v>
      </c>
      <c r="E66" s="65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7"/>
      <c r="R66" s="657"/>
      <c r="S66" s="657"/>
      <c r="T66" s="65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162</v>
      </c>
      <c r="B67" s="63" t="s">
        <v>163</v>
      </c>
      <c r="C67" s="36">
        <v>4301020358</v>
      </c>
      <c r="D67" s="655">
        <v>4680115885950</v>
      </c>
      <c r="E67" s="65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7"/>
      <c r="R67" s="657"/>
      <c r="S67" s="657"/>
      <c r="T67" s="65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customHeight="1" x14ac:dyDescent="0.25">
      <c r="A68" s="63" t="s">
        <v>164</v>
      </c>
      <c r="B68" s="63" t="s">
        <v>165</v>
      </c>
      <c r="C68" s="36">
        <v>4301020371</v>
      </c>
      <c r="D68" s="655">
        <v>4680115887688</v>
      </c>
      <c r="E68" s="65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7"/>
      <c r="R68" s="657"/>
      <c r="S68" s="657"/>
      <c r="T68" s="65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655">
        <v>4680115881433</v>
      </c>
      <c r="E69" s="65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7"/>
      <c r="R69" s="657"/>
      <c r="S69" s="657"/>
      <c r="T69" s="65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49"/>
      <c r="B70" s="649"/>
      <c r="C70" s="649"/>
      <c r="D70" s="649"/>
      <c r="E70" s="649"/>
      <c r="F70" s="649"/>
      <c r="G70" s="649"/>
      <c r="H70" s="649"/>
      <c r="I70" s="649"/>
      <c r="J70" s="649"/>
      <c r="K70" s="649"/>
      <c r="L70" s="649"/>
      <c r="M70" s="649"/>
      <c r="N70" s="649"/>
      <c r="O70" s="650"/>
      <c r="P70" s="646" t="s">
        <v>40</v>
      </c>
      <c r="Q70" s="647"/>
      <c r="R70" s="647"/>
      <c r="S70" s="647"/>
      <c r="T70" s="647"/>
      <c r="U70" s="647"/>
      <c r="V70" s="648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49"/>
      <c r="B71" s="649"/>
      <c r="C71" s="649"/>
      <c r="D71" s="649"/>
      <c r="E71" s="649"/>
      <c r="F71" s="649"/>
      <c r="G71" s="649"/>
      <c r="H71" s="649"/>
      <c r="I71" s="649"/>
      <c r="J71" s="649"/>
      <c r="K71" s="649"/>
      <c r="L71" s="649"/>
      <c r="M71" s="649"/>
      <c r="N71" s="649"/>
      <c r="O71" s="650"/>
      <c r="P71" s="646" t="s">
        <v>40</v>
      </c>
      <c r="Q71" s="647"/>
      <c r="R71" s="647"/>
      <c r="S71" s="647"/>
      <c r="T71" s="647"/>
      <c r="U71" s="647"/>
      <c r="V71" s="648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customHeight="1" x14ac:dyDescent="0.25">
      <c r="A72" s="660" t="s">
        <v>86</v>
      </c>
      <c r="B72" s="660"/>
      <c r="C72" s="660"/>
      <c r="D72" s="660"/>
      <c r="E72" s="660"/>
      <c r="F72" s="660"/>
      <c r="G72" s="660"/>
      <c r="H72" s="660"/>
      <c r="I72" s="660"/>
      <c r="J72" s="660"/>
      <c r="K72" s="660"/>
      <c r="L72" s="660"/>
      <c r="M72" s="660"/>
      <c r="N72" s="660"/>
      <c r="O72" s="660"/>
      <c r="P72" s="660"/>
      <c r="Q72" s="660"/>
      <c r="R72" s="660"/>
      <c r="S72" s="660"/>
      <c r="T72" s="660"/>
      <c r="U72" s="660"/>
      <c r="V72" s="660"/>
      <c r="W72" s="660"/>
      <c r="X72" s="660"/>
      <c r="Y72" s="660"/>
      <c r="Z72" s="660"/>
      <c r="AA72" s="66"/>
      <c r="AB72" s="66"/>
      <c r="AC72" s="80"/>
    </row>
    <row r="73" spans="1:68" ht="16.5" customHeight="1" x14ac:dyDescent="0.25">
      <c r="A73" s="63" t="s">
        <v>169</v>
      </c>
      <c r="B73" s="63" t="s">
        <v>170</v>
      </c>
      <c r="C73" s="36">
        <v>4301051837</v>
      </c>
      <c r="D73" s="655">
        <v>4680115884311</v>
      </c>
      <c r="E73" s="65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0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7"/>
      <c r="R73" s="657"/>
      <c r="S73" s="657"/>
      <c r="T73" s="65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172</v>
      </c>
      <c r="B74" s="63" t="s">
        <v>173</v>
      </c>
      <c r="C74" s="36">
        <v>4301051929</v>
      </c>
      <c r="D74" s="655">
        <v>4680115884403</v>
      </c>
      <c r="E74" s="65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7"/>
      <c r="R74" s="657"/>
      <c r="S74" s="657"/>
      <c r="T74" s="65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x14ac:dyDescent="0.2">
      <c r="A76" s="649"/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50"/>
      <c r="P76" s="646" t="s">
        <v>40</v>
      </c>
      <c r="Q76" s="647"/>
      <c r="R76" s="647"/>
      <c r="S76" s="647"/>
      <c r="T76" s="647"/>
      <c r="U76" s="647"/>
      <c r="V76" s="648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customHeight="1" x14ac:dyDescent="0.25">
      <c r="A77" s="660" t="s">
        <v>175</v>
      </c>
      <c r="B77" s="660"/>
      <c r="C77" s="660"/>
      <c r="D77" s="660"/>
      <c r="E77" s="660"/>
      <c r="F77" s="660"/>
      <c r="G77" s="660"/>
      <c r="H77" s="660"/>
      <c r="I77" s="660"/>
      <c r="J77" s="660"/>
      <c r="K77" s="660"/>
      <c r="L77" s="660"/>
      <c r="M77" s="660"/>
      <c r="N77" s="660"/>
      <c r="O77" s="660"/>
      <c r="P77" s="660"/>
      <c r="Q77" s="660"/>
      <c r="R77" s="660"/>
      <c r="S77" s="660"/>
      <c r="T77" s="660"/>
      <c r="U77" s="660"/>
      <c r="V77" s="660"/>
      <c r="W77" s="660"/>
      <c r="X77" s="660"/>
      <c r="Y77" s="660"/>
      <c r="Z77" s="660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655">
        <v>4680115881532</v>
      </c>
      <c r="E78" s="65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7"/>
      <c r="R78" s="657"/>
      <c r="S78" s="657"/>
      <c r="T78" s="65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179</v>
      </c>
      <c r="B79" s="63" t="s">
        <v>180</v>
      </c>
      <c r="C79" s="36">
        <v>4301060351</v>
      </c>
      <c r="D79" s="655">
        <v>4680115881464</v>
      </c>
      <c r="E79" s="65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7"/>
      <c r="R79" s="657"/>
      <c r="S79" s="657"/>
      <c r="T79" s="65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649"/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50"/>
      <c r="P81" s="646" t="s">
        <v>40</v>
      </c>
      <c r="Q81" s="647"/>
      <c r="R81" s="647"/>
      <c r="S81" s="647"/>
      <c r="T81" s="647"/>
      <c r="U81" s="647"/>
      <c r="V81" s="648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659" t="s">
        <v>182</v>
      </c>
      <c r="B82" s="659"/>
      <c r="C82" s="659"/>
      <c r="D82" s="659"/>
      <c r="E82" s="659"/>
      <c r="F82" s="659"/>
      <c r="G82" s="659"/>
      <c r="H82" s="659"/>
      <c r="I82" s="659"/>
      <c r="J82" s="659"/>
      <c r="K82" s="659"/>
      <c r="L82" s="659"/>
      <c r="M82" s="659"/>
      <c r="N82" s="659"/>
      <c r="O82" s="659"/>
      <c r="P82" s="659"/>
      <c r="Q82" s="659"/>
      <c r="R82" s="659"/>
      <c r="S82" s="659"/>
      <c r="T82" s="659"/>
      <c r="U82" s="659"/>
      <c r="V82" s="659"/>
      <c r="W82" s="659"/>
      <c r="X82" s="659"/>
      <c r="Y82" s="659"/>
      <c r="Z82" s="659"/>
      <c r="AA82" s="65"/>
      <c r="AB82" s="65"/>
      <c r="AC82" s="79"/>
    </row>
    <row r="83" spans="1:68" ht="14.25" customHeight="1" x14ac:dyDescent="0.25">
      <c r="A83" s="660" t="s">
        <v>122</v>
      </c>
      <c r="B83" s="660"/>
      <c r="C83" s="660"/>
      <c r="D83" s="660"/>
      <c r="E83" s="660"/>
      <c r="F83" s="660"/>
      <c r="G83" s="660"/>
      <c r="H83" s="660"/>
      <c r="I83" s="660"/>
      <c r="J83" s="660"/>
      <c r="K83" s="660"/>
      <c r="L83" s="660"/>
      <c r="M83" s="660"/>
      <c r="N83" s="660"/>
      <c r="O83" s="660"/>
      <c r="P83" s="660"/>
      <c r="Q83" s="660"/>
      <c r="R83" s="660"/>
      <c r="S83" s="660"/>
      <c r="T83" s="660"/>
      <c r="U83" s="660"/>
      <c r="V83" s="660"/>
      <c r="W83" s="660"/>
      <c r="X83" s="660"/>
      <c r="Y83" s="660"/>
      <c r="Z83" s="660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655">
        <v>4680115881327</v>
      </c>
      <c r="E84" s="65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7"/>
      <c r="R84" s="657"/>
      <c r="S84" s="657"/>
      <c r="T84" s="65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186</v>
      </c>
      <c r="B85" s="63" t="s">
        <v>187</v>
      </c>
      <c r="C85" s="36">
        <v>4301011261</v>
      </c>
      <c r="D85" s="655">
        <v>4680115887732</v>
      </c>
      <c r="E85" s="65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7"/>
      <c r="R85" s="657"/>
      <c r="S85" s="657"/>
      <c r="T85" s="65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4301011476</v>
      </c>
      <c r="D86" s="655">
        <v>4680115881518</v>
      </c>
      <c r="E86" s="65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7"/>
      <c r="R86" s="657"/>
      <c r="S86" s="657"/>
      <c r="T86" s="65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655">
        <v>4680115881303</v>
      </c>
      <c r="E87" s="65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7"/>
      <c r="R87" s="657"/>
      <c r="S87" s="657"/>
      <c r="T87" s="65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49"/>
      <c r="B88" s="649"/>
      <c r="C88" s="649"/>
      <c r="D88" s="649"/>
      <c r="E88" s="649"/>
      <c r="F88" s="649"/>
      <c r="G88" s="649"/>
      <c r="H88" s="649"/>
      <c r="I88" s="649"/>
      <c r="J88" s="649"/>
      <c r="K88" s="649"/>
      <c r="L88" s="649"/>
      <c r="M88" s="649"/>
      <c r="N88" s="649"/>
      <c r="O88" s="650"/>
      <c r="P88" s="646" t="s">
        <v>40</v>
      </c>
      <c r="Q88" s="647"/>
      <c r="R88" s="647"/>
      <c r="S88" s="647"/>
      <c r="T88" s="647"/>
      <c r="U88" s="647"/>
      <c r="V88" s="648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49"/>
      <c r="B89" s="649"/>
      <c r="C89" s="649"/>
      <c r="D89" s="649"/>
      <c r="E89" s="649"/>
      <c r="F89" s="649"/>
      <c r="G89" s="649"/>
      <c r="H89" s="649"/>
      <c r="I89" s="649"/>
      <c r="J89" s="649"/>
      <c r="K89" s="649"/>
      <c r="L89" s="649"/>
      <c r="M89" s="649"/>
      <c r="N89" s="649"/>
      <c r="O89" s="650"/>
      <c r="P89" s="646" t="s">
        <v>40</v>
      </c>
      <c r="Q89" s="647"/>
      <c r="R89" s="647"/>
      <c r="S89" s="647"/>
      <c r="T89" s="647"/>
      <c r="U89" s="647"/>
      <c r="V89" s="648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660" t="s">
        <v>86</v>
      </c>
      <c r="B90" s="660"/>
      <c r="C90" s="660"/>
      <c r="D90" s="660"/>
      <c r="E90" s="660"/>
      <c r="F90" s="660"/>
      <c r="G90" s="660"/>
      <c r="H90" s="660"/>
      <c r="I90" s="660"/>
      <c r="J90" s="660"/>
      <c r="K90" s="660"/>
      <c r="L90" s="660"/>
      <c r="M90" s="660"/>
      <c r="N90" s="660"/>
      <c r="O90" s="660"/>
      <c r="P90" s="660"/>
      <c r="Q90" s="660"/>
      <c r="R90" s="660"/>
      <c r="S90" s="660"/>
      <c r="T90" s="660"/>
      <c r="U90" s="660"/>
      <c r="V90" s="660"/>
      <c r="W90" s="660"/>
      <c r="X90" s="660"/>
      <c r="Y90" s="660"/>
      <c r="Z90" s="660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655">
        <v>4607091386967</v>
      </c>
      <c r="E91" s="65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8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7"/>
      <c r="R91" s="657"/>
      <c r="S91" s="657"/>
      <c r="T91" s="65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4301051788</v>
      </c>
      <c r="D92" s="655">
        <v>4680115884953</v>
      </c>
      <c r="E92" s="65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7"/>
      <c r="R92" s="657"/>
      <c r="S92" s="657"/>
      <c r="T92" s="65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655">
        <v>4607091385731</v>
      </c>
      <c r="E93" s="65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7"/>
      <c r="R93" s="657"/>
      <c r="S93" s="657"/>
      <c r="T93" s="658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200</v>
      </c>
      <c r="B94" s="63" t="s">
        <v>201</v>
      </c>
      <c r="C94" s="36">
        <v>4301052092</v>
      </c>
      <c r="D94" s="655">
        <v>4680115880894</v>
      </c>
      <c r="E94" s="65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7"/>
      <c r="R94" s="657"/>
      <c r="S94" s="657"/>
      <c r="T94" s="65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59" t="s">
        <v>203</v>
      </c>
      <c r="B97" s="659"/>
      <c r="C97" s="659"/>
      <c r="D97" s="659"/>
      <c r="E97" s="659"/>
      <c r="F97" s="659"/>
      <c r="G97" s="659"/>
      <c r="H97" s="659"/>
      <c r="I97" s="659"/>
      <c r="J97" s="659"/>
      <c r="K97" s="659"/>
      <c r="L97" s="659"/>
      <c r="M97" s="659"/>
      <c r="N97" s="659"/>
      <c r="O97" s="659"/>
      <c r="P97" s="659"/>
      <c r="Q97" s="659"/>
      <c r="R97" s="659"/>
      <c r="S97" s="659"/>
      <c r="T97" s="659"/>
      <c r="U97" s="659"/>
      <c r="V97" s="659"/>
      <c r="W97" s="659"/>
      <c r="X97" s="659"/>
      <c r="Y97" s="659"/>
      <c r="Z97" s="659"/>
      <c r="AA97" s="65"/>
      <c r="AB97" s="65"/>
      <c r="AC97" s="79"/>
    </row>
    <row r="98" spans="1:68" ht="14.25" customHeight="1" x14ac:dyDescent="0.25">
      <c r="A98" s="660" t="s">
        <v>122</v>
      </c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660"/>
      <c r="M98" s="660"/>
      <c r="N98" s="660"/>
      <c r="O98" s="660"/>
      <c r="P98" s="660"/>
      <c r="Q98" s="660"/>
      <c r="R98" s="660"/>
      <c r="S98" s="660"/>
      <c r="T98" s="660"/>
      <c r="U98" s="660"/>
      <c r="V98" s="660"/>
      <c r="W98" s="660"/>
      <c r="X98" s="660"/>
      <c r="Y98" s="660"/>
      <c r="Z98" s="660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655">
        <v>4680115882133</v>
      </c>
      <c r="E99" s="65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7"/>
      <c r="R99" s="657"/>
      <c r="S99" s="657"/>
      <c r="T99" s="658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customHeight="1" x14ac:dyDescent="0.25">
      <c r="A100" s="63" t="s">
        <v>207</v>
      </c>
      <c r="B100" s="63" t="s">
        <v>208</v>
      </c>
      <c r="C100" s="36">
        <v>4301012051</v>
      </c>
      <c r="D100" s="655">
        <v>4680115887718</v>
      </c>
      <c r="E100" s="65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89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7"/>
      <c r="R100" s="657"/>
      <c r="S100" s="657"/>
      <c r="T100" s="65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customHeight="1" x14ac:dyDescent="0.25">
      <c r="A101" s="63" t="s">
        <v>207</v>
      </c>
      <c r="B101" s="63" t="s">
        <v>210</v>
      </c>
      <c r="C101" s="36">
        <v>4301012334</v>
      </c>
      <c r="D101" s="655">
        <v>4680115887718</v>
      </c>
      <c r="E101" s="65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7"/>
      <c r="R101" s="657"/>
      <c r="S101" s="657"/>
      <c r="T101" s="65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customHeight="1" x14ac:dyDescent="0.25">
      <c r="A102" s="63" t="s">
        <v>207</v>
      </c>
      <c r="B102" s="63" t="s">
        <v>211</v>
      </c>
      <c r="C102" s="36">
        <v>4301012379</v>
      </c>
      <c r="D102" s="655">
        <v>4680115887718</v>
      </c>
      <c r="E102" s="65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7"/>
      <c r="R102" s="657"/>
      <c r="S102" s="657"/>
      <c r="T102" s="65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4301011417</v>
      </c>
      <c r="D103" s="655">
        <v>4680115880269</v>
      </c>
      <c r="E103" s="65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7"/>
      <c r="R103" s="657"/>
      <c r="S103" s="657"/>
      <c r="T103" s="65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4301011415</v>
      </c>
      <c r="D104" s="655">
        <v>4680115880429</v>
      </c>
      <c r="E104" s="65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7"/>
      <c r="R104" s="657"/>
      <c r="S104" s="657"/>
      <c r="T104" s="65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customHeight="1" x14ac:dyDescent="0.25">
      <c r="A105" s="63" t="s">
        <v>216</v>
      </c>
      <c r="B105" s="63" t="s">
        <v>217</v>
      </c>
      <c r="C105" s="36">
        <v>4301011462</v>
      </c>
      <c r="D105" s="655">
        <v>4680115881457</v>
      </c>
      <c r="E105" s="65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7"/>
      <c r="R105" s="657"/>
      <c r="S105" s="657"/>
      <c r="T105" s="65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649"/>
      <c r="B106" s="649"/>
      <c r="C106" s="649"/>
      <c r="D106" s="649"/>
      <c r="E106" s="649"/>
      <c r="F106" s="649"/>
      <c r="G106" s="649"/>
      <c r="H106" s="649"/>
      <c r="I106" s="649"/>
      <c r="J106" s="649"/>
      <c r="K106" s="649"/>
      <c r="L106" s="649"/>
      <c r="M106" s="649"/>
      <c r="N106" s="649"/>
      <c r="O106" s="650"/>
      <c r="P106" s="646" t="s">
        <v>40</v>
      </c>
      <c r="Q106" s="647"/>
      <c r="R106" s="647"/>
      <c r="S106" s="647"/>
      <c r="T106" s="647"/>
      <c r="U106" s="647"/>
      <c r="V106" s="648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x14ac:dyDescent="0.2">
      <c r="A107" s="649"/>
      <c r="B107" s="649"/>
      <c r="C107" s="649"/>
      <c r="D107" s="649"/>
      <c r="E107" s="649"/>
      <c r="F107" s="649"/>
      <c r="G107" s="649"/>
      <c r="H107" s="649"/>
      <c r="I107" s="649"/>
      <c r="J107" s="649"/>
      <c r="K107" s="649"/>
      <c r="L107" s="649"/>
      <c r="M107" s="649"/>
      <c r="N107" s="649"/>
      <c r="O107" s="650"/>
      <c r="P107" s="646" t="s">
        <v>40</v>
      </c>
      <c r="Q107" s="647"/>
      <c r="R107" s="647"/>
      <c r="S107" s="647"/>
      <c r="T107" s="647"/>
      <c r="U107" s="647"/>
      <c r="V107" s="648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customHeight="1" x14ac:dyDescent="0.25">
      <c r="A108" s="660" t="s">
        <v>158</v>
      </c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  <c r="M108" s="660"/>
      <c r="N108" s="660"/>
      <c r="O108" s="660"/>
      <c r="P108" s="660"/>
      <c r="Q108" s="660"/>
      <c r="R108" s="660"/>
      <c r="S108" s="660"/>
      <c r="T108" s="660"/>
      <c r="U108" s="660"/>
      <c r="V108" s="660"/>
      <c r="W108" s="660"/>
      <c r="X108" s="660"/>
      <c r="Y108" s="660"/>
      <c r="Z108" s="660"/>
      <c r="AA108" s="66"/>
      <c r="AB108" s="66"/>
      <c r="AC108" s="80"/>
    </row>
    <row r="109" spans="1:68" ht="27" customHeight="1" x14ac:dyDescent="0.25">
      <c r="A109" s="63" t="s">
        <v>218</v>
      </c>
      <c r="B109" s="63" t="s">
        <v>219</v>
      </c>
      <c r="C109" s="36">
        <v>4301020391</v>
      </c>
      <c r="D109" s="655">
        <v>4680115881488</v>
      </c>
      <c r="E109" s="65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7"/>
      <c r="R109" s="657"/>
      <c r="S109" s="657"/>
      <c r="T109" s="65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221</v>
      </c>
      <c r="B110" s="63" t="s">
        <v>222</v>
      </c>
      <c r="C110" s="36">
        <v>4301020186</v>
      </c>
      <c r="D110" s="655">
        <v>4680115887664</v>
      </c>
      <c r="E110" s="65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7"/>
      <c r="R110" s="657"/>
      <c r="S110" s="657"/>
      <c r="T110" s="65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customHeight="1" x14ac:dyDescent="0.25">
      <c r="A111" s="63" t="s">
        <v>221</v>
      </c>
      <c r="B111" s="63" t="s">
        <v>225</v>
      </c>
      <c r="C111" s="36">
        <v>4301020430</v>
      </c>
      <c r="D111" s="655">
        <v>4680115887664</v>
      </c>
      <c r="E111" s="65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7"/>
      <c r="R111" s="657"/>
      <c r="S111" s="657"/>
      <c r="T111" s="65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4301020393</v>
      </c>
      <c r="D112" s="655">
        <v>4680115882775</v>
      </c>
      <c r="E112" s="65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7"/>
      <c r="R112" s="657"/>
      <c r="S112" s="657"/>
      <c r="T112" s="65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228</v>
      </c>
      <c r="B113" s="63" t="s">
        <v>229</v>
      </c>
      <c r="C113" s="36">
        <v>4301020392</v>
      </c>
      <c r="D113" s="655">
        <v>4680115880658</v>
      </c>
      <c r="E113" s="65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8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7"/>
      <c r="R113" s="657"/>
      <c r="S113" s="657"/>
      <c r="T113" s="65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x14ac:dyDescent="0.2">
      <c r="A115" s="649"/>
      <c r="B115" s="649"/>
      <c r="C115" s="649"/>
      <c r="D115" s="649"/>
      <c r="E115" s="649"/>
      <c r="F115" s="649"/>
      <c r="G115" s="649"/>
      <c r="H115" s="649"/>
      <c r="I115" s="649"/>
      <c r="J115" s="649"/>
      <c r="K115" s="649"/>
      <c r="L115" s="649"/>
      <c r="M115" s="649"/>
      <c r="N115" s="649"/>
      <c r="O115" s="650"/>
      <c r="P115" s="646" t="s">
        <v>40</v>
      </c>
      <c r="Q115" s="647"/>
      <c r="R115" s="647"/>
      <c r="S115" s="647"/>
      <c r="T115" s="647"/>
      <c r="U115" s="647"/>
      <c r="V115" s="648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customHeight="1" x14ac:dyDescent="0.25">
      <c r="A116" s="660" t="s">
        <v>86</v>
      </c>
      <c r="B116" s="660"/>
      <c r="C116" s="660"/>
      <c r="D116" s="660"/>
      <c r="E116" s="660"/>
      <c r="F116" s="660"/>
      <c r="G116" s="660"/>
      <c r="H116" s="660"/>
      <c r="I116" s="660"/>
      <c r="J116" s="660"/>
      <c r="K116" s="660"/>
      <c r="L116" s="660"/>
      <c r="M116" s="660"/>
      <c r="N116" s="660"/>
      <c r="O116" s="660"/>
      <c r="P116" s="660"/>
      <c r="Q116" s="660"/>
      <c r="R116" s="660"/>
      <c r="S116" s="660"/>
      <c r="T116" s="660"/>
      <c r="U116" s="660"/>
      <c r="V116" s="660"/>
      <c r="W116" s="660"/>
      <c r="X116" s="660"/>
      <c r="Y116" s="660"/>
      <c r="Z116" s="660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655">
        <v>4607091385168</v>
      </c>
      <c r="E117" s="65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7"/>
      <c r="R117" s="657"/>
      <c r="S117" s="657"/>
      <c r="T117" s="65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233</v>
      </c>
      <c r="B118" s="63" t="s">
        <v>234</v>
      </c>
      <c r="C118" s="36">
        <v>4301051730</v>
      </c>
      <c r="D118" s="655">
        <v>4607091383256</v>
      </c>
      <c r="E118" s="65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7"/>
      <c r="R118" s="657"/>
      <c r="S118" s="657"/>
      <c r="T118" s="65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655">
        <v>4607091385748</v>
      </c>
      <c r="E119" s="65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7"/>
      <c r="R119" s="657"/>
      <c r="S119" s="657"/>
      <c r="T119" s="65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customHeight="1" x14ac:dyDescent="0.25">
      <c r="A120" s="63" t="s">
        <v>237</v>
      </c>
      <c r="B120" s="63" t="s">
        <v>238</v>
      </c>
      <c r="C120" s="36">
        <v>4301051740</v>
      </c>
      <c r="D120" s="655">
        <v>4680115884533</v>
      </c>
      <c r="E120" s="65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7"/>
      <c r="R120" s="657"/>
      <c r="S120" s="657"/>
      <c r="T120" s="65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649"/>
      <c r="B122" s="649"/>
      <c r="C122" s="649"/>
      <c r="D122" s="649"/>
      <c r="E122" s="649"/>
      <c r="F122" s="649"/>
      <c r="G122" s="649"/>
      <c r="H122" s="649"/>
      <c r="I122" s="649"/>
      <c r="J122" s="649"/>
      <c r="K122" s="649"/>
      <c r="L122" s="649"/>
      <c r="M122" s="649"/>
      <c r="N122" s="649"/>
      <c r="O122" s="650"/>
      <c r="P122" s="646" t="s">
        <v>40</v>
      </c>
      <c r="Q122" s="647"/>
      <c r="R122" s="647"/>
      <c r="S122" s="647"/>
      <c r="T122" s="647"/>
      <c r="U122" s="647"/>
      <c r="V122" s="648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customHeight="1" x14ac:dyDescent="0.25">
      <c r="A123" s="660" t="s">
        <v>175</v>
      </c>
      <c r="B123" s="660"/>
      <c r="C123" s="660"/>
      <c r="D123" s="660"/>
      <c r="E123" s="660"/>
      <c r="F123" s="660"/>
      <c r="G123" s="660"/>
      <c r="H123" s="660"/>
      <c r="I123" s="660"/>
      <c r="J123" s="660"/>
      <c r="K123" s="660"/>
      <c r="L123" s="660"/>
      <c r="M123" s="660"/>
      <c r="N123" s="660"/>
      <c r="O123" s="660"/>
      <c r="P123" s="660"/>
      <c r="Q123" s="660"/>
      <c r="R123" s="660"/>
      <c r="S123" s="660"/>
      <c r="T123" s="660"/>
      <c r="U123" s="660"/>
      <c r="V123" s="660"/>
      <c r="W123" s="660"/>
      <c r="X123" s="660"/>
      <c r="Y123" s="660"/>
      <c r="Z123" s="660"/>
      <c r="AA123" s="66"/>
      <c r="AB123" s="66"/>
      <c r="AC123" s="80"/>
    </row>
    <row r="124" spans="1:68" ht="16.5" customHeight="1" x14ac:dyDescent="0.25">
      <c r="A124" s="63" t="s">
        <v>240</v>
      </c>
      <c r="B124" s="63" t="s">
        <v>241</v>
      </c>
      <c r="C124" s="36">
        <v>4301060317</v>
      </c>
      <c r="D124" s="655">
        <v>4680115880238</v>
      </c>
      <c r="E124" s="65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7"/>
      <c r="R124" s="657"/>
      <c r="S124" s="657"/>
      <c r="T124" s="65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649"/>
      <c r="B125" s="649"/>
      <c r="C125" s="649"/>
      <c r="D125" s="649"/>
      <c r="E125" s="649"/>
      <c r="F125" s="649"/>
      <c r="G125" s="649"/>
      <c r="H125" s="649"/>
      <c r="I125" s="649"/>
      <c r="J125" s="649"/>
      <c r="K125" s="649"/>
      <c r="L125" s="649"/>
      <c r="M125" s="649"/>
      <c r="N125" s="649"/>
      <c r="O125" s="650"/>
      <c r="P125" s="646" t="s">
        <v>40</v>
      </c>
      <c r="Q125" s="647"/>
      <c r="R125" s="647"/>
      <c r="S125" s="647"/>
      <c r="T125" s="647"/>
      <c r="U125" s="647"/>
      <c r="V125" s="648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649"/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50"/>
      <c r="P126" s="646" t="s">
        <v>40</v>
      </c>
      <c r="Q126" s="647"/>
      <c r="R126" s="647"/>
      <c r="S126" s="647"/>
      <c r="T126" s="647"/>
      <c r="U126" s="647"/>
      <c r="V126" s="648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customHeight="1" x14ac:dyDescent="0.25">
      <c r="A127" s="659" t="s">
        <v>243</v>
      </c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59"/>
      <c r="P127" s="659"/>
      <c r="Q127" s="659"/>
      <c r="R127" s="659"/>
      <c r="S127" s="659"/>
      <c r="T127" s="659"/>
      <c r="U127" s="659"/>
      <c r="V127" s="659"/>
      <c r="W127" s="659"/>
      <c r="X127" s="659"/>
      <c r="Y127" s="659"/>
      <c r="Z127" s="659"/>
      <c r="AA127" s="65"/>
      <c r="AB127" s="65"/>
      <c r="AC127" s="79"/>
    </row>
    <row r="128" spans="1:68" ht="14.25" customHeight="1" x14ac:dyDescent="0.25">
      <c r="A128" s="660" t="s">
        <v>122</v>
      </c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0"/>
      <c r="P128" s="660"/>
      <c r="Q128" s="660"/>
      <c r="R128" s="660"/>
      <c r="S128" s="660"/>
      <c r="T128" s="660"/>
      <c r="U128" s="660"/>
      <c r="V128" s="660"/>
      <c r="W128" s="660"/>
      <c r="X128" s="660"/>
      <c r="Y128" s="660"/>
      <c r="Z128" s="660"/>
      <c r="AA128" s="66"/>
      <c r="AB128" s="66"/>
      <c r="AC128" s="80"/>
    </row>
    <row r="129" spans="1:68" ht="27" customHeight="1" x14ac:dyDescent="0.25">
      <c r="A129" s="63" t="s">
        <v>244</v>
      </c>
      <c r="B129" s="63" t="s">
        <v>245</v>
      </c>
      <c r="C129" s="36">
        <v>4301012347</v>
      </c>
      <c r="D129" s="655">
        <v>4680115888784</v>
      </c>
      <c r="E129" s="65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7"/>
      <c r="R129" s="657"/>
      <c r="S129" s="657"/>
      <c r="T129" s="65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248</v>
      </c>
      <c r="B130" s="63" t="s">
        <v>249</v>
      </c>
      <c r="C130" s="36">
        <v>4301011562</v>
      </c>
      <c r="D130" s="655">
        <v>4680115882577</v>
      </c>
      <c r="E130" s="65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7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7"/>
      <c r="R130" s="657"/>
      <c r="S130" s="657"/>
      <c r="T130" s="65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248</v>
      </c>
      <c r="B131" s="63" t="s">
        <v>252</v>
      </c>
      <c r="C131" s="36">
        <v>4301011564</v>
      </c>
      <c r="D131" s="655">
        <v>4680115882577</v>
      </c>
      <c r="E131" s="65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7"/>
      <c r="R131" s="657"/>
      <c r="S131" s="657"/>
      <c r="T131" s="65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x14ac:dyDescent="0.2">
      <c r="A133" s="649"/>
      <c r="B133" s="649"/>
      <c r="C133" s="649"/>
      <c r="D133" s="649"/>
      <c r="E133" s="649"/>
      <c r="F133" s="649"/>
      <c r="G133" s="649"/>
      <c r="H133" s="649"/>
      <c r="I133" s="649"/>
      <c r="J133" s="649"/>
      <c r="K133" s="649"/>
      <c r="L133" s="649"/>
      <c r="M133" s="649"/>
      <c r="N133" s="649"/>
      <c r="O133" s="650"/>
      <c r="P133" s="646" t="s">
        <v>40</v>
      </c>
      <c r="Q133" s="647"/>
      <c r="R133" s="647"/>
      <c r="S133" s="647"/>
      <c r="T133" s="647"/>
      <c r="U133" s="647"/>
      <c r="V133" s="648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customHeight="1" x14ac:dyDescent="0.25">
      <c r="A134" s="660" t="s">
        <v>77</v>
      </c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0"/>
      <c r="P134" s="660"/>
      <c r="Q134" s="660"/>
      <c r="R134" s="660"/>
      <c r="S134" s="660"/>
      <c r="T134" s="660"/>
      <c r="U134" s="660"/>
      <c r="V134" s="660"/>
      <c r="W134" s="660"/>
      <c r="X134" s="660"/>
      <c r="Y134" s="660"/>
      <c r="Z134" s="660"/>
      <c r="AA134" s="66"/>
      <c r="AB134" s="66"/>
      <c r="AC134" s="80"/>
    </row>
    <row r="135" spans="1:68" ht="16.5" customHeight="1" x14ac:dyDescent="0.25">
      <c r="A135" s="63" t="s">
        <v>253</v>
      </c>
      <c r="B135" s="63" t="s">
        <v>254</v>
      </c>
      <c r="C135" s="36">
        <v>4301031506</v>
      </c>
      <c r="D135" s="655">
        <v>4680115888913</v>
      </c>
      <c r="E135" s="65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0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7"/>
      <c r="R135" s="657"/>
      <c r="S135" s="657"/>
      <c r="T135" s="65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257</v>
      </c>
      <c r="C136" s="36">
        <v>4301031234</v>
      </c>
      <c r="D136" s="655">
        <v>4680115883444</v>
      </c>
      <c r="E136" s="65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7"/>
      <c r="R136" s="657"/>
      <c r="S136" s="657"/>
      <c r="T136" s="65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256</v>
      </c>
      <c r="B137" s="63" t="s">
        <v>259</v>
      </c>
      <c r="C137" s="36">
        <v>4301031235</v>
      </c>
      <c r="D137" s="655">
        <v>4680115883444</v>
      </c>
      <c r="E137" s="65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7"/>
      <c r="R137" s="657"/>
      <c r="S137" s="657"/>
      <c r="T137" s="65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260</v>
      </c>
      <c r="B138" s="63" t="s">
        <v>261</v>
      </c>
      <c r="C138" s="36">
        <v>4301031504</v>
      </c>
      <c r="D138" s="655">
        <v>4680115888920</v>
      </c>
      <c r="E138" s="65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7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7"/>
      <c r="R138" s="657"/>
      <c r="S138" s="657"/>
      <c r="T138" s="65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49"/>
      <c r="B139" s="649"/>
      <c r="C139" s="649"/>
      <c r="D139" s="649"/>
      <c r="E139" s="649"/>
      <c r="F139" s="649"/>
      <c r="G139" s="649"/>
      <c r="H139" s="649"/>
      <c r="I139" s="649"/>
      <c r="J139" s="649"/>
      <c r="K139" s="649"/>
      <c r="L139" s="649"/>
      <c r="M139" s="649"/>
      <c r="N139" s="649"/>
      <c r="O139" s="650"/>
      <c r="P139" s="646" t="s">
        <v>40</v>
      </c>
      <c r="Q139" s="647"/>
      <c r="R139" s="647"/>
      <c r="S139" s="647"/>
      <c r="T139" s="647"/>
      <c r="U139" s="647"/>
      <c r="V139" s="648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x14ac:dyDescent="0.2">
      <c r="A140" s="649"/>
      <c r="B140" s="649"/>
      <c r="C140" s="649"/>
      <c r="D140" s="649"/>
      <c r="E140" s="649"/>
      <c r="F140" s="649"/>
      <c r="G140" s="649"/>
      <c r="H140" s="649"/>
      <c r="I140" s="649"/>
      <c r="J140" s="649"/>
      <c r="K140" s="649"/>
      <c r="L140" s="649"/>
      <c r="M140" s="649"/>
      <c r="N140" s="649"/>
      <c r="O140" s="650"/>
      <c r="P140" s="646" t="s">
        <v>40</v>
      </c>
      <c r="Q140" s="647"/>
      <c r="R140" s="647"/>
      <c r="S140" s="647"/>
      <c r="T140" s="647"/>
      <c r="U140" s="647"/>
      <c r="V140" s="648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customHeight="1" x14ac:dyDescent="0.25">
      <c r="A141" s="660" t="s">
        <v>86</v>
      </c>
      <c r="B141" s="660"/>
      <c r="C141" s="660"/>
      <c r="D141" s="660"/>
      <c r="E141" s="660"/>
      <c r="F141" s="660"/>
      <c r="G141" s="660"/>
      <c r="H141" s="660"/>
      <c r="I141" s="660"/>
      <c r="J141" s="660"/>
      <c r="K141" s="660"/>
      <c r="L141" s="660"/>
      <c r="M141" s="660"/>
      <c r="N141" s="660"/>
      <c r="O141" s="660"/>
      <c r="P141" s="660"/>
      <c r="Q141" s="660"/>
      <c r="R141" s="660"/>
      <c r="S141" s="660"/>
      <c r="T141" s="660"/>
      <c r="U141" s="660"/>
      <c r="V141" s="660"/>
      <c r="W141" s="660"/>
      <c r="X141" s="660"/>
      <c r="Y141" s="660"/>
      <c r="Z141" s="660"/>
      <c r="AA141" s="66"/>
      <c r="AB141" s="66"/>
      <c r="AC141" s="80"/>
    </row>
    <row r="142" spans="1:68" ht="16.5" customHeight="1" x14ac:dyDescent="0.25">
      <c r="A142" s="63" t="s">
        <v>262</v>
      </c>
      <c r="B142" s="63" t="s">
        <v>263</v>
      </c>
      <c r="C142" s="36">
        <v>4301052219</v>
      </c>
      <c r="D142" s="655">
        <v>4680115888944</v>
      </c>
      <c r="E142" s="65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7"/>
      <c r="R142" s="657"/>
      <c r="S142" s="657"/>
      <c r="T142" s="65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265</v>
      </c>
      <c r="C143" s="36">
        <v>4301051476</v>
      </c>
      <c r="D143" s="655">
        <v>4680115882584</v>
      </c>
      <c r="E143" s="65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7"/>
      <c r="R143" s="657"/>
      <c r="S143" s="657"/>
      <c r="T143" s="65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customHeight="1" x14ac:dyDescent="0.25">
      <c r="A144" s="63" t="s">
        <v>264</v>
      </c>
      <c r="B144" s="63" t="s">
        <v>266</v>
      </c>
      <c r="C144" s="36">
        <v>4301051477</v>
      </c>
      <c r="D144" s="655">
        <v>4680115882584</v>
      </c>
      <c r="E144" s="65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7"/>
      <c r="R144" s="657"/>
      <c r="S144" s="657"/>
      <c r="T144" s="65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49"/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50"/>
      <c r="P145" s="646" t="s">
        <v>40</v>
      </c>
      <c r="Q145" s="647"/>
      <c r="R145" s="647"/>
      <c r="S145" s="647"/>
      <c r="T145" s="647"/>
      <c r="U145" s="647"/>
      <c r="V145" s="648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x14ac:dyDescent="0.2">
      <c r="A146" s="649"/>
      <c r="B146" s="649"/>
      <c r="C146" s="649"/>
      <c r="D146" s="649"/>
      <c r="E146" s="649"/>
      <c r="F146" s="649"/>
      <c r="G146" s="649"/>
      <c r="H146" s="649"/>
      <c r="I146" s="649"/>
      <c r="J146" s="649"/>
      <c r="K146" s="649"/>
      <c r="L146" s="649"/>
      <c r="M146" s="649"/>
      <c r="N146" s="649"/>
      <c r="O146" s="650"/>
      <c r="P146" s="646" t="s">
        <v>40</v>
      </c>
      <c r="Q146" s="647"/>
      <c r="R146" s="647"/>
      <c r="S146" s="647"/>
      <c r="T146" s="647"/>
      <c r="U146" s="647"/>
      <c r="V146" s="648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customHeight="1" x14ac:dyDescent="0.25">
      <c r="A147" s="659" t="s">
        <v>267</v>
      </c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  <c r="Z147" s="659"/>
      <c r="AA147" s="65"/>
      <c r="AB147" s="65"/>
      <c r="AC147" s="79"/>
    </row>
    <row r="148" spans="1:68" ht="14.25" customHeight="1" x14ac:dyDescent="0.25">
      <c r="A148" s="660" t="s">
        <v>86</v>
      </c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0"/>
      <c r="P148" s="660"/>
      <c r="Q148" s="660"/>
      <c r="R148" s="660"/>
      <c r="S148" s="660"/>
      <c r="T148" s="660"/>
      <c r="U148" s="660"/>
      <c r="V148" s="660"/>
      <c r="W148" s="660"/>
      <c r="X148" s="660"/>
      <c r="Y148" s="660"/>
      <c r="Z148" s="660"/>
      <c r="AA148" s="66"/>
      <c r="AB148" s="66"/>
      <c r="AC148" s="80"/>
    </row>
    <row r="149" spans="1:68" ht="27" customHeight="1" x14ac:dyDescent="0.25">
      <c r="A149" s="63" t="s">
        <v>268</v>
      </c>
      <c r="B149" s="63" t="s">
        <v>269</v>
      </c>
      <c r="C149" s="36">
        <v>4301052254</v>
      </c>
      <c r="D149" s="655">
        <v>4680115888203</v>
      </c>
      <c r="E149" s="65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6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7"/>
      <c r="R149" s="657"/>
      <c r="S149" s="657"/>
      <c r="T149" s="65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customHeight="1" x14ac:dyDescent="0.25">
      <c r="A150" s="63" t="s">
        <v>271</v>
      </c>
      <c r="B150" s="63" t="s">
        <v>272</v>
      </c>
      <c r="C150" s="36">
        <v>4301052172</v>
      </c>
      <c r="D150" s="655">
        <v>4680115888180</v>
      </c>
      <c r="E150" s="65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7"/>
      <c r="R150" s="657"/>
      <c r="S150" s="657"/>
      <c r="T150" s="65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customHeight="1" x14ac:dyDescent="0.25">
      <c r="A151" s="63" t="s">
        <v>271</v>
      </c>
      <c r="B151" s="63" t="s">
        <v>274</v>
      </c>
      <c r="C151" s="36">
        <v>4301052252</v>
      </c>
      <c r="D151" s="655">
        <v>4680115888180</v>
      </c>
      <c r="E151" s="65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7"/>
      <c r="R151" s="657"/>
      <c r="S151" s="657"/>
      <c r="T151" s="65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customHeight="1" x14ac:dyDescent="0.25">
      <c r="A152" s="63" t="s">
        <v>275</v>
      </c>
      <c r="B152" s="63" t="s">
        <v>276</v>
      </c>
      <c r="C152" s="36">
        <v>4301052173</v>
      </c>
      <c r="D152" s="655">
        <v>4680115888197</v>
      </c>
      <c r="E152" s="65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7"/>
      <c r="R152" s="657"/>
      <c r="S152" s="657"/>
      <c r="T152" s="65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customHeight="1" x14ac:dyDescent="0.25">
      <c r="A153" s="63" t="s">
        <v>275</v>
      </c>
      <c r="B153" s="63" t="s">
        <v>278</v>
      </c>
      <c r="C153" s="36">
        <v>4301052253</v>
      </c>
      <c r="D153" s="655">
        <v>4680115888197</v>
      </c>
      <c r="E153" s="65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7"/>
      <c r="R153" s="657"/>
      <c r="S153" s="657"/>
      <c r="T153" s="65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customHeight="1" x14ac:dyDescent="0.25">
      <c r="A154" s="63" t="s">
        <v>279</v>
      </c>
      <c r="B154" s="63" t="s">
        <v>280</v>
      </c>
      <c r="C154" s="36">
        <v>4301052175</v>
      </c>
      <c r="D154" s="655">
        <v>4680115888210</v>
      </c>
      <c r="E154" s="65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7"/>
      <c r="R154" s="657"/>
      <c r="S154" s="657"/>
      <c r="T154" s="65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customHeight="1" x14ac:dyDescent="0.25">
      <c r="A155" s="63" t="s">
        <v>279</v>
      </c>
      <c r="B155" s="63" t="s">
        <v>282</v>
      </c>
      <c r="C155" s="36">
        <v>4301052255</v>
      </c>
      <c r="D155" s="655">
        <v>4680115888210</v>
      </c>
      <c r="E155" s="65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6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7"/>
      <c r="R155" s="657"/>
      <c r="S155" s="657"/>
      <c r="T155" s="65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649"/>
      <c r="B157" s="649"/>
      <c r="C157" s="649"/>
      <c r="D157" s="649"/>
      <c r="E157" s="649"/>
      <c r="F157" s="649"/>
      <c r="G157" s="649"/>
      <c r="H157" s="649"/>
      <c r="I157" s="649"/>
      <c r="J157" s="649"/>
      <c r="K157" s="649"/>
      <c r="L157" s="649"/>
      <c r="M157" s="649"/>
      <c r="N157" s="649"/>
      <c r="O157" s="650"/>
      <c r="P157" s="646" t="s">
        <v>40</v>
      </c>
      <c r="Q157" s="647"/>
      <c r="R157" s="647"/>
      <c r="S157" s="647"/>
      <c r="T157" s="647"/>
      <c r="U157" s="647"/>
      <c r="V157" s="648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customHeight="1" x14ac:dyDescent="0.25">
      <c r="A158" s="660" t="s">
        <v>283</v>
      </c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0"/>
      <c r="P158" s="660"/>
      <c r="Q158" s="660"/>
      <c r="R158" s="660"/>
      <c r="S158" s="660"/>
      <c r="T158" s="660"/>
      <c r="U158" s="660"/>
      <c r="V158" s="660"/>
      <c r="W158" s="660"/>
      <c r="X158" s="660"/>
      <c r="Y158" s="660"/>
      <c r="Z158" s="660"/>
      <c r="AA158" s="66"/>
      <c r="AB158" s="66"/>
      <c r="AC158" s="80"/>
    </row>
    <row r="159" spans="1:68" ht="27" customHeight="1" x14ac:dyDescent="0.25">
      <c r="A159" s="63" t="s">
        <v>284</v>
      </c>
      <c r="B159" s="63" t="s">
        <v>285</v>
      </c>
      <c r="C159" s="36">
        <v>4301032067</v>
      </c>
      <c r="D159" s="655">
        <v>4680115889132</v>
      </c>
      <c r="E159" s="65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7"/>
      <c r="R159" s="657"/>
      <c r="S159" s="657"/>
      <c r="T159" s="65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">
      <c r="A161" s="649"/>
      <c r="B161" s="649"/>
      <c r="C161" s="649"/>
      <c r="D161" s="649"/>
      <c r="E161" s="649"/>
      <c r="F161" s="649"/>
      <c r="G161" s="649"/>
      <c r="H161" s="649"/>
      <c r="I161" s="649"/>
      <c r="J161" s="649"/>
      <c r="K161" s="649"/>
      <c r="L161" s="649"/>
      <c r="M161" s="649"/>
      <c r="N161" s="649"/>
      <c r="O161" s="650"/>
      <c r="P161" s="646" t="s">
        <v>40</v>
      </c>
      <c r="Q161" s="647"/>
      <c r="R161" s="647"/>
      <c r="S161" s="647"/>
      <c r="T161" s="647"/>
      <c r="U161" s="647"/>
      <c r="V161" s="648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customHeight="1" x14ac:dyDescent="0.25">
      <c r="A162" s="659" t="s">
        <v>120</v>
      </c>
      <c r="B162" s="659"/>
      <c r="C162" s="659"/>
      <c r="D162" s="659"/>
      <c r="E162" s="659"/>
      <c r="F162" s="659"/>
      <c r="G162" s="659"/>
      <c r="H162" s="659"/>
      <c r="I162" s="659"/>
      <c r="J162" s="659"/>
      <c r="K162" s="659"/>
      <c r="L162" s="659"/>
      <c r="M162" s="659"/>
      <c r="N162" s="659"/>
      <c r="O162" s="659"/>
      <c r="P162" s="659"/>
      <c r="Q162" s="659"/>
      <c r="R162" s="659"/>
      <c r="S162" s="659"/>
      <c r="T162" s="659"/>
      <c r="U162" s="659"/>
      <c r="V162" s="659"/>
      <c r="W162" s="659"/>
      <c r="X162" s="659"/>
      <c r="Y162" s="659"/>
      <c r="Z162" s="659"/>
      <c r="AA162" s="65"/>
      <c r="AB162" s="65"/>
      <c r="AC162" s="79"/>
    </row>
    <row r="163" spans="1:68" ht="14.25" customHeight="1" x14ac:dyDescent="0.25">
      <c r="A163" s="660" t="s">
        <v>122</v>
      </c>
      <c r="B163" s="660"/>
      <c r="C163" s="660"/>
      <c r="D163" s="660"/>
      <c r="E163" s="660"/>
      <c r="F163" s="660"/>
      <c r="G163" s="660"/>
      <c r="H163" s="660"/>
      <c r="I163" s="660"/>
      <c r="J163" s="660"/>
      <c r="K163" s="660"/>
      <c r="L163" s="660"/>
      <c r="M163" s="660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6"/>
      <c r="AB163" s="66"/>
      <c r="AC163" s="80"/>
    </row>
    <row r="164" spans="1:68" ht="27" customHeight="1" x14ac:dyDescent="0.25">
      <c r="A164" s="63" t="s">
        <v>290</v>
      </c>
      <c r="B164" s="63" t="s">
        <v>291</v>
      </c>
      <c r="C164" s="36">
        <v>4301012338</v>
      </c>
      <c r="D164" s="655">
        <v>4680115887374</v>
      </c>
      <c r="E164" s="65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7"/>
      <c r="R164" s="657"/>
      <c r="S164" s="657"/>
      <c r="T164" s="65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293</v>
      </c>
      <c r="B165" s="63" t="s">
        <v>294</v>
      </c>
      <c r="C165" s="36">
        <v>4301011705</v>
      </c>
      <c r="D165" s="655">
        <v>4607091384604</v>
      </c>
      <c r="E165" s="65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7"/>
      <c r="R165" s="657"/>
      <c r="S165" s="657"/>
      <c r="T165" s="65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296</v>
      </c>
      <c r="B166" s="63" t="s">
        <v>297</v>
      </c>
      <c r="C166" s="36">
        <v>4301012344</v>
      </c>
      <c r="D166" s="655">
        <v>4680115888876</v>
      </c>
      <c r="E166" s="65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7"/>
      <c r="R166" s="657"/>
      <c r="S166" s="657"/>
      <c r="T166" s="65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customHeight="1" x14ac:dyDescent="0.25">
      <c r="A169" s="660" t="s">
        <v>158</v>
      </c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0"/>
      <c r="P169" s="660"/>
      <c r="Q169" s="660"/>
      <c r="R169" s="660"/>
      <c r="S169" s="660"/>
      <c r="T169" s="660"/>
      <c r="U169" s="660"/>
      <c r="V169" s="660"/>
      <c r="W169" s="660"/>
      <c r="X169" s="660"/>
      <c r="Y169" s="660"/>
      <c r="Z169" s="660"/>
      <c r="AA169" s="66"/>
      <c r="AB169" s="66"/>
      <c r="AC169" s="80"/>
    </row>
    <row r="170" spans="1:68" ht="16.5" customHeight="1" x14ac:dyDescent="0.25">
      <c r="A170" s="63" t="s">
        <v>299</v>
      </c>
      <c r="B170" s="63" t="s">
        <v>300</v>
      </c>
      <c r="C170" s="36">
        <v>4301020410</v>
      </c>
      <c r="D170" s="655">
        <v>4680115887695</v>
      </c>
      <c r="E170" s="65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7"/>
      <c r="R170" s="657"/>
      <c r="S170" s="657"/>
      <c r="T170" s="65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302</v>
      </c>
      <c r="B171" s="63" t="s">
        <v>303</v>
      </c>
      <c r="C171" s="36">
        <v>4301020439</v>
      </c>
      <c r="D171" s="655">
        <v>4680115889491</v>
      </c>
      <c r="E171" s="65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5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7"/>
      <c r="R171" s="657"/>
      <c r="S171" s="657"/>
      <c r="T171" s="65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customHeight="1" x14ac:dyDescent="0.25">
      <c r="A174" s="660" t="s">
        <v>77</v>
      </c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655">
        <v>4680115887428</v>
      </c>
      <c r="E175" s="65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5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7"/>
      <c r="R175" s="657"/>
      <c r="S175" s="657"/>
      <c r="T175" s="65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customHeight="1" x14ac:dyDescent="0.25">
      <c r="A176" s="63" t="s">
        <v>308</v>
      </c>
      <c r="B176" s="63" t="s">
        <v>309</v>
      </c>
      <c r="C176" s="36">
        <v>4301031509</v>
      </c>
      <c r="D176" s="655">
        <v>4680115889170</v>
      </c>
      <c r="E176" s="65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7"/>
      <c r="R176" s="657"/>
      <c r="S176" s="657"/>
      <c r="T176" s="65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655">
        <v>4680115887398</v>
      </c>
      <c r="E177" s="65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7"/>
      <c r="R177" s="657"/>
      <c r="S177" s="657"/>
      <c r="T177" s="65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655">
        <v>4680115887336</v>
      </c>
      <c r="E178" s="65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7"/>
      <c r="R178" s="657"/>
      <c r="S178" s="657"/>
      <c r="T178" s="65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customHeight="1" x14ac:dyDescent="0.25">
      <c r="A179" s="63" t="s">
        <v>317</v>
      </c>
      <c r="B179" s="63" t="s">
        <v>318</v>
      </c>
      <c r="C179" s="36">
        <v>4301032049</v>
      </c>
      <c r="D179" s="655">
        <v>4680115887787</v>
      </c>
      <c r="E179" s="65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7"/>
      <c r="R179" s="657"/>
      <c r="S179" s="657"/>
      <c r="T179" s="65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320</v>
      </c>
      <c r="B180" s="63" t="s">
        <v>321</v>
      </c>
      <c r="C180" s="36">
        <v>4301031448</v>
      </c>
      <c r="D180" s="655">
        <v>4680115887503</v>
      </c>
      <c r="E180" s="65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7"/>
      <c r="R180" s="657"/>
      <c r="S180" s="657"/>
      <c r="T180" s="65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customHeight="1" x14ac:dyDescent="0.25">
      <c r="A181" s="63" t="s">
        <v>322</v>
      </c>
      <c r="B181" s="63" t="s">
        <v>323</v>
      </c>
      <c r="C181" s="36">
        <v>4301031389</v>
      </c>
      <c r="D181" s="655">
        <v>4680115887763</v>
      </c>
      <c r="E181" s="65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7"/>
      <c r="R181" s="657"/>
      <c r="S181" s="657"/>
      <c r="T181" s="65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322</v>
      </c>
      <c r="B182" s="63" t="s">
        <v>325</v>
      </c>
      <c r="C182" s="36">
        <v>4301031510</v>
      </c>
      <c r="D182" s="655">
        <v>4680115887763</v>
      </c>
      <c r="E182" s="65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7"/>
      <c r="R182" s="657"/>
      <c r="S182" s="657"/>
      <c r="T182" s="65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4301031454</v>
      </c>
      <c r="D183" s="655">
        <v>4680115887480</v>
      </c>
      <c r="E183" s="65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4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7"/>
      <c r="R183" s="657"/>
      <c r="S183" s="657"/>
      <c r="T183" s="65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328</v>
      </c>
      <c r="B184" s="63" t="s">
        <v>329</v>
      </c>
      <c r="C184" s="36">
        <v>4301031434</v>
      </c>
      <c r="D184" s="655">
        <v>4680115888067</v>
      </c>
      <c r="E184" s="65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7"/>
      <c r="R184" s="657"/>
      <c r="S184" s="657"/>
      <c r="T184" s="65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4301031451</v>
      </c>
      <c r="D185" s="655">
        <v>4680115887435</v>
      </c>
      <c r="E185" s="65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7"/>
      <c r="R185" s="657"/>
      <c r="S185" s="657"/>
      <c r="T185" s="65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x14ac:dyDescent="0.2">
      <c r="A187" s="649"/>
      <c r="B187" s="649"/>
      <c r="C187" s="649"/>
      <c r="D187" s="649"/>
      <c r="E187" s="649"/>
      <c r="F187" s="649"/>
      <c r="G187" s="649"/>
      <c r="H187" s="649"/>
      <c r="I187" s="649"/>
      <c r="J187" s="649"/>
      <c r="K187" s="649"/>
      <c r="L187" s="649"/>
      <c r="M187" s="649"/>
      <c r="N187" s="649"/>
      <c r="O187" s="650"/>
      <c r="P187" s="646" t="s">
        <v>40</v>
      </c>
      <c r="Q187" s="647"/>
      <c r="R187" s="647"/>
      <c r="S187" s="647"/>
      <c r="T187" s="647"/>
      <c r="U187" s="647"/>
      <c r="V187" s="648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customHeight="1" x14ac:dyDescent="0.25">
      <c r="A188" s="660" t="s">
        <v>86</v>
      </c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0"/>
      <c r="P188" s="660"/>
      <c r="Q188" s="660"/>
      <c r="R188" s="660"/>
      <c r="S188" s="660"/>
      <c r="T188" s="660"/>
      <c r="U188" s="660"/>
      <c r="V188" s="660"/>
      <c r="W188" s="660"/>
      <c r="X188" s="660"/>
      <c r="Y188" s="660"/>
      <c r="Z188" s="660"/>
      <c r="AA188" s="66"/>
      <c r="AB188" s="66"/>
      <c r="AC188" s="80"/>
    </row>
    <row r="189" spans="1:68" ht="16.5" customHeight="1" x14ac:dyDescent="0.25">
      <c r="A189" s="63" t="s">
        <v>333</v>
      </c>
      <c r="B189" s="63" t="s">
        <v>334</v>
      </c>
      <c r="C189" s="36">
        <v>4301052193</v>
      </c>
      <c r="D189" s="655">
        <v>4680115888395</v>
      </c>
      <c r="E189" s="65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7"/>
      <c r="R189" s="657"/>
      <c r="S189" s="657"/>
      <c r="T189" s="65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customHeight="1" x14ac:dyDescent="0.25">
      <c r="A190" s="63" t="s">
        <v>336</v>
      </c>
      <c r="B190" s="63" t="s">
        <v>337</v>
      </c>
      <c r="C190" s="36">
        <v>4301052191</v>
      </c>
      <c r="D190" s="655">
        <v>4680115888371</v>
      </c>
      <c r="E190" s="65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7"/>
      <c r="R190" s="657"/>
      <c r="S190" s="657"/>
      <c r="T190" s="65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customHeight="1" x14ac:dyDescent="0.25">
      <c r="A191" s="63" t="s">
        <v>339</v>
      </c>
      <c r="B191" s="63" t="s">
        <v>340</v>
      </c>
      <c r="C191" s="36">
        <v>4301052064</v>
      </c>
      <c r="D191" s="655">
        <v>4680115887459</v>
      </c>
      <c r="E191" s="65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4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7"/>
      <c r="R191" s="657"/>
      <c r="S191" s="657"/>
      <c r="T191" s="65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49"/>
      <c r="B192" s="649"/>
      <c r="C192" s="649"/>
      <c r="D192" s="649"/>
      <c r="E192" s="649"/>
      <c r="F192" s="649"/>
      <c r="G192" s="649"/>
      <c r="H192" s="649"/>
      <c r="I192" s="649"/>
      <c r="J192" s="649"/>
      <c r="K192" s="649"/>
      <c r="L192" s="649"/>
      <c r="M192" s="649"/>
      <c r="N192" s="649"/>
      <c r="O192" s="650"/>
      <c r="P192" s="646" t="s">
        <v>40</v>
      </c>
      <c r="Q192" s="647"/>
      <c r="R192" s="647"/>
      <c r="S192" s="647"/>
      <c r="T192" s="647"/>
      <c r="U192" s="647"/>
      <c r="V192" s="648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649"/>
      <c r="B193" s="649"/>
      <c r="C193" s="649"/>
      <c r="D193" s="649"/>
      <c r="E193" s="649"/>
      <c r="F193" s="649"/>
      <c r="G193" s="649"/>
      <c r="H193" s="649"/>
      <c r="I193" s="649"/>
      <c r="J193" s="649"/>
      <c r="K193" s="649"/>
      <c r="L193" s="649"/>
      <c r="M193" s="649"/>
      <c r="N193" s="649"/>
      <c r="O193" s="650"/>
      <c r="P193" s="646" t="s">
        <v>40</v>
      </c>
      <c r="Q193" s="647"/>
      <c r="R193" s="647"/>
      <c r="S193" s="647"/>
      <c r="T193" s="647"/>
      <c r="U193" s="647"/>
      <c r="V193" s="648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customHeight="1" x14ac:dyDescent="0.25">
      <c r="A194" s="660" t="s">
        <v>283</v>
      </c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6"/>
      <c r="AB194" s="66"/>
      <c r="AC194" s="80"/>
    </row>
    <row r="195" spans="1:68" ht="16.5" customHeight="1" x14ac:dyDescent="0.25">
      <c r="A195" s="63" t="s">
        <v>342</v>
      </c>
      <c r="B195" s="63" t="s">
        <v>343</v>
      </c>
      <c r="C195" s="36">
        <v>4301032058</v>
      </c>
      <c r="D195" s="655">
        <v>4680115889026</v>
      </c>
      <c r="E195" s="65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7"/>
      <c r="R195" s="657"/>
      <c r="S195" s="657"/>
      <c r="T195" s="65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346</v>
      </c>
      <c r="B196" s="63" t="s">
        <v>347</v>
      </c>
      <c r="C196" s="36">
        <v>4301032057</v>
      </c>
      <c r="D196" s="655">
        <v>4680115889088</v>
      </c>
      <c r="E196" s="65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7"/>
      <c r="R196" s="657"/>
      <c r="S196" s="657"/>
      <c r="T196" s="65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649"/>
      <c r="B197" s="649"/>
      <c r="C197" s="649"/>
      <c r="D197" s="649"/>
      <c r="E197" s="649"/>
      <c r="F197" s="649"/>
      <c r="G197" s="649"/>
      <c r="H197" s="649"/>
      <c r="I197" s="649"/>
      <c r="J197" s="649"/>
      <c r="K197" s="649"/>
      <c r="L197" s="649"/>
      <c r="M197" s="649"/>
      <c r="N197" s="649"/>
      <c r="O197" s="650"/>
      <c r="P197" s="646" t="s">
        <v>40</v>
      </c>
      <c r="Q197" s="647"/>
      <c r="R197" s="647"/>
      <c r="S197" s="647"/>
      <c r="T197" s="647"/>
      <c r="U197" s="647"/>
      <c r="V197" s="648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customHeight="1" x14ac:dyDescent="0.25">
      <c r="A199" s="660" t="s">
        <v>349</v>
      </c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0"/>
      <c r="P199" s="660"/>
      <c r="Q199" s="660"/>
      <c r="R199" s="660"/>
      <c r="S199" s="660"/>
      <c r="T199" s="660"/>
      <c r="U199" s="660"/>
      <c r="V199" s="660"/>
      <c r="W199" s="660"/>
      <c r="X199" s="660"/>
      <c r="Y199" s="660"/>
      <c r="Z199" s="660"/>
      <c r="AA199" s="66"/>
      <c r="AB199" s="66"/>
      <c r="AC199" s="80"/>
    </row>
    <row r="200" spans="1:68" ht="27" customHeight="1" x14ac:dyDescent="0.25">
      <c r="A200" s="63" t="s">
        <v>350</v>
      </c>
      <c r="B200" s="63" t="s">
        <v>351</v>
      </c>
      <c r="C200" s="36">
        <v>4301041009</v>
      </c>
      <c r="D200" s="655">
        <v>4680115889033</v>
      </c>
      <c r="E200" s="65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7"/>
      <c r="R200" s="657"/>
      <c r="S200" s="657"/>
      <c r="T200" s="65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649"/>
      <c r="B201" s="649"/>
      <c r="C201" s="649"/>
      <c r="D201" s="649"/>
      <c r="E201" s="649"/>
      <c r="F201" s="649"/>
      <c r="G201" s="649"/>
      <c r="H201" s="649"/>
      <c r="I201" s="649"/>
      <c r="J201" s="649"/>
      <c r="K201" s="649"/>
      <c r="L201" s="649"/>
      <c r="M201" s="649"/>
      <c r="N201" s="649"/>
      <c r="O201" s="650"/>
      <c r="P201" s="646" t="s">
        <v>40</v>
      </c>
      <c r="Q201" s="647"/>
      <c r="R201" s="647"/>
      <c r="S201" s="647"/>
      <c r="T201" s="647"/>
      <c r="U201" s="647"/>
      <c r="V201" s="648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649"/>
      <c r="B202" s="649"/>
      <c r="C202" s="649"/>
      <c r="D202" s="649"/>
      <c r="E202" s="649"/>
      <c r="F202" s="649"/>
      <c r="G202" s="649"/>
      <c r="H202" s="649"/>
      <c r="I202" s="649"/>
      <c r="J202" s="649"/>
      <c r="K202" s="649"/>
      <c r="L202" s="649"/>
      <c r="M202" s="649"/>
      <c r="N202" s="649"/>
      <c r="O202" s="650"/>
      <c r="P202" s="646" t="s">
        <v>40</v>
      </c>
      <c r="Q202" s="647"/>
      <c r="R202" s="647"/>
      <c r="S202" s="647"/>
      <c r="T202" s="647"/>
      <c r="U202" s="647"/>
      <c r="V202" s="648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customHeight="1" x14ac:dyDescent="0.2">
      <c r="A203" s="666" t="s">
        <v>353</v>
      </c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54"/>
      <c r="AB203" s="54"/>
      <c r="AC203" s="54"/>
    </row>
    <row r="204" spans="1:68" ht="16.5" customHeight="1" x14ac:dyDescent="0.25">
      <c r="A204" s="659" t="s">
        <v>354</v>
      </c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  <c r="Z204" s="659"/>
      <c r="AA204" s="65"/>
      <c r="AB204" s="65"/>
      <c r="AC204" s="79"/>
    </row>
    <row r="205" spans="1:68" ht="14.25" customHeight="1" x14ac:dyDescent="0.25">
      <c r="A205" s="660" t="s">
        <v>122</v>
      </c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660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66"/>
      <c r="AB205" s="66"/>
      <c r="AC205" s="80"/>
    </row>
    <row r="206" spans="1:68" ht="27" customHeight="1" x14ac:dyDescent="0.25">
      <c r="A206" s="63" t="s">
        <v>355</v>
      </c>
      <c r="B206" s="63" t="s">
        <v>356</v>
      </c>
      <c r="C206" s="36">
        <v>4301011223</v>
      </c>
      <c r="D206" s="655">
        <v>4607091383423</v>
      </c>
      <c r="E206" s="65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7"/>
      <c r="R206" s="657"/>
      <c r="S206" s="657"/>
      <c r="T206" s="65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customHeight="1" x14ac:dyDescent="0.25">
      <c r="A207" s="63" t="s">
        <v>357</v>
      </c>
      <c r="B207" s="63" t="s">
        <v>358</v>
      </c>
      <c r="C207" s="36">
        <v>4301012340</v>
      </c>
      <c r="D207" s="655">
        <v>4680115888760</v>
      </c>
      <c r="E207" s="65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7"/>
      <c r="R207" s="657"/>
      <c r="S207" s="657"/>
      <c r="T207" s="65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4301012341</v>
      </c>
      <c r="D208" s="655">
        <v>4680115888807</v>
      </c>
      <c r="E208" s="65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7"/>
      <c r="R208" s="657"/>
      <c r="S208" s="657"/>
      <c r="T208" s="65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customHeight="1" x14ac:dyDescent="0.25">
      <c r="A209" s="63" t="s">
        <v>363</v>
      </c>
      <c r="B209" s="63" t="s">
        <v>364</v>
      </c>
      <c r="C209" s="36">
        <v>4301012342</v>
      </c>
      <c r="D209" s="655">
        <v>4680115888852</v>
      </c>
      <c r="E209" s="65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7"/>
      <c r="R209" s="657"/>
      <c r="S209" s="657"/>
      <c r="T209" s="65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customHeight="1" x14ac:dyDescent="0.25">
      <c r="A210" s="63" t="s">
        <v>366</v>
      </c>
      <c r="B210" s="63" t="s">
        <v>367</v>
      </c>
      <c r="C210" s="36">
        <v>4301012370</v>
      </c>
      <c r="D210" s="655">
        <v>4680115886957</v>
      </c>
      <c r="E210" s="65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7"/>
      <c r="R210" s="657"/>
      <c r="S210" s="657"/>
      <c r="T210" s="65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customHeight="1" x14ac:dyDescent="0.25">
      <c r="A211" s="63" t="s">
        <v>369</v>
      </c>
      <c r="B211" s="63" t="s">
        <v>370</v>
      </c>
      <c r="C211" s="36">
        <v>4301012098</v>
      </c>
      <c r="D211" s="655">
        <v>4680115885660</v>
      </c>
      <c r="E211" s="65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7"/>
      <c r="R211" s="657"/>
      <c r="S211" s="657"/>
      <c r="T211" s="65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customHeight="1" x14ac:dyDescent="0.25">
      <c r="A212" s="63" t="s">
        <v>372</v>
      </c>
      <c r="B212" s="63" t="s">
        <v>373</v>
      </c>
      <c r="C212" s="36">
        <v>4301012369</v>
      </c>
      <c r="D212" s="655">
        <v>4680115886773</v>
      </c>
      <c r="E212" s="65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7"/>
      <c r="R212" s="657"/>
      <c r="S212" s="657"/>
      <c r="T212" s="65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x14ac:dyDescent="0.2">
      <c r="A213" s="649"/>
      <c r="B213" s="649"/>
      <c r="C213" s="649"/>
      <c r="D213" s="649"/>
      <c r="E213" s="649"/>
      <c r="F213" s="649"/>
      <c r="G213" s="649"/>
      <c r="H213" s="649"/>
      <c r="I213" s="649"/>
      <c r="J213" s="649"/>
      <c r="K213" s="649"/>
      <c r="L213" s="649"/>
      <c r="M213" s="649"/>
      <c r="N213" s="649"/>
      <c r="O213" s="650"/>
      <c r="P213" s="646" t="s">
        <v>40</v>
      </c>
      <c r="Q213" s="647"/>
      <c r="R213" s="647"/>
      <c r="S213" s="647"/>
      <c r="T213" s="647"/>
      <c r="U213" s="647"/>
      <c r="V213" s="648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649"/>
      <c r="B214" s="649"/>
      <c r="C214" s="649"/>
      <c r="D214" s="649"/>
      <c r="E214" s="649"/>
      <c r="F214" s="649"/>
      <c r="G214" s="649"/>
      <c r="H214" s="649"/>
      <c r="I214" s="649"/>
      <c r="J214" s="649"/>
      <c r="K214" s="649"/>
      <c r="L214" s="649"/>
      <c r="M214" s="649"/>
      <c r="N214" s="649"/>
      <c r="O214" s="650"/>
      <c r="P214" s="646" t="s">
        <v>40</v>
      </c>
      <c r="Q214" s="647"/>
      <c r="R214" s="647"/>
      <c r="S214" s="647"/>
      <c r="T214" s="647"/>
      <c r="U214" s="647"/>
      <c r="V214" s="648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customHeight="1" x14ac:dyDescent="0.25">
      <c r="A215" s="659" t="s">
        <v>375</v>
      </c>
      <c r="B215" s="659"/>
      <c r="C215" s="659"/>
      <c r="D215" s="659"/>
      <c r="E215" s="659"/>
      <c r="F215" s="659"/>
      <c r="G215" s="659"/>
      <c r="H215" s="659"/>
      <c r="I215" s="659"/>
      <c r="J215" s="659"/>
      <c r="K215" s="659"/>
      <c r="L215" s="659"/>
      <c r="M215" s="659"/>
      <c r="N215" s="659"/>
      <c r="O215" s="659"/>
      <c r="P215" s="659"/>
      <c r="Q215" s="659"/>
      <c r="R215" s="659"/>
      <c r="S215" s="659"/>
      <c r="T215" s="659"/>
      <c r="U215" s="659"/>
      <c r="V215" s="659"/>
      <c r="W215" s="659"/>
      <c r="X215" s="659"/>
      <c r="Y215" s="659"/>
      <c r="Z215" s="659"/>
      <c r="AA215" s="65"/>
      <c r="AB215" s="65"/>
      <c r="AC215" s="79"/>
    </row>
    <row r="216" spans="1:68" ht="14.25" customHeight="1" x14ac:dyDescent="0.25">
      <c r="A216" s="660" t="s">
        <v>158</v>
      </c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0"/>
      <c r="P216" s="660"/>
      <c r="Q216" s="660"/>
      <c r="R216" s="660"/>
      <c r="S216" s="660"/>
      <c r="T216" s="660"/>
      <c r="U216" s="660"/>
      <c r="V216" s="660"/>
      <c r="W216" s="660"/>
      <c r="X216" s="660"/>
      <c r="Y216" s="660"/>
      <c r="Z216" s="660"/>
      <c r="AA216" s="66"/>
      <c r="AB216" s="66"/>
      <c r="AC216" s="80"/>
    </row>
    <row r="217" spans="1:68" ht="27" customHeight="1" x14ac:dyDescent="0.25">
      <c r="A217" s="63" t="s">
        <v>376</v>
      </c>
      <c r="B217" s="63" t="s">
        <v>377</v>
      </c>
      <c r="C217" s="36">
        <v>4301020323</v>
      </c>
      <c r="D217" s="655">
        <v>4680115886223</v>
      </c>
      <c r="E217" s="65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7"/>
      <c r="R217" s="657"/>
      <c r="S217" s="657"/>
      <c r="T217" s="65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x14ac:dyDescent="0.2">
      <c r="A218" s="649"/>
      <c r="B218" s="649"/>
      <c r="C218" s="649"/>
      <c r="D218" s="649"/>
      <c r="E218" s="649"/>
      <c r="F218" s="649"/>
      <c r="G218" s="649"/>
      <c r="H218" s="649"/>
      <c r="I218" s="649"/>
      <c r="J218" s="649"/>
      <c r="K218" s="649"/>
      <c r="L218" s="649"/>
      <c r="M218" s="649"/>
      <c r="N218" s="649"/>
      <c r="O218" s="650"/>
      <c r="P218" s="646" t="s">
        <v>40</v>
      </c>
      <c r="Q218" s="647"/>
      <c r="R218" s="647"/>
      <c r="S218" s="647"/>
      <c r="T218" s="647"/>
      <c r="U218" s="647"/>
      <c r="V218" s="648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649"/>
      <c r="B219" s="649"/>
      <c r="C219" s="649"/>
      <c r="D219" s="649"/>
      <c r="E219" s="649"/>
      <c r="F219" s="649"/>
      <c r="G219" s="649"/>
      <c r="H219" s="649"/>
      <c r="I219" s="649"/>
      <c r="J219" s="649"/>
      <c r="K219" s="649"/>
      <c r="L219" s="649"/>
      <c r="M219" s="649"/>
      <c r="N219" s="649"/>
      <c r="O219" s="650"/>
      <c r="P219" s="646" t="s">
        <v>40</v>
      </c>
      <c r="Q219" s="647"/>
      <c r="R219" s="647"/>
      <c r="S219" s="647"/>
      <c r="T219" s="647"/>
      <c r="U219" s="647"/>
      <c r="V219" s="648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customHeight="1" x14ac:dyDescent="0.25">
      <c r="A220" s="660" t="s">
        <v>77</v>
      </c>
      <c r="B220" s="660"/>
      <c r="C220" s="660"/>
      <c r="D220" s="660"/>
      <c r="E220" s="660"/>
      <c r="F220" s="660"/>
      <c r="G220" s="660"/>
      <c r="H220" s="660"/>
      <c r="I220" s="660"/>
      <c r="J220" s="660"/>
      <c r="K220" s="660"/>
      <c r="L220" s="660"/>
      <c r="M220" s="660"/>
      <c r="N220" s="660"/>
      <c r="O220" s="660"/>
      <c r="P220" s="660"/>
      <c r="Q220" s="660"/>
      <c r="R220" s="660"/>
      <c r="S220" s="660"/>
      <c r="T220" s="660"/>
      <c r="U220" s="660"/>
      <c r="V220" s="660"/>
      <c r="W220" s="660"/>
      <c r="X220" s="660"/>
      <c r="Y220" s="660"/>
      <c r="Z220" s="660"/>
      <c r="AA220" s="66"/>
      <c r="AB220" s="66"/>
      <c r="AC220" s="80"/>
    </row>
    <row r="221" spans="1:68" ht="27" customHeight="1" x14ac:dyDescent="0.25">
      <c r="A221" s="63" t="s">
        <v>379</v>
      </c>
      <c r="B221" s="63" t="s">
        <v>380</v>
      </c>
      <c r="C221" s="36">
        <v>4301031191</v>
      </c>
      <c r="D221" s="655">
        <v>4680115880993</v>
      </c>
      <c r="E221" s="65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7"/>
      <c r="R221" s="657"/>
      <c r="S221" s="657"/>
      <c r="T221" s="65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4301031204</v>
      </c>
      <c r="D222" s="655">
        <v>4680115881761</v>
      </c>
      <c r="E222" s="65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7"/>
      <c r="R222" s="657"/>
      <c r="S222" s="657"/>
      <c r="T222" s="65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4301031201</v>
      </c>
      <c r="D223" s="655">
        <v>4680115881563</v>
      </c>
      <c r="E223" s="65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7"/>
      <c r="R223" s="657"/>
      <c r="S223" s="657"/>
      <c r="T223" s="65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customHeight="1" x14ac:dyDescent="0.25">
      <c r="A224" s="63" t="s">
        <v>388</v>
      </c>
      <c r="B224" s="63" t="s">
        <v>389</v>
      </c>
      <c r="C224" s="36">
        <v>4301031447</v>
      </c>
      <c r="D224" s="655">
        <v>4680115887565</v>
      </c>
      <c r="E224" s="65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7"/>
      <c r="R224" s="657"/>
      <c r="S224" s="657"/>
      <c r="T224" s="65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customHeight="1" x14ac:dyDescent="0.25">
      <c r="A225" s="63" t="s">
        <v>391</v>
      </c>
      <c r="B225" s="63" t="s">
        <v>392</v>
      </c>
      <c r="C225" s="36">
        <v>4301031199</v>
      </c>
      <c r="D225" s="655">
        <v>4680115880986</v>
      </c>
      <c r="E225" s="65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7"/>
      <c r="R225" s="657"/>
      <c r="S225" s="657"/>
      <c r="T225" s="65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customHeight="1" x14ac:dyDescent="0.25">
      <c r="A226" s="63" t="s">
        <v>393</v>
      </c>
      <c r="B226" s="63" t="s">
        <v>394</v>
      </c>
      <c r="C226" s="36">
        <v>4301031443</v>
      </c>
      <c r="D226" s="655">
        <v>4680115887213</v>
      </c>
      <c r="E226" s="65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7"/>
      <c r="R226" s="657"/>
      <c r="S226" s="657"/>
      <c r="T226" s="65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4301031205</v>
      </c>
      <c r="D227" s="655">
        <v>4680115881785</v>
      </c>
      <c r="E227" s="65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7"/>
      <c r="R227" s="657"/>
      <c r="S227" s="657"/>
      <c r="T227" s="65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4301031499</v>
      </c>
      <c r="D228" s="655">
        <v>4680115888432</v>
      </c>
      <c r="E228" s="65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7"/>
      <c r="R228" s="657"/>
      <c r="S228" s="657"/>
      <c r="T228" s="65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4301031427</v>
      </c>
      <c r="D229" s="655">
        <v>4680115888104</v>
      </c>
      <c r="E229" s="65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7"/>
      <c r="R229" s="657"/>
      <c r="S229" s="657"/>
      <c r="T229" s="65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customHeight="1" x14ac:dyDescent="0.25">
      <c r="A230" s="63" t="s">
        <v>404</v>
      </c>
      <c r="B230" s="63" t="s">
        <v>405</v>
      </c>
      <c r="C230" s="36">
        <v>4301031399</v>
      </c>
      <c r="D230" s="655">
        <v>4680115886537</v>
      </c>
      <c r="E230" s="65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7"/>
      <c r="R230" s="657"/>
      <c r="S230" s="657"/>
      <c r="T230" s="65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407</v>
      </c>
      <c r="B231" s="63" t="s">
        <v>408</v>
      </c>
      <c r="C231" s="36">
        <v>4301031279</v>
      </c>
      <c r="D231" s="655">
        <v>4680115887596</v>
      </c>
      <c r="E231" s="65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7"/>
      <c r="R231" s="657"/>
      <c r="S231" s="657"/>
      <c r="T231" s="65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655">
        <v>4680115881679</v>
      </c>
      <c r="E232" s="65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7"/>
      <c r="R232" s="657"/>
      <c r="S232" s="657"/>
      <c r="T232" s="65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4301031158</v>
      </c>
      <c r="D233" s="655">
        <v>4680115880191</v>
      </c>
      <c r="E233" s="65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7"/>
      <c r="R233" s="657"/>
      <c r="S233" s="657"/>
      <c r="T233" s="65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customHeight="1" x14ac:dyDescent="0.25">
      <c r="A234" s="63" t="s">
        <v>414</v>
      </c>
      <c r="B234" s="63" t="s">
        <v>415</v>
      </c>
      <c r="C234" s="36">
        <v>4301031245</v>
      </c>
      <c r="D234" s="655">
        <v>4680115883963</v>
      </c>
      <c r="E234" s="65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7"/>
      <c r="R234" s="657"/>
      <c r="S234" s="657"/>
      <c r="T234" s="65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649"/>
      <c r="B235" s="649"/>
      <c r="C235" s="649"/>
      <c r="D235" s="649"/>
      <c r="E235" s="649"/>
      <c r="F235" s="649"/>
      <c r="G235" s="649"/>
      <c r="H235" s="649"/>
      <c r="I235" s="649"/>
      <c r="J235" s="649"/>
      <c r="K235" s="649"/>
      <c r="L235" s="649"/>
      <c r="M235" s="649"/>
      <c r="N235" s="649"/>
      <c r="O235" s="650"/>
      <c r="P235" s="646" t="s">
        <v>40</v>
      </c>
      <c r="Q235" s="647"/>
      <c r="R235" s="647"/>
      <c r="S235" s="647"/>
      <c r="T235" s="647"/>
      <c r="U235" s="647"/>
      <c r="V235" s="648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49"/>
      <c r="B236" s="649"/>
      <c r="C236" s="649"/>
      <c r="D236" s="649"/>
      <c r="E236" s="649"/>
      <c r="F236" s="649"/>
      <c r="G236" s="649"/>
      <c r="H236" s="649"/>
      <c r="I236" s="649"/>
      <c r="J236" s="649"/>
      <c r="K236" s="649"/>
      <c r="L236" s="649"/>
      <c r="M236" s="649"/>
      <c r="N236" s="649"/>
      <c r="O236" s="650"/>
      <c r="P236" s="646" t="s">
        <v>40</v>
      </c>
      <c r="Q236" s="647"/>
      <c r="R236" s="647"/>
      <c r="S236" s="647"/>
      <c r="T236" s="647"/>
      <c r="U236" s="647"/>
      <c r="V236" s="648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customHeight="1" x14ac:dyDescent="0.25">
      <c r="A237" s="660" t="s">
        <v>86</v>
      </c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0"/>
      <c r="P237" s="660"/>
      <c r="Q237" s="660"/>
      <c r="R237" s="660"/>
      <c r="S237" s="660"/>
      <c r="T237" s="660"/>
      <c r="U237" s="660"/>
      <c r="V237" s="660"/>
      <c r="W237" s="660"/>
      <c r="X237" s="660"/>
      <c r="Y237" s="660"/>
      <c r="Z237" s="660"/>
      <c r="AA237" s="66"/>
      <c r="AB237" s="66"/>
      <c r="AC237" s="80"/>
    </row>
    <row r="238" spans="1:68" ht="16.5" customHeight="1" x14ac:dyDescent="0.25">
      <c r="A238" s="63" t="s">
        <v>417</v>
      </c>
      <c r="B238" s="63" t="s">
        <v>418</v>
      </c>
      <c r="C238" s="36">
        <v>4301052209</v>
      </c>
      <c r="D238" s="655">
        <v>4680115888692</v>
      </c>
      <c r="E238" s="65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1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7"/>
      <c r="R238" s="657"/>
      <c r="S238" s="657"/>
      <c r="T238" s="65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420</v>
      </c>
      <c r="B239" s="63" t="s">
        <v>421</v>
      </c>
      <c r="C239" s="36">
        <v>4301052213</v>
      </c>
      <c r="D239" s="655">
        <v>4680115888722</v>
      </c>
      <c r="E239" s="65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7"/>
      <c r="R239" s="657"/>
      <c r="S239" s="657"/>
      <c r="T239" s="65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423</v>
      </c>
      <c r="B240" s="63" t="s">
        <v>424</v>
      </c>
      <c r="C240" s="36">
        <v>4301052177</v>
      </c>
      <c r="D240" s="655">
        <v>4680115888951</v>
      </c>
      <c r="E240" s="65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7"/>
      <c r="R240" s="657"/>
      <c r="S240" s="657"/>
      <c r="T240" s="65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426</v>
      </c>
      <c r="B241" s="63" t="s">
        <v>427</v>
      </c>
      <c r="C241" s="36">
        <v>4301052178</v>
      </c>
      <c r="D241" s="655">
        <v>4680115888975</v>
      </c>
      <c r="E241" s="65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7"/>
      <c r="R241" s="657"/>
      <c r="S241" s="657"/>
      <c r="T241" s="65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429</v>
      </c>
      <c r="B242" s="63" t="s">
        <v>430</v>
      </c>
      <c r="C242" s="36">
        <v>4301052176</v>
      </c>
      <c r="D242" s="655">
        <v>4680115888982</v>
      </c>
      <c r="E242" s="65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1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7"/>
      <c r="R242" s="657"/>
      <c r="S242" s="657"/>
      <c r="T242" s="65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49"/>
      <c r="B243" s="649"/>
      <c r="C243" s="649"/>
      <c r="D243" s="649"/>
      <c r="E243" s="649"/>
      <c r="F243" s="649"/>
      <c r="G243" s="649"/>
      <c r="H243" s="649"/>
      <c r="I243" s="649"/>
      <c r="J243" s="649"/>
      <c r="K243" s="649"/>
      <c r="L243" s="649"/>
      <c r="M243" s="649"/>
      <c r="N243" s="649"/>
      <c r="O243" s="650"/>
      <c r="P243" s="646" t="s">
        <v>40</v>
      </c>
      <c r="Q243" s="647"/>
      <c r="R243" s="647"/>
      <c r="S243" s="647"/>
      <c r="T243" s="647"/>
      <c r="U243" s="647"/>
      <c r="V243" s="648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x14ac:dyDescent="0.2">
      <c r="A244" s="649"/>
      <c r="B244" s="649"/>
      <c r="C244" s="649"/>
      <c r="D244" s="649"/>
      <c r="E244" s="649"/>
      <c r="F244" s="649"/>
      <c r="G244" s="649"/>
      <c r="H244" s="649"/>
      <c r="I244" s="649"/>
      <c r="J244" s="649"/>
      <c r="K244" s="649"/>
      <c r="L244" s="649"/>
      <c r="M244" s="649"/>
      <c r="N244" s="649"/>
      <c r="O244" s="650"/>
      <c r="P244" s="646" t="s">
        <v>40</v>
      </c>
      <c r="Q244" s="647"/>
      <c r="R244" s="647"/>
      <c r="S244" s="647"/>
      <c r="T244" s="647"/>
      <c r="U244" s="647"/>
      <c r="V244" s="648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customHeight="1" x14ac:dyDescent="0.25">
      <c r="A245" s="660" t="s">
        <v>283</v>
      </c>
      <c r="B245" s="660"/>
      <c r="C245" s="660"/>
      <c r="D245" s="660"/>
      <c r="E245" s="660"/>
      <c r="F245" s="660"/>
      <c r="G245" s="660"/>
      <c r="H245" s="660"/>
      <c r="I245" s="660"/>
      <c r="J245" s="660"/>
      <c r="K245" s="660"/>
      <c r="L245" s="660"/>
      <c r="M245" s="660"/>
      <c r="N245" s="660"/>
      <c r="O245" s="660"/>
      <c r="P245" s="660"/>
      <c r="Q245" s="660"/>
      <c r="R245" s="660"/>
      <c r="S245" s="660"/>
      <c r="T245" s="660"/>
      <c r="U245" s="660"/>
      <c r="V245" s="660"/>
      <c r="W245" s="660"/>
      <c r="X245" s="660"/>
      <c r="Y245" s="660"/>
      <c r="Z245" s="660"/>
      <c r="AA245" s="66"/>
      <c r="AB245" s="66"/>
      <c r="AC245" s="80"/>
    </row>
    <row r="246" spans="1:68" ht="27" customHeight="1" x14ac:dyDescent="0.25">
      <c r="A246" s="63" t="s">
        <v>431</v>
      </c>
      <c r="B246" s="63" t="s">
        <v>432</v>
      </c>
      <c r="C246" s="36">
        <v>4301032053</v>
      </c>
      <c r="D246" s="655">
        <v>4680115886780</v>
      </c>
      <c r="E246" s="65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7"/>
      <c r="R246" s="657"/>
      <c r="S246" s="657"/>
      <c r="T246" s="65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434</v>
      </c>
      <c r="B247" s="63" t="s">
        <v>435</v>
      </c>
      <c r="C247" s="36">
        <v>4301032051</v>
      </c>
      <c r="D247" s="655">
        <v>4680115886742</v>
      </c>
      <c r="E247" s="65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7"/>
      <c r="R247" s="657"/>
      <c r="S247" s="657"/>
      <c r="T247" s="65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4301032052</v>
      </c>
      <c r="D248" s="655">
        <v>4680115886766</v>
      </c>
      <c r="E248" s="65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7"/>
      <c r="R248" s="657"/>
      <c r="S248" s="657"/>
      <c r="T248" s="65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649"/>
      <c r="B249" s="649"/>
      <c r="C249" s="649"/>
      <c r="D249" s="649"/>
      <c r="E249" s="649"/>
      <c r="F249" s="649"/>
      <c r="G249" s="649"/>
      <c r="H249" s="649"/>
      <c r="I249" s="649"/>
      <c r="J249" s="649"/>
      <c r="K249" s="649"/>
      <c r="L249" s="649"/>
      <c r="M249" s="649"/>
      <c r="N249" s="649"/>
      <c r="O249" s="650"/>
      <c r="P249" s="646" t="s">
        <v>40</v>
      </c>
      <c r="Q249" s="647"/>
      <c r="R249" s="647"/>
      <c r="S249" s="647"/>
      <c r="T249" s="647"/>
      <c r="U249" s="647"/>
      <c r="V249" s="648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customHeight="1" x14ac:dyDescent="0.25">
      <c r="A251" s="660" t="s">
        <v>439</v>
      </c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0"/>
      <c r="P251" s="660"/>
      <c r="Q251" s="660"/>
      <c r="R251" s="660"/>
      <c r="S251" s="660"/>
      <c r="T251" s="660"/>
      <c r="U251" s="660"/>
      <c r="V251" s="660"/>
      <c r="W251" s="660"/>
      <c r="X251" s="660"/>
      <c r="Y251" s="660"/>
      <c r="Z251" s="660"/>
      <c r="AA251" s="66"/>
      <c r="AB251" s="66"/>
      <c r="AC251" s="80"/>
    </row>
    <row r="252" spans="1:68" ht="27" customHeight="1" x14ac:dyDescent="0.25">
      <c r="A252" s="63" t="s">
        <v>440</v>
      </c>
      <c r="B252" s="63" t="s">
        <v>441</v>
      </c>
      <c r="C252" s="36">
        <v>4301170013</v>
      </c>
      <c r="D252" s="655">
        <v>4680115886797</v>
      </c>
      <c r="E252" s="65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7"/>
      <c r="R252" s="657"/>
      <c r="S252" s="657"/>
      <c r="T252" s="65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x14ac:dyDescent="0.2">
      <c r="A253" s="649"/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50"/>
      <c r="P253" s="646" t="s">
        <v>40</v>
      </c>
      <c r="Q253" s="647"/>
      <c r="R253" s="647"/>
      <c r="S253" s="647"/>
      <c r="T253" s="647"/>
      <c r="U253" s="647"/>
      <c r="V253" s="648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x14ac:dyDescent="0.2">
      <c r="A254" s="649"/>
      <c r="B254" s="649"/>
      <c r="C254" s="649"/>
      <c r="D254" s="649"/>
      <c r="E254" s="649"/>
      <c r="F254" s="649"/>
      <c r="G254" s="649"/>
      <c r="H254" s="649"/>
      <c r="I254" s="649"/>
      <c r="J254" s="649"/>
      <c r="K254" s="649"/>
      <c r="L254" s="649"/>
      <c r="M254" s="649"/>
      <c r="N254" s="649"/>
      <c r="O254" s="650"/>
      <c r="P254" s="646" t="s">
        <v>40</v>
      </c>
      <c r="Q254" s="647"/>
      <c r="R254" s="647"/>
      <c r="S254" s="647"/>
      <c r="T254" s="647"/>
      <c r="U254" s="647"/>
      <c r="V254" s="648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customHeight="1" x14ac:dyDescent="0.25">
      <c r="A255" s="659" t="s">
        <v>442</v>
      </c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59"/>
      <c r="P255" s="659"/>
      <c r="Q255" s="659"/>
      <c r="R255" s="659"/>
      <c r="S255" s="659"/>
      <c r="T255" s="659"/>
      <c r="U255" s="659"/>
      <c r="V255" s="659"/>
      <c r="W255" s="659"/>
      <c r="X255" s="659"/>
      <c r="Y255" s="659"/>
      <c r="Z255" s="659"/>
      <c r="AA255" s="65"/>
      <c r="AB255" s="65"/>
      <c r="AC255" s="79"/>
    </row>
    <row r="256" spans="1:68" ht="14.25" customHeight="1" x14ac:dyDescent="0.25">
      <c r="A256" s="660" t="s">
        <v>122</v>
      </c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0"/>
      <c r="P256" s="660"/>
      <c r="Q256" s="660"/>
      <c r="R256" s="660"/>
      <c r="S256" s="660"/>
      <c r="T256" s="660"/>
      <c r="U256" s="660"/>
      <c r="V256" s="660"/>
      <c r="W256" s="660"/>
      <c r="X256" s="660"/>
      <c r="Y256" s="660"/>
      <c r="Z256" s="660"/>
      <c r="AA256" s="66"/>
      <c r="AB256" s="66"/>
      <c r="AC256" s="80"/>
    </row>
    <row r="257" spans="1:68" ht="27" customHeight="1" x14ac:dyDescent="0.25">
      <c r="A257" s="63" t="s">
        <v>443</v>
      </c>
      <c r="B257" s="63" t="s">
        <v>444</v>
      </c>
      <c r="C257" s="36">
        <v>4301011450</v>
      </c>
      <c r="D257" s="655">
        <v>4680115881402</v>
      </c>
      <c r="E257" s="65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7"/>
      <c r="R257" s="657"/>
      <c r="S257" s="657"/>
      <c r="T257" s="65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446</v>
      </c>
      <c r="B258" s="63" t="s">
        <v>447</v>
      </c>
      <c r="C258" s="36">
        <v>4301011768</v>
      </c>
      <c r="D258" s="655">
        <v>4680115881396</v>
      </c>
      <c r="E258" s="65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0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7"/>
      <c r="R258" s="657"/>
      <c r="S258" s="657"/>
      <c r="T258" s="65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49"/>
      <c r="B259" s="649"/>
      <c r="C259" s="649"/>
      <c r="D259" s="649"/>
      <c r="E259" s="649"/>
      <c r="F259" s="649"/>
      <c r="G259" s="649"/>
      <c r="H259" s="649"/>
      <c r="I259" s="649"/>
      <c r="J259" s="649"/>
      <c r="K259" s="649"/>
      <c r="L259" s="649"/>
      <c r="M259" s="649"/>
      <c r="N259" s="649"/>
      <c r="O259" s="650"/>
      <c r="P259" s="646" t="s">
        <v>40</v>
      </c>
      <c r="Q259" s="647"/>
      <c r="R259" s="647"/>
      <c r="S259" s="647"/>
      <c r="T259" s="647"/>
      <c r="U259" s="647"/>
      <c r="V259" s="648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x14ac:dyDescent="0.2">
      <c r="A260" s="649"/>
      <c r="B260" s="649"/>
      <c r="C260" s="649"/>
      <c r="D260" s="649"/>
      <c r="E260" s="649"/>
      <c r="F260" s="649"/>
      <c r="G260" s="649"/>
      <c r="H260" s="649"/>
      <c r="I260" s="649"/>
      <c r="J260" s="649"/>
      <c r="K260" s="649"/>
      <c r="L260" s="649"/>
      <c r="M260" s="649"/>
      <c r="N260" s="649"/>
      <c r="O260" s="650"/>
      <c r="P260" s="646" t="s">
        <v>40</v>
      </c>
      <c r="Q260" s="647"/>
      <c r="R260" s="647"/>
      <c r="S260" s="647"/>
      <c r="T260" s="647"/>
      <c r="U260" s="647"/>
      <c r="V260" s="648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customHeight="1" x14ac:dyDescent="0.25">
      <c r="A261" s="660" t="s">
        <v>158</v>
      </c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0"/>
      <c r="P261" s="660"/>
      <c r="Q261" s="660"/>
      <c r="R261" s="660"/>
      <c r="S261" s="660"/>
      <c r="T261" s="660"/>
      <c r="U261" s="660"/>
      <c r="V261" s="660"/>
      <c r="W261" s="660"/>
      <c r="X261" s="660"/>
      <c r="Y261" s="660"/>
      <c r="Z261" s="660"/>
      <c r="AA261" s="66"/>
      <c r="AB261" s="66"/>
      <c r="AC261" s="80"/>
    </row>
    <row r="262" spans="1:68" ht="16.5" customHeight="1" x14ac:dyDescent="0.25">
      <c r="A262" s="63" t="s">
        <v>448</v>
      </c>
      <c r="B262" s="63" t="s">
        <v>449</v>
      </c>
      <c r="C262" s="36">
        <v>4301020261</v>
      </c>
      <c r="D262" s="655">
        <v>4680115882935</v>
      </c>
      <c r="E262" s="65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7"/>
      <c r="R262" s="657"/>
      <c r="S262" s="657"/>
      <c r="T262" s="65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customHeight="1" x14ac:dyDescent="0.25">
      <c r="A263" s="63" t="s">
        <v>451</v>
      </c>
      <c r="B263" s="63" t="s">
        <v>452</v>
      </c>
      <c r="C263" s="36">
        <v>4301020220</v>
      </c>
      <c r="D263" s="655">
        <v>4680115880764</v>
      </c>
      <c r="E263" s="65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7"/>
      <c r="R263" s="657"/>
      <c r="S263" s="657"/>
      <c r="T263" s="65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649"/>
      <c r="B264" s="649"/>
      <c r="C264" s="649"/>
      <c r="D264" s="649"/>
      <c r="E264" s="649"/>
      <c r="F264" s="649"/>
      <c r="G264" s="649"/>
      <c r="H264" s="649"/>
      <c r="I264" s="649"/>
      <c r="J264" s="649"/>
      <c r="K264" s="649"/>
      <c r="L264" s="649"/>
      <c r="M264" s="649"/>
      <c r="N264" s="649"/>
      <c r="O264" s="650"/>
      <c r="P264" s="646" t="s">
        <v>40</v>
      </c>
      <c r="Q264" s="647"/>
      <c r="R264" s="647"/>
      <c r="S264" s="647"/>
      <c r="T264" s="647"/>
      <c r="U264" s="647"/>
      <c r="V264" s="648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">
      <c r="A265" s="649"/>
      <c r="B265" s="649"/>
      <c r="C265" s="649"/>
      <c r="D265" s="649"/>
      <c r="E265" s="649"/>
      <c r="F265" s="649"/>
      <c r="G265" s="649"/>
      <c r="H265" s="649"/>
      <c r="I265" s="649"/>
      <c r="J265" s="649"/>
      <c r="K265" s="649"/>
      <c r="L265" s="649"/>
      <c r="M265" s="649"/>
      <c r="N265" s="649"/>
      <c r="O265" s="650"/>
      <c r="P265" s="646" t="s">
        <v>40</v>
      </c>
      <c r="Q265" s="647"/>
      <c r="R265" s="647"/>
      <c r="S265" s="647"/>
      <c r="T265" s="647"/>
      <c r="U265" s="647"/>
      <c r="V265" s="648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660" t="s">
        <v>77</v>
      </c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0"/>
      <c r="P266" s="660"/>
      <c r="Q266" s="660"/>
      <c r="R266" s="660"/>
      <c r="S266" s="660"/>
      <c r="T266" s="660"/>
      <c r="U266" s="660"/>
      <c r="V266" s="660"/>
      <c r="W266" s="660"/>
      <c r="X266" s="660"/>
      <c r="Y266" s="660"/>
      <c r="Z266" s="660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655">
        <v>4680115882683</v>
      </c>
      <c r="E267" s="65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7"/>
      <c r="R267" s="657"/>
      <c r="S267" s="657"/>
      <c r="T267" s="65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customHeight="1" x14ac:dyDescent="0.25">
      <c r="A268" s="63" t="s">
        <v>456</v>
      </c>
      <c r="B268" s="63" t="s">
        <v>457</v>
      </c>
      <c r="C268" s="36">
        <v>4301031230</v>
      </c>
      <c r="D268" s="655">
        <v>4680115882690</v>
      </c>
      <c r="E268" s="65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7"/>
      <c r="R268" s="657"/>
      <c r="S268" s="657"/>
      <c r="T268" s="65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655">
        <v>4680115882669</v>
      </c>
      <c r="E269" s="65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7"/>
      <c r="R269" s="657"/>
      <c r="S269" s="657"/>
      <c r="T269" s="65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655">
        <v>4680115882676</v>
      </c>
      <c r="E270" s="65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79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7"/>
      <c r="R270" s="657"/>
      <c r="S270" s="657"/>
      <c r="T270" s="65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655">
        <v>4680115884014</v>
      </c>
      <c r="E271" s="65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7"/>
      <c r="R271" s="657"/>
      <c r="S271" s="657"/>
      <c r="T271" s="65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4301031222</v>
      </c>
      <c r="D272" s="655">
        <v>4680115884007</v>
      </c>
      <c r="E272" s="65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7"/>
      <c r="R272" s="657"/>
      <c r="S272" s="657"/>
      <c r="T272" s="65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customHeight="1" x14ac:dyDescent="0.25">
      <c r="A273" s="63" t="s">
        <v>469</v>
      </c>
      <c r="B273" s="63" t="s">
        <v>470</v>
      </c>
      <c r="C273" s="36">
        <v>4301031229</v>
      </c>
      <c r="D273" s="655">
        <v>4680115884038</v>
      </c>
      <c r="E273" s="65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7"/>
      <c r="R273" s="657"/>
      <c r="S273" s="657"/>
      <c r="T273" s="65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655">
        <v>4680115884021</v>
      </c>
      <c r="E274" s="65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7"/>
      <c r="R274" s="657"/>
      <c r="S274" s="657"/>
      <c r="T274" s="65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649"/>
      <c r="B275" s="649"/>
      <c r="C275" s="649"/>
      <c r="D275" s="649"/>
      <c r="E275" s="649"/>
      <c r="F275" s="649"/>
      <c r="G275" s="649"/>
      <c r="H275" s="649"/>
      <c r="I275" s="649"/>
      <c r="J275" s="649"/>
      <c r="K275" s="649"/>
      <c r="L275" s="649"/>
      <c r="M275" s="649"/>
      <c r="N275" s="649"/>
      <c r="O275" s="650"/>
      <c r="P275" s="646" t="s">
        <v>40</v>
      </c>
      <c r="Q275" s="647"/>
      <c r="R275" s="647"/>
      <c r="S275" s="647"/>
      <c r="T275" s="647"/>
      <c r="U275" s="647"/>
      <c r="V275" s="648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49"/>
      <c r="B276" s="649"/>
      <c r="C276" s="649"/>
      <c r="D276" s="649"/>
      <c r="E276" s="649"/>
      <c r="F276" s="649"/>
      <c r="G276" s="649"/>
      <c r="H276" s="649"/>
      <c r="I276" s="649"/>
      <c r="J276" s="649"/>
      <c r="K276" s="649"/>
      <c r="L276" s="649"/>
      <c r="M276" s="649"/>
      <c r="N276" s="649"/>
      <c r="O276" s="650"/>
      <c r="P276" s="646" t="s">
        <v>40</v>
      </c>
      <c r="Q276" s="647"/>
      <c r="R276" s="647"/>
      <c r="S276" s="647"/>
      <c r="T276" s="647"/>
      <c r="U276" s="647"/>
      <c r="V276" s="648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customHeight="1" x14ac:dyDescent="0.25">
      <c r="A277" s="660" t="s">
        <v>86</v>
      </c>
      <c r="B277" s="660"/>
      <c r="C277" s="660"/>
      <c r="D277" s="660"/>
      <c r="E277" s="660"/>
      <c r="F277" s="660"/>
      <c r="G277" s="660"/>
      <c r="H277" s="660"/>
      <c r="I277" s="660"/>
      <c r="J277" s="660"/>
      <c r="K277" s="660"/>
      <c r="L277" s="660"/>
      <c r="M277" s="660"/>
      <c r="N277" s="660"/>
      <c r="O277" s="660"/>
      <c r="P277" s="660"/>
      <c r="Q277" s="660"/>
      <c r="R277" s="660"/>
      <c r="S277" s="660"/>
      <c r="T277" s="660"/>
      <c r="U277" s="660"/>
      <c r="V277" s="660"/>
      <c r="W277" s="660"/>
      <c r="X277" s="660"/>
      <c r="Y277" s="660"/>
      <c r="Z277" s="660"/>
      <c r="AA277" s="66"/>
      <c r="AB277" s="66"/>
      <c r="AC277" s="80"/>
    </row>
    <row r="278" spans="1:68" ht="27" customHeight="1" x14ac:dyDescent="0.25">
      <c r="A278" s="63" t="s">
        <v>473</v>
      </c>
      <c r="B278" s="63" t="s">
        <v>474</v>
      </c>
      <c r="C278" s="36">
        <v>4301051408</v>
      </c>
      <c r="D278" s="655">
        <v>4680115881594</v>
      </c>
      <c r="E278" s="65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7"/>
      <c r="R278" s="657"/>
      <c r="S278" s="657"/>
      <c r="T278" s="65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customHeight="1" x14ac:dyDescent="0.25">
      <c r="A279" s="63" t="s">
        <v>476</v>
      </c>
      <c r="B279" s="63" t="s">
        <v>477</v>
      </c>
      <c r="C279" s="36">
        <v>4301051411</v>
      </c>
      <c r="D279" s="655">
        <v>4680115881617</v>
      </c>
      <c r="E279" s="65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7"/>
      <c r="R279" s="657"/>
      <c r="S279" s="657"/>
      <c r="T279" s="65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customHeight="1" x14ac:dyDescent="0.25">
      <c r="A280" s="63" t="s">
        <v>479</v>
      </c>
      <c r="B280" s="63" t="s">
        <v>480</v>
      </c>
      <c r="C280" s="36">
        <v>4301051656</v>
      </c>
      <c r="D280" s="655">
        <v>4680115880573</v>
      </c>
      <c r="E280" s="65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7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7"/>
      <c r="R280" s="657"/>
      <c r="S280" s="657"/>
      <c r="T280" s="65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655">
        <v>4680115882195</v>
      </c>
      <c r="E281" s="65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7"/>
      <c r="R281" s="657"/>
      <c r="S281" s="657"/>
      <c r="T281" s="65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4301051752</v>
      </c>
      <c r="D282" s="655">
        <v>4680115882607</v>
      </c>
      <c r="E282" s="65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7"/>
      <c r="R282" s="657"/>
      <c r="S282" s="657"/>
      <c r="T282" s="65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customHeight="1" x14ac:dyDescent="0.25">
      <c r="A283" s="63" t="s">
        <v>486</v>
      </c>
      <c r="B283" s="63" t="s">
        <v>487</v>
      </c>
      <c r="C283" s="36">
        <v>4301052143</v>
      </c>
      <c r="D283" s="655">
        <v>4680115882607</v>
      </c>
      <c r="E283" s="65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7"/>
      <c r="R283" s="657"/>
      <c r="S283" s="657"/>
      <c r="T283" s="65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655">
        <v>4680115880092</v>
      </c>
      <c r="E284" s="65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7"/>
      <c r="R284" s="657"/>
      <c r="S284" s="657"/>
      <c r="T284" s="65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4301052214</v>
      </c>
      <c r="D285" s="655">
        <v>4680115889064</v>
      </c>
      <c r="E285" s="65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7"/>
      <c r="R285" s="657"/>
      <c r="S285" s="657"/>
      <c r="T285" s="65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4301051668</v>
      </c>
      <c r="D286" s="655">
        <v>4680115880221</v>
      </c>
      <c r="E286" s="65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7"/>
      <c r="R286" s="657"/>
      <c r="S286" s="657"/>
      <c r="T286" s="65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customHeight="1" x14ac:dyDescent="0.25">
      <c r="A287" s="63" t="s">
        <v>495</v>
      </c>
      <c r="B287" s="63" t="s">
        <v>496</v>
      </c>
      <c r="C287" s="36">
        <v>4301051945</v>
      </c>
      <c r="D287" s="655">
        <v>4680115880504</v>
      </c>
      <c r="E287" s="65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8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7"/>
      <c r="R287" s="657"/>
      <c r="S287" s="657"/>
      <c r="T287" s="65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655">
        <v>4680115882164</v>
      </c>
      <c r="E288" s="65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7"/>
      <c r="R288" s="657"/>
      <c r="S288" s="657"/>
      <c r="T288" s="65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customHeight="1" x14ac:dyDescent="0.25">
      <c r="A289" s="63" t="s">
        <v>501</v>
      </c>
      <c r="B289" s="63" t="s">
        <v>502</v>
      </c>
      <c r="C289" s="36">
        <v>4301052180</v>
      </c>
      <c r="D289" s="655">
        <v>4680115888340</v>
      </c>
      <c r="E289" s="65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7"/>
      <c r="R289" s="657"/>
      <c r="S289" s="657"/>
      <c r="T289" s="65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649"/>
      <c r="B290" s="649"/>
      <c r="C290" s="649"/>
      <c r="D290" s="649"/>
      <c r="E290" s="649"/>
      <c r="F290" s="649"/>
      <c r="G290" s="649"/>
      <c r="H290" s="649"/>
      <c r="I290" s="649"/>
      <c r="J290" s="649"/>
      <c r="K290" s="649"/>
      <c r="L290" s="649"/>
      <c r="M290" s="649"/>
      <c r="N290" s="649"/>
      <c r="O290" s="650"/>
      <c r="P290" s="646" t="s">
        <v>40</v>
      </c>
      <c r="Q290" s="647"/>
      <c r="R290" s="647"/>
      <c r="S290" s="647"/>
      <c r="T290" s="647"/>
      <c r="U290" s="647"/>
      <c r="V290" s="648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customHeight="1" x14ac:dyDescent="0.25">
      <c r="A292" s="660" t="s">
        <v>175</v>
      </c>
      <c r="B292" s="660"/>
      <c r="C292" s="660"/>
      <c r="D292" s="660"/>
      <c r="E292" s="660"/>
      <c r="F292" s="660"/>
      <c r="G292" s="660"/>
      <c r="H292" s="660"/>
      <c r="I292" s="660"/>
      <c r="J292" s="660"/>
      <c r="K292" s="660"/>
      <c r="L292" s="660"/>
      <c r="M292" s="660"/>
      <c r="N292" s="660"/>
      <c r="O292" s="660"/>
      <c r="P292" s="660"/>
      <c r="Q292" s="660"/>
      <c r="R292" s="660"/>
      <c r="S292" s="660"/>
      <c r="T292" s="660"/>
      <c r="U292" s="660"/>
      <c r="V292" s="660"/>
      <c r="W292" s="660"/>
      <c r="X292" s="660"/>
      <c r="Y292" s="660"/>
      <c r="Z292" s="660"/>
      <c r="AA292" s="66"/>
      <c r="AB292" s="66"/>
      <c r="AC292" s="80"/>
    </row>
    <row r="293" spans="1:68" ht="27" customHeight="1" x14ac:dyDescent="0.25">
      <c r="A293" s="63" t="s">
        <v>504</v>
      </c>
      <c r="B293" s="63" t="s">
        <v>505</v>
      </c>
      <c r="C293" s="36">
        <v>4301060463</v>
      </c>
      <c r="D293" s="655">
        <v>4680115880818</v>
      </c>
      <c r="E293" s="65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7"/>
      <c r="R293" s="657"/>
      <c r="S293" s="657"/>
      <c r="T293" s="65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507</v>
      </c>
      <c r="B294" s="63" t="s">
        <v>508</v>
      </c>
      <c r="C294" s="36">
        <v>4301060389</v>
      </c>
      <c r="D294" s="655">
        <v>4680115880801</v>
      </c>
      <c r="E294" s="65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7"/>
      <c r="R294" s="657"/>
      <c r="S294" s="657"/>
      <c r="T294" s="65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x14ac:dyDescent="0.2">
      <c r="A295" s="649"/>
      <c r="B295" s="649"/>
      <c r="C295" s="649"/>
      <c r="D295" s="649"/>
      <c r="E295" s="649"/>
      <c r="F295" s="649"/>
      <c r="G295" s="649"/>
      <c r="H295" s="649"/>
      <c r="I295" s="649"/>
      <c r="J295" s="649"/>
      <c r="K295" s="649"/>
      <c r="L295" s="649"/>
      <c r="M295" s="649"/>
      <c r="N295" s="649"/>
      <c r="O295" s="650"/>
      <c r="P295" s="646" t="s">
        <v>40</v>
      </c>
      <c r="Q295" s="647"/>
      <c r="R295" s="647"/>
      <c r="S295" s="647"/>
      <c r="T295" s="647"/>
      <c r="U295" s="647"/>
      <c r="V295" s="648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x14ac:dyDescent="0.2">
      <c r="A296" s="649"/>
      <c r="B296" s="649"/>
      <c r="C296" s="649"/>
      <c r="D296" s="649"/>
      <c r="E296" s="649"/>
      <c r="F296" s="649"/>
      <c r="G296" s="649"/>
      <c r="H296" s="649"/>
      <c r="I296" s="649"/>
      <c r="J296" s="649"/>
      <c r="K296" s="649"/>
      <c r="L296" s="649"/>
      <c r="M296" s="649"/>
      <c r="N296" s="649"/>
      <c r="O296" s="650"/>
      <c r="P296" s="646" t="s">
        <v>40</v>
      </c>
      <c r="Q296" s="647"/>
      <c r="R296" s="647"/>
      <c r="S296" s="647"/>
      <c r="T296" s="647"/>
      <c r="U296" s="647"/>
      <c r="V296" s="648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customHeight="1" x14ac:dyDescent="0.25">
      <c r="A297" s="659" t="s">
        <v>510</v>
      </c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59"/>
      <c r="V297" s="659"/>
      <c r="W297" s="659"/>
      <c r="X297" s="659"/>
      <c r="Y297" s="659"/>
      <c r="Z297" s="659"/>
      <c r="AA297" s="65"/>
      <c r="AB297" s="65"/>
      <c r="AC297" s="79"/>
    </row>
    <row r="298" spans="1:68" ht="14.25" customHeight="1" x14ac:dyDescent="0.25">
      <c r="A298" s="660" t="s">
        <v>122</v>
      </c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0"/>
      <c r="P298" s="660"/>
      <c r="Q298" s="660"/>
      <c r="R298" s="660"/>
      <c r="S298" s="660"/>
      <c r="T298" s="660"/>
      <c r="U298" s="660"/>
      <c r="V298" s="660"/>
      <c r="W298" s="660"/>
      <c r="X298" s="660"/>
      <c r="Y298" s="660"/>
      <c r="Z298" s="660"/>
      <c r="AA298" s="66"/>
      <c r="AB298" s="66"/>
      <c r="AC298" s="80"/>
    </row>
    <row r="299" spans="1:68" ht="27" customHeight="1" x14ac:dyDescent="0.25">
      <c r="A299" s="63" t="s">
        <v>511</v>
      </c>
      <c r="B299" s="63" t="s">
        <v>512</v>
      </c>
      <c r="C299" s="36">
        <v>4301011826</v>
      </c>
      <c r="D299" s="655">
        <v>4680115884137</v>
      </c>
      <c r="E299" s="65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7"/>
      <c r="R299" s="657"/>
      <c r="S299" s="657"/>
      <c r="T299" s="65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customHeight="1" x14ac:dyDescent="0.25">
      <c r="A300" s="63" t="s">
        <v>514</v>
      </c>
      <c r="B300" s="63" t="s">
        <v>515</v>
      </c>
      <c r="C300" s="36">
        <v>4301011724</v>
      </c>
      <c r="D300" s="655">
        <v>4680115884236</v>
      </c>
      <c r="E300" s="65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7"/>
      <c r="R300" s="657"/>
      <c r="S300" s="657"/>
      <c r="T300" s="65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4301011721</v>
      </c>
      <c r="D301" s="655">
        <v>4680115884175</v>
      </c>
      <c r="E301" s="65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7"/>
      <c r="R301" s="657"/>
      <c r="S301" s="657"/>
      <c r="T301" s="65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4301011824</v>
      </c>
      <c r="D302" s="655">
        <v>4680115884144</v>
      </c>
      <c r="E302" s="65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7"/>
      <c r="R302" s="657"/>
      <c r="S302" s="657"/>
      <c r="T302" s="65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customHeight="1" x14ac:dyDescent="0.25">
      <c r="A303" s="63" t="s">
        <v>521</v>
      </c>
      <c r="B303" s="63" t="s">
        <v>522</v>
      </c>
      <c r="C303" s="36">
        <v>4301012149</v>
      </c>
      <c r="D303" s="655">
        <v>4680115886551</v>
      </c>
      <c r="E303" s="65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7"/>
      <c r="R303" s="657"/>
      <c r="S303" s="657"/>
      <c r="T303" s="65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4301012228</v>
      </c>
      <c r="D304" s="655">
        <v>4680115887282</v>
      </c>
      <c r="E304" s="65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7"/>
      <c r="R304" s="657"/>
      <c r="S304" s="657"/>
      <c r="T304" s="65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customHeight="1" x14ac:dyDescent="0.25">
      <c r="A305" s="63" t="s">
        <v>527</v>
      </c>
      <c r="B305" s="63" t="s">
        <v>528</v>
      </c>
      <c r="C305" s="36">
        <v>4301011722</v>
      </c>
      <c r="D305" s="655">
        <v>4680115884205</v>
      </c>
      <c r="E305" s="65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7"/>
      <c r="R305" s="657"/>
      <c r="S305" s="657"/>
      <c r="T305" s="65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customHeight="1" x14ac:dyDescent="0.25">
      <c r="A308" s="660" t="s">
        <v>158</v>
      </c>
      <c r="B308" s="660"/>
      <c r="C308" s="660"/>
      <c r="D308" s="660"/>
      <c r="E308" s="660"/>
      <c r="F308" s="660"/>
      <c r="G308" s="660"/>
      <c r="H308" s="660"/>
      <c r="I308" s="660"/>
      <c r="J308" s="660"/>
      <c r="K308" s="660"/>
      <c r="L308" s="660"/>
      <c r="M308" s="660"/>
      <c r="N308" s="660"/>
      <c r="O308" s="660"/>
      <c r="P308" s="660"/>
      <c r="Q308" s="660"/>
      <c r="R308" s="660"/>
      <c r="S308" s="660"/>
      <c r="T308" s="660"/>
      <c r="U308" s="660"/>
      <c r="V308" s="660"/>
      <c r="W308" s="660"/>
      <c r="X308" s="660"/>
      <c r="Y308" s="660"/>
      <c r="Z308" s="660"/>
      <c r="AA308" s="66"/>
      <c r="AB308" s="66"/>
      <c r="AC308" s="80"/>
    </row>
    <row r="309" spans="1:68" ht="27" customHeight="1" x14ac:dyDescent="0.25">
      <c r="A309" s="63" t="s">
        <v>529</v>
      </c>
      <c r="B309" s="63" t="s">
        <v>530</v>
      </c>
      <c r="C309" s="36">
        <v>4301020377</v>
      </c>
      <c r="D309" s="655">
        <v>4680115885981</v>
      </c>
      <c r="E309" s="65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7"/>
      <c r="R309" s="657"/>
      <c r="S309" s="657"/>
      <c r="T309" s="65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customHeight="1" x14ac:dyDescent="0.25">
      <c r="A312" s="660" t="s">
        <v>532</v>
      </c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0"/>
      <c r="P312" s="660"/>
      <c r="Q312" s="660"/>
      <c r="R312" s="660"/>
      <c r="S312" s="660"/>
      <c r="T312" s="660"/>
      <c r="U312" s="660"/>
      <c r="V312" s="660"/>
      <c r="W312" s="660"/>
      <c r="X312" s="660"/>
      <c r="Y312" s="660"/>
      <c r="Z312" s="660"/>
      <c r="AA312" s="66"/>
      <c r="AB312" s="66"/>
      <c r="AC312" s="80"/>
    </row>
    <row r="313" spans="1:68" ht="27" customHeight="1" x14ac:dyDescent="0.25">
      <c r="A313" s="63" t="s">
        <v>533</v>
      </c>
      <c r="B313" s="63" t="s">
        <v>534</v>
      </c>
      <c r="C313" s="36">
        <v>4301040362</v>
      </c>
      <c r="D313" s="655">
        <v>4680115886803</v>
      </c>
      <c r="E313" s="65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7"/>
      <c r="R313" s="657"/>
      <c r="S313" s="657"/>
      <c r="T313" s="65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649"/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50"/>
      <c r="P314" s="646" t="s">
        <v>40</v>
      </c>
      <c r="Q314" s="647"/>
      <c r="R314" s="647"/>
      <c r="S314" s="647"/>
      <c r="T314" s="647"/>
      <c r="U314" s="647"/>
      <c r="V314" s="648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x14ac:dyDescent="0.2">
      <c r="A315" s="649"/>
      <c r="B315" s="649"/>
      <c r="C315" s="649"/>
      <c r="D315" s="649"/>
      <c r="E315" s="649"/>
      <c r="F315" s="649"/>
      <c r="G315" s="649"/>
      <c r="H315" s="649"/>
      <c r="I315" s="649"/>
      <c r="J315" s="649"/>
      <c r="K315" s="649"/>
      <c r="L315" s="649"/>
      <c r="M315" s="649"/>
      <c r="N315" s="649"/>
      <c r="O315" s="650"/>
      <c r="P315" s="646" t="s">
        <v>40</v>
      </c>
      <c r="Q315" s="647"/>
      <c r="R315" s="647"/>
      <c r="S315" s="647"/>
      <c r="T315" s="647"/>
      <c r="U315" s="647"/>
      <c r="V315" s="648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customHeight="1" x14ac:dyDescent="0.25">
      <c r="A316" s="660" t="s">
        <v>349</v>
      </c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0"/>
      <c r="P316" s="660"/>
      <c r="Q316" s="660"/>
      <c r="R316" s="660"/>
      <c r="S316" s="660"/>
      <c r="T316" s="660"/>
      <c r="U316" s="660"/>
      <c r="V316" s="660"/>
      <c r="W316" s="660"/>
      <c r="X316" s="660"/>
      <c r="Y316" s="660"/>
      <c r="Z316" s="660"/>
      <c r="AA316" s="66"/>
      <c r="AB316" s="66"/>
      <c r="AC316" s="80"/>
    </row>
    <row r="317" spans="1:68" ht="27" customHeight="1" x14ac:dyDescent="0.25">
      <c r="A317" s="63" t="s">
        <v>536</v>
      </c>
      <c r="B317" s="63" t="s">
        <v>537</v>
      </c>
      <c r="C317" s="36">
        <v>4301041004</v>
      </c>
      <c r="D317" s="655">
        <v>4680115886704</v>
      </c>
      <c r="E317" s="65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7"/>
      <c r="R317" s="657"/>
      <c r="S317" s="657"/>
      <c r="T317" s="65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539</v>
      </c>
      <c r="B318" s="63" t="s">
        <v>540</v>
      </c>
      <c r="C318" s="36">
        <v>4301041008</v>
      </c>
      <c r="D318" s="655">
        <v>4680115886681</v>
      </c>
      <c r="E318" s="65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7"/>
      <c r="R318" s="657"/>
      <c r="S318" s="657"/>
      <c r="T318" s="65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541</v>
      </c>
      <c r="B319" s="63" t="s">
        <v>542</v>
      </c>
      <c r="C319" s="36">
        <v>4301041007</v>
      </c>
      <c r="D319" s="655">
        <v>4680115886735</v>
      </c>
      <c r="E319" s="65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7"/>
      <c r="R319" s="657"/>
      <c r="S319" s="657"/>
      <c r="T319" s="65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x14ac:dyDescent="0.2">
      <c r="A320" s="649"/>
      <c r="B320" s="649"/>
      <c r="C320" s="649"/>
      <c r="D320" s="649"/>
      <c r="E320" s="649"/>
      <c r="F320" s="649"/>
      <c r="G320" s="649"/>
      <c r="H320" s="649"/>
      <c r="I320" s="649"/>
      <c r="J320" s="649"/>
      <c r="K320" s="649"/>
      <c r="L320" s="649"/>
      <c r="M320" s="649"/>
      <c r="N320" s="649"/>
      <c r="O320" s="650"/>
      <c r="P320" s="646" t="s">
        <v>40</v>
      </c>
      <c r="Q320" s="647"/>
      <c r="R320" s="647"/>
      <c r="S320" s="647"/>
      <c r="T320" s="647"/>
      <c r="U320" s="647"/>
      <c r="V320" s="648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x14ac:dyDescent="0.2">
      <c r="A321" s="649"/>
      <c r="B321" s="649"/>
      <c r="C321" s="649"/>
      <c r="D321" s="649"/>
      <c r="E321" s="649"/>
      <c r="F321" s="649"/>
      <c r="G321" s="649"/>
      <c r="H321" s="649"/>
      <c r="I321" s="649"/>
      <c r="J321" s="649"/>
      <c r="K321" s="649"/>
      <c r="L321" s="649"/>
      <c r="M321" s="649"/>
      <c r="N321" s="649"/>
      <c r="O321" s="650"/>
      <c r="P321" s="646" t="s">
        <v>40</v>
      </c>
      <c r="Q321" s="647"/>
      <c r="R321" s="647"/>
      <c r="S321" s="647"/>
      <c r="T321" s="647"/>
      <c r="U321" s="647"/>
      <c r="V321" s="648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customHeight="1" x14ac:dyDescent="0.25">
      <c r="A322" s="659" t="s">
        <v>543</v>
      </c>
      <c r="B322" s="659"/>
      <c r="C322" s="659"/>
      <c r="D322" s="659"/>
      <c r="E322" s="659"/>
      <c r="F322" s="659"/>
      <c r="G322" s="659"/>
      <c r="H322" s="659"/>
      <c r="I322" s="659"/>
      <c r="J322" s="659"/>
      <c r="K322" s="659"/>
      <c r="L322" s="659"/>
      <c r="M322" s="659"/>
      <c r="N322" s="659"/>
      <c r="O322" s="659"/>
      <c r="P322" s="659"/>
      <c r="Q322" s="659"/>
      <c r="R322" s="659"/>
      <c r="S322" s="659"/>
      <c r="T322" s="659"/>
      <c r="U322" s="659"/>
      <c r="V322" s="659"/>
      <c r="W322" s="659"/>
      <c r="X322" s="659"/>
      <c r="Y322" s="659"/>
      <c r="Z322" s="659"/>
      <c r="AA322" s="65"/>
      <c r="AB322" s="65"/>
      <c r="AC322" s="79"/>
    </row>
    <row r="323" spans="1:68" ht="14.25" customHeight="1" x14ac:dyDescent="0.25">
      <c r="A323" s="660" t="s">
        <v>122</v>
      </c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0"/>
      <c r="P323" s="660"/>
      <c r="Q323" s="660"/>
      <c r="R323" s="660"/>
      <c r="S323" s="660"/>
      <c r="T323" s="660"/>
      <c r="U323" s="660"/>
      <c r="V323" s="660"/>
      <c r="W323" s="660"/>
      <c r="X323" s="660"/>
      <c r="Y323" s="660"/>
      <c r="Z323" s="660"/>
      <c r="AA323" s="66"/>
      <c r="AB323" s="66"/>
      <c r="AC323" s="80"/>
    </row>
    <row r="324" spans="1:68" ht="27" customHeight="1" x14ac:dyDescent="0.25">
      <c r="A324" s="63" t="s">
        <v>544</v>
      </c>
      <c r="B324" s="63" t="s">
        <v>545</v>
      </c>
      <c r="C324" s="36">
        <v>4301011855</v>
      </c>
      <c r="D324" s="655">
        <v>4680115885837</v>
      </c>
      <c r="E324" s="65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7"/>
      <c r="R324" s="657"/>
      <c r="S324" s="657"/>
      <c r="T324" s="65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customHeight="1" x14ac:dyDescent="0.25">
      <c r="A325" s="63" t="s">
        <v>547</v>
      </c>
      <c r="B325" s="63" t="s">
        <v>548</v>
      </c>
      <c r="C325" s="36">
        <v>4301012234</v>
      </c>
      <c r="D325" s="655">
        <v>4680115887237</v>
      </c>
      <c r="E325" s="65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7"/>
      <c r="R325" s="657"/>
      <c r="S325" s="657"/>
      <c r="T325" s="65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550</v>
      </c>
      <c r="B326" s="63" t="s">
        <v>551</v>
      </c>
      <c r="C326" s="36">
        <v>4301011850</v>
      </c>
      <c r="D326" s="655">
        <v>4680115885806</v>
      </c>
      <c r="E326" s="65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6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7"/>
      <c r="R326" s="657"/>
      <c r="S326" s="657"/>
      <c r="T326" s="65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553</v>
      </c>
      <c r="B327" s="63" t="s">
        <v>554</v>
      </c>
      <c r="C327" s="36">
        <v>4301011852</v>
      </c>
      <c r="D327" s="655">
        <v>4680115885844</v>
      </c>
      <c r="E327" s="65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7"/>
      <c r="R327" s="657"/>
      <c r="S327" s="657"/>
      <c r="T327" s="65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customHeight="1" x14ac:dyDescent="0.25">
      <c r="A328" s="63" t="s">
        <v>556</v>
      </c>
      <c r="B328" s="63" t="s">
        <v>557</v>
      </c>
      <c r="C328" s="36">
        <v>4301011851</v>
      </c>
      <c r="D328" s="655">
        <v>4680115885820</v>
      </c>
      <c r="E328" s="65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7"/>
      <c r="R328" s="657"/>
      <c r="S328" s="657"/>
      <c r="T328" s="65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649"/>
      <c r="B330" s="649"/>
      <c r="C330" s="649"/>
      <c r="D330" s="649"/>
      <c r="E330" s="649"/>
      <c r="F330" s="649"/>
      <c r="G330" s="649"/>
      <c r="H330" s="649"/>
      <c r="I330" s="649"/>
      <c r="J330" s="649"/>
      <c r="K330" s="649"/>
      <c r="L330" s="649"/>
      <c r="M330" s="649"/>
      <c r="N330" s="649"/>
      <c r="O330" s="650"/>
      <c r="P330" s="646" t="s">
        <v>40</v>
      </c>
      <c r="Q330" s="647"/>
      <c r="R330" s="647"/>
      <c r="S330" s="647"/>
      <c r="T330" s="647"/>
      <c r="U330" s="647"/>
      <c r="V330" s="648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customHeight="1" x14ac:dyDescent="0.25">
      <c r="A331" s="659" t="s">
        <v>559</v>
      </c>
      <c r="B331" s="659"/>
      <c r="C331" s="659"/>
      <c r="D331" s="659"/>
      <c r="E331" s="659"/>
      <c r="F331" s="659"/>
      <c r="G331" s="659"/>
      <c r="H331" s="659"/>
      <c r="I331" s="659"/>
      <c r="J331" s="659"/>
      <c r="K331" s="659"/>
      <c r="L331" s="659"/>
      <c r="M331" s="659"/>
      <c r="N331" s="659"/>
      <c r="O331" s="659"/>
      <c r="P331" s="659"/>
      <c r="Q331" s="659"/>
      <c r="R331" s="659"/>
      <c r="S331" s="659"/>
      <c r="T331" s="659"/>
      <c r="U331" s="659"/>
      <c r="V331" s="659"/>
      <c r="W331" s="659"/>
      <c r="X331" s="659"/>
      <c r="Y331" s="659"/>
      <c r="Z331" s="659"/>
      <c r="AA331" s="65"/>
      <c r="AB331" s="65"/>
      <c r="AC331" s="79"/>
    </row>
    <row r="332" spans="1:68" ht="14.25" customHeight="1" x14ac:dyDescent="0.25">
      <c r="A332" s="660" t="s">
        <v>86</v>
      </c>
      <c r="B332" s="660"/>
      <c r="C332" s="660"/>
      <c r="D332" s="660"/>
      <c r="E332" s="660"/>
      <c r="F332" s="660"/>
      <c r="G332" s="660"/>
      <c r="H332" s="660"/>
      <c r="I332" s="660"/>
      <c r="J332" s="660"/>
      <c r="K332" s="660"/>
      <c r="L332" s="660"/>
      <c r="M332" s="660"/>
      <c r="N332" s="660"/>
      <c r="O332" s="660"/>
      <c r="P332" s="660"/>
      <c r="Q332" s="660"/>
      <c r="R332" s="660"/>
      <c r="S332" s="660"/>
      <c r="T332" s="660"/>
      <c r="U332" s="660"/>
      <c r="V332" s="660"/>
      <c r="W332" s="660"/>
      <c r="X332" s="660"/>
      <c r="Y332" s="660"/>
      <c r="Z332" s="660"/>
      <c r="AA332" s="66"/>
      <c r="AB332" s="66"/>
      <c r="AC332" s="80"/>
    </row>
    <row r="333" spans="1:68" ht="27" customHeight="1" x14ac:dyDescent="0.25">
      <c r="A333" s="63" t="s">
        <v>560</v>
      </c>
      <c r="B333" s="63" t="s">
        <v>561</v>
      </c>
      <c r="C333" s="36">
        <v>4301051893</v>
      </c>
      <c r="D333" s="655">
        <v>4680115886186</v>
      </c>
      <c r="E333" s="65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7"/>
      <c r="R333" s="657"/>
      <c r="S333" s="657"/>
      <c r="T333" s="65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563</v>
      </c>
      <c r="B334" s="63" t="s">
        <v>564</v>
      </c>
      <c r="C334" s="36">
        <v>4301051795</v>
      </c>
      <c r="D334" s="655">
        <v>4680115881228</v>
      </c>
      <c r="E334" s="65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7"/>
      <c r="R334" s="657"/>
      <c r="S334" s="657"/>
      <c r="T334" s="65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655">
        <v>4680115881211</v>
      </c>
      <c r="E335" s="65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7"/>
      <c r="R335" s="657"/>
      <c r="S335" s="657"/>
      <c r="T335" s="65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649"/>
      <c r="B337" s="649"/>
      <c r="C337" s="649"/>
      <c r="D337" s="649"/>
      <c r="E337" s="649"/>
      <c r="F337" s="649"/>
      <c r="G337" s="649"/>
      <c r="H337" s="649"/>
      <c r="I337" s="649"/>
      <c r="J337" s="649"/>
      <c r="K337" s="649"/>
      <c r="L337" s="649"/>
      <c r="M337" s="649"/>
      <c r="N337" s="649"/>
      <c r="O337" s="650"/>
      <c r="P337" s="646" t="s">
        <v>40</v>
      </c>
      <c r="Q337" s="647"/>
      <c r="R337" s="647"/>
      <c r="S337" s="647"/>
      <c r="T337" s="647"/>
      <c r="U337" s="647"/>
      <c r="V337" s="648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659" t="s">
        <v>568</v>
      </c>
      <c r="B338" s="659"/>
      <c r="C338" s="659"/>
      <c r="D338" s="659"/>
      <c r="E338" s="659"/>
      <c r="F338" s="659"/>
      <c r="G338" s="659"/>
      <c r="H338" s="659"/>
      <c r="I338" s="659"/>
      <c r="J338" s="659"/>
      <c r="K338" s="659"/>
      <c r="L338" s="659"/>
      <c r="M338" s="659"/>
      <c r="N338" s="659"/>
      <c r="O338" s="659"/>
      <c r="P338" s="659"/>
      <c r="Q338" s="659"/>
      <c r="R338" s="659"/>
      <c r="S338" s="659"/>
      <c r="T338" s="659"/>
      <c r="U338" s="659"/>
      <c r="V338" s="659"/>
      <c r="W338" s="659"/>
      <c r="X338" s="659"/>
      <c r="Y338" s="659"/>
      <c r="Z338" s="659"/>
      <c r="AA338" s="65"/>
      <c r="AB338" s="65"/>
      <c r="AC338" s="79"/>
    </row>
    <row r="339" spans="1:68" ht="14.25" customHeight="1" x14ac:dyDescent="0.25">
      <c r="A339" s="660" t="s">
        <v>77</v>
      </c>
      <c r="B339" s="660"/>
      <c r="C339" s="660"/>
      <c r="D339" s="660"/>
      <c r="E339" s="660"/>
      <c r="F339" s="660"/>
      <c r="G339" s="660"/>
      <c r="H339" s="660"/>
      <c r="I339" s="660"/>
      <c r="J339" s="660"/>
      <c r="K339" s="660"/>
      <c r="L339" s="660"/>
      <c r="M339" s="660"/>
      <c r="N339" s="660"/>
      <c r="O339" s="660"/>
      <c r="P339" s="660"/>
      <c r="Q339" s="660"/>
      <c r="R339" s="660"/>
      <c r="S339" s="660"/>
      <c r="T339" s="660"/>
      <c r="U339" s="660"/>
      <c r="V339" s="660"/>
      <c r="W339" s="660"/>
      <c r="X339" s="660"/>
      <c r="Y339" s="660"/>
      <c r="Z339" s="660"/>
      <c r="AA339" s="66"/>
      <c r="AB339" s="66"/>
      <c r="AC339" s="80"/>
    </row>
    <row r="340" spans="1:68" ht="27" customHeight="1" x14ac:dyDescent="0.25">
      <c r="A340" s="63" t="s">
        <v>569</v>
      </c>
      <c r="B340" s="63" t="s">
        <v>570</v>
      </c>
      <c r="C340" s="36">
        <v>4301031445</v>
      </c>
      <c r="D340" s="655">
        <v>4680115888319</v>
      </c>
      <c r="E340" s="65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7"/>
      <c r="R340" s="657"/>
      <c r="S340" s="657"/>
      <c r="T340" s="65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571</v>
      </c>
      <c r="B341" s="63" t="s">
        <v>572</v>
      </c>
      <c r="C341" s="36">
        <v>4301031502</v>
      </c>
      <c r="D341" s="655">
        <v>4680115884700</v>
      </c>
      <c r="E341" s="65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7"/>
      <c r="R341" s="657"/>
      <c r="S341" s="657"/>
      <c r="T341" s="65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574</v>
      </c>
      <c r="B342" s="63" t="s">
        <v>575</v>
      </c>
      <c r="C342" s="36">
        <v>4301031307</v>
      </c>
      <c r="D342" s="655">
        <v>4680115880344</v>
      </c>
      <c r="E342" s="65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7"/>
      <c r="R342" s="657"/>
      <c r="S342" s="657"/>
      <c r="T342" s="65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577</v>
      </c>
      <c r="B343" s="63" t="s">
        <v>578</v>
      </c>
      <c r="C343" s="36">
        <v>4301031501</v>
      </c>
      <c r="D343" s="655">
        <v>4680115886919</v>
      </c>
      <c r="E343" s="65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7"/>
      <c r="R343" s="657"/>
      <c r="S343" s="657"/>
      <c r="T343" s="65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580</v>
      </c>
      <c r="B344" s="63" t="s">
        <v>581</v>
      </c>
      <c r="C344" s="36">
        <v>4301031246</v>
      </c>
      <c r="D344" s="655">
        <v>4680115883970</v>
      </c>
      <c r="E344" s="65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7"/>
      <c r="R344" s="657"/>
      <c r="S344" s="657"/>
      <c r="T344" s="65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49"/>
      <c r="B345" s="649"/>
      <c r="C345" s="649"/>
      <c r="D345" s="649"/>
      <c r="E345" s="649"/>
      <c r="F345" s="649"/>
      <c r="G345" s="649"/>
      <c r="H345" s="649"/>
      <c r="I345" s="649"/>
      <c r="J345" s="649"/>
      <c r="K345" s="649"/>
      <c r="L345" s="649"/>
      <c r="M345" s="649"/>
      <c r="N345" s="649"/>
      <c r="O345" s="650"/>
      <c r="P345" s="646" t="s">
        <v>40</v>
      </c>
      <c r="Q345" s="647"/>
      <c r="R345" s="647"/>
      <c r="S345" s="647"/>
      <c r="T345" s="647"/>
      <c r="U345" s="647"/>
      <c r="V345" s="648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649"/>
      <c r="B346" s="649"/>
      <c r="C346" s="649"/>
      <c r="D346" s="649"/>
      <c r="E346" s="649"/>
      <c r="F346" s="649"/>
      <c r="G346" s="649"/>
      <c r="H346" s="649"/>
      <c r="I346" s="649"/>
      <c r="J346" s="649"/>
      <c r="K346" s="649"/>
      <c r="L346" s="649"/>
      <c r="M346" s="649"/>
      <c r="N346" s="649"/>
      <c r="O346" s="650"/>
      <c r="P346" s="646" t="s">
        <v>40</v>
      </c>
      <c r="Q346" s="647"/>
      <c r="R346" s="647"/>
      <c r="S346" s="647"/>
      <c r="T346" s="647"/>
      <c r="U346" s="647"/>
      <c r="V346" s="648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customHeight="1" x14ac:dyDescent="0.25">
      <c r="A347" s="660" t="s">
        <v>86</v>
      </c>
      <c r="B347" s="660"/>
      <c r="C347" s="660"/>
      <c r="D347" s="660"/>
      <c r="E347" s="660"/>
      <c r="F347" s="660"/>
      <c r="G347" s="660"/>
      <c r="H347" s="660"/>
      <c r="I347" s="660"/>
      <c r="J347" s="660"/>
      <c r="K347" s="660"/>
      <c r="L347" s="660"/>
      <c r="M347" s="660"/>
      <c r="N347" s="660"/>
      <c r="O347" s="660"/>
      <c r="P347" s="660"/>
      <c r="Q347" s="660"/>
      <c r="R347" s="660"/>
      <c r="S347" s="660"/>
      <c r="T347" s="660"/>
      <c r="U347" s="660"/>
      <c r="V347" s="660"/>
      <c r="W347" s="660"/>
      <c r="X347" s="660"/>
      <c r="Y347" s="660"/>
      <c r="Z347" s="660"/>
      <c r="AA347" s="66"/>
      <c r="AB347" s="66"/>
      <c r="AC347" s="80"/>
    </row>
    <row r="348" spans="1:68" ht="27" customHeight="1" x14ac:dyDescent="0.25">
      <c r="A348" s="63" t="s">
        <v>583</v>
      </c>
      <c r="B348" s="63" t="s">
        <v>584</v>
      </c>
      <c r="C348" s="36">
        <v>4301051782</v>
      </c>
      <c r="D348" s="655">
        <v>4680115884618</v>
      </c>
      <c r="E348" s="65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7"/>
      <c r="R348" s="657"/>
      <c r="S348" s="657"/>
      <c r="T348" s="65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586</v>
      </c>
      <c r="B349" s="63" t="s">
        <v>587</v>
      </c>
      <c r="C349" s="36">
        <v>4301052057</v>
      </c>
      <c r="D349" s="655">
        <v>4680115887114</v>
      </c>
      <c r="E349" s="65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7"/>
      <c r="R349" s="657"/>
      <c r="S349" s="657"/>
      <c r="T349" s="65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x14ac:dyDescent="0.2">
      <c r="A351" s="649"/>
      <c r="B351" s="649"/>
      <c r="C351" s="649"/>
      <c r="D351" s="649"/>
      <c r="E351" s="649"/>
      <c r="F351" s="649"/>
      <c r="G351" s="649"/>
      <c r="H351" s="649"/>
      <c r="I351" s="649"/>
      <c r="J351" s="649"/>
      <c r="K351" s="649"/>
      <c r="L351" s="649"/>
      <c r="M351" s="649"/>
      <c r="N351" s="649"/>
      <c r="O351" s="650"/>
      <c r="P351" s="646" t="s">
        <v>40</v>
      </c>
      <c r="Q351" s="647"/>
      <c r="R351" s="647"/>
      <c r="S351" s="647"/>
      <c r="T351" s="647"/>
      <c r="U351" s="647"/>
      <c r="V351" s="648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customHeight="1" x14ac:dyDescent="0.25">
      <c r="A352" s="659" t="s">
        <v>589</v>
      </c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  <c r="AA352" s="65"/>
      <c r="AB352" s="65"/>
      <c r="AC352" s="79"/>
    </row>
    <row r="353" spans="1:68" ht="14.25" customHeight="1" x14ac:dyDescent="0.25">
      <c r="A353" s="660" t="s">
        <v>122</v>
      </c>
      <c r="B353" s="660"/>
      <c r="C353" s="660"/>
      <c r="D353" s="660"/>
      <c r="E353" s="660"/>
      <c r="F353" s="660"/>
      <c r="G353" s="660"/>
      <c r="H353" s="660"/>
      <c r="I353" s="660"/>
      <c r="J353" s="660"/>
      <c r="K353" s="660"/>
      <c r="L353" s="660"/>
      <c r="M353" s="660"/>
      <c r="N353" s="660"/>
      <c r="O353" s="660"/>
      <c r="P353" s="660"/>
      <c r="Q353" s="660"/>
      <c r="R353" s="660"/>
      <c r="S353" s="660"/>
      <c r="T353" s="660"/>
      <c r="U353" s="660"/>
      <c r="V353" s="660"/>
      <c r="W353" s="660"/>
      <c r="X353" s="660"/>
      <c r="Y353" s="660"/>
      <c r="Z353" s="660"/>
      <c r="AA353" s="66"/>
      <c r="AB353" s="66"/>
      <c r="AC353" s="80"/>
    </row>
    <row r="354" spans="1:68" ht="27" customHeight="1" x14ac:dyDescent="0.25">
      <c r="A354" s="63" t="s">
        <v>590</v>
      </c>
      <c r="B354" s="63" t="s">
        <v>591</v>
      </c>
      <c r="C354" s="36">
        <v>4301012324</v>
      </c>
      <c r="D354" s="655">
        <v>4680115887947</v>
      </c>
      <c r="E354" s="65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7"/>
      <c r="R354" s="657"/>
      <c r="S354" s="657"/>
      <c r="T354" s="65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655">
        <v>4680115887978</v>
      </c>
      <c r="E355" s="65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7"/>
      <c r="R355" s="657"/>
      <c r="S355" s="657"/>
      <c r="T355" s="65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655">
        <v>4680115887992</v>
      </c>
      <c r="E356" s="65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7"/>
      <c r="R356" s="657"/>
      <c r="S356" s="657"/>
      <c r="T356" s="65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x14ac:dyDescent="0.2">
      <c r="A357" s="649"/>
      <c r="B357" s="649"/>
      <c r="C357" s="649"/>
      <c r="D357" s="649"/>
      <c r="E357" s="649"/>
      <c r="F357" s="649"/>
      <c r="G357" s="649"/>
      <c r="H357" s="649"/>
      <c r="I357" s="649"/>
      <c r="J357" s="649"/>
      <c r="K357" s="649"/>
      <c r="L357" s="649"/>
      <c r="M357" s="649"/>
      <c r="N357" s="649"/>
      <c r="O357" s="650"/>
      <c r="P357" s="646" t="s">
        <v>40</v>
      </c>
      <c r="Q357" s="647"/>
      <c r="R357" s="647"/>
      <c r="S357" s="647"/>
      <c r="T357" s="647"/>
      <c r="U357" s="647"/>
      <c r="V357" s="648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customHeight="1" x14ac:dyDescent="0.25">
      <c r="A359" s="659" t="s">
        <v>598</v>
      </c>
      <c r="B359" s="659"/>
      <c r="C359" s="659"/>
      <c r="D359" s="659"/>
      <c r="E359" s="659"/>
      <c r="F359" s="659"/>
      <c r="G359" s="659"/>
      <c r="H359" s="659"/>
      <c r="I359" s="659"/>
      <c r="J359" s="659"/>
      <c r="K359" s="659"/>
      <c r="L359" s="659"/>
      <c r="M359" s="659"/>
      <c r="N359" s="659"/>
      <c r="O359" s="659"/>
      <c r="P359" s="659"/>
      <c r="Q359" s="659"/>
      <c r="R359" s="659"/>
      <c r="S359" s="659"/>
      <c r="T359" s="659"/>
      <c r="U359" s="659"/>
      <c r="V359" s="659"/>
      <c r="W359" s="659"/>
      <c r="X359" s="659"/>
      <c r="Y359" s="659"/>
      <c r="Z359" s="659"/>
      <c r="AA359" s="65"/>
      <c r="AB359" s="65"/>
      <c r="AC359" s="79"/>
    </row>
    <row r="360" spans="1:68" ht="14.25" customHeight="1" x14ac:dyDescent="0.25">
      <c r="A360" s="660" t="s">
        <v>122</v>
      </c>
      <c r="B360" s="660"/>
      <c r="C360" s="660"/>
      <c r="D360" s="660"/>
      <c r="E360" s="660"/>
      <c r="F360" s="660"/>
      <c r="G360" s="660"/>
      <c r="H360" s="660"/>
      <c r="I360" s="660"/>
      <c r="J360" s="660"/>
      <c r="K360" s="660"/>
      <c r="L360" s="660"/>
      <c r="M360" s="660"/>
      <c r="N360" s="660"/>
      <c r="O360" s="660"/>
      <c r="P360" s="660"/>
      <c r="Q360" s="660"/>
      <c r="R360" s="660"/>
      <c r="S360" s="660"/>
      <c r="T360" s="660"/>
      <c r="U360" s="660"/>
      <c r="V360" s="660"/>
      <c r="W360" s="660"/>
      <c r="X360" s="660"/>
      <c r="Y360" s="660"/>
      <c r="Z360" s="660"/>
      <c r="AA360" s="66"/>
      <c r="AB360" s="66"/>
      <c r="AC360" s="80"/>
    </row>
    <row r="361" spans="1:68" ht="27" customHeight="1" x14ac:dyDescent="0.25">
      <c r="A361" s="63" t="s">
        <v>599</v>
      </c>
      <c r="B361" s="63" t="s">
        <v>600</v>
      </c>
      <c r="C361" s="36">
        <v>4301012235</v>
      </c>
      <c r="D361" s="655">
        <v>4680115887190</v>
      </c>
      <c r="E361" s="65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7"/>
      <c r="R361" s="657"/>
      <c r="S361" s="657"/>
      <c r="T361" s="65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37.5" customHeight="1" x14ac:dyDescent="0.25">
      <c r="A362" s="63" t="s">
        <v>602</v>
      </c>
      <c r="B362" s="63" t="s">
        <v>603</v>
      </c>
      <c r="C362" s="36">
        <v>4301012233</v>
      </c>
      <c r="D362" s="655">
        <v>4680115887138</v>
      </c>
      <c r="E362" s="65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7"/>
      <c r="R362" s="657"/>
      <c r="S362" s="657"/>
      <c r="T362" s="658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605</v>
      </c>
      <c r="B363" s="63" t="s">
        <v>606</v>
      </c>
      <c r="C363" s="36">
        <v>4301012016</v>
      </c>
      <c r="D363" s="655">
        <v>4680115885554</v>
      </c>
      <c r="E363" s="65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7"/>
      <c r="R363" s="657"/>
      <c r="S363" s="657"/>
      <c r="T363" s="658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608</v>
      </c>
      <c r="B364" s="63" t="s">
        <v>609</v>
      </c>
      <c r="C364" s="36">
        <v>4301012236</v>
      </c>
      <c r="D364" s="655">
        <v>4680115887220</v>
      </c>
      <c r="E364" s="655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5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7"/>
      <c r="R364" s="657"/>
      <c r="S364" s="657"/>
      <c r="T364" s="658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601</v>
      </c>
      <c r="AG364" s="78"/>
      <c r="AJ364" s="84" t="s">
        <v>46</v>
      </c>
      <c r="AK364" s="84">
        <v>0</v>
      </c>
      <c r="BB364" s="461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610</v>
      </c>
      <c r="B365" s="63" t="s">
        <v>611</v>
      </c>
      <c r="C365" s="36">
        <v>4301011859</v>
      </c>
      <c r="D365" s="655">
        <v>4680115885608</v>
      </c>
      <c r="E365" s="65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7"/>
      <c r="R365" s="657"/>
      <c r="S365" s="657"/>
      <c r="T365" s="658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612</v>
      </c>
      <c r="AG365" s="78"/>
      <c r="AJ365" s="84" t="s">
        <v>46</v>
      </c>
      <c r="AK365" s="84">
        <v>0</v>
      </c>
      <c r="BB365" s="463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39</v>
      </c>
      <c r="X366" s="43">
        <f>IFERROR(X361/H361,"0")+IFERROR(X362/H362,"0")+IFERROR(X363/H363,"0")+IFERROR(X364/H364,"0")+IFERROR(X365/H365,"0")</f>
        <v>0</v>
      </c>
      <c r="Y366" s="43">
        <f>IFERROR(Y361/H361,"0")+IFERROR(Y362/H362,"0")+IFERROR(Y363/H363,"0")+IFERROR(Y364/H364,"0")+IFERROR(Y365/H365,"0")</f>
        <v>0</v>
      </c>
      <c r="Z366" s="43">
        <f>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x14ac:dyDescent="0.2">
      <c r="A367" s="649"/>
      <c r="B367" s="649"/>
      <c r="C367" s="649"/>
      <c r="D367" s="649"/>
      <c r="E367" s="649"/>
      <c r="F367" s="649"/>
      <c r="G367" s="649"/>
      <c r="H367" s="649"/>
      <c r="I367" s="649"/>
      <c r="J367" s="649"/>
      <c r="K367" s="649"/>
      <c r="L367" s="649"/>
      <c r="M367" s="649"/>
      <c r="N367" s="649"/>
      <c r="O367" s="650"/>
      <c r="P367" s="646" t="s">
        <v>40</v>
      </c>
      <c r="Q367" s="647"/>
      <c r="R367" s="647"/>
      <c r="S367" s="647"/>
      <c r="T367" s="647"/>
      <c r="U367" s="647"/>
      <c r="V367" s="648"/>
      <c r="W367" s="42" t="s">
        <v>0</v>
      </c>
      <c r="X367" s="43">
        <f>IFERROR(SUM(X361:X365),"0")</f>
        <v>0</v>
      </c>
      <c r="Y367" s="43">
        <f>IFERROR(SUM(Y361:Y365),"0")</f>
        <v>0</v>
      </c>
      <c r="Z367" s="42"/>
      <c r="AA367" s="67"/>
      <c r="AB367" s="67"/>
      <c r="AC367" s="67"/>
    </row>
    <row r="368" spans="1:68" ht="14.25" customHeight="1" x14ac:dyDescent="0.25">
      <c r="A368" s="660" t="s">
        <v>77</v>
      </c>
      <c r="B368" s="660"/>
      <c r="C368" s="660"/>
      <c r="D368" s="660"/>
      <c r="E368" s="660"/>
      <c r="F368" s="660"/>
      <c r="G368" s="660"/>
      <c r="H368" s="660"/>
      <c r="I368" s="660"/>
      <c r="J368" s="660"/>
      <c r="K368" s="660"/>
      <c r="L368" s="660"/>
      <c r="M368" s="660"/>
      <c r="N368" s="660"/>
      <c r="O368" s="660"/>
      <c r="P368" s="660"/>
      <c r="Q368" s="660"/>
      <c r="R368" s="660"/>
      <c r="S368" s="660"/>
      <c r="T368" s="660"/>
      <c r="U368" s="660"/>
      <c r="V368" s="660"/>
      <c r="W368" s="660"/>
      <c r="X368" s="660"/>
      <c r="Y368" s="660"/>
      <c r="Z368" s="660"/>
      <c r="AA368" s="66"/>
      <c r="AB368" s="66"/>
      <c r="AC368" s="80"/>
    </row>
    <row r="369" spans="1:68" ht="27" customHeight="1" x14ac:dyDescent="0.25">
      <c r="A369" s="63" t="s">
        <v>613</v>
      </c>
      <c r="B369" s="63" t="s">
        <v>614</v>
      </c>
      <c r="C369" s="36">
        <v>4301030878</v>
      </c>
      <c r="D369" s="655">
        <v>4607091387193</v>
      </c>
      <c r="E369" s="655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7"/>
      <c r="R369" s="657"/>
      <c r="S369" s="657"/>
      <c r="T369" s="65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48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615</v>
      </c>
      <c r="AG369" s="78"/>
      <c r="AJ369" s="84" t="s">
        <v>46</v>
      </c>
      <c r="AK369" s="84">
        <v>0</v>
      </c>
      <c r="BB369" s="465" t="s">
        <v>67</v>
      </c>
      <c r="BM369" s="78">
        <f t="shared" ref="BM369:BM375" si="49">IFERROR(X369*I369/H369,"0")</f>
        <v>0</v>
      </c>
      <c r="BN369" s="78">
        <f t="shared" ref="BN369:BN375" si="50">IFERROR(Y369*I369/H369,"0")</f>
        <v>0</v>
      </c>
      <c r="BO369" s="78">
        <f t="shared" ref="BO369:BO375" si="51">IFERROR(1/J369*(X369/H369),"0")</f>
        <v>0</v>
      </c>
      <c r="BP369" s="78">
        <f t="shared" ref="BP369:BP375" si="52">IFERROR(1/J369*(Y369/H369),"0")</f>
        <v>0</v>
      </c>
    </row>
    <row r="370" spans="1:68" ht="27" customHeight="1" x14ac:dyDescent="0.25">
      <c r="A370" s="63" t="s">
        <v>616</v>
      </c>
      <c r="B370" s="63" t="s">
        <v>617</v>
      </c>
      <c r="C370" s="36">
        <v>4301031153</v>
      </c>
      <c r="D370" s="655">
        <v>4607091387230</v>
      </c>
      <c r="E370" s="65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7"/>
      <c r="R370" s="657"/>
      <c r="S370" s="657"/>
      <c r="T370" s="65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4301031154</v>
      </c>
      <c r="D371" s="655">
        <v>4607091387292</v>
      </c>
      <c r="E371" s="655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7"/>
      <c r="R371" s="657"/>
      <c r="S371" s="657"/>
      <c r="T371" s="65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27" customHeight="1" x14ac:dyDescent="0.25">
      <c r="A372" s="63" t="s">
        <v>622</v>
      </c>
      <c r="B372" s="63" t="s">
        <v>623</v>
      </c>
      <c r="C372" s="36">
        <v>4301031152</v>
      </c>
      <c r="D372" s="655">
        <v>4607091387285</v>
      </c>
      <c r="E372" s="655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7"/>
      <c r="R372" s="657"/>
      <c r="S372" s="657"/>
      <c r="T372" s="65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618</v>
      </c>
      <c r="AG372" s="78"/>
      <c r="AJ372" s="84" t="s">
        <v>46</v>
      </c>
      <c r="AK372" s="84">
        <v>0</v>
      </c>
      <c r="BB372" s="471" t="s">
        <v>67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4301031305</v>
      </c>
      <c r="D373" s="655">
        <v>4607091389845</v>
      </c>
      <c r="E373" s="655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7"/>
      <c r="R373" s="657"/>
      <c r="S373" s="657"/>
      <c r="T373" s="65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8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626</v>
      </c>
      <c r="AG373" s="78"/>
      <c r="AJ373" s="84" t="s">
        <v>46</v>
      </c>
      <c r="AK373" s="84">
        <v>0</v>
      </c>
      <c r="BB373" s="473" t="s">
        <v>67</v>
      </c>
      <c r="BM373" s="78">
        <f t="shared" si="49"/>
        <v>0</v>
      </c>
      <c r="BN373" s="78">
        <f t="shared" si="50"/>
        <v>0</v>
      </c>
      <c r="BO373" s="78">
        <f t="shared" si="51"/>
        <v>0</v>
      </c>
      <c r="BP373" s="78">
        <f t="shared" si="52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4301031460</v>
      </c>
      <c r="D374" s="655">
        <v>4680115887442</v>
      </c>
      <c r="E374" s="655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4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7"/>
      <c r="R374" s="657"/>
      <c r="S374" s="657"/>
      <c r="T374" s="65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8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621</v>
      </c>
      <c r="AG374" s="78"/>
      <c r="AJ374" s="84" t="s">
        <v>46</v>
      </c>
      <c r="AK374" s="84">
        <v>0</v>
      </c>
      <c r="BB374" s="475" t="s">
        <v>67</v>
      </c>
      <c r="BM374" s="78">
        <f t="shared" si="49"/>
        <v>0</v>
      </c>
      <c r="BN374" s="78">
        <f t="shared" si="50"/>
        <v>0</v>
      </c>
      <c r="BO374" s="78">
        <f t="shared" si="51"/>
        <v>0</v>
      </c>
      <c r="BP374" s="78">
        <f t="shared" si="52"/>
        <v>0</v>
      </c>
    </row>
    <row r="375" spans="1:68" ht="27" customHeight="1" x14ac:dyDescent="0.25">
      <c r="A375" s="63" t="s">
        <v>629</v>
      </c>
      <c r="B375" s="63" t="s">
        <v>630</v>
      </c>
      <c r="C375" s="36">
        <v>4301031066</v>
      </c>
      <c r="D375" s="655">
        <v>4607091383836</v>
      </c>
      <c r="E375" s="655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7"/>
      <c r="R375" s="657"/>
      <c r="S375" s="657"/>
      <c r="T375" s="65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8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6" t="s">
        <v>631</v>
      </c>
      <c r="AG375" s="78"/>
      <c r="AJ375" s="84" t="s">
        <v>46</v>
      </c>
      <c r="AK375" s="84">
        <v>0</v>
      </c>
      <c r="BB375" s="477" t="s">
        <v>67</v>
      </c>
      <c r="BM375" s="78">
        <f t="shared" si="49"/>
        <v>0</v>
      </c>
      <c r="BN375" s="78">
        <f t="shared" si="50"/>
        <v>0</v>
      </c>
      <c r="BO375" s="78">
        <f t="shared" si="51"/>
        <v>0</v>
      </c>
      <c r="BP375" s="78">
        <f t="shared" si="52"/>
        <v>0</v>
      </c>
    </row>
    <row r="376" spans="1:68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customHeight="1" x14ac:dyDescent="0.25">
      <c r="A378" s="660" t="s">
        <v>86</v>
      </c>
      <c r="B378" s="660"/>
      <c r="C378" s="660"/>
      <c r="D378" s="660"/>
      <c r="E378" s="660"/>
      <c r="F378" s="660"/>
      <c r="G378" s="660"/>
      <c r="H378" s="660"/>
      <c r="I378" s="660"/>
      <c r="J378" s="660"/>
      <c r="K378" s="660"/>
      <c r="L378" s="660"/>
      <c r="M378" s="660"/>
      <c r="N378" s="660"/>
      <c r="O378" s="660"/>
      <c r="P378" s="660"/>
      <c r="Q378" s="660"/>
      <c r="R378" s="660"/>
      <c r="S378" s="660"/>
      <c r="T378" s="660"/>
      <c r="U378" s="660"/>
      <c r="V378" s="660"/>
      <c r="W378" s="660"/>
      <c r="X378" s="660"/>
      <c r="Y378" s="660"/>
      <c r="Z378" s="660"/>
      <c r="AA378" s="66"/>
      <c r="AB378" s="66"/>
      <c r="AC378" s="80"/>
    </row>
    <row r="379" spans="1:68" ht="27" customHeight="1" x14ac:dyDescent="0.25">
      <c r="A379" s="63" t="s">
        <v>632</v>
      </c>
      <c r="B379" s="63" t="s">
        <v>633</v>
      </c>
      <c r="C379" s="36">
        <v>4301051100</v>
      </c>
      <c r="D379" s="655">
        <v>4607091387766</v>
      </c>
      <c r="E379" s="655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3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7"/>
      <c r="R379" s="657"/>
      <c r="S379" s="657"/>
      <c r="T379" s="658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634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635</v>
      </c>
      <c r="B380" s="63" t="s">
        <v>636</v>
      </c>
      <c r="C380" s="36">
        <v>4301051818</v>
      </c>
      <c r="D380" s="655">
        <v>4607091387957</v>
      </c>
      <c r="E380" s="655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7"/>
      <c r="R380" s="657"/>
      <c r="S380" s="657"/>
      <c r="T380" s="65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638</v>
      </c>
      <c r="B381" s="63" t="s">
        <v>639</v>
      </c>
      <c r="C381" s="36">
        <v>4301051819</v>
      </c>
      <c r="D381" s="655">
        <v>4607091387964</v>
      </c>
      <c r="E381" s="655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7"/>
      <c r="R381" s="657"/>
      <c r="S381" s="657"/>
      <c r="T381" s="65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641</v>
      </c>
      <c r="B382" s="63" t="s">
        <v>642</v>
      </c>
      <c r="C382" s="36">
        <v>4301051734</v>
      </c>
      <c r="D382" s="655">
        <v>4680115884588</v>
      </c>
      <c r="E382" s="655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7"/>
      <c r="R382" s="657"/>
      <c r="S382" s="657"/>
      <c r="T382" s="65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84" t="s">
        <v>634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649"/>
      <c r="B383" s="649"/>
      <c r="C383" s="649"/>
      <c r="D383" s="649"/>
      <c r="E383" s="649"/>
      <c r="F383" s="649"/>
      <c r="G383" s="649"/>
      <c r="H383" s="649"/>
      <c r="I383" s="649"/>
      <c r="J383" s="649"/>
      <c r="K383" s="649"/>
      <c r="L383" s="649"/>
      <c r="M383" s="649"/>
      <c r="N383" s="649"/>
      <c r="O383" s="650"/>
      <c r="P383" s="646" t="s">
        <v>40</v>
      </c>
      <c r="Q383" s="647"/>
      <c r="R383" s="647"/>
      <c r="S383" s="647"/>
      <c r="T383" s="647"/>
      <c r="U383" s="647"/>
      <c r="V383" s="648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x14ac:dyDescent="0.2">
      <c r="A384" s="649"/>
      <c r="B384" s="649"/>
      <c r="C384" s="649"/>
      <c r="D384" s="649"/>
      <c r="E384" s="649"/>
      <c r="F384" s="649"/>
      <c r="G384" s="649"/>
      <c r="H384" s="649"/>
      <c r="I384" s="649"/>
      <c r="J384" s="649"/>
      <c r="K384" s="649"/>
      <c r="L384" s="649"/>
      <c r="M384" s="649"/>
      <c r="N384" s="649"/>
      <c r="O384" s="650"/>
      <c r="P384" s="646" t="s">
        <v>40</v>
      </c>
      <c r="Q384" s="647"/>
      <c r="R384" s="647"/>
      <c r="S384" s="647"/>
      <c r="T384" s="647"/>
      <c r="U384" s="647"/>
      <c r="V384" s="648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customHeight="1" x14ac:dyDescent="0.25">
      <c r="A385" s="660" t="s">
        <v>175</v>
      </c>
      <c r="B385" s="660"/>
      <c r="C385" s="660"/>
      <c r="D385" s="660"/>
      <c r="E385" s="660"/>
      <c r="F385" s="660"/>
      <c r="G385" s="660"/>
      <c r="H385" s="660"/>
      <c r="I385" s="660"/>
      <c r="J385" s="660"/>
      <c r="K385" s="660"/>
      <c r="L385" s="660"/>
      <c r="M385" s="660"/>
      <c r="N385" s="660"/>
      <c r="O385" s="660"/>
      <c r="P385" s="660"/>
      <c r="Q385" s="660"/>
      <c r="R385" s="660"/>
      <c r="S385" s="660"/>
      <c r="T385" s="660"/>
      <c r="U385" s="660"/>
      <c r="V385" s="660"/>
      <c r="W385" s="660"/>
      <c r="X385" s="660"/>
      <c r="Y385" s="660"/>
      <c r="Z385" s="660"/>
      <c r="AA385" s="66"/>
      <c r="AB385" s="66"/>
      <c r="AC385" s="80"/>
    </row>
    <row r="386" spans="1:68" ht="27" customHeight="1" x14ac:dyDescent="0.25">
      <c r="A386" s="63" t="s">
        <v>643</v>
      </c>
      <c r="B386" s="63" t="s">
        <v>644</v>
      </c>
      <c r="C386" s="36">
        <v>4301060387</v>
      </c>
      <c r="D386" s="655">
        <v>4607091380880</v>
      </c>
      <c r="E386" s="655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7"/>
      <c r="R386" s="657"/>
      <c r="S386" s="657"/>
      <c r="T386" s="65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645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646</v>
      </c>
      <c r="B387" s="63" t="s">
        <v>647</v>
      </c>
      <c r="C387" s="36">
        <v>4301060406</v>
      </c>
      <c r="D387" s="655">
        <v>4607091384482</v>
      </c>
      <c r="E387" s="655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7"/>
      <c r="R387" s="657"/>
      <c r="S387" s="657"/>
      <c r="T387" s="65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4301060484</v>
      </c>
      <c r="D388" s="655">
        <v>4607091380897</v>
      </c>
      <c r="E388" s="655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7"/>
      <c r="R388" s="657"/>
      <c r="S388" s="657"/>
      <c r="T388" s="65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49"/>
      <c r="B389" s="649"/>
      <c r="C389" s="649"/>
      <c r="D389" s="649"/>
      <c r="E389" s="649"/>
      <c r="F389" s="649"/>
      <c r="G389" s="649"/>
      <c r="H389" s="649"/>
      <c r="I389" s="649"/>
      <c r="J389" s="649"/>
      <c r="K389" s="649"/>
      <c r="L389" s="649"/>
      <c r="M389" s="649"/>
      <c r="N389" s="649"/>
      <c r="O389" s="650"/>
      <c r="P389" s="646" t="s">
        <v>40</v>
      </c>
      <c r="Q389" s="647"/>
      <c r="R389" s="647"/>
      <c r="S389" s="647"/>
      <c r="T389" s="647"/>
      <c r="U389" s="647"/>
      <c r="V389" s="648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649"/>
      <c r="B390" s="649"/>
      <c r="C390" s="649"/>
      <c r="D390" s="649"/>
      <c r="E390" s="649"/>
      <c r="F390" s="649"/>
      <c r="G390" s="649"/>
      <c r="H390" s="649"/>
      <c r="I390" s="649"/>
      <c r="J390" s="649"/>
      <c r="K390" s="649"/>
      <c r="L390" s="649"/>
      <c r="M390" s="649"/>
      <c r="N390" s="649"/>
      <c r="O390" s="650"/>
      <c r="P390" s="646" t="s">
        <v>40</v>
      </c>
      <c r="Q390" s="647"/>
      <c r="R390" s="647"/>
      <c r="S390" s="647"/>
      <c r="T390" s="647"/>
      <c r="U390" s="647"/>
      <c r="V390" s="648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customHeight="1" x14ac:dyDescent="0.25">
      <c r="A391" s="660" t="s">
        <v>283</v>
      </c>
      <c r="B391" s="660"/>
      <c r="C391" s="660"/>
      <c r="D391" s="660"/>
      <c r="E391" s="660"/>
      <c r="F391" s="660"/>
      <c r="G391" s="660"/>
      <c r="H391" s="660"/>
      <c r="I391" s="660"/>
      <c r="J391" s="660"/>
      <c r="K391" s="660"/>
      <c r="L391" s="660"/>
      <c r="M391" s="660"/>
      <c r="N391" s="660"/>
      <c r="O391" s="660"/>
      <c r="P391" s="660"/>
      <c r="Q391" s="660"/>
      <c r="R391" s="660"/>
      <c r="S391" s="660"/>
      <c r="T391" s="660"/>
      <c r="U391" s="660"/>
      <c r="V391" s="660"/>
      <c r="W391" s="660"/>
      <c r="X391" s="660"/>
      <c r="Y391" s="660"/>
      <c r="Z391" s="660"/>
      <c r="AA391" s="66"/>
      <c r="AB391" s="66"/>
      <c r="AC391" s="80"/>
    </row>
    <row r="392" spans="1:68" ht="27" customHeight="1" x14ac:dyDescent="0.25">
      <c r="A392" s="63" t="s">
        <v>652</v>
      </c>
      <c r="B392" s="63" t="s">
        <v>653</v>
      </c>
      <c r="C392" s="36">
        <v>4301030235</v>
      </c>
      <c r="D392" s="655">
        <v>4607091388381</v>
      </c>
      <c r="E392" s="655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251</v>
      </c>
      <c r="N392" s="38"/>
      <c r="O392" s="37">
        <v>180</v>
      </c>
      <c r="P39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7"/>
      <c r="R392" s="657"/>
      <c r="S392" s="657"/>
      <c r="T392" s="65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654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655</v>
      </c>
      <c r="B393" s="63" t="s">
        <v>656</v>
      </c>
      <c r="C393" s="36">
        <v>4301030232</v>
      </c>
      <c r="D393" s="655">
        <v>4607091388374</v>
      </c>
      <c r="E393" s="655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7"/>
      <c r="R393" s="657"/>
      <c r="S393" s="657"/>
      <c r="T393" s="65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654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657</v>
      </c>
      <c r="B394" s="63" t="s">
        <v>658</v>
      </c>
      <c r="C394" s="36">
        <v>4301032015</v>
      </c>
      <c r="D394" s="655">
        <v>4607091383102</v>
      </c>
      <c r="E394" s="655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251</v>
      </c>
      <c r="N394" s="38"/>
      <c r="O394" s="37">
        <v>180</v>
      </c>
      <c r="P394" s="7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7"/>
      <c r="R394" s="657"/>
      <c r="S394" s="657"/>
      <c r="T394" s="65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654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659</v>
      </c>
      <c r="B395" s="63" t="s">
        <v>660</v>
      </c>
      <c r="C395" s="36">
        <v>4301030233</v>
      </c>
      <c r="D395" s="655">
        <v>4607091388404</v>
      </c>
      <c r="E395" s="655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7"/>
      <c r="R395" s="657"/>
      <c r="S395" s="657"/>
      <c r="T395" s="65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654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">
      <c r="A396" s="649"/>
      <c r="B396" s="649"/>
      <c r="C396" s="649"/>
      <c r="D396" s="649"/>
      <c r="E396" s="649"/>
      <c r="F396" s="649"/>
      <c r="G396" s="649"/>
      <c r="H396" s="649"/>
      <c r="I396" s="649"/>
      <c r="J396" s="649"/>
      <c r="K396" s="649"/>
      <c r="L396" s="649"/>
      <c r="M396" s="649"/>
      <c r="N396" s="649"/>
      <c r="O396" s="650"/>
      <c r="P396" s="646" t="s">
        <v>40</v>
      </c>
      <c r="Q396" s="647"/>
      <c r="R396" s="647"/>
      <c r="S396" s="647"/>
      <c r="T396" s="647"/>
      <c r="U396" s="647"/>
      <c r="V396" s="648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x14ac:dyDescent="0.2">
      <c r="A397" s="649"/>
      <c r="B397" s="649"/>
      <c r="C397" s="649"/>
      <c r="D397" s="649"/>
      <c r="E397" s="649"/>
      <c r="F397" s="649"/>
      <c r="G397" s="649"/>
      <c r="H397" s="649"/>
      <c r="I397" s="649"/>
      <c r="J397" s="649"/>
      <c r="K397" s="649"/>
      <c r="L397" s="649"/>
      <c r="M397" s="649"/>
      <c r="N397" s="649"/>
      <c r="O397" s="650"/>
      <c r="P397" s="646" t="s">
        <v>40</v>
      </c>
      <c r="Q397" s="647"/>
      <c r="R397" s="647"/>
      <c r="S397" s="647"/>
      <c r="T397" s="647"/>
      <c r="U397" s="647"/>
      <c r="V397" s="648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customHeight="1" x14ac:dyDescent="0.25">
      <c r="A398" s="660" t="s">
        <v>661</v>
      </c>
      <c r="B398" s="660"/>
      <c r="C398" s="660"/>
      <c r="D398" s="660"/>
      <c r="E398" s="660"/>
      <c r="F398" s="660"/>
      <c r="G398" s="660"/>
      <c r="H398" s="660"/>
      <c r="I398" s="660"/>
      <c r="J398" s="660"/>
      <c r="K398" s="660"/>
      <c r="L398" s="660"/>
      <c r="M398" s="660"/>
      <c r="N398" s="660"/>
      <c r="O398" s="660"/>
      <c r="P398" s="660"/>
      <c r="Q398" s="660"/>
      <c r="R398" s="660"/>
      <c r="S398" s="660"/>
      <c r="T398" s="660"/>
      <c r="U398" s="660"/>
      <c r="V398" s="660"/>
      <c r="W398" s="660"/>
      <c r="X398" s="660"/>
      <c r="Y398" s="660"/>
      <c r="Z398" s="660"/>
      <c r="AA398" s="66"/>
      <c r="AB398" s="66"/>
      <c r="AC398" s="80"/>
    </row>
    <row r="399" spans="1:68" ht="16.5" customHeight="1" x14ac:dyDescent="0.25">
      <c r="A399" s="63" t="s">
        <v>662</v>
      </c>
      <c r="B399" s="63" t="s">
        <v>663</v>
      </c>
      <c r="C399" s="36">
        <v>4301180007</v>
      </c>
      <c r="D399" s="655">
        <v>4680115881808</v>
      </c>
      <c r="E399" s="655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665</v>
      </c>
      <c r="N399" s="38"/>
      <c r="O399" s="37">
        <v>731</v>
      </c>
      <c r="P39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7"/>
      <c r="R399" s="657"/>
      <c r="S399" s="657"/>
      <c r="T399" s="65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664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666</v>
      </c>
      <c r="B400" s="63" t="s">
        <v>667</v>
      </c>
      <c r="C400" s="36">
        <v>4301180006</v>
      </c>
      <c r="D400" s="655">
        <v>4680115881822</v>
      </c>
      <c r="E400" s="65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665</v>
      </c>
      <c r="N400" s="38"/>
      <c r="O400" s="37">
        <v>731</v>
      </c>
      <c r="P40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7"/>
      <c r="R400" s="657"/>
      <c r="S400" s="657"/>
      <c r="T400" s="65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664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668</v>
      </c>
      <c r="B401" s="63" t="s">
        <v>669</v>
      </c>
      <c r="C401" s="36">
        <v>4301180001</v>
      </c>
      <c r="D401" s="655">
        <v>4680115880016</v>
      </c>
      <c r="E401" s="65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665</v>
      </c>
      <c r="N401" s="38"/>
      <c r="O401" s="37">
        <v>731</v>
      </c>
      <c r="P401" s="7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7"/>
      <c r="R401" s="657"/>
      <c r="S401" s="657"/>
      <c r="T401" s="65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664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649"/>
      <c r="B402" s="649"/>
      <c r="C402" s="649"/>
      <c r="D402" s="649"/>
      <c r="E402" s="649"/>
      <c r="F402" s="649"/>
      <c r="G402" s="649"/>
      <c r="H402" s="649"/>
      <c r="I402" s="649"/>
      <c r="J402" s="649"/>
      <c r="K402" s="649"/>
      <c r="L402" s="649"/>
      <c r="M402" s="649"/>
      <c r="N402" s="649"/>
      <c r="O402" s="650"/>
      <c r="P402" s="646" t="s">
        <v>40</v>
      </c>
      <c r="Q402" s="647"/>
      <c r="R402" s="647"/>
      <c r="S402" s="647"/>
      <c r="T402" s="647"/>
      <c r="U402" s="647"/>
      <c r="V402" s="648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649"/>
      <c r="B403" s="649"/>
      <c r="C403" s="649"/>
      <c r="D403" s="649"/>
      <c r="E403" s="649"/>
      <c r="F403" s="649"/>
      <c r="G403" s="649"/>
      <c r="H403" s="649"/>
      <c r="I403" s="649"/>
      <c r="J403" s="649"/>
      <c r="K403" s="649"/>
      <c r="L403" s="649"/>
      <c r="M403" s="649"/>
      <c r="N403" s="649"/>
      <c r="O403" s="650"/>
      <c r="P403" s="646" t="s">
        <v>40</v>
      </c>
      <c r="Q403" s="647"/>
      <c r="R403" s="647"/>
      <c r="S403" s="647"/>
      <c r="T403" s="647"/>
      <c r="U403" s="647"/>
      <c r="V403" s="648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customHeight="1" x14ac:dyDescent="0.25">
      <c r="A404" s="660" t="s">
        <v>670</v>
      </c>
      <c r="B404" s="660"/>
      <c r="C404" s="660"/>
      <c r="D404" s="660"/>
      <c r="E404" s="660"/>
      <c r="F404" s="660"/>
      <c r="G404" s="660"/>
      <c r="H404" s="660"/>
      <c r="I404" s="660"/>
      <c r="J404" s="660"/>
      <c r="K404" s="660"/>
      <c r="L404" s="660"/>
      <c r="M404" s="660"/>
      <c r="N404" s="660"/>
      <c r="O404" s="660"/>
      <c r="P404" s="660"/>
      <c r="Q404" s="660"/>
      <c r="R404" s="660"/>
      <c r="S404" s="660"/>
      <c r="T404" s="660"/>
      <c r="U404" s="660"/>
      <c r="V404" s="660"/>
      <c r="W404" s="660"/>
      <c r="X404" s="660"/>
      <c r="Y404" s="660"/>
      <c r="Z404" s="660"/>
      <c r="AA404" s="66"/>
      <c r="AB404" s="66"/>
      <c r="AC404" s="80"/>
    </row>
    <row r="405" spans="1:68" ht="27" customHeight="1" x14ac:dyDescent="0.25">
      <c r="A405" s="63" t="s">
        <v>671</v>
      </c>
      <c r="B405" s="63" t="s">
        <v>672</v>
      </c>
      <c r="C405" s="36">
        <v>4301220003</v>
      </c>
      <c r="D405" s="655">
        <v>4680115888678</v>
      </c>
      <c r="E405" s="655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665</v>
      </c>
      <c r="N405" s="38"/>
      <c r="O405" s="37">
        <v>1096</v>
      </c>
      <c r="P405" s="7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7"/>
      <c r="R405" s="657"/>
      <c r="S405" s="657"/>
      <c r="T405" s="65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06" t="s">
        <v>673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674</v>
      </c>
      <c r="B406" s="63" t="s">
        <v>675</v>
      </c>
      <c r="C406" s="36">
        <v>4301220001</v>
      </c>
      <c r="D406" s="655">
        <v>4680115888654</v>
      </c>
      <c r="E406" s="655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665</v>
      </c>
      <c r="N406" s="38"/>
      <c r="O406" s="37">
        <v>1096</v>
      </c>
      <c r="P406" s="7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7"/>
      <c r="R406" s="657"/>
      <c r="S406" s="657"/>
      <c r="T406" s="65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677</v>
      </c>
      <c r="B407" s="63" t="s">
        <v>678</v>
      </c>
      <c r="C407" s="36">
        <v>4301220002</v>
      </c>
      <c r="D407" s="655">
        <v>4680115888753</v>
      </c>
      <c r="E407" s="655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665</v>
      </c>
      <c r="N407" s="38"/>
      <c r="O407" s="37">
        <v>1096</v>
      </c>
      <c r="P40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7"/>
      <c r="R407" s="657"/>
      <c r="S407" s="657"/>
      <c r="T407" s="65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0" t="s">
        <v>673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649"/>
      <c r="B408" s="649"/>
      <c r="C408" s="649"/>
      <c r="D408" s="649"/>
      <c r="E408" s="649"/>
      <c r="F408" s="649"/>
      <c r="G408" s="649"/>
      <c r="H408" s="649"/>
      <c r="I408" s="649"/>
      <c r="J408" s="649"/>
      <c r="K408" s="649"/>
      <c r="L408" s="649"/>
      <c r="M408" s="649"/>
      <c r="N408" s="649"/>
      <c r="O408" s="650"/>
      <c r="P408" s="646" t="s">
        <v>40</v>
      </c>
      <c r="Q408" s="647"/>
      <c r="R408" s="647"/>
      <c r="S408" s="647"/>
      <c r="T408" s="647"/>
      <c r="U408" s="647"/>
      <c r="V408" s="648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x14ac:dyDescent="0.2">
      <c r="A409" s="649"/>
      <c r="B409" s="649"/>
      <c r="C409" s="649"/>
      <c r="D409" s="649"/>
      <c r="E409" s="649"/>
      <c r="F409" s="649"/>
      <c r="G409" s="649"/>
      <c r="H409" s="649"/>
      <c r="I409" s="649"/>
      <c r="J409" s="649"/>
      <c r="K409" s="649"/>
      <c r="L409" s="649"/>
      <c r="M409" s="649"/>
      <c r="N409" s="649"/>
      <c r="O409" s="650"/>
      <c r="P409" s="646" t="s">
        <v>40</v>
      </c>
      <c r="Q409" s="647"/>
      <c r="R409" s="647"/>
      <c r="S409" s="647"/>
      <c r="T409" s="647"/>
      <c r="U409" s="647"/>
      <c r="V409" s="648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customHeight="1" x14ac:dyDescent="0.25">
      <c r="A410" s="659" t="s">
        <v>679</v>
      </c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59"/>
      <c r="P410" s="659"/>
      <c r="Q410" s="659"/>
      <c r="R410" s="659"/>
      <c r="S410" s="659"/>
      <c r="T410" s="659"/>
      <c r="U410" s="659"/>
      <c r="V410" s="659"/>
      <c r="W410" s="659"/>
      <c r="X410" s="659"/>
      <c r="Y410" s="659"/>
      <c r="Z410" s="659"/>
      <c r="AA410" s="65"/>
      <c r="AB410" s="65"/>
      <c r="AC410" s="79"/>
    </row>
    <row r="411" spans="1:68" ht="14.25" customHeight="1" x14ac:dyDescent="0.25">
      <c r="A411" s="660" t="s">
        <v>86</v>
      </c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0"/>
      <c r="P411" s="660"/>
      <c r="Q411" s="660"/>
      <c r="R411" s="660"/>
      <c r="S411" s="660"/>
      <c r="T411" s="660"/>
      <c r="U411" s="660"/>
      <c r="V411" s="660"/>
      <c r="W411" s="660"/>
      <c r="X411" s="660"/>
      <c r="Y411" s="660"/>
      <c r="Z411" s="660"/>
      <c r="AA411" s="66"/>
      <c r="AB411" s="66"/>
      <c r="AC411" s="80"/>
    </row>
    <row r="412" spans="1:68" ht="16.5" customHeight="1" x14ac:dyDescent="0.25">
      <c r="A412" s="63" t="s">
        <v>680</v>
      </c>
      <c r="B412" s="63" t="s">
        <v>681</v>
      </c>
      <c r="C412" s="36">
        <v>4301052235</v>
      </c>
      <c r="D412" s="655">
        <v>4680115889415</v>
      </c>
      <c r="E412" s="655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26" t="s">
        <v>682</v>
      </c>
      <c r="Q412" s="657"/>
      <c r="R412" s="657"/>
      <c r="S412" s="657"/>
      <c r="T412" s="65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684</v>
      </c>
      <c r="AC412" s="512" t="s">
        <v>683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customHeight="1" x14ac:dyDescent="0.25">
      <c r="A413" s="63" t="s">
        <v>685</v>
      </c>
      <c r="B413" s="63" t="s">
        <v>686</v>
      </c>
      <c r="C413" s="36">
        <v>4301052236</v>
      </c>
      <c r="D413" s="655">
        <v>4680115889422</v>
      </c>
      <c r="E413" s="65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3" t="s">
        <v>687</v>
      </c>
      <c r="Q413" s="657"/>
      <c r="R413" s="657"/>
      <c r="S413" s="657"/>
      <c r="T413" s="65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684</v>
      </c>
      <c r="AC413" s="514" t="s">
        <v>688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x14ac:dyDescent="0.2">
      <c r="A414" s="649"/>
      <c r="B414" s="649"/>
      <c r="C414" s="649"/>
      <c r="D414" s="649"/>
      <c r="E414" s="649"/>
      <c r="F414" s="649"/>
      <c r="G414" s="649"/>
      <c r="H414" s="649"/>
      <c r="I414" s="649"/>
      <c r="J414" s="649"/>
      <c r="K414" s="649"/>
      <c r="L414" s="649"/>
      <c r="M414" s="649"/>
      <c r="N414" s="649"/>
      <c r="O414" s="650"/>
      <c r="P414" s="646" t="s">
        <v>40</v>
      </c>
      <c r="Q414" s="647"/>
      <c r="R414" s="647"/>
      <c r="S414" s="647"/>
      <c r="T414" s="647"/>
      <c r="U414" s="647"/>
      <c r="V414" s="648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x14ac:dyDescent="0.2">
      <c r="A415" s="649"/>
      <c r="B415" s="649"/>
      <c r="C415" s="649"/>
      <c r="D415" s="649"/>
      <c r="E415" s="649"/>
      <c r="F415" s="649"/>
      <c r="G415" s="649"/>
      <c r="H415" s="649"/>
      <c r="I415" s="649"/>
      <c r="J415" s="649"/>
      <c r="K415" s="649"/>
      <c r="L415" s="649"/>
      <c r="M415" s="649"/>
      <c r="N415" s="649"/>
      <c r="O415" s="650"/>
      <c r="P415" s="646" t="s">
        <v>40</v>
      </c>
      <c r="Q415" s="647"/>
      <c r="R415" s="647"/>
      <c r="S415" s="647"/>
      <c r="T415" s="647"/>
      <c r="U415" s="647"/>
      <c r="V415" s="648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customHeight="1" x14ac:dyDescent="0.25">
      <c r="A416" s="659" t="s">
        <v>689</v>
      </c>
      <c r="B416" s="659"/>
      <c r="C416" s="659"/>
      <c r="D416" s="659"/>
      <c r="E416" s="659"/>
      <c r="F416" s="659"/>
      <c r="G416" s="659"/>
      <c r="H416" s="659"/>
      <c r="I416" s="659"/>
      <c r="J416" s="659"/>
      <c r="K416" s="659"/>
      <c r="L416" s="659"/>
      <c r="M416" s="659"/>
      <c r="N416" s="659"/>
      <c r="O416" s="659"/>
      <c r="P416" s="659"/>
      <c r="Q416" s="659"/>
      <c r="R416" s="659"/>
      <c r="S416" s="659"/>
      <c r="T416" s="659"/>
      <c r="U416" s="659"/>
      <c r="V416" s="659"/>
      <c r="W416" s="659"/>
      <c r="X416" s="659"/>
      <c r="Y416" s="659"/>
      <c r="Z416" s="659"/>
      <c r="AA416" s="65"/>
      <c r="AB416" s="65"/>
      <c r="AC416" s="79"/>
    </row>
    <row r="417" spans="1:68" ht="14.25" customHeight="1" x14ac:dyDescent="0.25">
      <c r="A417" s="660" t="s">
        <v>86</v>
      </c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0"/>
      <c r="P417" s="660"/>
      <c r="Q417" s="660"/>
      <c r="R417" s="660"/>
      <c r="S417" s="660"/>
      <c r="T417" s="660"/>
      <c r="U417" s="660"/>
      <c r="V417" s="660"/>
      <c r="W417" s="660"/>
      <c r="X417" s="660"/>
      <c r="Y417" s="660"/>
      <c r="Z417" s="660"/>
      <c r="AA417" s="66"/>
      <c r="AB417" s="66"/>
      <c r="AC417" s="80"/>
    </row>
    <row r="418" spans="1:68" ht="27" customHeight="1" x14ac:dyDescent="0.25">
      <c r="A418" s="63" t="s">
        <v>690</v>
      </c>
      <c r="B418" s="63" t="s">
        <v>691</v>
      </c>
      <c r="C418" s="36">
        <v>4301051489</v>
      </c>
      <c r="D418" s="655">
        <v>4607091387919</v>
      </c>
      <c r="E418" s="655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7"/>
      <c r="R418" s="657"/>
      <c r="S418" s="657"/>
      <c r="T418" s="65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16" t="s">
        <v>692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693</v>
      </c>
      <c r="B419" s="63" t="s">
        <v>694</v>
      </c>
      <c r="C419" s="36">
        <v>4301051461</v>
      </c>
      <c r="D419" s="655">
        <v>4680115883604</v>
      </c>
      <c r="E419" s="655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7"/>
      <c r="R419" s="657"/>
      <c r="S419" s="657"/>
      <c r="T419" s="65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4301051864</v>
      </c>
      <c r="D420" s="655">
        <v>4680115883567</v>
      </c>
      <c r="E420" s="655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7"/>
      <c r="R420" s="657"/>
      <c r="S420" s="657"/>
      <c r="T420" s="65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49"/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50"/>
      <c r="P421" s="646" t="s">
        <v>40</v>
      </c>
      <c r="Q421" s="647"/>
      <c r="R421" s="647"/>
      <c r="S421" s="647"/>
      <c r="T421" s="647"/>
      <c r="U421" s="647"/>
      <c r="V421" s="648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x14ac:dyDescent="0.2">
      <c r="A422" s="649"/>
      <c r="B422" s="649"/>
      <c r="C422" s="649"/>
      <c r="D422" s="649"/>
      <c r="E422" s="649"/>
      <c r="F422" s="649"/>
      <c r="G422" s="649"/>
      <c r="H422" s="649"/>
      <c r="I422" s="649"/>
      <c r="J422" s="649"/>
      <c r="K422" s="649"/>
      <c r="L422" s="649"/>
      <c r="M422" s="649"/>
      <c r="N422" s="649"/>
      <c r="O422" s="650"/>
      <c r="P422" s="646" t="s">
        <v>40</v>
      </c>
      <c r="Q422" s="647"/>
      <c r="R422" s="647"/>
      <c r="S422" s="647"/>
      <c r="T422" s="647"/>
      <c r="U422" s="647"/>
      <c r="V422" s="648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customHeight="1" x14ac:dyDescent="0.2">
      <c r="A423" s="666" t="s">
        <v>699</v>
      </c>
      <c r="B423" s="666"/>
      <c r="C423" s="666"/>
      <c r="D423" s="666"/>
      <c r="E423" s="666"/>
      <c r="F423" s="666"/>
      <c r="G423" s="666"/>
      <c r="H423" s="666"/>
      <c r="I423" s="666"/>
      <c r="J423" s="666"/>
      <c r="K423" s="666"/>
      <c r="L423" s="666"/>
      <c r="M423" s="666"/>
      <c r="N423" s="666"/>
      <c r="O423" s="666"/>
      <c r="P423" s="666"/>
      <c r="Q423" s="666"/>
      <c r="R423" s="666"/>
      <c r="S423" s="666"/>
      <c r="T423" s="666"/>
      <c r="U423" s="666"/>
      <c r="V423" s="666"/>
      <c r="W423" s="666"/>
      <c r="X423" s="666"/>
      <c r="Y423" s="666"/>
      <c r="Z423" s="666"/>
      <c r="AA423" s="54"/>
      <c r="AB423" s="54"/>
      <c r="AC423" s="54"/>
    </row>
    <row r="424" spans="1:68" ht="16.5" customHeight="1" x14ac:dyDescent="0.25">
      <c r="A424" s="659" t="s">
        <v>700</v>
      </c>
      <c r="B424" s="659"/>
      <c r="C424" s="659"/>
      <c r="D424" s="659"/>
      <c r="E424" s="659"/>
      <c r="F424" s="659"/>
      <c r="G424" s="659"/>
      <c r="H424" s="659"/>
      <c r="I424" s="659"/>
      <c r="J424" s="659"/>
      <c r="K424" s="659"/>
      <c r="L424" s="659"/>
      <c r="M424" s="659"/>
      <c r="N424" s="659"/>
      <c r="O424" s="659"/>
      <c r="P424" s="659"/>
      <c r="Q424" s="659"/>
      <c r="R424" s="659"/>
      <c r="S424" s="659"/>
      <c r="T424" s="659"/>
      <c r="U424" s="659"/>
      <c r="V424" s="659"/>
      <c r="W424" s="659"/>
      <c r="X424" s="659"/>
      <c r="Y424" s="659"/>
      <c r="Z424" s="659"/>
      <c r="AA424" s="65"/>
      <c r="AB424" s="65"/>
      <c r="AC424" s="79"/>
    </row>
    <row r="425" spans="1:68" ht="14.25" customHeight="1" x14ac:dyDescent="0.25">
      <c r="A425" s="660" t="s">
        <v>122</v>
      </c>
      <c r="B425" s="660"/>
      <c r="C425" s="660"/>
      <c r="D425" s="660"/>
      <c r="E425" s="660"/>
      <c r="F425" s="660"/>
      <c r="G425" s="660"/>
      <c r="H425" s="660"/>
      <c r="I425" s="660"/>
      <c r="J425" s="660"/>
      <c r="K425" s="660"/>
      <c r="L425" s="660"/>
      <c r="M425" s="660"/>
      <c r="N425" s="660"/>
      <c r="O425" s="660"/>
      <c r="P425" s="660"/>
      <c r="Q425" s="660"/>
      <c r="R425" s="660"/>
      <c r="S425" s="660"/>
      <c r="T425" s="660"/>
      <c r="U425" s="660"/>
      <c r="V425" s="660"/>
      <c r="W425" s="660"/>
      <c r="X425" s="660"/>
      <c r="Y425" s="660"/>
      <c r="Z425" s="660"/>
      <c r="AA425" s="66"/>
      <c r="AB425" s="66"/>
      <c r="AC425" s="80"/>
    </row>
    <row r="426" spans="1:68" ht="27" customHeight="1" x14ac:dyDescent="0.25">
      <c r="A426" s="63" t="s">
        <v>701</v>
      </c>
      <c r="B426" s="63" t="s">
        <v>702</v>
      </c>
      <c r="C426" s="36">
        <v>4301012332</v>
      </c>
      <c r="D426" s="655">
        <v>4680115888401</v>
      </c>
      <c r="E426" s="655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7"/>
      <c r="R426" s="657"/>
      <c r="S426" s="657"/>
      <c r="T426" s="658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53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703</v>
      </c>
      <c r="AG426" s="78"/>
      <c r="AJ426" s="84" t="s">
        <v>46</v>
      </c>
      <c r="AK426" s="84">
        <v>0</v>
      </c>
      <c r="BB426" s="523" t="s">
        <v>67</v>
      </c>
      <c r="BM426" s="78">
        <f t="shared" ref="BM426:BM433" si="54">IFERROR(X426*I426/H426,"0")</f>
        <v>0</v>
      </c>
      <c r="BN426" s="78">
        <f t="shared" ref="BN426:BN433" si="55">IFERROR(Y426*I426/H426,"0")</f>
        <v>0</v>
      </c>
      <c r="BO426" s="78">
        <f t="shared" ref="BO426:BO433" si="56">IFERROR(1/J426*(X426/H426),"0")</f>
        <v>0</v>
      </c>
      <c r="BP426" s="78">
        <f t="shared" ref="BP426:BP433" si="57">IFERROR(1/J426*(Y426/H426),"0")</f>
        <v>0</v>
      </c>
    </row>
    <row r="427" spans="1:68" ht="37.5" customHeight="1" x14ac:dyDescent="0.25">
      <c r="A427" s="63" t="s">
        <v>704</v>
      </c>
      <c r="B427" s="63" t="s">
        <v>705</v>
      </c>
      <c r="C427" s="36">
        <v>4301011869</v>
      </c>
      <c r="D427" s="655">
        <v>4680115884847</v>
      </c>
      <c r="E427" s="65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7"/>
      <c r="R427" s="657"/>
      <c r="S427" s="657"/>
      <c r="T427" s="658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3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si="54"/>
        <v>0</v>
      </c>
      <c r="BN427" s="78">
        <f t="shared" si="55"/>
        <v>0</v>
      </c>
      <c r="BO427" s="78">
        <f t="shared" si="56"/>
        <v>0</v>
      </c>
      <c r="BP427" s="78">
        <f t="shared" si="57"/>
        <v>0</v>
      </c>
    </row>
    <row r="428" spans="1:68" ht="27" customHeight="1" x14ac:dyDescent="0.25">
      <c r="A428" s="63" t="s">
        <v>707</v>
      </c>
      <c r="B428" s="63" t="s">
        <v>708</v>
      </c>
      <c r="C428" s="36">
        <v>4301012083</v>
      </c>
      <c r="D428" s="655">
        <v>4680115884854</v>
      </c>
      <c r="E428" s="65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7"/>
      <c r="R428" s="657"/>
      <c r="S428" s="657"/>
      <c r="T428" s="658"/>
      <c r="U428" s="39" t="s">
        <v>46</v>
      </c>
      <c r="V428" s="39" t="s">
        <v>46</v>
      </c>
      <c r="W428" s="40" t="s">
        <v>0</v>
      </c>
      <c r="X428" s="58">
        <v>900</v>
      </c>
      <c r="Y428" s="55">
        <f t="shared" si="53"/>
        <v>900</v>
      </c>
      <c r="Z428" s="41">
        <f>IFERROR(IF(Y428=0,"",ROUNDUP(Y428/H428,0)*0.02175),"")</f>
        <v>1.3049999999999999</v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4"/>
        <v>928.2</v>
      </c>
      <c r="BN428" s="78">
        <f t="shared" si="55"/>
        <v>928.2</v>
      </c>
      <c r="BO428" s="78">
        <f t="shared" si="56"/>
        <v>1.25</v>
      </c>
      <c r="BP428" s="78">
        <f t="shared" si="57"/>
        <v>1.25</v>
      </c>
    </row>
    <row r="429" spans="1:68" ht="27" customHeight="1" x14ac:dyDescent="0.25">
      <c r="A429" s="63" t="s">
        <v>710</v>
      </c>
      <c r="B429" s="63" t="s">
        <v>711</v>
      </c>
      <c r="C429" s="36">
        <v>4301011867</v>
      </c>
      <c r="D429" s="655">
        <v>4680115884830</v>
      </c>
      <c r="E429" s="65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7"/>
      <c r="R429" s="657"/>
      <c r="S429" s="657"/>
      <c r="T429" s="658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3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4"/>
        <v>0</v>
      </c>
      <c r="BN429" s="78">
        <f t="shared" si="55"/>
        <v>0</v>
      </c>
      <c r="BO429" s="78">
        <f t="shared" si="56"/>
        <v>0</v>
      </c>
      <c r="BP429" s="78">
        <f t="shared" si="57"/>
        <v>0</v>
      </c>
    </row>
    <row r="430" spans="1:68" ht="27" customHeight="1" x14ac:dyDescent="0.25">
      <c r="A430" s="63" t="s">
        <v>713</v>
      </c>
      <c r="B430" s="63" t="s">
        <v>714</v>
      </c>
      <c r="C430" s="36">
        <v>4301012356</v>
      </c>
      <c r="D430" s="655">
        <v>4680115889231</v>
      </c>
      <c r="E430" s="65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1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7"/>
      <c r="R430" s="657"/>
      <c r="S430" s="657"/>
      <c r="T430" s="65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3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4"/>
        <v>0</v>
      </c>
      <c r="BN430" s="78">
        <f t="shared" si="55"/>
        <v>0</v>
      </c>
      <c r="BO430" s="78">
        <f t="shared" si="56"/>
        <v>0</v>
      </c>
      <c r="BP430" s="78">
        <f t="shared" si="57"/>
        <v>0</v>
      </c>
    </row>
    <row r="431" spans="1:68" ht="27" customHeight="1" x14ac:dyDescent="0.25">
      <c r="A431" s="63" t="s">
        <v>716</v>
      </c>
      <c r="B431" s="63" t="s">
        <v>717</v>
      </c>
      <c r="C431" s="36">
        <v>4301011433</v>
      </c>
      <c r="D431" s="655">
        <v>4680115882638</v>
      </c>
      <c r="E431" s="655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7"/>
      <c r="R431" s="657"/>
      <c r="S431" s="657"/>
      <c r="T431" s="65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3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ht="27" customHeight="1" x14ac:dyDescent="0.25">
      <c r="A432" s="63" t="s">
        <v>719</v>
      </c>
      <c r="B432" s="63" t="s">
        <v>720</v>
      </c>
      <c r="C432" s="36">
        <v>4301011952</v>
      </c>
      <c r="D432" s="655">
        <v>4680115884922</v>
      </c>
      <c r="E432" s="655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7"/>
      <c r="R432" s="657"/>
      <c r="S432" s="657"/>
      <c r="T432" s="65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3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4"/>
        <v>0</v>
      </c>
      <c r="BN432" s="78">
        <f t="shared" si="55"/>
        <v>0</v>
      </c>
      <c r="BO432" s="78">
        <f t="shared" si="56"/>
        <v>0</v>
      </c>
      <c r="BP432" s="78">
        <f t="shared" si="57"/>
        <v>0</v>
      </c>
    </row>
    <row r="433" spans="1:68" ht="37.5" customHeight="1" x14ac:dyDescent="0.25">
      <c r="A433" s="63" t="s">
        <v>722</v>
      </c>
      <c r="B433" s="63" t="s">
        <v>723</v>
      </c>
      <c r="C433" s="36">
        <v>4301011868</v>
      </c>
      <c r="D433" s="655">
        <v>4680115884861</v>
      </c>
      <c r="E433" s="65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7"/>
      <c r="R433" s="657"/>
      <c r="S433" s="657"/>
      <c r="T433" s="65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3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4"/>
        <v>0</v>
      </c>
      <c r="BN433" s="78">
        <f t="shared" si="55"/>
        <v>0</v>
      </c>
      <c r="BO433" s="78">
        <f t="shared" si="56"/>
        <v>0</v>
      </c>
      <c r="BP433" s="78">
        <f t="shared" si="57"/>
        <v>0</v>
      </c>
    </row>
    <row r="434" spans="1:68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60</v>
      </c>
      <c r="Y434" s="43">
        <f>IFERROR(Y426/H426,"0")+IFERROR(Y427/H427,"0")+IFERROR(Y428/H428,"0")+IFERROR(Y429/H429,"0")+IFERROR(Y430/H430,"0")+IFERROR(Y431/H431,"0")+IFERROR(Y432/H432,"0")+IFERROR(Y433/H433,"0")</f>
        <v>60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1.3049999999999999</v>
      </c>
      <c r="AA434" s="67"/>
      <c r="AB434" s="67"/>
      <c r="AC434" s="67"/>
    </row>
    <row r="435" spans="1:68" x14ac:dyDescent="0.2">
      <c r="A435" s="649"/>
      <c r="B435" s="649"/>
      <c r="C435" s="649"/>
      <c r="D435" s="649"/>
      <c r="E435" s="649"/>
      <c r="F435" s="649"/>
      <c r="G435" s="649"/>
      <c r="H435" s="649"/>
      <c r="I435" s="649"/>
      <c r="J435" s="649"/>
      <c r="K435" s="649"/>
      <c r="L435" s="649"/>
      <c r="M435" s="649"/>
      <c r="N435" s="649"/>
      <c r="O435" s="650"/>
      <c r="P435" s="646" t="s">
        <v>40</v>
      </c>
      <c r="Q435" s="647"/>
      <c r="R435" s="647"/>
      <c r="S435" s="647"/>
      <c r="T435" s="647"/>
      <c r="U435" s="647"/>
      <c r="V435" s="648"/>
      <c r="W435" s="42" t="s">
        <v>0</v>
      </c>
      <c r="X435" s="43">
        <f>IFERROR(SUM(X426:X433),"0")</f>
        <v>900</v>
      </c>
      <c r="Y435" s="43">
        <f>IFERROR(SUM(Y426:Y433),"0")</f>
        <v>900</v>
      </c>
      <c r="Z435" s="42"/>
      <c r="AA435" s="67"/>
      <c r="AB435" s="67"/>
      <c r="AC435" s="67"/>
    </row>
    <row r="436" spans="1:68" ht="14.25" customHeight="1" x14ac:dyDescent="0.25">
      <c r="A436" s="660" t="s">
        <v>158</v>
      </c>
      <c r="B436" s="660"/>
      <c r="C436" s="660"/>
      <c r="D436" s="660"/>
      <c r="E436" s="660"/>
      <c r="F436" s="660"/>
      <c r="G436" s="660"/>
      <c r="H436" s="660"/>
      <c r="I436" s="660"/>
      <c r="J436" s="660"/>
      <c r="K436" s="660"/>
      <c r="L436" s="660"/>
      <c r="M436" s="660"/>
      <c r="N436" s="660"/>
      <c r="O436" s="660"/>
      <c r="P436" s="660"/>
      <c r="Q436" s="660"/>
      <c r="R436" s="660"/>
      <c r="S436" s="660"/>
      <c r="T436" s="660"/>
      <c r="U436" s="660"/>
      <c r="V436" s="660"/>
      <c r="W436" s="660"/>
      <c r="X436" s="660"/>
      <c r="Y436" s="660"/>
      <c r="Z436" s="660"/>
      <c r="AA436" s="66"/>
      <c r="AB436" s="66"/>
      <c r="AC436" s="80"/>
    </row>
    <row r="437" spans="1:68" ht="27" customHeight="1" x14ac:dyDescent="0.25">
      <c r="A437" s="63" t="s">
        <v>725</v>
      </c>
      <c r="B437" s="63" t="s">
        <v>726</v>
      </c>
      <c r="C437" s="36">
        <v>4301020178</v>
      </c>
      <c r="D437" s="655">
        <v>4607091383980</v>
      </c>
      <c r="E437" s="655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7"/>
      <c r="R437" s="657"/>
      <c r="S437" s="657"/>
      <c r="T437" s="658"/>
      <c r="U437" s="39" t="s">
        <v>46</v>
      </c>
      <c r="V437" s="39" t="s">
        <v>46</v>
      </c>
      <c r="W437" s="40" t="s">
        <v>0</v>
      </c>
      <c r="X437" s="58">
        <v>1200</v>
      </c>
      <c r="Y437" s="55">
        <f>IFERROR(IF(X437="",0,CEILING((X437/$H437),1)*$H437),"")</f>
        <v>1200</v>
      </c>
      <c r="Z437" s="41">
        <f>IFERROR(IF(Y437=0,"",ROUNDUP(Y437/H437,0)*0.02175),"")</f>
        <v>1.7399999999999998</v>
      </c>
      <c r="AA437" s="68" t="s">
        <v>46</v>
      </c>
      <c r="AB437" s="69" t="s">
        <v>46</v>
      </c>
      <c r="AC437" s="538" t="s">
        <v>727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1237.5999999999999</v>
      </c>
      <c r="BN437" s="78">
        <f>IFERROR(Y437*I437/H437,"0")</f>
        <v>1237.5999999999999</v>
      </c>
      <c r="BO437" s="78">
        <f>IFERROR(1/J437*(X437/H437),"0")</f>
        <v>1.6666666666666665</v>
      </c>
      <c r="BP437" s="78">
        <f>IFERROR(1/J437*(Y437/H437),"0")</f>
        <v>1.6666666666666665</v>
      </c>
    </row>
    <row r="438" spans="1:68" ht="27" customHeight="1" x14ac:dyDescent="0.25">
      <c r="A438" s="63" t="s">
        <v>728</v>
      </c>
      <c r="B438" s="63" t="s">
        <v>729</v>
      </c>
      <c r="C438" s="36">
        <v>4301020355</v>
      </c>
      <c r="D438" s="655">
        <v>4680115888425</v>
      </c>
      <c r="E438" s="65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7"/>
      <c r="R438" s="657"/>
      <c r="S438" s="657"/>
      <c r="T438" s="65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customHeight="1" x14ac:dyDescent="0.25">
      <c r="A439" s="63" t="s">
        <v>731</v>
      </c>
      <c r="B439" s="63" t="s">
        <v>732</v>
      </c>
      <c r="C439" s="36">
        <v>4301020179</v>
      </c>
      <c r="D439" s="655">
        <v>4607091384178</v>
      </c>
      <c r="E439" s="655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7"/>
      <c r="R439" s="657"/>
      <c r="S439" s="657"/>
      <c r="T439" s="65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49"/>
      <c r="B440" s="649"/>
      <c r="C440" s="649"/>
      <c r="D440" s="649"/>
      <c r="E440" s="649"/>
      <c r="F440" s="649"/>
      <c r="G440" s="649"/>
      <c r="H440" s="649"/>
      <c r="I440" s="649"/>
      <c r="J440" s="649"/>
      <c r="K440" s="649"/>
      <c r="L440" s="649"/>
      <c r="M440" s="649"/>
      <c r="N440" s="649"/>
      <c r="O440" s="650"/>
      <c r="P440" s="646" t="s">
        <v>40</v>
      </c>
      <c r="Q440" s="647"/>
      <c r="R440" s="647"/>
      <c r="S440" s="647"/>
      <c r="T440" s="647"/>
      <c r="U440" s="647"/>
      <c r="V440" s="648"/>
      <c r="W440" s="42" t="s">
        <v>39</v>
      </c>
      <c r="X440" s="43">
        <f>IFERROR(X437/H437,"0")+IFERROR(X438/H438,"0")+IFERROR(X439/H439,"0")</f>
        <v>80</v>
      </c>
      <c r="Y440" s="43">
        <f>IFERROR(Y437/H437,"0")+IFERROR(Y438/H438,"0")+IFERROR(Y439/H439,"0")</f>
        <v>80</v>
      </c>
      <c r="Z440" s="43">
        <f>IFERROR(IF(Z437="",0,Z437),"0")+IFERROR(IF(Z438="",0,Z438),"0")+IFERROR(IF(Z439="",0,Z439),"0")</f>
        <v>1.7399999999999998</v>
      </c>
      <c r="AA440" s="67"/>
      <c r="AB440" s="67"/>
      <c r="AC440" s="67"/>
    </row>
    <row r="441" spans="1:68" x14ac:dyDescent="0.2">
      <c r="A441" s="649"/>
      <c r="B441" s="649"/>
      <c r="C441" s="649"/>
      <c r="D441" s="649"/>
      <c r="E441" s="649"/>
      <c r="F441" s="649"/>
      <c r="G441" s="649"/>
      <c r="H441" s="649"/>
      <c r="I441" s="649"/>
      <c r="J441" s="649"/>
      <c r="K441" s="649"/>
      <c r="L441" s="649"/>
      <c r="M441" s="649"/>
      <c r="N441" s="649"/>
      <c r="O441" s="650"/>
      <c r="P441" s="646" t="s">
        <v>40</v>
      </c>
      <c r="Q441" s="647"/>
      <c r="R441" s="647"/>
      <c r="S441" s="647"/>
      <c r="T441" s="647"/>
      <c r="U441" s="647"/>
      <c r="V441" s="648"/>
      <c r="W441" s="42" t="s">
        <v>0</v>
      </c>
      <c r="X441" s="43">
        <f>IFERROR(SUM(X437:X439),"0")</f>
        <v>1200</v>
      </c>
      <c r="Y441" s="43">
        <f>IFERROR(SUM(Y437:Y439),"0")</f>
        <v>1200</v>
      </c>
      <c r="Z441" s="42"/>
      <c r="AA441" s="67"/>
      <c r="AB441" s="67"/>
      <c r="AC441" s="67"/>
    </row>
    <row r="442" spans="1:68" ht="14.25" customHeight="1" x14ac:dyDescent="0.25">
      <c r="A442" s="660" t="s">
        <v>86</v>
      </c>
      <c r="B442" s="660"/>
      <c r="C442" s="660"/>
      <c r="D442" s="660"/>
      <c r="E442" s="660"/>
      <c r="F442" s="660"/>
      <c r="G442" s="660"/>
      <c r="H442" s="660"/>
      <c r="I442" s="660"/>
      <c r="J442" s="660"/>
      <c r="K442" s="660"/>
      <c r="L442" s="660"/>
      <c r="M442" s="660"/>
      <c r="N442" s="660"/>
      <c r="O442" s="660"/>
      <c r="P442" s="660"/>
      <c r="Q442" s="660"/>
      <c r="R442" s="660"/>
      <c r="S442" s="660"/>
      <c r="T442" s="660"/>
      <c r="U442" s="660"/>
      <c r="V442" s="660"/>
      <c r="W442" s="660"/>
      <c r="X442" s="660"/>
      <c r="Y442" s="660"/>
      <c r="Z442" s="660"/>
      <c r="AA442" s="66"/>
      <c r="AB442" s="66"/>
      <c r="AC442" s="80"/>
    </row>
    <row r="443" spans="1:68" ht="27" customHeight="1" x14ac:dyDescent="0.25">
      <c r="A443" s="63" t="s">
        <v>734</v>
      </c>
      <c r="B443" s="63" t="s">
        <v>735</v>
      </c>
      <c r="C443" s="36">
        <v>4301051903</v>
      </c>
      <c r="D443" s="655">
        <v>4607091383928</v>
      </c>
      <c r="E443" s="655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7"/>
      <c r="R443" s="657"/>
      <c r="S443" s="657"/>
      <c r="T443" s="65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736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737</v>
      </c>
      <c r="B444" s="63" t="s">
        <v>738</v>
      </c>
      <c r="C444" s="36">
        <v>4301051897</v>
      </c>
      <c r="D444" s="655">
        <v>4607091384260</v>
      </c>
      <c r="E444" s="655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7"/>
      <c r="R444" s="657"/>
      <c r="S444" s="657"/>
      <c r="T444" s="65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740</v>
      </c>
      <c r="B445" s="63" t="s">
        <v>741</v>
      </c>
      <c r="C445" s="36">
        <v>4301052220</v>
      </c>
      <c r="D445" s="655">
        <v>4680115889538</v>
      </c>
      <c r="E445" s="655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0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7"/>
      <c r="R445" s="657"/>
      <c r="S445" s="657"/>
      <c r="T445" s="65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660" t="s">
        <v>175</v>
      </c>
      <c r="B448" s="660"/>
      <c r="C448" s="660"/>
      <c r="D448" s="660"/>
      <c r="E448" s="660"/>
      <c r="F448" s="660"/>
      <c r="G448" s="660"/>
      <c r="H448" s="660"/>
      <c r="I448" s="660"/>
      <c r="J448" s="660"/>
      <c r="K448" s="660"/>
      <c r="L448" s="660"/>
      <c r="M448" s="660"/>
      <c r="N448" s="660"/>
      <c r="O448" s="660"/>
      <c r="P448" s="660"/>
      <c r="Q448" s="660"/>
      <c r="R448" s="660"/>
      <c r="S448" s="660"/>
      <c r="T448" s="660"/>
      <c r="U448" s="660"/>
      <c r="V448" s="660"/>
      <c r="W448" s="660"/>
      <c r="X448" s="660"/>
      <c r="Y448" s="660"/>
      <c r="Z448" s="660"/>
      <c r="AA448" s="66"/>
      <c r="AB448" s="66"/>
      <c r="AC448" s="80"/>
    </row>
    <row r="449" spans="1:68" ht="27" customHeight="1" x14ac:dyDescent="0.25">
      <c r="A449" s="63" t="s">
        <v>743</v>
      </c>
      <c r="B449" s="63" t="s">
        <v>744</v>
      </c>
      <c r="C449" s="36">
        <v>4301060537</v>
      </c>
      <c r="D449" s="655">
        <v>4680115889545</v>
      </c>
      <c r="E449" s="655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0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7"/>
      <c r="R449" s="657"/>
      <c r="S449" s="657"/>
      <c r="T449" s="65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0" t="s">
        <v>745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customHeight="1" x14ac:dyDescent="0.25">
      <c r="A450" s="63" t="s">
        <v>746</v>
      </c>
      <c r="B450" s="63" t="s">
        <v>747</v>
      </c>
      <c r="C450" s="36">
        <v>4301060524</v>
      </c>
      <c r="D450" s="655">
        <v>4607091384673</v>
      </c>
      <c r="E450" s="65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0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7"/>
      <c r="R450" s="657"/>
      <c r="S450" s="657"/>
      <c r="T450" s="65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649"/>
      <c r="B451" s="649"/>
      <c r="C451" s="649"/>
      <c r="D451" s="649"/>
      <c r="E451" s="649"/>
      <c r="F451" s="649"/>
      <c r="G451" s="649"/>
      <c r="H451" s="649"/>
      <c r="I451" s="649"/>
      <c r="J451" s="649"/>
      <c r="K451" s="649"/>
      <c r="L451" s="649"/>
      <c r="M451" s="649"/>
      <c r="N451" s="649"/>
      <c r="O451" s="650"/>
      <c r="P451" s="646" t="s">
        <v>40</v>
      </c>
      <c r="Q451" s="647"/>
      <c r="R451" s="647"/>
      <c r="S451" s="647"/>
      <c r="T451" s="647"/>
      <c r="U451" s="647"/>
      <c r="V451" s="648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customHeight="1" x14ac:dyDescent="0.25">
      <c r="A453" s="659" t="s">
        <v>749</v>
      </c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59"/>
      <c r="P453" s="659"/>
      <c r="Q453" s="659"/>
      <c r="R453" s="659"/>
      <c r="S453" s="659"/>
      <c r="T453" s="659"/>
      <c r="U453" s="659"/>
      <c r="V453" s="659"/>
      <c r="W453" s="659"/>
      <c r="X453" s="659"/>
      <c r="Y453" s="659"/>
      <c r="Z453" s="659"/>
      <c r="AA453" s="65"/>
      <c r="AB453" s="65"/>
      <c r="AC453" s="79"/>
    </row>
    <row r="454" spans="1:68" ht="14.25" customHeight="1" x14ac:dyDescent="0.25">
      <c r="A454" s="660" t="s">
        <v>122</v>
      </c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0"/>
      <c r="P454" s="660"/>
      <c r="Q454" s="660"/>
      <c r="R454" s="660"/>
      <c r="S454" s="660"/>
      <c r="T454" s="660"/>
      <c r="U454" s="660"/>
      <c r="V454" s="660"/>
      <c r="W454" s="660"/>
      <c r="X454" s="660"/>
      <c r="Y454" s="660"/>
      <c r="Z454" s="660"/>
      <c r="AA454" s="66"/>
      <c r="AB454" s="66"/>
      <c r="AC454" s="80"/>
    </row>
    <row r="455" spans="1:68" ht="27" customHeight="1" x14ac:dyDescent="0.25">
      <c r="A455" s="63" t="s">
        <v>750</v>
      </c>
      <c r="B455" s="63" t="s">
        <v>751</v>
      </c>
      <c r="C455" s="36">
        <v>4301011875</v>
      </c>
      <c r="D455" s="655">
        <v>4680115884885</v>
      </c>
      <c r="E455" s="655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7"/>
      <c r="R455" s="657"/>
      <c r="S455" s="657"/>
      <c r="T455" s="65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54" t="s">
        <v>752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customHeight="1" x14ac:dyDescent="0.25">
      <c r="A456" s="63" t="s">
        <v>753</v>
      </c>
      <c r="B456" s="63" t="s">
        <v>754</v>
      </c>
      <c r="C456" s="36">
        <v>4301011871</v>
      </c>
      <c r="D456" s="655">
        <v>4680115884908</v>
      </c>
      <c r="E456" s="655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7"/>
      <c r="R456" s="657"/>
      <c r="S456" s="657"/>
      <c r="T456" s="65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6" t="s">
        <v>752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649"/>
      <c r="B457" s="649"/>
      <c r="C457" s="649"/>
      <c r="D457" s="649"/>
      <c r="E457" s="649"/>
      <c r="F457" s="649"/>
      <c r="G457" s="649"/>
      <c r="H457" s="649"/>
      <c r="I457" s="649"/>
      <c r="J457" s="649"/>
      <c r="K457" s="649"/>
      <c r="L457" s="649"/>
      <c r="M457" s="649"/>
      <c r="N457" s="649"/>
      <c r="O457" s="650"/>
      <c r="P457" s="646" t="s">
        <v>40</v>
      </c>
      <c r="Q457" s="647"/>
      <c r="R457" s="647"/>
      <c r="S457" s="647"/>
      <c r="T457" s="647"/>
      <c r="U457" s="647"/>
      <c r="V457" s="648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customHeight="1" x14ac:dyDescent="0.25">
      <c r="A459" s="660" t="s">
        <v>77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6"/>
      <c r="AB459" s="66"/>
      <c r="AC459" s="80"/>
    </row>
    <row r="460" spans="1:68" ht="27" customHeight="1" x14ac:dyDescent="0.25">
      <c r="A460" s="63" t="s">
        <v>755</v>
      </c>
      <c r="B460" s="63" t="s">
        <v>756</v>
      </c>
      <c r="C460" s="36">
        <v>4301031457</v>
      </c>
      <c r="D460" s="655">
        <v>4607091384802</v>
      </c>
      <c r="E460" s="655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7"/>
      <c r="R460" s="657"/>
      <c r="S460" s="657"/>
      <c r="T460" s="658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8" t="s">
        <v>757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49"/>
      <c r="B461" s="649"/>
      <c r="C461" s="649"/>
      <c r="D461" s="649"/>
      <c r="E461" s="649"/>
      <c r="F461" s="649"/>
      <c r="G461" s="649"/>
      <c r="H461" s="649"/>
      <c r="I461" s="649"/>
      <c r="J461" s="649"/>
      <c r="K461" s="649"/>
      <c r="L461" s="649"/>
      <c r="M461" s="649"/>
      <c r="N461" s="649"/>
      <c r="O461" s="650"/>
      <c r="P461" s="646" t="s">
        <v>40</v>
      </c>
      <c r="Q461" s="647"/>
      <c r="R461" s="647"/>
      <c r="S461" s="647"/>
      <c r="T461" s="647"/>
      <c r="U461" s="647"/>
      <c r="V461" s="648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x14ac:dyDescent="0.2">
      <c r="A462" s="649"/>
      <c r="B462" s="649"/>
      <c r="C462" s="649"/>
      <c r="D462" s="649"/>
      <c r="E462" s="649"/>
      <c r="F462" s="649"/>
      <c r="G462" s="649"/>
      <c r="H462" s="649"/>
      <c r="I462" s="649"/>
      <c r="J462" s="649"/>
      <c r="K462" s="649"/>
      <c r="L462" s="649"/>
      <c r="M462" s="649"/>
      <c r="N462" s="649"/>
      <c r="O462" s="650"/>
      <c r="P462" s="646" t="s">
        <v>40</v>
      </c>
      <c r="Q462" s="647"/>
      <c r="R462" s="647"/>
      <c r="S462" s="647"/>
      <c r="T462" s="647"/>
      <c r="U462" s="647"/>
      <c r="V462" s="648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customHeight="1" x14ac:dyDescent="0.25">
      <c r="A463" s="660" t="s">
        <v>86</v>
      </c>
      <c r="B463" s="660"/>
      <c r="C463" s="660"/>
      <c r="D463" s="660"/>
      <c r="E463" s="660"/>
      <c r="F463" s="660"/>
      <c r="G463" s="660"/>
      <c r="H463" s="660"/>
      <c r="I463" s="660"/>
      <c r="J463" s="660"/>
      <c r="K463" s="660"/>
      <c r="L463" s="660"/>
      <c r="M463" s="660"/>
      <c r="N463" s="660"/>
      <c r="O463" s="660"/>
      <c r="P463" s="660"/>
      <c r="Q463" s="660"/>
      <c r="R463" s="660"/>
      <c r="S463" s="660"/>
      <c r="T463" s="660"/>
      <c r="U463" s="660"/>
      <c r="V463" s="660"/>
      <c r="W463" s="660"/>
      <c r="X463" s="660"/>
      <c r="Y463" s="660"/>
      <c r="Z463" s="660"/>
      <c r="AA463" s="66"/>
      <c r="AB463" s="66"/>
      <c r="AC463" s="80"/>
    </row>
    <row r="464" spans="1:68" ht="27" customHeight="1" x14ac:dyDescent="0.25">
      <c r="A464" s="63" t="s">
        <v>758</v>
      </c>
      <c r="B464" s="63" t="s">
        <v>759</v>
      </c>
      <c r="C464" s="36">
        <v>4301051899</v>
      </c>
      <c r="D464" s="655">
        <v>4607091384246</v>
      </c>
      <c r="E464" s="655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7"/>
      <c r="R464" s="657"/>
      <c r="S464" s="657"/>
      <c r="T464" s="658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0" t="s">
        <v>760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761</v>
      </c>
      <c r="B465" s="63" t="s">
        <v>762</v>
      </c>
      <c r="C465" s="36">
        <v>4301051660</v>
      </c>
      <c r="D465" s="655">
        <v>4607091384253</v>
      </c>
      <c r="E465" s="655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7"/>
      <c r="R465" s="657"/>
      <c r="S465" s="657"/>
      <c r="T465" s="65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761</v>
      </c>
      <c r="B466" s="63" t="s">
        <v>763</v>
      </c>
      <c r="C466" s="36">
        <v>4301052069</v>
      </c>
      <c r="D466" s="655">
        <v>4607091384253</v>
      </c>
      <c r="E466" s="65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69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7"/>
      <c r="R466" s="657"/>
      <c r="S466" s="657"/>
      <c r="T466" s="65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764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49"/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50"/>
      <c r="P467" s="646" t="s">
        <v>40</v>
      </c>
      <c r="Q467" s="647"/>
      <c r="R467" s="647"/>
      <c r="S467" s="647"/>
      <c r="T467" s="647"/>
      <c r="U467" s="647"/>
      <c r="V467" s="648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x14ac:dyDescent="0.2">
      <c r="A468" s="649"/>
      <c r="B468" s="649"/>
      <c r="C468" s="649"/>
      <c r="D468" s="649"/>
      <c r="E468" s="649"/>
      <c r="F468" s="649"/>
      <c r="G468" s="649"/>
      <c r="H468" s="649"/>
      <c r="I468" s="649"/>
      <c r="J468" s="649"/>
      <c r="K468" s="649"/>
      <c r="L468" s="649"/>
      <c r="M468" s="649"/>
      <c r="N468" s="649"/>
      <c r="O468" s="650"/>
      <c r="P468" s="646" t="s">
        <v>40</v>
      </c>
      <c r="Q468" s="647"/>
      <c r="R468" s="647"/>
      <c r="S468" s="647"/>
      <c r="T468" s="647"/>
      <c r="U468" s="647"/>
      <c r="V468" s="648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customHeight="1" x14ac:dyDescent="0.2">
      <c r="A469" s="666" t="s">
        <v>765</v>
      </c>
      <c r="B469" s="666"/>
      <c r="C469" s="666"/>
      <c r="D469" s="666"/>
      <c r="E469" s="666"/>
      <c r="F469" s="666"/>
      <c r="G469" s="666"/>
      <c r="H469" s="666"/>
      <c r="I469" s="666"/>
      <c r="J469" s="666"/>
      <c r="K469" s="666"/>
      <c r="L469" s="666"/>
      <c r="M469" s="666"/>
      <c r="N469" s="666"/>
      <c r="O469" s="666"/>
      <c r="P469" s="666"/>
      <c r="Q469" s="666"/>
      <c r="R469" s="666"/>
      <c r="S469" s="666"/>
      <c r="T469" s="666"/>
      <c r="U469" s="666"/>
      <c r="V469" s="666"/>
      <c r="W469" s="666"/>
      <c r="X469" s="666"/>
      <c r="Y469" s="666"/>
      <c r="Z469" s="666"/>
      <c r="AA469" s="54"/>
      <c r="AB469" s="54"/>
      <c r="AC469" s="54"/>
    </row>
    <row r="470" spans="1:68" ht="16.5" customHeight="1" x14ac:dyDescent="0.25">
      <c r="A470" s="659" t="s">
        <v>766</v>
      </c>
      <c r="B470" s="659"/>
      <c r="C470" s="659"/>
      <c r="D470" s="659"/>
      <c r="E470" s="659"/>
      <c r="F470" s="659"/>
      <c r="G470" s="659"/>
      <c r="H470" s="659"/>
      <c r="I470" s="659"/>
      <c r="J470" s="659"/>
      <c r="K470" s="659"/>
      <c r="L470" s="659"/>
      <c r="M470" s="659"/>
      <c r="N470" s="659"/>
      <c r="O470" s="659"/>
      <c r="P470" s="659"/>
      <c r="Q470" s="659"/>
      <c r="R470" s="659"/>
      <c r="S470" s="659"/>
      <c r="T470" s="659"/>
      <c r="U470" s="659"/>
      <c r="V470" s="659"/>
      <c r="W470" s="659"/>
      <c r="X470" s="659"/>
      <c r="Y470" s="659"/>
      <c r="Z470" s="659"/>
      <c r="AA470" s="65"/>
      <c r="AB470" s="65"/>
      <c r="AC470" s="79"/>
    </row>
    <row r="471" spans="1:68" ht="14.25" customHeight="1" x14ac:dyDescent="0.25">
      <c r="A471" s="660" t="s">
        <v>77</v>
      </c>
      <c r="B471" s="660"/>
      <c r="C471" s="660"/>
      <c r="D471" s="660"/>
      <c r="E471" s="660"/>
      <c r="F471" s="660"/>
      <c r="G471" s="660"/>
      <c r="H471" s="660"/>
      <c r="I471" s="660"/>
      <c r="J471" s="660"/>
      <c r="K471" s="660"/>
      <c r="L471" s="660"/>
      <c r="M471" s="660"/>
      <c r="N471" s="660"/>
      <c r="O471" s="660"/>
      <c r="P471" s="660"/>
      <c r="Q471" s="660"/>
      <c r="R471" s="660"/>
      <c r="S471" s="660"/>
      <c r="T471" s="660"/>
      <c r="U471" s="660"/>
      <c r="V471" s="660"/>
      <c r="W471" s="660"/>
      <c r="X471" s="660"/>
      <c r="Y471" s="660"/>
      <c r="Z471" s="660"/>
      <c r="AA471" s="66"/>
      <c r="AB471" s="66"/>
      <c r="AC471" s="80"/>
    </row>
    <row r="472" spans="1:68" ht="27" customHeight="1" x14ac:dyDescent="0.25">
      <c r="A472" s="63" t="s">
        <v>767</v>
      </c>
      <c r="B472" s="63" t="s">
        <v>768</v>
      </c>
      <c r="C472" s="36">
        <v>4301031405</v>
      </c>
      <c r="D472" s="655">
        <v>4680115886100</v>
      </c>
      <c r="E472" s="655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69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7"/>
      <c r="R472" s="657"/>
      <c r="S472" s="657"/>
      <c r="T472" s="658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58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769</v>
      </c>
      <c r="AG472" s="78"/>
      <c r="AJ472" s="84" t="s">
        <v>46</v>
      </c>
      <c r="AK472" s="84">
        <v>0</v>
      </c>
      <c r="BB472" s="567" t="s">
        <v>67</v>
      </c>
      <c r="BM472" s="78">
        <f t="shared" ref="BM472:BM477" si="59">IFERROR(X472*I472/H472,"0")</f>
        <v>0</v>
      </c>
      <c r="BN472" s="78">
        <f t="shared" ref="BN472:BN477" si="60">IFERROR(Y472*I472/H472,"0")</f>
        <v>0</v>
      </c>
      <c r="BO472" s="78">
        <f t="shared" ref="BO472:BO477" si="61">IFERROR(1/J472*(X472/H472),"0")</f>
        <v>0</v>
      </c>
      <c r="BP472" s="78">
        <f t="shared" ref="BP472:BP477" si="62">IFERROR(1/J472*(Y472/H472),"0")</f>
        <v>0</v>
      </c>
    </row>
    <row r="473" spans="1:68" ht="27" customHeight="1" x14ac:dyDescent="0.25">
      <c r="A473" s="63" t="s">
        <v>770</v>
      </c>
      <c r="B473" s="63" t="s">
        <v>771</v>
      </c>
      <c r="C473" s="36">
        <v>4301031402</v>
      </c>
      <c r="D473" s="655">
        <v>4680115886124</v>
      </c>
      <c r="E473" s="65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6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7"/>
      <c r="R473" s="657"/>
      <c r="S473" s="657"/>
      <c r="T473" s="65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8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si="59"/>
        <v>0</v>
      </c>
      <c r="BN473" s="78">
        <f t="shared" si="60"/>
        <v>0</v>
      </c>
      <c r="BO473" s="78">
        <f t="shared" si="61"/>
        <v>0</v>
      </c>
      <c r="BP473" s="78">
        <f t="shared" si="62"/>
        <v>0</v>
      </c>
    </row>
    <row r="474" spans="1:68" ht="27" customHeight="1" x14ac:dyDescent="0.25">
      <c r="A474" s="63" t="s">
        <v>773</v>
      </c>
      <c r="B474" s="63" t="s">
        <v>774</v>
      </c>
      <c r="C474" s="36">
        <v>4301031362</v>
      </c>
      <c r="D474" s="655">
        <v>4607091384338</v>
      </c>
      <c r="E474" s="655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7"/>
      <c r="R474" s="657"/>
      <c r="S474" s="657"/>
      <c r="T474" s="65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8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769</v>
      </c>
      <c r="AG474" s="78"/>
      <c r="AJ474" s="84" t="s">
        <v>46</v>
      </c>
      <c r="AK474" s="84">
        <v>0</v>
      </c>
      <c r="BB474" s="571" t="s">
        <v>67</v>
      </c>
      <c r="BM474" s="78">
        <f t="shared" si="59"/>
        <v>0</v>
      </c>
      <c r="BN474" s="78">
        <f t="shared" si="60"/>
        <v>0</v>
      </c>
      <c r="BO474" s="78">
        <f t="shared" si="61"/>
        <v>0</v>
      </c>
      <c r="BP474" s="78">
        <f t="shared" si="62"/>
        <v>0</v>
      </c>
    </row>
    <row r="475" spans="1:68" ht="27" customHeight="1" x14ac:dyDescent="0.25">
      <c r="A475" s="63" t="s">
        <v>775</v>
      </c>
      <c r="B475" s="63" t="s">
        <v>776</v>
      </c>
      <c r="C475" s="36">
        <v>4301031364</v>
      </c>
      <c r="D475" s="655">
        <v>4680115883161</v>
      </c>
      <c r="E475" s="655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7"/>
      <c r="R475" s="657"/>
      <c r="S475" s="657"/>
      <c r="T475" s="65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58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777</v>
      </c>
      <c r="AG475" s="78"/>
      <c r="AJ475" s="84" t="s">
        <v>46</v>
      </c>
      <c r="AK475" s="84">
        <v>0</v>
      </c>
      <c r="BB475" s="573" t="s">
        <v>67</v>
      </c>
      <c r="BM475" s="78">
        <f t="shared" si="59"/>
        <v>0</v>
      </c>
      <c r="BN475" s="78">
        <f t="shared" si="60"/>
        <v>0</v>
      </c>
      <c r="BO475" s="78">
        <f t="shared" si="61"/>
        <v>0</v>
      </c>
      <c r="BP475" s="78">
        <f t="shared" si="62"/>
        <v>0</v>
      </c>
    </row>
    <row r="476" spans="1:68" ht="27" customHeight="1" x14ac:dyDescent="0.25">
      <c r="A476" s="63" t="s">
        <v>778</v>
      </c>
      <c r="B476" s="63" t="s">
        <v>779</v>
      </c>
      <c r="C476" s="36">
        <v>4301031358</v>
      </c>
      <c r="D476" s="655">
        <v>4607091389531</v>
      </c>
      <c r="E476" s="655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7"/>
      <c r="R476" s="657"/>
      <c r="S476" s="657"/>
      <c r="T476" s="65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58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59"/>
        <v>0</v>
      </c>
      <c r="BN476" s="78">
        <f t="shared" si="60"/>
        <v>0</v>
      </c>
      <c r="BO476" s="78">
        <f t="shared" si="61"/>
        <v>0</v>
      </c>
      <c r="BP476" s="78">
        <f t="shared" si="62"/>
        <v>0</v>
      </c>
    </row>
    <row r="477" spans="1:68" ht="37.5" customHeight="1" x14ac:dyDescent="0.25">
      <c r="A477" s="63" t="s">
        <v>781</v>
      </c>
      <c r="B477" s="63" t="s">
        <v>782</v>
      </c>
      <c r="C477" s="36">
        <v>4301031360</v>
      </c>
      <c r="D477" s="655">
        <v>4607091384345</v>
      </c>
      <c r="E477" s="65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7"/>
      <c r="R477" s="657"/>
      <c r="S477" s="657"/>
      <c r="T477" s="65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58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777</v>
      </c>
      <c r="AG477" s="78"/>
      <c r="AJ477" s="84" t="s">
        <v>46</v>
      </c>
      <c r="AK477" s="84">
        <v>0</v>
      </c>
      <c r="BB477" s="577" t="s">
        <v>67</v>
      </c>
      <c r="BM477" s="78">
        <f t="shared" si="59"/>
        <v>0</v>
      </c>
      <c r="BN477" s="78">
        <f t="shared" si="60"/>
        <v>0</v>
      </c>
      <c r="BO477" s="78">
        <f t="shared" si="61"/>
        <v>0</v>
      </c>
      <c r="BP477" s="78">
        <f t="shared" si="62"/>
        <v>0</v>
      </c>
    </row>
    <row r="478" spans="1:68" x14ac:dyDescent="0.2">
      <c r="A478" s="649"/>
      <c r="B478" s="649"/>
      <c r="C478" s="649"/>
      <c r="D478" s="649"/>
      <c r="E478" s="649"/>
      <c r="F478" s="649"/>
      <c r="G478" s="649"/>
      <c r="H478" s="649"/>
      <c r="I478" s="649"/>
      <c r="J478" s="649"/>
      <c r="K478" s="649"/>
      <c r="L478" s="649"/>
      <c r="M478" s="649"/>
      <c r="N478" s="649"/>
      <c r="O478" s="650"/>
      <c r="P478" s="646" t="s">
        <v>40</v>
      </c>
      <c r="Q478" s="647"/>
      <c r="R478" s="647"/>
      <c r="S478" s="647"/>
      <c r="T478" s="647"/>
      <c r="U478" s="647"/>
      <c r="V478" s="648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customHeight="1" x14ac:dyDescent="0.25">
      <c r="A480" s="660" t="s">
        <v>86</v>
      </c>
      <c r="B480" s="660"/>
      <c r="C480" s="660"/>
      <c r="D480" s="660"/>
      <c r="E480" s="660"/>
      <c r="F480" s="660"/>
      <c r="G480" s="660"/>
      <c r="H480" s="660"/>
      <c r="I480" s="660"/>
      <c r="J480" s="660"/>
      <c r="K480" s="660"/>
      <c r="L480" s="660"/>
      <c r="M480" s="660"/>
      <c r="N480" s="660"/>
      <c r="O480" s="660"/>
      <c r="P480" s="660"/>
      <c r="Q480" s="660"/>
      <c r="R480" s="660"/>
      <c r="S480" s="660"/>
      <c r="T480" s="660"/>
      <c r="U480" s="660"/>
      <c r="V480" s="660"/>
      <c r="W480" s="660"/>
      <c r="X480" s="660"/>
      <c r="Y480" s="660"/>
      <c r="Z480" s="660"/>
      <c r="AA480" s="66"/>
      <c r="AB480" s="66"/>
      <c r="AC480" s="80"/>
    </row>
    <row r="481" spans="1:68" ht="27" customHeight="1" x14ac:dyDescent="0.25">
      <c r="A481" s="63" t="s">
        <v>783</v>
      </c>
      <c r="B481" s="63" t="s">
        <v>784</v>
      </c>
      <c r="C481" s="36">
        <v>4301051284</v>
      </c>
      <c r="D481" s="655">
        <v>4607091384352</v>
      </c>
      <c r="E481" s="655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69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7"/>
      <c r="R481" s="657"/>
      <c r="S481" s="657"/>
      <c r="T481" s="658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78" t="s">
        <v>785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customHeight="1" x14ac:dyDescent="0.25">
      <c r="A482" s="63" t="s">
        <v>786</v>
      </c>
      <c r="B482" s="63" t="s">
        <v>787</v>
      </c>
      <c r="C482" s="36">
        <v>4301051431</v>
      </c>
      <c r="D482" s="655">
        <v>4607091389654</v>
      </c>
      <c r="E482" s="655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7"/>
      <c r="R482" s="657"/>
      <c r="S482" s="657"/>
      <c r="T482" s="65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">
      <c r="A483" s="649"/>
      <c r="B483" s="649"/>
      <c r="C483" s="649"/>
      <c r="D483" s="649"/>
      <c r="E483" s="649"/>
      <c r="F483" s="649"/>
      <c r="G483" s="649"/>
      <c r="H483" s="649"/>
      <c r="I483" s="649"/>
      <c r="J483" s="649"/>
      <c r="K483" s="649"/>
      <c r="L483" s="649"/>
      <c r="M483" s="649"/>
      <c r="N483" s="649"/>
      <c r="O483" s="650"/>
      <c r="P483" s="646" t="s">
        <v>40</v>
      </c>
      <c r="Q483" s="647"/>
      <c r="R483" s="647"/>
      <c r="S483" s="647"/>
      <c r="T483" s="647"/>
      <c r="U483" s="647"/>
      <c r="V483" s="648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x14ac:dyDescent="0.2">
      <c r="A484" s="649"/>
      <c r="B484" s="649"/>
      <c r="C484" s="649"/>
      <c r="D484" s="649"/>
      <c r="E484" s="649"/>
      <c r="F484" s="649"/>
      <c r="G484" s="649"/>
      <c r="H484" s="649"/>
      <c r="I484" s="649"/>
      <c r="J484" s="649"/>
      <c r="K484" s="649"/>
      <c r="L484" s="649"/>
      <c r="M484" s="649"/>
      <c r="N484" s="649"/>
      <c r="O484" s="650"/>
      <c r="P484" s="646" t="s">
        <v>40</v>
      </c>
      <c r="Q484" s="647"/>
      <c r="R484" s="647"/>
      <c r="S484" s="647"/>
      <c r="T484" s="647"/>
      <c r="U484" s="647"/>
      <c r="V484" s="648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customHeight="1" x14ac:dyDescent="0.25">
      <c r="A485" s="659" t="s">
        <v>789</v>
      </c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59"/>
      <c r="P485" s="659"/>
      <c r="Q485" s="659"/>
      <c r="R485" s="659"/>
      <c r="S485" s="659"/>
      <c r="T485" s="659"/>
      <c r="U485" s="659"/>
      <c r="V485" s="659"/>
      <c r="W485" s="659"/>
      <c r="X485" s="659"/>
      <c r="Y485" s="659"/>
      <c r="Z485" s="659"/>
      <c r="AA485" s="65"/>
      <c r="AB485" s="65"/>
      <c r="AC485" s="79"/>
    </row>
    <row r="486" spans="1:68" ht="14.25" customHeight="1" x14ac:dyDescent="0.25">
      <c r="A486" s="660" t="s">
        <v>158</v>
      </c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0"/>
      <c r="P486" s="660"/>
      <c r="Q486" s="660"/>
      <c r="R486" s="660"/>
      <c r="S486" s="660"/>
      <c r="T486" s="660"/>
      <c r="U486" s="660"/>
      <c r="V486" s="660"/>
      <c r="W486" s="660"/>
      <c r="X486" s="660"/>
      <c r="Y486" s="660"/>
      <c r="Z486" s="660"/>
      <c r="AA486" s="66"/>
      <c r="AB486" s="66"/>
      <c r="AC486" s="80"/>
    </row>
    <row r="487" spans="1:68" ht="27" customHeight="1" x14ac:dyDescent="0.25">
      <c r="A487" s="63" t="s">
        <v>790</v>
      </c>
      <c r="B487" s="63" t="s">
        <v>791</v>
      </c>
      <c r="C487" s="36">
        <v>4301020416</v>
      </c>
      <c r="D487" s="655">
        <v>4680115885240</v>
      </c>
      <c r="E487" s="655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7"/>
      <c r="R487" s="657"/>
      <c r="S487" s="657"/>
      <c r="T487" s="65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2" t="s">
        <v>792</v>
      </c>
      <c r="AG487" s="78"/>
      <c r="AJ487" s="84" t="s">
        <v>46</v>
      </c>
      <c r="AK487" s="84">
        <v>0</v>
      </c>
      <c r="BB487" s="583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649"/>
      <c r="B488" s="649"/>
      <c r="C488" s="649"/>
      <c r="D488" s="649"/>
      <c r="E488" s="649"/>
      <c r="F488" s="649"/>
      <c r="G488" s="649"/>
      <c r="H488" s="649"/>
      <c r="I488" s="649"/>
      <c r="J488" s="649"/>
      <c r="K488" s="649"/>
      <c r="L488" s="649"/>
      <c r="M488" s="649"/>
      <c r="N488" s="649"/>
      <c r="O488" s="650"/>
      <c r="P488" s="646" t="s">
        <v>40</v>
      </c>
      <c r="Q488" s="647"/>
      <c r="R488" s="647"/>
      <c r="S488" s="647"/>
      <c r="T488" s="647"/>
      <c r="U488" s="647"/>
      <c r="V488" s="648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x14ac:dyDescent="0.2">
      <c r="A489" s="649"/>
      <c r="B489" s="649"/>
      <c r="C489" s="649"/>
      <c r="D489" s="649"/>
      <c r="E489" s="649"/>
      <c r="F489" s="649"/>
      <c r="G489" s="649"/>
      <c r="H489" s="649"/>
      <c r="I489" s="649"/>
      <c r="J489" s="649"/>
      <c r="K489" s="649"/>
      <c r="L489" s="649"/>
      <c r="M489" s="649"/>
      <c r="N489" s="649"/>
      <c r="O489" s="650"/>
      <c r="P489" s="646" t="s">
        <v>40</v>
      </c>
      <c r="Q489" s="647"/>
      <c r="R489" s="647"/>
      <c r="S489" s="647"/>
      <c r="T489" s="647"/>
      <c r="U489" s="647"/>
      <c r="V489" s="648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customHeight="1" x14ac:dyDescent="0.25">
      <c r="A490" s="660" t="s">
        <v>77</v>
      </c>
      <c r="B490" s="660"/>
      <c r="C490" s="660"/>
      <c r="D490" s="660"/>
      <c r="E490" s="660"/>
      <c r="F490" s="660"/>
      <c r="G490" s="660"/>
      <c r="H490" s="660"/>
      <c r="I490" s="660"/>
      <c r="J490" s="660"/>
      <c r="K490" s="660"/>
      <c r="L490" s="660"/>
      <c r="M490" s="660"/>
      <c r="N490" s="660"/>
      <c r="O490" s="660"/>
      <c r="P490" s="660"/>
      <c r="Q490" s="660"/>
      <c r="R490" s="660"/>
      <c r="S490" s="660"/>
      <c r="T490" s="660"/>
      <c r="U490" s="660"/>
      <c r="V490" s="660"/>
      <c r="W490" s="660"/>
      <c r="X490" s="660"/>
      <c r="Y490" s="660"/>
      <c r="Z490" s="660"/>
      <c r="AA490" s="66"/>
      <c r="AB490" s="66"/>
      <c r="AC490" s="80"/>
    </row>
    <row r="491" spans="1:68" ht="27" customHeight="1" x14ac:dyDescent="0.25">
      <c r="A491" s="63" t="s">
        <v>793</v>
      </c>
      <c r="B491" s="63" t="s">
        <v>794</v>
      </c>
      <c r="C491" s="36">
        <v>4301031407</v>
      </c>
      <c r="D491" s="655">
        <v>4680115886094</v>
      </c>
      <c r="E491" s="655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7"/>
      <c r="R491" s="657"/>
      <c r="S491" s="657"/>
      <c r="T491" s="658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795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796</v>
      </c>
      <c r="B492" s="63" t="s">
        <v>797</v>
      </c>
      <c r="C492" s="36">
        <v>4301031373</v>
      </c>
      <c r="D492" s="655">
        <v>4680115880771</v>
      </c>
      <c r="E492" s="655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7"/>
      <c r="R492" s="657"/>
      <c r="S492" s="657"/>
      <c r="T492" s="65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customHeight="1" x14ac:dyDescent="0.25">
      <c r="A493" s="63" t="s">
        <v>799</v>
      </c>
      <c r="B493" s="63" t="s">
        <v>800</v>
      </c>
      <c r="C493" s="36">
        <v>4301031359</v>
      </c>
      <c r="D493" s="655">
        <v>4607091389500</v>
      </c>
      <c r="E493" s="655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7"/>
      <c r="R493" s="657"/>
      <c r="S493" s="657"/>
      <c r="T493" s="65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798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customHeight="1" x14ac:dyDescent="0.2">
      <c r="A496" s="666" t="s">
        <v>801</v>
      </c>
      <c r="B496" s="666"/>
      <c r="C496" s="666"/>
      <c r="D496" s="666"/>
      <c r="E496" s="666"/>
      <c r="F496" s="666"/>
      <c r="G496" s="666"/>
      <c r="H496" s="666"/>
      <c r="I496" s="666"/>
      <c r="J496" s="666"/>
      <c r="K496" s="666"/>
      <c r="L496" s="666"/>
      <c r="M496" s="666"/>
      <c r="N496" s="666"/>
      <c r="O496" s="666"/>
      <c r="P496" s="666"/>
      <c r="Q496" s="666"/>
      <c r="R496" s="666"/>
      <c r="S496" s="666"/>
      <c r="T496" s="666"/>
      <c r="U496" s="666"/>
      <c r="V496" s="666"/>
      <c r="W496" s="666"/>
      <c r="X496" s="666"/>
      <c r="Y496" s="666"/>
      <c r="Z496" s="666"/>
      <c r="AA496" s="54"/>
      <c r="AB496" s="54"/>
      <c r="AC496" s="54"/>
    </row>
    <row r="497" spans="1:68" ht="16.5" customHeight="1" x14ac:dyDescent="0.25">
      <c r="A497" s="659" t="s">
        <v>801</v>
      </c>
      <c r="B497" s="659"/>
      <c r="C497" s="659"/>
      <c r="D497" s="659"/>
      <c r="E497" s="659"/>
      <c r="F497" s="659"/>
      <c r="G497" s="659"/>
      <c r="H497" s="659"/>
      <c r="I497" s="659"/>
      <c r="J497" s="659"/>
      <c r="K497" s="659"/>
      <c r="L497" s="659"/>
      <c r="M497" s="659"/>
      <c r="N497" s="659"/>
      <c r="O497" s="659"/>
      <c r="P497" s="659"/>
      <c r="Q497" s="659"/>
      <c r="R497" s="659"/>
      <c r="S497" s="659"/>
      <c r="T497" s="659"/>
      <c r="U497" s="659"/>
      <c r="V497" s="659"/>
      <c r="W497" s="659"/>
      <c r="X497" s="659"/>
      <c r="Y497" s="659"/>
      <c r="Z497" s="659"/>
      <c r="AA497" s="65"/>
      <c r="AB497" s="65"/>
      <c r="AC497" s="79"/>
    </row>
    <row r="498" spans="1:68" ht="14.25" customHeight="1" x14ac:dyDescent="0.25">
      <c r="A498" s="660" t="s">
        <v>122</v>
      </c>
      <c r="B498" s="660"/>
      <c r="C498" s="660"/>
      <c r="D498" s="660"/>
      <c r="E498" s="660"/>
      <c r="F498" s="660"/>
      <c r="G498" s="660"/>
      <c r="H498" s="660"/>
      <c r="I498" s="660"/>
      <c r="J498" s="660"/>
      <c r="K498" s="660"/>
      <c r="L498" s="660"/>
      <c r="M498" s="660"/>
      <c r="N498" s="660"/>
      <c r="O498" s="660"/>
      <c r="P498" s="660"/>
      <c r="Q498" s="660"/>
      <c r="R498" s="660"/>
      <c r="S498" s="660"/>
      <c r="T498" s="660"/>
      <c r="U498" s="660"/>
      <c r="V498" s="660"/>
      <c r="W498" s="660"/>
      <c r="X498" s="660"/>
      <c r="Y498" s="660"/>
      <c r="Z498" s="660"/>
      <c r="AA498" s="66"/>
      <c r="AB498" s="66"/>
      <c r="AC498" s="80"/>
    </row>
    <row r="499" spans="1:68" ht="27" customHeight="1" x14ac:dyDescent="0.25">
      <c r="A499" s="63" t="s">
        <v>802</v>
      </c>
      <c r="B499" s="63" t="s">
        <v>803</v>
      </c>
      <c r="C499" s="36">
        <v>4301011769</v>
      </c>
      <c r="D499" s="655">
        <v>4607091389067</v>
      </c>
      <c r="E499" s="655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7"/>
      <c r="R499" s="657"/>
      <c r="S499" s="657"/>
      <c r="T499" s="658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63">IFERROR(IF(X499="",0,CEILING((X499/$H499),1)*$H499),"")</f>
        <v>0</v>
      </c>
      <c r="Z499" s="41" t="str">
        <f t="shared" ref="Z499:Z504" si="64">IFERROR(IF(Y499=0,"",ROUNDUP(Y499/H499,0)*0.01196),"")</f>
        <v/>
      </c>
      <c r="AA499" s="68" t="s">
        <v>46</v>
      </c>
      <c r="AB499" s="69" t="s">
        <v>46</v>
      </c>
      <c r="AC499" s="590" t="s">
        <v>125</v>
      </c>
      <c r="AG499" s="78"/>
      <c r="AJ499" s="84" t="s">
        <v>46</v>
      </c>
      <c r="AK499" s="84">
        <v>0</v>
      </c>
      <c r="BB499" s="591" t="s">
        <v>67</v>
      </c>
      <c r="BM499" s="78">
        <f t="shared" ref="BM499:BM507" si="65">IFERROR(X499*I499/H499,"0")</f>
        <v>0</v>
      </c>
      <c r="BN499" s="78">
        <f t="shared" ref="BN499:BN507" si="66">IFERROR(Y499*I499/H499,"0")</f>
        <v>0</v>
      </c>
      <c r="BO499" s="78">
        <f t="shared" ref="BO499:BO507" si="67">IFERROR(1/J499*(X499/H499),"0")</f>
        <v>0</v>
      </c>
      <c r="BP499" s="78">
        <f t="shared" ref="BP499:BP507" si="68">IFERROR(1/J499*(Y499/H499),"0")</f>
        <v>0</v>
      </c>
    </row>
    <row r="500" spans="1:68" ht="16.5" customHeight="1" x14ac:dyDescent="0.25">
      <c r="A500" s="63" t="s">
        <v>804</v>
      </c>
      <c r="B500" s="63" t="s">
        <v>805</v>
      </c>
      <c r="C500" s="36">
        <v>4301012380</v>
      </c>
      <c r="D500" s="655">
        <v>4680115889576</v>
      </c>
      <c r="E500" s="65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7"/>
      <c r="R500" s="657"/>
      <c r="S500" s="657"/>
      <c r="T500" s="658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3"/>
        <v>0</v>
      </c>
      <c r="Z500" s="41" t="str">
        <f t="shared" si="64"/>
        <v/>
      </c>
      <c r="AA500" s="68" t="s">
        <v>46</v>
      </c>
      <c r="AB500" s="69" t="s">
        <v>46</v>
      </c>
      <c r="AC500" s="592" t="s">
        <v>806</v>
      </c>
      <c r="AG500" s="78"/>
      <c r="AJ500" s="84" t="s">
        <v>46</v>
      </c>
      <c r="AK500" s="84">
        <v>0</v>
      </c>
      <c r="BB500" s="593" t="s">
        <v>67</v>
      </c>
      <c r="BM500" s="78">
        <f t="shared" si="65"/>
        <v>0</v>
      </c>
      <c r="BN500" s="78">
        <f t="shared" si="66"/>
        <v>0</v>
      </c>
      <c r="BO500" s="78">
        <f t="shared" si="67"/>
        <v>0</v>
      </c>
      <c r="BP500" s="78">
        <f t="shared" si="68"/>
        <v>0</v>
      </c>
    </row>
    <row r="501" spans="1:68" ht="27" customHeight="1" x14ac:dyDescent="0.25">
      <c r="A501" s="63" t="s">
        <v>807</v>
      </c>
      <c r="B501" s="63" t="s">
        <v>808</v>
      </c>
      <c r="C501" s="36">
        <v>4301011961</v>
      </c>
      <c r="D501" s="655">
        <v>4680115885271</v>
      </c>
      <c r="E501" s="65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7"/>
      <c r="R501" s="657"/>
      <c r="S501" s="657"/>
      <c r="T501" s="65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3"/>
        <v>0</v>
      </c>
      <c r="Z501" s="41" t="str">
        <f t="shared" si="64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65"/>
        <v>0</v>
      </c>
      <c r="BN501" s="78">
        <f t="shared" si="66"/>
        <v>0</v>
      </c>
      <c r="BO501" s="78">
        <f t="shared" si="67"/>
        <v>0</v>
      </c>
      <c r="BP501" s="78">
        <f t="shared" si="68"/>
        <v>0</v>
      </c>
    </row>
    <row r="502" spans="1:68" ht="27" customHeight="1" x14ac:dyDescent="0.25">
      <c r="A502" s="63" t="s">
        <v>810</v>
      </c>
      <c r="B502" s="63" t="s">
        <v>811</v>
      </c>
      <c r="C502" s="36">
        <v>4301011369</v>
      </c>
      <c r="D502" s="655">
        <v>4680115885226</v>
      </c>
      <c r="E502" s="65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7"/>
      <c r="R502" s="657"/>
      <c r="S502" s="657"/>
      <c r="T502" s="65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3"/>
        <v>0</v>
      </c>
      <c r="Z502" s="41" t="str">
        <f t="shared" si="64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65"/>
        <v>0</v>
      </c>
      <c r="BN502" s="78">
        <f t="shared" si="66"/>
        <v>0</v>
      </c>
      <c r="BO502" s="78">
        <f t="shared" si="67"/>
        <v>0</v>
      </c>
      <c r="BP502" s="78">
        <f t="shared" si="68"/>
        <v>0</v>
      </c>
    </row>
    <row r="503" spans="1:68" ht="16.5" customHeight="1" x14ac:dyDescent="0.25">
      <c r="A503" s="63" t="s">
        <v>813</v>
      </c>
      <c r="B503" s="63" t="s">
        <v>814</v>
      </c>
      <c r="C503" s="36">
        <v>4301011797</v>
      </c>
      <c r="D503" s="655">
        <v>4680115884502</v>
      </c>
      <c r="E503" s="65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7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7"/>
      <c r="R503" s="657"/>
      <c r="S503" s="657"/>
      <c r="T503" s="65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3"/>
        <v>0</v>
      </c>
      <c r="Z503" s="41" t="str">
        <f t="shared" si="64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65"/>
        <v>0</v>
      </c>
      <c r="BN503" s="78">
        <f t="shared" si="66"/>
        <v>0</v>
      </c>
      <c r="BO503" s="78">
        <f t="shared" si="67"/>
        <v>0</v>
      </c>
      <c r="BP503" s="78">
        <f t="shared" si="68"/>
        <v>0</v>
      </c>
    </row>
    <row r="504" spans="1:68" ht="27" customHeight="1" x14ac:dyDescent="0.25">
      <c r="A504" s="63" t="s">
        <v>816</v>
      </c>
      <c r="B504" s="63" t="s">
        <v>817</v>
      </c>
      <c r="C504" s="36">
        <v>4301011771</v>
      </c>
      <c r="D504" s="655">
        <v>4607091389104</v>
      </c>
      <c r="E504" s="65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7"/>
      <c r="R504" s="657"/>
      <c r="S504" s="657"/>
      <c r="T504" s="65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3"/>
        <v>0</v>
      </c>
      <c r="Z504" s="41" t="str">
        <f t="shared" si="64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65"/>
        <v>0</v>
      </c>
      <c r="BN504" s="78">
        <f t="shared" si="66"/>
        <v>0</v>
      </c>
      <c r="BO504" s="78">
        <f t="shared" si="67"/>
        <v>0</v>
      </c>
      <c r="BP504" s="78">
        <f t="shared" si="68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4301012125</v>
      </c>
      <c r="D505" s="655">
        <v>4680115886391</v>
      </c>
      <c r="E505" s="655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7"/>
      <c r="R505" s="657"/>
      <c r="S505" s="657"/>
      <c r="T505" s="65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3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si="65"/>
        <v>0</v>
      </c>
      <c r="BN505" s="78">
        <f t="shared" si="66"/>
        <v>0</v>
      </c>
      <c r="BO505" s="78">
        <f t="shared" si="67"/>
        <v>0</v>
      </c>
      <c r="BP505" s="78">
        <f t="shared" si="68"/>
        <v>0</v>
      </c>
    </row>
    <row r="506" spans="1:68" ht="27" customHeight="1" x14ac:dyDescent="0.25">
      <c r="A506" s="63" t="s">
        <v>821</v>
      </c>
      <c r="B506" s="63" t="s">
        <v>822</v>
      </c>
      <c r="C506" s="36">
        <v>4301012048</v>
      </c>
      <c r="D506" s="655">
        <v>4680115880603</v>
      </c>
      <c r="E506" s="655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7"/>
      <c r="R506" s="657"/>
      <c r="S506" s="657"/>
      <c r="T506" s="65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3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65"/>
        <v>0</v>
      </c>
      <c r="BN506" s="78">
        <f t="shared" si="66"/>
        <v>0</v>
      </c>
      <c r="BO506" s="78">
        <f t="shared" si="67"/>
        <v>0</v>
      </c>
      <c r="BP506" s="78">
        <f t="shared" si="68"/>
        <v>0</v>
      </c>
    </row>
    <row r="507" spans="1:68" ht="27" customHeight="1" x14ac:dyDescent="0.25">
      <c r="A507" s="63" t="s">
        <v>823</v>
      </c>
      <c r="B507" s="63" t="s">
        <v>824</v>
      </c>
      <c r="C507" s="36">
        <v>4301012034</v>
      </c>
      <c r="D507" s="655">
        <v>4607091389982</v>
      </c>
      <c r="E507" s="65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7"/>
      <c r="R507" s="657"/>
      <c r="S507" s="657"/>
      <c r="T507" s="65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3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818</v>
      </c>
      <c r="AG507" s="78"/>
      <c r="AJ507" s="84" t="s">
        <v>46</v>
      </c>
      <c r="AK507" s="84">
        <v>0</v>
      </c>
      <c r="BB507" s="607" t="s">
        <v>67</v>
      </c>
      <c r="BM507" s="78">
        <f t="shared" si="65"/>
        <v>0</v>
      </c>
      <c r="BN507" s="78">
        <f t="shared" si="66"/>
        <v>0</v>
      </c>
      <c r="BO507" s="78">
        <f t="shared" si="67"/>
        <v>0</v>
      </c>
      <c r="BP507" s="78">
        <f t="shared" si="68"/>
        <v>0</v>
      </c>
    </row>
    <row r="508" spans="1:68" x14ac:dyDescent="0.2">
      <c r="A508" s="649"/>
      <c r="B508" s="649"/>
      <c r="C508" s="649"/>
      <c r="D508" s="649"/>
      <c r="E508" s="649"/>
      <c r="F508" s="649"/>
      <c r="G508" s="649"/>
      <c r="H508" s="649"/>
      <c r="I508" s="649"/>
      <c r="J508" s="649"/>
      <c r="K508" s="649"/>
      <c r="L508" s="649"/>
      <c r="M508" s="649"/>
      <c r="N508" s="649"/>
      <c r="O508" s="650"/>
      <c r="P508" s="646" t="s">
        <v>40</v>
      </c>
      <c r="Q508" s="647"/>
      <c r="R508" s="647"/>
      <c r="S508" s="647"/>
      <c r="T508" s="647"/>
      <c r="U508" s="647"/>
      <c r="V508" s="648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x14ac:dyDescent="0.2">
      <c r="A509" s="649"/>
      <c r="B509" s="649"/>
      <c r="C509" s="649"/>
      <c r="D509" s="649"/>
      <c r="E509" s="649"/>
      <c r="F509" s="649"/>
      <c r="G509" s="649"/>
      <c r="H509" s="649"/>
      <c r="I509" s="649"/>
      <c r="J509" s="649"/>
      <c r="K509" s="649"/>
      <c r="L509" s="649"/>
      <c r="M509" s="649"/>
      <c r="N509" s="649"/>
      <c r="O509" s="650"/>
      <c r="P509" s="646" t="s">
        <v>40</v>
      </c>
      <c r="Q509" s="647"/>
      <c r="R509" s="647"/>
      <c r="S509" s="647"/>
      <c r="T509" s="647"/>
      <c r="U509" s="647"/>
      <c r="V509" s="648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customHeight="1" x14ac:dyDescent="0.25">
      <c r="A510" s="660" t="s">
        <v>158</v>
      </c>
      <c r="B510" s="660"/>
      <c r="C510" s="660"/>
      <c r="D510" s="660"/>
      <c r="E510" s="660"/>
      <c r="F510" s="660"/>
      <c r="G510" s="660"/>
      <c r="H510" s="660"/>
      <c r="I510" s="660"/>
      <c r="J510" s="660"/>
      <c r="K510" s="660"/>
      <c r="L510" s="660"/>
      <c r="M510" s="660"/>
      <c r="N510" s="660"/>
      <c r="O510" s="660"/>
      <c r="P510" s="660"/>
      <c r="Q510" s="660"/>
      <c r="R510" s="660"/>
      <c r="S510" s="660"/>
      <c r="T510" s="660"/>
      <c r="U510" s="660"/>
      <c r="V510" s="660"/>
      <c r="W510" s="660"/>
      <c r="X510" s="660"/>
      <c r="Y510" s="660"/>
      <c r="Z510" s="660"/>
      <c r="AA510" s="66"/>
      <c r="AB510" s="66"/>
      <c r="AC510" s="80"/>
    </row>
    <row r="511" spans="1:68" ht="16.5" customHeight="1" x14ac:dyDescent="0.25">
      <c r="A511" s="63" t="s">
        <v>825</v>
      </c>
      <c r="B511" s="63" t="s">
        <v>826</v>
      </c>
      <c r="C511" s="36">
        <v>4301020334</v>
      </c>
      <c r="D511" s="655">
        <v>4607091388930</v>
      </c>
      <c r="E511" s="65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7"/>
      <c r="R511" s="657"/>
      <c r="S511" s="657"/>
      <c r="T511" s="658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8" t="s">
        <v>827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customHeight="1" x14ac:dyDescent="0.25">
      <c r="A512" s="63" t="s">
        <v>828</v>
      </c>
      <c r="B512" s="63" t="s">
        <v>829</v>
      </c>
      <c r="C512" s="36">
        <v>4301020374</v>
      </c>
      <c r="D512" s="655">
        <v>4680115886407</v>
      </c>
      <c r="E512" s="655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7"/>
      <c r="R512" s="657"/>
      <c r="S512" s="657"/>
      <c r="T512" s="658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0" t="s">
        <v>827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customHeight="1" x14ac:dyDescent="0.25">
      <c r="A513" s="63" t="s">
        <v>830</v>
      </c>
      <c r="B513" s="63" t="s">
        <v>831</v>
      </c>
      <c r="C513" s="36">
        <v>4301020385</v>
      </c>
      <c r="D513" s="655">
        <v>4680115880054</v>
      </c>
      <c r="E513" s="65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7"/>
      <c r="R513" s="657"/>
      <c r="S513" s="657"/>
      <c r="T513" s="65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2" t="s">
        <v>827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649"/>
      <c r="B514" s="649"/>
      <c r="C514" s="649"/>
      <c r="D514" s="649"/>
      <c r="E514" s="649"/>
      <c r="F514" s="649"/>
      <c r="G514" s="649"/>
      <c r="H514" s="649"/>
      <c r="I514" s="649"/>
      <c r="J514" s="649"/>
      <c r="K514" s="649"/>
      <c r="L514" s="649"/>
      <c r="M514" s="649"/>
      <c r="N514" s="649"/>
      <c r="O514" s="650"/>
      <c r="P514" s="646" t="s">
        <v>40</v>
      </c>
      <c r="Q514" s="647"/>
      <c r="R514" s="647"/>
      <c r="S514" s="647"/>
      <c r="T514" s="647"/>
      <c r="U514" s="647"/>
      <c r="V514" s="648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x14ac:dyDescent="0.2">
      <c r="A515" s="649"/>
      <c r="B515" s="649"/>
      <c r="C515" s="649"/>
      <c r="D515" s="649"/>
      <c r="E515" s="649"/>
      <c r="F515" s="649"/>
      <c r="G515" s="649"/>
      <c r="H515" s="649"/>
      <c r="I515" s="649"/>
      <c r="J515" s="649"/>
      <c r="K515" s="649"/>
      <c r="L515" s="649"/>
      <c r="M515" s="649"/>
      <c r="N515" s="649"/>
      <c r="O515" s="650"/>
      <c r="P515" s="646" t="s">
        <v>40</v>
      </c>
      <c r="Q515" s="647"/>
      <c r="R515" s="647"/>
      <c r="S515" s="647"/>
      <c r="T515" s="647"/>
      <c r="U515" s="647"/>
      <c r="V515" s="648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customHeight="1" x14ac:dyDescent="0.25">
      <c r="A516" s="660" t="s">
        <v>77</v>
      </c>
      <c r="B516" s="660"/>
      <c r="C516" s="660"/>
      <c r="D516" s="660"/>
      <c r="E516" s="660"/>
      <c r="F516" s="660"/>
      <c r="G516" s="660"/>
      <c r="H516" s="660"/>
      <c r="I516" s="660"/>
      <c r="J516" s="660"/>
      <c r="K516" s="660"/>
      <c r="L516" s="660"/>
      <c r="M516" s="660"/>
      <c r="N516" s="660"/>
      <c r="O516" s="660"/>
      <c r="P516" s="660"/>
      <c r="Q516" s="660"/>
      <c r="R516" s="660"/>
      <c r="S516" s="660"/>
      <c r="T516" s="660"/>
      <c r="U516" s="660"/>
      <c r="V516" s="660"/>
      <c r="W516" s="660"/>
      <c r="X516" s="660"/>
      <c r="Y516" s="660"/>
      <c r="Z516" s="660"/>
      <c r="AA516" s="66"/>
      <c r="AB516" s="66"/>
      <c r="AC516" s="80"/>
    </row>
    <row r="517" spans="1:68" ht="27" customHeight="1" x14ac:dyDescent="0.25">
      <c r="A517" s="63" t="s">
        <v>832</v>
      </c>
      <c r="B517" s="63" t="s">
        <v>833</v>
      </c>
      <c r="C517" s="36">
        <v>4301031349</v>
      </c>
      <c r="D517" s="655">
        <v>4680115883116</v>
      </c>
      <c r="E517" s="65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7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7"/>
      <c r="R517" s="657"/>
      <c r="S517" s="657"/>
      <c r="T517" s="658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69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834</v>
      </c>
      <c r="AG517" s="78"/>
      <c r="AJ517" s="84" t="s">
        <v>46</v>
      </c>
      <c r="AK517" s="84">
        <v>0</v>
      </c>
      <c r="BB517" s="615" t="s">
        <v>67</v>
      </c>
      <c r="BM517" s="78">
        <f t="shared" ref="BM517:BM523" si="70">IFERROR(X517*I517/H517,"0")</f>
        <v>0</v>
      </c>
      <c r="BN517" s="78">
        <f t="shared" ref="BN517:BN523" si="71">IFERROR(Y517*I517/H517,"0")</f>
        <v>0</v>
      </c>
      <c r="BO517" s="78">
        <f t="shared" ref="BO517:BO523" si="72">IFERROR(1/J517*(X517/H517),"0")</f>
        <v>0</v>
      </c>
      <c r="BP517" s="78">
        <f t="shared" ref="BP517:BP523" si="73">IFERROR(1/J517*(Y517/H517),"0")</f>
        <v>0</v>
      </c>
    </row>
    <row r="518" spans="1:68" ht="27" customHeight="1" x14ac:dyDescent="0.25">
      <c r="A518" s="63" t="s">
        <v>835</v>
      </c>
      <c r="B518" s="63" t="s">
        <v>836</v>
      </c>
      <c r="C518" s="36">
        <v>4301031350</v>
      </c>
      <c r="D518" s="655">
        <v>4680115883093</v>
      </c>
      <c r="E518" s="65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7"/>
      <c r="R518" s="657"/>
      <c r="S518" s="657"/>
      <c r="T518" s="65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9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si="70"/>
        <v>0</v>
      </c>
      <c r="BN518" s="78">
        <f t="shared" si="71"/>
        <v>0</v>
      </c>
      <c r="BO518" s="78">
        <f t="shared" si="72"/>
        <v>0</v>
      </c>
      <c r="BP518" s="78">
        <f t="shared" si="73"/>
        <v>0</v>
      </c>
    </row>
    <row r="519" spans="1:68" ht="27" customHeight="1" x14ac:dyDescent="0.25">
      <c r="A519" s="63" t="s">
        <v>838</v>
      </c>
      <c r="B519" s="63" t="s">
        <v>839</v>
      </c>
      <c r="C519" s="36">
        <v>4301031353</v>
      </c>
      <c r="D519" s="655">
        <v>4680115883109</v>
      </c>
      <c r="E519" s="65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7"/>
      <c r="R519" s="657"/>
      <c r="S519" s="657"/>
      <c r="T519" s="65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9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0"/>
        <v>0</v>
      </c>
      <c r="BN519" s="78">
        <f t="shared" si="71"/>
        <v>0</v>
      </c>
      <c r="BO519" s="78">
        <f t="shared" si="72"/>
        <v>0</v>
      </c>
      <c r="BP519" s="78">
        <f t="shared" si="73"/>
        <v>0</v>
      </c>
    </row>
    <row r="520" spans="1:68" ht="27" customHeight="1" x14ac:dyDescent="0.25">
      <c r="A520" s="63" t="s">
        <v>841</v>
      </c>
      <c r="B520" s="63" t="s">
        <v>842</v>
      </c>
      <c r="C520" s="36">
        <v>4301031419</v>
      </c>
      <c r="D520" s="655">
        <v>4680115882072</v>
      </c>
      <c r="E520" s="655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7"/>
      <c r="R520" s="657"/>
      <c r="S520" s="657"/>
      <c r="T520" s="65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9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834</v>
      </c>
      <c r="AG520" s="78"/>
      <c r="AJ520" s="84" t="s">
        <v>46</v>
      </c>
      <c r="AK520" s="84">
        <v>0</v>
      </c>
      <c r="BB520" s="621" t="s">
        <v>67</v>
      </c>
      <c r="BM520" s="78">
        <f t="shared" si="70"/>
        <v>0</v>
      </c>
      <c r="BN520" s="78">
        <f t="shared" si="71"/>
        <v>0</v>
      </c>
      <c r="BO520" s="78">
        <f t="shared" si="72"/>
        <v>0</v>
      </c>
      <c r="BP520" s="78">
        <f t="shared" si="73"/>
        <v>0</v>
      </c>
    </row>
    <row r="521" spans="1:68" ht="27" customHeight="1" x14ac:dyDescent="0.25">
      <c r="A521" s="63" t="s">
        <v>843</v>
      </c>
      <c r="B521" s="63" t="s">
        <v>844</v>
      </c>
      <c r="C521" s="36">
        <v>4301031352</v>
      </c>
      <c r="D521" s="655">
        <v>4680115882102</v>
      </c>
      <c r="E521" s="655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6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7"/>
      <c r="R521" s="657"/>
      <c r="S521" s="657"/>
      <c r="T521" s="65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69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0"/>
        <v>0</v>
      </c>
      <c r="BN521" s="78">
        <f t="shared" si="71"/>
        <v>0</v>
      </c>
      <c r="BO521" s="78">
        <f t="shared" si="72"/>
        <v>0</v>
      </c>
      <c r="BP521" s="78">
        <f t="shared" si="73"/>
        <v>0</v>
      </c>
    </row>
    <row r="522" spans="1:68" ht="27" customHeight="1" x14ac:dyDescent="0.25">
      <c r="A522" s="63" t="s">
        <v>843</v>
      </c>
      <c r="B522" s="63" t="s">
        <v>845</v>
      </c>
      <c r="C522" s="36">
        <v>4301031418</v>
      </c>
      <c r="D522" s="655">
        <v>4680115882102</v>
      </c>
      <c r="E522" s="655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7"/>
      <c r="R522" s="657"/>
      <c r="S522" s="657"/>
      <c r="T522" s="65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69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837</v>
      </c>
      <c r="AG522" s="78"/>
      <c r="AJ522" s="84" t="s">
        <v>46</v>
      </c>
      <c r="AK522" s="84">
        <v>0</v>
      </c>
      <c r="BB522" s="625" t="s">
        <v>67</v>
      </c>
      <c r="BM522" s="78">
        <f t="shared" si="70"/>
        <v>0</v>
      </c>
      <c r="BN522" s="78">
        <f t="shared" si="71"/>
        <v>0</v>
      </c>
      <c r="BO522" s="78">
        <f t="shared" si="72"/>
        <v>0</v>
      </c>
      <c r="BP522" s="78">
        <f t="shared" si="73"/>
        <v>0</v>
      </c>
    </row>
    <row r="523" spans="1:68" ht="27" customHeight="1" x14ac:dyDescent="0.25">
      <c r="A523" s="63" t="s">
        <v>846</v>
      </c>
      <c r="B523" s="63" t="s">
        <v>847</v>
      </c>
      <c r="C523" s="36">
        <v>4301031417</v>
      </c>
      <c r="D523" s="655">
        <v>4680115882096</v>
      </c>
      <c r="E523" s="65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7"/>
      <c r="R523" s="657"/>
      <c r="S523" s="657"/>
      <c r="T523" s="65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69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0"/>
        <v>0</v>
      </c>
      <c r="BN523" s="78">
        <f t="shared" si="71"/>
        <v>0</v>
      </c>
      <c r="BO523" s="78">
        <f t="shared" si="72"/>
        <v>0</v>
      </c>
      <c r="BP523" s="78">
        <f t="shared" si="73"/>
        <v>0</v>
      </c>
    </row>
    <row r="524" spans="1:68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customHeight="1" x14ac:dyDescent="0.2">
      <c r="A526" s="666" t="s">
        <v>848</v>
      </c>
      <c r="B526" s="666"/>
      <c r="C526" s="666"/>
      <c r="D526" s="666"/>
      <c r="E526" s="666"/>
      <c r="F526" s="666"/>
      <c r="G526" s="666"/>
      <c r="H526" s="666"/>
      <c r="I526" s="666"/>
      <c r="J526" s="666"/>
      <c r="K526" s="666"/>
      <c r="L526" s="666"/>
      <c r="M526" s="666"/>
      <c r="N526" s="666"/>
      <c r="O526" s="666"/>
      <c r="P526" s="666"/>
      <c r="Q526" s="666"/>
      <c r="R526" s="666"/>
      <c r="S526" s="666"/>
      <c r="T526" s="666"/>
      <c r="U526" s="666"/>
      <c r="V526" s="666"/>
      <c r="W526" s="666"/>
      <c r="X526" s="666"/>
      <c r="Y526" s="666"/>
      <c r="Z526" s="666"/>
      <c r="AA526" s="54"/>
      <c r="AB526" s="54"/>
      <c r="AC526" s="54"/>
    </row>
    <row r="527" spans="1:68" ht="16.5" customHeight="1" x14ac:dyDescent="0.25">
      <c r="A527" s="659" t="s">
        <v>848</v>
      </c>
      <c r="B527" s="659"/>
      <c r="C527" s="659"/>
      <c r="D527" s="659"/>
      <c r="E527" s="659"/>
      <c r="F527" s="659"/>
      <c r="G527" s="659"/>
      <c r="H527" s="659"/>
      <c r="I527" s="659"/>
      <c r="J527" s="659"/>
      <c r="K527" s="659"/>
      <c r="L527" s="659"/>
      <c r="M527" s="659"/>
      <c r="N527" s="659"/>
      <c r="O527" s="659"/>
      <c r="P527" s="659"/>
      <c r="Q527" s="659"/>
      <c r="R527" s="659"/>
      <c r="S527" s="659"/>
      <c r="T527" s="659"/>
      <c r="U527" s="659"/>
      <c r="V527" s="659"/>
      <c r="W527" s="659"/>
      <c r="X527" s="659"/>
      <c r="Y527" s="659"/>
      <c r="Z527" s="659"/>
      <c r="AA527" s="65"/>
      <c r="AB527" s="65"/>
      <c r="AC527" s="79"/>
    </row>
    <row r="528" spans="1:68" ht="14.25" customHeight="1" x14ac:dyDescent="0.25">
      <c r="A528" s="660" t="s">
        <v>122</v>
      </c>
      <c r="B528" s="660"/>
      <c r="C528" s="660"/>
      <c r="D528" s="660"/>
      <c r="E528" s="660"/>
      <c r="F528" s="660"/>
      <c r="G528" s="660"/>
      <c r="H528" s="660"/>
      <c r="I528" s="660"/>
      <c r="J528" s="660"/>
      <c r="K528" s="660"/>
      <c r="L528" s="660"/>
      <c r="M528" s="660"/>
      <c r="N528" s="660"/>
      <c r="O528" s="660"/>
      <c r="P528" s="660"/>
      <c r="Q528" s="660"/>
      <c r="R528" s="660"/>
      <c r="S528" s="660"/>
      <c r="T528" s="660"/>
      <c r="U528" s="660"/>
      <c r="V528" s="660"/>
      <c r="W528" s="660"/>
      <c r="X528" s="660"/>
      <c r="Y528" s="660"/>
      <c r="Z528" s="660"/>
      <c r="AA528" s="66"/>
      <c r="AB528" s="66"/>
      <c r="AC528" s="80"/>
    </row>
    <row r="529" spans="1:68" ht="27" customHeight="1" x14ac:dyDescent="0.25">
      <c r="A529" s="63" t="s">
        <v>849</v>
      </c>
      <c r="B529" s="63" t="s">
        <v>850</v>
      </c>
      <c r="C529" s="36">
        <v>4301011584</v>
      </c>
      <c r="D529" s="655">
        <v>4640242180564</v>
      </c>
      <c r="E529" s="655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7"/>
      <c r="R529" s="657"/>
      <c r="S529" s="657"/>
      <c r="T529" s="658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8" t="s">
        <v>851</v>
      </c>
      <c r="AG529" s="78"/>
      <c r="AJ529" s="84" t="s">
        <v>46</v>
      </c>
      <c r="AK529" s="84">
        <v>0</v>
      </c>
      <c r="BB529" s="62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">
      <c r="A530" s="649"/>
      <c r="B530" s="649"/>
      <c r="C530" s="649"/>
      <c r="D530" s="649"/>
      <c r="E530" s="649"/>
      <c r="F530" s="649"/>
      <c r="G530" s="649"/>
      <c r="H530" s="649"/>
      <c r="I530" s="649"/>
      <c r="J530" s="649"/>
      <c r="K530" s="649"/>
      <c r="L530" s="649"/>
      <c r="M530" s="649"/>
      <c r="N530" s="649"/>
      <c r="O530" s="650"/>
      <c r="P530" s="646" t="s">
        <v>40</v>
      </c>
      <c r="Q530" s="647"/>
      <c r="R530" s="647"/>
      <c r="S530" s="647"/>
      <c r="T530" s="647"/>
      <c r="U530" s="647"/>
      <c r="V530" s="648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">
      <c r="A531" s="649"/>
      <c r="B531" s="649"/>
      <c r="C531" s="649"/>
      <c r="D531" s="649"/>
      <c r="E531" s="649"/>
      <c r="F531" s="649"/>
      <c r="G531" s="649"/>
      <c r="H531" s="649"/>
      <c r="I531" s="649"/>
      <c r="J531" s="649"/>
      <c r="K531" s="649"/>
      <c r="L531" s="649"/>
      <c r="M531" s="649"/>
      <c r="N531" s="649"/>
      <c r="O531" s="650"/>
      <c r="P531" s="646" t="s">
        <v>40</v>
      </c>
      <c r="Q531" s="647"/>
      <c r="R531" s="647"/>
      <c r="S531" s="647"/>
      <c r="T531" s="647"/>
      <c r="U531" s="647"/>
      <c r="V531" s="648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660" t="s">
        <v>158</v>
      </c>
      <c r="B532" s="660"/>
      <c r="C532" s="660"/>
      <c r="D532" s="660"/>
      <c r="E532" s="660"/>
      <c r="F532" s="660"/>
      <c r="G532" s="660"/>
      <c r="H532" s="660"/>
      <c r="I532" s="660"/>
      <c r="J532" s="660"/>
      <c r="K532" s="660"/>
      <c r="L532" s="660"/>
      <c r="M532" s="660"/>
      <c r="N532" s="660"/>
      <c r="O532" s="660"/>
      <c r="P532" s="660"/>
      <c r="Q532" s="660"/>
      <c r="R532" s="660"/>
      <c r="S532" s="660"/>
      <c r="T532" s="660"/>
      <c r="U532" s="660"/>
      <c r="V532" s="660"/>
      <c r="W532" s="660"/>
      <c r="X532" s="660"/>
      <c r="Y532" s="660"/>
      <c r="Z532" s="660"/>
      <c r="AA532" s="66"/>
      <c r="AB532" s="66"/>
      <c r="AC532" s="80"/>
    </row>
    <row r="533" spans="1:68" ht="27" customHeight="1" x14ac:dyDescent="0.25">
      <c r="A533" s="63" t="s">
        <v>852</v>
      </c>
      <c r="B533" s="63" t="s">
        <v>853</v>
      </c>
      <c r="C533" s="36">
        <v>4301020400</v>
      </c>
      <c r="D533" s="655">
        <v>4640242180519</v>
      </c>
      <c r="E533" s="655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6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7"/>
      <c r="R533" s="657"/>
      <c r="S533" s="657"/>
      <c r="T533" s="658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0" t="s">
        <v>854</v>
      </c>
      <c r="AG533" s="78"/>
      <c r="AJ533" s="84" t="s">
        <v>46</v>
      </c>
      <c r="AK533" s="84">
        <v>0</v>
      </c>
      <c r="BB533" s="63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customHeight="1" x14ac:dyDescent="0.25">
      <c r="A536" s="660" t="s">
        <v>77</v>
      </c>
      <c r="B536" s="660"/>
      <c r="C536" s="660"/>
      <c r="D536" s="660"/>
      <c r="E536" s="660"/>
      <c r="F536" s="660"/>
      <c r="G536" s="660"/>
      <c r="H536" s="660"/>
      <c r="I536" s="660"/>
      <c r="J536" s="660"/>
      <c r="K536" s="660"/>
      <c r="L536" s="660"/>
      <c r="M536" s="660"/>
      <c r="N536" s="660"/>
      <c r="O536" s="660"/>
      <c r="P536" s="660"/>
      <c r="Q536" s="660"/>
      <c r="R536" s="660"/>
      <c r="S536" s="660"/>
      <c r="T536" s="660"/>
      <c r="U536" s="660"/>
      <c r="V536" s="660"/>
      <c r="W536" s="660"/>
      <c r="X536" s="660"/>
      <c r="Y536" s="660"/>
      <c r="Z536" s="660"/>
      <c r="AA536" s="66"/>
      <c r="AB536" s="66"/>
      <c r="AC536" s="80"/>
    </row>
    <row r="537" spans="1:68" ht="27" customHeight="1" x14ac:dyDescent="0.25">
      <c r="A537" s="63" t="s">
        <v>855</v>
      </c>
      <c r="B537" s="63" t="s">
        <v>856</v>
      </c>
      <c r="C537" s="36">
        <v>4301031500</v>
      </c>
      <c r="D537" s="655">
        <v>4640242180595</v>
      </c>
      <c r="E537" s="655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7"/>
      <c r="R537" s="657"/>
      <c r="S537" s="657"/>
      <c r="T537" s="658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2" t="s">
        <v>857</v>
      </c>
      <c r="AG537" s="78"/>
      <c r="AJ537" s="84" t="s">
        <v>46</v>
      </c>
      <c r="AK537" s="84">
        <v>0</v>
      </c>
      <c r="BB537" s="633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x14ac:dyDescent="0.2">
      <c r="A538" s="649"/>
      <c r="B538" s="649"/>
      <c r="C538" s="649"/>
      <c r="D538" s="649"/>
      <c r="E538" s="649"/>
      <c r="F538" s="649"/>
      <c r="G538" s="649"/>
      <c r="H538" s="649"/>
      <c r="I538" s="649"/>
      <c r="J538" s="649"/>
      <c r="K538" s="649"/>
      <c r="L538" s="649"/>
      <c r="M538" s="649"/>
      <c r="N538" s="649"/>
      <c r="O538" s="650"/>
      <c r="P538" s="646" t="s">
        <v>40</v>
      </c>
      <c r="Q538" s="647"/>
      <c r="R538" s="647"/>
      <c r="S538" s="647"/>
      <c r="T538" s="647"/>
      <c r="U538" s="647"/>
      <c r="V538" s="648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x14ac:dyDescent="0.2">
      <c r="A539" s="649"/>
      <c r="B539" s="649"/>
      <c r="C539" s="649"/>
      <c r="D539" s="649"/>
      <c r="E539" s="649"/>
      <c r="F539" s="649"/>
      <c r="G539" s="649"/>
      <c r="H539" s="649"/>
      <c r="I539" s="649"/>
      <c r="J539" s="649"/>
      <c r="K539" s="649"/>
      <c r="L539" s="649"/>
      <c r="M539" s="649"/>
      <c r="N539" s="649"/>
      <c r="O539" s="650"/>
      <c r="P539" s="646" t="s">
        <v>40</v>
      </c>
      <c r="Q539" s="647"/>
      <c r="R539" s="647"/>
      <c r="S539" s="647"/>
      <c r="T539" s="647"/>
      <c r="U539" s="647"/>
      <c r="V539" s="648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customHeight="1" x14ac:dyDescent="0.25">
      <c r="A540" s="660" t="s">
        <v>86</v>
      </c>
      <c r="B540" s="660"/>
      <c r="C540" s="660"/>
      <c r="D540" s="660"/>
      <c r="E540" s="660"/>
      <c r="F540" s="660"/>
      <c r="G540" s="660"/>
      <c r="H540" s="660"/>
      <c r="I540" s="660"/>
      <c r="J540" s="660"/>
      <c r="K540" s="660"/>
      <c r="L540" s="660"/>
      <c r="M540" s="660"/>
      <c r="N540" s="660"/>
      <c r="O540" s="660"/>
      <c r="P540" s="660"/>
      <c r="Q540" s="660"/>
      <c r="R540" s="660"/>
      <c r="S540" s="660"/>
      <c r="T540" s="660"/>
      <c r="U540" s="660"/>
      <c r="V540" s="660"/>
      <c r="W540" s="660"/>
      <c r="X540" s="660"/>
      <c r="Y540" s="660"/>
      <c r="Z540" s="660"/>
      <c r="AA540" s="66"/>
      <c r="AB540" s="66"/>
      <c r="AC540" s="80"/>
    </row>
    <row r="541" spans="1:68" ht="27" customHeight="1" x14ac:dyDescent="0.25">
      <c r="A541" s="63" t="s">
        <v>858</v>
      </c>
      <c r="B541" s="63" t="s">
        <v>859</v>
      </c>
      <c r="C541" s="36">
        <v>4301052043</v>
      </c>
      <c r="D541" s="655">
        <v>4640242180533</v>
      </c>
      <c r="E541" s="655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6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7"/>
      <c r="R541" s="657"/>
      <c r="S541" s="657"/>
      <c r="T541" s="658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4" t="s">
        <v>860</v>
      </c>
      <c r="AG541" s="78"/>
      <c r="AJ541" s="84" t="s">
        <v>46</v>
      </c>
      <c r="AK541" s="84">
        <v>0</v>
      </c>
      <c r="BB541" s="635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x14ac:dyDescent="0.2">
      <c r="A542" s="649"/>
      <c r="B542" s="649"/>
      <c r="C542" s="649"/>
      <c r="D542" s="649"/>
      <c r="E542" s="649"/>
      <c r="F542" s="649"/>
      <c r="G542" s="649"/>
      <c r="H542" s="649"/>
      <c r="I542" s="649"/>
      <c r="J542" s="649"/>
      <c r="K542" s="649"/>
      <c r="L542" s="649"/>
      <c r="M542" s="649"/>
      <c r="N542" s="649"/>
      <c r="O542" s="650"/>
      <c r="P542" s="646" t="s">
        <v>40</v>
      </c>
      <c r="Q542" s="647"/>
      <c r="R542" s="647"/>
      <c r="S542" s="647"/>
      <c r="T542" s="647"/>
      <c r="U542" s="647"/>
      <c r="V542" s="648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x14ac:dyDescent="0.2">
      <c r="A543" s="649"/>
      <c r="B543" s="649"/>
      <c r="C543" s="649"/>
      <c r="D543" s="649"/>
      <c r="E543" s="649"/>
      <c r="F543" s="649"/>
      <c r="G543" s="649"/>
      <c r="H543" s="649"/>
      <c r="I543" s="649"/>
      <c r="J543" s="649"/>
      <c r="K543" s="649"/>
      <c r="L543" s="649"/>
      <c r="M543" s="649"/>
      <c r="N543" s="649"/>
      <c r="O543" s="650"/>
      <c r="P543" s="646" t="s">
        <v>40</v>
      </c>
      <c r="Q543" s="647"/>
      <c r="R543" s="647"/>
      <c r="S543" s="647"/>
      <c r="T543" s="647"/>
      <c r="U543" s="647"/>
      <c r="V543" s="648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customHeight="1" x14ac:dyDescent="0.25">
      <c r="A544" s="660" t="s">
        <v>175</v>
      </c>
      <c r="B544" s="660"/>
      <c r="C544" s="660"/>
      <c r="D544" s="660"/>
      <c r="E544" s="660"/>
      <c r="F544" s="660"/>
      <c r="G544" s="660"/>
      <c r="H544" s="660"/>
      <c r="I544" s="660"/>
      <c r="J544" s="660"/>
      <c r="K544" s="660"/>
      <c r="L544" s="660"/>
      <c r="M544" s="660"/>
      <c r="N544" s="660"/>
      <c r="O544" s="660"/>
      <c r="P544" s="660"/>
      <c r="Q544" s="660"/>
      <c r="R544" s="660"/>
      <c r="S544" s="660"/>
      <c r="T544" s="660"/>
      <c r="U544" s="660"/>
      <c r="V544" s="660"/>
      <c r="W544" s="660"/>
      <c r="X544" s="660"/>
      <c r="Y544" s="660"/>
      <c r="Z544" s="660"/>
      <c r="AA544" s="66"/>
      <c r="AB544" s="66"/>
      <c r="AC544" s="80"/>
    </row>
    <row r="545" spans="1:68" ht="27" customHeight="1" x14ac:dyDescent="0.25">
      <c r="A545" s="63" t="s">
        <v>861</v>
      </c>
      <c r="B545" s="63" t="s">
        <v>862</v>
      </c>
      <c r="C545" s="36">
        <v>4301060535</v>
      </c>
      <c r="D545" s="655">
        <v>4640242180120</v>
      </c>
      <c r="E545" s="655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7"/>
      <c r="R545" s="657"/>
      <c r="S545" s="657"/>
      <c r="T545" s="658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863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customHeight="1" x14ac:dyDescent="0.25">
      <c r="A546" s="63" t="s">
        <v>864</v>
      </c>
      <c r="B546" s="63" t="s">
        <v>865</v>
      </c>
      <c r="C546" s="36">
        <v>4301060536</v>
      </c>
      <c r="D546" s="655">
        <v>4640242180137</v>
      </c>
      <c r="E546" s="65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5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7"/>
      <c r="R546" s="657"/>
      <c r="S546" s="657"/>
      <c r="T546" s="65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x14ac:dyDescent="0.2">
      <c r="A547" s="649"/>
      <c r="B547" s="649"/>
      <c r="C547" s="649"/>
      <c r="D547" s="649"/>
      <c r="E547" s="649"/>
      <c r="F547" s="649"/>
      <c r="G547" s="649"/>
      <c r="H547" s="649"/>
      <c r="I547" s="649"/>
      <c r="J547" s="649"/>
      <c r="K547" s="649"/>
      <c r="L547" s="649"/>
      <c r="M547" s="649"/>
      <c r="N547" s="649"/>
      <c r="O547" s="650"/>
      <c r="P547" s="646" t="s">
        <v>40</v>
      </c>
      <c r="Q547" s="647"/>
      <c r="R547" s="647"/>
      <c r="S547" s="647"/>
      <c r="T547" s="647"/>
      <c r="U547" s="647"/>
      <c r="V547" s="648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customHeight="1" x14ac:dyDescent="0.25">
      <c r="A549" s="659" t="s">
        <v>867</v>
      </c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59"/>
      <c r="P549" s="659"/>
      <c r="Q549" s="659"/>
      <c r="R549" s="659"/>
      <c r="S549" s="659"/>
      <c r="T549" s="659"/>
      <c r="U549" s="659"/>
      <c r="V549" s="659"/>
      <c r="W549" s="659"/>
      <c r="X549" s="659"/>
      <c r="Y549" s="659"/>
      <c r="Z549" s="659"/>
      <c r="AA549" s="65"/>
      <c r="AB549" s="65"/>
      <c r="AC549" s="79"/>
    </row>
    <row r="550" spans="1:68" ht="14.25" customHeight="1" x14ac:dyDescent="0.25">
      <c r="A550" s="660" t="s">
        <v>158</v>
      </c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0"/>
      <c r="P550" s="660"/>
      <c r="Q550" s="660"/>
      <c r="R550" s="660"/>
      <c r="S550" s="660"/>
      <c r="T550" s="660"/>
      <c r="U550" s="660"/>
      <c r="V550" s="660"/>
      <c r="W550" s="660"/>
      <c r="X550" s="660"/>
      <c r="Y550" s="660"/>
      <c r="Z550" s="660"/>
      <c r="AA550" s="66"/>
      <c r="AB550" s="66"/>
      <c r="AC550" s="80"/>
    </row>
    <row r="551" spans="1:68" ht="27" customHeight="1" x14ac:dyDescent="0.25">
      <c r="A551" s="63" t="s">
        <v>868</v>
      </c>
      <c r="B551" s="63" t="s">
        <v>869</v>
      </c>
      <c r="C551" s="36">
        <v>4301020428</v>
      </c>
      <c r="D551" s="655">
        <v>4640242180090</v>
      </c>
      <c r="E551" s="655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6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57"/>
      <c r="R551" s="657"/>
      <c r="S551" s="657"/>
      <c r="T551" s="65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0" t="s">
        <v>870</v>
      </c>
      <c r="AG551" s="78"/>
      <c r="AJ551" s="84" t="s">
        <v>46</v>
      </c>
      <c r="AK551" s="84">
        <v>0</v>
      </c>
      <c r="BB551" s="641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49"/>
      <c r="B554" s="649"/>
      <c r="C554" s="649"/>
      <c r="D554" s="649"/>
      <c r="E554" s="649"/>
      <c r="F554" s="649"/>
      <c r="G554" s="649"/>
      <c r="H554" s="649"/>
      <c r="I554" s="649"/>
      <c r="J554" s="649"/>
      <c r="K554" s="649"/>
      <c r="L554" s="649"/>
      <c r="M554" s="649"/>
      <c r="N554" s="649"/>
      <c r="O554" s="654"/>
      <c r="P554" s="651" t="s">
        <v>33</v>
      </c>
      <c r="Q554" s="652"/>
      <c r="R554" s="652"/>
      <c r="S554" s="652"/>
      <c r="T554" s="652"/>
      <c r="U554" s="652"/>
      <c r="V554" s="653"/>
      <c r="W554" s="42" t="s">
        <v>0</v>
      </c>
      <c r="X554" s="43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2100</v>
      </c>
      <c r="Y554" s="43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2100</v>
      </c>
      <c r="Z554" s="42"/>
      <c r="AA554" s="67"/>
      <c r="AB554" s="67"/>
      <c r="AC554" s="67"/>
    </row>
    <row r="555" spans="1:68" x14ac:dyDescent="0.2">
      <c r="A555" s="649"/>
      <c r="B555" s="649"/>
      <c r="C555" s="649"/>
      <c r="D555" s="649"/>
      <c r="E555" s="649"/>
      <c r="F555" s="649"/>
      <c r="G555" s="649"/>
      <c r="H555" s="649"/>
      <c r="I555" s="649"/>
      <c r="J555" s="649"/>
      <c r="K555" s="649"/>
      <c r="L555" s="649"/>
      <c r="M555" s="649"/>
      <c r="N555" s="649"/>
      <c r="O555" s="654"/>
      <c r="P555" s="651" t="s">
        <v>34</v>
      </c>
      <c r="Q555" s="652"/>
      <c r="R555" s="652"/>
      <c r="S555" s="652"/>
      <c r="T555" s="652"/>
      <c r="U555" s="652"/>
      <c r="V555" s="653"/>
      <c r="W555" s="42" t="s">
        <v>0</v>
      </c>
      <c r="X555" s="43">
        <f>IFERROR(SUM(BM22:BM551),"0")</f>
        <v>2165.8000000000002</v>
      </c>
      <c r="Y555" s="43">
        <f>IFERROR(SUM(BN22:BN551),"0")</f>
        <v>2165.8000000000002</v>
      </c>
      <c r="Z555" s="42"/>
      <c r="AA555" s="67"/>
      <c r="AB555" s="67"/>
      <c r="AC555" s="67"/>
    </row>
    <row r="556" spans="1:68" x14ac:dyDescent="0.2">
      <c r="A556" s="649"/>
      <c r="B556" s="649"/>
      <c r="C556" s="649"/>
      <c r="D556" s="649"/>
      <c r="E556" s="649"/>
      <c r="F556" s="649"/>
      <c r="G556" s="649"/>
      <c r="H556" s="649"/>
      <c r="I556" s="649"/>
      <c r="J556" s="649"/>
      <c r="K556" s="649"/>
      <c r="L556" s="649"/>
      <c r="M556" s="649"/>
      <c r="N556" s="649"/>
      <c r="O556" s="654"/>
      <c r="P556" s="651" t="s">
        <v>35</v>
      </c>
      <c r="Q556" s="652"/>
      <c r="R556" s="652"/>
      <c r="S556" s="652"/>
      <c r="T556" s="652"/>
      <c r="U556" s="652"/>
      <c r="V556" s="653"/>
      <c r="W556" s="42" t="s">
        <v>20</v>
      </c>
      <c r="X556" s="44">
        <f>ROUNDUP(SUM(BO22:BO551),0)</f>
        <v>3</v>
      </c>
      <c r="Y556" s="44">
        <f>ROUNDUP(SUM(BP22:BP551),0)</f>
        <v>3</v>
      </c>
      <c r="Z556" s="42"/>
      <c r="AA556" s="67"/>
      <c r="AB556" s="67"/>
      <c r="AC556" s="67"/>
    </row>
    <row r="557" spans="1:68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4"/>
      <c r="P557" s="651" t="s">
        <v>36</v>
      </c>
      <c r="Q557" s="652"/>
      <c r="R557" s="652"/>
      <c r="S557" s="652"/>
      <c r="T557" s="652"/>
      <c r="U557" s="652"/>
      <c r="V557" s="653"/>
      <c r="W557" s="42" t="s">
        <v>0</v>
      </c>
      <c r="X557" s="43">
        <f>GrossWeightTotal+PalletQtyTotal*25</f>
        <v>2240.8000000000002</v>
      </c>
      <c r="Y557" s="43">
        <f>GrossWeightTotalR+PalletQtyTotalR*25</f>
        <v>2240.8000000000002</v>
      </c>
      <c r="Z557" s="42"/>
      <c r="AA557" s="67"/>
      <c r="AB557" s="67"/>
      <c r="AC557" s="67"/>
    </row>
    <row r="558" spans="1:68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4"/>
      <c r="P558" s="651" t="s">
        <v>37</v>
      </c>
      <c r="Q558" s="652"/>
      <c r="R558" s="652"/>
      <c r="S558" s="652"/>
      <c r="T558" s="652"/>
      <c r="U558" s="652"/>
      <c r="V558" s="653"/>
      <c r="W558" s="42" t="s">
        <v>20</v>
      </c>
      <c r="X558" s="43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140</v>
      </c>
      <c r="Y558" s="43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140</v>
      </c>
      <c r="Z558" s="42"/>
      <c r="AA558" s="67"/>
      <c r="AB558" s="67"/>
      <c r="AC558" s="67"/>
    </row>
    <row r="559" spans="1:68" ht="14.25" x14ac:dyDescent="0.2">
      <c r="A559" s="649"/>
      <c r="B559" s="649"/>
      <c r="C559" s="649"/>
      <c r="D559" s="649"/>
      <c r="E559" s="649"/>
      <c r="F559" s="649"/>
      <c r="G559" s="649"/>
      <c r="H559" s="649"/>
      <c r="I559" s="649"/>
      <c r="J559" s="649"/>
      <c r="K559" s="649"/>
      <c r="L559" s="649"/>
      <c r="M559" s="649"/>
      <c r="N559" s="649"/>
      <c r="O559" s="654"/>
      <c r="P559" s="651" t="s">
        <v>38</v>
      </c>
      <c r="Q559" s="652"/>
      <c r="R559" s="652"/>
      <c r="S559" s="652"/>
      <c r="T559" s="652"/>
      <c r="U559" s="652"/>
      <c r="V559" s="653"/>
      <c r="W559" s="45" t="s">
        <v>52</v>
      </c>
      <c r="X559" s="42"/>
      <c r="Y559" s="42"/>
      <c r="Z559" s="42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3.0449999999999999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642" t="s">
        <v>120</v>
      </c>
      <c r="E561" s="642" t="s">
        <v>120</v>
      </c>
      <c r="F561" s="642" t="s">
        <v>120</v>
      </c>
      <c r="G561" s="642" t="s">
        <v>120</v>
      </c>
      <c r="H561" s="642" t="s">
        <v>120</v>
      </c>
      <c r="I561" s="642" t="s">
        <v>120</v>
      </c>
      <c r="J561" s="642" t="s">
        <v>120</v>
      </c>
      <c r="K561" s="642" t="s">
        <v>353</v>
      </c>
      <c r="L561" s="642" t="s">
        <v>353</v>
      </c>
      <c r="M561" s="642" t="s">
        <v>353</v>
      </c>
      <c r="N561" s="643"/>
      <c r="O561" s="642" t="s">
        <v>353</v>
      </c>
      <c r="P561" s="642" t="s">
        <v>353</v>
      </c>
      <c r="Q561" s="642" t="s">
        <v>353</v>
      </c>
      <c r="R561" s="642" t="s">
        <v>353</v>
      </c>
      <c r="S561" s="642" t="s">
        <v>353</v>
      </c>
      <c r="T561" s="642" t="s">
        <v>353</v>
      </c>
      <c r="U561" s="642" t="s">
        <v>353</v>
      </c>
      <c r="V561" s="642" t="s">
        <v>353</v>
      </c>
      <c r="W561" s="642" t="s">
        <v>699</v>
      </c>
      <c r="X561" s="642" t="s">
        <v>699</v>
      </c>
      <c r="Y561" s="642" t="s">
        <v>765</v>
      </c>
      <c r="Z561" s="642" t="s">
        <v>765</v>
      </c>
      <c r="AA561" s="85" t="s">
        <v>801</v>
      </c>
      <c r="AB561" s="642" t="s">
        <v>848</v>
      </c>
      <c r="AC561" s="642" t="s">
        <v>848</v>
      </c>
      <c r="AF561" s="1"/>
    </row>
    <row r="562" spans="1:32" ht="14.25" customHeight="1" thickTop="1" x14ac:dyDescent="0.2">
      <c r="A562" s="644" t="s">
        <v>10</v>
      </c>
      <c r="B562" s="642" t="s">
        <v>76</v>
      </c>
      <c r="C562" s="642" t="s">
        <v>104</v>
      </c>
      <c r="D562" s="642" t="s">
        <v>121</v>
      </c>
      <c r="E562" s="642" t="s">
        <v>137</v>
      </c>
      <c r="F562" s="642" t="s">
        <v>182</v>
      </c>
      <c r="G562" s="642" t="s">
        <v>203</v>
      </c>
      <c r="H562" s="642" t="s">
        <v>243</v>
      </c>
      <c r="I562" s="642" t="s">
        <v>267</v>
      </c>
      <c r="J562" s="642" t="s">
        <v>120</v>
      </c>
      <c r="K562" s="642" t="s">
        <v>354</v>
      </c>
      <c r="L562" s="642" t="s">
        <v>375</v>
      </c>
      <c r="M562" s="642" t="s">
        <v>442</v>
      </c>
      <c r="N562" s="1"/>
      <c r="O562" s="642" t="s">
        <v>510</v>
      </c>
      <c r="P562" s="642" t="s">
        <v>543</v>
      </c>
      <c r="Q562" s="642" t="s">
        <v>559</v>
      </c>
      <c r="R562" s="642" t="s">
        <v>568</v>
      </c>
      <c r="S562" s="642" t="s">
        <v>589</v>
      </c>
      <c r="T562" s="642" t="s">
        <v>598</v>
      </c>
      <c r="U562" s="642" t="s">
        <v>679</v>
      </c>
      <c r="V562" s="642" t="s">
        <v>689</v>
      </c>
      <c r="W562" s="642" t="s">
        <v>700</v>
      </c>
      <c r="X562" s="642" t="s">
        <v>749</v>
      </c>
      <c r="Y562" s="642" t="s">
        <v>766</v>
      </c>
      <c r="Z562" s="642" t="s">
        <v>789</v>
      </c>
      <c r="AA562" s="642" t="s">
        <v>801</v>
      </c>
      <c r="AB562" s="642" t="s">
        <v>848</v>
      </c>
      <c r="AC562" s="642" t="s">
        <v>867</v>
      </c>
      <c r="AF562" s="1"/>
    </row>
    <row r="563" spans="1:32" ht="13.5" thickBot="1" x14ac:dyDescent="0.25">
      <c r="A563" s="645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1"/>
      <c r="O563" s="642"/>
      <c r="P563" s="642"/>
      <c r="Q563" s="642"/>
      <c r="R563" s="642"/>
      <c r="S563" s="642"/>
      <c r="T563" s="642"/>
      <c r="U563" s="642"/>
      <c r="V563" s="642"/>
      <c r="W563" s="642"/>
      <c r="X563" s="642"/>
      <c r="Y563" s="642"/>
      <c r="Z563" s="642"/>
      <c r="AA563" s="642"/>
      <c r="AB563" s="642"/>
      <c r="AC563" s="64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52">
        <f>IFERROR(Y84*1,"0")+IFERROR(Y85*1,"0")+IFERROR(Y86*1,"0")+IFERROR(Y87*1,"0")+IFERROR(Y91*1,"0")+IFERROR(Y92*1,"0")+IFERROR(Y93*1,"0")+IFERROR(Y94*1,"0")</f>
        <v>0</v>
      </c>
      <c r="G564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52">
        <f>IFERROR(Y129*1,"0")+IFERROR(Y130*1,"0")+IFERROR(Y131*1,"0")+IFERROR(Y135*1,"0")+IFERROR(Y136*1,"0")+IFERROR(Y137*1,"0")+IFERROR(Y138*1,"0")+IFERROR(Y142*1,"0")+IFERROR(Y143*1,"0")+IFERROR(Y144*1,"0")</f>
        <v>0</v>
      </c>
      <c r="I564" s="52">
        <f>IFERROR(Y149*1,"0")+IFERROR(Y150*1,"0")+IFERROR(Y151*1,"0")+IFERROR(Y152*1,"0")+IFERROR(Y153*1,"0")+IFERROR(Y154*1,"0")+IFERROR(Y155*1,"0")+IFERROR(Y159*1,"0")</f>
        <v>0</v>
      </c>
      <c r="J564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52">
        <f>IFERROR(Y206*1,"0")+IFERROR(Y207*1,"0")+IFERROR(Y208*1,"0")+IFERROR(Y209*1,"0")+IFERROR(Y210*1,"0")+IFERROR(Y211*1,"0")+IFERROR(Y212*1,"0")</f>
        <v>0</v>
      </c>
      <c r="L564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1"/>
      <c r="O564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52">
        <f>IFERROR(Y324*1,"0")+IFERROR(Y325*1,"0")+IFERROR(Y326*1,"0")+IFERROR(Y327*1,"0")+IFERROR(Y328*1,"0")</f>
        <v>0</v>
      </c>
      <c r="Q564" s="52">
        <f>IFERROR(Y333*1,"0")+IFERROR(Y334*1,"0")+IFERROR(Y335*1,"0")</f>
        <v>0</v>
      </c>
      <c r="R564" s="52">
        <f>IFERROR(Y340*1,"0")+IFERROR(Y341*1,"0")+IFERROR(Y342*1,"0")+IFERROR(Y343*1,"0")+IFERROR(Y344*1,"0")+IFERROR(Y348*1,"0")+IFERROR(Y349*1,"0")</f>
        <v>0</v>
      </c>
      <c r="S564" s="52">
        <f>IFERROR(Y354*1,"0")+IFERROR(Y355*1,"0")+IFERROR(Y356*1,"0")</f>
        <v>0</v>
      </c>
      <c r="T564" s="52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2100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8" spans="2:8" x14ac:dyDescent="0.2">
      <c r="B8" s="53" t="s">
        <v>880</v>
      </c>
      <c r="C8" s="53" t="s">
        <v>881</v>
      </c>
      <c r="D8" s="53" t="s">
        <v>882</v>
      </c>
      <c r="E8" s="53" t="s">
        <v>46</v>
      </c>
    </row>
    <row r="9" spans="2:8" x14ac:dyDescent="0.2">
      <c r="B9" s="53" t="s">
        <v>883</v>
      </c>
      <c r="C9" s="53" t="s">
        <v>884</v>
      </c>
      <c r="D9" s="53" t="s">
        <v>885</v>
      </c>
      <c r="E9" s="53" t="s">
        <v>46</v>
      </c>
    </row>
    <row r="10" spans="2:8" x14ac:dyDescent="0.2">
      <c r="B10" s="53" t="s">
        <v>886</v>
      </c>
      <c r="C10" s="53" t="s">
        <v>887</v>
      </c>
      <c r="D10" s="53" t="s">
        <v>888</v>
      </c>
      <c r="E10" s="53" t="s">
        <v>46</v>
      </c>
    </row>
    <row r="11" spans="2:8" x14ac:dyDescent="0.2">
      <c r="B11" s="53" t="s">
        <v>889</v>
      </c>
      <c r="C11" s="53" t="s">
        <v>890</v>
      </c>
      <c r="D11" s="53" t="s">
        <v>891</v>
      </c>
      <c r="E11" s="53" t="s">
        <v>46</v>
      </c>
    </row>
    <row r="12" spans="2:8" x14ac:dyDescent="0.2">
      <c r="B12" s="53" t="s">
        <v>892</v>
      </c>
      <c r="C12" s="53" t="s">
        <v>893</v>
      </c>
      <c r="D12" s="53" t="s">
        <v>894</v>
      </c>
      <c r="E12" s="53" t="s">
        <v>46</v>
      </c>
    </row>
    <row r="14" spans="2:8" x14ac:dyDescent="0.2">
      <c r="B14" s="53" t="s">
        <v>895</v>
      </c>
      <c r="C14" s="53" t="s">
        <v>875</v>
      </c>
      <c r="D14" s="53" t="s">
        <v>46</v>
      </c>
      <c r="E14" s="53" t="s">
        <v>46</v>
      </c>
    </row>
    <row r="16" spans="2:8" x14ac:dyDescent="0.2">
      <c r="B16" s="53" t="s">
        <v>896</v>
      </c>
      <c r="C16" s="53" t="s">
        <v>878</v>
      </c>
      <c r="D16" s="53" t="s">
        <v>46</v>
      </c>
      <c r="E16" s="53" t="s">
        <v>46</v>
      </c>
    </row>
    <row r="18" spans="2:5" x14ac:dyDescent="0.2">
      <c r="B18" s="53" t="s">
        <v>897</v>
      </c>
      <c r="C18" s="53" t="s">
        <v>881</v>
      </c>
      <c r="D18" s="53" t="s">
        <v>46</v>
      </c>
      <c r="E18" s="53" t="s">
        <v>46</v>
      </c>
    </row>
    <row r="20" spans="2:5" x14ac:dyDescent="0.2">
      <c r="B20" s="53" t="s">
        <v>898</v>
      </c>
      <c r="C20" s="53" t="s">
        <v>884</v>
      </c>
      <c r="D20" s="53" t="s">
        <v>46</v>
      </c>
      <c r="E20" s="53" t="s">
        <v>46</v>
      </c>
    </row>
    <row r="22" spans="2:5" x14ac:dyDescent="0.2">
      <c r="B22" s="53" t="s">
        <v>899</v>
      </c>
      <c r="C22" s="53" t="s">
        <v>887</v>
      </c>
      <c r="D22" s="53" t="s">
        <v>46</v>
      </c>
      <c r="E22" s="53" t="s">
        <v>46</v>
      </c>
    </row>
    <row r="24" spans="2:5" x14ac:dyDescent="0.2">
      <c r="B24" s="53" t="s">
        <v>900</v>
      </c>
      <c r="C24" s="53" t="s">
        <v>890</v>
      </c>
      <c r="D24" s="53" t="s">
        <v>46</v>
      </c>
      <c r="E24" s="53" t="s">
        <v>46</v>
      </c>
    </row>
    <row r="26" spans="2:5" x14ac:dyDescent="0.2">
      <c r="B26" s="53" t="s">
        <v>901</v>
      </c>
      <c r="C26" s="53" t="s">
        <v>893</v>
      </c>
      <c r="D26" s="53" t="s">
        <v>46</v>
      </c>
      <c r="E26" s="53" t="s">
        <v>46</v>
      </c>
    </row>
    <row r="28" spans="2:5" x14ac:dyDescent="0.2">
      <c r="B28" s="53" t="s">
        <v>902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903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904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905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906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907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908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909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910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911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912</v>
      </c>
      <c r="C38" s="53" t="s">
        <v>46</v>
      </c>
      <c r="D38" s="53" t="s">
        <v>46</v>
      </c>
      <c r="E38" s="53" t="s">
        <v>46</v>
      </c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1166</vt:i4>
      </vt:variant>
    </vt:vector>
  </HeadingPairs>
  <TitlesOfParts>
    <vt:vector size="116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2026-08-11T13:41:34Z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