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9411EB6-A54D-45C9-A2AE-EF96170140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Sheet!$A$3:$AH$131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AH7" i="1" s="1"/>
  <c r="T10" i="1"/>
  <c r="T11" i="1"/>
  <c r="AH11" i="1" s="1"/>
  <c r="T12" i="1"/>
  <c r="T17" i="1"/>
  <c r="AH17" i="1" s="1"/>
  <c r="T18" i="1"/>
  <c r="T19" i="1"/>
  <c r="AH19" i="1" s="1"/>
  <c r="T21" i="1"/>
  <c r="T25" i="1"/>
  <c r="AH25" i="1" s="1"/>
  <c r="T26" i="1"/>
  <c r="AH26" i="1" s="1"/>
  <c r="T27" i="1"/>
  <c r="T28" i="1"/>
  <c r="AH28" i="1" s="1"/>
  <c r="T29" i="1"/>
  <c r="AH29" i="1" s="1"/>
  <c r="T33" i="1"/>
  <c r="T34" i="1"/>
  <c r="AH34" i="1" s="1"/>
  <c r="T36" i="1"/>
  <c r="AH36" i="1" s="1"/>
  <c r="T38" i="1"/>
  <c r="T40" i="1"/>
  <c r="AH40" i="1" s="1"/>
  <c r="T41" i="1"/>
  <c r="AH41" i="1" s="1"/>
  <c r="T42" i="1"/>
  <c r="AH42" i="1" s="1"/>
  <c r="T43" i="1"/>
  <c r="T44" i="1"/>
  <c r="AH44" i="1" s="1"/>
  <c r="T47" i="1"/>
  <c r="AH47" i="1" s="1"/>
  <c r="T50" i="1"/>
  <c r="AH50" i="1" s="1"/>
  <c r="T52" i="1"/>
  <c r="T53" i="1"/>
  <c r="T55" i="1"/>
  <c r="T56" i="1"/>
  <c r="T57" i="1"/>
  <c r="T60" i="1"/>
  <c r="AH60" i="1" s="1"/>
  <c r="T61" i="1"/>
  <c r="AH61" i="1" s="1"/>
  <c r="T66" i="1"/>
  <c r="T67" i="1"/>
  <c r="AH67" i="1" s="1"/>
  <c r="T70" i="1"/>
  <c r="AH70" i="1" s="1"/>
  <c r="T72" i="1"/>
  <c r="T73" i="1"/>
  <c r="T74" i="1"/>
  <c r="T76" i="1"/>
  <c r="AH76" i="1" s="1"/>
  <c r="T77" i="1"/>
  <c r="AH77" i="1" s="1"/>
  <c r="T79" i="1"/>
  <c r="T81" i="1"/>
  <c r="AH81" i="1" s="1"/>
  <c r="T82" i="1"/>
  <c r="AH82" i="1" s="1"/>
  <c r="T83" i="1"/>
  <c r="T84" i="1"/>
  <c r="AH84" i="1" s="1"/>
  <c r="T85" i="1"/>
  <c r="AH85" i="1" s="1"/>
  <c r="T86" i="1"/>
  <c r="AH86" i="1" s="1"/>
  <c r="T87" i="1"/>
  <c r="T88" i="1"/>
  <c r="AH88" i="1" s="1"/>
  <c r="T89" i="1"/>
  <c r="AH89" i="1" s="1"/>
  <c r="T90" i="1"/>
  <c r="AH90" i="1" s="1"/>
  <c r="T91" i="1"/>
  <c r="T92" i="1"/>
  <c r="AH92" i="1" s="1"/>
  <c r="T93" i="1"/>
  <c r="AH93" i="1" s="1"/>
  <c r="T94" i="1"/>
  <c r="AH94" i="1" s="1"/>
  <c r="T95" i="1"/>
  <c r="T96" i="1"/>
  <c r="AH96" i="1" s="1"/>
  <c r="T97" i="1"/>
  <c r="AH97" i="1" s="1"/>
  <c r="T98" i="1"/>
  <c r="AH98" i="1" s="1"/>
  <c r="T99" i="1"/>
  <c r="T100" i="1"/>
  <c r="AH100" i="1" s="1"/>
  <c r="T101" i="1"/>
  <c r="AH101" i="1" s="1"/>
  <c r="T102" i="1"/>
  <c r="AH102" i="1" s="1"/>
  <c r="T103" i="1"/>
  <c r="T104" i="1"/>
  <c r="AH104" i="1" s="1"/>
  <c r="T105" i="1"/>
  <c r="AH105" i="1" s="1"/>
  <c r="T107" i="1"/>
  <c r="T108" i="1"/>
  <c r="AH108" i="1" s="1"/>
  <c r="T109" i="1"/>
  <c r="T110" i="1"/>
  <c r="AH110" i="1" s="1"/>
  <c r="T112" i="1"/>
  <c r="T113" i="1"/>
  <c r="AH113" i="1" s="1"/>
  <c r="T114" i="1"/>
  <c r="T115" i="1"/>
  <c r="AH115" i="1" s="1"/>
  <c r="T116" i="1"/>
  <c r="T117" i="1"/>
  <c r="AH117" i="1" s="1"/>
  <c r="T120" i="1"/>
  <c r="AH120" i="1" s="1"/>
  <c r="T121" i="1"/>
  <c r="T123" i="1"/>
  <c r="AH123" i="1" s="1"/>
  <c r="T124" i="1"/>
  <c r="AH124" i="1" s="1"/>
  <c r="T125" i="1"/>
  <c r="T126" i="1"/>
  <c r="AH126" i="1" s="1"/>
  <c r="T127" i="1"/>
  <c r="AH127" i="1" s="1"/>
  <c r="T130" i="1"/>
  <c r="T131" i="1"/>
  <c r="AH131" i="1" s="1"/>
  <c r="AH10" i="1"/>
  <c r="AH12" i="1"/>
  <c r="AH18" i="1"/>
  <c r="AH21" i="1"/>
  <c r="AH27" i="1"/>
  <c r="AH33" i="1"/>
  <c r="AH38" i="1"/>
  <c r="AH43" i="1"/>
  <c r="AH52" i="1"/>
  <c r="AH53" i="1"/>
  <c r="AH55" i="1"/>
  <c r="AH56" i="1"/>
  <c r="AH57" i="1"/>
  <c r="AH66" i="1"/>
  <c r="AH72" i="1"/>
  <c r="AH73" i="1"/>
  <c r="AH74" i="1"/>
  <c r="AH79" i="1"/>
  <c r="AH83" i="1"/>
  <c r="AH87" i="1"/>
  <c r="AH91" i="1"/>
  <c r="AH95" i="1"/>
  <c r="AH99" i="1"/>
  <c r="AH103" i="1"/>
  <c r="AH107" i="1"/>
  <c r="AH109" i="1"/>
  <c r="AH112" i="1"/>
  <c r="AH114" i="1"/>
  <c r="AH116" i="1"/>
  <c r="AH121" i="1"/>
  <c r="AH125" i="1"/>
  <c r="AH130" i="1"/>
  <c r="P5" i="1" l="1"/>
  <c r="R131" i="1" l="1"/>
  <c r="U131" i="1" s="1"/>
  <c r="L131" i="1"/>
  <c r="R130" i="1"/>
  <c r="U130" i="1" s="1"/>
  <c r="L130" i="1"/>
  <c r="R129" i="1"/>
  <c r="V129" i="1" s="1"/>
  <c r="L129" i="1"/>
  <c r="R128" i="1"/>
  <c r="V128" i="1" s="1"/>
  <c r="L128" i="1"/>
  <c r="R127" i="1"/>
  <c r="U127" i="1" s="1"/>
  <c r="L127" i="1"/>
  <c r="R126" i="1"/>
  <c r="L126" i="1"/>
  <c r="R125" i="1"/>
  <c r="U125" i="1" s="1"/>
  <c r="L125" i="1"/>
  <c r="R124" i="1"/>
  <c r="U124" i="1" s="1"/>
  <c r="L124" i="1"/>
  <c r="E123" i="1"/>
  <c r="R123" i="1" s="1"/>
  <c r="U123" i="1" s="1"/>
  <c r="R122" i="1"/>
  <c r="L122" i="1"/>
  <c r="R121" i="1"/>
  <c r="U121" i="1" s="1"/>
  <c r="L121" i="1"/>
  <c r="R120" i="1"/>
  <c r="U120" i="1" s="1"/>
  <c r="L120" i="1"/>
  <c r="R119" i="1"/>
  <c r="V119" i="1" s="1"/>
  <c r="L119" i="1"/>
  <c r="R118" i="1"/>
  <c r="V118" i="1" s="1"/>
  <c r="L118" i="1"/>
  <c r="R117" i="1"/>
  <c r="U117" i="1" s="1"/>
  <c r="L117" i="1"/>
  <c r="R116" i="1"/>
  <c r="U116" i="1" s="1"/>
  <c r="L116" i="1"/>
  <c r="R115" i="1"/>
  <c r="U115" i="1" s="1"/>
  <c r="L115" i="1"/>
  <c r="R114" i="1"/>
  <c r="U114" i="1" s="1"/>
  <c r="L114" i="1"/>
  <c r="R113" i="1"/>
  <c r="U113" i="1" s="1"/>
  <c r="L113" i="1"/>
  <c r="R112" i="1"/>
  <c r="U112" i="1" s="1"/>
  <c r="L112" i="1"/>
  <c r="R111" i="1"/>
  <c r="L111" i="1"/>
  <c r="R110" i="1"/>
  <c r="U110" i="1" s="1"/>
  <c r="L110" i="1"/>
  <c r="R109" i="1"/>
  <c r="U109" i="1" s="1"/>
  <c r="L109" i="1"/>
  <c r="R108" i="1"/>
  <c r="U108" i="1" s="1"/>
  <c r="L108" i="1"/>
  <c r="R107" i="1"/>
  <c r="U107" i="1" s="1"/>
  <c r="L107" i="1"/>
  <c r="R106" i="1"/>
  <c r="L106" i="1"/>
  <c r="R105" i="1"/>
  <c r="U105" i="1" s="1"/>
  <c r="L105" i="1"/>
  <c r="R104" i="1"/>
  <c r="U104" i="1" s="1"/>
  <c r="L104" i="1"/>
  <c r="R103" i="1"/>
  <c r="U103" i="1" s="1"/>
  <c r="L103" i="1"/>
  <c r="R102" i="1"/>
  <c r="U102" i="1" s="1"/>
  <c r="L102" i="1"/>
  <c r="R101" i="1"/>
  <c r="U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U97" i="1" s="1"/>
  <c r="L97" i="1"/>
  <c r="R96" i="1"/>
  <c r="U96" i="1" s="1"/>
  <c r="L96" i="1"/>
  <c r="R95" i="1"/>
  <c r="U95" i="1" s="1"/>
  <c r="L95" i="1"/>
  <c r="R94" i="1"/>
  <c r="U94" i="1" s="1"/>
  <c r="L94" i="1"/>
  <c r="R93" i="1"/>
  <c r="U93" i="1" s="1"/>
  <c r="L93" i="1"/>
  <c r="R92" i="1"/>
  <c r="U92" i="1" s="1"/>
  <c r="L92" i="1"/>
  <c r="R91" i="1"/>
  <c r="U91" i="1" s="1"/>
  <c r="L91" i="1"/>
  <c r="R90" i="1"/>
  <c r="U90" i="1" s="1"/>
  <c r="L90" i="1"/>
  <c r="R89" i="1"/>
  <c r="U89" i="1" s="1"/>
  <c r="L89" i="1"/>
  <c r="R88" i="1"/>
  <c r="U88" i="1" s="1"/>
  <c r="L88" i="1"/>
  <c r="R87" i="1"/>
  <c r="U87" i="1" s="1"/>
  <c r="L87" i="1"/>
  <c r="R86" i="1"/>
  <c r="U86" i="1" s="1"/>
  <c r="L86" i="1"/>
  <c r="R85" i="1"/>
  <c r="U85" i="1" s="1"/>
  <c r="L85" i="1"/>
  <c r="R84" i="1"/>
  <c r="U84" i="1" s="1"/>
  <c r="L84" i="1"/>
  <c r="R83" i="1"/>
  <c r="U83" i="1" s="1"/>
  <c r="L83" i="1"/>
  <c r="R82" i="1"/>
  <c r="U82" i="1" s="1"/>
  <c r="L82" i="1"/>
  <c r="R81" i="1"/>
  <c r="U81" i="1" s="1"/>
  <c r="L81" i="1"/>
  <c r="R80" i="1"/>
  <c r="V80" i="1" s="1"/>
  <c r="L80" i="1"/>
  <c r="R79" i="1"/>
  <c r="U79" i="1" s="1"/>
  <c r="L79" i="1"/>
  <c r="R78" i="1"/>
  <c r="V78" i="1" s="1"/>
  <c r="L78" i="1"/>
  <c r="R77" i="1"/>
  <c r="U77" i="1" s="1"/>
  <c r="L77" i="1"/>
  <c r="R76" i="1"/>
  <c r="U76" i="1" s="1"/>
  <c r="L76" i="1"/>
  <c r="R75" i="1"/>
  <c r="V75" i="1" s="1"/>
  <c r="L75" i="1"/>
  <c r="R74" i="1"/>
  <c r="U74" i="1" s="1"/>
  <c r="L74" i="1"/>
  <c r="R73" i="1"/>
  <c r="U73" i="1" s="1"/>
  <c r="L73" i="1"/>
  <c r="R72" i="1"/>
  <c r="U72" i="1" s="1"/>
  <c r="L72" i="1"/>
  <c r="R71" i="1"/>
  <c r="L71" i="1"/>
  <c r="R70" i="1"/>
  <c r="U70" i="1" s="1"/>
  <c r="L70" i="1"/>
  <c r="R69" i="1"/>
  <c r="V69" i="1" s="1"/>
  <c r="L69" i="1"/>
  <c r="R68" i="1"/>
  <c r="V68" i="1" s="1"/>
  <c r="L68" i="1"/>
  <c r="R67" i="1"/>
  <c r="U67" i="1" s="1"/>
  <c r="L67" i="1"/>
  <c r="R66" i="1"/>
  <c r="U66" i="1" s="1"/>
  <c r="L66" i="1"/>
  <c r="R65" i="1"/>
  <c r="L65" i="1"/>
  <c r="R64" i="1"/>
  <c r="V64" i="1" s="1"/>
  <c r="L64" i="1"/>
  <c r="R63" i="1"/>
  <c r="V63" i="1" s="1"/>
  <c r="L63" i="1"/>
  <c r="R62" i="1"/>
  <c r="V62" i="1" s="1"/>
  <c r="L62" i="1"/>
  <c r="R61" i="1"/>
  <c r="U61" i="1" s="1"/>
  <c r="L61" i="1"/>
  <c r="R60" i="1"/>
  <c r="U60" i="1" s="1"/>
  <c r="L60" i="1"/>
  <c r="R59" i="1"/>
  <c r="V59" i="1" s="1"/>
  <c r="L59" i="1"/>
  <c r="R58" i="1"/>
  <c r="V58" i="1" s="1"/>
  <c r="L58" i="1"/>
  <c r="R57" i="1"/>
  <c r="U57" i="1" s="1"/>
  <c r="L57" i="1"/>
  <c r="R56" i="1"/>
  <c r="U56" i="1" s="1"/>
  <c r="L56" i="1"/>
  <c r="R55" i="1"/>
  <c r="U55" i="1" s="1"/>
  <c r="L55" i="1"/>
  <c r="R54" i="1"/>
  <c r="V54" i="1" s="1"/>
  <c r="L54" i="1"/>
  <c r="R53" i="1"/>
  <c r="U53" i="1" s="1"/>
  <c r="L53" i="1"/>
  <c r="R52" i="1"/>
  <c r="U52" i="1" s="1"/>
  <c r="L52" i="1"/>
  <c r="R51" i="1"/>
  <c r="V51" i="1" s="1"/>
  <c r="L51" i="1"/>
  <c r="R50" i="1"/>
  <c r="U50" i="1" s="1"/>
  <c r="L50" i="1"/>
  <c r="R49" i="1"/>
  <c r="V49" i="1" s="1"/>
  <c r="L49" i="1"/>
  <c r="R48" i="1"/>
  <c r="V48" i="1" s="1"/>
  <c r="L48" i="1"/>
  <c r="R47" i="1"/>
  <c r="U47" i="1" s="1"/>
  <c r="L47" i="1"/>
  <c r="R46" i="1"/>
  <c r="V46" i="1" s="1"/>
  <c r="L46" i="1"/>
  <c r="R45" i="1"/>
  <c r="V45" i="1" s="1"/>
  <c r="L45" i="1"/>
  <c r="R44" i="1"/>
  <c r="U44" i="1" s="1"/>
  <c r="L44" i="1"/>
  <c r="R43" i="1"/>
  <c r="U43" i="1" s="1"/>
  <c r="L43" i="1"/>
  <c r="R42" i="1"/>
  <c r="U42" i="1" s="1"/>
  <c r="L42" i="1"/>
  <c r="R41" i="1"/>
  <c r="U41" i="1" s="1"/>
  <c r="L41" i="1"/>
  <c r="R40" i="1"/>
  <c r="U40" i="1" s="1"/>
  <c r="L40" i="1"/>
  <c r="R39" i="1"/>
  <c r="L39" i="1"/>
  <c r="R38" i="1"/>
  <c r="U38" i="1" s="1"/>
  <c r="L38" i="1"/>
  <c r="R37" i="1"/>
  <c r="V37" i="1" s="1"/>
  <c r="L37" i="1"/>
  <c r="R36" i="1"/>
  <c r="U36" i="1" s="1"/>
  <c r="L36" i="1"/>
  <c r="R35" i="1"/>
  <c r="V35" i="1" s="1"/>
  <c r="L35" i="1"/>
  <c r="R34" i="1"/>
  <c r="U34" i="1" s="1"/>
  <c r="L34" i="1"/>
  <c r="R33" i="1"/>
  <c r="U33" i="1" s="1"/>
  <c r="L33" i="1"/>
  <c r="R32" i="1"/>
  <c r="L32" i="1"/>
  <c r="R31" i="1"/>
  <c r="L31" i="1"/>
  <c r="R30" i="1"/>
  <c r="L30" i="1"/>
  <c r="R29" i="1"/>
  <c r="U29" i="1" s="1"/>
  <c r="L29" i="1"/>
  <c r="R28" i="1"/>
  <c r="U28" i="1" s="1"/>
  <c r="L28" i="1"/>
  <c r="R27" i="1"/>
  <c r="U27" i="1" s="1"/>
  <c r="L27" i="1"/>
  <c r="R26" i="1"/>
  <c r="U26" i="1" s="1"/>
  <c r="L26" i="1"/>
  <c r="R25" i="1"/>
  <c r="U25" i="1" s="1"/>
  <c r="L25" i="1"/>
  <c r="R24" i="1"/>
  <c r="V24" i="1" s="1"/>
  <c r="L24" i="1"/>
  <c r="R23" i="1"/>
  <c r="V23" i="1" s="1"/>
  <c r="L23" i="1"/>
  <c r="R22" i="1"/>
  <c r="V22" i="1" s="1"/>
  <c r="L22" i="1"/>
  <c r="R21" i="1"/>
  <c r="U21" i="1" s="1"/>
  <c r="L21" i="1"/>
  <c r="R20" i="1"/>
  <c r="V20" i="1" s="1"/>
  <c r="L20" i="1"/>
  <c r="R19" i="1"/>
  <c r="U19" i="1" s="1"/>
  <c r="L19" i="1"/>
  <c r="R18" i="1"/>
  <c r="U18" i="1" s="1"/>
  <c r="L18" i="1"/>
  <c r="R17" i="1"/>
  <c r="U17" i="1" s="1"/>
  <c r="L17" i="1"/>
  <c r="R16" i="1"/>
  <c r="V16" i="1" s="1"/>
  <c r="L16" i="1"/>
  <c r="R15" i="1"/>
  <c r="V15" i="1" s="1"/>
  <c r="L15" i="1"/>
  <c r="R14" i="1"/>
  <c r="V14" i="1" s="1"/>
  <c r="L14" i="1"/>
  <c r="R13" i="1"/>
  <c r="V13" i="1" s="1"/>
  <c r="L13" i="1"/>
  <c r="R12" i="1"/>
  <c r="U12" i="1" s="1"/>
  <c r="L12" i="1"/>
  <c r="R11" i="1"/>
  <c r="U11" i="1" s="1"/>
  <c r="L11" i="1"/>
  <c r="R10" i="1"/>
  <c r="U10" i="1" s="1"/>
  <c r="L10" i="1"/>
  <c r="R9" i="1"/>
  <c r="V9" i="1" s="1"/>
  <c r="L9" i="1"/>
  <c r="R8" i="1"/>
  <c r="V8" i="1" s="1"/>
  <c r="L8" i="1"/>
  <c r="R7" i="1"/>
  <c r="U7" i="1" s="1"/>
  <c r="L7" i="1"/>
  <c r="R6" i="1"/>
  <c r="V6" i="1" s="1"/>
  <c r="L6" i="1"/>
  <c r="AF5" i="1"/>
  <c r="AE5" i="1"/>
  <c r="AD5" i="1"/>
  <c r="AC5" i="1"/>
  <c r="AB5" i="1"/>
  <c r="AA5" i="1"/>
  <c r="Z5" i="1"/>
  <c r="Y5" i="1"/>
  <c r="X5" i="1"/>
  <c r="W5" i="1"/>
  <c r="Q5" i="1"/>
  <c r="O5" i="1"/>
  <c r="N5" i="1"/>
  <c r="M5" i="1"/>
  <c r="K5" i="1"/>
  <c r="F5" i="1"/>
  <c r="T30" i="1" l="1"/>
  <c r="AH30" i="1" s="1"/>
  <c r="T65" i="1"/>
  <c r="AH65" i="1" s="1"/>
  <c r="T122" i="1"/>
  <c r="AH122" i="1" s="1"/>
  <c r="V126" i="1"/>
  <c r="U126" i="1"/>
  <c r="S54" i="1"/>
  <c r="T54" i="1" s="1"/>
  <c r="V12" i="1"/>
  <c r="V18" i="1"/>
  <c r="V25" i="1"/>
  <c r="V28" i="1"/>
  <c r="V30" i="1"/>
  <c r="V34" i="1"/>
  <c r="V38" i="1"/>
  <c r="V41" i="1"/>
  <c r="V43" i="1"/>
  <c r="V44" i="1"/>
  <c r="V50" i="1"/>
  <c r="V53" i="1"/>
  <c r="V55" i="1"/>
  <c r="V57" i="1"/>
  <c r="V61" i="1"/>
  <c r="V66" i="1"/>
  <c r="V70" i="1"/>
  <c r="S71" i="1"/>
  <c r="T71" i="1" s="1"/>
  <c r="V71" i="1"/>
  <c r="V72" i="1"/>
  <c r="V74" i="1"/>
  <c r="V77" i="1"/>
  <c r="V79" i="1"/>
  <c r="V82" i="1"/>
  <c r="V87" i="1"/>
  <c r="V88" i="1"/>
  <c r="V90" i="1"/>
  <c r="V93" i="1"/>
  <c r="V94" i="1"/>
  <c r="V96" i="1"/>
  <c r="V100" i="1"/>
  <c r="V103" i="1"/>
  <c r="V105" i="1"/>
  <c r="S106" i="1"/>
  <c r="T106" i="1" s="1"/>
  <c r="V106" i="1"/>
  <c r="V107" i="1"/>
  <c r="V108" i="1"/>
  <c r="V109" i="1"/>
  <c r="V110" i="1"/>
  <c r="S111" i="1"/>
  <c r="T111" i="1" s="1"/>
  <c r="V111" i="1"/>
  <c r="V112" i="1"/>
  <c r="V114" i="1"/>
  <c r="V116" i="1"/>
  <c r="V120" i="1"/>
  <c r="V122" i="1"/>
  <c r="V123" i="1"/>
  <c r="V124" i="1"/>
  <c r="V127" i="1"/>
  <c r="E5" i="1"/>
  <c r="V7" i="1"/>
  <c r="V10" i="1"/>
  <c r="V11" i="1"/>
  <c r="V17" i="1"/>
  <c r="V19" i="1"/>
  <c r="S20" i="1"/>
  <c r="T20" i="1" s="1"/>
  <c r="V21" i="1"/>
  <c r="V26" i="1"/>
  <c r="V27" i="1"/>
  <c r="V29" i="1"/>
  <c r="S31" i="1"/>
  <c r="T31" i="1" s="1"/>
  <c r="V31" i="1"/>
  <c r="S32" i="1"/>
  <c r="T32" i="1" s="1"/>
  <c r="V32" i="1"/>
  <c r="V33" i="1"/>
  <c r="V36" i="1"/>
  <c r="S39" i="1"/>
  <c r="T39" i="1" s="1"/>
  <c r="V39" i="1"/>
  <c r="V40" i="1"/>
  <c r="V42" i="1"/>
  <c r="V47" i="1"/>
  <c r="V52" i="1"/>
  <c r="V56" i="1"/>
  <c r="V60" i="1"/>
  <c r="V65" i="1"/>
  <c r="V67" i="1"/>
  <c r="V73" i="1"/>
  <c r="V76" i="1"/>
  <c r="V81" i="1"/>
  <c r="V83" i="1"/>
  <c r="V84" i="1"/>
  <c r="V85" i="1"/>
  <c r="V86" i="1"/>
  <c r="V89" i="1"/>
  <c r="V91" i="1"/>
  <c r="V92" i="1"/>
  <c r="V95" i="1"/>
  <c r="V97" i="1"/>
  <c r="V98" i="1"/>
  <c r="V99" i="1"/>
  <c r="V101" i="1"/>
  <c r="V102" i="1"/>
  <c r="V104" i="1"/>
  <c r="V113" i="1"/>
  <c r="V115" i="1"/>
  <c r="V117" i="1"/>
  <c r="V121" i="1"/>
  <c r="L123" i="1"/>
  <c r="L5" i="1" s="1"/>
  <c r="V125" i="1"/>
  <c r="V130" i="1"/>
  <c r="V131" i="1"/>
  <c r="S46" i="1"/>
  <c r="T46" i="1" s="1"/>
  <c r="S69" i="1"/>
  <c r="T69" i="1" s="1"/>
  <c r="S119" i="1"/>
  <c r="T119" i="1" s="1"/>
  <c r="S129" i="1"/>
  <c r="T129" i="1" s="1"/>
  <c r="R5" i="1"/>
  <c r="S35" i="1"/>
  <c r="T35" i="1" s="1"/>
  <c r="S45" i="1"/>
  <c r="T45" i="1" s="1"/>
  <c r="S51" i="1"/>
  <c r="T51" i="1" s="1"/>
  <c r="S68" i="1"/>
  <c r="T68" i="1" s="1"/>
  <c r="S78" i="1"/>
  <c r="T78" i="1" s="1"/>
  <c r="S118" i="1"/>
  <c r="T118" i="1" s="1"/>
  <c r="S128" i="1"/>
  <c r="T128" i="1" s="1"/>
  <c r="S37" i="1"/>
  <c r="T37" i="1" s="1"/>
  <c r="S75" i="1"/>
  <c r="T75" i="1" s="1"/>
  <c r="S6" i="1"/>
  <c r="T6" i="1" s="1"/>
  <c r="S8" i="1"/>
  <c r="T8" i="1" s="1"/>
  <c r="S9" i="1"/>
  <c r="T9" i="1" s="1"/>
  <c r="S13" i="1"/>
  <c r="T13" i="1" s="1"/>
  <c r="S14" i="1"/>
  <c r="T14" i="1" s="1"/>
  <c r="S15" i="1"/>
  <c r="T15" i="1" s="1"/>
  <c r="S16" i="1"/>
  <c r="T16" i="1" s="1"/>
  <c r="S22" i="1"/>
  <c r="T22" i="1" s="1"/>
  <c r="S23" i="1"/>
  <c r="T23" i="1" s="1"/>
  <c r="S24" i="1"/>
  <c r="T24" i="1" s="1"/>
  <c r="S48" i="1"/>
  <c r="T48" i="1" s="1"/>
  <c r="S49" i="1"/>
  <c r="T49" i="1" s="1"/>
  <c r="S58" i="1"/>
  <c r="T58" i="1" s="1"/>
  <c r="S59" i="1"/>
  <c r="T59" i="1" s="1"/>
  <c r="S62" i="1"/>
  <c r="T62" i="1" s="1"/>
  <c r="S63" i="1"/>
  <c r="T63" i="1" s="1"/>
  <c r="S64" i="1"/>
  <c r="T64" i="1" s="1"/>
  <c r="S80" i="1"/>
  <c r="T80" i="1" s="1"/>
  <c r="U122" i="1" l="1"/>
  <c r="U65" i="1"/>
  <c r="U30" i="1"/>
  <c r="U64" i="1"/>
  <c r="AH64" i="1"/>
  <c r="AH62" i="1"/>
  <c r="U62" i="1"/>
  <c r="AH58" i="1"/>
  <c r="U58" i="1"/>
  <c r="U48" i="1"/>
  <c r="AH48" i="1"/>
  <c r="AH23" i="1"/>
  <c r="U23" i="1"/>
  <c r="U16" i="1"/>
  <c r="AH16" i="1"/>
  <c r="AH14" i="1"/>
  <c r="U14" i="1"/>
  <c r="AH9" i="1"/>
  <c r="U9" i="1"/>
  <c r="T5" i="1"/>
  <c r="U6" i="1"/>
  <c r="AH6" i="1"/>
  <c r="AH37" i="1"/>
  <c r="U37" i="1"/>
  <c r="U118" i="1"/>
  <c r="AH118" i="1"/>
  <c r="U68" i="1"/>
  <c r="AH68" i="1"/>
  <c r="AH45" i="1"/>
  <c r="U45" i="1"/>
  <c r="AH129" i="1"/>
  <c r="U129" i="1"/>
  <c r="AH69" i="1"/>
  <c r="U69" i="1"/>
  <c r="AH39" i="1"/>
  <c r="U39" i="1"/>
  <c r="U32" i="1"/>
  <c r="AH32" i="1"/>
  <c r="AH31" i="1"/>
  <c r="U31" i="1"/>
  <c r="AH80" i="1"/>
  <c r="U80" i="1"/>
  <c r="AH63" i="1"/>
  <c r="U63" i="1"/>
  <c r="AH59" i="1"/>
  <c r="U59" i="1"/>
  <c r="AH49" i="1"/>
  <c r="U49" i="1"/>
  <c r="AH24" i="1"/>
  <c r="U24" i="1"/>
  <c r="AH22" i="1"/>
  <c r="U22" i="1"/>
  <c r="AH15" i="1"/>
  <c r="U15" i="1"/>
  <c r="AH13" i="1"/>
  <c r="U13" i="1"/>
  <c r="AH8" i="1"/>
  <c r="U8" i="1"/>
  <c r="AH75" i="1"/>
  <c r="U75" i="1"/>
  <c r="AH128" i="1"/>
  <c r="U128" i="1"/>
  <c r="AH78" i="1"/>
  <c r="U78" i="1"/>
  <c r="AH51" i="1"/>
  <c r="U51" i="1"/>
  <c r="AH35" i="1"/>
  <c r="U35" i="1"/>
  <c r="AH119" i="1"/>
  <c r="U119" i="1"/>
  <c r="AH46" i="1"/>
  <c r="U46" i="1"/>
  <c r="U20" i="1"/>
  <c r="AH20" i="1"/>
  <c r="AH111" i="1"/>
  <c r="U111" i="1"/>
  <c r="AH106" i="1"/>
  <c r="U106" i="1"/>
  <c r="AH71" i="1"/>
  <c r="U71" i="1"/>
  <c r="AH54" i="1"/>
  <c r="U54" i="1"/>
  <c r="S5" i="1"/>
  <c r="AH5" i="1" l="1"/>
</calcChain>
</file>

<file path=xl/sharedStrings.xml><?xml version="1.0" encoding="utf-8"?>
<sst xmlns="http://schemas.openxmlformats.org/spreadsheetml/2006/main" count="622" uniqueCount="332">
  <si>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</si>
  <si>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</si>
  <si>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</si>
  <si>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</si>
  <si>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</si>
  <si>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</si>
  <si>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</si>
  <si>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</si>
  <si>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</si>
  <si>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</si>
  <si>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</si>
  <si>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</si>
  <si>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</si>
  <si>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</si>
  <si>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</si>
  <si>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</si>
  <si>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</si>
  <si>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</si>
  <si>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</si>
  <si>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</si>
  <si>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</si>
  <si>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</si>
  <si>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</si>
  <si>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11,08,доз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</si>
  <si>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</si>
  <si>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</si>
  <si>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</si>
  <si>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</si>
  <si>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</si>
  <si>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</si>
  <si>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</si>
  <si>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</si>
  <si>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</si>
  <si>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</si>
  <si>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</si>
  <si>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</si>
  <si>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</si>
  <si>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</si>
  <si>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</si>
  <si>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</si>
  <si>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</si>
  <si>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</si>
  <si>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</si>
  <si>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</si>
  <si>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</si>
  <si>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</si>
  <si>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</si>
  <si>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</si>
  <si>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</si>
  <si>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</si>
  <si>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</si>
  <si>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</si>
  <si>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</si>
  <si>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</si>
  <si>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</si>
  <si>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</si>
  <si>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</si>
  <si>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</si>
  <si>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</si>
  <si>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</si>
  <si>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</si>
  <si>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</si>
  <si>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</si>
  <si>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</si>
  <si>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</si>
  <si>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</si>
  <si>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</si>
  <si>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</si>
  <si>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</si>
  <si>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</si>
  <si>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</si>
  <si>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</si>
  <si>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</si>
  <si>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>SU001051</t>
  </si>
  <si>
    <t xml:space="preserve"> 248  Сардельки Сочные ТМ Особый рецепт,   ПОКОМ</t>
  </si>
  <si>
    <t>НЕДОГРУЗ / матрица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</si>
  <si>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</si>
  <si>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</si>
  <si>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</si>
  <si>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</si>
  <si>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</si>
  <si>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</si>
  <si>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</si>
  <si>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</si>
  <si>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</si>
  <si>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</si>
  <si>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</si>
  <si>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</si>
  <si>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</si>
  <si>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</si>
  <si>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</si>
  <si>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</si>
  <si>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</si>
  <si>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</si>
  <si>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</si>
  <si>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</si>
  <si>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</si>
  <si>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</si>
  <si>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</si>
  <si>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</si>
  <si>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</si>
  <si>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</si>
  <si>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</si>
  <si>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</si>
  <si>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</si>
  <si>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</si>
  <si>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</si>
  <si>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</si>
  <si>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</si>
  <si>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</si>
  <si>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</si>
  <si>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</si>
  <si>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</si>
  <si>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</si>
  <si>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</si>
  <si>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</si>
  <si>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</si>
  <si>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</si>
  <si>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</si>
  <si>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</si>
  <si>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</si>
  <si>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</si>
  <si>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</si>
  <si>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</si>
  <si>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</si>
  <si>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</si>
  <si>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</si>
  <si>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</si>
  <si>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</si>
  <si>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</si>
  <si>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</si>
  <si>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</si>
  <si>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</si>
  <si>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</si>
  <si>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</si>
  <si>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</si>
  <si>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</si>
  <si>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</si>
  <si>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</si>
  <si>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</si>
  <si>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</si>
  <si>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</si>
  <si>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</si>
  <si>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</si>
  <si>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</si>
  <si>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</si>
  <si>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</si>
  <si>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</si>
  <si>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</si>
  <si>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</si>
  <si>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</si>
  <si>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</si>
  <si>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</si>
  <si>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</si>
  <si>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</si>
  <si>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</si>
  <si>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</si>
  <si>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</si>
  <si>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</si>
  <si>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</si>
  <si>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</si>
  <si>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</si>
  <si>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</si>
  <si>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</si>
  <si>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</si>
  <si>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</si>
  <si>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</si>
  <si>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нужно увеличить продажи!!!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</si>
  <si>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</si>
  <si>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</si>
  <si>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</si>
  <si>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</si>
  <si>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</si>
  <si>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</si>
  <si>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</si>
  <si>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</si>
  <si>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</si>
  <si>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</si>
  <si>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</si>
  <si>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</si>
  <si>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</si>
  <si>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</si>
  <si>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</si>
  <si>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нужно увеличить продажи / 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</si>
  <si>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</si>
  <si>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</si>
  <si>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</si>
  <si>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</si>
  <si>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</si>
  <si>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</si>
  <si>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</si>
  <si>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</si>
  <si>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</si>
  <si>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</si>
  <si>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</si>
  <si>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</si>
  <si>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</si>
  <si>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</si>
  <si>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</si>
  <si>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</si>
  <si>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</si>
  <si>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</si>
  <si>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</si>
  <si>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</si>
  <si>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</si>
  <si>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</si>
  <si>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</si>
  <si>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</si>
  <si>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</si>
  <si>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</si>
  <si>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</si>
  <si>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</si>
  <si>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</si>
  <si>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</si>
  <si>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</si>
  <si>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</si>
  <si>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нужно увеличить продажи / 70шт сеть Молоко (07,08,26)</t>
  </si>
  <si>
    <t>SU003751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</si>
  <si>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</si>
  <si>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</si>
  <si>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</si>
  <si>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</si>
  <si>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</si>
  <si>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</si>
  <si>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</si>
  <si>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</si>
  <si>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</si>
  <si>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</si>
  <si>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</si>
  <si>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</si>
  <si>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</si>
  <si>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</si>
  <si>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</si>
  <si>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</si>
  <si>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</si>
  <si>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</si>
  <si>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</si>
  <si>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</si>
  <si>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</si>
  <si>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</si>
  <si>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</si>
  <si>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</si>
  <si>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</si>
  <si>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</si>
  <si>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</si>
  <si>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</si>
  <si>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</si>
  <si>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</si>
  <si>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</si>
  <si>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</si>
  <si>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Сардельки «Стародворские с говядиной» Весовые NDX ТМ «Стародворье»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</si>
  <si>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</si>
  <si>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</si>
  <si>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</si>
  <si>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</si>
  <si>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</si>
  <si>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</si>
  <si>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</si>
  <si>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</si>
  <si>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Вареные колбасы «Молочная Дугушка» Весовые Вектор ТМ «Дугушка»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</si>
  <si>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</si>
  <si>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</si>
  <si>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Вареные колбасы «Дугушка со шпиком» Весовой Вектор ТМ «Дугушка»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</si>
  <si>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</si>
  <si>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</si>
  <si>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Вареные колбасы «Молокуша» Фикс.вес 0,17 нарезка ТМ «Вязанка»</t>
  </si>
  <si>
    <t>Сардельки «Сливушки» фикс.вес 0,33 п/а мгс ТМ «Вязанка»</t>
  </si>
  <si>
    <t>Паштеты Со сливочным маслом ГОСТ Бордо фикс.вес 0,1 Стародворье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</si>
  <si>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</si>
  <si>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</si>
  <si>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</si>
  <si>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</si>
  <si>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«Докторская ГОСТ» Фикс.вес 0,6 п/а ТМ «Дугушка»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</si>
  <si>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</si>
  <si>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</si>
  <si>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</si>
  <si>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</si>
  <si>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</si>
  <si>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</si>
  <si>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</si>
  <si>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</si>
  <si>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</si>
  <si>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Ветчины «Филейская» Весовые Вектор ТМ «Вязанка»</t>
  </si>
  <si>
    <t>Вареные колбасы «Филейская» Весовые Вектор ТМ «Вязанка»</t>
  </si>
  <si>
    <t>Ветчины «Сливушка с индейкой» Весовой п/а ТМ «Вязанка»</t>
  </si>
  <si>
    <t>Сардельки «Филейские» Весовые н/о мгс ТМ «Вязанка»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</si>
  <si>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</si>
  <si>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</si>
  <si>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</si>
  <si>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</si>
  <si>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</si>
  <si>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</si>
  <si>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</si>
  <si>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</si>
  <si>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</si>
  <si>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</si>
  <si>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</si>
  <si>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</si>
  <si>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</si>
  <si>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</si>
  <si>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Копченые колбасы «Сервелат Мясорубский» Фикс.вес 0,08 нарезка ТМ «Стародворье»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</si>
  <si>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</si>
  <si>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</si>
  <si>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Ветчины «Нежная с индейкой» Весовой п/а ТМ «Особый рецепт»</t>
  </si>
  <si>
    <t>Вареные колбасы «Сливушка» Фикс.вес 0,11 нарезка ТМ «Вязанка»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</si>
  <si>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</si>
  <si>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</si>
  <si>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</si>
  <si>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</si>
  <si>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</si>
  <si>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</si>
  <si>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</si>
  <si>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</si>
  <si>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</si>
  <si>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</si>
  <si>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</si>
  <si>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</si>
  <si>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Вареные колбасы «Со шпиком»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</si>
  <si>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</si>
  <si>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</si>
  <si>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</si>
  <si>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Вареные колбасы «Докторская Классическая» Весовой п/а ТМ «Особый рецепт»</t>
  </si>
  <si>
    <t>Код единицы продаж</t>
  </si>
  <si>
    <t>Наименование для бланков</t>
  </si>
  <si>
    <t xml:space="preserve"> Заказано</t>
  </si>
  <si>
    <t xml:space="preserve"> Согласовано</t>
  </si>
  <si>
    <t xml:space="preserve"> Урезание</t>
  </si>
  <si>
    <t>11,08,недогр</t>
  </si>
  <si>
    <t>80шт сеть Молоко (07,08,26)</t>
  </si>
  <si>
    <t>заказ</t>
  </si>
  <si>
    <t>15,08,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</si>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</sst>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#,##0_ ;[Red]\-#,##0\ "/>
    <numFmt numFmtId="166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5" fillId="6" borderId="1" xfId="1" applyNumberFormat="1" applyFont="1" applyFill="1"/>
    <xf numFmtId="164" fontId="1" fillId="7" borderId="1" xfId="1" applyNumberForma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/>
    <xf numFmtId="0" fontId="0" fillId="0" borderId="1" xfId="0"/>
    <xf numFmtId="165" fontId="0" fillId="0" borderId="1" xfId="0" applyNumberFormat="1"/>
    <xf numFmtId="0" fontId="10" fillId="8" borderId="3" xfId="0" applyFont="1" applyFill="1" applyBorder="1"/>
    <xf numFmtId="0" fontId="0" fillId="0" borderId="1" xfId="0" applyBorder="1"/>
    <xf numFmtId="164" fontId="4" fillId="9" borderId="1" xfId="1" applyNumberFormat="1" applyFont="1" applyFill="1"/>
    <xf numFmtId="164" fontId="4" fillId="0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5" customWidth="1"/>
    <col min="17" max="17" width="7" style="21" customWidth="1"/>
    <col min="18" max="20" width="7" customWidth="1"/>
    <col min="21" max="22" width="5" customWidth="1"/>
    <col min="23" max="32" width="6" customWidth="1"/>
    <col min="33" max="33" width="38.140625" customWidth="1"/>
    <col min="34" max="34" width="7" customWidth="1"/>
  </cols>
  <sheetData>
    <row r="1" spans="1:34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8"/>
      <c r="R1" s="13"/>
      <c r="S1" s="13"/>
      <c r="T1" s="28">
        <v>-0.75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8">
        <v>1500</v>
      </c>
      <c r="R2" s="13"/>
      <c r="S2" s="13"/>
      <c r="T2" s="13" t="s">
        <v>331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9" t="s">
        <v>14</v>
      </c>
      <c r="R3" s="1" t="s">
        <v>15</v>
      </c>
      <c r="S3" s="2" t="s">
        <v>16</v>
      </c>
      <c r="T3" s="2" t="s">
        <v>329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</row>
    <row r="4" spans="1:34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8" t="s">
        <v>22</v>
      </c>
      <c r="P4" s="26" t="s">
        <v>327</v>
      </c>
      <c r="Q4" s="8" t="s">
        <v>23</v>
      </c>
      <c r="R4" s="13" t="s">
        <v>22</v>
      </c>
      <c r="S4" s="13"/>
      <c r="T4" s="13" t="s">
        <v>330</v>
      </c>
      <c r="U4" s="13"/>
      <c r="V4" s="13"/>
      <c r="W4" s="13" t="s">
        <v>24</v>
      </c>
      <c r="X4" s="13" t="s">
        <v>25</v>
      </c>
      <c r="Y4" s="13" t="s">
        <v>26</v>
      </c>
      <c r="Z4" s="13" t="s">
        <v>27</v>
      </c>
      <c r="AA4" s="13" t="s">
        <v>28</v>
      </c>
      <c r="AB4" s="13" t="s">
        <v>29</v>
      </c>
      <c r="AC4" s="13" t="s">
        <v>30</v>
      </c>
      <c r="AD4" s="13" t="s">
        <v>31</v>
      </c>
      <c r="AE4" s="13" t="s">
        <v>32</v>
      </c>
      <c r="AF4" s="13" t="s">
        <v>33</v>
      </c>
      <c r="AG4" s="13"/>
      <c r="AH4" s="13"/>
    </row>
    <row r="5" spans="1:34" x14ac:dyDescent="0.25">
      <c r="A5" s="13"/>
      <c r="B5" s="13"/>
      <c r="C5" s="13"/>
      <c r="D5" s="13"/>
      <c r="E5" s="3">
        <f>SUM(E6:E499)</f>
        <v>20234.915000000001</v>
      </c>
      <c r="F5" s="3">
        <f>SUM(F6:F499)</f>
        <v>35029.630999999987</v>
      </c>
      <c r="G5" s="6"/>
      <c r="H5" s="13"/>
      <c r="I5" s="13"/>
      <c r="J5" s="13"/>
      <c r="K5" s="3">
        <f t="shared" ref="K5:T5" si="0">SUM(K6:K499)</f>
        <v>22779.614999999998</v>
      </c>
      <c r="L5" s="3">
        <f t="shared" si="0"/>
        <v>-2544.6999999999998</v>
      </c>
      <c r="M5" s="3">
        <f t="shared" si="0"/>
        <v>0</v>
      </c>
      <c r="N5" s="3">
        <f t="shared" si="0"/>
        <v>0</v>
      </c>
      <c r="O5" s="3">
        <f t="shared" si="0"/>
        <v>11344.882069999998</v>
      </c>
      <c r="P5" s="3">
        <f t="shared" ref="P5" si="1">SUM(P6:P499)</f>
        <v>-2295.2750000000001</v>
      </c>
      <c r="Q5" s="20">
        <f t="shared" si="0"/>
        <v>1500</v>
      </c>
      <c r="R5" s="3">
        <f t="shared" si="0"/>
        <v>4046.9829999999988</v>
      </c>
      <c r="S5" s="3">
        <f t="shared" si="0"/>
        <v>8298.6896580000011</v>
      </c>
      <c r="T5" s="3">
        <f t="shared" si="0"/>
        <v>7238.1140580000038</v>
      </c>
      <c r="U5" s="13"/>
      <c r="V5" s="13"/>
      <c r="W5" s="3">
        <f t="shared" ref="W5:AF5" si="2">SUM(W6:W499)</f>
        <v>3390.857199999999</v>
      </c>
      <c r="X5" s="3">
        <f t="shared" si="2"/>
        <v>3745.7852000000003</v>
      </c>
      <c r="Y5" s="3">
        <f t="shared" si="2"/>
        <v>4644.2882000000009</v>
      </c>
      <c r="Z5" s="3">
        <f t="shared" si="2"/>
        <v>4604.8541999999989</v>
      </c>
      <c r="AA5" s="3">
        <f t="shared" si="2"/>
        <v>4923.7491999999984</v>
      </c>
      <c r="AB5" s="3">
        <f t="shared" si="2"/>
        <v>4846.7421999999979</v>
      </c>
      <c r="AC5" s="3">
        <f t="shared" si="2"/>
        <v>4677.3707999999961</v>
      </c>
      <c r="AD5" s="3">
        <f t="shared" si="2"/>
        <v>5292.9487999999983</v>
      </c>
      <c r="AE5" s="3">
        <f t="shared" si="2"/>
        <v>5236.8094000000001</v>
      </c>
      <c r="AF5" s="3">
        <f t="shared" si="2"/>
        <v>4832.8314000000018</v>
      </c>
      <c r="AG5" s="13"/>
      <c r="AH5" s="3">
        <f>SUM(AH6:AH499)</f>
        <v>4887</v>
      </c>
    </row>
    <row r="6" spans="1:34" x14ac:dyDescent="0.25">
      <c r="A6" s="13" t="s">
        <v>34</v>
      </c>
      <c r="B6" s="13" t="s">
        <v>35</v>
      </c>
      <c r="C6" s="13">
        <v>414.31599999999997</v>
      </c>
      <c r="D6" s="13">
        <v>206.905</v>
      </c>
      <c r="E6" s="13">
        <v>238.53399999999999</v>
      </c>
      <c r="F6" s="13">
        <v>347.13799999999998</v>
      </c>
      <c r="G6" s="6">
        <v>1</v>
      </c>
      <c r="H6" s="13">
        <v>50</v>
      </c>
      <c r="I6" s="13" t="s">
        <v>36</v>
      </c>
      <c r="J6" s="13"/>
      <c r="K6" s="13">
        <v>247.255</v>
      </c>
      <c r="L6" s="13">
        <f t="shared" ref="L6:L37" si="3">E6-K6</f>
        <v>-8.7210000000000036</v>
      </c>
      <c r="M6" s="13"/>
      <c r="N6" s="13"/>
      <c r="O6" s="13">
        <v>0</v>
      </c>
      <c r="P6" s="13"/>
      <c r="Q6" s="13"/>
      <c r="R6" s="13">
        <f t="shared" ref="R6:R37" si="4">E6/5</f>
        <v>47.706800000000001</v>
      </c>
      <c r="S6" s="4">
        <f>11*R6-Q6-O6-F6</f>
        <v>177.63680000000005</v>
      </c>
      <c r="T6" s="4">
        <f>S6+R6*$T$1</f>
        <v>141.85670000000005</v>
      </c>
      <c r="U6" s="13">
        <f>(F6+O6+Q6+T6+P6)/R6</f>
        <v>10.25</v>
      </c>
      <c r="V6" s="13">
        <f>(F6+O6+Q6+P6)/R6</f>
        <v>7.2764888862803616</v>
      </c>
      <c r="W6" s="13">
        <v>28.063800000000001</v>
      </c>
      <c r="X6" s="13">
        <v>26.715599999999998</v>
      </c>
      <c r="Y6" s="13">
        <v>48.6646</v>
      </c>
      <c r="Z6" s="13">
        <v>55.111400000000003</v>
      </c>
      <c r="AA6" s="13">
        <v>50.386399999999988</v>
      </c>
      <c r="AB6" s="13">
        <v>51.108400000000003</v>
      </c>
      <c r="AC6" s="13">
        <v>52.763399999999997</v>
      </c>
      <c r="AD6" s="13">
        <v>58.165599999999998</v>
      </c>
      <c r="AE6" s="13">
        <v>54.690600000000003</v>
      </c>
      <c r="AF6" s="13">
        <v>46.491</v>
      </c>
      <c r="AG6" s="13"/>
      <c r="AH6" s="13">
        <f>ROUND(G6*T6,0)</f>
        <v>142</v>
      </c>
    </row>
    <row r="7" spans="1:34" x14ac:dyDescent="0.25">
      <c r="A7" s="10" t="s">
        <v>37</v>
      </c>
      <c r="B7" s="10" t="s">
        <v>35</v>
      </c>
      <c r="C7" s="10">
        <v>8</v>
      </c>
      <c r="D7" s="10"/>
      <c r="E7" s="10"/>
      <c r="F7" s="10"/>
      <c r="G7" s="11">
        <v>0</v>
      </c>
      <c r="H7" s="10"/>
      <c r="I7" s="10" t="s">
        <v>38</v>
      </c>
      <c r="J7" s="10"/>
      <c r="K7" s="10"/>
      <c r="L7" s="10">
        <f t="shared" si="3"/>
        <v>0</v>
      </c>
      <c r="M7" s="10"/>
      <c r="N7" s="10"/>
      <c r="O7" s="10">
        <v>0</v>
      </c>
      <c r="P7" s="10"/>
      <c r="Q7" s="10"/>
      <c r="R7" s="10">
        <f t="shared" si="4"/>
        <v>0</v>
      </c>
      <c r="S7" s="12"/>
      <c r="T7" s="4">
        <f t="shared" ref="T7:T70" si="5">S7</f>
        <v>0</v>
      </c>
      <c r="U7" s="13" t="e">
        <f t="shared" ref="U7:U70" si="6">(F7+O7+Q7+T7+P7)/R7</f>
        <v>#DIV/0!</v>
      </c>
      <c r="V7" s="10" t="e">
        <f t="shared" ref="V7:V70" si="7">(F7+O7+Q7+P7)/R7</f>
        <v>#DIV/0!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/>
      <c r="AH7" s="13">
        <f t="shared" ref="AH7:AH70" si="8">ROUND(G7*T7,0)</f>
        <v>0</v>
      </c>
    </row>
    <row r="8" spans="1:34" x14ac:dyDescent="0.25">
      <c r="A8" s="13" t="s">
        <v>39</v>
      </c>
      <c r="B8" s="13" t="s">
        <v>35</v>
      </c>
      <c r="C8" s="13">
        <v>615.58199999999999</v>
      </c>
      <c r="D8" s="13">
        <v>118</v>
      </c>
      <c r="E8" s="13">
        <v>405.202</v>
      </c>
      <c r="F8" s="13">
        <v>233.65299999999999</v>
      </c>
      <c r="G8" s="6">
        <v>1</v>
      </c>
      <c r="H8" s="13">
        <v>45</v>
      </c>
      <c r="I8" s="13" t="s">
        <v>36</v>
      </c>
      <c r="J8" s="13"/>
      <c r="K8" s="13">
        <v>568.74800000000005</v>
      </c>
      <c r="L8" s="13">
        <f t="shared" si="3"/>
        <v>-163.54600000000005</v>
      </c>
      <c r="M8" s="13"/>
      <c r="N8" s="13"/>
      <c r="O8" s="13">
        <v>369.03300000000002</v>
      </c>
      <c r="P8" s="13">
        <v>0</v>
      </c>
      <c r="Q8" s="13"/>
      <c r="R8" s="13">
        <f t="shared" si="4"/>
        <v>81.040400000000005</v>
      </c>
      <c r="S8" s="4">
        <f>11*R8-Q8-O8-F8</f>
        <v>288.75840000000005</v>
      </c>
      <c r="T8" s="4">
        <f t="shared" ref="T8:T9" si="9">S8+R8*$T$1</f>
        <v>227.97810000000004</v>
      </c>
      <c r="U8" s="13">
        <f t="shared" si="6"/>
        <v>10.25</v>
      </c>
      <c r="V8" s="13">
        <f t="shared" si="7"/>
        <v>7.4368586532149399</v>
      </c>
      <c r="W8" s="13">
        <v>58.811599999999999</v>
      </c>
      <c r="X8" s="13">
        <v>63.0702</v>
      </c>
      <c r="Y8" s="13">
        <v>39.780999999999999</v>
      </c>
      <c r="Z8" s="13">
        <v>30.569600000000001</v>
      </c>
      <c r="AA8" s="13">
        <v>17.161999999999999</v>
      </c>
      <c r="AB8" s="13">
        <v>29.265599999999999</v>
      </c>
      <c r="AC8" s="13">
        <v>120.8122</v>
      </c>
      <c r="AD8" s="13">
        <v>121.6172</v>
      </c>
      <c r="AE8" s="13">
        <v>57.033000000000001</v>
      </c>
      <c r="AF8" s="13">
        <v>50.988399999999999</v>
      </c>
      <c r="AG8" s="13"/>
      <c r="AH8" s="13">
        <f t="shared" si="8"/>
        <v>228</v>
      </c>
    </row>
    <row r="9" spans="1:34" x14ac:dyDescent="0.25">
      <c r="A9" s="13" t="s">
        <v>41</v>
      </c>
      <c r="B9" s="13" t="s">
        <v>35</v>
      </c>
      <c r="C9" s="13">
        <v>345.25700000000001</v>
      </c>
      <c r="D9" s="13">
        <v>564.24199999999996</v>
      </c>
      <c r="E9" s="13">
        <v>465.21</v>
      </c>
      <c r="F9" s="13">
        <v>318.51799999999997</v>
      </c>
      <c r="G9" s="6">
        <v>1</v>
      </c>
      <c r="H9" s="13">
        <v>45</v>
      </c>
      <c r="I9" s="13" t="s">
        <v>36</v>
      </c>
      <c r="J9" s="13"/>
      <c r="K9" s="13">
        <v>466.98399999999998</v>
      </c>
      <c r="L9" s="13">
        <f t="shared" si="3"/>
        <v>-1.7740000000000009</v>
      </c>
      <c r="M9" s="13"/>
      <c r="N9" s="13"/>
      <c r="O9" s="13">
        <v>373.18699999999978</v>
      </c>
      <c r="P9" s="13">
        <v>0</v>
      </c>
      <c r="Q9" s="13"/>
      <c r="R9" s="13">
        <f t="shared" si="4"/>
        <v>93.042000000000002</v>
      </c>
      <c r="S9" s="4">
        <f>11*R9-Q9-O9-F9</f>
        <v>331.75700000000023</v>
      </c>
      <c r="T9" s="4">
        <f t="shared" si="9"/>
        <v>261.97550000000024</v>
      </c>
      <c r="U9" s="13">
        <f t="shared" si="6"/>
        <v>10.25</v>
      </c>
      <c r="V9" s="13">
        <f t="shared" si="7"/>
        <v>7.4343307323574264</v>
      </c>
      <c r="W9" s="13">
        <v>68.473199999999991</v>
      </c>
      <c r="X9" s="13">
        <v>73.171999999999997</v>
      </c>
      <c r="Y9" s="13">
        <v>62.864999999999988</v>
      </c>
      <c r="Z9" s="13">
        <v>52.998600000000003</v>
      </c>
      <c r="AA9" s="13">
        <v>41.674400000000013</v>
      </c>
      <c r="AB9" s="13">
        <v>95.290599999999998</v>
      </c>
      <c r="AC9" s="13">
        <v>107.0196</v>
      </c>
      <c r="AD9" s="13">
        <v>70.07419999999999</v>
      </c>
      <c r="AE9" s="13">
        <v>65.295199999999994</v>
      </c>
      <c r="AF9" s="13">
        <v>58.473199999999999</v>
      </c>
      <c r="AG9" s="13"/>
      <c r="AH9" s="13">
        <f t="shared" si="8"/>
        <v>262</v>
      </c>
    </row>
    <row r="10" spans="1:34" x14ac:dyDescent="0.25">
      <c r="A10" s="10" t="s">
        <v>43</v>
      </c>
      <c r="B10" s="10" t="s">
        <v>44</v>
      </c>
      <c r="C10" s="10"/>
      <c r="D10" s="10"/>
      <c r="E10" s="10"/>
      <c r="F10" s="10"/>
      <c r="G10" s="11">
        <v>0</v>
      </c>
      <c r="H10" s="10"/>
      <c r="I10" s="10" t="s">
        <v>36</v>
      </c>
      <c r="J10" s="10"/>
      <c r="K10" s="10"/>
      <c r="L10" s="10">
        <f t="shared" si="3"/>
        <v>0</v>
      </c>
      <c r="M10" s="10"/>
      <c r="N10" s="10"/>
      <c r="O10" s="10">
        <v>0</v>
      </c>
      <c r="P10" s="10"/>
      <c r="Q10" s="10"/>
      <c r="R10" s="10">
        <f t="shared" si="4"/>
        <v>0</v>
      </c>
      <c r="S10" s="12"/>
      <c r="T10" s="4">
        <f t="shared" si="5"/>
        <v>0</v>
      </c>
      <c r="U10" s="13" t="e">
        <f t="shared" si="6"/>
        <v>#DIV/0!</v>
      </c>
      <c r="V10" s="10" t="e">
        <f t="shared" si="7"/>
        <v>#DIV/0!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 t="s">
        <v>45</v>
      </c>
      <c r="AH10" s="13">
        <f t="shared" si="8"/>
        <v>0</v>
      </c>
    </row>
    <row r="11" spans="1:34" x14ac:dyDescent="0.25">
      <c r="A11" s="13" t="s">
        <v>46</v>
      </c>
      <c r="B11" s="13" t="s">
        <v>44</v>
      </c>
      <c r="C11" s="13">
        <v>1072</v>
      </c>
      <c r="D11" s="13">
        <v>525</v>
      </c>
      <c r="E11" s="13">
        <v>428</v>
      </c>
      <c r="F11" s="13">
        <v>923</v>
      </c>
      <c r="G11" s="6">
        <v>0.45</v>
      </c>
      <c r="H11" s="13">
        <v>45</v>
      </c>
      <c r="I11" s="13" t="s">
        <v>36</v>
      </c>
      <c r="J11" s="13"/>
      <c r="K11" s="13">
        <v>534</v>
      </c>
      <c r="L11" s="13">
        <f t="shared" si="3"/>
        <v>-106</v>
      </c>
      <c r="M11" s="13"/>
      <c r="N11" s="13"/>
      <c r="O11" s="13">
        <v>18.388000000000019</v>
      </c>
      <c r="P11" s="13">
        <v>0</v>
      </c>
      <c r="Q11" s="13"/>
      <c r="R11" s="13">
        <f t="shared" si="4"/>
        <v>85.6</v>
      </c>
      <c r="S11" s="4"/>
      <c r="T11" s="4">
        <f t="shared" si="5"/>
        <v>0</v>
      </c>
      <c r="U11" s="13">
        <f t="shared" si="6"/>
        <v>10.997523364485982</v>
      </c>
      <c r="V11" s="13">
        <f t="shared" si="7"/>
        <v>10.997523364485982</v>
      </c>
      <c r="W11" s="13">
        <v>78.400000000000006</v>
      </c>
      <c r="X11" s="13">
        <v>92.6</v>
      </c>
      <c r="Y11" s="13">
        <v>123.8</v>
      </c>
      <c r="Z11" s="13">
        <v>121.2</v>
      </c>
      <c r="AA11" s="13">
        <v>130.4</v>
      </c>
      <c r="AB11" s="13">
        <v>130.80000000000001</v>
      </c>
      <c r="AC11" s="13">
        <v>112.4</v>
      </c>
      <c r="AD11" s="13">
        <v>123</v>
      </c>
      <c r="AE11" s="13">
        <v>122</v>
      </c>
      <c r="AF11" s="13">
        <v>130.80000000000001</v>
      </c>
      <c r="AG11" s="13"/>
      <c r="AH11" s="13">
        <f t="shared" si="8"/>
        <v>0</v>
      </c>
    </row>
    <row r="12" spans="1:34" x14ac:dyDescent="0.25">
      <c r="A12" s="13" t="s">
        <v>48</v>
      </c>
      <c r="B12" s="13" t="s">
        <v>44</v>
      </c>
      <c r="C12" s="13">
        <v>342</v>
      </c>
      <c r="D12" s="13">
        <v>1527</v>
      </c>
      <c r="E12" s="13">
        <v>609</v>
      </c>
      <c r="F12" s="13">
        <v>1056</v>
      </c>
      <c r="G12" s="6">
        <v>0.45</v>
      </c>
      <c r="H12" s="13">
        <v>45</v>
      </c>
      <c r="I12" s="13" t="s">
        <v>36</v>
      </c>
      <c r="J12" s="13"/>
      <c r="K12" s="13">
        <v>825</v>
      </c>
      <c r="L12" s="13">
        <f t="shared" si="3"/>
        <v>-216</v>
      </c>
      <c r="M12" s="13"/>
      <c r="N12" s="13"/>
      <c r="O12" s="13">
        <v>347.7999999999999</v>
      </c>
      <c r="P12" s="13">
        <v>0</v>
      </c>
      <c r="Q12" s="18"/>
      <c r="R12" s="13">
        <f t="shared" si="4"/>
        <v>121.8</v>
      </c>
      <c r="S12" s="4"/>
      <c r="T12" s="4">
        <f t="shared" si="5"/>
        <v>0</v>
      </c>
      <c r="U12" s="13">
        <f t="shared" si="6"/>
        <v>11.525451559934318</v>
      </c>
      <c r="V12" s="13">
        <f t="shared" si="7"/>
        <v>11.525451559934318</v>
      </c>
      <c r="W12" s="13">
        <v>115.2</v>
      </c>
      <c r="X12" s="13">
        <v>136.4</v>
      </c>
      <c r="Y12" s="13">
        <v>154.6</v>
      </c>
      <c r="Z12" s="13">
        <v>104</v>
      </c>
      <c r="AA12" s="13">
        <v>95.2</v>
      </c>
      <c r="AB12" s="13">
        <v>133.4</v>
      </c>
      <c r="AC12" s="13">
        <v>138</v>
      </c>
      <c r="AD12" s="13">
        <v>155.19999999999999</v>
      </c>
      <c r="AE12" s="13">
        <v>140.19999999999999</v>
      </c>
      <c r="AF12" s="13">
        <v>109</v>
      </c>
      <c r="AG12" s="13"/>
      <c r="AH12" s="13">
        <f t="shared" si="8"/>
        <v>0</v>
      </c>
    </row>
    <row r="13" spans="1:34" x14ac:dyDescent="0.25">
      <c r="A13" s="13" t="s">
        <v>50</v>
      </c>
      <c r="B13" s="13" t="s">
        <v>44</v>
      </c>
      <c r="C13" s="13">
        <v>167</v>
      </c>
      <c r="D13" s="13">
        <v>12</v>
      </c>
      <c r="E13" s="13">
        <v>90</v>
      </c>
      <c r="F13" s="13">
        <v>30</v>
      </c>
      <c r="G13" s="6">
        <v>0.17</v>
      </c>
      <c r="H13" s="13">
        <v>180</v>
      </c>
      <c r="I13" s="13" t="s">
        <v>36</v>
      </c>
      <c r="J13" s="13"/>
      <c r="K13" s="13">
        <v>90</v>
      </c>
      <c r="L13" s="13">
        <f t="shared" si="3"/>
        <v>0</v>
      </c>
      <c r="M13" s="13"/>
      <c r="N13" s="13"/>
      <c r="O13" s="13">
        <v>36.000000000000007</v>
      </c>
      <c r="P13" s="13">
        <v>0</v>
      </c>
      <c r="Q13" s="13"/>
      <c r="R13" s="13">
        <f t="shared" si="4"/>
        <v>18</v>
      </c>
      <c r="S13" s="4">
        <f>10*R13-Q13-O13-F13</f>
        <v>114</v>
      </c>
      <c r="T13" s="4">
        <f t="shared" ref="T13:T15" si="10">S13+R13*$T$1</f>
        <v>100.5</v>
      </c>
      <c r="U13" s="13">
        <f t="shared" si="6"/>
        <v>9.25</v>
      </c>
      <c r="V13" s="13">
        <f t="shared" si="7"/>
        <v>3.6666666666666665</v>
      </c>
      <c r="W13" s="13">
        <v>11.6</v>
      </c>
      <c r="X13" s="13">
        <v>15</v>
      </c>
      <c r="Y13" s="13">
        <v>14</v>
      </c>
      <c r="Z13" s="13">
        <v>14.8</v>
      </c>
      <c r="AA13" s="13">
        <v>20</v>
      </c>
      <c r="AB13" s="13">
        <v>20.2</v>
      </c>
      <c r="AC13" s="13">
        <v>24.8</v>
      </c>
      <c r="AD13" s="13">
        <v>23.6</v>
      </c>
      <c r="AE13" s="13">
        <v>20.6</v>
      </c>
      <c r="AF13" s="13">
        <v>16.399999999999999</v>
      </c>
      <c r="AG13" s="13"/>
      <c r="AH13" s="13">
        <f t="shared" si="8"/>
        <v>17</v>
      </c>
    </row>
    <row r="14" spans="1:34" x14ac:dyDescent="0.25">
      <c r="A14" s="13" t="s">
        <v>52</v>
      </c>
      <c r="B14" s="13" t="s">
        <v>44</v>
      </c>
      <c r="C14" s="13">
        <v>140</v>
      </c>
      <c r="D14" s="13">
        <v>141</v>
      </c>
      <c r="E14" s="13">
        <v>146</v>
      </c>
      <c r="F14" s="13">
        <v>112</v>
      </c>
      <c r="G14" s="6">
        <v>0.3</v>
      </c>
      <c r="H14" s="13">
        <v>40</v>
      </c>
      <c r="I14" s="13" t="s">
        <v>36</v>
      </c>
      <c r="J14" s="13"/>
      <c r="K14" s="13">
        <v>156</v>
      </c>
      <c r="L14" s="13">
        <f t="shared" si="3"/>
        <v>-10</v>
      </c>
      <c r="M14" s="13"/>
      <c r="N14" s="13"/>
      <c r="O14" s="13">
        <v>76.79999999999994</v>
      </c>
      <c r="P14" s="13">
        <v>0</v>
      </c>
      <c r="Q14" s="13"/>
      <c r="R14" s="13">
        <f t="shared" si="4"/>
        <v>29.2</v>
      </c>
      <c r="S14" s="4">
        <f>11*R14-Q14-O14-F14</f>
        <v>132.40000000000003</v>
      </c>
      <c r="T14" s="4">
        <f t="shared" si="10"/>
        <v>110.50000000000003</v>
      </c>
      <c r="U14" s="13">
        <f t="shared" si="6"/>
        <v>10.249999999999998</v>
      </c>
      <c r="V14" s="13">
        <f t="shared" si="7"/>
        <v>6.4657534246575326</v>
      </c>
      <c r="W14" s="13">
        <v>16.399999999999999</v>
      </c>
      <c r="X14" s="13">
        <v>19.8</v>
      </c>
      <c r="Y14" s="13">
        <v>23.6</v>
      </c>
      <c r="Z14" s="13">
        <v>21</v>
      </c>
      <c r="AA14" s="13">
        <v>13.6</v>
      </c>
      <c r="AB14" s="13">
        <v>30.4</v>
      </c>
      <c r="AC14" s="13">
        <v>28.8</v>
      </c>
      <c r="AD14" s="13">
        <v>27.8</v>
      </c>
      <c r="AE14" s="13">
        <v>31.8</v>
      </c>
      <c r="AF14" s="13">
        <v>25.6</v>
      </c>
      <c r="AG14" s="13"/>
      <c r="AH14" s="13">
        <f t="shared" si="8"/>
        <v>33</v>
      </c>
    </row>
    <row r="15" spans="1:34" x14ac:dyDescent="0.25">
      <c r="A15" s="13" t="s">
        <v>54</v>
      </c>
      <c r="B15" s="13" t="s">
        <v>44</v>
      </c>
      <c r="C15" s="13">
        <v>223</v>
      </c>
      <c r="D15" s="13">
        <v>77</v>
      </c>
      <c r="E15" s="13">
        <v>160</v>
      </c>
      <c r="F15" s="13">
        <v>124</v>
      </c>
      <c r="G15" s="6">
        <v>0.17</v>
      </c>
      <c r="H15" s="13">
        <v>180</v>
      </c>
      <c r="I15" s="13" t="s">
        <v>36</v>
      </c>
      <c r="J15" s="13"/>
      <c r="K15" s="13">
        <v>160</v>
      </c>
      <c r="L15" s="13">
        <f t="shared" si="3"/>
        <v>0</v>
      </c>
      <c r="M15" s="13"/>
      <c r="N15" s="13"/>
      <c r="O15" s="13">
        <v>126.4</v>
      </c>
      <c r="P15" s="13">
        <v>0</v>
      </c>
      <c r="Q15" s="13"/>
      <c r="R15" s="13">
        <f t="shared" si="4"/>
        <v>32</v>
      </c>
      <c r="S15" s="4">
        <f>11*R15-Q15-O15-F15</f>
        <v>101.6</v>
      </c>
      <c r="T15" s="4">
        <f t="shared" si="10"/>
        <v>77.599999999999994</v>
      </c>
      <c r="U15" s="13">
        <f t="shared" si="6"/>
        <v>10.25</v>
      </c>
      <c r="V15" s="13">
        <f t="shared" si="7"/>
        <v>7.8250000000000002</v>
      </c>
      <c r="W15" s="13">
        <v>21.4</v>
      </c>
      <c r="X15" s="13">
        <v>18.2</v>
      </c>
      <c r="Y15" s="13">
        <v>21.2</v>
      </c>
      <c r="Z15" s="13">
        <v>27.6</v>
      </c>
      <c r="AA15" s="13">
        <v>28.6</v>
      </c>
      <c r="AB15" s="13">
        <v>30.2</v>
      </c>
      <c r="AC15" s="13">
        <v>40.200000000000003</v>
      </c>
      <c r="AD15" s="13">
        <v>31.4</v>
      </c>
      <c r="AE15" s="13">
        <v>25.6</v>
      </c>
      <c r="AF15" s="13">
        <v>24</v>
      </c>
      <c r="AG15" s="13"/>
      <c r="AH15" s="13">
        <f t="shared" si="8"/>
        <v>13</v>
      </c>
    </row>
    <row r="16" spans="1:34" x14ac:dyDescent="0.25">
      <c r="A16" s="13" t="s">
        <v>56</v>
      </c>
      <c r="B16" s="13" t="s">
        <v>35</v>
      </c>
      <c r="C16" s="13">
        <v>784.63699999999994</v>
      </c>
      <c r="D16" s="13">
        <v>585.70600000000002</v>
      </c>
      <c r="E16" s="13">
        <v>383.32600000000002</v>
      </c>
      <c r="F16" s="13">
        <v>787.06899999999996</v>
      </c>
      <c r="G16" s="6">
        <v>1</v>
      </c>
      <c r="H16" s="13">
        <v>70</v>
      </c>
      <c r="I16" s="13" t="s">
        <v>36</v>
      </c>
      <c r="J16" s="13"/>
      <c r="K16" s="13">
        <v>369</v>
      </c>
      <c r="L16" s="13">
        <f t="shared" si="3"/>
        <v>14.326000000000022</v>
      </c>
      <c r="M16" s="13"/>
      <c r="N16" s="13"/>
      <c r="O16" s="13">
        <v>0</v>
      </c>
      <c r="P16" s="13"/>
      <c r="Q16" s="13"/>
      <c r="R16" s="13">
        <f t="shared" si="4"/>
        <v>76.665199999999999</v>
      </c>
      <c r="S16" s="4">
        <f>11*R16-Q16-O16-F16</f>
        <v>56.248199999999997</v>
      </c>
      <c r="T16" s="4">
        <f t="shared" si="5"/>
        <v>56.248199999999997</v>
      </c>
      <c r="U16" s="13">
        <f t="shared" si="6"/>
        <v>11</v>
      </c>
      <c r="V16" s="13">
        <f t="shared" si="7"/>
        <v>10.266313790350772</v>
      </c>
      <c r="W16" s="13">
        <v>60.802999999999997</v>
      </c>
      <c r="X16" s="13">
        <v>75.010400000000004</v>
      </c>
      <c r="Y16" s="13">
        <v>103.798</v>
      </c>
      <c r="Z16" s="13">
        <v>100.63639999999999</v>
      </c>
      <c r="AA16" s="13">
        <v>101.03440000000001</v>
      </c>
      <c r="AB16" s="13">
        <v>101.12820000000001</v>
      </c>
      <c r="AC16" s="13">
        <v>101.80880000000001</v>
      </c>
      <c r="AD16" s="13">
        <v>108.13339999999999</v>
      </c>
      <c r="AE16" s="13">
        <v>101.485</v>
      </c>
      <c r="AF16" s="13">
        <v>95.054000000000002</v>
      </c>
      <c r="AG16" s="13"/>
      <c r="AH16" s="13">
        <f t="shared" si="8"/>
        <v>56</v>
      </c>
    </row>
    <row r="17" spans="1:34" x14ac:dyDescent="0.25">
      <c r="A17" s="13" t="s">
        <v>57</v>
      </c>
      <c r="B17" s="13" t="s">
        <v>35</v>
      </c>
      <c r="C17" s="13">
        <v>3998.4459999999999</v>
      </c>
      <c r="D17" s="13">
        <v>3415.489</v>
      </c>
      <c r="E17" s="13">
        <v>1452.421</v>
      </c>
      <c r="F17" s="13">
        <v>5127.6540000000005</v>
      </c>
      <c r="G17" s="6">
        <v>1</v>
      </c>
      <c r="H17" s="13">
        <v>50</v>
      </c>
      <c r="I17" s="13" t="s">
        <v>36</v>
      </c>
      <c r="J17" s="13"/>
      <c r="K17" s="13">
        <v>1544.96</v>
      </c>
      <c r="L17" s="13">
        <f t="shared" si="3"/>
        <v>-92.538999999999987</v>
      </c>
      <c r="M17" s="13"/>
      <c r="N17" s="13"/>
      <c r="O17" s="13">
        <v>0</v>
      </c>
      <c r="P17" s="13"/>
      <c r="Q17" s="18"/>
      <c r="R17" s="13">
        <f t="shared" si="4"/>
        <v>290.48419999999999</v>
      </c>
      <c r="S17" s="4"/>
      <c r="T17" s="4">
        <f t="shared" si="5"/>
        <v>0</v>
      </c>
      <c r="U17" s="13">
        <f t="shared" si="6"/>
        <v>17.652092609511982</v>
      </c>
      <c r="V17" s="13">
        <f t="shared" si="7"/>
        <v>17.652092609511982</v>
      </c>
      <c r="W17" s="13">
        <v>294.3408</v>
      </c>
      <c r="X17" s="13">
        <v>370.44220000000001</v>
      </c>
      <c r="Y17" s="13">
        <v>447.33139999999997</v>
      </c>
      <c r="Z17" s="13">
        <v>426.28320000000002</v>
      </c>
      <c r="AA17" s="13">
        <v>485.00200000000012</v>
      </c>
      <c r="AB17" s="13">
        <v>444.64399999999989</v>
      </c>
      <c r="AC17" s="13">
        <v>417.89479999999998</v>
      </c>
      <c r="AD17" s="13">
        <v>444.3236</v>
      </c>
      <c r="AE17" s="13">
        <v>493.88639999999998</v>
      </c>
      <c r="AF17" s="13">
        <v>433.84800000000001</v>
      </c>
      <c r="AG17" s="9" t="s">
        <v>58</v>
      </c>
      <c r="AH17" s="13">
        <f t="shared" si="8"/>
        <v>0</v>
      </c>
    </row>
    <row r="18" spans="1:34" x14ac:dyDescent="0.25">
      <c r="A18" s="13" t="s">
        <v>59</v>
      </c>
      <c r="B18" s="13" t="s">
        <v>35</v>
      </c>
      <c r="C18" s="13">
        <v>69.322000000000003</v>
      </c>
      <c r="D18" s="13">
        <v>219.18</v>
      </c>
      <c r="E18" s="13">
        <v>49.000999999999998</v>
      </c>
      <c r="F18" s="13">
        <v>124.596</v>
      </c>
      <c r="G18" s="6">
        <v>1</v>
      </c>
      <c r="H18" s="13">
        <v>60</v>
      </c>
      <c r="I18" s="13" t="s">
        <v>36</v>
      </c>
      <c r="J18" s="13"/>
      <c r="K18" s="13">
        <v>55.1</v>
      </c>
      <c r="L18" s="13">
        <f t="shared" si="3"/>
        <v>-6.0990000000000038</v>
      </c>
      <c r="M18" s="13"/>
      <c r="N18" s="13"/>
      <c r="O18" s="13">
        <v>0</v>
      </c>
      <c r="P18" s="13"/>
      <c r="Q18" s="13"/>
      <c r="R18" s="13">
        <f t="shared" si="4"/>
        <v>9.8002000000000002</v>
      </c>
      <c r="S18" s="4"/>
      <c r="T18" s="4">
        <f t="shared" si="5"/>
        <v>0</v>
      </c>
      <c r="U18" s="13">
        <f t="shared" si="6"/>
        <v>12.713618089426747</v>
      </c>
      <c r="V18" s="13">
        <f t="shared" si="7"/>
        <v>12.713618089426747</v>
      </c>
      <c r="W18" s="13">
        <v>6.9792000000000014</v>
      </c>
      <c r="X18" s="13">
        <v>11.373200000000001</v>
      </c>
      <c r="Y18" s="13">
        <v>21.314399999999999</v>
      </c>
      <c r="Z18" s="13">
        <v>17.635999999999999</v>
      </c>
      <c r="AA18" s="13">
        <v>7.6536</v>
      </c>
      <c r="AB18" s="13">
        <v>10.663399999999999</v>
      </c>
      <c r="AC18" s="13">
        <v>17.847000000000001</v>
      </c>
      <c r="AD18" s="13">
        <v>16.242799999999999</v>
      </c>
      <c r="AE18" s="13">
        <v>14.605600000000001</v>
      </c>
      <c r="AF18" s="13">
        <v>13.058199999999999</v>
      </c>
      <c r="AG18" s="9" t="s">
        <v>58</v>
      </c>
      <c r="AH18" s="13">
        <f t="shared" si="8"/>
        <v>0</v>
      </c>
    </row>
    <row r="19" spans="1:34" x14ac:dyDescent="0.25">
      <c r="A19" s="13" t="s">
        <v>60</v>
      </c>
      <c r="B19" s="13" t="s">
        <v>35</v>
      </c>
      <c r="C19" s="13">
        <v>20.791</v>
      </c>
      <c r="D19" s="13">
        <v>54.960999999999999</v>
      </c>
      <c r="E19" s="13">
        <v>32.204000000000001</v>
      </c>
      <c r="F19" s="13">
        <v>41.747999999999998</v>
      </c>
      <c r="G19" s="6">
        <v>1</v>
      </c>
      <c r="H19" s="13">
        <v>60</v>
      </c>
      <c r="I19" s="13" t="s">
        <v>36</v>
      </c>
      <c r="J19" s="13"/>
      <c r="K19" s="13">
        <v>30.5</v>
      </c>
      <c r="L19" s="13">
        <f t="shared" si="3"/>
        <v>1.7040000000000006</v>
      </c>
      <c r="M19" s="13"/>
      <c r="N19" s="13"/>
      <c r="O19" s="13">
        <v>53.266599999999997</v>
      </c>
      <c r="P19" s="13">
        <v>0</v>
      </c>
      <c r="Q19" s="13"/>
      <c r="R19" s="13">
        <f t="shared" si="4"/>
        <v>6.4408000000000003</v>
      </c>
      <c r="S19" s="4"/>
      <c r="T19" s="4">
        <f t="shared" si="5"/>
        <v>0</v>
      </c>
      <c r="U19" s="13">
        <f t="shared" si="6"/>
        <v>14.751987330766363</v>
      </c>
      <c r="V19" s="13">
        <f t="shared" si="7"/>
        <v>14.751987330766363</v>
      </c>
      <c r="W19" s="13">
        <v>6.5603999999999996</v>
      </c>
      <c r="X19" s="13">
        <v>4.7707999999999986</v>
      </c>
      <c r="Y19" s="13">
        <v>6.2031999999999998</v>
      </c>
      <c r="Z19" s="13">
        <v>6.2096</v>
      </c>
      <c r="AA19" s="13">
        <v>4.9654000000000007</v>
      </c>
      <c r="AB19" s="13">
        <v>3.7240000000000002</v>
      </c>
      <c r="AC19" s="13">
        <v>4.6079999999999997</v>
      </c>
      <c r="AD19" s="13">
        <v>6.5492000000000008</v>
      </c>
      <c r="AE19" s="13">
        <v>9.0280000000000005</v>
      </c>
      <c r="AF19" s="13">
        <v>8.1191999999999993</v>
      </c>
      <c r="AG19" s="13"/>
      <c r="AH19" s="13">
        <f t="shared" si="8"/>
        <v>0</v>
      </c>
    </row>
    <row r="20" spans="1:34" x14ac:dyDescent="0.25">
      <c r="A20" s="13" t="s">
        <v>62</v>
      </c>
      <c r="B20" s="13" t="s">
        <v>35</v>
      </c>
      <c r="C20" s="13">
        <v>42.515000000000001</v>
      </c>
      <c r="D20" s="13">
        <v>7.3769999999999998</v>
      </c>
      <c r="E20" s="13">
        <v>25.077000000000002</v>
      </c>
      <c r="F20" s="13">
        <v>22.949000000000002</v>
      </c>
      <c r="G20" s="6">
        <v>1</v>
      </c>
      <c r="H20" s="13">
        <v>180</v>
      </c>
      <c r="I20" s="13" t="s">
        <v>36</v>
      </c>
      <c r="J20" s="13"/>
      <c r="K20" s="13">
        <v>21.91</v>
      </c>
      <c r="L20" s="13">
        <f t="shared" si="3"/>
        <v>3.1670000000000016</v>
      </c>
      <c r="M20" s="13"/>
      <c r="N20" s="13"/>
      <c r="O20" s="13">
        <v>10.583</v>
      </c>
      <c r="P20" s="13">
        <v>0</v>
      </c>
      <c r="Q20" s="13"/>
      <c r="R20" s="13">
        <f t="shared" si="4"/>
        <v>5.0154000000000005</v>
      </c>
      <c r="S20" s="4">
        <f>11*R20-Q20-O20-F20</f>
        <v>21.637400000000003</v>
      </c>
      <c r="T20" s="4">
        <f t="shared" si="5"/>
        <v>21.637400000000003</v>
      </c>
      <c r="U20" s="13">
        <f t="shared" si="6"/>
        <v>11</v>
      </c>
      <c r="V20" s="13">
        <f t="shared" si="7"/>
        <v>6.6858077122462811</v>
      </c>
      <c r="W20" s="13">
        <v>2.7675999999999998</v>
      </c>
      <c r="X20" s="13">
        <v>2.0844</v>
      </c>
      <c r="Y20" s="13">
        <v>1.048</v>
      </c>
      <c r="Z20" s="13">
        <v>2.5106000000000002</v>
      </c>
      <c r="AA20" s="13">
        <v>4.2141999999999999</v>
      </c>
      <c r="AB20" s="13">
        <v>3.7368000000000001</v>
      </c>
      <c r="AC20" s="13">
        <v>4.8635999999999999</v>
      </c>
      <c r="AD20" s="13">
        <v>4.5688000000000004</v>
      </c>
      <c r="AE20" s="13">
        <v>4.2078000000000007</v>
      </c>
      <c r="AF20" s="13">
        <v>4.0621999999999998</v>
      </c>
      <c r="AG20" s="13"/>
      <c r="AH20" s="13">
        <f t="shared" si="8"/>
        <v>22</v>
      </c>
    </row>
    <row r="21" spans="1:34" x14ac:dyDescent="0.25">
      <c r="A21" s="13" t="s">
        <v>64</v>
      </c>
      <c r="B21" s="13" t="s">
        <v>35</v>
      </c>
      <c r="C21" s="13">
        <v>647.75699999999995</v>
      </c>
      <c r="D21" s="13">
        <v>311.83699999999999</v>
      </c>
      <c r="E21" s="13">
        <v>266.38099999999997</v>
      </c>
      <c r="F21" s="13">
        <v>575.73500000000001</v>
      </c>
      <c r="G21" s="6">
        <v>1</v>
      </c>
      <c r="H21" s="13">
        <v>60</v>
      </c>
      <c r="I21" s="13" t="s">
        <v>36</v>
      </c>
      <c r="J21" s="13"/>
      <c r="K21" s="13">
        <v>267.10000000000002</v>
      </c>
      <c r="L21" s="13">
        <f t="shared" si="3"/>
        <v>-0.71900000000005093</v>
      </c>
      <c r="M21" s="13"/>
      <c r="N21" s="13"/>
      <c r="O21" s="13">
        <v>45.725527999999898</v>
      </c>
      <c r="P21" s="13">
        <v>0</v>
      </c>
      <c r="Q21" s="13"/>
      <c r="R21" s="13">
        <f t="shared" si="4"/>
        <v>53.276199999999996</v>
      </c>
      <c r="S21" s="4"/>
      <c r="T21" s="4">
        <f t="shared" si="5"/>
        <v>0</v>
      </c>
      <c r="U21" s="13">
        <f t="shared" si="6"/>
        <v>11.664880903668054</v>
      </c>
      <c r="V21" s="13">
        <f t="shared" si="7"/>
        <v>11.664880903668054</v>
      </c>
      <c r="W21" s="13">
        <v>50.758800000000001</v>
      </c>
      <c r="X21" s="13">
        <v>59.435799999999993</v>
      </c>
      <c r="Y21" s="13">
        <v>77.672799999999995</v>
      </c>
      <c r="Z21" s="13">
        <v>76.057199999999995</v>
      </c>
      <c r="AA21" s="13">
        <v>82.202399999999997</v>
      </c>
      <c r="AB21" s="13">
        <v>88.697599999999994</v>
      </c>
      <c r="AC21" s="13">
        <v>89.646000000000001</v>
      </c>
      <c r="AD21" s="13">
        <v>88.110399999999998</v>
      </c>
      <c r="AE21" s="13">
        <v>82.381200000000007</v>
      </c>
      <c r="AF21" s="13">
        <v>76.139800000000008</v>
      </c>
      <c r="AG21" s="13"/>
      <c r="AH21" s="13">
        <f t="shared" si="8"/>
        <v>0</v>
      </c>
    </row>
    <row r="22" spans="1:34" x14ac:dyDescent="0.25">
      <c r="A22" s="13" t="s">
        <v>66</v>
      </c>
      <c r="B22" s="13" t="s">
        <v>35</v>
      </c>
      <c r="C22" s="13">
        <v>118.961</v>
      </c>
      <c r="D22" s="13">
        <v>168.68899999999999</v>
      </c>
      <c r="E22" s="13">
        <v>101.773</v>
      </c>
      <c r="F22" s="13">
        <v>122.76300000000001</v>
      </c>
      <c r="G22" s="6">
        <v>1</v>
      </c>
      <c r="H22" s="13">
        <v>70</v>
      </c>
      <c r="I22" s="13" t="s">
        <v>36</v>
      </c>
      <c r="J22" s="13"/>
      <c r="K22" s="13">
        <v>104.6</v>
      </c>
      <c r="L22" s="13">
        <f t="shared" si="3"/>
        <v>-2.8269999999999982</v>
      </c>
      <c r="M22" s="13"/>
      <c r="N22" s="13"/>
      <c r="O22" s="13"/>
      <c r="P22" s="13"/>
      <c r="Q22" s="13"/>
      <c r="R22" s="13">
        <f t="shared" si="4"/>
        <v>20.354599999999998</v>
      </c>
      <c r="S22" s="4">
        <f>11*R22-Q22-O22-F22</f>
        <v>101.13759999999996</v>
      </c>
      <c r="T22" s="4">
        <f>S22+R22*$T$1</f>
        <v>85.87164999999996</v>
      </c>
      <c r="U22" s="13">
        <f t="shared" si="6"/>
        <v>10.25</v>
      </c>
      <c r="V22" s="13">
        <f t="shared" si="7"/>
        <v>6.0312165309070194</v>
      </c>
      <c r="W22" s="13">
        <v>12.7774</v>
      </c>
      <c r="X22" s="13">
        <v>14.9056</v>
      </c>
      <c r="Y22" s="13">
        <v>21.267399999999999</v>
      </c>
      <c r="Z22" s="13">
        <v>15.830399999999999</v>
      </c>
      <c r="AA22" s="13">
        <v>19.5242</v>
      </c>
      <c r="AB22" s="13">
        <v>23.744399999999999</v>
      </c>
      <c r="AC22" s="13">
        <v>22.281199999999998</v>
      </c>
      <c r="AD22" s="13">
        <v>26.270199999999999</v>
      </c>
      <c r="AE22" s="13">
        <v>28.505600000000001</v>
      </c>
      <c r="AF22" s="13">
        <v>26.021799999999999</v>
      </c>
      <c r="AG22" s="13"/>
      <c r="AH22" s="13">
        <f t="shared" si="8"/>
        <v>86</v>
      </c>
    </row>
    <row r="23" spans="1:34" x14ac:dyDescent="0.25">
      <c r="A23" s="13" t="s">
        <v>67</v>
      </c>
      <c r="B23" s="13" t="s">
        <v>35</v>
      </c>
      <c r="C23" s="13">
        <v>248.73599999999999</v>
      </c>
      <c r="D23" s="13">
        <v>166.93100000000001</v>
      </c>
      <c r="E23" s="13">
        <v>136.40600000000001</v>
      </c>
      <c r="F23" s="13">
        <v>238.1</v>
      </c>
      <c r="G23" s="6">
        <v>1</v>
      </c>
      <c r="H23" s="13">
        <v>70</v>
      </c>
      <c r="I23" s="13" t="s">
        <v>36</v>
      </c>
      <c r="J23" s="13"/>
      <c r="K23" s="13">
        <v>138.69999999999999</v>
      </c>
      <c r="L23" s="13">
        <f t="shared" si="3"/>
        <v>-2.2939999999999827</v>
      </c>
      <c r="M23" s="13"/>
      <c r="N23" s="13"/>
      <c r="O23" s="13">
        <v>0</v>
      </c>
      <c r="P23" s="13"/>
      <c r="Q23" s="13"/>
      <c r="R23" s="13">
        <f t="shared" si="4"/>
        <v>27.281200000000002</v>
      </c>
      <c r="S23" s="4">
        <f>11*R23-Q23-O23-F23</f>
        <v>61.99320000000003</v>
      </c>
      <c r="T23" s="4">
        <f t="shared" si="5"/>
        <v>61.99320000000003</v>
      </c>
      <c r="U23" s="13">
        <f t="shared" si="6"/>
        <v>11</v>
      </c>
      <c r="V23" s="13">
        <f t="shared" si="7"/>
        <v>8.7276219521135427</v>
      </c>
      <c r="W23" s="13">
        <v>19.441600000000001</v>
      </c>
      <c r="X23" s="13">
        <v>26.1462</v>
      </c>
      <c r="Y23" s="13">
        <v>35.3934</v>
      </c>
      <c r="Z23" s="13">
        <v>33.106000000000002</v>
      </c>
      <c r="AA23" s="13">
        <v>38.613</v>
      </c>
      <c r="AB23" s="13">
        <v>42.749600000000001</v>
      </c>
      <c r="AC23" s="13">
        <v>46.347000000000001</v>
      </c>
      <c r="AD23" s="13">
        <v>45.730200000000004</v>
      </c>
      <c r="AE23" s="13">
        <v>49.275599999999997</v>
      </c>
      <c r="AF23" s="13">
        <v>48.636000000000003</v>
      </c>
      <c r="AG23" s="13"/>
      <c r="AH23" s="13">
        <f t="shared" si="8"/>
        <v>62</v>
      </c>
    </row>
    <row r="24" spans="1:34" x14ac:dyDescent="0.25">
      <c r="A24" s="13" t="s">
        <v>68</v>
      </c>
      <c r="B24" s="13" t="s">
        <v>35</v>
      </c>
      <c r="C24" s="13">
        <v>48.835999999999999</v>
      </c>
      <c r="D24" s="13">
        <v>4.7210000000000001</v>
      </c>
      <c r="E24" s="13">
        <v>39.945999999999998</v>
      </c>
      <c r="F24" s="13">
        <v>9.2769999999999992</v>
      </c>
      <c r="G24" s="6">
        <v>1</v>
      </c>
      <c r="H24" s="13">
        <v>180</v>
      </c>
      <c r="I24" s="13" t="s">
        <v>36</v>
      </c>
      <c r="J24" s="13"/>
      <c r="K24" s="13">
        <v>39.71</v>
      </c>
      <c r="L24" s="13">
        <f t="shared" si="3"/>
        <v>0.2359999999999971</v>
      </c>
      <c r="M24" s="13"/>
      <c r="N24" s="13"/>
      <c r="O24" s="13">
        <v>0</v>
      </c>
      <c r="P24" s="13"/>
      <c r="Q24" s="13"/>
      <c r="R24" s="13">
        <f t="shared" si="4"/>
        <v>7.9891999999999994</v>
      </c>
      <c r="S24" s="4">
        <f>8*R24-Q24-O24-F24</f>
        <v>54.636599999999994</v>
      </c>
      <c r="T24" s="4">
        <f t="shared" si="5"/>
        <v>54.636599999999994</v>
      </c>
      <c r="U24" s="13">
        <f t="shared" si="6"/>
        <v>8</v>
      </c>
      <c r="V24" s="13">
        <f t="shared" si="7"/>
        <v>1.1611926100235317</v>
      </c>
      <c r="W24" s="13">
        <v>1.3806</v>
      </c>
      <c r="X24" s="13">
        <v>1.7283999999999999</v>
      </c>
      <c r="Y24" s="13">
        <v>4.5865999999999998</v>
      </c>
      <c r="Z24" s="13">
        <v>6.9908000000000001</v>
      </c>
      <c r="AA24" s="13">
        <v>5.9451999999999998</v>
      </c>
      <c r="AB24" s="13">
        <v>3.044</v>
      </c>
      <c r="AC24" s="13">
        <v>3.5346000000000002</v>
      </c>
      <c r="AD24" s="13">
        <v>4.4659999999999993</v>
      </c>
      <c r="AE24" s="13">
        <v>4.6436000000000002</v>
      </c>
      <c r="AF24" s="13">
        <v>4.6448</v>
      </c>
      <c r="AG24" s="13"/>
      <c r="AH24" s="13">
        <f t="shared" si="8"/>
        <v>55</v>
      </c>
    </row>
    <row r="25" spans="1:34" x14ac:dyDescent="0.25">
      <c r="A25" s="13" t="s">
        <v>69</v>
      </c>
      <c r="B25" s="13" t="s">
        <v>35</v>
      </c>
      <c r="C25" s="13">
        <v>340.40199999999999</v>
      </c>
      <c r="D25" s="13">
        <v>269.08800000000002</v>
      </c>
      <c r="E25" s="13">
        <v>140.68899999999999</v>
      </c>
      <c r="F25" s="13">
        <v>393.10199999999998</v>
      </c>
      <c r="G25" s="6">
        <v>1</v>
      </c>
      <c r="H25" s="13">
        <v>70</v>
      </c>
      <c r="I25" s="13" t="s">
        <v>36</v>
      </c>
      <c r="J25" s="13"/>
      <c r="K25" s="13">
        <v>148.6</v>
      </c>
      <c r="L25" s="13">
        <f t="shared" si="3"/>
        <v>-7.9110000000000014</v>
      </c>
      <c r="M25" s="13"/>
      <c r="N25" s="13"/>
      <c r="O25" s="13">
        <v>0</v>
      </c>
      <c r="P25" s="13"/>
      <c r="Q25" s="13"/>
      <c r="R25" s="13">
        <f t="shared" si="4"/>
        <v>28.137799999999999</v>
      </c>
      <c r="S25" s="4"/>
      <c r="T25" s="4">
        <f t="shared" si="5"/>
        <v>0</v>
      </c>
      <c r="U25" s="13">
        <f t="shared" si="6"/>
        <v>13.970601823881042</v>
      </c>
      <c r="V25" s="13">
        <f t="shared" si="7"/>
        <v>13.970601823881042</v>
      </c>
      <c r="W25" s="13">
        <v>28.372</v>
      </c>
      <c r="X25" s="13">
        <v>35.245800000000003</v>
      </c>
      <c r="Y25" s="13">
        <v>48.939599999999999</v>
      </c>
      <c r="Z25" s="13">
        <v>43.491199999999999</v>
      </c>
      <c r="AA25" s="13">
        <v>38.692599999999999</v>
      </c>
      <c r="AB25" s="13">
        <v>45.932200000000002</v>
      </c>
      <c r="AC25" s="13">
        <v>42.074399999999997</v>
      </c>
      <c r="AD25" s="13">
        <v>40.281599999999997</v>
      </c>
      <c r="AE25" s="13">
        <v>49.956400000000002</v>
      </c>
      <c r="AF25" s="13">
        <v>44.857199999999999</v>
      </c>
      <c r="AG25" s="13"/>
      <c r="AH25" s="13">
        <f t="shared" si="8"/>
        <v>0</v>
      </c>
    </row>
    <row r="26" spans="1:34" x14ac:dyDescent="0.25">
      <c r="A26" s="10" t="s">
        <v>70</v>
      </c>
      <c r="B26" s="10" t="s">
        <v>35</v>
      </c>
      <c r="C26" s="10"/>
      <c r="D26" s="10"/>
      <c r="E26" s="10"/>
      <c r="F26" s="10"/>
      <c r="G26" s="11">
        <v>0</v>
      </c>
      <c r="H26" s="10"/>
      <c r="I26" s="10" t="s">
        <v>36</v>
      </c>
      <c r="J26" s="10"/>
      <c r="K26" s="10"/>
      <c r="L26" s="10">
        <f t="shared" si="3"/>
        <v>0</v>
      </c>
      <c r="M26" s="10"/>
      <c r="N26" s="10"/>
      <c r="O26" s="10">
        <v>0</v>
      </c>
      <c r="P26" s="10"/>
      <c r="Q26" s="10"/>
      <c r="R26" s="10">
        <f t="shared" si="4"/>
        <v>0</v>
      </c>
      <c r="S26" s="12"/>
      <c r="T26" s="4">
        <f t="shared" si="5"/>
        <v>0</v>
      </c>
      <c r="U26" s="13" t="e">
        <f t="shared" si="6"/>
        <v>#DIV/0!</v>
      </c>
      <c r="V26" s="10" t="e">
        <f t="shared" si="7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45</v>
      </c>
      <c r="AH26" s="13">
        <f t="shared" si="8"/>
        <v>0</v>
      </c>
    </row>
    <row r="27" spans="1:34" x14ac:dyDescent="0.25">
      <c r="A27" s="13" t="s">
        <v>71</v>
      </c>
      <c r="B27" s="13" t="s">
        <v>35</v>
      </c>
      <c r="C27" s="13">
        <v>38.162999999999997</v>
      </c>
      <c r="D27" s="13">
        <v>11.627000000000001</v>
      </c>
      <c r="E27" s="13">
        <v>36.531999999999996</v>
      </c>
      <c r="F27" s="13">
        <v>12.448</v>
      </c>
      <c r="G27" s="6">
        <v>1</v>
      </c>
      <c r="H27" s="13"/>
      <c r="I27" s="13" t="s">
        <v>36</v>
      </c>
      <c r="J27" s="13"/>
      <c r="K27" s="13">
        <v>77.602000000000004</v>
      </c>
      <c r="L27" s="13">
        <f t="shared" si="3"/>
        <v>-41.070000000000007</v>
      </c>
      <c r="M27" s="13"/>
      <c r="N27" s="13"/>
      <c r="O27" s="13">
        <v>324.714</v>
      </c>
      <c r="P27" s="13">
        <v>0</v>
      </c>
      <c r="Q27" s="13"/>
      <c r="R27" s="13">
        <f t="shared" si="4"/>
        <v>7.3063999999999991</v>
      </c>
      <c r="S27" s="4"/>
      <c r="T27" s="4">
        <f t="shared" si="5"/>
        <v>0</v>
      </c>
      <c r="U27" s="13">
        <f t="shared" si="6"/>
        <v>46.146118471477067</v>
      </c>
      <c r="V27" s="13">
        <f t="shared" si="7"/>
        <v>46.146118471477067</v>
      </c>
      <c r="W27" s="13">
        <v>22.351600000000001</v>
      </c>
      <c r="X27" s="13">
        <v>23.732600000000001</v>
      </c>
      <c r="Y27" s="13">
        <v>5.7994000000000003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 t="s">
        <v>72</v>
      </c>
      <c r="AH27" s="13">
        <f t="shared" si="8"/>
        <v>0</v>
      </c>
    </row>
    <row r="28" spans="1:34" x14ac:dyDescent="0.25">
      <c r="A28" s="13" t="s">
        <v>74</v>
      </c>
      <c r="B28" s="13" t="s">
        <v>35</v>
      </c>
      <c r="C28" s="13">
        <v>-22.327000000000002</v>
      </c>
      <c r="D28" s="13">
        <v>43.351999999999997</v>
      </c>
      <c r="E28" s="13">
        <v>-1.0840000000000001</v>
      </c>
      <c r="F28" s="13">
        <v>-2.5000000000000001E-2</v>
      </c>
      <c r="G28" s="6">
        <v>1</v>
      </c>
      <c r="H28" s="13">
        <v>40</v>
      </c>
      <c r="I28" s="15" t="s">
        <v>75</v>
      </c>
      <c r="J28" s="13"/>
      <c r="K28" s="13">
        <v>32.700000000000003</v>
      </c>
      <c r="L28" s="13">
        <f t="shared" si="3"/>
        <v>-33.784000000000006</v>
      </c>
      <c r="M28" s="13"/>
      <c r="N28" s="13"/>
      <c r="O28" s="13">
        <v>150</v>
      </c>
      <c r="P28" s="13">
        <v>-153</v>
      </c>
      <c r="Q28" s="13"/>
      <c r="R28" s="13">
        <f t="shared" si="4"/>
        <v>-0.21680000000000002</v>
      </c>
      <c r="S28" s="4">
        <v>100</v>
      </c>
      <c r="T28" s="4">
        <f t="shared" si="5"/>
        <v>100</v>
      </c>
      <c r="U28" s="13">
        <f t="shared" si="6"/>
        <v>-447.30166051660512</v>
      </c>
      <c r="V28" s="13">
        <f t="shared" si="7"/>
        <v>13.95295202952032</v>
      </c>
      <c r="W28" s="13">
        <v>9.5777999999999999</v>
      </c>
      <c r="X28" s="13">
        <v>37.691400000000002</v>
      </c>
      <c r="Y28" s="13">
        <v>56.543799999999997</v>
      </c>
      <c r="Z28" s="13">
        <v>34.541200000000003</v>
      </c>
      <c r="AA28" s="13">
        <v>38.505600000000001</v>
      </c>
      <c r="AB28" s="13">
        <v>32.977800000000002</v>
      </c>
      <c r="AC28" s="13">
        <v>14.902200000000001</v>
      </c>
      <c r="AD28" s="13">
        <v>40.676000000000002</v>
      </c>
      <c r="AE28" s="13">
        <v>54.751800000000003</v>
      </c>
      <c r="AF28" s="13">
        <v>34.035200000000003</v>
      </c>
      <c r="AG28" s="13"/>
      <c r="AH28" s="13">
        <f t="shared" si="8"/>
        <v>100</v>
      </c>
    </row>
    <row r="29" spans="1:34" x14ac:dyDescent="0.25">
      <c r="A29" s="13" t="s">
        <v>77</v>
      </c>
      <c r="B29" s="13" t="s">
        <v>35</v>
      </c>
      <c r="C29" s="13">
        <v>54.293999999999997</v>
      </c>
      <c r="D29" s="13">
        <v>383.48200000000003</v>
      </c>
      <c r="E29" s="13">
        <v>140.24299999999999</v>
      </c>
      <c r="F29" s="13">
        <v>246.25200000000001</v>
      </c>
      <c r="G29" s="6">
        <v>1</v>
      </c>
      <c r="H29" s="13">
        <v>30</v>
      </c>
      <c r="I29" s="15" t="s">
        <v>75</v>
      </c>
      <c r="J29" s="13"/>
      <c r="K29" s="13">
        <v>217.654</v>
      </c>
      <c r="L29" s="13">
        <f t="shared" si="3"/>
        <v>-77.411000000000001</v>
      </c>
      <c r="M29" s="13"/>
      <c r="N29" s="13"/>
      <c r="O29" s="13">
        <v>70</v>
      </c>
      <c r="P29" s="13">
        <v>0</v>
      </c>
      <c r="Q29" s="13"/>
      <c r="R29" s="13">
        <f t="shared" si="4"/>
        <v>28.0486</v>
      </c>
      <c r="S29" s="4">
        <v>60</v>
      </c>
      <c r="T29" s="4">
        <f t="shared" si="5"/>
        <v>60</v>
      </c>
      <c r="U29" s="13">
        <f t="shared" si="6"/>
        <v>13.414288057157933</v>
      </c>
      <c r="V29" s="13">
        <f t="shared" si="7"/>
        <v>11.27514385744743</v>
      </c>
      <c r="W29" s="13">
        <v>11.816000000000001</v>
      </c>
      <c r="X29" s="13">
        <v>3.6137999999999999</v>
      </c>
      <c r="Y29" s="13">
        <v>28.007400000000001</v>
      </c>
      <c r="Z29" s="13">
        <v>35.287799999999997</v>
      </c>
      <c r="AA29" s="13">
        <v>16.3886</v>
      </c>
      <c r="AB29" s="13">
        <v>14.622999999999999</v>
      </c>
      <c r="AC29" s="13">
        <v>57.747199999999999</v>
      </c>
      <c r="AD29" s="13">
        <v>92.522199999999998</v>
      </c>
      <c r="AE29" s="13">
        <v>52.175400000000003</v>
      </c>
      <c r="AF29" s="13">
        <v>48.465800000000002</v>
      </c>
      <c r="AG29" s="13"/>
      <c r="AH29" s="13">
        <f t="shared" si="8"/>
        <v>60</v>
      </c>
    </row>
    <row r="30" spans="1:34" x14ac:dyDescent="0.25">
      <c r="A30" s="13" t="s">
        <v>79</v>
      </c>
      <c r="B30" s="13" t="s">
        <v>35</v>
      </c>
      <c r="C30" s="13">
        <v>339.52800000000002</v>
      </c>
      <c r="D30" s="13">
        <v>630.48599999999999</v>
      </c>
      <c r="E30" s="13">
        <v>363.49599999999998</v>
      </c>
      <c r="F30" s="13">
        <v>1.518</v>
      </c>
      <c r="G30" s="6">
        <v>1</v>
      </c>
      <c r="H30" s="13">
        <v>40</v>
      </c>
      <c r="I30" s="15" t="s">
        <v>75</v>
      </c>
      <c r="J30" s="13"/>
      <c r="K30" s="13">
        <v>626.11800000000005</v>
      </c>
      <c r="L30" s="13">
        <f t="shared" si="3"/>
        <v>-262.62200000000007</v>
      </c>
      <c r="M30" s="13"/>
      <c r="N30" s="13"/>
      <c r="O30" s="13">
        <v>300</v>
      </c>
      <c r="P30" s="13">
        <v>-306</v>
      </c>
      <c r="Q30" s="13"/>
      <c r="R30" s="13">
        <f t="shared" si="4"/>
        <v>72.69919999999999</v>
      </c>
      <c r="S30" s="4">
        <v>500</v>
      </c>
      <c r="T30" s="4">
        <f>S30+R30*$T$1</f>
        <v>445.47559999999999</v>
      </c>
      <c r="U30" s="13">
        <f t="shared" si="6"/>
        <v>6.0660034773422549</v>
      </c>
      <c r="V30" s="13">
        <f t="shared" si="7"/>
        <v>-6.1651297400797098E-2</v>
      </c>
      <c r="W30" s="13">
        <v>116.389</v>
      </c>
      <c r="X30" s="13">
        <v>99.9422</v>
      </c>
      <c r="Y30" s="13">
        <v>194.2286</v>
      </c>
      <c r="Z30" s="13">
        <v>221.15479999999999</v>
      </c>
      <c r="AA30" s="13">
        <v>290.73820000000001</v>
      </c>
      <c r="AB30" s="13">
        <v>221.20740000000001</v>
      </c>
      <c r="AC30" s="13">
        <v>21.023</v>
      </c>
      <c r="AD30" s="13">
        <v>97.070799999999991</v>
      </c>
      <c r="AE30" s="13">
        <v>200.02199999999999</v>
      </c>
      <c r="AF30" s="13">
        <v>174.52520000000001</v>
      </c>
      <c r="AG30" s="13"/>
      <c r="AH30" s="13">
        <f t="shared" si="8"/>
        <v>445</v>
      </c>
    </row>
    <row r="31" spans="1:34" x14ac:dyDescent="0.25">
      <c r="A31" s="13" t="s">
        <v>81</v>
      </c>
      <c r="B31" s="13" t="s">
        <v>35</v>
      </c>
      <c r="C31" s="13">
        <v>44.597999999999999</v>
      </c>
      <c r="D31" s="13">
        <v>7.806</v>
      </c>
      <c r="E31" s="13">
        <v>35.938000000000002</v>
      </c>
      <c r="F31" s="13">
        <v>8.9420000000000002</v>
      </c>
      <c r="G31" s="6">
        <v>1</v>
      </c>
      <c r="H31" s="13">
        <v>40</v>
      </c>
      <c r="I31" s="13" t="s">
        <v>36</v>
      </c>
      <c r="J31" s="13"/>
      <c r="K31" s="13">
        <v>35.92</v>
      </c>
      <c r="L31" s="13">
        <f t="shared" si="3"/>
        <v>1.8000000000000682E-2</v>
      </c>
      <c r="M31" s="13"/>
      <c r="N31" s="13"/>
      <c r="O31" s="13">
        <v>0</v>
      </c>
      <c r="P31" s="13"/>
      <c r="Q31" s="13"/>
      <c r="R31" s="13">
        <f t="shared" si="4"/>
        <v>7.1876000000000007</v>
      </c>
      <c r="S31" s="4">
        <f>8*R31-Q31-O31-F31</f>
        <v>48.558800000000005</v>
      </c>
      <c r="T31" s="4">
        <f t="shared" si="5"/>
        <v>48.558800000000005</v>
      </c>
      <c r="U31" s="13">
        <f t="shared" si="6"/>
        <v>8</v>
      </c>
      <c r="V31" s="13">
        <f t="shared" si="7"/>
        <v>1.2440870387890255</v>
      </c>
      <c r="W31" s="13">
        <v>1.4984</v>
      </c>
      <c r="X31" s="13">
        <v>0</v>
      </c>
      <c r="Y31" s="13">
        <v>0</v>
      </c>
      <c r="Z31" s="13">
        <v>0.90600000000000003</v>
      </c>
      <c r="AA31" s="13">
        <v>5.2767999999999997</v>
      </c>
      <c r="AB31" s="13">
        <v>4.3708</v>
      </c>
      <c r="AC31" s="13">
        <v>-0.6048</v>
      </c>
      <c r="AD31" s="13">
        <v>-0.6048</v>
      </c>
      <c r="AE31" s="13">
        <v>0</v>
      </c>
      <c r="AF31" s="13">
        <v>0</v>
      </c>
      <c r="AG31" s="13"/>
      <c r="AH31" s="13">
        <f t="shared" si="8"/>
        <v>49</v>
      </c>
    </row>
    <row r="32" spans="1:34" x14ac:dyDescent="0.25">
      <c r="A32" s="13" t="s">
        <v>82</v>
      </c>
      <c r="B32" s="13" t="s">
        <v>35</v>
      </c>
      <c r="C32" s="13">
        <v>133.26</v>
      </c>
      <c r="D32" s="13">
        <v>81.798000000000002</v>
      </c>
      <c r="E32" s="13">
        <v>101.146</v>
      </c>
      <c r="F32" s="13">
        <v>58.46</v>
      </c>
      <c r="G32" s="6">
        <v>1</v>
      </c>
      <c r="H32" s="13">
        <v>30</v>
      </c>
      <c r="I32" s="13" t="s">
        <v>36</v>
      </c>
      <c r="J32" s="13"/>
      <c r="K32" s="13">
        <v>104.3</v>
      </c>
      <c r="L32" s="13">
        <f t="shared" si="3"/>
        <v>-3.1539999999999964</v>
      </c>
      <c r="M32" s="13"/>
      <c r="N32" s="13"/>
      <c r="O32" s="13">
        <v>52.96119999999997</v>
      </c>
      <c r="P32" s="13">
        <v>0</v>
      </c>
      <c r="Q32" s="13"/>
      <c r="R32" s="13">
        <f t="shared" si="4"/>
        <v>20.229199999999999</v>
      </c>
      <c r="S32" s="4">
        <f>11*R32-Q32-O32-F32</f>
        <v>111.10000000000002</v>
      </c>
      <c r="T32" s="4">
        <f>S32+R32*$T$1</f>
        <v>95.928100000000029</v>
      </c>
      <c r="U32" s="13">
        <f t="shared" si="6"/>
        <v>10.25</v>
      </c>
      <c r="V32" s="13">
        <f t="shared" si="7"/>
        <v>5.5079390188440458</v>
      </c>
      <c r="W32" s="13">
        <v>9.969199999999999</v>
      </c>
      <c r="X32" s="13">
        <v>5.0338000000000003</v>
      </c>
      <c r="Y32" s="13">
        <v>7.6532</v>
      </c>
      <c r="Z32" s="13">
        <v>15.609400000000001</v>
      </c>
      <c r="AA32" s="13">
        <v>19.0808</v>
      </c>
      <c r="AB32" s="13">
        <v>10.242800000000001</v>
      </c>
      <c r="AC32" s="13">
        <v>10.489800000000001</v>
      </c>
      <c r="AD32" s="13">
        <v>15.446199999999999</v>
      </c>
      <c r="AE32" s="13">
        <v>15.259600000000001</v>
      </c>
      <c r="AF32" s="13">
        <v>18.017800000000001</v>
      </c>
      <c r="AG32" s="13"/>
      <c r="AH32" s="13">
        <f t="shared" si="8"/>
        <v>96</v>
      </c>
    </row>
    <row r="33" spans="1:34" x14ac:dyDescent="0.25">
      <c r="A33" s="13" t="s">
        <v>84</v>
      </c>
      <c r="B33" s="13" t="s">
        <v>35</v>
      </c>
      <c r="C33" s="13">
        <v>231.46199999999999</v>
      </c>
      <c r="D33" s="13">
        <v>18.59</v>
      </c>
      <c r="E33" s="13">
        <v>60.914999999999999</v>
      </c>
      <c r="F33" s="13">
        <v>175.82300000000001</v>
      </c>
      <c r="G33" s="6">
        <v>1</v>
      </c>
      <c r="H33" s="13">
        <v>50</v>
      </c>
      <c r="I33" s="13" t="s">
        <v>36</v>
      </c>
      <c r="J33" s="13"/>
      <c r="K33" s="13">
        <v>62.8</v>
      </c>
      <c r="L33" s="13">
        <f t="shared" si="3"/>
        <v>-1.884999999999998</v>
      </c>
      <c r="M33" s="13"/>
      <c r="N33" s="13"/>
      <c r="O33" s="13">
        <v>50.939000000000007</v>
      </c>
      <c r="P33" s="13">
        <v>0</v>
      </c>
      <c r="Q33" s="13"/>
      <c r="R33" s="13">
        <f t="shared" si="4"/>
        <v>12.183</v>
      </c>
      <c r="S33" s="4"/>
      <c r="T33" s="4">
        <f t="shared" si="5"/>
        <v>0</v>
      </c>
      <c r="U33" s="13">
        <f t="shared" si="6"/>
        <v>18.612985307395551</v>
      </c>
      <c r="V33" s="13">
        <f t="shared" si="7"/>
        <v>18.612985307395551</v>
      </c>
      <c r="W33" s="13">
        <v>16.6722</v>
      </c>
      <c r="X33" s="13">
        <v>19.813600000000001</v>
      </c>
      <c r="Y33" s="13">
        <v>12.786799999999999</v>
      </c>
      <c r="Z33" s="13">
        <v>7.3365999999999998</v>
      </c>
      <c r="AA33" s="13">
        <v>20.953199999999999</v>
      </c>
      <c r="AB33" s="13">
        <v>32.764400000000002</v>
      </c>
      <c r="AC33" s="13">
        <v>27.847000000000001</v>
      </c>
      <c r="AD33" s="13">
        <v>21.542999999999999</v>
      </c>
      <c r="AE33" s="13">
        <v>17.402000000000001</v>
      </c>
      <c r="AF33" s="13">
        <v>24.775200000000002</v>
      </c>
      <c r="AG33" s="9" t="s">
        <v>58</v>
      </c>
      <c r="AH33" s="13">
        <f t="shared" si="8"/>
        <v>0</v>
      </c>
    </row>
    <row r="34" spans="1:34" x14ac:dyDescent="0.25">
      <c r="A34" s="13" t="s">
        <v>86</v>
      </c>
      <c r="B34" s="13" t="s">
        <v>35</v>
      </c>
      <c r="C34" s="13">
        <v>128.05000000000001</v>
      </c>
      <c r="D34" s="13">
        <v>16.495999999999999</v>
      </c>
      <c r="E34" s="13">
        <v>59.87</v>
      </c>
      <c r="F34" s="13">
        <v>70.638000000000005</v>
      </c>
      <c r="G34" s="6">
        <v>1</v>
      </c>
      <c r="H34" s="13">
        <v>50</v>
      </c>
      <c r="I34" s="13" t="s">
        <v>36</v>
      </c>
      <c r="J34" s="13"/>
      <c r="K34" s="13">
        <v>66.3</v>
      </c>
      <c r="L34" s="13">
        <f t="shared" si="3"/>
        <v>-6.43</v>
      </c>
      <c r="M34" s="13"/>
      <c r="N34" s="13"/>
      <c r="O34" s="13">
        <v>103.76300000000001</v>
      </c>
      <c r="P34" s="13">
        <v>0</v>
      </c>
      <c r="Q34" s="13"/>
      <c r="R34" s="13">
        <f t="shared" si="4"/>
        <v>11.974</v>
      </c>
      <c r="S34" s="4"/>
      <c r="T34" s="4">
        <f t="shared" si="5"/>
        <v>0</v>
      </c>
      <c r="U34" s="13">
        <f t="shared" si="6"/>
        <v>14.564974110572908</v>
      </c>
      <c r="V34" s="13">
        <f t="shared" si="7"/>
        <v>14.564974110572908</v>
      </c>
      <c r="W34" s="13">
        <v>13.573399999999999</v>
      </c>
      <c r="X34" s="13">
        <v>14.6586</v>
      </c>
      <c r="Y34" s="13">
        <v>12.297599999999999</v>
      </c>
      <c r="Z34" s="13">
        <v>10.6524</v>
      </c>
      <c r="AA34" s="13">
        <v>7.8666</v>
      </c>
      <c r="AB34" s="13">
        <v>12.2232</v>
      </c>
      <c r="AC34" s="13">
        <v>20.489599999999999</v>
      </c>
      <c r="AD34" s="13">
        <v>20.728200000000001</v>
      </c>
      <c r="AE34" s="13">
        <v>15.374000000000001</v>
      </c>
      <c r="AF34" s="13">
        <v>15.021800000000001</v>
      </c>
      <c r="AG34" s="13"/>
      <c r="AH34" s="13">
        <f t="shared" si="8"/>
        <v>0</v>
      </c>
    </row>
    <row r="35" spans="1:34" x14ac:dyDescent="0.25">
      <c r="A35" s="13" t="s">
        <v>88</v>
      </c>
      <c r="B35" s="13" t="s">
        <v>44</v>
      </c>
      <c r="C35" s="13">
        <v>2843</v>
      </c>
      <c r="D35" s="13">
        <v>606.01</v>
      </c>
      <c r="E35" s="13">
        <v>1484</v>
      </c>
      <c r="F35" s="13">
        <v>1372.5050000000001</v>
      </c>
      <c r="G35" s="6">
        <v>0.4</v>
      </c>
      <c r="H35" s="13">
        <v>45</v>
      </c>
      <c r="I35" s="13" t="s">
        <v>36</v>
      </c>
      <c r="J35" s="13"/>
      <c r="K35" s="13">
        <v>1534</v>
      </c>
      <c r="L35" s="13">
        <f t="shared" si="3"/>
        <v>-50</v>
      </c>
      <c r="M35" s="13"/>
      <c r="N35" s="13"/>
      <c r="O35" s="13">
        <v>500</v>
      </c>
      <c r="P35" s="13">
        <v>0</v>
      </c>
      <c r="Q35" s="18"/>
      <c r="R35" s="13">
        <f t="shared" si="4"/>
        <v>296.8</v>
      </c>
      <c r="S35" s="4">
        <f>11*R35-Q35-O35-F35</f>
        <v>1392.2950000000001</v>
      </c>
      <c r="T35" s="4">
        <f>S35+R35*$T$1</f>
        <v>1169.6950000000002</v>
      </c>
      <c r="U35" s="13">
        <f t="shared" si="6"/>
        <v>10.25</v>
      </c>
      <c r="V35" s="13">
        <f t="shared" si="7"/>
        <v>6.3089791105121291</v>
      </c>
      <c r="W35" s="13">
        <v>241.8</v>
      </c>
      <c r="X35" s="13">
        <v>278.8</v>
      </c>
      <c r="Y35" s="13">
        <v>324.39999999999998</v>
      </c>
      <c r="Z35" s="13">
        <v>336.4</v>
      </c>
      <c r="AA35" s="13">
        <v>363</v>
      </c>
      <c r="AB35" s="13">
        <v>355.6</v>
      </c>
      <c r="AC35" s="13">
        <v>357.8</v>
      </c>
      <c r="AD35" s="13">
        <v>387.50299999999999</v>
      </c>
      <c r="AE35" s="13">
        <v>375.50299999999999</v>
      </c>
      <c r="AF35" s="13">
        <v>320.60000000000002</v>
      </c>
      <c r="AG35" s="13"/>
      <c r="AH35" s="13">
        <f t="shared" si="8"/>
        <v>468</v>
      </c>
    </row>
    <row r="36" spans="1:34" x14ac:dyDescent="0.25">
      <c r="A36" s="13" t="s">
        <v>90</v>
      </c>
      <c r="B36" s="13" t="s">
        <v>44</v>
      </c>
      <c r="C36" s="13">
        <v>261</v>
      </c>
      <c r="D36" s="13">
        <v>980</v>
      </c>
      <c r="E36" s="13">
        <v>208</v>
      </c>
      <c r="F36" s="13">
        <v>856</v>
      </c>
      <c r="G36" s="6">
        <v>0.45</v>
      </c>
      <c r="H36" s="13">
        <v>50</v>
      </c>
      <c r="I36" s="13" t="s">
        <v>36</v>
      </c>
      <c r="J36" s="13"/>
      <c r="K36" s="13">
        <v>225</v>
      </c>
      <c r="L36" s="13">
        <f t="shared" si="3"/>
        <v>-17</v>
      </c>
      <c r="M36" s="13"/>
      <c r="N36" s="13"/>
      <c r="O36" s="13">
        <v>0</v>
      </c>
      <c r="P36" s="13"/>
      <c r="Q36" s="13"/>
      <c r="R36" s="13">
        <f t="shared" si="4"/>
        <v>41.6</v>
      </c>
      <c r="S36" s="4"/>
      <c r="T36" s="4">
        <f t="shared" si="5"/>
        <v>0</v>
      </c>
      <c r="U36" s="13">
        <f t="shared" si="6"/>
        <v>20.576923076923077</v>
      </c>
      <c r="V36" s="13">
        <f t="shared" si="7"/>
        <v>20.576923076923077</v>
      </c>
      <c r="W36" s="13">
        <v>39.4</v>
      </c>
      <c r="X36" s="13">
        <v>68.8</v>
      </c>
      <c r="Y36" s="13">
        <v>92.6</v>
      </c>
      <c r="Z36" s="13">
        <v>61</v>
      </c>
      <c r="AA36" s="13">
        <v>66.8</v>
      </c>
      <c r="AB36" s="13">
        <v>81</v>
      </c>
      <c r="AC36" s="13">
        <v>67.8</v>
      </c>
      <c r="AD36" s="13">
        <v>74.8</v>
      </c>
      <c r="AE36" s="13">
        <v>65.599999999999994</v>
      </c>
      <c r="AF36" s="13">
        <v>63.8</v>
      </c>
      <c r="AG36" s="9" t="s">
        <v>58</v>
      </c>
      <c r="AH36" s="13">
        <f t="shared" si="8"/>
        <v>0</v>
      </c>
    </row>
    <row r="37" spans="1:34" x14ac:dyDescent="0.25">
      <c r="A37" s="13" t="s">
        <v>91</v>
      </c>
      <c r="B37" s="13" t="s">
        <v>44</v>
      </c>
      <c r="C37" s="13">
        <v>784</v>
      </c>
      <c r="D37" s="13">
        <v>286</v>
      </c>
      <c r="E37" s="13">
        <v>569</v>
      </c>
      <c r="F37" s="13">
        <v>230</v>
      </c>
      <c r="G37" s="6">
        <v>0.4</v>
      </c>
      <c r="H37" s="13">
        <v>45</v>
      </c>
      <c r="I37" s="15" t="s">
        <v>75</v>
      </c>
      <c r="J37" s="13"/>
      <c r="K37" s="13">
        <v>629</v>
      </c>
      <c r="L37" s="13">
        <f t="shared" si="3"/>
        <v>-60</v>
      </c>
      <c r="M37" s="13"/>
      <c r="N37" s="13"/>
      <c r="O37" s="13">
        <v>300</v>
      </c>
      <c r="P37" s="13">
        <v>0</v>
      </c>
      <c r="Q37" s="18"/>
      <c r="R37" s="13">
        <f t="shared" si="4"/>
        <v>113.8</v>
      </c>
      <c r="S37" s="4">
        <f>11*R37-Q37-O37-F37</f>
        <v>721.8</v>
      </c>
      <c r="T37" s="4">
        <f>S37+R37*$T$1</f>
        <v>636.44999999999993</v>
      </c>
      <c r="U37" s="13">
        <f t="shared" si="6"/>
        <v>10.249999999999998</v>
      </c>
      <c r="V37" s="13">
        <f t="shared" si="7"/>
        <v>4.6572934973637965</v>
      </c>
      <c r="W37" s="13">
        <v>107</v>
      </c>
      <c r="X37" s="13">
        <v>101.8</v>
      </c>
      <c r="Y37" s="13">
        <v>124.8</v>
      </c>
      <c r="Z37" s="13">
        <v>136.80000000000001</v>
      </c>
      <c r="AA37" s="13">
        <v>134</v>
      </c>
      <c r="AB37" s="13">
        <v>123.8</v>
      </c>
      <c r="AC37" s="13">
        <v>108.4</v>
      </c>
      <c r="AD37" s="13">
        <v>141.80000000000001</v>
      </c>
      <c r="AE37" s="13">
        <v>155.80000000000001</v>
      </c>
      <c r="AF37" s="13">
        <v>127.8</v>
      </c>
      <c r="AG37" s="13"/>
      <c r="AH37" s="13">
        <f t="shared" si="8"/>
        <v>255</v>
      </c>
    </row>
    <row r="38" spans="1:34" x14ac:dyDescent="0.25">
      <c r="A38" s="13" t="s">
        <v>93</v>
      </c>
      <c r="B38" s="13" t="s">
        <v>44</v>
      </c>
      <c r="C38" s="13">
        <v>169</v>
      </c>
      <c r="D38" s="13">
        <v>117</v>
      </c>
      <c r="E38" s="13">
        <v>59</v>
      </c>
      <c r="F38" s="13">
        <v>174</v>
      </c>
      <c r="G38" s="6">
        <v>0.4</v>
      </c>
      <c r="H38" s="13">
        <v>40</v>
      </c>
      <c r="I38" s="15" t="s">
        <v>75</v>
      </c>
      <c r="J38" s="13"/>
      <c r="K38" s="13">
        <v>81</v>
      </c>
      <c r="L38" s="13">
        <f t="shared" ref="L38:L69" si="11">E38-K38</f>
        <v>-22</v>
      </c>
      <c r="M38" s="13"/>
      <c r="N38" s="13"/>
      <c r="O38" s="13">
        <v>0</v>
      </c>
      <c r="P38" s="13"/>
      <c r="Q38" s="13"/>
      <c r="R38" s="13">
        <f t="shared" ref="R38:R69" si="12">E38/5</f>
        <v>11.8</v>
      </c>
      <c r="S38" s="4"/>
      <c r="T38" s="4">
        <f t="shared" si="5"/>
        <v>0</v>
      </c>
      <c r="U38" s="13">
        <f t="shared" si="6"/>
        <v>14.745762711864407</v>
      </c>
      <c r="V38" s="13">
        <f t="shared" si="7"/>
        <v>14.745762711864407</v>
      </c>
      <c r="W38" s="13">
        <v>10.6</v>
      </c>
      <c r="X38" s="13">
        <v>20.6</v>
      </c>
      <c r="Y38" s="13">
        <v>26</v>
      </c>
      <c r="Z38" s="13">
        <v>27.2</v>
      </c>
      <c r="AA38" s="13">
        <v>26</v>
      </c>
      <c r="AB38" s="13">
        <v>11</v>
      </c>
      <c r="AC38" s="13">
        <v>9</v>
      </c>
      <c r="AD38" s="13">
        <v>29.8</v>
      </c>
      <c r="AE38" s="13">
        <v>28.6</v>
      </c>
      <c r="AF38" s="13">
        <v>21.4</v>
      </c>
      <c r="AG38" s="13"/>
      <c r="AH38" s="13">
        <f t="shared" si="8"/>
        <v>0</v>
      </c>
    </row>
    <row r="39" spans="1:34" x14ac:dyDescent="0.25">
      <c r="A39" s="13" t="s">
        <v>94</v>
      </c>
      <c r="B39" s="13" t="s">
        <v>35</v>
      </c>
      <c r="C39" s="13">
        <v>34.960999999999999</v>
      </c>
      <c r="D39" s="13">
        <v>3.8690000000000002</v>
      </c>
      <c r="E39" s="13">
        <v>30.684999999999999</v>
      </c>
      <c r="F39" s="13">
        <v>-2.1999999999999999E-2</v>
      </c>
      <c r="G39" s="6">
        <v>1</v>
      </c>
      <c r="H39" s="13">
        <v>45</v>
      </c>
      <c r="I39" s="13" t="s">
        <v>36</v>
      </c>
      <c r="J39" s="13"/>
      <c r="K39" s="13">
        <v>32.630000000000003</v>
      </c>
      <c r="L39" s="13">
        <f t="shared" si="11"/>
        <v>-1.9450000000000038</v>
      </c>
      <c r="M39" s="13"/>
      <c r="N39" s="13"/>
      <c r="O39" s="13">
        <v>46.654999999999987</v>
      </c>
      <c r="P39" s="13">
        <v>0</v>
      </c>
      <c r="Q39" s="13"/>
      <c r="R39" s="13">
        <f t="shared" si="12"/>
        <v>6.1369999999999996</v>
      </c>
      <c r="S39" s="4">
        <f>11*R39-Q39-O39-F39</f>
        <v>20.874000000000002</v>
      </c>
      <c r="T39" s="4">
        <f t="shared" si="5"/>
        <v>20.874000000000002</v>
      </c>
      <c r="U39" s="13">
        <f t="shared" si="6"/>
        <v>11</v>
      </c>
      <c r="V39" s="13">
        <f t="shared" si="7"/>
        <v>7.5986638422682082</v>
      </c>
      <c r="W39" s="13">
        <v>4.6671999999999993</v>
      </c>
      <c r="X39" s="13">
        <v>6.0350000000000001</v>
      </c>
      <c r="Y39" s="13">
        <v>5.3391999999999999</v>
      </c>
      <c r="Z39" s="13">
        <v>4.4689999999999994</v>
      </c>
      <c r="AA39" s="13">
        <v>1.9303999999999999</v>
      </c>
      <c r="AB39" s="13">
        <v>2.2482000000000002</v>
      </c>
      <c r="AC39" s="13">
        <v>5.7770000000000001</v>
      </c>
      <c r="AD39" s="13">
        <v>6.0679999999999996</v>
      </c>
      <c r="AE39" s="13">
        <v>3.7372000000000001</v>
      </c>
      <c r="AF39" s="13">
        <v>2.1223999999999998</v>
      </c>
      <c r="AG39" s="13" t="s">
        <v>95</v>
      </c>
      <c r="AH39" s="13">
        <f t="shared" si="8"/>
        <v>21</v>
      </c>
    </row>
    <row r="40" spans="1:34" x14ac:dyDescent="0.25">
      <c r="A40" s="13" t="s">
        <v>97</v>
      </c>
      <c r="B40" s="13" t="s">
        <v>44</v>
      </c>
      <c r="C40" s="13">
        <v>8</v>
      </c>
      <c r="D40" s="13">
        <v>222</v>
      </c>
      <c r="E40" s="13">
        <v>88</v>
      </c>
      <c r="F40" s="13">
        <v>145</v>
      </c>
      <c r="G40" s="6">
        <v>0.1</v>
      </c>
      <c r="H40" s="13">
        <v>731</v>
      </c>
      <c r="I40" s="13" t="s">
        <v>36</v>
      </c>
      <c r="J40" s="13"/>
      <c r="K40" s="13">
        <v>85</v>
      </c>
      <c r="L40" s="13">
        <f t="shared" si="11"/>
        <v>3</v>
      </c>
      <c r="M40" s="13"/>
      <c r="N40" s="13"/>
      <c r="O40" s="13">
        <v>155.39999999999989</v>
      </c>
      <c r="P40" s="13">
        <v>0</v>
      </c>
      <c r="Q40" s="13"/>
      <c r="R40" s="13">
        <f t="shared" si="12"/>
        <v>17.600000000000001</v>
      </c>
      <c r="S40" s="4"/>
      <c r="T40" s="4">
        <f t="shared" si="5"/>
        <v>0</v>
      </c>
      <c r="U40" s="13">
        <f t="shared" si="6"/>
        <v>17.068181818181809</v>
      </c>
      <c r="V40" s="13">
        <f t="shared" si="7"/>
        <v>17.068181818181809</v>
      </c>
      <c r="W40" s="13">
        <v>22.8</v>
      </c>
      <c r="X40" s="13">
        <v>20.2</v>
      </c>
      <c r="Y40" s="13">
        <v>22</v>
      </c>
      <c r="Z40" s="13">
        <v>19.399999999999999</v>
      </c>
      <c r="AA40" s="13">
        <v>23.4</v>
      </c>
      <c r="AB40" s="13">
        <v>27.4</v>
      </c>
      <c r="AC40" s="13">
        <v>21.2</v>
      </c>
      <c r="AD40" s="13">
        <v>16</v>
      </c>
      <c r="AE40" s="13">
        <v>12.8</v>
      </c>
      <c r="AF40" s="13">
        <v>11.6</v>
      </c>
      <c r="AG40" s="13"/>
      <c r="AH40" s="13">
        <f t="shared" si="8"/>
        <v>0</v>
      </c>
    </row>
    <row r="41" spans="1:34" x14ac:dyDescent="0.25">
      <c r="A41" s="13" t="s">
        <v>99</v>
      </c>
      <c r="B41" s="13" t="s">
        <v>44</v>
      </c>
      <c r="C41" s="13">
        <v>7</v>
      </c>
      <c r="D41" s="13">
        <v>43</v>
      </c>
      <c r="E41" s="13">
        <v>-4</v>
      </c>
      <c r="F41" s="13"/>
      <c r="G41" s="6">
        <v>0.35</v>
      </c>
      <c r="H41" s="13">
        <v>40</v>
      </c>
      <c r="I41" s="15" t="s">
        <v>75</v>
      </c>
      <c r="J41" s="13"/>
      <c r="K41" s="13">
        <v>43</v>
      </c>
      <c r="L41" s="13">
        <f t="shared" si="11"/>
        <v>-47</v>
      </c>
      <c r="M41" s="13"/>
      <c r="N41" s="13"/>
      <c r="O41" s="13">
        <v>154</v>
      </c>
      <c r="P41" s="13">
        <v>-156</v>
      </c>
      <c r="Q41" s="13"/>
      <c r="R41" s="13">
        <f t="shared" si="12"/>
        <v>-0.8</v>
      </c>
      <c r="S41" s="4">
        <v>60</v>
      </c>
      <c r="T41" s="4">
        <f t="shared" si="5"/>
        <v>60</v>
      </c>
      <c r="U41" s="13">
        <f t="shared" si="6"/>
        <v>-72.5</v>
      </c>
      <c r="V41" s="13">
        <f t="shared" si="7"/>
        <v>2.5</v>
      </c>
      <c r="W41" s="13">
        <v>10.8</v>
      </c>
      <c r="X41" s="13">
        <v>15.8</v>
      </c>
      <c r="Y41" s="13">
        <v>20.2</v>
      </c>
      <c r="Z41" s="13">
        <v>28.4</v>
      </c>
      <c r="AA41" s="13">
        <v>33</v>
      </c>
      <c r="AB41" s="13">
        <v>19.600000000000001</v>
      </c>
      <c r="AC41" s="13">
        <v>-0.4</v>
      </c>
      <c r="AD41" s="13">
        <v>12.2</v>
      </c>
      <c r="AE41" s="13">
        <v>26.4</v>
      </c>
      <c r="AF41" s="13">
        <v>27.4</v>
      </c>
      <c r="AG41" s="13"/>
      <c r="AH41" s="13">
        <f t="shared" si="8"/>
        <v>21</v>
      </c>
    </row>
    <row r="42" spans="1:34" x14ac:dyDescent="0.25">
      <c r="A42" s="13" t="s">
        <v>101</v>
      </c>
      <c r="B42" s="13" t="s">
        <v>35</v>
      </c>
      <c r="C42" s="13">
        <v>21.765999999999998</v>
      </c>
      <c r="D42" s="13">
        <v>108.56</v>
      </c>
      <c r="E42" s="13">
        <v>40.238</v>
      </c>
      <c r="F42" s="13">
        <v>82.381</v>
      </c>
      <c r="G42" s="6">
        <v>1</v>
      </c>
      <c r="H42" s="13">
        <v>40</v>
      </c>
      <c r="I42" s="13" t="s">
        <v>36</v>
      </c>
      <c r="J42" s="13"/>
      <c r="K42" s="13">
        <v>44.7</v>
      </c>
      <c r="L42" s="13">
        <f t="shared" si="11"/>
        <v>-4.4620000000000033</v>
      </c>
      <c r="M42" s="13"/>
      <c r="N42" s="13"/>
      <c r="O42" s="13">
        <v>54.679399999999987</v>
      </c>
      <c r="P42" s="13">
        <v>0</v>
      </c>
      <c r="Q42" s="13"/>
      <c r="R42" s="13">
        <f t="shared" si="12"/>
        <v>8.0475999999999992</v>
      </c>
      <c r="S42" s="4"/>
      <c r="T42" s="4">
        <f t="shared" si="5"/>
        <v>0</v>
      </c>
      <c r="U42" s="13">
        <f t="shared" si="6"/>
        <v>17.031214275063373</v>
      </c>
      <c r="V42" s="13">
        <f t="shared" si="7"/>
        <v>17.031214275063373</v>
      </c>
      <c r="W42" s="13">
        <v>10.005599999999999</v>
      </c>
      <c r="X42" s="13">
        <v>12.919600000000001</v>
      </c>
      <c r="Y42" s="13">
        <v>11.806800000000001</v>
      </c>
      <c r="Z42" s="13">
        <v>7.1319999999999997</v>
      </c>
      <c r="AA42" s="13">
        <v>-0.14000000000000001</v>
      </c>
      <c r="AB42" s="13">
        <v>1.7484</v>
      </c>
      <c r="AC42" s="13">
        <v>8.5668000000000006</v>
      </c>
      <c r="AD42" s="13">
        <v>10.9542</v>
      </c>
      <c r="AE42" s="13">
        <v>3.12</v>
      </c>
      <c r="AF42" s="13">
        <v>-2.3201999999999998</v>
      </c>
      <c r="AG42" s="13"/>
      <c r="AH42" s="13">
        <f t="shared" si="8"/>
        <v>0</v>
      </c>
    </row>
    <row r="43" spans="1:34" x14ac:dyDescent="0.25">
      <c r="A43" s="10" t="s">
        <v>103</v>
      </c>
      <c r="B43" s="10" t="s">
        <v>44</v>
      </c>
      <c r="C43" s="10">
        <v>37</v>
      </c>
      <c r="D43" s="10">
        <v>9</v>
      </c>
      <c r="E43" s="10">
        <v>20</v>
      </c>
      <c r="F43" s="10">
        <v>19</v>
      </c>
      <c r="G43" s="11">
        <v>0</v>
      </c>
      <c r="H43" s="10">
        <v>50</v>
      </c>
      <c r="I43" s="10" t="s">
        <v>38</v>
      </c>
      <c r="J43" s="10"/>
      <c r="K43" s="10">
        <v>22</v>
      </c>
      <c r="L43" s="10">
        <f t="shared" si="11"/>
        <v>-2</v>
      </c>
      <c r="M43" s="10"/>
      <c r="N43" s="10"/>
      <c r="O43" s="10">
        <v>0</v>
      </c>
      <c r="P43" s="10"/>
      <c r="Q43" s="10"/>
      <c r="R43" s="10">
        <f t="shared" si="12"/>
        <v>4</v>
      </c>
      <c r="S43" s="12"/>
      <c r="T43" s="4">
        <f t="shared" si="5"/>
        <v>0</v>
      </c>
      <c r="U43" s="13">
        <f t="shared" si="6"/>
        <v>4.75</v>
      </c>
      <c r="V43" s="10">
        <f t="shared" si="7"/>
        <v>4.75</v>
      </c>
      <c r="W43" s="10">
        <v>2.2000000000000002</v>
      </c>
      <c r="X43" s="10">
        <v>3.2</v>
      </c>
      <c r="Y43" s="10">
        <v>7</v>
      </c>
      <c r="Z43" s="10">
        <v>7</v>
      </c>
      <c r="AA43" s="10">
        <v>4.5999999999999996</v>
      </c>
      <c r="AB43" s="10">
        <v>4.5999999999999996</v>
      </c>
      <c r="AC43" s="10">
        <v>6.6</v>
      </c>
      <c r="AD43" s="10">
        <v>8.1999999999999993</v>
      </c>
      <c r="AE43" s="10">
        <v>9.6</v>
      </c>
      <c r="AF43" s="10">
        <v>7.4</v>
      </c>
      <c r="AG43" s="10"/>
      <c r="AH43" s="13">
        <f t="shared" si="8"/>
        <v>0</v>
      </c>
    </row>
    <row r="44" spans="1:34" x14ac:dyDescent="0.25">
      <c r="A44" s="13" t="s">
        <v>104</v>
      </c>
      <c r="B44" s="13" t="s">
        <v>44</v>
      </c>
      <c r="C44" s="13">
        <v>6</v>
      </c>
      <c r="D44" s="13">
        <v>42</v>
      </c>
      <c r="E44" s="13">
        <v>-18</v>
      </c>
      <c r="F44" s="13">
        <v>48</v>
      </c>
      <c r="G44" s="6">
        <v>0.4</v>
      </c>
      <c r="H44" s="13">
        <v>40</v>
      </c>
      <c r="I44" s="15" t="s">
        <v>75</v>
      </c>
      <c r="J44" s="13"/>
      <c r="K44" s="13">
        <v>124</v>
      </c>
      <c r="L44" s="13">
        <f t="shared" si="11"/>
        <v>-142</v>
      </c>
      <c r="M44" s="13"/>
      <c r="N44" s="13"/>
      <c r="O44" s="13">
        <v>70</v>
      </c>
      <c r="P44" s="13">
        <v>0</v>
      </c>
      <c r="Q44" s="13"/>
      <c r="R44" s="13">
        <f t="shared" si="12"/>
        <v>-3.6</v>
      </c>
      <c r="S44" s="4">
        <v>30</v>
      </c>
      <c r="T44" s="4">
        <f t="shared" si="5"/>
        <v>30</v>
      </c>
      <c r="U44" s="13">
        <f t="shared" si="6"/>
        <v>-41.111111111111107</v>
      </c>
      <c r="V44" s="13">
        <f t="shared" si="7"/>
        <v>-32.777777777777779</v>
      </c>
      <c r="W44" s="13">
        <v>-4.2</v>
      </c>
      <c r="X44" s="13">
        <v>-3</v>
      </c>
      <c r="Y44" s="13">
        <v>8.4</v>
      </c>
      <c r="Z44" s="13">
        <v>11.2</v>
      </c>
      <c r="AA44" s="13">
        <v>18.8</v>
      </c>
      <c r="AB44" s="13">
        <v>25.6</v>
      </c>
      <c r="AC44" s="13">
        <v>53</v>
      </c>
      <c r="AD44" s="13">
        <v>54</v>
      </c>
      <c r="AE44" s="13">
        <v>22.6</v>
      </c>
      <c r="AF44" s="13">
        <v>23.4</v>
      </c>
      <c r="AG44" s="13"/>
      <c r="AH44" s="13">
        <f t="shared" si="8"/>
        <v>12</v>
      </c>
    </row>
    <row r="45" spans="1:34" x14ac:dyDescent="0.25">
      <c r="A45" s="13" t="s">
        <v>106</v>
      </c>
      <c r="B45" s="13" t="s">
        <v>44</v>
      </c>
      <c r="C45" s="13">
        <v>396</v>
      </c>
      <c r="D45" s="13">
        <v>10</v>
      </c>
      <c r="E45" s="13">
        <v>231</v>
      </c>
      <c r="F45" s="13">
        <v>163</v>
      </c>
      <c r="G45" s="6">
        <v>0.4</v>
      </c>
      <c r="H45" s="13">
        <v>45</v>
      </c>
      <c r="I45" s="15" t="s">
        <v>75</v>
      </c>
      <c r="J45" s="13"/>
      <c r="K45" s="13">
        <v>255</v>
      </c>
      <c r="L45" s="13">
        <f t="shared" si="11"/>
        <v>-24</v>
      </c>
      <c r="M45" s="13"/>
      <c r="N45" s="13"/>
      <c r="O45" s="13">
        <v>80</v>
      </c>
      <c r="P45" s="13">
        <v>0</v>
      </c>
      <c r="Q45" s="13"/>
      <c r="R45" s="13">
        <f t="shared" si="12"/>
        <v>46.2</v>
      </c>
      <c r="S45" s="4">
        <f>11*R45-Q45-O45-F45</f>
        <v>265.20000000000005</v>
      </c>
      <c r="T45" s="4">
        <f>S45+R45*$T$1</f>
        <v>230.55000000000004</v>
      </c>
      <c r="U45" s="13">
        <f t="shared" si="6"/>
        <v>10.25</v>
      </c>
      <c r="V45" s="13">
        <f t="shared" si="7"/>
        <v>5.2597402597402594</v>
      </c>
      <c r="W45" s="13">
        <v>24.8</v>
      </c>
      <c r="X45" s="13">
        <v>1</v>
      </c>
      <c r="Y45" s="13">
        <v>13.4</v>
      </c>
      <c r="Z45" s="13">
        <v>25.4</v>
      </c>
      <c r="AA45" s="13">
        <v>53.4</v>
      </c>
      <c r="AB45" s="13">
        <v>48.2</v>
      </c>
      <c r="AC45" s="13">
        <v>27.4</v>
      </c>
      <c r="AD45" s="13">
        <v>39.4</v>
      </c>
      <c r="AE45" s="13">
        <v>37.799999999999997</v>
      </c>
      <c r="AF45" s="13">
        <v>38.6</v>
      </c>
      <c r="AG45" s="13"/>
      <c r="AH45" s="13">
        <f t="shared" si="8"/>
        <v>92</v>
      </c>
    </row>
    <row r="46" spans="1:34" x14ac:dyDescent="0.25">
      <c r="A46" s="13" t="s">
        <v>108</v>
      </c>
      <c r="B46" s="13" t="s">
        <v>35</v>
      </c>
      <c r="C46" s="13">
        <v>115.49</v>
      </c>
      <c r="D46" s="13">
        <v>129.672</v>
      </c>
      <c r="E46" s="13">
        <v>92.662999999999997</v>
      </c>
      <c r="F46" s="13">
        <v>129.07499999999999</v>
      </c>
      <c r="G46" s="6">
        <v>1</v>
      </c>
      <c r="H46" s="13">
        <v>40</v>
      </c>
      <c r="I46" s="13" t="s">
        <v>36</v>
      </c>
      <c r="J46" s="13"/>
      <c r="K46" s="13">
        <v>114.63</v>
      </c>
      <c r="L46" s="13">
        <f t="shared" si="11"/>
        <v>-21.966999999999999</v>
      </c>
      <c r="M46" s="13"/>
      <c r="N46" s="13"/>
      <c r="O46" s="13"/>
      <c r="P46" s="13"/>
      <c r="Q46" s="13"/>
      <c r="R46" s="13">
        <f t="shared" si="12"/>
        <v>18.532599999999999</v>
      </c>
      <c r="S46" s="4">
        <f>11*R46-Q46-O46-F46</f>
        <v>74.783600000000007</v>
      </c>
      <c r="T46" s="4">
        <f t="shared" si="5"/>
        <v>74.783600000000007</v>
      </c>
      <c r="U46" s="13">
        <f t="shared" si="6"/>
        <v>11</v>
      </c>
      <c r="V46" s="13">
        <f t="shared" si="7"/>
        <v>6.9647540010575959</v>
      </c>
      <c r="W46" s="13">
        <v>11.743399999999999</v>
      </c>
      <c r="X46" s="13">
        <v>20.163799999999998</v>
      </c>
      <c r="Y46" s="13">
        <v>20.949200000000001</v>
      </c>
      <c r="Z46" s="13">
        <v>12.702400000000001</v>
      </c>
      <c r="AA46" s="13">
        <v>19.9008</v>
      </c>
      <c r="AB46" s="13">
        <v>25.02</v>
      </c>
      <c r="AC46" s="13">
        <v>23.82</v>
      </c>
      <c r="AD46" s="13">
        <v>23.102399999999999</v>
      </c>
      <c r="AE46" s="13">
        <v>16.805800000000001</v>
      </c>
      <c r="AF46" s="13">
        <v>22.568000000000001</v>
      </c>
      <c r="AG46" s="13"/>
      <c r="AH46" s="13">
        <f t="shared" si="8"/>
        <v>75</v>
      </c>
    </row>
    <row r="47" spans="1:34" x14ac:dyDescent="0.25">
      <c r="A47" s="13" t="s">
        <v>109</v>
      </c>
      <c r="B47" s="13" t="s">
        <v>44</v>
      </c>
      <c r="C47" s="13">
        <v>595</v>
      </c>
      <c r="D47" s="13">
        <v>406</v>
      </c>
      <c r="E47" s="13">
        <v>244</v>
      </c>
      <c r="F47" s="13">
        <v>542</v>
      </c>
      <c r="G47" s="6">
        <v>0.35</v>
      </c>
      <c r="H47" s="13">
        <v>40</v>
      </c>
      <c r="I47" s="13" t="s">
        <v>36</v>
      </c>
      <c r="J47" s="13"/>
      <c r="K47" s="13">
        <v>271</v>
      </c>
      <c r="L47" s="13">
        <f t="shared" si="11"/>
        <v>-27</v>
      </c>
      <c r="M47" s="13"/>
      <c r="N47" s="13"/>
      <c r="O47" s="13">
        <v>0</v>
      </c>
      <c r="P47" s="13"/>
      <c r="Q47" s="13"/>
      <c r="R47" s="13">
        <f t="shared" si="12"/>
        <v>48.8</v>
      </c>
      <c r="S47" s="4"/>
      <c r="T47" s="4">
        <f t="shared" si="5"/>
        <v>0</v>
      </c>
      <c r="U47" s="13">
        <f t="shared" si="6"/>
        <v>11.106557377049182</v>
      </c>
      <c r="V47" s="13">
        <f t="shared" si="7"/>
        <v>11.106557377049182</v>
      </c>
      <c r="W47" s="13">
        <v>40.6</v>
      </c>
      <c r="X47" s="13">
        <v>37.200000000000003</v>
      </c>
      <c r="Y47" s="13">
        <v>44</v>
      </c>
      <c r="Z47" s="13">
        <v>52.6</v>
      </c>
      <c r="AA47" s="13">
        <v>65.599999999999994</v>
      </c>
      <c r="AB47" s="13">
        <v>46.2</v>
      </c>
      <c r="AC47" s="13">
        <v>30.6</v>
      </c>
      <c r="AD47" s="13">
        <v>58.6</v>
      </c>
      <c r="AE47" s="13">
        <v>64.400000000000006</v>
      </c>
      <c r="AF47" s="13">
        <v>53</v>
      </c>
      <c r="AG47" s="13"/>
      <c r="AH47" s="13">
        <f t="shared" si="8"/>
        <v>0</v>
      </c>
    </row>
    <row r="48" spans="1:34" x14ac:dyDescent="0.25">
      <c r="A48" s="13" t="s">
        <v>110</v>
      </c>
      <c r="B48" s="13" t="s">
        <v>44</v>
      </c>
      <c r="C48" s="13">
        <v>170</v>
      </c>
      <c r="D48" s="13">
        <v>370</v>
      </c>
      <c r="E48" s="13">
        <v>247</v>
      </c>
      <c r="F48" s="13">
        <v>191</v>
      </c>
      <c r="G48" s="6">
        <v>0.4</v>
      </c>
      <c r="H48" s="13">
        <v>40</v>
      </c>
      <c r="I48" s="15" t="s">
        <v>75</v>
      </c>
      <c r="J48" s="13"/>
      <c r="K48" s="13">
        <v>344</v>
      </c>
      <c r="L48" s="13">
        <f t="shared" si="11"/>
        <v>-97</v>
      </c>
      <c r="M48" s="13"/>
      <c r="N48" s="13"/>
      <c r="O48" s="13">
        <v>120</v>
      </c>
      <c r="P48" s="13">
        <v>0</v>
      </c>
      <c r="Q48" s="13"/>
      <c r="R48" s="13">
        <f t="shared" si="12"/>
        <v>49.4</v>
      </c>
      <c r="S48" s="4">
        <f>11*R48-Q48-O48-F48</f>
        <v>232.39999999999998</v>
      </c>
      <c r="T48" s="4">
        <f>S48+R48*$T$1</f>
        <v>195.34999999999997</v>
      </c>
      <c r="U48" s="13">
        <f t="shared" si="6"/>
        <v>10.25</v>
      </c>
      <c r="V48" s="13">
        <f t="shared" si="7"/>
        <v>6.2955465587044532</v>
      </c>
      <c r="W48" s="13">
        <v>36</v>
      </c>
      <c r="X48" s="13">
        <v>40.799999999999997</v>
      </c>
      <c r="Y48" s="13">
        <v>54</v>
      </c>
      <c r="Z48" s="13">
        <v>35.799999999999997</v>
      </c>
      <c r="AA48" s="13">
        <v>5.6</v>
      </c>
      <c r="AB48" s="13">
        <v>1</v>
      </c>
      <c r="AC48" s="13">
        <v>56</v>
      </c>
      <c r="AD48" s="13">
        <v>90.8</v>
      </c>
      <c r="AE48" s="13">
        <v>85.6</v>
      </c>
      <c r="AF48" s="13">
        <v>77.8</v>
      </c>
      <c r="AG48" s="13"/>
      <c r="AH48" s="13">
        <f t="shared" si="8"/>
        <v>78</v>
      </c>
    </row>
    <row r="49" spans="1:34" x14ac:dyDescent="0.25">
      <c r="A49" s="13" t="s">
        <v>112</v>
      </c>
      <c r="B49" s="13" t="s">
        <v>35</v>
      </c>
      <c r="C49" s="13">
        <v>88.918000000000006</v>
      </c>
      <c r="D49" s="13">
        <v>134.42500000000001</v>
      </c>
      <c r="E49" s="13">
        <v>75.369</v>
      </c>
      <c r="F49" s="13">
        <v>133.19399999999999</v>
      </c>
      <c r="G49" s="6">
        <v>1</v>
      </c>
      <c r="H49" s="13">
        <v>50</v>
      </c>
      <c r="I49" s="13" t="s">
        <v>36</v>
      </c>
      <c r="J49" s="13"/>
      <c r="K49" s="13">
        <v>84.052000000000007</v>
      </c>
      <c r="L49" s="13">
        <f t="shared" si="11"/>
        <v>-8.6830000000000069</v>
      </c>
      <c r="M49" s="13"/>
      <c r="N49" s="13"/>
      <c r="O49" s="13">
        <v>9.4576000000000171</v>
      </c>
      <c r="P49" s="13">
        <v>0</v>
      </c>
      <c r="Q49" s="13"/>
      <c r="R49" s="13">
        <f t="shared" si="12"/>
        <v>15.0738</v>
      </c>
      <c r="S49" s="4">
        <f>11*R49-Q49-O49-F49</f>
        <v>23.160200000000003</v>
      </c>
      <c r="T49" s="4">
        <f t="shared" si="5"/>
        <v>23.160200000000003</v>
      </c>
      <c r="U49" s="13">
        <f t="shared" si="6"/>
        <v>11</v>
      </c>
      <c r="V49" s="13">
        <f t="shared" si="7"/>
        <v>9.4635460202470512</v>
      </c>
      <c r="W49" s="13">
        <v>11.8742</v>
      </c>
      <c r="X49" s="13">
        <v>13.991400000000001</v>
      </c>
      <c r="Y49" s="13">
        <v>17.976199999999999</v>
      </c>
      <c r="Z49" s="13">
        <v>14.181800000000001</v>
      </c>
      <c r="AA49" s="13">
        <v>13.4892</v>
      </c>
      <c r="AB49" s="13">
        <v>18.758400000000002</v>
      </c>
      <c r="AC49" s="13">
        <v>21.601400000000002</v>
      </c>
      <c r="AD49" s="13">
        <v>23.608799999999999</v>
      </c>
      <c r="AE49" s="13">
        <v>18.345400000000001</v>
      </c>
      <c r="AF49" s="13">
        <v>14.846399999999999</v>
      </c>
      <c r="AG49" s="13"/>
      <c r="AH49" s="13">
        <f t="shared" si="8"/>
        <v>23</v>
      </c>
    </row>
    <row r="50" spans="1:34" x14ac:dyDescent="0.25">
      <c r="A50" s="13" t="s">
        <v>114</v>
      </c>
      <c r="B50" s="13" t="s">
        <v>35</v>
      </c>
      <c r="C50" s="13">
        <v>250.62200000000001</v>
      </c>
      <c r="D50" s="13">
        <v>86.826999999999998</v>
      </c>
      <c r="E50" s="13">
        <v>94.495000000000005</v>
      </c>
      <c r="F50" s="13">
        <v>210.32400000000001</v>
      </c>
      <c r="G50" s="6">
        <v>1</v>
      </c>
      <c r="H50" s="13">
        <v>50</v>
      </c>
      <c r="I50" s="13" t="s">
        <v>36</v>
      </c>
      <c r="J50" s="13"/>
      <c r="K50" s="13">
        <v>131.26300000000001</v>
      </c>
      <c r="L50" s="13">
        <f t="shared" si="11"/>
        <v>-36.768000000000001</v>
      </c>
      <c r="M50" s="13"/>
      <c r="N50" s="13"/>
      <c r="O50" s="13">
        <v>0</v>
      </c>
      <c r="P50" s="13"/>
      <c r="Q50" s="13"/>
      <c r="R50" s="13">
        <f t="shared" si="12"/>
        <v>18.899000000000001</v>
      </c>
      <c r="S50" s="4"/>
      <c r="T50" s="4">
        <f t="shared" si="5"/>
        <v>0</v>
      </c>
      <c r="U50" s="13">
        <f t="shared" si="6"/>
        <v>11.128842795915128</v>
      </c>
      <c r="V50" s="13">
        <f t="shared" si="7"/>
        <v>11.128842795915128</v>
      </c>
      <c r="W50" s="13">
        <v>16.585999999999999</v>
      </c>
      <c r="X50" s="13">
        <v>22.036000000000001</v>
      </c>
      <c r="Y50" s="13">
        <v>27.9922</v>
      </c>
      <c r="Z50" s="13">
        <v>30.0686</v>
      </c>
      <c r="AA50" s="13">
        <v>29.352599999999999</v>
      </c>
      <c r="AB50" s="13">
        <v>27.397400000000001</v>
      </c>
      <c r="AC50" s="13">
        <v>30.834</v>
      </c>
      <c r="AD50" s="13">
        <v>34.377200000000002</v>
      </c>
      <c r="AE50" s="13">
        <v>30.298400000000001</v>
      </c>
      <c r="AF50" s="13">
        <v>23.753599999999999</v>
      </c>
      <c r="AG50" s="13"/>
      <c r="AH50" s="13">
        <f t="shared" si="8"/>
        <v>0</v>
      </c>
    </row>
    <row r="51" spans="1:34" x14ac:dyDescent="0.25">
      <c r="A51" s="13" t="s">
        <v>115</v>
      </c>
      <c r="B51" s="13" t="s">
        <v>35</v>
      </c>
      <c r="C51" s="13">
        <v>232.63</v>
      </c>
      <c r="D51" s="13">
        <v>98.346000000000004</v>
      </c>
      <c r="E51" s="13">
        <v>238.37299999999999</v>
      </c>
      <c r="F51" s="13">
        <v>0.434</v>
      </c>
      <c r="G51" s="6">
        <v>1</v>
      </c>
      <c r="H51" s="13">
        <v>45</v>
      </c>
      <c r="I51" s="13" t="s">
        <v>36</v>
      </c>
      <c r="J51" s="13"/>
      <c r="K51" s="13">
        <v>238.5</v>
      </c>
      <c r="L51" s="13">
        <f t="shared" si="11"/>
        <v>-0.12700000000000955</v>
      </c>
      <c r="M51" s="13"/>
      <c r="N51" s="13"/>
      <c r="O51" s="13">
        <v>0</v>
      </c>
      <c r="P51" s="13"/>
      <c r="Q51" s="13"/>
      <c r="R51" s="13">
        <f t="shared" si="12"/>
        <v>47.674599999999998</v>
      </c>
      <c r="S51" s="4">
        <f>7*R51-Q51-O51-F51</f>
        <v>333.28819999999996</v>
      </c>
      <c r="T51" s="4">
        <f>S51+R51*$T$1</f>
        <v>297.53224999999998</v>
      </c>
      <c r="U51" s="13">
        <f t="shared" si="6"/>
        <v>6.25</v>
      </c>
      <c r="V51" s="13">
        <f t="shared" si="7"/>
        <v>9.1033799968956216E-3</v>
      </c>
      <c r="W51" s="13">
        <v>5.6109999999999998</v>
      </c>
      <c r="X51" s="13">
        <v>1.4787999999999999</v>
      </c>
      <c r="Y51" s="13">
        <v>26.138999999999999</v>
      </c>
      <c r="Z51" s="13">
        <v>35.246200000000002</v>
      </c>
      <c r="AA51" s="13">
        <v>41.248800000000003</v>
      </c>
      <c r="AB51" s="13">
        <v>33.955399999999997</v>
      </c>
      <c r="AC51" s="13">
        <v>1.6262000000000001</v>
      </c>
      <c r="AD51" s="13">
        <v>13.767799999999999</v>
      </c>
      <c r="AE51" s="13">
        <v>26.409400000000002</v>
      </c>
      <c r="AF51" s="13">
        <v>23.374400000000001</v>
      </c>
      <c r="AG51" s="13"/>
      <c r="AH51" s="13">
        <f t="shared" si="8"/>
        <v>298</v>
      </c>
    </row>
    <row r="52" spans="1:34" x14ac:dyDescent="0.25">
      <c r="A52" s="13" t="s">
        <v>116</v>
      </c>
      <c r="B52" s="13" t="s">
        <v>44</v>
      </c>
      <c r="C52" s="13">
        <v>184</v>
      </c>
      <c r="D52" s="13">
        <v>272</v>
      </c>
      <c r="E52" s="13">
        <v>92</v>
      </c>
      <c r="F52" s="13">
        <v>335</v>
      </c>
      <c r="G52" s="6">
        <v>0.45</v>
      </c>
      <c r="H52" s="13">
        <v>50</v>
      </c>
      <c r="I52" s="13" t="s">
        <v>36</v>
      </c>
      <c r="J52" s="13"/>
      <c r="K52" s="13">
        <v>101</v>
      </c>
      <c r="L52" s="13">
        <f t="shared" si="11"/>
        <v>-9</v>
      </c>
      <c r="M52" s="13"/>
      <c r="N52" s="13"/>
      <c r="O52" s="13">
        <v>0</v>
      </c>
      <c r="P52" s="13"/>
      <c r="Q52" s="13"/>
      <c r="R52" s="13">
        <f t="shared" si="12"/>
        <v>18.399999999999999</v>
      </c>
      <c r="S52" s="4"/>
      <c r="T52" s="4">
        <f t="shared" si="5"/>
        <v>0</v>
      </c>
      <c r="U52" s="13">
        <f t="shared" si="6"/>
        <v>18.206521739130437</v>
      </c>
      <c r="V52" s="13">
        <f t="shared" si="7"/>
        <v>18.206521739130437</v>
      </c>
      <c r="W52" s="13">
        <v>19.8</v>
      </c>
      <c r="X52" s="13">
        <v>29.6</v>
      </c>
      <c r="Y52" s="13">
        <v>39.4</v>
      </c>
      <c r="Z52" s="13">
        <v>27.6</v>
      </c>
      <c r="AA52" s="13">
        <v>20.8</v>
      </c>
      <c r="AB52" s="13">
        <v>35.4</v>
      </c>
      <c r="AC52" s="13">
        <v>42.4</v>
      </c>
      <c r="AD52" s="13">
        <v>34.4</v>
      </c>
      <c r="AE52" s="13">
        <v>31</v>
      </c>
      <c r="AF52" s="13">
        <v>32</v>
      </c>
      <c r="AG52" s="9" t="s">
        <v>58</v>
      </c>
      <c r="AH52" s="13">
        <f t="shared" si="8"/>
        <v>0</v>
      </c>
    </row>
    <row r="53" spans="1:34" x14ac:dyDescent="0.25">
      <c r="A53" s="13" t="s">
        <v>117</v>
      </c>
      <c r="B53" s="13" t="s">
        <v>44</v>
      </c>
      <c r="C53" s="13">
        <v>112</v>
      </c>
      <c r="D53" s="13">
        <v>700</v>
      </c>
      <c r="E53" s="13">
        <v>191</v>
      </c>
      <c r="F53" s="13">
        <v>602</v>
      </c>
      <c r="G53" s="6">
        <v>0.45</v>
      </c>
      <c r="H53" s="13">
        <v>50</v>
      </c>
      <c r="I53" s="13" t="s">
        <v>36</v>
      </c>
      <c r="J53" s="13"/>
      <c r="K53" s="13">
        <v>218</v>
      </c>
      <c r="L53" s="13">
        <f t="shared" si="11"/>
        <v>-27</v>
      </c>
      <c r="M53" s="13"/>
      <c r="N53" s="13"/>
      <c r="O53" s="13">
        <v>0</v>
      </c>
      <c r="P53" s="13"/>
      <c r="Q53" s="13"/>
      <c r="R53" s="13">
        <f t="shared" si="12"/>
        <v>38.200000000000003</v>
      </c>
      <c r="S53" s="4"/>
      <c r="T53" s="4">
        <f t="shared" si="5"/>
        <v>0</v>
      </c>
      <c r="U53" s="13">
        <f t="shared" si="6"/>
        <v>15.759162303664921</v>
      </c>
      <c r="V53" s="13">
        <f t="shared" si="7"/>
        <v>15.759162303664921</v>
      </c>
      <c r="W53" s="13">
        <v>34.200000000000003</v>
      </c>
      <c r="X53" s="13">
        <v>42.6</v>
      </c>
      <c r="Y53" s="13">
        <v>64.400000000000006</v>
      </c>
      <c r="Z53" s="13">
        <v>46.6</v>
      </c>
      <c r="AA53" s="13">
        <v>38.4</v>
      </c>
      <c r="AB53" s="13">
        <v>47.2</v>
      </c>
      <c r="AC53" s="13">
        <v>63.6</v>
      </c>
      <c r="AD53" s="13">
        <v>69.599999999999994</v>
      </c>
      <c r="AE53" s="13">
        <v>55.4</v>
      </c>
      <c r="AF53" s="13">
        <v>41</v>
      </c>
      <c r="AG53" s="13"/>
      <c r="AH53" s="13">
        <f t="shared" si="8"/>
        <v>0</v>
      </c>
    </row>
    <row r="54" spans="1:34" x14ac:dyDescent="0.25">
      <c r="A54" s="13" t="s">
        <v>118</v>
      </c>
      <c r="B54" s="13" t="s">
        <v>44</v>
      </c>
      <c r="C54" s="13">
        <v>58</v>
      </c>
      <c r="D54" s="13">
        <v>29</v>
      </c>
      <c r="E54" s="13">
        <v>63</v>
      </c>
      <c r="F54" s="13">
        <v>7</v>
      </c>
      <c r="G54" s="6">
        <v>0.4</v>
      </c>
      <c r="H54" s="13">
        <v>40</v>
      </c>
      <c r="I54" s="13" t="s">
        <v>36</v>
      </c>
      <c r="J54" s="13"/>
      <c r="K54" s="13">
        <v>68</v>
      </c>
      <c r="L54" s="13">
        <f t="shared" si="11"/>
        <v>-5</v>
      </c>
      <c r="M54" s="13"/>
      <c r="N54" s="13"/>
      <c r="O54" s="13">
        <v>47.000000000000007</v>
      </c>
      <c r="P54" s="13">
        <v>0</v>
      </c>
      <c r="Q54" s="13"/>
      <c r="R54" s="13">
        <f t="shared" si="12"/>
        <v>12.6</v>
      </c>
      <c r="S54" s="4">
        <f>10*R54-Q54-O54-F54</f>
        <v>72</v>
      </c>
      <c r="T54" s="4">
        <f t="shared" si="5"/>
        <v>72</v>
      </c>
      <c r="U54" s="13">
        <f t="shared" si="6"/>
        <v>10</v>
      </c>
      <c r="V54" s="13">
        <f t="shared" si="7"/>
        <v>4.2857142857142865</v>
      </c>
      <c r="W54" s="13">
        <v>5.4</v>
      </c>
      <c r="X54" s="13">
        <v>5</v>
      </c>
      <c r="Y54" s="13">
        <v>4.8</v>
      </c>
      <c r="Z54" s="13">
        <v>5.2</v>
      </c>
      <c r="AA54" s="13">
        <v>8.4</v>
      </c>
      <c r="AB54" s="13">
        <v>6.2</v>
      </c>
      <c r="AC54" s="13">
        <v>0.6</v>
      </c>
      <c r="AD54" s="13">
        <v>1</v>
      </c>
      <c r="AE54" s="13">
        <v>7.6</v>
      </c>
      <c r="AF54" s="13">
        <v>7.8</v>
      </c>
      <c r="AG54" s="13"/>
      <c r="AH54" s="13">
        <f t="shared" si="8"/>
        <v>29</v>
      </c>
    </row>
    <row r="55" spans="1:34" x14ac:dyDescent="0.25">
      <c r="A55" s="13" t="s">
        <v>120</v>
      </c>
      <c r="B55" s="13" t="s">
        <v>44</v>
      </c>
      <c r="C55" s="13">
        <v>9</v>
      </c>
      <c r="D55" s="13">
        <v>24</v>
      </c>
      <c r="E55" s="13">
        <v>12</v>
      </c>
      <c r="F55" s="13">
        <v>15</v>
      </c>
      <c r="G55" s="6">
        <v>0.4</v>
      </c>
      <c r="H55" s="13">
        <v>40</v>
      </c>
      <c r="I55" s="15" t="s">
        <v>75</v>
      </c>
      <c r="J55" s="13"/>
      <c r="K55" s="13">
        <v>32</v>
      </c>
      <c r="L55" s="13">
        <f t="shared" si="11"/>
        <v>-20</v>
      </c>
      <c r="M55" s="13"/>
      <c r="N55" s="13"/>
      <c r="O55" s="13">
        <v>40</v>
      </c>
      <c r="P55" s="13">
        <v>0</v>
      </c>
      <c r="Q55" s="13"/>
      <c r="R55" s="13">
        <f t="shared" si="12"/>
        <v>2.4</v>
      </c>
      <c r="S55" s="4">
        <v>20</v>
      </c>
      <c r="T55" s="4">
        <f t="shared" si="5"/>
        <v>20</v>
      </c>
      <c r="U55" s="13">
        <f t="shared" si="6"/>
        <v>31.25</v>
      </c>
      <c r="V55" s="13">
        <f t="shared" si="7"/>
        <v>22.916666666666668</v>
      </c>
      <c r="W55" s="13">
        <v>5.6</v>
      </c>
      <c r="X55" s="13">
        <v>7.2</v>
      </c>
      <c r="Y55" s="13">
        <v>17.2</v>
      </c>
      <c r="Z55" s="13">
        <v>18.600000000000001</v>
      </c>
      <c r="AA55" s="13">
        <v>9.4</v>
      </c>
      <c r="AB55" s="13">
        <v>6.2</v>
      </c>
      <c r="AC55" s="13">
        <v>10.199999999999999</v>
      </c>
      <c r="AD55" s="13">
        <v>12</v>
      </c>
      <c r="AE55" s="13">
        <v>12.4</v>
      </c>
      <c r="AF55" s="13">
        <v>10.8</v>
      </c>
      <c r="AG55" s="13"/>
      <c r="AH55" s="13">
        <f t="shared" si="8"/>
        <v>8</v>
      </c>
    </row>
    <row r="56" spans="1:34" x14ac:dyDescent="0.25">
      <c r="A56" s="13" t="s">
        <v>122</v>
      </c>
      <c r="B56" s="13" t="s">
        <v>35</v>
      </c>
      <c r="C56" s="13">
        <v>111.075</v>
      </c>
      <c r="D56" s="13">
        <v>79.805000000000007</v>
      </c>
      <c r="E56" s="13">
        <v>54.76</v>
      </c>
      <c r="F56" s="13">
        <v>110.806</v>
      </c>
      <c r="G56" s="6">
        <v>1</v>
      </c>
      <c r="H56" s="13">
        <v>50</v>
      </c>
      <c r="I56" s="13" t="s">
        <v>36</v>
      </c>
      <c r="J56" s="13"/>
      <c r="K56" s="13">
        <v>73.144000000000005</v>
      </c>
      <c r="L56" s="13">
        <f t="shared" si="11"/>
        <v>-18.384000000000007</v>
      </c>
      <c r="M56" s="13"/>
      <c r="N56" s="13"/>
      <c r="O56" s="13">
        <v>24.558800000000019</v>
      </c>
      <c r="P56" s="13">
        <v>0</v>
      </c>
      <c r="Q56" s="13"/>
      <c r="R56" s="13">
        <f t="shared" si="12"/>
        <v>10.952</v>
      </c>
      <c r="S56" s="4"/>
      <c r="T56" s="4">
        <f t="shared" si="5"/>
        <v>0</v>
      </c>
      <c r="U56" s="13">
        <f t="shared" si="6"/>
        <v>12.35982468955442</v>
      </c>
      <c r="V56" s="13">
        <f t="shared" si="7"/>
        <v>12.35982468955442</v>
      </c>
      <c r="W56" s="13">
        <v>10.156599999999999</v>
      </c>
      <c r="X56" s="13">
        <v>6.9614000000000003</v>
      </c>
      <c r="Y56" s="13">
        <v>12.7996</v>
      </c>
      <c r="Z56" s="13">
        <v>15.9956</v>
      </c>
      <c r="AA56" s="13">
        <v>14.400600000000001</v>
      </c>
      <c r="AB56" s="13">
        <v>10.9184</v>
      </c>
      <c r="AC56" s="13">
        <v>9.3290000000000006</v>
      </c>
      <c r="AD56" s="13">
        <v>14.9518</v>
      </c>
      <c r="AE56" s="13">
        <v>16.250800000000002</v>
      </c>
      <c r="AF56" s="13">
        <v>13.851000000000001</v>
      </c>
      <c r="AG56" s="13"/>
      <c r="AH56" s="13">
        <f t="shared" si="8"/>
        <v>0</v>
      </c>
    </row>
    <row r="57" spans="1:34" x14ac:dyDescent="0.25">
      <c r="A57" s="13" t="s">
        <v>124</v>
      </c>
      <c r="B57" s="13" t="s">
        <v>44</v>
      </c>
      <c r="C57" s="13">
        <v>114</v>
      </c>
      <c r="D57" s="13">
        <v>21</v>
      </c>
      <c r="E57" s="13">
        <v>45</v>
      </c>
      <c r="F57" s="13">
        <v>90</v>
      </c>
      <c r="G57" s="6">
        <v>0.1</v>
      </c>
      <c r="H57" s="13">
        <v>731</v>
      </c>
      <c r="I57" s="13" t="s">
        <v>36</v>
      </c>
      <c r="J57" s="13"/>
      <c r="K57" s="13">
        <v>45</v>
      </c>
      <c r="L57" s="13">
        <f t="shared" si="11"/>
        <v>0</v>
      </c>
      <c r="M57" s="13"/>
      <c r="N57" s="13"/>
      <c r="O57" s="13">
        <v>208.4</v>
      </c>
      <c r="P57" s="13">
        <v>0</v>
      </c>
      <c r="Q57" s="13"/>
      <c r="R57" s="13">
        <f t="shared" si="12"/>
        <v>9</v>
      </c>
      <c r="S57" s="4"/>
      <c r="T57" s="4">
        <f t="shared" si="5"/>
        <v>0</v>
      </c>
      <c r="U57" s="13">
        <f t="shared" si="6"/>
        <v>33.155555555555551</v>
      </c>
      <c r="V57" s="13">
        <f t="shared" si="7"/>
        <v>33.155555555555551</v>
      </c>
      <c r="W57" s="13">
        <v>20</v>
      </c>
      <c r="X57" s="13">
        <v>18.8</v>
      </c>
      <c r="Y57" s="13">
        <v>13.8</v>
      </c>
      <c r="Z57" s="13">
        <v>10.4</v>
      </c>
      <c r="AA57" s="13">
        <v>7.8</v>
      </c>
      <c r="AB57" s="13">
        <v>11</v>
      </c>
      <c r="AC57" s="13">
        <v>13.6</v>
      </c>
      <c r="AD57" s="13">
        <v>13.2</v>
      </c>
      <c r="AE57" s="13">
        <v>11.6</v>
      </c>
      <c r="AF57" s="13">
        <v>10.4</v>
      </c>
      <c r="AG57" s="9" t="s">
        <v>58</v>
      </c>
      <c r="AH57" s="13">
        <f t="shared" si="8"/>
        <v>0</v>
      </c>
    </row>
    <row r="58" spans="1:34" x14ac:dyDescent="0.25">
      <c r="A58" s="13" t="s">
        <v>126</v>
      </c>
      <c r="B58" s="13" t="s">
        <v>35</v>
      </c>
      <c r="C58" s="13">
        <v>294.423</v>
      </c>
      <c r="D58" s="13">
        <v>24.605</v>
      </c>
      <c r="E58" s="13">
        <v>105.306</v>
      </c>
      <c r="F58" s="13">
        <v>186.13499999999999</v>
      </c>
      <c r="G58" s="6">
        <v>1</v>
      </c>
      <c r="H58" s="13">
        <v>50</v>
      </c>
      <c r="I58" s="13" t="s">
        <v>36</v>
      </c>
      <c r="J58" s="13"/>
      <c r="K58" s="13">
        <v>100.349</v>
      </c>
      <c r="L58" s="13">
        <f t="shared" si="11"/>
        <v>4.9569999999999936</v>
      </c>
      <c r="M58" s="13"/>
      <c r="N58" s="13"/>
      <c r="O58" s="13"/>
      <c r="P58" s="13"/>
      <c r="Q58" s="13"/>
      <c r="R58" s="13">
        <f t="shared" si="12"/>
        <v>21.061199999999999</v>
      </c>
      <c r="S58" s="4">
        <f>11*R58-Q58-O58-F58</f>
        <v>45.538200000000018</v>
      </c>
      <c r="T58" s="4">
        <f t="shared" si="5"/>
        <v>45.538200000000018</v>
      </c>
      <c r="U58" s="13">
        <f t="shared" si="6"/>
        <v>11</v>
      </c>
      <c r="V58" s="13">
        <f t="shared" si="7"/>
        <v>8.8378155090878003</v>
      </c>
      <c r="W58" s="13">
        <v>16.559200000000001</v>
      </c>
      <c r="X58" s="13">
        <v>14.959199999999999</v>
      </c>
      <c r="Y58" s="13">
        <v>24.415600000000001</v>
      </c>
      <c r="Z58" s="13">
        <v>28.695599999999999</v>
      </c>
      <c r="AA58" s="13">
        <v>35.496600000000001</v>
      </c>
      <c r="AB58" s="13">
        <v>35.494799999999998</v>
      </c>
      <c r="AC58" s="13">
        <v>30.4786</v>
      </c>
      <c r="AD58" s="13">
        <v>39.569600000000001</v>
      </c>
      <c r="AE58" s="13">
        <v>35.916200000000003</v>
      </c>
      <c r="AF58" s="13">
        <v>27.1142</v>
      </c>
      <c r="AG58" s="13"/>
      <c r="AH58" s="13">
        <f t="shared" si="8"/>
        <v>46</v>
      </c>
    </row>
    <row r="59" spans="1:34" x14ac:dyDescent="0.25">
      <c r="A59" s="13" t="s">
        <v>127</v>
      </c>
      <c r="B59" s="13" t="s">
        <v>35</v>
      </c>
      <c r="C59" s="13">
        <v>43.350999999999999</v>
      </c>
      <c r="D59" s="13">
        <v>32.762999999999998</v>
      </c>
      <c r="E59" s="13">
        <v>33.863999999999997</v>
      </c>
      <c r="F59" s="13">
        <v>30.071999999999999</v>
      </c>
      <c r="G59" s="6">
        <v>1</v>
      </c>
      <c r="H59" s="13">
        <v>55</v>
      </c>
      <c r="I59" s="13" t="s">
        <v>36</v>
      </c>
      <c r="J59" s="13"/>
      <c r="K59" s="13">
        <v>33.856999999999999</v>
      </c>
      <c r="L59" s="13">
        <f t="shared" si="11"/>
        <v>6.9999999999978968E-3</v>
      </c>
      <c r="M59" s="13"/>
      <c r="N59" s="13"/>
      <c r="O59" s="13">
        <v>40.505199999999988</v>
      </c>
      <c r="P59" s="13">
        <v>0</v>
      </c>
      <c r="Q59" s="13"/>
      <c r="R59" s="13">
        <f t="shared" si="12"/>
        <v>6.7727999999999993</v>
      </c>
      <c r="S59" s="4">
        <f>11*R59-Q59-O59-F59</f>
        <v>3.9236000000000111</v>
      </c>
      <c r="T59" s="4">
        <f t="shared" si="5"/>
        <v>3.9236000000000111</v>
      </c>
      <c r="U59" s="13">
        <f t="shared" si="6"/>
        <v>11.000000000000002</v>
      </c>
      <c r="V59" s="13">
        <f t="shared" si="7"/>
        <v>10.420682730923694</v>
      </c>
      <c r="W59" s="13">
        <v>5.6981999999999999</v>
      </c>
      <c r="X59" s="13">
        <v>4.8959999999999999</v>
      </c>
      <c r="Y59" s="13">
        <v>5.1875999999999998</v>
      </c>
      <c r="Z59" s="13">
        <v>7.9328000000000003</v>
      </c>
      <c r="AA59" s="13">
        <v>9.3141999999999996</v>
      </c>
      <c r="AB59" s="13">
        <v>6.2875999999999994</v>
      </c>
      <c r="AC59" s="13">
        <v>7.8018000000000001</v>
      </c>
      <c r="AD59" s="13">
        <v>9.2653999999999996</v>
      </c>
      <c r="AE59" s="13">
        <v>6.8365999999999998</v>
      </c>
      <c r="AF59" s="13">
        <v>8.6145999999999994</v>
      </c>
      <c r="AG59" s="13"/>
      <c r="AH59" s="13">
        <f t="shared" si="8"/>
        <v>4</v>
      </c>
    </row>
    <row r="60" spans="1:34" x14ac:dyDescent="0.25">
      <c r="A60" s="13" t="s">
        <v>129</v>
      </c>
      <c r="B60" s="13" t="s">
        <v>44</v>
      </c>
      <c r="C60" s="13">
        <v>6</v>
      </c>
      <c r="D60" s="13">
        <v>181</v>
      </c>
      <c r="E60" s="13">
        <v>41</v>
      </c>
      <c r="F60" s="13">
        <v>149</v>
      </c>
      <c r="G60" s="6">
        <v>0.1</v>
      </c>
      <c r="H60" s="13">
        <v>731</v>
      </c>
      <c r="I60" s="13" t="s">
        <v>36</v>
      </c>
      <c r="J60" s="13"/>
      <c r="K60" s="13">
        <v>67</v>
      </c>
      <c r="L60" s="13">
        <f t="shared" si="11"/>
        <v>-26</v>
      </c>
      <c r="M60" s="13"/>
      <c r="N60" s="13"/>
      <c r="O60" s="13">
        <v>72.799999999999969</v>
      </c>
      <c r="P60" s="13">
        <v>0</v>
      </c>
      <c r="Q60" s="13"/>
      <c r="R60" s="13">
        <f t="shared" si="12"/>
        <v>8.1999999999999993</v>
      </c>
      <c r="S60" s="4"/>
      <c r="T60" s="4">
        <f t="shared" si="5"/>
        <v>0</v>
      </c>
      <c r="U60" s="13">
        <f t="shared" si="6"/>
        <v>27.048780487804876</v>
      </c>
      <c r="V60" s="13">
        <f t="shared" si="7"/>
        <v>27.048780487804876</v>
      </c>
      <c r="W60" s="13">
        <v>17.2</v>
      </c>
      <c r="X60" s="13">
        <v>17.8</v>
      </c>
      <c r="Y60" s="13">
        <v>18.600000000000001</v>
      </c>
      <c r="Z60" s="13">
        <v>16.8</v>
      </c>
      <c r="AA60" s="13">
        <v>10.8</v>
      </c>
      <c r="AB60" s="13">
        <v>12.8</v>
      </c>
      <c r="AC60" s="13">
        <v>10.199999999999999</v>
      </c>
      <c r="AD60" s="13">
        <v>12.6</v>
      </c>
      <c r="AE60" s="13">
        <v>14.6</v>
      </c>
      <c r="AF60" s="13">
        <v>10.4</v>
      </c>
      <c r="AG60" s="13"/>
      <c r="AH60" s="13">
        <f t="shared" si="8"/>
        <v>0</v>
      </c>
    </row>
    <row r="61" spans="1:34" x14ac:dyDescent="0.25">
      <c r="A61" s="13" t="s">
        <v>131</v>
      </c>
      <c r="B61" s="13" t="s">
        <v>44</v>
      </c>
      <c r="C61" s="13">
        <v>-1</v>
      </c>
      <c r="D61" s="13">
        <v>34</v>
      </c>
      <c r="E61" s="13">
        <v>6</v>
      </c>
      <c r="F61" s="13">
        <v>27</v>
      </c>
      <c r="G61" s="6">
        <v>0.4</v>
      </c>
      <c r="H61" s="13">
        <v>50</v>
      </c>
      <c r="I61" s="13" t="s">
        <v>36</v>
      </c>
      <c r="J61" s="13"/>
      <c r="K61" s="13">
        <v>6</v>
      </c>
      <c r="L61" s="13">
        <f t="shared" si="11"/>
        <v>0</v>
      </c>
      <c r="M61" s="13"/>
      <c r="N61" s="13"/>
      <c r="O61" s="13">
        <v>0</v>
      </c>
      <c r="P61" s="13"/>
      <c r="Q61" s="13"/>
      <c r="R61" s="13">
        <f t="shared" si="12"/>
        <v>1.2</v>
      </c>
      <c r="S61" s="4"/>
      <c r="T61" s="4">
        <f t="shared" si="5"/>
        <v>0</v>
      </c>
      <c r="U61" s="13">
        <f t="shared" si="6"/>
        <v>22.5</v>
      </c>
      <c r="V61" s="13">
        <f t="shared" si="7"/>
        <v>22.5</v>
      </c>
      <c r="W61" s="13">
        <v>1</v>
      </c>
      <c r="X61" s="13">
        <v>1.4</v>
      </c>
      <c r="Y61" s="13">
        <v>2.4</v>
      </c>
      <c r="Z61" s="13">
        <v>2</v>
      </c>
      <c r="AA61" s="13">
        <v>0.8</v>
      </c>
      <c r="AB61" s="13">
        <v>0.8</v>
      </c>
      <c r="AC61" s="13">
        <v>1.6</v>
      </c>
      <c r="AD61" s="13">
        <v>3.2</v>
      </c>
      <c r="AE61" s="13">
        <v>2.4</v>
      </c>
      <c r="AF61" s="13">
        <v>1.8</v>
      </c>
      <c r="AG61" s="13"/>
      <c r="AH61" s="13">
        <f t="shared" si="8"/>
        <v>0</v>
      </c>
    </row>
    <row r="62" spans="1:34" x14ac:dyDescent="0.25">
      <c r="A62" s="13" t="s">
        <v>132</v>
      </c>
      <c r="B62" s="13" t="s">
        <v>35</v>
      </c>
      <c r="C62" s="13">
        <v>112.117</v>
      </c>
      <c r="D62" s="13">
        <v>108.78100000000001</v>
      </c>
      <c r="E62" s="13">
        <v>190.39400000000001</v>
      </c>
      <c r="F62" s="13">
        <v>-30.9</v>
      </c>
      <c r="G62" s="6">
        <v>1</v>
      </c>
      <c r="H62" s="13">
        <v>40</v>
      </c>
      <c r="I62" s="13" t="s">
        <v>36</v>
      </c>
      <c r="J62" s="13"/>
      <c r="K62" s="13">
        <v>197.23400000000001</v>
      </c>
      <c r="L62" s="13">
        <f t="shared" si="11"/>
        <v>-6.8400000000000034</v>
      </c>
      <c r="M62" s="13"/>
      <c r="N62" s="13"/>
      <c r="O62" s="13">
        <v>212.97239999999999</v>
      </c>
      <c r="P62" s="13">
        <v>0</v>
      </c>
      <c r="Q62" s="13"/>
      <c r="R62" s="13">
        <f t="shared" si="12"/>
        <v>38.078800000000001</v>
      </c>
      <c r="S62" s="4">
        <f>11*R62-Q62-O62-F62</f>
        <v>236.79440000000002</v>
      </c>
      <c r="T62" s="4">
        <f t="shared" ref="T62:T65" si="13">S62+R62*$T$1</f>
        <v>208.23530000000002</v>
      </c>
      <c r="U62" s="13">
        <f t="shared" si="6"/>
        <v>10.25</v>
      </c>
      <c r="V62" s="13">
        <f t="shared" si="7"/>
        <v>4.7814637015872341</v>
      </c>
      <c r="W62" s="13">
        <v>18.853999999999999</v>
      </c>
      <c r="X62" s="13">
        <v>16.659800000000001</v>
      </c>
      <c r="Y62" s="13">
        <v>14.296200000000001</v>
      </c>
      <c r="Z62" s="13">
        <v>17.922999999999998</v>
      </c>
      <c r="AA62" s="13">
        <v>17.2974</v>
      </c>
      <c r="AB62" s="13">
        <v>4.2414000000000014</v>
      </c>
      <c r="AC62" s="13">
        <v>8.469199999999999</v>
      </c>
      <c r="AD62" s="13">
        <v>20.630199999999999</v>
      </c>
      <c r="AE62" s="13">
        <v>17.4864</v>
      </c>
      <c r="AF62" s="13">
        <v>11.520799999999999</v>
      </c>
      <c r="AG62" s="13"/>
      <c r="AH62" s="13">
        <f t="shared" si="8"/>
        <v>208</v>
      </c>
    </row>
    <row r="63" spans="1:34" x14ac:dyDescent="0.25">
      <c r="A63" s="13" t="s">
        <v>134</v>
      </c>
      <c r="B63" s="13" t="s">
        <v>35</v>
      </c>
      <c r="C63" s="13">
        <v>15.819000000000001</v>
      </c>
      <c r="D63" s="13">
        <v>101.815</v>
      </c>
      <c r="E63" s="13">
        <v>86.363</v>
      </c>
      <c r="F63" s="13">
        <v>-3.6920000000000002</v>
      </c>
      <c r="G63" s="6">
        <v>1</v>
      </c>
      <c r="H63" s="13">
        <v>40</v>
      </c>
      <c r="I63" s="13" t="s">
        <v>36</v>
      </c>
      <c r="J63" s="13"/>
      <c r="K63" s="13">
        <v>107.84699999999999</v>
      </c>
      <c r="L63" s="13">
        <f t="shared" si="11"/>
        <v>-21.483999999999995</v>
      </c>
      <c r="M63" s="13"/>
      <c r="N63" s="13"/>
      <c r="O63" s="13">
        <v>20.186999999999991</v>
      </c>
      <c r="P63" s="13">
        <v>0</v>
      </c>
      <c r="Q63" s="13"/>
      <c r="R63" s="13">
        <f t="shared" si="12"/>
        <v>17.272600000000001</v>
      </c>
      <c r="S63" s="4">
        <f>8*R63-Q63-O63-F63</f>
        <v>121.68580000000003</v>
      </c>
      <c r="T63" s="4">
        <f t="shared" si="13"/>
        <v>108.73135000000002</v>
      </c>
      <c r="U63" s="13">
        <f t="shared" si="6"/>
        <v>7.25</v>
      </c>
      <c r="V63" s="13">
        <f t="shared" si="7"/>
        <v>0.95498072091057451</v>
      </c>
      <c r="W63" s="13">
        <v>5.9125999999999994</v>
      </c>
      <c r="X63" s="13">
        <v>4.6542000000000003</v>
      </c>
      <c r="Y63" s="13">
        <v>3.8302</v>
      </c>
      <c r="Z63" s="13">
        <v>5.4445999999999994</v>
      </c>
      <c r="AA63" s="13">
        <v>7.3133999999999997</v>
      </c>
      <c r="AB63" s="13">
        <v>8.4963999999999995</v>
      </c>
      <c r="AC63" s="13">
        <v>5.2677999999999994</v>
      </c>
      <c r="AD63" s="13">
        <v>2.68</v>
      </c>
      <c r="AE63" s="13">
        <v>5.5876000000000001</v>
      </c>
      <c r="AF63" s="13">
        <v>5.6307999999999998</v>
      </c>
      <c r="AG63" s="13" t="s">
        <v>135</v>
      </c>
      <c r="AH63" s="13">
        <f t="shared" si="8"/>
        <v>109</v>
      </c>
    </row>
    <row r="64" spans="1:34" x14ac:dyDescent="0.25">
      <c r="A64" s="13" t="s">
        <v>137</v>
      </c>
      <c r="B64" s="13" t="s">
        <v>44</v>
      </c>
      <c r="C64" s="13">
        <v>542</v>
      </c>
      <c r="D64" s="13">
        <v>973</v>
      </c>
      <c r="E64" s="13">
        <v>482</v>
      </c>
      <c r="F64" s="13">
        <v>702</v>
      </c>
      <c r="G64" s="6">
        <v>0.4</v>
      </c>
      <c r="H64" s="13">
        <v>40</v>
      </c>
      <c r="I64" s="13" t="s">
        <v>36</v>
      </c>
      <c r="J64" s="13"/>
      <c r="K64" s="13">
        <v>535</v>
      </c>
      <c r="L64" s="13">
        <f t="shared" si="11"/>
        <v>-53</v>
      </c>
      <c r="M64" s="13"/>
      <c r="N64" s="13"/>
      <c r="O64" s="13">
        <v>72.605999999999611</v>
      </c>
      <c r="P64" s="13">
        <v>0</v>
      </c>
      <c r="Q64" s="13"/>
      <c r="R64" s="13">
        <f t="shared" si="12"/>
        <v>96.4</v>
      </c>
      <c r="S64" s="4">
        <f>11*R64-Q64-O64-F64</f>
        <v>285.79400000000044</v>
      </c>
      <c r="T64" s="4">
        <f t="shared" si="13"/>
        <v>213.49400000000043</v>
      </c>
      <c r="U64" s="13">
        <f t="shared" si="6"/>
        <v>10.25</v>
      </c>
      <c r="V64" s="13">
        <f t="shared" si="7"/>
        <v>8.035331950207464</v>
      </c>
      <c r="W64" s="13">
        <v>76.2</v>
      </c>
      <c r="X64" s="13">
        <v>89.8</v>
      </c>
      <c r="Y64" s="13">
        <v>109.4</v>
      </c>
      <c r="Z64" s="13">
        <v>105.6</v>
      </c>
      <c r="AA64" s="13">
        <v>92.6</v>
      </c>
      <c r="AB64" s="13">
        <v>65.8</v>
      </c>
      <c r="AC64" s="13">
        <v>9.1999999999999993</v>
      </c>
      <c r="AD64" s="13">
        <v>52.6</v>
      </c>
      <c r="AE64" s="13">
        <v>111.4</v>
      </c>
      <c r="AF64" s="13">
        <v>104.6</v>
      </c>
      <c r="AG64" s="13"/>
      <c r="AH64" s="13">
        <f t="shared" si="8"/>
        <v>85</v>
      </c>
    </row>
    <row r="65" spans="1:34" x14ac:dyDescent="0.25">
      <c r="A65" s="13" t="s">
        <v>139</v>
      </c>
      <c r="B65" s="13" t="s">
        <v>44</v>
      </c>
      <c r="C65" s="13">
        <v>476</v>
      </c>
      <c r="D65" s="13">
        <v>104</v>
      </c>
      <c r="E65" s="13">
        <v>335</v>
      </c>
      <c r="F65" s="13">
        <v>150</v>
      </c>
      <c r="G65" s="6">
        <v>0.4</v>
      </c>
      <c r="H65" s="13">
        <v>40</v>
      </c>
      <c r="I65" s="15" t="s">
        <v>75</v>
      </c>
      <c r="J65" s="13"/>
      <c r="K65" s="13">
        <v>361</v>
      </c>
      <c r="L65" s="13">
        <f t="shared" si="11"/>
        <v>-26</v>
      </c>
      <c r="M65" s="13"/>
      <c r="N65" s="13"/>
      <c r="O65" s="13">
        <v>120</v>
      </c>
      <c r="P65" s="13">
        <v>0</v>
      </c>
      <c r="Q65" s="13"/>
      <c r="R65" s="13">
        <f t="shared" si="12"/>
        <v>67</v>
      </c>
      <c r="S65" s="4">
        <v>150</v>
      </c>
      <c r="T65" s="4">
        <f t="shared" si="13"/>
        <v>99.75</v>
      </c>
      <c r="U65" s="13">
        <f t="shared" si="6"/>
        <v>5.5186567164179108</v>
      </c>
      <c r="V65" s="13">
        <f t="shared" si="7"/>
        <v>4.0298507462686564</v>
      </c>
      <c r="W65" s="13">
        <v>23</v>
      </c>
      <c r="X65" s="13">
        <v>6</v>
      </c>
      <c r="Y65" s="13">
        <v>53.4</v>
      </c>
      <c r="Z65" s="13">
        <v>72</v>
      </c>
      <c r="AA65" s="13">
        <v>66.2</v>
      </c>
      <c r="AB65" s="13">
        <v>60.8</v>
      </c>
      <c r="AC65" s="13">
        <v>62.2</v>
      </c>
      <c r="AD65" s="13">
        <v>77.400000000000006</v>
      </c>
      <c r="AE65" s="13">
        <v>76.8</v>
      </c>
      <c r="AF65" s="13">
        <v>71.2</v>
      </c>
      <c r="AG65" s="13"/>
      <c r="AH65" s="13">
        <f t="shared" si="8"/>
        <v>40</v>
      </c>
    </row>
    <row r="66" spans="1:34" x14ac:dyDescent="0.25">
      <c r="A66" s="13" t="s">
        <v>141</v>
      </c>
      <c r="B66" s="13" t="s">
        <v>35</v>
      </c>
      <c r="C66" s="13">
        <v>129.72999999999999</v>
      </c>
      <c r="D66" s="13">
        <v>234.02199999999999</v>
      </c>
      <c r="E66" s="13">
        <v>102.68</v>
      </c>
      <c r="F66" s="13">
        <v>226.244</v>
      </c>
      <c r="G66" s="6">
        <v>1</v>
      </c>
      <c r="H66" s="13">
        <v>40</v>
      </c>
      <c r="I66" s="13" t="s">
        <v>36</v>
      </c>
      <c r="J66" s="13"/>
      <c r="K66" s="13">
        <v>113.3</v>
      </c>
      <c r="L66" s="13">
        <f t="shared" si="11"/>
        <v>-10.61999999999999</v>
      </c>
      <c r="M66" s="13"/>
      <c r="N66" s="13"/>
      <c r="O66" s="13">
        <v>0</v>
      </c>
      <c r="P66" s="13"/>
      <c r="Q66" s="13"/>
      <c r="R66" s="13">
        <f t="shared" si="12"/>
        <v>20.536000000000001</v>
      </c>
      <c r="S66" s="4"/>
      <c r="T66" s="4">
        <f t="shared" si="5"/>
        <v>0</v>
      </c>
      <c r="U66" s="13">
        <f t="shared" si="6"/>
        <v>11.016945851188156</v>
      </c>
      <c r="V66" s="13">
        <f t="shared" si="7"/>
        <v>11.016945851188156</v>
      </c>
      <c r="W66" s="13">
        <v>16.688199999999998</v>
      </c>
      <c r="X66" s="13">
        <v>22.345800000000001</v>
      </c>
      <c r="Y66" s="13">
        <v>30.636800000000001</v>
      </c>
      <c r="Z66" s="13">
        <v>29.345600000000001</v>
      </c>
      <c r="AA66" s="13">
        <v>27.9176</v>
      </c>
      <c r="AB66" s="13">
        <v>32.401799999999987</v>
      </c>
      <c r="AC66" s="13">
        <v>36.8142</v>
      </c>
      <c r="AD66" s="13">
        <v>33.589199999999998</v>
      </c>
      <c r="AE66" s="13">
        <v>33.845399999999998</v>
      </c>
      <c r="AF66" s="13">
        <v>30.9146</v>
      </c>
      <c r="AG66" s="13"/>
      <c r="AH66" s="13">
        <f t="shared" si="8"/>
        <v>0</v>
      </c>
    </row>
    <row r="67" spans="1:34" x14ac:dyDescent="0.25">
      <c r="A67" s="13" t="s">
        <v>142</v>
      </c>
      <c r="B67" s="13" t="s">
        <v>35</v>
      </c>
      <c r="C67" s="13">
        <v>251.833</v>
      </c>
      <c r="D67" s="13">
        <v>87.846000000000004</v>
      </c>
      <c r="E67" s="13">
        <v>105.908</v>
      </c>
      <c r="F67" s="13">
        <v>223.03399999999999</v>
      </c>
      <c r="G67" s="6">
        <v>1</v>
      </c>
      <c r="H67" s="13">
        <v>40</v>
      </c>
      <c r="I67" s="13" t="s">
        <v>36</v>
      </c>
      <c r="J67" s="13"/>
      <c r="K67" s="13">
        <v>109.71</v>
      </c>
      <c r="L67" s="13">
        <f t="shared" si="11"/>
        <v>-3.8019999999999925</v>
      </c>
      <c r="M67" s="13"/>
      <c r="N67" s="13"/>
      <c r="O67" s="13">
        <v>12.459599999999989</v>
      </c>
      <c r="P67" s="13">
        <v>-16.2</v>
      </c>
      <c r="Q67" s="13"/>
      <c r="R67" s="13">
        <f t="shared" si="12"/>
        <v>21.1816</v>
      </c>
      <c r="S67" s="4">
        <v>20</v>
      </c>
      <c r="T67" s="4">
        <f t="shared" si="5"/>
        <v>20</v>
      </c>
      <c r="U67" s="13">
        <f t="shared" si="6"/>
        <v>11.297239113192582</v>
      </c>
      <c r="V67" s="13">
        <f t="shared" si="7"/>
        <v>10.353023378781584</v>
      </c>
      <c r="W67" s="13">
        <v>16.5672</v>
      </c>
      <c r="X67" s="13">
        <v>20.6828</v>
      </c>
      <c r="Y67" s="13">
        <v>25.505199999999999</v>
      </c>
      <c r="Z67" s="13">
        <v>30.630400000000002</v>
      </c>
      <c r="AA67" s="13">
        <v>35.2286</v>
      </c>
      <c r="AB67" s="13">
        <v>27.577400000000001</v>
      </c>
      <c r="AC67" s="13">
        <v>23.778400000000001</v>
      </c>
      <c r="AD67" s="13">
        <v>29.741199999999999</v>
      </c>
      <c r="AE67" s="13">
        <v>31.115600000000001</v>
      </c>
      <c r="AF67" s="13">
        <v>35.332799999999999</v>
      </c>
      <c r="AG67" s="13"/>
      <c r="AH67" s="13">
        <f t="shared" si="8"/>
        <v>20</v>
      </c>
    </row>
    <row r="68" spans="1:34" x14ac:dyDescent="0.25">
      <c r="A68" s="13" t="s">
        <v>144</v>
      </c>
      <c r="B68" s="13" t="s">
        <v>35</v>
      </c>
      <c r="C68" s="13">
        <v>491.05099999999999</v>
      </c>
      <c r="D68" s="13">
        <v>250.60900000000001</v>
      </c>
      <c r="E68" s="13">
        <v>600.19600000000003</v>
      </c>
      <c r="F68" s="13">
        <v>29.658000000000001</v>
      </c>
      <c r="G68" s="6">
        <v>1</v>
      </c>
      <c r="H68" s="13">
        <v>40</v>
      </c>
      <c r="I68" s="13" t="s">
        <v>36</v>
      </c>
      <c r="J68" s="13"/>
      <c r="K68" s="13">
        <v>654.20000000000005</v>
      </c>
      <c r="L68" s="13">
        <f t="shared" si="11"/>
        <v>-54.004000000000019</v>
      </c>
      <c r="M68" s="13"/>
      <c r="N68" s="13"/>
      <c r="O68" s="13">
        <v>232.88574199999979</v>
      </c>
      <c r="P68" s="13">
        <v>0</v>
      </c>
      <c r="Q68" s="18"/>
      <c r="R68" s="13">
        <f t="shared" si="12"/>
        <v>120.03920000000001</v>
      </c>
      <c r="S68" s="4">
        <f>8*R68-Q68-O68-F68</f>
        <v>697.76985800000023</v>
      </c>
      <c r="T68" s="4">
        <f>S68+R68*$T$1</f>
        <v>607.74045800000022</v>
      </c>
      <c r="U68" s="13">
        <f t="shared" si="6"/>
        <v>7.25</v>
      </c>
      <c r="V68" s="13">
        <f t="shared" si="7"/>
        <v>2.1871500476510986</v>
      </c>
      <c r="W68" s="13">
        <v>49.153199999999998</v>
      </c>
      <c r="X68" s="13">
        <v>53.758000000000003</v>
      </c>
      <c r="Y68" s="13">
        <v>60.426599999999993</v>
      </c>
      <c r="Z68" s="13">
        <v>71.873000000000005</v>
      </c>
      <c r="AA68" s="13">
        <v>68.0488</v>
      </c>
      <c r="AB68" s="13">
        <v>44.416800000000002</v>
      </c>
      <c r="AC68" s="13">
        <v>80.647599999999997</v>
      </c>
      <c r="AD68" s="13">
        <v>104.0168</v>
      </c>
      <c r="AE68" s="13">
        <v>79.371600000000001</v>
      </c>
      <c r="AF68" s="13">
        <v>74.468199999999996</v>
      </c>
      <c r="AG68" s="13"/>
      <c r="AH68" s="13">
        <f t="shared" si="8"/>
        <v>608</v>
      </c>
    </row>
    <row r="69" spans="1:34" x14ac:dyDescent="0.25">
      <c r="A69" s="13" t="s">
        <v>146</v>
      </c>
      <c r="B69" s="13" t="s">
        <v>35</v>
      </c>
      <c r="C69" s="13">
        <v>384.661</v>
      </c>
      <c r="D69" s="13">
        <v>5.5209999999999999</v>
      </c>
      <c r="E69" s="13">
        <v>127.345</v>
      </c>
      <c r="F69" s="13">
        <v>202.87200000000001</v>
      </c>
      <c r="G69" s="6">
        <v>1</v>
      </c>
      <c r="H69" s="13">
        <v>40</v>
      </c>
      <c r="I69" s="13" t="s">
        <v>36</v>
      </c>
      <c r="J69" s="13"/>
      <c r="K69" s="13">
        <v>143.19999999999999</v>
      </c>
      <c r="L69" s="13">
        <f t="shared" si="11"/>
        <v>-15.85499999999999</v>
      </c>
      <c r="M69" s="13"/>
      <c r="N69" s="13"/>
      <c r="O69" s="13">
        <v>36.567</v>
      </c>
      <c r="P69" s="13">
        <v>0</v>
      </c>
      <c r="Q69" s="13"/>
      <c r="R69" s="13">
        <f t="shared" si="12"/>
        <v>25.469000000000001</v>
      </c>
      <c r="S69" s="4">
        <f>11*R69-Q69-O69-F69</f>
        <v>40.71999999999997</v>
      </c>
      <c r="T69" s="4">
        <f t="shared" si="5"/>
        <v>40.71999999999997</v>
      </c>
      <c r="U69" s="13">
        <f t="shared" si="6"/>
        <v>11</v>
      </c>
      <c r="V69" s="13">
        <f t="shared" si="7"/>
        <v>9.4011936079155056</v>
      </c>
      <c r="W69" s="13">
        <v>24.119199999999999</v>
      </c>
      <c r="X69" s="13">
        <v>27.015599999999999</v>
      </c>
      <c r="Y69" s="13">
        <v>23.341799999999999</v>
      </c>
      <c r="Z69" s="13">
        <v>16.409400000000002</v>
      </c>
      <c r="AA69" s="13">
        <v>37.777799999999999</v>
      </c>
      <c r="AB69" s="13">
        <v>58.898200000000003</v>
      </c>
      <c r="AC69" s="13">
        <v>45.1404</v>
      </c>
      <c r="AD69" s="13">
        <v>32.860199999999999</v>
      </c>
      <c r="AE69" s="13">
        <v>31.357600000000001</v>
      </c>
      <c r="AF69" s="13">
        <v>34.3932</v>
      </c>
      <c r="AG69" s="13"/>
      <c r="AH69" s="13">
        <f t="shared" si="8"/>
        <v>41</v>
      </c>
    </row>
    <row r="70" spans="1:34" x14ac:dyDescent="0.25">
      <c r="A70" s="10" t="s">
        <v>148</v>
      </c>
      <c r="B70" s="10" t="s">
        <v>44</v>
      </c>
      <c r="C70" s="10"/>
      <c r="D70" s="10"/>
      <c r="E70" s="10"/>
      <c r="F70" s="10"/>
      <c r="G70" s="11">
        <v>0</v>
      </c>
      <c r="H70" s="10"/>
      <c r="I70" s="10" t="s">
        <v>36</v>
      </c>
      <c r="J70" s="10"/>
      <c r="K70" s="10"/>
      <c r="L70" s="10">
        <f t="shared" ref="L70:L101" si="14">E70-K70</f>
        <v>0</v>
      </c>
      <c r="M70" s="10"/>
      <c r="N70" s="10"/>
      <c r="O70" s="10">
        <v>0</v>
      </c>
      <c r="P70" s="10"/>
      <c r="Q70" s="10"/>
      <c r="R70" s="10">
        <f t="shared" ref="R70:R101" si="15">E70/5</f>
        <v>0</v>
      </c>
      <c r="S70" s="12"/>
      <c r="T70" s="4">
        <f t="shared" si="5"/>
        <v>0</v>
      </c>
      <c r="U70" s="13" t="e">
        <f t="shared" si="6"/>
        <v>#DIV/0!</v>
      </c>
      <c r="V70" s="10" t="e">
        <f t="shared" si="7"/>
        <v>#DIV/0!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 t="s">
        <v>45</v>
      </c>
      <c r="AH70" s="13">
        <f t="shared" si="8"/>
        <v>0</v>
      </c>
    </row>
    <row r="71" spans="1:34" x14ac:dyDescent="0.25">
      <c r="A71" s="13" t="s">
        <v>149</v>
      </c>
      <c r="B71" s="13" t="s">
        <v>35</v>
      </c>
      <c r="C71" s="13">
        <v>223.93799999999999</v>
      </c>
      <c r="D71" s="13">
        <v>103.04600000000001</v>
      </c>
      <c r="E71" s="13">
        <v>177.89699999999999</v>
      </c>
      <c r="F71" s="13">
        <v>65.674000000000007</v>
      </c>
      <c r="G71" s="6">
        <v>1</v>
      </c>
      <c r="H71" s="13">
        <v>30</v>
      </c>
      <c r="I71" s="13" t="s">
        <v>36</v>
      </c>
      <c r="J71" s="13"/>
      <c r="K71" s="13">
        <v>205.99</v>
      </c>
      <c r="L71" s="13">
        <f t="shared" si="14"/>
        <v>-28.093000000000018</v>
      </c>
      <c r="M71" s="13"/>
      <c r="N71" s="13"/>
      <c r="O71" s="13">
        <v>152.005</v>
      </c>
      <c r="P71" s="13">
        <v>0</v>
      </c>
      <c r="Q71" s="13"/>
      <c r="R71" s="13">
        <f t="shared" si="15"/>
        <v>35.5794</v>
      </c>
      <c r="S71" s="4">
        <f>11*R71-Q71-O71-F71</f>
        <v>173.6944</v>
      </c>
      <c r="T71" s="4">
        <f>S71+R71*$T$1</f>
        <v>147.00985</v>
      </c>
      <c r="U71" s="13">
        <f t="shared" ref="U71:U131" si="16">(F71+O71+Q71+T71+P71)/R71</f>
        <v>10.25</v>
      </c>
      <c r="V71" s="13">
        <f t="shared" ref="V71:V131" si="17">(F71+O71+Q71+P71)/R71</f>
        <v>6.1181189115049719</v>
      </c>
      <c r="W71" s="13">
        <v>22.786799999999999</v>
      </c>
      <c r="X71" s="13">
        <v>21.472200000000001</v>
      </c>
      <c r="Y71" s="13">
        <v>26.0868</v>
      </c>
      <c r="Z71" s="13">
        <v>29.864999999999998</v>
      </c>
      <c r="AA71" s="13">
        <v>35.738799999999998</v>
      </c>
      <c r="AB71" s="13">
        <v>40.323999999999977</v>
      </c>
      <c r="AC71" s="13">
        <v>35.8322</v>
      </c>
      <c r="AD71" s="13">
        <v>35.826999999999998</v>
      </c>
      <c r="AE71" s="13">
        <v>37.896599999999999</v>
      </c>
      <c r="AF71" s="13">
        <v>39.866</v>
      </c>
      <c r="AG71" s="13"/>
      <c r="AH71" s="13">
        <f t="shared" ref="AH71:AH131" si="18">ROUND(G71*T71,0)</f>
        <v>147</v>
      </c>
    </row>
    <row r="72" spans="1:34" x14ac:dyDescent="0.25">
      <c r="A72" s="13" t="s">
        <v>151</v>
      </c>
      <c r="B72" s="13" t="s">
        <v>44</v>
      </c>
      <c r="C72" s="13">
        <v>52</v>
      </c>
      <c r="D72" s="13">
        <v>209</v>
      </c>
      <c r="E72" s="13">
        <v>49</v>
      </c>
      <c r="F72" s="13">
        <v>186</v>
      </c>
      <c r="G72" s="6">
        <v>0.6</v>
      </c>
      <c r="H72" s="13">
        <v>60</v>
      </c>
      <c r="I72" s="13" t="s">
        <v>36</v>
      </c>
      <c r="J72" s="13"/>
      <c r="K72" s="13">
        <v>73</v>
      </c>
      <c r="L72" s="13">
        <f t="shared" si="14"/>
        <v>-24</v>
      </c>
      <c r="M72" s="13"/>
      <c r="N72" s="13"/>
      <c r="O72" s="13">
        <v>42.599999999999987</v>
      </c>
      <c r="P72" s="13">
        <v>0</v>
      </c>
      <c r="Q72" s="13"/>
      <c r="R72" s="13">
        <f t="shared" si="15"/>
        <v>9.8000000000000007</v>
      </c>
      <c r="S72" s="4"/>
      <c r="T72" s="4">
        <f t="shared" ref="T72:T131" si="19">S72</f>
        <v>0</v>
      </c>
      <c r="U72" s="13">
        <f t="shared" si="16"/>
        <v>23.326530612244895</v>
      </c>
      <c r="V72" s="13">
        <f t="shared" si="17"/>
        <v>23.326530612244895</v>
      </c>
      <c r="W72" s="13">
        <v>15.2</v>
      </c>
      <c r="X72" s="13">
        <v>27</v>
      </c>
      <c r="Y72" s="13">
        <v>26.6</v>
      </c>
      <c r="Z72" s="13">
        <v>13.2</v>
      </c>
      <c r="AA72" s="13">
        <v>11.8</v>
      </c>
      <c r="AB72" s="13">
        <v>20.399999999999999</v>
      </c>
      <c r="AC72" s="13">
        <v>20.2</v>
      </c>
      <c r="AD72" s="13">
        <v>18.8</v>
      </c>
      <c r="AE72" s="13">
        <v>23.4</v>
      </c>
      <c r="AF72" s="13">
        <v>19.2</v>
      </c>
      <c r="AG72" s="13"/>
      <c r="AH72" s="13">
        <f t="shared" si="18"/>
        <v>0</v>
      </c>
    </row>
    <row r="73" spans="1:34" x14ac:dyDescent="0.25">
      <c r="A73" s="13" t="s">
        <v>153</v>
      </c>
      <c r="B73" s="13" t="s">
        <v>44</v>
      </c>
      <c r="C73" s="13">
        <v>218</v>
      </c>
      <c r="D73" s="13">
        <v>403</v>
      </c>
      <c r="E73" s="13">
        <v>139</v>
      </c>
      <c r="F73" s="13">
        <v>359</v>
      </c>
      <c r="G73" s="6">
        <v>0.6</v>
      </c>
      <c r="H73" s="13">
        <v>60</v>
      </c>
      <c r="I73" s="13" t="s">
        <v>36</v>
      </c>
      <c r="J73" s="13"/>
      <c r="K73" s="13">
        <v>130</v>
      </c>
      <c r="L73" s="13">
        <f t="shared" si="14"/>
        <v>9</v>
      </c>
      <c r="M73" s="13"/>
      <c r="N73" s="13"/>
      <c r="O73" s="13">
        <v>0</v>
      </c>
      <c r="P73" s="13"/>
      <c r="Q73" s="13"/>
      <c r="R73" s="13">
        <f t="shared" si="15"/>
        <v>27.8</v>
      </c>
      <c r="S73" s="4"/>
      <c r="T73" s="4">
        <f t="shared" si="19"/>
        <v>0</v>
      </c>
      <c r="U73" s="13">
        <f t="shared" si="16"/>
        <v>12.913669064748202</v>
      </c>
      <c r="V73" s="13">
        <f t="shared" si="17"/>
        <v>12.913669064748202</v>
      </c>
      <c r="W73" s="13">
        <v>15.2</v>
      </c>
      <c r="X73" s="13">
        <v>26.6</v>
      </c>
      <c r="Y73" s="13">
        <v>40.799999999999997</v>
      </c>
      <c r="Z73" s="13">
        <v>41.2</v>
      </c>
      <c r="AA73" s="13">
        <v>32.6</v>
      </c>
      <c r="AB73" s="13">
        <v>37.200000000000003</v>
      </c>
      <c r="AC73" s="13">
        <v>36.200000000000003</v>
      </c>
      <c r="AD73" s="13">
        <v>28.2</v>
      </c>
      <c r="AE73" s="13">
        <v>30.8</v>
      </c>
      <c r="AF73" s="13">
        <v>32</v>
      </c>
      <c r="AG73" s="9" t="s">
        <v>58</v>
      </c>
      <c r="AH73" s="13">
        <f t="shared" si="18"/>
        <v>0</v>
      </c>
    </row>
    <row r="74" spans="1:34" x14ac:dyDescent="0.25">
      <c r="A74" s="13" t="s">
        <v>154</v>
      </c>
      <c r="B74" s="13" t="s">
        <v>44</v>
      </c>
      <c r="C74" s="13">
        <v>145</v>
      </c>
      <c r="D74" s="13">
        <v>131</v>
      </c>
      <c r="E74" s="13">
        <v>99</v>
      </c>
      <c r="F74" s="13">
        <v>104</v>
      </c>
      <c r="G74" s="6">
        <v>0.4</v>
      </c>
      <c r="H74" s="13">
        <v>90</v>
      </c>
      <c r="I74" s="13" t="s">
        <v>36</v>
      </c>
      <c r="J74" s="13"/>
      <c r="K74" s="13">
        <v>99</v>
      </c>
      <c r="L74" s="13">
        <f t="shared" si="14"/>
        <v>0</v>
      </c>
      <c r="M74" s="13"/>
      <c r="N74" s="13"/>
      <c r="O74" s="13">
        <v>109.4</v>
      </c>
      <c r="P74" s="13">
        <v>0</v>
      </c>
      <c r="Q74" s="13"/>
      <c r="R74" s="13">
        <f t="shared" si="15"/>
        <v>19.8</v>
      </c>
      <c r="S74" s="4">
        <v>10</v>
      </c>
      <c r="T74" s="4">
        <f t="shared" si="19"/>
        <v>10</v>
      </c>
      <c r="U74" s="13">
        <f t="shared" si="16"/>
        <v>11.282828282828282</v>
      </c>
      <c r="V74" s="13">
        <f t="shared" si="17"/>
        <v>10.777777777777777</v>
      </c>
      <c r="W74" s="13">
        <v>17.600000000000001</v>
      </c>
      <c r="X74" s="13">
        <v>13.6</v>
      </c>
      <c r="Y74" s="13">
        <v>19</v>
      </c>
      <c r="Z74" s="13">
        <v>22.6</v>
      </c>
      <c r="AA74" s="13">
        <v>21.8</v>
      </c>
      <c r="AB74" s="13">
        <v>17.8</v>
      </c>
      <c r="AC74" s="13">
        <v>17.2</v>
      </c>
      <c r="AD74" s="13">
        <v>23.2</v>
      </c>
      <c r="AE74" s="13">
        <v>27</v>
      </c>
      <c r="AF74" s="13">
        <v>24.4</v>
      </c>
      <c r="AG74" s="13"/>
      <c r="AH74" s="13">
        <f t="shared" si="18"/>
        <v>4</v>
      </c>
    </row>
    <row r="75" spans="1:34" x14ac:dyDescent="0.25">
      <c r="A75" s="13" t="s">
        <v>156</v>
      </c>
      <c r="B75" s="13" t="s">
        <v>44</v>
      </c>
      <c r="C75" s="13">
        <v>160</v>
      </c>
      <c r="D75" s="13">
        <v>248</v>
      </c>
      <c r="E75" s="13">
        <v>191</v>
      </c>
      <c r="F75" s="13">
        <v>142</v>
      </c>
      <c r="G75" s="6">
        <v>0.33</v>
      </c>
      <c r="H75" s="13">
        <v>60</v>
      </c>
      <c r="I75" s="13" t="s">
        <v>36</v>
      </c>
      <c r="J75" s="13"/>
      <c r="K75" s="13">
        <v>187</v>
      </c>
      <c r="L75" s="13">
        <f t="shared" si="14"/>
        <v>4</v>
      </c>
      <c r="M75" s="13"/>
      <c r="N75" s="13"/>
      <c r="O75" s="13">
        <v>264.20000000000022</v>
      </c>
      <c r="P75" s="13">
        <v>0</v>
      </c>
      <c r="Q75" s="13"/>
      <c r="R75" s="13">
        <f t="shared" si="15"/>
        <v>38.200000000000003</v>
      </c>
      <c r="S75" s="4">
        <f>11*R75-Q75-O75-F75</f>
        <v>13.999999999999829</v>
      </c>
      <c r="T75" s="4">
        <f t="shared" si="19"/>
        <v>13.999999999999829</v>
      </c>
      <c r="U75" s="13">
        <f t="shared" si="16"/>
        <v>11</v>
      </c>
      <c r="V75" s="13">
        <f t="shared" si="17"/>
        <v>10.633507853403147</v>
      </c>
      <c r="W75" s="13">
        <v>31.8</v>
      </c>
      <c r="X75" s="13">
        <v>24.8</v>
      </c>
      <c r="Y75" s="13">
        <v>29.4</v>
      </c>
      <c r="Z75" s="13">
        <v>26.2</v>
      </c>
      <c r="AA75" s="13">
        <v>28.6</v>
      </c>
      <c r="AB75" s="13">
        <v>30.2</v>
      </c>
      <c r="AC75" s="13">
        <v>28.8</v>
      </c>
      <c r="AD75" s="13">
        <v>29.6</v>
      </c>
      <c r="AE75" s="13">
        <v>27.4</v>
      </c>
      <c r="AF75" s="13">
        <v>29.6</v>
      </c>
      <c r="AG75" s="13"/>
      <c r="AH75" s="13">
        <f t="shared" si="18"/>
        <v>5</v>
      </c>
    </row>
    <row r="76" spans="1:34" x14ac:dyDescent="0.25">
      <c r="A76" s="13" t="s">
        <v>158</v>
      </c>
      <c r="B76" s="13" t="s">
        <v>44</v>
      </c>
      <c r="C76" s="13">
        <v>194</v>
      </c>
      <c r="D76" s="13">
        <v>118</v>
      </c>
      <c r="E76" s="13">
        <v>163</v>
      </c>
      <c r="F76" s="13">
        <v>105</v>
      </c>
      <c r="G76" s="6">
        <v>0.35</v>
      </c>
      <c r="H76" s="13">
        <v>90</v>
      </c>
      <c r="I76" s="13" t="s">
        <v>36</v>
      </c>
      <c r="J76" s="13"/>
      <c r="K76" s="13">
        <v>161</v>
      </c>
      <c r="L76" s="13">
        <f t="shared" si="14"/>
        <v>2</v>
      </c>
      <c r="M76" s="13"/>
      <c r="N76" s="13"/>
      <c r="O76" s="13">
        <v>291.79999999999978</v>
      </c>
      <c r="P76" s="13">
        <v>0</v>
      </c>
      <c r="Q76" s="13"/>
      <c r="R76" s="13">
        <f t="shared" si="15"/>
        <v>32.6</v>
      </c>
      <c r="S76" s="4"/>
      <c r="T76" s="4">
        <f t="shared" si="19"/>
        <v>0</v>
      </c>
      <c r="U76" s="13">
        <f t="shared" si="16"/>
        <v>12.171779141104288</v>
      </c>
      <c r="V76" s="13">
        <f t="shared" si="17"/>
        <v>12.171779141104288</v>
      </c>
      <c r="W76" s="13">
        <v>30.2</v>
      </c>
      <c r="X76" s="13">
        <v>21.8</v>
      </c>
      <c r="Y76" s="13">
        <v>25.6</v>
      </c>
      <c r="Z76" s="13">
        <v>22</v>
      </c>
      <c r="AA76" s="13">
        <v>30.2</v>
      </c>
      <c r="AB76" s="13">
        <v>31</v>
      </c>
      <c r="AC76" s="13">
        <v>18.600000000000001</v>
      </c>
      <c r="AD76" s="13">
        <v>26.4</v>
      </c>
      <c r="AE76" s="13">
        <v>40</v>
      </c>
      <c r="AF76" s="13">
        <v>36.4</v>
      </c>
      <c r="AG76" s="13"/>
      <c r="AH76" s="13">
        <f t="shared" si="18"/>
        <v>0</v>
      </c>
    </row>
    <row r="77" spans="1:34" x14ac:dyDescent="0.25">
      <c r="A77" s="10" t="s">
        <v>160</v>
      </c>
      <c r="B77" s="10" t="s">
        <v>44</v>
      </c>
      <c r="C77" s="10"/>
      <c r="D77" s="10"/>
      <c r="E77" s="10"/>
      <c r="F77" s="10"/>
      <c r="G77" s="11">
        <v>0</v>
      </c>
      <c r="H77" s="10"/>
      <c r="I77" s="10" t="s">
        <v>36</v>
      </c>
      <c r="J77" s="10"/>
      <c r="K77" s="10"/>
      <c r="L77" s="10">
        <f t="shared" si="14"/>
        <v>0</v>
      </c>
      <c r="M77" s="10"/>
      <c r="N77" s="10"/>
      <c r="O77" s="10">
        <v>0</v>
      </c>
      <c r="P77" s="10"/>
      <c r="Q77" s="10"/>
      <c r="R77" s="10">
        <f t="shared" si="15"/>
        <v>0</v>
      </c>
      <c r="S77" s="12"/>
      <c r="T77" s="4">
        <f t="shared" si="19"/>
        <v>0</v>
      </c>
      <c r="U77" s="13" t="e">
        <f t="shared" si="16"/>
        <v>#DIV/0!</v>
      </c>
      <c r="V77" s="10" t="e">
        <f t="shared" si="17"/>
        <v>#DIV/0!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 t="s">
        <v>45</v>
      </c>
      <c r="AH77" s="13">
        <f t="shared" si="18"/>
        <v>0</v>
      </c>
    </row>
    <row r="78" spans="1:34" x14ac:dyDescent="0.25">
      <c r="A78" s="13" t="s">
        <v>161</v>
      </c>
      <c r="B78" s="13" t="s">
        <v>44</v>
      </c>
      <c r="C78" s="13">
        <v>144</v>
      </c>
      <c r="D78" s="13">
        <v>114</v>
      </c>
      <c r="E78" s="13">
        <v>85</v>
      </c>
      <c r="F78" s="13">
        <v>155</v>
      </c>
      <c r="G78" s="6">
        <v>0.6</v>
      </c>
      <c r="H78" s="13">
        <v>70</v>
      </c>
      <c r="I78" s="13" t="s">
        <v>36</v>
      </c>
      <c r="J78" s="13"/>
      <c r="K78" s="13">
        <v>68</v>
      </c>
      <c r="L78" s="13">
        <f t="shared" si="14"/>
        <v>17</v>
      </c>
      <c r="M78" s="13"/>
      <c r="N78" s="13"/>
      <c r="O78" s="13">
        <v>0</v>
      </c>
      <c r="P78" s="13"/>
      <c r="Q78" s="13"/>
      <c r="R78" s="13">
        <f t="shared" si="15"/>
        <v>17</v>
      </c>
      <c r="S78" s="4">
        <f>11*R78-Q78-O78-F78</f>
        <v>32</v>
      </c>
      <c r="T78" s="4">
        <f t="shared" si="19"/>
        <v>32</v>
      </c>
      <c r="U78" s="13">
        <f t="shared" si="16"/>
        <v>11</v>
      </c>
      <c r="V78" s="13">
        <f t="shared" si="17"/>
        <v>9.117647058823529</v>
      </c>
      <c r="W78" s="13">
        <v>8.1999999999999993</v>
      </c>
      <c r="X78" s="13">
        <v>3</v>
      </c>
      <c r="Y78" s="13">
        <v>16</v>
      </c>
      <c r="Z78" s="13">
        <v>20.2</v>
      </c>
      <c r="AA78" s="13">
        <v>17.399999999999999</v>
      </c>
      <c r="AB78" s="13">
        <v>11.6</v>
      </c>
      <c r="AC78" s="13">
        <v>2</v>
      </c>
      <c r="AD78" s="13">
        <v>8.6</v>
      </c>
      <c r="AE78" s="13">
        <v>13.6</v>
      </c>
      <c r="AF78" s="13">
        <v>13.8</v>
      </c>
      <c r="AG78" s="13"/>
      <c r="AH78" s="13">
        <f t="shared" si="18"/>
        <v>19</v>
      </c>
    </row>
    <row r="79" spans="1:34" x14ac:dyDescent="0.25">
      <c r="A79" s="13" t="s">
        <v>162</v>
      </c>
      <c r="B79" s="13" t="s">
        <v>44</v>
      </c>
      <c r="C79" s="13">
        <v>36</v>
      </c>
      <c r="D79" s="13">
        <v>38</v>
      </c>
      <c r="E79" s="13">
        <v>34</v>
      </c>
      <c r="F79" s="13">
        <v>29</v>
      </c>
      <c r="G79" s="6">
        <v>0.33</v>
      </c>
      <c r="H79" s="13">
        <v>40</v>
      </c>
      <c r="I79" s="13" t="s">
        <v>36</v>
      </c>
      <c r="J79" s="13"/>
      <c r="K79" s="13">
        <v>45</v>
      </c>
      <c r="L79" s="13">
        <f t="shared" si="14"/>
        <v>-11</v>
      </c>
      <c r="M79" s="13"/>
      <c r="N79" s="13"/>
      <c r="O79" s="13">
        <v>118.4</v>
      </c>
      <c r="P79" s="13">
        <v>0</v>
      </c>
      <c r="Q79" s="13"/>
      <c r="R79" s="13">
        <f t="shared" si="15"/>
        <v>6.8</v>
      </c>
      <c r="S79" s="4"/>
      <c r="T79" s="4">
        <f t="shared" si="19"/>
        <v>0</v>
      </c>
      <c r="U79" s="13">
        <f t="shared" si="16"/>
        <v>21.676470588235297</v>
      </c>
      <c r="V79" s="13">
        <f t="shared" si="17"/>
        <v>21.676470588235297</v>
      </c>
      <c r="W79" s="13">
        <v>9.8000000000000007</v>
      </c>
      <c r="X79" s="13">
        <v>10.8</v>
      </c>
      <c r="Y79" s="13">
        <v>16.2</v>
      </c>
      <c r="Z79" s="13">
        <v>8.8000000000000007</v>
      </c>
      <c r="AA79" s="13">
        <v>5.4</v>
      </c>
      <c r="AB79" s="13">
        <v>11.6</v>
      </c>
      <c r="AC79" s="13">
        <v>9</v>
      </c>
      <c r="AD79" s="13">
        <v>16.2</v>
      </c>
      <c r="AE79" s="13">
        <v>13.4</v>
      </c>
      <c r="AF79" s="13">
        <v>10</v>
      </c>
      <c r="AG79" s="13"/>
      <c r="AH79" s="13">
        <f t="shared" si="18"/>
        <v>0</v>
      </c>
    </row>
    <row r="80" spans="1:34" x14ac:dyDescent="0.25">
      <c r="A80" s="13" t="s">
        <v>164</v>
      </c>
      <c r="B80" s="13" t="s">
        <v>44</v>
      </c>
      <c r="C80" s="13">
        <v>79</v>
      </c>
      <c r="D80" s="13">
        <v>10</v>
      </c>
      <c r="E80" s="13">
        <v>56</v>
      </c>
      <c r="F80" s="13">
        <v>23</v>
      </c>
      <c r="G80" s="6">
        <v>0.4</v>
      </c>
      <c r="H80" s="13">
        <v>55</v>
      </c>
      <c r="I80" s="13" t="s">
        <v>36</v>
      </c>
      <c r="J80" s="13"/>
      <c r="K80" s="13">
        <v>56</v>
      </c>
      <c r="L80" s="13">
        <f t="shared" si="14"/>
        <v>0</v>
      </c>
      <c r="M80" s="13"/>
      <c r="N80" s="13"/>
      <c r="O80" s="13">
        <v>44</v>
      </c>
      <c r="P80" s="13">
        <v>0</v>
      </c>
      <c r="Q80" s="13"/>
      <c r="R80" s="13">
        <f t="shared" si="15"/>
        <v>11.2</v>
      </c>
      <c r="S80" s="4">
        <f>11*R80-Q80-O80-F80</f>
        <v>56.199999999999989</v>
      </c>
      <c r="T80" s="4">
        <f t="shared" si="19"/>
        <v>56.199999999999989</v>
      </c>
      <c r="U80" s="13">
        <f t="shared" si="16"/>
        <v>11</v>
      </c>
      <c r="V80" s="13">
        <f t="shared" si="17"/>
        <v>5.9821428571428577</v>
      </c>
      <c r="W80" s="13">
        <v>7.2</v>
      </c>
      <c r="X80" s="13">
        <v>6</v>
      </c>
      <c r="Y80" s="13">
        <v>7.2</v>
      </c>
      <c r="Z80" s="13">
        <v>5.8</v>
      </c>
      <c r="AA80" s="13">
        <v>10.4</v>
      </c>
      <c r="AB80" s="13">
        <v>12.2</v>
      </c>
      <c r="AC80" s="13">
        <v>7.2</v>
      </c>
      <c r="AD80" s="13">
        <v>7.2</v>
      </c>
      <c r="AE80" s="13">
        <v>9.4</v>
      </c>
      <c r="AF80" s="13">
        <v>9</v>
      </c>
      <c r="AG80" s="13"/>
      <c r="AH80" s="13">
        <f t="shared" si="18"/>
        <v>22</v>
      </c>
    </row>
    <row r="81" spans="1:34" x14ac:dyDescent="0.25">
      <c r="A81" s="13" t="s">
        <v>166</v>
      </c>
      <c r="B81" s="13" t="s">
        <v>44</v>
      </c>
      <c r="C81" s="13">
        <v>19</v>
      </c>
      <c r="D81" s="13">
        <v>48</v>
      </c>
      <c r="E81" s="13">
        <v>3</v>
      </c>
      <c r="F81" s="13">
        <v>17</v>
      </c>
      <c r="G81" s="6">
        <v>0.35</v>
      </c>
      <c r="H81" s="13">
        <v>40</v>
      </c>
      <c r="I81" s="13" t="s">
        <v>36</v>
      </c>
      <c r="J81" s="13"/>
      <c r="K81" s="13">
        <v>20</v>
      </c>
      <c r="L81" s="13">
        <f t="shared" si="14"/>
        <v>-17</v>
      </c>
      <c r="M81" s="13"/>
      <c r="N81" s="13"/>
      <c r="O81" s="13">
        <v>0</v>
      </c>
      <c r="P81" s="13"/>
      <c r="Q81" s="13"/>
      <c r="R81" s="13">
        <f t="shared" si="15"/>
        <v>0.6</v>
      </c>
      <c r="S81" s="4"/>
      <c r="T81" s="4">
        <f t="shared" si="19"/>
        <v>0</v>
      </c>
      <c r="U81" s="13">
        <f t="shared" si="16"/>
        <v>28.333333333333336</v>
      </c>
      <c r="V81" s="13">
        <f t="shared" si="17"/>
        <v>28.333333333333336</v>
      </c>
      <c r="W81" s="13">
        <v>1.4</v>
      </c>
      <c r="X81" s="13">
        <v>4</v>
      </c>
      <c r="Y81" s="13">
        <v>6.8</v>
      </c>
      <c r="Z81" s="13">
        <v>6.8</v>
      </c>
      <c r="AA81" s="13">
        <v>4.4000000000000004</v>
      </c>
      <c r="AB81" s="13">
        <v>3.8</v>
      </c>
      <c r="AC81" s="13">
        <v>4.8</v>
      </c>
      <c r="AD81" s="13">
        <v>5</v>
      </c>
      <c r="AE81" s="13">
        <v>5.8</v>
      </c>
      <c r="AF81" s="13">
        <v>6.6</v>
      </c>
      <c r="AG81" s="16" t="s">
        <v>167</v>
      </c>
      <c r="AH81" s="13">
        <f t="shared" si="18"/>
        <v>0</v>
      </c>
    </row>
    <row r="82" spans="1:34" x14ac:dyDescent="0.25">
      <c r="A82" s="13" t="s">
        <v>168</v>
      </c>
      <c r="B82" s="13" t="s">
        <v>44</v>
      </c>
      <c r="C82" s="13">
        <v>239</v>
      </c>
      <c r="D82" s="13">
        <v>82</v>
      </c>
      <c r="E82" s="13">
        <v>62</v>
      </c>
      <c r="F82" s="13">
        <v>189</v>
      </c>
      <c r="G82" s="6">
        <v>0.35</v>
      </c>
      <c r="H82" s="13">
        <v>45</v>
      </c>
      <c r="I82" s="13" t="s">
        <v>36</v>
      </c>
      <c r="J82" s="13"/>
      <c r="K82" s="13">
        <v>59</v>
      </c>
      <c r="L82" s="13">
        <f t="shared" si="14"/>
        <v>3</v>
      </c>
      <c r="M82" s="13"/>
      <c r="N82" s="13"/>
      <c r="O82" s="13">
        <v>0</v>
      </c>
      <c r="P82" s="13"/>
      <c r="Q82" s="13"/>
      <c r="R82" s="13">
        <f t="shared" si="15"/>
        <v>12.4</v>
      </c>
      <c r="S82" s="4"/>
      <c r="T82" s="4">
        <f t="shared" si="19"/>
        <v>0</v>
      </c>
      <c r="U82" s="13">
        <f t="shared" si="16"/>
        <v>15.241935483870968</v>
      </c>
      <c r="V82" s="13">
        <f t="shared" si="17"/>
        <v>15.241935483870968</v>
      </c>
      <c r="W82" s="13">
        <v>5.6</v>
      </c>
      <c r="X82" s="13">
        <v>14.8</v>
      </c>
      <c r="Y82" s="13">
        <v>33</v>
      </c>
      <c r="Z82" s="13">
        <v>26</v>
      </c>
      <c r="AA82" s="13">
        <v>36.6</v>
      </c>
      <c r="AB82" s="13">
        <v>33.4</v>
      </c>
      <c r="AC82" s="13">
        <v>18.8</v>
      </c>
      <c r="AD82" s="13">
        <v>31.2</v>
      </c>
      <c r="AE82" s="13">
        <v>21.6</v>
      </c>
      <c r="AF82" s="13">
        <v>22.6</v>
      </c>
      <c r="AG82" s="13"/>
      <c r="AH82" s="13">
        <f t="shared" si="18"/>
        <v>0</v>
      </c>
    </row>
    <row r="83" spans="1:34" x14ac:dyDescent="0.25">
      <c r="A83" s="10" t="s">
        <v>169</v>
      </c>
      <c r="B83" s="10" t="s">
        <v>44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4"/>
        <v>0</v>
      </c>
      <c r="M83" s="10"/>
      <c r="N83" s="10"/>
      <c r="O83" s="10">
        <v>0</v>
      </c>
      <c r="P83" s="10"/>
      <c r="Q83" s="10"/>
      <c r="R83" s="10">
        <f t="shared" si="15"/>
        <v>0</v>
      </c>
      <c r="S83" s="12"/>
      <c r="T83" s="4">
        <f t="shared" si="19"/>
        <v>0</v>
      </c>
      <c r="U83" s="13" t="e">
        <f t="shared" si="16"/>
        <v>#DIV/0!</v>
      </c>
      <c r="V83" s="10" t="e">
        <f t="shared" si="17"/>
        <v>#DIV/0!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 t="s">
        <v>45</v>
      </c>
      <c r="AH83" s="13">
        <f t="shared" si="18"/>
        <v>0</v>
      </c>
    </row>
    <row r="84" spans="1:34" x14ac:dyDescent="0.25">
      <c r="A84" s="10" t="s">
        <v>170</v>
      </c>
      <c r="B84" s="10" t="s">
        <v>35</v>
      </c>
      <c r="C84" s="10"/>
      <c r="D84" s="10"/>
      <c r="E84" s="10"/>
      <c r="F84" s="10"/>
      <c r="G84" s="11">
        <v>0</v>
      </c>
      <c r="H84" s="10"/>
      <c r="I84" s="10" t="s">
        <v>36</v>
      </c>
      <c r="J84" s="10"/>
      <c r="K84" s="10"/>
      <c r="L84" s="10">
        <f t="shared" si="14"/>
        <v>0</v>
      </c>
      <c r="M84" s="10"/>
      <c r="N84" s="10"/>
      <c r="O84" s="10">
        <v>0</v>
      </c>
      <c r="P84" s="10"/>
      <c r="Q84" s="10"/>
      <c r="R84" s="10">
        <f t="shared" si="15"/>
        <v>0</v>
      </c>
      <c r="S84" s="12"/>
      <c r="T84" s="4">
        <f t="shared" si="19"/>
        <v>0</v>
      </c>
      <c r="U84" s="13" t="e">
        <f t="shared" si="16"/>
        <v>#DIV/0!</v>
      </c>
      <c r="V84" s="10" t="e">
        <f t="shared" si="17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 t="s">
        <v>45</v>
      </c>
      <c r="AH84" s="13">
        <f t="shared" si="18"/>
        <v>0</v>
      </c>
    </row>
    <row r="85" spans="1:34" x14ac:dyDescent="0.25">
      <c r="A85" s="10" t="s">
        <v>171</v>
      </c>
      <c r="B85" s="10" t="s">
        <v>35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4"/>
        <v>0</v>
      </c>
      <c r="M85" s="10"/>
      <c r="N85" s="10"/>
      <c r="O85" s="10">
        <v>0</v>
      </c>
      <c r="P85" s="10"/>
      <c r="Q85" s="10"/>
      <c r="R85" s="10">
        <f t="shared" si="15"/>
        <v>0</v>
      </c>
      <c r="S85" s="12"/>
      <c r="T85" s="4">
        <f t="shared" si="19"/>
        <v>0</v>
      </c>
      <c r="U85" s="13" t="e">
        <f t="shared" si="16"/>
        <v>#DIV/0!</v>
      </c>
      <c r="V85" s="10" t="e">
        <f t="shared" si="17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45</v>
      </c>
      <c r="AH85" s="13">
        <f t="shared" si="18"/>
        <v>0</v>
      </c>
    </row>
    <row r="86" spans="1:34" x14ac:dyDescent="0.25">
      <c r="A86" s="13" t="s">
        <v>172</v>
      </c>
      <c r="B86" s="13" t="s">
        <v>35</v>
      </c>
      <c r="C86" s="13">
        <v>418.71300000000002</v>
      </c>
      <c r="D86" s="13">
        <v>82.117999999999995</v>
      </c>
      <c r="E86" s="13">
        <v>119.378</v>
      </c>
      <c r="F86" s="13">
        <v>310.00099999999998</v>
      </c>
      <c r="G86" s="6">
        <v>1</v>
      </c>
      <c r="H86" s="13">
        <v>60</v>
      </c>
      <c r="I86" s="13" t="s">
        <v>36</v>
      </c>
      <c r="J86" s="13"/>
      <c r="K86" s="13">
        <v>162.69999999999999</v>
      </c>
      <c r="L86" s="13">
        <f t="shared" si="14"/>
        <v>-43.321999999999989</v>
      </c>
      <c r="M86" s="13"/>
      <c r="N86" s="13"/>
      <c r="O86" s="13">
        <v>0</v>
      </c>
      <c r="P86" s="13"/>
      <c r="Q86" s="13"/>
      <c r="R86" s="13">
        <f t="shared" si="15"/>
        <v>23.875599999999999</v>
      </c>
      <c r="S86" s="4"/>
      <c r="T86" s="4">
        <f t="shared" si="19"/>
        <v>0</v>
      </c>
      <c r="U86" s="13">
        <f t="shared" si="16"/>
        <v>12.984008778836971</v>
      </c>
      <c r="V86" s="13">
        <f t="shared" si="17"/>
        <v>12.984008778836971</v>
      </c>
      <c r="W86" s="13">
        <v>20.068999999999999</v>
      </c>
      <c r="X86" s="13">
        <v>23.865600000000001</v>
      </c>
      <c r="Y86" s="13">
        <v>32.620199999999997</v>
      </c>
      <c r="Z86" s="13">
        <v>28.968800000000002</v>
      </c>
      <c r="AA86" s="13">
        <v>43.807400000000001</v>
      </c>
      <c r="AB86" s="13">
        <v>49.8904</v>
      </c>
      <c r="AC86" s="13">
        <v>45.323</v>
      </c>
      <c r="AD86" s="13">
        <v>52.400599999999997</v>
      </c>
      <c r="AE86" s="13">
        <v>49.375999999999998</v>
      </c>
      <c r="AF86" s="13">
        <v>39.700599999999987</v>
      </c>
      <c r="AG86" s="13"/>
      <c r="AH86" s="13">
        <f t="shared" si="18"/>
        <v>0</v>
      </c>
    </row>
    <row r="87" spans="1:34" x14ac:dyDescent="0.25">
      <c r="A87" s="10" t="s">
        <v>173</v>
      </c>
      <c r="B87" s="10" t="s">
        <v>44</v>
      </c>
      <c r="C87" s="10"/>
      <c r="D87" s="10"/>
      <c r="E87" s="10"/>
      <c r="F87" s="10"/>
      <c r="G87" s="11">
        <v>0</v>
      </c>
      <c r="H87" s="10"/>
      <c r="I87" s="10" t="s">
        <v>36</v>
      </c>
      <c r="J87" s="10"/>
      <c r="K87" s="10"/>
      <c r="L87" s="10">
        <f t="shared" si="14"/>
        <v>0</v>
      </c>
      <c r="M87" s="10"/>
      <c r="N87" s="10"/>
      <c r="O87" s="10">
        <v>0</v>
      </c>
      <c r="P87" s="10"/>
      <c r="Q87" s="10"/>
      <c r="R87" s="10">
        <f t="shared" si="15"/>
        <v>0</v>
      </c>
      <c r="S87" s="12"/>
      <c r="T87" s="4">
        <f t="shared" si="19"/>
        <v>0</v>
      </c>
      <c r="U87" s="13" t="e">
        <f t="shared" si="16"/>
        <v>#DIV/0!</v>
      </c>
      <c r="V87" s="10" t="e">
        <f t="shared" si="17"/>
        <v>#DIV/0!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 t="s">
        <v>45</v>
      </c>
      <c r="AH87" s="13">
        <f t="shared" si="18"/>
        <v>0</v>
      </c>
    </row>
    <row r="88" spans="1:34" x14ac:dyDescent="0.25">
      <c r="A88" s="13" t="s">
        <v>174</v>
      </c>
      <c r="B88" s="13" t="s">
        <v>35</v>
      </c>
      <c r="C88" s="13">
        <v>2770.9189999999999</v>
      </c>
      <c r="D88" s="13">
        <v>600.94299999999998</v>
      </c>
      <c r="E88" s="13">
        <v>1138.5429999999999</v>
      </c>
      <c r="F88" s="13">
        <v>1854.0170000000001</v>
      </c>
      <c r="G88" s="6">
        <v>1</v>
      </c>
      <c r="H88" s="13">
        <v>60</v>
      </c>
      <c r="I88" s="13" t="s">
        <v>36</v>
      </c>
      <c r="J88" s="13"/>
      <c r="K88" s="13">
        <v>1202.3900000000001</v>
      </c>
      <c r="L88" s="13">
        <f t="shared" si="14"/>
        <v>-63.847000000000207</v>
      </c>
      <c r="M88" s="13"/>
      <c r="N88" s="13"/>
      <c r="O88" s="13">
        <v>900</v>
      </c>
      <c r="P88" s="13">
        <v>0</v>
      </c>
      <c r="Q88" s="18">
        <v>500</v>
      </c>
      <c r="R88" s="13">
        <f t="shared" si="15"/>
        <v>227.70859999999999</v>
      </c>
      <c r="S88" s="4"/>
      <c r="T88" s="4">
        <f t="shared" si="19"/>
        <v>0</v>
      </c>
      <c r="U88" s="13">
        <f t="shared" si="16"/>
        <v>14.29026835174429</v>
      </c>
      <c r="V88" s="13">
        <f t="shared" si="17"/>
        <v>14.29026835174429</v>
      </c>
      <c r="W88" s="13">
        <v>184.99260000000001</v>
      </c>
      <c r="X88" s="13">
        <v>192.30119999999999</v>
      </c>
      <c r="Y88" s="13">
        <v>242.393</v>
      </c>
      <c r="Z88" s="13">
        <v>281.09039999999999</v>
      </c>
      <c r="AA88" s="13">
        <v>332.67239999999998</v>
      </c>
      <c r="AB88" s="13">
        <v>305.48419999999999</v>
      </c>
      <c r="AC88" s="13">
        <v>286.5274</v>
      </c>
      <c r="AD88" s="13">
        <v>307.87279999999998</v>
      </c>
      <c r="AE88" s="13">
        <v>311.91879999999998</v>
      </c>
      <c r="AF88" s="13">
        <v>320.28199999999998</v>
      </c>
      <c r="AG88" s="13"/>
      <c r="AH88" s="13">
        <f t="shared" si="18"/>
        <v>0</v>
      </c>
    </row>
    <row r="89" spans="1:34" x14ac:dyDescent="0.25">
      <c r="A89" s="13" t="s">
        <v>176</v>
      </c>
      <c r="B89" s="13" t="s">
        <v>35</v>
      </c>
      <c r="C89" s="13">
        <v>2147.2440000000001</v>
      </c>
      <c r="D89" s="13">
        <v>1523.2670000000001</v>
      </c>
      <c r="E89" s="13">
        <v>1052.845</v>
      </c>
      <c r="F89" s="13">
        <v>1950.415</v>
      </c>
      <c r="G89" s="6">
        <v>1</v>
      </c>
      <c r="H89" s="13">
        <v>60</v>
      </c>
      <c r="I89" s="13" t="s">
        <v>36</v>
      </c>
      <c r="J89" s="13"/>
      <c r="K89" s="13">
        <v>1049.105</v>
      </c>
      <c r="L89" s="13">
        <f t="shared" si="14"/>
        <v>3.7400000000000091</v>
      </c>
      <c r="M89" s="13"/>
      <c r="N89" s="13"/>
      <c r="O89" s="13">
        <v>0</v>
      </c>
      <c r="P89" s="13"/>
      <c r="Q89" s="18">
        <v>1000</v>
      </c>
      <c r="R89" s="13">
        <f t="shared" si="15"/>
        <v>210.56900000000002</v>
      </c>
      <c r="S89" s="4"/>
      <c r="T89" s="4">
        <f t="shared" si="19"/>
        <v>0</v>
      </c>
      <c r="U89" s="13">
        <f t="shared" si="16"/>
        <v>14.011630391938033</v>
      </c>
      <c r="V89" s="13">
        <f t="shared" si="17"/>
        <v>14.011630391938033</v>
      </c>
      <c r="W89" s="13">
        <v>112.8832</v>
      </c>
      <c r="X89" s="13">
        <v>123.03279999999999</v>
      </c>
      <c r="Y89" s="13">
        <v>190.5642</v>
      </c>
      <c r="Z89" s="13">
        <v>220.67740000000001</v>
      </c>
      <c r="AA89" s="13">
        <v>250.80779999999999</v>
      </c>
      <c r="AB89" s="13">
        <v>213.42420000000001</v>
      </c>
      <c r="AC89" s="13">
        <v>191.51259999999999</v>
      </c>
      <c r="AD89" s="13">
        <v>214.91640000000001</v>
      </c>
      <c r="AE89" s="13">
        <v>247.22239999999999</v>
      </c>
      <c r="AF89" s="13">
        <v>266.541</v>
      </c>
      <c r="AG89" s="13"/>
      <c r="AH89" s="13">
        <f t="shared" si="18"/>
        <v>0</v>
      </c>
    </row>
    <row r="90" spans="1:34" x14ac:dyDescent="0.25">
      <c r="A90" s="13" t="s">
        <v>177</v>
      </c>
      <c r="B90" s="13" t="s">
        <v>35</v>
      </c>
      <c r="C90" s="13">
        <v>3107.701</v>
      </c>
      <c r="D90" s="13">
        <v>4118.1629999999996</v>
      </c>
      <c r="E90" s="13">
        <v>1407.3889999999999</v>
      </c>
      <c r="F90" s="13">
        <v>5303.5910000000003</v>
      </c>
      <c r="G90" s="6">
        <v>1</v>
      </c>
      <c r="H90" s="13">
        <v>60</v>
      </c>
      <c r="I90" s="13" t="s">
        <v>36</v>
      </c>
      <c r="J90" s="13"/>
      <c r="K90" s="13">
        <v>1504.335</v>
      </c>
      <c r="L90" s="13">
        <f t="shared" si="14"/>
        <v>-96.94600000000014</v>
      </c>
      <c r="M90" s="13"/>
      <c r="N90" s="13"/>
      <c r="O90" s="13">
        <v>600</v>
      </c>
      <c r="P90" s="13">
        <v>0</v>
      </c>
      <c r="Q90" s="18"/>
      <c r="R90" s="13">
        <f t="shared" si="15"/>
        <v>281.4778</v>
      </c>
      <c r="S90" s="4"/>
      <c r="T90" s="4">
        <f t="shared" si="19"/>
        <v>0</v>
      </c>
      <c r="U90" s="13">
        <f t="shared" si="16"/>
        <v>20.973558127852357</v>
      </c>
      <c r="V90" s="13">
        <f t="shared" si="17"/>
        <v>20.973558127852357</v>
      </c>
      <c r="W90" s="13">
        <v>275.24520000000001</v>
      </c>
      <c r="X90" s="13">
        <v>319.42960000000011</v>
      </c>
      <c r="Y90" s="13">
        <v>353.96559999999999</v>
      </c>
      <c r="Z90" s="13">
        <v>357.76280000000003</v>
      </c>
      <c r="AA90" s="13">
        <v>414.20119999999997</v>
      </c>
      <c r="AB90" s="13">
        <v>411.19539999999989</v>
      </c>
      <c r="AC90" s="13">
        <v>457.66879999999998</v>
      </c>
      <c r="AD90" s="13">
        <v>475.00880000000001</v>
      </c>
      <c r="AE90" s="13">
        <v>401.34320000000002</v>
      </c>
      <c r="AF90" s="13">
        <v>381.37920000000003</v>
      </c>
      <c r="AG90" s="17" t="s">
        <v>58</v>
      </c>
      <c r="AH90" s="13">
        <f t="shared" si="18"/>
        <v>0</v>
      </c>
    </row>
    <row r="91" spans="1:34" x14ac:dyDescent="0.25">
      <c r="A91" s="10" t="s">
        <v>179</v>
      </c>
      <c r="B91" s="10" t="s">
        <v>35</v>
      </c>
      <c r="C91" s="10"/>
      <c r="D91" s="10"/>
      <c r="E91" s="10"/>
      <c r="F91" s="10"/>
      <c r="G91" s="11">
        <v>0</v>
      </c>
      <c r="H91" s="10"/>
      <c r="I91" s="10" t="s">
        <v>36</v>
      </c>
      <c r="J91" s="10"/>
      <c r="K91" s="10"/>
      <c r="L91" s="10">
        <f t="shared" si="14"/>
        <v>0</v>
      </c>
      <c r="M91" s="10"/>
      <c r="N91" s="10"/>
      <c r="O91" s="10">
        <v>0</v>
      </c>
      <c r="P91" s="10"/>
      <c r="Q91" s="10"/>
      <c r="R91" s="10">
        <f t="shared" si="15"/>
        <v>0</v>
      </c>
      <c r="S91" s="12"/>
      <c r="T91" s="4">
        <f t="shared" si="19"/>
        <v>0</v>
      </c>
      <c r="U91" s="13" t="e">
        <f t="shared" si="16"/>
        <v>#DIV/0!</v>
      </c>
      <c r="V91" s="10" t="e">
        <f t="shared" si="17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 t="s">
        <v>45</v>
      </c>
      <c r="AH91" s="13">
        <f t="shared" si="18"/>
        <v>0</v>
      </c>
    </row>
    <row r="92" spans="1:34" x14ac:dyDescent="0.25">
      <c r="A92" s="13" t="s">
        <v>180</v>
      </c>
      <c r="B92" s="13" t="s">
        <v>44</v>
      </c>
      <c r="C92" s="13">
        <v>1</v>
      </c>
      <c r="D92" s="13">
        <v>205</v>
      </c>
      <c r="E92" s="13">
        <v>49</v>
      </c>
      <c r="F92" s="13">
        <v>108</v>
      </c>
      <c r="G92" s="6">
        <v>0.3</v>
      </c>
      <c r="H92" s="13">
        <v>40</v>
      </c>
      <c r="I92" s="13" t="s">
        <v>36</v>
      </c>
      <c r="J92" s="13"/>
      <c r="K92" s="13">
        <v>79</v>
      </c>
      <c r="L92" s="13">
        <f t="shared" si="14"/>
        <v>-30</v>
      </c>
      <c r="M92" s="13"/>
      <c r="N92" s="13"/>
      <c r="O92" s="13">
        <v>0</v>
      </c>
      <c r="P92" s="13"/>
      <c r="Q92" s="13"/>
      <c r="R92" s="13">
        <f t="shared" si="15"/>
        <v>9.8000000000000007</v>
      </c>
      <c r="S92" s="4"/>
      <c r="T92" s="4">
        <f t="shared" si="19"/>
        <v>0</v>
      </c>
      <c r="U92" s="13">
        <f t="shared" si="16"/>
        <v>11.020408163265305</v>
      </c>
      <c r="V92" s="13">
        <f t="shared" si="17"/>
        <v>11.020408163265305</v>
      </c>
      <c r="W92" s="13">
        <v>5.4</v>
      </c>
      <c r="X92" s="13">
        <v>12.2</v>
      </c>
      <c r="Y92" s="13">
        <v>28.4</v>
      </c>
      <c r="Z92" s="13">
        <v>31.2</v>
      </c>
      <c r="AA92" s="13">
        <v>25.6</v>
      </c>
      <c r="AB92" s="13">
        <v>17</v>
      </c>
      <c r="AC92" s="13">
        <v>10.199999999999999</v>
      </c>
      <c r="AD92" s="13">
        <v>23.4</v>
      </c>
      <c r="AE92" s="13">
        <v>31.2</v>
      </c>
      <c r="AF92" s="13">
        <v>28</v>
      </c>
      <c r="AG92" s="13"/>
      <c r="AH92" s="13">
        <f t="shared" si="18"/>
        <v>0</v>
      </c>
    </row>
    <row r="93" spans="1:34" x14ac:dyDescent="0.25">
      <c r="A93" s="10" t="s">
        <v>181</v>
      </c>
      <c r="B93" s="10" t="s">
        <v>44</v>
      </c>
      <c r="C93" s="10"/>
      <c r="D93" s="10"/>
      <c r="E93" s="10"/>
      <c r="F93" s="10"/>
      <c r="G93" s="11">
        <v>0</v>
      </c>
      <c r="H93" s="10"/>
      <c r="I93" s="10" t="s">
        <v>36</v>
      </c>
      <c r="J93" s="10"/>
      <c r="K93" s="10"/>
      <c r="L93" s="10">
        <f t="shared" si="14"/>
        <v>0</v>
      </c>
      <c r="M93" s="10"/>
      <c r="N93" s="10"/>
      <c r="O93" s="10">
        <v>0</v>
      </c>
      <c r="P93" s="10"/>
      <c r="Q93" s="10"/>
      <c r="R93" s="10">
        <f t="shared" si="15"/>
        <v>0</v>
      </c>
      <c r="S93" s="12"/>
      <c r="T93" s="4">
        <f t="shared" si="19"/>
        <v>0</v>
      </c>
      <c r="U93" s="13" t="e">
        <f t="shared" si="16"/>
        <v>#DIV/0!</v>
      </c>
      <c r="V93" s="10" t="e">
        <f t="shared" si="17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45</v>
      </c>
      <c r="AH93" s="13">
        <f t="shared" si="18"/>
        <v>0</v>
      </c>
    </row>
    <row r="94" spans="1:34" x14ac:dyDescent="0.25">
      <c r="A94" s="13" t="s">
        <v>182</v>
      </c>
      <c r="B94" s="13" t="s">
        <v>44</v>
      </c>
      <c r="C94" s="13">
        <v>52</v>
      </c>
      <c r="D94" s="13">
        <v>215</v>
      </c>
      <c r="E94" s="13">
        <v>61</v>
      </c>
      <c r="F94" s="13">
        <v>195</v>
      </c>
      <c r="G94" s="6">
        <v>7.0000000000000007E-2</v>
      </c>
      <c r="H94" s="13">
        <v>90</v>
      </c>
      <c r="I94" s="13" t="s">
        <v>36</v>
      </c>
      <c r="J94" s="13"/>
      <c r="K94" s="13">
        <v>66</v>
      </c>
      <c r="L94" s="13">
        <f t="shared" si="14"/>
        <v>-5</v>
      </c>
      <c r="M94" s="13"/>
      <c r="N94" s="13"/>
      <c r="O94" s="13">
        <v>80</v>
      </c>
      <c r="P94" s="13">
        <v>0</v>
      </c>
      <c r="Q94" s="13"/>
      <c r="R94" s="13">
        <f t="shared" si="15"/>
        <v>12.2</v>
      </c>
      <c r="S94" s="4"/>
      <c r="T94" s="4">
        <f t="shared" si="19"/>
        <v>0</v>
      </c>
      <c r="U94" s="13">
        <f t="shared" si="16"/>
        <v>22.540983606557379</v>
      </c>
      <c r="V94" s="13">
        <f t="shared" si="17"/>
        <v>22.540983606557379</v>
      </c>
      <c r="W94" s="13">
        <v>8.4</v>
      </c>
      <c r="X94" s="13">
        <v>10.8</v>
      </c>
      <c r="Y94" s="13">
        <v>19.600000000000001</v>
      </c>
      <c r="Z94" s="13">
        <v>20.399999999999999</v>
      </c>
      <c r="AA94" s="13">
        <v>13</v>
      </c>
      <c r="AB94" s="13">
        <v>11</v>
      </c>
      <c r="AC94" s="13">
        <v>13.2</v>
      </c>
      <c r="AD94" s="13">
        <v>16.399999999999999</v>
      </c>
      <c r="AE94" s="13">
        <v>17.2</v>
      </c>
      <c r="AF94" s="13">
        <v>14.8</v>
      </c>
      <c r="AG94" s="17" t="s">
        <v>183</v>
      </c>
      <c r="AH94" s="13">
        <f t="shared" si="18"/>
        <v>0</v>
      </c>
    </row>
    <row r="95" spans="1:34" x14ac:dyDescent="0.25">
      <c r="A95" s="13" t="s">
        <v>185</v>
      </c>
      <c r="B95" s="13" t="s">
        <v>44</v>
      </c>
      <c r="C95" s="13">
        <v>37</v>
      </c>
      <c r="D95" s="13">
        <v>55</v>
      </c>
      <c r="E95" s="13">
        <v>69</v>
      </c>
      <c r="F95" s="13">
        <v>17</v>
      </c>
      <c r="G95" s="6">
        <v>7.0000000000000007E-2</v>
      </c>
      <c r="H95" s="13">
        <v>90</v>
      </c>
      <c r="I95" s="15" t="s">
        <v>75</v>
      </c>
      <c r="J95" s="13"/>
      <c r="K95" s="13">
        <v>73</v>
      </c>
      <c r="L95" s="13">
        <f t="shared" si="14"/>
        <v>-4</v>
      </c>
      <c r="M95" s="13"/>
      <c r="N95" s="13"/>
      <c r="O95" s="13">
        <v>290</v>
      </c>
      <c r="P95" s="13">
        <v>-288</v>
      </c>
      <c r="Q95" s="13"/>
      <c r="R95" s="13">
        <f t="shared" si="15"/>
        <v>13.8</v>
      </c>
      <c r="S95" s="4">
        <v>50</v>
      </c>
      <c r="T95" s="4">
        <f t="shared" si="19"/>
        <v>50</v>
      </c>
      <c r="U95" s="13">
        <f t="shared" si="16"/>
        <v>5</v>
      </c>
      <c r="V95" s="13">
        <f t="shared" si="17"/>
        <v>1.3768115942028984</v>
      </c>
      <c r="W95" s="13">
        <v>17.8</v>
      </c>
      <c r="X95" s="13">
        <v>18.8</v>
      </c>
      <c r="Y95" s="13">
        <v>16.399999999999999</v>
      </c>
      <c r="Z95" s="13">
        <v>14</v>
      </c>
      <c r="AA95" s="13">
        <v>15</v>
      </c>
      <c r="AB95" s="13">
        <v>20.8</v>
      </c>
      <c r="AC95" s="13">
        <v>16.8</v>
      </c>
      <c r="AD95" s="13">
        <v>19.2</v>
      </c>
      <c r="AE95" s="13">
        <v>18</v>
      </c>
      <c r="AF95" s="13">
        <v>16</v>
      </c>
      <c r="AG95" s="27" t="s">
        <v>328</v>
      </c>
      <c r="AH95" s="13">
        <f t="shared" si="18"/>
        <v>4</v>
      </c>
    </row>
    <row r="96" spans="1:34" x14ac:dyDescent="0.25">
      <c r="A96" s="13" t="s">
        <v>187</v>
      </c>
      <c r="B96" s="13" t="s">
        <v>44</v>
      </c>
      <c r="C96" s="13">
        <v>22</v>
      </c>
      <c r="D96" s="13">
        <v>248</v>
      </c>
      <c r="E96" s="13">
        <v>36</v>
      </c>
      <c r="F96" s="13">
        <v>208</v>
      </c>
      <c r="G96" s="6">
        <v>7.0000000000000007E-2</v>
      </c>
      <c r="H96" s="13">
        <v>90</v>
      </c>
      <c r="I96" s="13" t="s">
        <v>36</v>
      </c>
      <c r="J96" s="13"/>
      <c r="K96" s="13">
        <v>38</v>
      </c>
      <c r="L96" s="13">
        <f t="shared" si="14"/>
        <v>-2</v>
      </c>
      <c r="M96" s="13"/>
      <c r="N96" s="13"/>
      <c r="O96" s="13">
        <v>80</v>
      </c>
      <c r="P96" s="13">
        <v>0</v>
      </c>
      <c r="Q96" s="13"/>
      <c r="R96" s="13">
        <f t="shared" si="15"/>
        <v>7.2</v>
      </c>
      <c r="S96" s="4"/>
      <c r="T96" s="4">
        <f t="shared" si="19"/>
        <v>0</v>
      </c>
      <c r="U96" s="13">
        <f t="shared" si="16"/>
        <v>40</v>
      </c>
      <c r="V96" s="13">
        <f t="shared" si="17"/>
        <v>40</v>
      </c>
      <c r="W96" s="13">
        <v>6.8</v>
      </c>
      <c r="X96" s="13">
        <v>10</v>
      </c>
      <c r="Y96" s="13">
        <v>18.399999999999999</v>
      </c>
      <c r="Z96" s="13">
        <v>16.399999999999999</v>
      </c>
      <c r="AA96" s="13">
        <v>10.199999999999999</v>
      </c>
      <c r="AB96" s="13">
        <v>12</v>
      </c>
      <c r="AC96" s="13">
        <v>10.6</v>
      </c>
      <c r="AD96" s="13">
        <v>11.6</v>
      </c>
      <c r="AE96" s="13">
        <v>15.6</v>
      </c>
      <c r="AF96" s="13">
        <v>13.8</v>
      </c>
      <c r="AG96" s="17" t="s">
        <v>183</v>
      </c>
      <c r="AH96" s="13">
        <f t="shared" si="18"/>
        <v>0</v>
      </c>
    </row>
    <row r="97" spans="1:34" x14ac:dyDescent="0.25">
      <c r="A97" s="10" t="s">
        <v>189</v>
      </c>
      <c r="B97" s="10" t="s">
        <v>44</v>
      </c>
      <c r="C97" s="10">
        <v>125</v>
      </c>
      <c r="D97" s="10">
        <v>3</v>
      </c>
      <c r="E97" s="10">
        <v>45</v>
      </c>
      <c r="F97" s="10">
        <v>76</v>
      </c>
      <c r="G97" s="11">
        <v>0</v>
      </c>
      <c r="H97" s="10">
        <v>90</v>
      </c>
      <c r="I97" s="10" t="s">
        <v>38</v>
      </c>
      <c r="J97" s="10"/>
      <c r="K97" s="10">
        <v>49</v>
      </c>
      <c r="L97" s="10">
        <f t="shared" si="14"/>
        <v>-4</v>
      </c>
      <c r="M97" s="10"/>
      <c r="N97" s="10"/>
      <c r="O97" s="10">
        <v>0</v>
      </c>
      <c r="P97" s="10"/>
      <c r="Q97" s="10"/>
      <c r="R97" s="10">
        <f t="shared" si="15"/>
        <v>9</v>
      </c>
      <c r="S97" s="12"/>
      <c r="T97" s="4">
        <f t="shared" si="19"/>
        <v>0</v>
      </c>
      <c r="U97" s="13">
        <f t="shared" si="16"/>
        <v>8.4444444444444446</v>
      </c>
      <c r="V97" s="10">
        <f t="shared" si="17"/>
        <v>8.4444444444444446</v>
      </c>
      <c r="W97" s="10">
        <v>7.4</v>
      </c>
      <c r="X97" s="10">
        <v>7.4</v>
      </c>
      <c r="Y97" s="10">
        <v>8.6</v>
      </c>
      <c r="Z97" s="10">
        <v>12</v>
      </c>
      <c r="AA97" s="10">
        <v>14.4</v>
      </c>
      <c r="AB97" s="10">
        <v>13.8</v>
      </c>
      <c r="AC97" s="10">
        <v>14.8</v>
      </c>
      <c r="AD97" s="10">
        <v>16.2</v>
      </c>
      <c r="AE97" s="10">
        <v>17</v>
      </c>
      <c r="AF97" s="10">
        <v>15.6</v>
      </c>
      <c r="AG97" s="9" t="s">
        <v>58</v>
      </c>
      <c r="AH97" s="13">
        <f t="shared" si="18"/>
        <v>0</v>
      </c>
    </row>
    <row r="98" spans="1:34" x14ac:dyDescent="0.25">
      <c r="A98" s="10" t="s">
        <v>190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4"/>
        <v>0</v>
      </c>
      <c r="M98" s="10"/>
      <c r="N98" s="10"/>
      <c r="O98" s="10">
        <v>0</v>
      </c>
      <c r="P98" s="10"/>
      <c r="Q98" s="10"/>
      <c r="R98" s="10">
        <f t="shared" si="15"/>
        <v>0</v>
      </c>
      <c r="S98" s="12"/>
      <c r="T98" s="4">
        <f t="shared" si="19"/>
        <v>0</v>
      </c>
      <c r="U98" s="13" t="e">
        <f t="shared" si="16"/>
        <v>#DIV/0!</v>
      </c>
      <c r="V98" s="10" t="e">
        <f t="shared" si="17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45</v>
      </c>
      <c r="AH98" s="13">
        <f t="shared" si="18"/>
        <v>0</v>
      </c>
    </row>
    <row r="99" spans="1:34" x14ac:dyDescent="0.25">
      <c r="A99" s="13" t="s">
        <v>191</v>
      </c>
      <c r="B99" s="13" t="s">
        <v>35</v>
      </c>
      <c r="C99" s="13">
        <v>66.087000000000003</v>
      </c>
      <c r="D99" s="13">
        <v>1.274</v>
      </c>
      <c r="E99" s="13">
        <v>10.538</v>
      </c>
      <c r="F99" s="13">
        <v>46.154000000000003</v>
      </c>
      <c r="G99" s="6">
        <v>1</v>
      </c>
      <c r="H99" s="13">
        <v>55</v>
      </c>
      <c r="I99" s="13" t="s">
        <v>36</v>
      </c>
      <c r="J99" s="13"/>
      <c r="K99" s="13">
        <v>17</v>
      </c>
      <c r="L99" s="13">
        <f t="shared" si="14"/>
        <v>-6.4619999999999997</v>
      </c>
      <c r="M99" s="13"/>
      <c r="N99" s="13"/>
      <c r="O99" s="13">
        <v>0</v>
      </c>
      <c r="P99" s="13"/>
      <c r="Q99" s="13"/>
      <c r="R99" s="13">
        <f t="shared" si="15"/>
        <v>2.1076000000000001</v>
      </c>
      <c r="S99" s="4"/>
      <c r="T99" s="4">
        <f t="shared" si="19"/>
        <v>0</v>
      </c>
      <c r="U99" s="13">
        <f t="shared" si="16"/>
        <v>21.89884228506358</v>
      </c>
      <c r="V99" s="13">
        <f t="shared" si="17"/>
        <v>21.89884228506358</v>
      </c>
      <c r="W99" s="13">
        <v>1.9372</v>
      </c>
      <c r="X99" s="13">
        <v>2.2138</v>
      </c>
      <c r="Y99" s="13">
        <v>4.1204000000000001</v>
      </c>
      <c r="Z99" s="13">
        <v>3.4714</v>
      </c>
      <c r="AA99" s="13">
        <v>2.1972</v>
      </c>
      <c r="AB99" s="13">
        <v>3.1594000000000002</v>
      </c>
      <c r="AC99" s="13">
        <v>4.0695999999999994</v>
      </c>
      <c r="AD99" s="13">
        <v>3.1516000000000002</v>
      </c>
      <c r="AE99" s="13">
        <v>3.5156000000000001</v>
      </c>
      <c r="AF99" s="13">
        <v>4.7962000000000007</v>
      </c>
      <c r="AG99" s="16" t="s">
        <v>167</v>
      </c>
      <c r="AH99" s="13">
        <f t="shared" si="18"/>
        <v>0</v>
      </c>
    </row>
    <row r="100" spans="1:34" x14ac:dyDescent="0.25">
      <c r="A100" s="13" t="s">
        <v>192</v>
      </c>
      <c r="B100" s="13" t="s">
        <v>44</v>
      </c>
      <c r="C100" s="13"/>
      <c r="D100" s="13"/>
      <c r="E100" s="13"/>
      <c r="F100" s="13"/>
      <c r="G100" s="6">
        <v>0.11</v>
      </c>
      <c r="H100" s="13">
        <v>30</v>
      </c>
      <c r="I100" s="13" t="s">
        <v>36</v>
      </c>
      <c r="J100" s="13"/>
      <c r="K100" s="13"/>
      <c r="L100" s="13">
        <f t="shared" si="14"/>
        <v>0</v>
      </c>
      <c r="M100" s="13"/>
      <c r="N100" s="13"/>
      <c r="O100" s="13">
        <v>110</v>
      </c>
      <c r="P100" s="13">
        <v>0</v>
      </c>
      <c r="Q100" s="13"/>
      <c r="R100" s="13">
        <f t="shared" si="15"/>
        <v>0</v>
      </c>
      <c r="S100" s="4"/>
      <c r="T100" s="4">
        <f t="shared" si="19"/>
        <v>0</v>
      </c>
      <c r="U100" s="13" t="e">
        <f t="shared" si="16"/>
        <v>#DIV/0!</v>
      </c>
      <c r="V100" s="13" t="e">
        <f t="shared" si="17"/>
        <v>#DIV/0!</v>
      </c>
      <c r="W100" s="13">
        <v>0</v>
      </c>
      <c r="X100" s="13">
        <v>3.2</v>
      </c>
      <c r="Y100" s="13">
        <v>3.2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-0.2</v>
      </c>
      <c r="AG100" s="13" t="s">
        <v>193</v>
      </c>
      <c r="AH100" s="13">
        <f t="shared" si="18"/>
        <v>0</v>
      </c>
    </row>
    <row r="101" spans="1:34" x14ac:dyDescent="0.25">
      <c r="A101" s="10" t="s">
        <v>195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36</v>
      </c>
      <c r="J101" s="10"/>
      <c r="K101" s="10"/>
      <c r="L101" s="10">
        <f t="shared" si="14"/>
        <v>0</v>
      </c>
      <c r="M101" s="10"/>
      <c r="N101" s="10"/>
      <c r="O101" s="10">
        <v>0</v>
      </c>
      <c r="P101" s="10"/>
      <c r="Q101" s="10"/>
      <c r="R101" s="10">
        <f t="shared" si="15"/>
        <v>0</v>
      </c>
      <c r="S101" s="12"/>
      <c r="T101" s="4">
        <f t="shared" si="19"/>
        <v>0</v>
      </c>
      <c r="U101" s="13" t="e">
        <f t="shared" si="16"/>
        <v>#DIV/0!</v>
      </c>
      <c r="V101" s="10" t="e">
        <f t="shared" si="17"/>
        <v>#DIV/0!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 t="s">
        <v>45</v>
      </c>
      <c r="AH101" s="13">
        <f t="shared" si="18"/>
        <v>0</v>
      </c>
    </row>
    <row r="102" spans="1:34" x14ac:dyDescent="0.25">
      <c r="A102" s="13" t="s">
        <v>196</v>
      </c>
      <c r="B102" s="13" t="s">
        <v>44</v>
      </c>
      <c r="C102" s="13">
        <v>33</v>
      </c>
      <c r="D102" s="13">
        <v>277</v>
      </c>
      <c r="E102" s="13">
        <v>74</v>
      </c>
      <c r="F102" s="13">
        <v>192</v>
      </c>
      <c r="G102" s="6">
        <v>0.08</v>
      </c>
      <c r="H102" s="13">
        <v>45</v>
      </c>
      <c r="I102" s="13" t="s">
        <v>36</v>
      </c>
      <c r="J102" s="13"/>
      <c r="K102" s="13">
        <v>78</v>
      </c>
      <c r="L102" s="13">
        <f t="shared" ref="L102:L131" si="20">E102-K102</f>
        <v>-4</v>
      </c>
      <c r="M102" s="13"/>
      <c r="N102" s="13"/>
      <c r="O102" s="13">
        <v>70</v>
      </c>
      <c r="P102" s="13">
        <v>0</v>
      </c>
      <c r="Q102" s="13"/>
      <c r="R102" s="13">
        <f t="shared" ref="R102:R131" si="21">E102/5</f>
        <v>14.8</v>
      </c>
      <c r="S102" s="4"/>
      <c r="T102" s="4">
        <f t="shared" si="19"/>
        <v>0</v>
      </c>
      <c r="U102" s="13">
        <f t="shared" si="16"/>
        <v>17.702702702702702</v>
      </c>
      <c r="V102" s="13">
        <f t="shared" si="17"/>
        <v>17.702702702702702</v>
      </c>
      <c r="W102" s="13">
        <v>14</v>
      </c>
      <c r="X102" s="13">
        <v>17.399999999999999</v>
      </c>
      <c r="Y102" s="13">
        <v>23</v>
      </c>
      <c r="Z102" s="13">
        <v>22.2</v>
      </c>
      <c r="AA102" s="13">
        <v>15.4</v>
      </c>
      <c r="AB102" s="13">
        <v>9.8000000000000007</v>
      </c>
      <c r="AC102" s="13">
        <v>10.6</v>
      </c>
      <c r="AD102" s="13">
        <v>19</v>
      </c>
      <c r="AE102" s="13">
        <v>23.2</v>
      </c>
      <c r="AF102" s="13">
        <v>23</v>
      </c>
      <c r="AG102" s="13" t="s">
        <v>193</v>
      </c>
      <c r="AH102" s="13">
        <f t="shared" si="18"/>
        <v>0</v>
      </c>
    </row>
    <row r="103" spans="1:34" x14ac:dyDescent="0.25">
      <c r="A103" s="13" t="s">
        <v>198</v>
      </c>
      <c r="B103" s="13" t="s">
        <v>44</v>
      </c>
      <c r="C103" s="13">
        <v>84</v>
      </c>
      <c r="D103" s="13">
        <v>115</v>
      </c>
      <c r="E103" s="13">
        <v>91</v>
      </c>
      <c r="F103" s="13">
        <v>80</v>
      </c>
      <c r="G103" s="6">
        <v>0.08</v>
      </c>
      <c r="H103" s="13">
        <v>45</v>
      </c>
      <c r="I103" s="13" t="s">
        <v>36</v>
      </c>
      <c r="J103" s="13"/>
      <c r="K103" s="13">
        <v>94</v>
      </c>
      <c r="L103" s="13">
        <f t="shared" si="20"/>
        <v>-3</v>
      </c>
      <c r="M103" s="13"/>
      <c r="N103" s="13"/>
      <c r="O103" s="13">
        <v>147.19999999999999</v>
      </c>
      <c r="P103" s="13">
        <v>0</v>
      </c>
      <c r="Q103" s="13"/>
      <c r="R103" s="13">
        <f t="shared" si="21"/>
        <v>18.2</v>
      </c>
      <c r="S103" s="4">
        <v>40</v>
      </c>
      <c r="T103" s="4">
        <f t="shared" si="19"/>
        <v>40</v>
      </c>
      <c r="U103" s="13">
        <f t="shared" si="16"/>
        <v>14.681318681318681</v>
      </c>
      <c r="V103" s="13">
        <f t="shared" si="17"/>
        <v>12.483516483516484</v>
      </c>
      <c r="W103" s="13">
        <v>15.6</v>
      </c>
      <c r="X103" s="13">
        <v>12</v>
      </c>
      <c r="Y103" s="13">
        <v>14</v>
      </c>
      <c r="Z103" s="13">
        <v>14</v>
      </c>
      <c r="AA103" s="13">
        <v>12.4</v>
      </c>
      <c r="AB103" s="13">
        <v>17.399999999999999</v>
      </c>
      <c r="AC103" s="13">
        <v>17</v>
      </c>
      <c r="AD103" s="13">
        <v>11</v>
      </c>
      <c r="AE103" s="13">
        <v>13</v>
      </c>
      <c r="AF103" s="13">
        <v>16.2</v>
      </c>
      <c r="AG103" s="13" t="s">
        <v>193</v>
      </c>
      <c r="AH103" s="13">
        <f t="shared" si="18"/>
        <v>3</v>
      </c>
    </row>
    <row r="104" spans="1:34" x14ac:dyDescent="0.25">
      <c r="A104" s="13" t="s">
        <v>200</v>
      </c>
      <c r="B104" s="13" t="s">
        <v>44</v>
      </c>
      <c r="C104" s="13">
        <v>14</v>
      </c>
      <c r="D104" s="13"/>
      <c r="E104" s="13"/>
      <c r="F104" s="13">
        <v>14</v>
      </c>
      <c r="G104" s="6">
        <v>0.17</v>
      </c>
      <c r="H104" s="13">
        <v>30</v>
      </c>
      <c r="I104" s="13" t="s">
        <v>36</v>
      </c>
      <c r="J104" s="13"/>
      <c r="K104" s="13">
        <v>10</v>
      </c>
      <c r="L104" s="13">
        <f t="shared" si="20"/>
        <v>-10</v>
      </c>
      <c r="M104" s="13"/>
      <c r="N104" s="13"/>
      <c r="O104" s="13">
        <v>70</v>
      </c>
      <c r="P104" s="13">
        <v>0</v>
      </c>
      <c r="Q104" s="13"/>
      <c r="R104" s="13">
        <f t="shared" si="21"/>
        <v>0</v>
      </c>
      <c r="S104" s="4"/>
      <c r="T104" s="4">
        <f t="shared" si="19"/>
        <v>0</v>
      </c>
      <c r="U104" s="13" t="e">
        <f t="shared" si="16"/>
        <v>#DIV/0!</v>
      </c>
      <c r="V104" s="13" t="e">
        <f t="shared" si="17"/>
        <v>#DIV/0!</v>
      </c>
      <c r="W104" s="13">
        <v>0.4</v>
      </c>
      <c r="X104" s="13">
        <v>0.8</v>
      </c>
      <c r="Y104" s="13">
        <v>0.4</v>
      </c>
      <c r="Z104" s="13">
        <v>0.2</v>
      </c>
      <c r="AA104" s="13">
        <v>0.4</v>
      </c>
      <c r="AB104" s="13">
        <v>0.2</v>
      </c>
      <c r="AC104" s="13">
        <v>0</v>
      </c>
      <c r="AD104" s="13">
        <v>0</v>
      </c>
      <c r="AE104" s="13">
        <v>0</v>
      </c>
      <c r="AF104" s="13">
        <v>0</v>
      </c>
      <c r="AG104" s="17" t="s">
        <v>201</v>
      </c>
      <c r="AH104" s="13">
        <f t="shared" si="18"/>
        <v>0</v>
      </c>
    </row>
    <row r="105" spans="1:34" x14ac:dyDescent="0.25">
      <c r="A105" s="13" t="s">
        <v>203</v>
      </c>
      <c r="B105" s="13" t="s">
        <v>35</v>
      </c>
      <c r="C105" s="13">
        <v>242.268</v>
      </c>
      <c r="D105" s="13">
        <v>43.119</v>
      </c>
      <c r="E105" s="13">
        <v>111.533</v>
      </c>
      <c r="F105" s="13">
        <v>93.206999999999994</v>
      </c>
      <c r="G105" s="6">
        <v>1</v>
      </c>
      <c r="H105" s="13">
        <v>40</v>
      </c>
      <c r="I105" s="13" t="s">
        <v>36</v>
      </c>
      <c r="J105" s="13"/>
      <c r="K105" s="13">
        <v>114.7</v>
      </c>
      <c r="L105" s="13">
        <f t="shared" si="20"/>
        <v>-3.1670000000000016</v>
      </c>
      <c r="M105" s="13"/>
      <c r="N105" s="13"/>
      <c r="O105" s="13">
        <v>26.897999999999989</v>
      </c>
      <c r="P105" s="13">
        <v>-0.13900000000000001</v>
      </c>
      <c r="Q105" s="13"/>
      <c r="R105" s="13">
        <f t="shared" si="21"/>
        <v>22.3066</v>
      </c>
      <c r="S105" s="4">
        <v>50</v>
      </c>
      <c r="T105" s="4">
        <f t="shared" si="19"/>
        <v>50</v>
      </c>
      <c r="U105" s="13">
        <f t="shared" si="16"/>
        <v>7.6195386118906505</v>
      </c>
      <c r="V105" s="13">
        <f t="shared" si="17"/>
        <v>5.3780495458743154</v>
      </c>
      <c r="W105" s="13">
        <v>15.290800000000001</v>
      </c>
      <c r="X105" s="13">
        <v>20.459199999999999</v>
      </c>
      <c r="Y105" s="13">
        <v>22.341999999999999</v>
      </c>
      <c r="Z105" s="13">
        <v>26.3384</v>
      </c>
      <c r="AA105" s="13">
        <v>31.392800000000001</v>
      </c>
      <c r="AB105" s="13">
        <v>26.237200000000001</v>
      </c>
      <c r="AC105" s="13">
        <v>30.513999999999999</v>
      </c>
      <c r="AD105" s="13">
        <v>35.223799999999997</v>
      </c>
      <c r="AE105" s="13">
        <v>32.168799999999997</v>
      </c>
      <c r="AF105" s="13">
        <v>34.5154</v>
      </c>
      <c r="AG105" s="13"/>
      <c r="AH105" s="13">
        <f t="shared" si="18"/>
        <v>50</v>
      </c>
    </row>
    <row r="106" spans="1:34" x14ac:dyDescent="0.25">
      <c r="A106" s="13" t="s">
        <v>205</v>
      </c>
      <c r="B106" s="13" t="s">
        <v>35</v>
      </c>
      <c r="C106" s="13">
        <v>236.86600000000001</v>
      </c>
      <c r="D106" s="13">
        <v>29.838000000000001</v>
      </c>
      <c r="E106" s="13">
        <v>95.751999999999995</v>
      </c>
      <c r="F106" s="13">
        <v>161.57599999999999</v>
      </c>
      <c r="G106" s="6">
        <v>1</v>
      </c>
      <c r="H106" s="13">
        <v>40</v>
      </c>
      <c r="I106" s="13" t="s">
        <v>36</v>
      </c>
      <c r="J106" s="13"/>
      <c r="K106" s="13">
        <v>93.4</v>
      </c>
      <c r="L106" s="13">
        <f t="shared" si="20"/>
        <v>2.3519999999999897</v>
      </c>
      <c r="M106" s="13"/>
      <c r="N106" s="13"/>
      <c r="O106" s="13">
        <v>0</v>
      </c>
      <c r="P106" s="13"/>
      <c r="Q106" s="13"/>
      <c r="R106" s="13">
        <f t="shared" si="21"/>
        <v>19.150399999999998</v>
      </c>
      <c r="S106" s="4">
        <f>10*R106-Q106-O106-F106</f>
        <v>29.927999999999969</v>
      </c>
      <c r="T106" s="4">
        <f t="shared" si="19"/>
        <v>29.927999999999969</v>
      </c>
      <c r="U106" s="13">
        <f t="shared" si="16"/>
        <v>10</v>
      </c>
      <c r="V106" s="13">
        <f t="shared" si="17"/>
        <v>8.4372127997326434</v>
      </c>
      <c r="W106" s="13">
        <v>10.0184</v>
      </c>
      <c r="X106" s="13">
        <v>10.5992</v>
      </c>
      <c r="Y106" s="13">
        <v>15.360799999999999</v>
      </c>
      <c r="Z106" s="13">
        <v>21.815000000000001</v>
      </c>
      <c r="AA106" s="13">
        <v>26.238600000000002</v>
      </c>
      <c r="AB106" s="13">
        <v>26.207999999999998</v>
      </c>
      <c r="AC106" s="13">
        <v>30.0702</v>
      </c>
      <c r="AD106" s="13">
        <v>27.5472</v>
      </c>
      <c r="AE106" s="13">
        <v>24.343599999999999</v>
      </c>
      <c r="AF106" s="13">
        <v>23.461200000000002</v>
      </c>
      <c r="AG106" s="13"/>
      <c r="AH106" s="13">
        <f t="shared" si="18"/>
        <v>30</v>
      </c>
    </row>
    <row r="107" spans="1:34" x14ac:dyDescent="0.25">
      <c r="A107" s="13" t="s">
        <v>206</v>
      </c>
      <c r="B107" s="13" t="s">
        <v>35</v>
      </c>
      <c r="C107" s="13">
        <v>156.37200000000001</v>
      </c>
      <c r="D107" s="13">
        <v>142.69800000000001</v>
      </c>
      <c r="E107" s="13">
        <v>137.65600000000001</v>
      </c>
      <c r="F107" s="13">
        <v>125.82</v>
      </c>
      <c r="G107" s="6">
        <v>1</v>
      </c>
      <c r="H107" s="13">
        <v>40</v>
      </c>
      <c r="I107" s="13" t="s">
        <v>36</v>
      </c>
      <c r="J107" s="13"/>
      <c r="K107" s="13">
        <v>136.1</v>
      </c>
      <c r="L107" s="13">
        <f t="shared" si="20"/>
        <v>1.5560000000000116</v>
      </c>
      <c r="M107" s="13"/>
      <c r="N107" s="13"/>
      <c r="O107" s="13">
        <v>109.5882</v>
      </c>
      <c r="P107" s="13">
        <v>-109.93600000000001</v>
      </c>
      <c r="Q107" s="13"/>
      <c r="R107" s="13">
        <f t="shared" si="21"/>
        <v>27.531200000000002</v>
      </c>
      <c r="S107" s="4">
        <v>60</v>
      </c>
      <c r="T107" s="4">
        <f t="shared" si="19"/>
        <v>60</v>
      </c>
      <c r="U107" s="13">
        <f t="shared" si="16"/>
        <v>6.7368004300575324</v>
      </c>
      <c r="V107" s="13">
        <f t="shared" si="17"/>
        <v>4.557454814900912</v>
      </c>
      <c r="W107" s="13">
        <v>20.959199999999999</v>
      </c>
      <c r="X107" s="13">
        <v>21.774000000000001</v>
      </c>
      <c r="Y107" s="13">
        <v>25.6434</v>
      </c>
      <c r="Z107" s="13">
        <v>20.285</v>
      </c>
      <c r="AA107" s="13">
        <v>3.4573999999999998</v>
      </c>
      <c r="AB107" s="13">
        <v>9.8133999999999997</v>
      </c>
      <c r="AC107" s="13">
        <v>30.8186</v>
      </c>
      <c r="AD107" s="13">
        <v>32.925199999999997</v>
      </c>
      <c r="AE107" s="13">
        <v>17.869199999999999</v>
      </c>
      <c r="AF107" s="13">
        <v>6.8346</v>
      </c>
      <c r="AG107" s="13"/>
      <c r="AH107" s="13">
        <f t="shared" si="18"/>
        <v>60</v>
      </c>
    </row>
    <row r="108" spans="1:34" x14ac:dyDescent="0.25">
      <c r="A108" s="10" t="s">
        <v>208</v>
      </c>
      <c r="B108" s="10" t="s">
        <v>44</v>
      </c>
      <c r="C108" s="10"/>
      <c r="D108" s="10"/>
      <c r="E108" s="10"/>
      <c r="F108" s="10"/>
      <c r="G108" s="11">
        <v>0</v>
      </c>
      <c r="H108" s="10"/>
      <c r="I108" s="10" t="s">
        <v>36</v>
      </c>
      <c r="J108" s="10"/>
      <c r="K108" s="10"/>
      <c r="L108" s="10">
        <f t="shared" si="20"/>
        <v>0</v>
      </c>
      <c r="M108" s="10"/>
      <c r="N108" s="10"/>
      <c r="O108" s="10">
        <v>0</v>
      </c>
      <c r="P108" s="10"/>
      <c r="Q108" s="10"/>
      <c r="R108" s="10">
        <f t="shared" si="21"/>
        <v>0</v>
      </c>
      <c r="S108" s="12"/>
      <c r="T108" s="4">
        <f t="shared" si="19"/>
        <v>0</v>
      </c>
      <c r="U108" s="13" t="e">
        <f t="shared" si="16"/>
        <v>#DIV/0!</v>
      </c>
      <c r="V108" s="10" t="e">
        <f t="shared" si="17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 t="s">
        <v>45</v>
      </c>
      <c r="AH108" s="13">
        <f t="shared" si="18"/>
        <v>0</v>
      </c>
    </row>
    <row r="109" spans="1:34" x14ac:dyDescent="0.25">
      <c r="A109" s="10" t="s">
        <v>209</v>
      </c>
      <c r="B109" s="10" t="s">
        <v>35</v>
      </c>
      <c r="C109" s="10"/>
      <c r="D109" s="10"/>
      <c r="E109" s="10"/>
      <c r="F109" s="10"/>
      <c r="G109" s="11">
        <v>0</v>
      </c>
      <c r="H109" s="10"/>
      <c r="I109" s="10" t="s">
        <v>36</v>
      </c>
      <c r="J109" s="10"/>
      <c r="K109" s="10"/>
      <c r="L109" s="10">
        <f t="shared" si="20"/>
        <v>0</v>
      </c>
      <c r="M109" s="10"/>
      <c r="N109" s="10"/>
      <c r="O109" s="10">
        <v>0</v>
      </c>
      <c r="P109" s="10"/>
      <c r="Q109" s="10"/>
      <c r="R109" s="10">
        <f t="shared" si="21"/>
        <v>0</v>
      </c>
      <c r="S109" s="12"/>
      <c r="T109" s="4">
        <f t="shared" si="19"/>
        <v>0</v>
      </c>
      <c r="U109" s="13" t="e">
        <f t="shared" si="16"/>
        <v>#DIV/0!</v>
      </c>
      <c r="V109" s="10" t="e">
        <f t="shared" si="17"/>
        <v>#DIV/0!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 t="s">
        <v>45</v>
      </c>
      <c r="AH109" s="13">
        <f t="shared" si="18"/>
        <v>0</v>
      </c>
    </row>
    <row r="110" spans="1:34" x14ac:dyDescent="0.25">
      <c r="A110" s="13" t="s">
        <v>210</v>
      </c>
      <c r="B110" s="13" t="s">
        <v>44</v>
      </c>
      <c r="C110" s="13">
        <v>524</v>
      </c>
      <c r="D110" s="13">
        <v>55</v>
      </c>
      <c r="E110" s="13">
        <v>205</v>
      </c>
      <c r="F110" s="13">
        <v>291</v>
      </c>
      <c r="G110" s="6">
        <v>0.28000000000000003</v>
      </c>
      <c r="H110" s="13">
        <v>40</v>
      </c>
      <c r="I110" s="13" t="s">
        <v>36</v>
      </c>
      <c r="J110" s="13"/>
      <c r="K110" s="13">
        <v>253</v>
      </c>
      <c r="L110" s="13">
        <f t="shared" si="20"/>
        <v>-48</v>
      </c>
      <c r="M110" s="13"/>
      <c r="N110" s="13"/>
      <c r="O110" s="13">
        <v>102</v>
      </c>
      <c r="P110" s="13">
        <v>-107.99999999999999</v>
      </c>
      <c r="Q110" s="13"/>
      <c r="R110" s="13">
        <f t="shared" si="21"/>
        <v>41</v>
      </c>
      <c r="S110" s="4">
        <v>50</v>
      </c>
      <c r="T110" s="4">
        <f t="shared" si="19"/>
        <v>50</v>
      </c>
      <c r="U110" s="13">
        <f t="shared" si="16"/>
        <v>8.1707317073170724</v>
      </c>
      <c r="V110" s="13">
        <f t="shared" si="17"/>
        <v>6.9512195121951219</v>
      </c>
      <c r="W110" s="13">
        <v>34</v>
      </c>
      <c r="X110" s="13">
        <v>24.2</v>
      </c>
      <c r="Y110" s="13">
        <v>32.6</v>
      </c>
      <c r="Z110" s="13">
        <v>45.6</v>
      </c>
      <c r="AA110" s="13">
        <v>52.8</v>
      </c>
      <c r="AB110" s="13">
        <v>57.2</v>
      </c>
      <c r="AC110" s="13">
        <v>51.4</v>
      </c>
      <c r="AD110" s="13">
        <v>46.4</v>
      </c>
      <c r="AE110" s="13">
        <v>51</v>
      </c>
      <c r="AF110" s="13">
        <v>48.8</v>
      </c>
      <c r="AG110" s="13"/>
      <c r="AH110" s="13">
        <f t="shared" si="18"/>
        <v>14</v>
      </c>
    </row>
    <row r="111" spans="1:34" x14ac:dyDescent="0.25">
      <c r="A111" s="13" t="s">
        <v>212</v>
      </c>
      <c r="B111" s="13" t="s">
        <v>44</v>
      </c>
      <c r="C111" s="13">
        <v>399</v>
      </c>
      <c r="D111" s="13">
        <v>116</v>
      </c>
      <c r="E111" s="13">
        <v>180</v>
      </c>
      <c r="F111" s="13">
        <v>260</v>
      </c>
      <c r="G111" s="6">
        <v>0.28000000000000003</v>
      </c>
      <c r="H111" s="13">
        <v>40</v>
      </c>
      <c r="I111" s="13" t="s">
        <v>36</v>
      </c>
      <c r="J111" s="13"/>
      <c r="K111" s="13">
        <v>206</v>
      </c>
      <c r="L111" s="13">
        <f t="shared" si="20"/>
        <v>-26</v>
      </c>
      <c r="M111" s="13"/>
      <c r="N111" s="13"/>
      <c r="O111" s="13">
        <v>0</v>
      </c>
      <c r="P111" s="13"/>
      <c r="Q111" s="13"/>
      <c r="R111" s="13">
        <f t="shared" si="21"/>
        <v>36</v>
      </c>
      <c r="S111" s="4">
        <f>11*R111-Q111-O111-F111</f>
        <v>136</v>
      </c>
      <c r="T111" s="4">
        <f>S111+R111*$T$1</f>
        <v>109</v>
      </c>
      <c r="U111" s="13">
        <f t="shared" si="16"/>
        <v>10.25</v>
      </c>
      <c r="V111" s="13">
        <f t="shared" si="17"/>
        <v>7.2222222222222223</v>
      </c>
      <c r="W111" s="13">
        <v>21</v>
      </c>
      <c r="X111" s="13">
        <v>19.399999999999999</v>
      </c>
      <c r="Y111" s="13">
        <v>32.799999999999997</v>
      </c>
      <c r="Z111" s="13">
        <v>43.4</v>
      </c>
      <c r="AA111" s="13">
        <v>46.6</v>
      </c>
      <c r="AB111" s="13">
        <v>24</v>
      </c>
      <c r="AC111" s="13">
        <v>-0.2</v>
      </c>
      <c r="AD111" s="13">
        <v>1.8</v>
      </c>
      <c r="AE111" s="13">
        <v>19.2</v>
      </c>
      <c r="AF111" s="13">
        <v>39.200000000000003</v>
      </c>
      <c r="AG111" s="13"/>
      <c r="AH111" s="13">
        <f t="shared" si="18"/>
        <v>31</v>
      </c>
    </row>
    <row r="112" spans="1:34" x14ac:dyDescent="0.25">
      <c r="A112" s="13" t="s">
        <v>213</v>
      </c>
      <c r="B112" s="13" t="s">
        <v>44</v>
      </c>
      <c r="C112" s="13">
        <v>384</v>
      </c>
      <c r="D112" s="13">
        <v>75</v>
      </c>
      <c r="E112" s="13">
        <v>186</v>
      </c>
      <c r="F112" s="13">
        <v>196</v>
      </c>
      <c r="G112" s="6">
        <v>0.28000000000000003</v>
      </c>
      <c r="H112" s="13">
        <v>40</v>
      </c>
      <c r="I112" s="13" t="s">
        <v>36</v>
      </c>
      <c r="J112" s="13"/>
      <c r="K112" s="13">
        <v>233</v>
      </c>
      <c r="L112" s="13">
        <f t="shared" si="20"/>
        <v>-47</v>
      </c>
      <c r="M112" s="13"/>
      <c r="N112" s="13"/>
      <c r="O112" s="13">
        <v>237.3</v>
      </c>
      <c r="P112" s="13">
        <v>0</v>
      </c>
      <c r="Q112" s="13"/>
      <c r="R112" s="13">
        <f t="shared" si="21"/>
        <v>37.200000000000003</v>
      </c>
      <c r="S112" s="4"/>
      <c r="T112" s="4">
        <f t="shared" si="19"/>
        <v>0</v>
      </c>
      <c r="U112" s="13">
        <f t="shared" si="16"/>
        <v>11.64784946236559</v>
      </c>
      <c r="V112" s="13">
        <f t="shared" si="17"/>
        <v>11.64784946236559</v>
      </c>
      <c r="W112" s="13">
        <v>34.799999999999997</v>
      </c>
      <c r="X112" s="13">
        <v>33.200000000000003</v>
      </c>
      <c r="Y112" s="13">
        <v>37.799999999999997</v>
      </c>
      <c r="Z112" s="13">
        <v>41.6</v>
      </c>
      <c r="AA112" s="13">
        <v>45</v>
      </c>
      <c r="AB112" s="13">
        <v>46</v>
      </c>
      <c r="AC112" s="13">
        <v>43.4</v>
      </c>
      <c r="AD112" s="13">
        <v>45.8</v>
      </c>
      <c r="AE112" s="13">
        <v>41</v>
      </c>
      <c r="AF112" s="13">
        <v>35.799999999999997</v>
      </c>
      <c r="AG112" s="13"/>
      <c r="AH112" s="13">
        <f t="shared" si="18"/>
        <v>0</v>
      </c>
    </row>
    <row r="113" spans="1:34" x14ac:dyDescent="0.25">
      <c r="A113" s="13" t="s">
        <v>215</v>
      </c>
      <c r="B113" s="13" t="s">
        <v>44</v>
      </c>
      <c r="C113" s="13">
        <v>39</v>
      </c>
      <c r="D113" s="13">
        <v>93</v>
      </c>
      <c r="E113" s="13">
        <v>28</v>
      </c>
      <c r="F113" s="13">
        <v>95</v>
      </c>
      <c r="G113" s="6">
        <v>0.09</v>
      </c>
      <c r="H113" s="13">
        <v>45</v>
      </c>
      <c r="I113" s="13" t="s">
        <v>36</v>
      </c>
      <c r="J113" s="13"/>
      <c r="K113" s="13">
        <v>40</v>
      </c>
      <c r="L113" s="13">
        <f t="shared" si="20"/>
        <v>-12</v>
      </c>
      <c r="M113" s="13"/>
      <c r="N113" s="13"/>
      <c r="O113" s="13">
        <v>70</v>
      </c>
      <c r="P113" s="13">
        <v>0</v>
      </c>
      <c r="Q113" s="13"/>
      <c r="R113" s="13">
        <f t="shared" si="21"/>
        <v>5.6</v>
      </c>
      <c r="S113" s="4"/>
      <c r="T113" s="4">
        <f t="shared" si="19"/>
        <v>0</v>
      </c>
      <c r="U113" s="13">
        <f t="shared" si="16"/>
        <v>29.464285714285715</v>
      </c>
      <c r="V113" s="13">
        <f t="shared" si="17"/>
        <v>29.464285714285715</v>
      </c>
      <c r="W113" s="13">
        <v>2.4</v>
      </c>
      <c r="X113" s="13">
        <v>3.6</v>
      </c>
      <c r="Y113" s="13">
        <v>8.1999999999999993</v>
      </c>
      <c r="Z113" s="13">
        <v>9.6</v>
      </c>
      <c r="AA113" s="13">
        <v>6.6</v>
      </c>
      <c r="AB113" s="13">
        <v>2.8</v>
      </c>
      <c r="AC113" s="13">
        <v>4.2</v>
      </c>
      <c r="AD113" s="13">
        <v>6</v>
      </c>
      <c r="AE113" s="13">
        <v>1.8</v>
      </c>
      <c r="AF113" s="13">
        <v>5.6</v>
      </c>
      <c r="AG113" s="17" t="s">
        <v>216</v>
      </c>
      <c r="AH113" s="13">
        <f t="shared" si="18"/>
        <v>0</v>
      </c>
    </row>
    <row r="114" spans="1:34" x14ac:dyDescent="0.25">
      <c r="A114" s="13" t="s">
        <v>218</v>
      </c>
      <c r="B114" s="13" t="s">
        <v>35</v>
      </c>
      <c r="C114" s="13">
        <v>197.38</v>
      </c>
      <c r="D114" s="13">
        <v>30.448</v>
      </c>
      <c r="E114" s="13">
        <v>37.128999999999998</v>
      </c>
      <c r="F114" s="13">
        <v>172.797</v>
      </c>
      <c r="G114" s="6">
        <v>1</v>
      </c>
      <c r="H114" s="13">
        <v>60</v>
      </c>
      <c r="I114" s="13" t="s">
        <v>36</v>
      </c>
      <c r="J114" s="13"/>
      <c r="K114" s="13">
        <v>37.54</v>
      </c>
      <c r="L114" s="13">
        <f t="shared" si="20"/>
        <v>-0.41100000000000136</v>
      </c>
      <c r="M114" s="13"/>
      <c r="N114" s="13"/>
      <c r="O114" s="13">
        <v>0</v>
      </c>
      <c r="P114" s="13"/>
      <c r="Q114" s="13"/>
      <c r="R114" s="13">
        <f t="shared" si="21"/>
        <v>7.4257999999999997</v>
      </c>
      <c r="S114" s="4"/>
      <c r="T114" s="4">
        <f t="shared" si="19"/>
        <v>0</v>
      </c>
      <c r="U114" s="13">
        <f t="shared" si="16"/>
        <v>23.269816046755906</v>
      </c>
      <c r="V114" s="13">
        <f t="shared" si="17"/>
        <v>23.269816046755906</v>
      </c>
      <c r="W114" s="13">
        <v>8.0817999999999994</v>
      </c>
      <c r="X114" s="13">
        <v>7.9066000000000001</v>
      </c>
      <c r="Y114" s="13">
        <v>7.5061999999999998</v>
      </c>
      <c r="Z114" s="13">
        <v>11.083399999999999</v>
      </c>
      <c r="AA114" s="13">
        <v>18.972999999999999</v>
      </c>
      <c r="AB114" s="13">
        <v>21.614599999999999</v>
      </c>
      <c r="AC114" s="13">
        <v>13.019600000000001</v>
      </c>
      <c r="AD114" s="13">
        <v>9.3587999999999987</v>
      </c>
      <c r="AE114" s="13">
        <v>18.064599999999999</v>
      </c>
      <c r="AF114" s="13">
        <v>21.049600000000002</v>
      </c>
      <c r="AG114" s="16" t="s">
        <v>167</v>
      </c>
      <c r="AH114" s="13">
        <f t="shared" si="18"/>
        <v>0</v>
      </c>
    </row>
    <row r="115" spans="1:34" x14ac:dyDescent="0.25">
      <c r="A115" s="13" t="s">
        <v>219</v>
      </c>
      <c r="B115" s="13" t="s">
        <v>35</v>
      </c>
      <c r="C115" s="13">
        <v>197.42400000000001</v>
      </c>
      <c r="D115" s="13">
        <v>17.292999999999999</v>
      </c>
      <c r="E115" s="13">
        <v>63.527999999999999</v>
      </c>
      <c r="F115" s="13">
        <v>134.79900000000001</v>
      </c>
      <c r="G115" s="6">
        <v>1</v>
      </c>
      <c r="H115" s="13">
        <v>50</v>
      </c>
      <c r="I115" s="13" t="s">
        <v>36</v>
      </c>
      <c r="J115" s="13"/>
      <c r="K115" s="13">
        <v>64.185000000000002</v>
      </c>
      <c r="L115" s="13">
        <f t="shared" si="20"/>
        <v>-0.65700000000000358</v>
      </c>
      <c r="M115" s="13"/>
      <c r="N115" s="13"/>
      <c r="O115" s="13">
        <v>43.966999999999999</v>
      </c>
      <c r="P115" s="13">
        <v>0</v>
      </c>
      <c r="Q115" s="13"/>
      <c r="R115" s="13">
        <f t="shared" si="21"/>
        <v>12.7056</v>
      </c>
      <c r="S115" s="4"/>
      <c r="T115" s="4">
        <f t="shared" si="19"/>
        <v>0</v>
      </c>
      <c r="U115" s="13">
        <f t="shared" si="16"/>
        <v>14.069858959828737</v>
      </c>
      <c r="V115" s="13">
        <f t="shared" si="17"/>
        <v>14.069858959828737</v>
      </c>
      <c r="W115" s="13">
        <v>13.9284</v>
      </c>
      <c r="X115" s="13">
        <v>8.4375999999999998</v>
      </c>
      <c r="Y115" s="13">
        <v>7.9498000000000006</v>
      </c>
      <c r="Z115" s="13">
        <v>13.4292</v>
      </c>
      <c r="AA115" s="13">
        <v>21.123000000000001</v>
      </c>
      <c r="AB115" s="13">
        <v>25.892800000000001</v>
      </c>
      <c r="AC115" s="13">
        <v>21.508199999999999</v>
      </c>
      <c r="AD115" s="13">
        <v>16.107800000000001</v>
      </c>
      <c r="AE115" s="13">
        <v>20.5518</v>
      </c>
      <c r="AF115" s="13">
        <v>23.8172</v>
      </c>
      <c r="AG115" s="17" t="s">
        <v>58</v>
      </c>
      <c r="AH115" s="13">
        <f t="shared" si="18"/>
        <v>0</v>
      </c>
    </row>
    <row r="116" spans="1:34" x14ac:dyDescent="0.25">
      <c r="A116" s="13" t="s">
        <v>221</v>
      </c>
      <c r="B116" s="13" t="s">
        <v>44</v>
      </c>
      <c r="C116" s="13">
        <v>21</v>
      </c>
      <c r="D116" s="13">
        <v>100</v>
      </c>
      <c r="E116" s="13">
        <v>30</v>
      </c>
      <c r="F116" s="13">
        <v>89</v>
      </c>
      <c r="G116" s="6">
        <v>0.09</v>
      </c>
      <c r="H116" s="13">
        <v>45</v>
      </c>
      <c r="I116" s="13" t="s">
        <v>36</v>
      </c>
      <c r="J116" s="13"/>
      <c r="K116" s="13">
        <v>41</v>
      </c>
      <c r="L116" s="13">
        <f t="shared" si="20"/>
        <v>-11</v>
      </c>
      <c r="M116" s="13"/>
      <c r="N116" s="13"/>
      <c r="O116" s="13">
        <v>70</v>
      </c>
      <c r="P116" s="13">
        <v>0</v>
      </c>
      <c r="Q116" s="13"/>
      <c r="R116" s="13">
        <f t="shared" si="21"/>
        <v>6</v>
      </c>
      <c r="S116" s="4"/>
      <c r="T116" s="4">
        <f t="shared" si="19"/>
        <v>0</v>
      </c>
      <c r="U116" s="13">
        <f t="shared" si="16"/>
        <v>26.5</v>
      </c>
      <c r="V116" s="13">
        <f t="shared" si="17"/>
        <v>26.5</v>
      </c>
      <c r="W116" s="13">
        <v>3.4</v>
      </c>
      <c r="X116" s="13">
        <v>6.2</v>
      </c>
      <c r="Y116" s="13">
        <v>9.4</v>
      </c>
      <c r="Z116" s="13">
        <v>6</v>
      </c>
      <c r="AA116" s="13">
        <v>3.8</v>
      </c>
      <c r="AB116" s="13">
        <v>5.2</v>
      </c>
      <c r="AC116" s="13">
        <v>5.6</v>
      </c>
      <c r="AD116" s="13">
        <v>6.4</v>
      </c>
      <c r="AE116" s="13">
        <v>2.4</v>
      </c>
      <c r="AF116" s="13">
        <v>3.2</v>
      </c>
      <c r="AG116" s="13" t="s">
        <v>193</v>
      </c>
      <c r="AH116" s="13">
        <f t="shared" si="18"/>
        <v>0</v>
      </c>
    </row>
    <row r="117" spans="1:34" x14ac:dyDescent="0.25">
      <c r="A117" s="13" t="s">
        <v>223</v>
      </c>
      <c r="B117" s="13" t="s">
        <v>44</v>
      </c>
      <c r="C117" s="13">
        <v>40</v>
      </c>
      <c r="D117" s="13">
        <v>51</v>
      </c>
      <c r="E117" s="13">
        <v>36</v>
      </c>
      <c r="F117" s="13">
        <v>50</v>
      </c>
      <c r="G117" s="6">
        <v>0.09</v>
      </c>
      <c r="H117" s="13">
        <v>45</v>
      </c>
      <c r="I117" s="13" t="s">
        <v>36</v>
      </c>
      <c r="J117" s="13"/>
      <c r="K117" s="13">
        <v>39</v>
      </c>
      <c r="L117" s="13">
        <f t="shared" si="20"/>
        <v>-3</v>
      </c>
      <c r="M117" s="13"/>
      <c r="N117" s="13"/>
      <c r="O117" s="13">
        <v>70</v>
      </c>
      <c r="P117" s="13">
        <v>0</v>
      </c>
      <c r="Q117" s="13"/>
      <c r="R117" s="13">
        <f t="shared" si="21"/>
        <v>7.2</v>
      </c>
      <c r="S117" s="4"/>
      <c r="T117" s="4">
        <f t="shared" si="19"/>
        <v>0</v>
      </c>
      <c r="U117" s="13">
        <f t="shared" si="16"/>
        <v>16.666666666666668</v>
      </c>
      <c r="V117" s="13">
        <f t="shared" si="17"/>
        <v>16.666666666666668</v>
      </c>
      <c r="W117" s="13">
        <v>5.6</v>
      </c>
      <c r="X117" s="13">
        <v>5.6</v>
      </c>
      <c r="Y117" s="13">
        <v>7.8</v>
      </c>
      <c r="Z117" s="13">
        <v>6</v>
      </c>
      <c r="AA117" s="13">
        <v>3.2</v>
      </c>
      <c r="AB117" s="13">
        <v>3.8</v>
      </c>
      <c r="AC117" s="13">
        <v>6.2</v>
      </c>
      <c r="AD117" s="13">
        <v>6.2</v>
      </c>
      <c r="AE117" s="13">
        <v>2</v>
      </c>
      <c r="AF117" s="13">
        <v>3.4</v>
      </c>
      <c r="AG117" s="13" t="s">
        <v>193</v>
      </c>
      <c r="AH117" s="13">
        <f t="shared" si="18"/>
        <v>0</v>
      </c>
    </row>
    <row r="118" spans="1:34" x14ac:dyDescent="0.25">
      <c r="A118" s="13" t="s">
        <v>225</v>
      </c>
      <c r="B118" s="13" t="s">
        <v>35</v>
      </c>
      <c r="C118" s="13">
        <v>180.12299999999999</v>
      </c>
      <c r="D118" s="13">
        <v>40.408999999999999</v>
      </c>
      <c r="E118" s="13">
        <v>73.042000000000002</v>
      </c>
      <c r="F118" s="13">
        <v>122.402</v>
      </c>
      <c r="G118" s="6">
        <v>1</v>
      </c>
      <c r="H118" s="13">
        <v>60</v>
      </c>
      <c r="I118" s="13" t="s">
        <v>36</v>
      </c>
      <c r="J118" s="13"/>
      <c r="K118" s="13">
        <v>78.769000000000005</v>
      </c>
      <c r="L118" s="13">
        <f t="shared" si="20"/>
        <v>-5.7270000000000039</v>
      </c>
      <c r="M118" s="13"/>
      <c r="N118" s="13"/>
      <c r="O118" s="13">
        <v>0</v>
      </c>
      <c r="P118" s="13"/>
      <c r="Q118" s="13"/>
      <c r="R118" s="13">
        <f t="shared" si="21"/>
        <v>14.6084</v>
      </c>
      <c r="S118" s="4">
        <f>11*R118-Q118-O118-F118</f>
        <v>38.290399999999991</v>
      </c>
      <c r="T118" s="4">
        <f t="shared" si="19"/>
        <v>38.290399999999991</v>
      </c>
      <c r="U118" s="13">
        <f t="shared" si="16"/>
        <v>11</v>
      </c>
      <c r="V118" s="13">
        <f t="shared" si="17"/>
        <v>8.3788779058623817</v>
      </c>
      <c r="W118" s="13">
        <v>7.5492000000000008</v>
      </c>
      <c r="X118" s="13">
        <v>5.8979999999999997</v>
      </c>
      <c r="Y118" s="13">
        <v>11.662599999999999</v>
      </c>
      <c r="Z118" s="13">
        <v>14.193199999999999</v>
      </c>
      <c r="AA118" s="13">
        <v>18.148800000000001</v>
      </c>
      <c r="AB118" s="13">
        <v>14.731400000000001</v>
      </c>
      <c r="AC118" s="13">
        <v>11.702199999999999</v>
      </c>
      <c r="AD118" s="13">
        <v>16.356999999999999</v>
      </c>
      <c r="AE118" s="13">
        <v>14.2948</v>
      </c>
      <c r="AF118" s="13">
        <v>16.265000000000001</v>
      </c>
      <c r="AG118" s="13"/>
      <c r="AH118" s="13">
        <f t="shared" si="18"/>
        <v>38</v>
      </c>
    </row>
    <row r="119" spans="1:34" x14ac:dyDescent="0.25">
      <c r="A119" s="13" t="s">
        <v>226</v>
      </c>
      <c r="B119" s="13" t="s">
        <v>35</v>
      </c>
      <c r="C119" s="13">
        <v>280.45299999999997</v>
      </c>
      <c r="D119" s="13">
        <v>48.194000000000003</v>
      </c>
      <c r="E119" s="13">
        <v>136.91999999999999</v>
      </c>
      <c r="F119" s="13">
        <v>141.35400000000001</v>
      </c>
      <c r="G119" s="6">
        <v>1</v>
      </c>
      <c r="H119" s="13">
        <v>60</v>
      </c>
      <c r="I119" s="13" t="s">
        <v>36</v>
      </c>
      <c r="J119" s="13"/>
      <c r="K119" s="13">
        <v>142.35</v>
      </c>
      <c r="L119" s="13">
        <f t="shared" si="20"/>
        <v>-5.4300000000000068</v>
      </c>
      <c r="M119" s="13"/>
      <c r="N119" s="13"/>
      <c r="O119" s="13">
        <v>0</v>
      </c>
      <c r="P119" s="13"/>
      <c r="Q119" s="13"/>
      <c r="R119" s="13">
        <f t="shared" si="21"/>
        <v>27.383999999999997</v>
      </c>
      <c r="S119" s="4">
        <f>10*R119-Q119-O119-F119</f>
        <v>132.48599999999996</v>
      </c>
      <c r="T119" s="4">
        <f>S119+R119*$T$1</f>
        <v>111.94799999999996</v>
      </c>
      <c r="U119" s="13">
        <f t="shared" si="16"/>
        <v>9.25</v>
      </c>
      <c r="V119" s="13">
        <f t="shared" si="17"/>
        <v>5.1619193689745844</v>
      </c>
      <c r="W119" s="13">
        <v>11.255599999999999</v>
      </c>
      <c r="X119" s="13">
        <v>13.8432</v>
      </c>
      <c r="Y119" s="13">
        <v>24.488800000000001</v>
      </c>
      <c r="Z119" s="13">
        <v>27.658799999999999</v>
      </c>
      <c r="AA119" s="13">
        <v>32.487400000000001</v>
      </c>
      <c r="AB119" s="13">
        <v>32.491</v>
      </c>
      <c r="AC119" s="13">
        <v>33.539200000000001</v>
      </c>
      <c r="AD119" s="13">
        <v>38.166400000000003</v>
      </c>
      <c r="AE119" s="13">
        <v>33.573999999999998</v>
      </c>
      <c r="AF119" s="13">
        <v>28.9922</v>
      </c>
      <c r="AG119" s="13"/>
      <c r="AH119" s="13">
        <f t="shared" si="18"/>
        <v>112</v>
      </c>
    </row>
    <row r="120" spans="1:34" x14ac:dyDescent="0.25">
      <c r="A120" s="13" t="s">
        <v>227</v>
      </c>
      <c r="B120" s="13" t="s">
        <v>35</v>
      </c>
      <c r="C120" s="13">
        <v>57.142000000000003</v>
      </c>
      <c r="D120" s="13">
        <v>28.395</v>
      </c>
      <c r="E120" s="13">
        <v>27.916</v>
      </c>
      <c r="F120" s="13">
        <v>55.747</v>
      </c>
      <c r="G120" s="6">
        <v>1</v>
      </c>
      <c r="H120" s="13">
        <v>60</v>
      </c>
      <c r="I120" s="13" t="s">
        <v>36</v>
      </c>
      <c r="J120" s="13"/>
      <c r="K120" s="13">
        <v>25.654</v>
      </c>
      <c r="L120" s="13">
        <f t="shared" si="20"/>
        <v>2.2620000000000005</v>
      </c>
      <c r="M120" s="13"/>
      <c r="N120" s="13"/>
      <c r="O120" s="13">
        <v>27.7498</v>
      </c>
      <c r="P120" s="13">
        <v>0</v>
      </c>
      <c r="Q120" s="13"/>
      <c r="R120" s="13">
        <f t="shared" si="21"/>
        <v>5.5831999999999997</v>
      </c>
      <c r="S120" s="4"/>
      <c r="T120" s="4">
        <f t="shared" si="19"/>
        <v>0</v>
      </c>
      <c r="U120" s="13">
        <f t="shared" si="16"/>
        <v>14.955007880785216</v>
      </c>
      <c r="V120" s="13">
        <f t="shared" si="17"/>
        <v>14.955007880785216</v>
      </c>
      <c r="W120" s="13">
        <v>5.3019999999999996</v>
      </c>
      <c r="X120" s="13">
        <v>3.3967999999999998</v>
      </c>
      <c r="Y120" s="13">
        <v>6.5150000000000006</v>
      </c>
      <c r="Z120" s="13">
        <v>7.4676</v>
      </c>
      <c r="AA120" s="13">
        <v>6.0911999999999997</v>
      </c>
      <c r="AB120" s="13">
        <v>8.3735999999999997</v>
      </c>
      <c r="AC120" s="13">
        <v>6.7864000000000004</v>
      </c>
      <c r="AD120" s="13">
        <v>2.7437999999999998</v>
      </c>
      <c r="AE120" s="13">
        <v>5.9551999999999996</v>
      </c>
      <c r="AF120" s="13">
        <v>7.2919999999999998</v>
      </c>
      <c r="AG120" s="13"/>
      <c r="AH120" s="13">
        <f t="shared" si="18"/>
        <v>0</v>
      </c>
    </row>
    <row r="121" spans="1:34" x14ac:dyDescent="0.25">
      <c r="A121" s="13" t="s">
        <v>229</v>
      </c>
      <c r="B121" s="13" t="s">
        <v>35</v>
      </c>
      <c r="C121" s="13">
        <v>1624.473</v>
      </c>
      <c r="D121" s="13">
        <v>1365.26</v>
      </c>
      <c r="E121" s="13">
        <v>745.952</v>
      </c>
      <c r="F121" s="13">
        <v>2012.3420000000001</v>
      </c>
      <c r="G121" s="6">
        <v>1</v>
      </c>
      <c r="H121" s="13">
        <v>60</v>
      </c>
      <c r="I121" s="13" t="s">
        <v>36</v>
      </c>
      <c r="J121" s="13"/>
      <c r="K121" s="13">
        <v>827.42</v>
      </c>
      <c r="L121" s="13">
        <f t="shared" si="20"/>
        <v>-81.467999999999961</v>
      </c>
      <c r="M121" s="13"/>
      <c r="N121" s="13"/>
      <c r="O121" s="13">
        <v>250</v>
      </c>
      <c r="P121" s="13">
        <v>0</v>
      </c>
      <c r="Q121" s="18"/>
      <c r="R121" s="13">
        <f t="shared" si="21"/>
        <v>149.19040000000001</v>
      </c>
      <c r="S121" s="4"/>
      <c r="T121" s="4">
        <f t="shared" si="19"/>
        <v>0</v>
      </c>
      <c r="U121" s="13">
        <f t="shared" si="16"/>
        <v>15.164125841877224</v>
      </c>
      <c r="V121" s="13">
        <f t="shared" si="17"/>
        <v>15.164125841877224</v>
      </c>
      <c r="W121" s="13">
        <v>130.2586</v>
      </c>
      <c r="X121" s="13">
        <v>161.93</v>
      </c>
      <c r="Y121" s="13">
        <v>151.02940000000001</v>
      </c>
      <c r="Z121" s="13">
        <v>117.4376</v>
      </c>
      <c r="AA121" s="13">
        <v>168.51339999999999</v>
      </c>
      <c r="AB121" s="13">
        <v>198.84460000000001</v>
      </c>
      <c r="AC121" s="13">
        <v>196.62360000000001</v>
      </c>
      <c r="AD121" s="13">
        <v>210.56399999999999</v>
      </c>
      <c r="AE121" s="13">
        <v>163.96199999999999</v>
      </c>
      <c r="AF121" s="13">
        <v>143.77440000000001</v>
      </c>
      <c r="AG121" s="13"/>
      <c r="AH121" s="13">
        <f t="shared" si="18"/>
        <v>0</v>
      </c>
    </row>
    <row r="122" spans="1:34" x14ac:dyDescent="0.25">
      <c r="A122" s="13" t="s">
        <v>231</v>
      </c>
      <c r="B122" s="13" t="s">
        <v>44</v>
      </c>
      <c r="C122" s="13">
        <v>35</v>
      </c>
      <c r="D122" s="13">
        <v>2</v>
      </c>
      <c r="E122" s="13">
        <v>41</v>
      </c>
      <c r="F122" s="13">
        <v>2</v>
      </c>
      <c r="G122" s="6">
        <v>0.25</v>
      </c>
      <c r="H122" s="13"/>
      <c r="I122" s="15" t="s">
        <v>75</v>
      </c>
      <c r="J122" s="13"/>
      <c r="K122" s="13">
        <v>69</v>
      </c>
      <c r="L122" s="13">
        <f t="shared" si="20"/>
        <v>-28</v>
      </c>
      <c r="M122" s="13"/>
      <c r="N122" s="13"/>
      <c r="O122" s="13">
        <v>600.00000000000011</v>
      </c>
      <c r="P122" s="13">
        <v>-600</v>
      </c>
      <c r="Q122" s="13"/>
      <c r="R122" s="13">
        <f t="shared" si="21"/>
        <v>8.1999999999999993</v>
      </c>
      <c r="S122" s="4">
        <v>150</v>
      </c>
      <c r="T122" s="4">
        <f>S122+R122*$T$1</f>
        <v>143.85</v>
      </c>
      <c r="U122" s="13">
        <f t="shared" si="16"/>
        <v>17.786585365853675</v>
      </c>
      <c r="V122" s="13">
        <f t="shared" si="17"/>
        <v>0.24390243902440412</v>
      </c>
      <c r="W122" s="13">
        <v>40.200000000000003</v>
      </c>
      <c r="X122" s="13">
        <v>33.799999999999997</v>
      </c>
      <c r="Y122" s="13">
        <v>0</v>
      </c>
      <c r="Z122" s="13">
        <v>0</v>
      </c>
      <c r="AA122" s="13">
        <v>0</v>
      </c>
      <c r="AB122" s="13">
        <v>0.05</v>
      </c>
      <c r="AC122" s="13">
        <v>0</v>
      </c>
      <c r="AD122" s="13">
        <v>0</v>
      </c>
      <c r="AE122" s="13">
        <v>0</v>
      </c>
      <c r="AF122" s="13">
        <v>0</v>
      </c>
      <c r="AG122" s="13" t="s">
        <v>232</v>
      </c>
      <c r="AH122" s="13">
        <f t="shared" si="18"/>
        <v>36</v>
      </c>
    </row>
    <row r="123" spans="1:34" x14ac:dyDescent="0.25">
      <c r="A123" s="13" t="s">
        <v>234</v>
      </c>
      <c r="B123" s="13" t="s">
        <v>44</v>
      </c>
      <c r="C123" s="13">
        <v>130</v>
      </c>
      <c r="D123" s="13"/>
      <c r="E123" s="14">
        <f>32+E130</f>
        <v>36</v>
      </c>
      <c r="F123" s="13">
        <v>88</v>
      </c>
      <c r="G123" s="6">
        <v>0.32500000000000001</v>
      </c>
      <c r="H123" s="13"/>
      <c r="I123" s="15" t="s">
        <v>75</v>
      </c>
      <c r="J123" s="13"/>
      <c r="K123" s="13">
        <v>32</v>
      </c>
      <c r="L123" s="13">
        <f t="shared" si="20"/>
        <v>4</v>
      </c>
      <c r="M123" s="13"/>
      <c r="N123" s="13"/>
      <c r="O123" s="13">
        <v>220</v>
      </c>
      <c r="P123" s="13">
        <v>-227.99999999999997</v>
      </c>
      <c r="Q123" s="13"/>
      <c r="R123" s="13">
        <f t="shared" si="21"/>
        <v>7.2</v>
      </c>
      <c r="S123" s="4"/>
      <c r="T123" s="4">
        <f t="shared" si="19"/>
        <v>0</v>
      </c>
      <c r="U123" s="13">
        <f t="shared" si="16"/>
        <v>11.111111111111114</v>
      </c>
      <c r="V123" s="13">
        <f t="shared" si="17"/>
        <v>11.111111111111114</v>
      </c>
      <c r="W123" s="13">
        <v>21.2</v>
      </c>
      <c r="X123" s="13">
        <v>15.8</v>
      </c>
      <c r="Y123" s="13">
        <v>0</v>
      </c>
      <c r="Z123" s="13">
        <v>0</v>
      </c>
      <c r="AA123" s="13">
        <v>0</v>
      </c>
      <c r="AB123" s="13">
        <v>6.5000000000000002E-2</v>
      </c>
      <c r="AC123" s="13">
        <v>0</v>
      </c>
      <c r="AD123" s="13">
        <v>0</v>
      </c>
      <c r="AE123" s="13">
        <v>0</v>
      </c>
      <c r="AF123" s="13">
        <v>0</v>
      </c>
      <c r="AG123" s="13" t="s">
        <v>232</v>
      </c>
      <c r="AH123" s="13">
        <f t="shared" si="18"/>
        <v>0</v>
      </c>
    </row>
    <row r="124" spans="1:34" x14ac:dyDescent="0.25">
      <c r="A124" s="13" t="s">
        <v>236</v>
      </c>
      <c r="B124" s="13" t="s">
        <v>44</v>
      </c>
      <c r="C124" s="13">
        <v>32</v>
      </c>
      <c r="D124" s="13">
        <v>1</v>
      </c>
      <c r="E124" s="13">
        <v>40</v>
      </c>
      <c r="F124" s="13"/>
      <c r="G124" s="6">
        <v>0.25</v>
      </c>
      <c r="H124" s="13"/>
      <c r="I124" s="13" t="s">
        <v>36</v>
      </c>
      <c r="J124" s="13"/>
      <c r="K124" s="13">
        <v>65</v>
      </c>
      <c r="L124" s="13">
        <f t="shared" si="20"/>
        <v>-25</v>
      </c>
      <c r="M124" s="13"/>
      <c r="N124" s="13"/>
      <c r="O124" s="13">
        <v>604</v>
      </c>
      <c r="P124" s="13">
        <v>0</v>
      </c>
      <c r="Q124" s="13"/>
      <c r="R124" s="13">
        <f t="shared" si="21"/>
        <v>8</v>
      </c>
      <c r="S124" s="4"/>
      <c r="T124" s="4">
        <f t="shared" si="19"/>
        <v>0</v>
      </c>
      <c r="U124" s="13">
        <f t="shared" si="16"/>
        <v>75.5</v>
      </c>
      <c r="V124" s="13">
        <f t="shared" si="17"/>
        <v>75.5</v>
      </c>
      <c r="W124" s="13">
        <v>40.4</v>
      </c>
      <c r="X124" s="13">
        <v>34.4</v>
      </c>
      <c r="Y124" s="13">
        <v>0</v>
      </c>
      <c r="Z124" s="13">
        <v>0</v>
      </c>
      <c r="AA124" s="13">
        <v>0</v>
      </c>
      <c r="AB124" s="13">
        <v>0.05</v>
      </c>
      <c r="AC124" s="13">
        <v>0</v>
      </c>
      <c r="AD124" s="13">
        <v>0</v>
      </c>
      <c r="AE124" s="13">
        <v>0</v>
      </c>
      <c r="AF124" s="13">
        <v>0</v>
      </c>
      <c r="AG124" s="13" t="s">
        <v>232</v>
      </c>
      <c r="AH124" s="13">
        <f t="shared" si="18"/>
        <v>0</v>
      </c>
    </row>
    <row r="125" spans="1:34" x14ac:dyDescent="0.25">
      <c r="A125" s="13" t="s">
        <v>238</v>
      </c>
      <c r="B125" s="13" t="s">
        <v>44</v>
      </c>
      <c r="C125" s="13">
        <v>142</v>
      </c>
      <c r="D125" s="13">
        <v>521</v>
      </c>
      <c r="E125" s="13">
        <v>166</v>
      </c>
      <c r="F125" s="13">
        <v>457</v>
      </c>
      <c r="G125" s="6">
        <v>0.3</v>
      </c>
      <c r="H125" s="13">
        <v>40</v>
      </c>
      <c r="I125" s="15" t="s">
        <v>75</v>
      </c>
      <c r="J125" s="13"/>
      <c r="K125" s="13">
        <v>206</v>
      </c>
      <c r="L125" s="13">
        <f t="shared" si="20"/>
        <v>-40</v>
      </c>
      <c r="M125" s="13"/>
      <c r="N125" s="13"/>
      <c r="O125" s="13">
        <v>146.08000000000001</v>
      </c>
      <c r="P125" s="13">
        <v>-150</v>
      </c>
      <c r="Q125" s="13"/>
      <c r="R125" s="13">
        <f t="shared" si="21"/>
        <v>33.200000000000003</v>
      </c>
      <c r="S125" s="4"/>
      <c r="T125" s="4">
        <f t="shared" si="19"/>
        <v>0</v>
      </c>
      <c r="U125" s="13">
        <f t="shared" si="16"/>
        <v>13.64698795180723</v>
      </c>
      <c r="V125" s="13">
        <f t="shared" si="17"/>
        <v>13.64698795180723</v>
      </c>
      <c r="W125" s="13">
        <v>32.200000000000003</v>
      </c>
      <c r="X125" s="13">
        <v>32</v>
      </c>
      <c r="Y125" s="13">
        <v>44.4</v>
      </c>
      <c r="Z125" s="13">
        <v>38.4</v>
      </c>
      <c r="AA125" s="13">
        <v>19.399999999999999</v>
      </c>
      <c r="AB125" s="13">
        <v>29</v>
      </c>
      <c r="AC125" s="13">
        <v>46.8</v>
      </c>
      <c r="AD125" s="13">
        <v>49.4</v>
      </c>
      <c r="AE125" s="13">
        <v>40.200000000000003</v>
      </c>
      <c r="AF125" s="13">
        <v>31.4</v>
      </c>
      <c r="AG125" s="13"/>
      <c r="AH125" s="13">
        <f t="shared" si="18"/>
        <v>0</v>
      </c>
    </row>
    <row r="126" spans="1:34" x14ac:dyDescent="0.25">
      <c r="A126" s="13" t="s">
        <v>240</v>
      </c>
      <c r="B126" s="13" t="s">
        <v>44</v>
      </c>
      <c r="C126" s="13">
        <v>267</v>
      </c>
      <c r="D126" s="13">
        <v>29</v>
      </c>
      <c r="E126" s="13">
        <v>155</v>
      </c>
      <c r="F126" s="13">
        <v>112</v>
      </c>
      <c r="G126" s="6">
        <v>0.3</v>
      </c>
      <c r="H126" s="13">
        <v>40</v>
      </c>
      <c r="I126" s="15" t="s">
        <v>75</v>
      </c>
      <c r="J126" s="13"/>
      <c r="K126" s="13">
        <v>169</v>
      </c>
      <c r="L126" s="13">
        <f t="shared" si="20"/>
        <v>-14</v>
      </c>
      <c r="M126" s="13"/>
      <c r="N126" s="13"/>
      <c r="O126" s="13">
        <v>177</v>
      </c>
      <c r="P126" s="13">
        <v>-180</v>
      </c>
      <c r="Q126" s="13"/>
      <c r="R126" s="13">
        <f t="shared" si="21"/>
        <v>31</v>
      </c>
      <c r="S126" s="4">
        <v>50</v>
      </c>
      <c r="T126" s="4">
        <f t="shared" si="19"/>
        <v>50</v>
      </c>
      <c r="U126" s="13">
        <f t="shared" si="16"/>
        <v>5.129032258064516</v>
      </c>
      <c r="V126" s="13">
        <f t="shared" si="17"/>
        <v>3.5161290322580645</v>
      </c>
      <c r="W126" s="13">
        <v>25.2</v>
      </c>
      <c r="X126" s="13">
        <v>24.6</v>
      </c>
      <c r="Y126" s="13">
        <v>23.6</v>
      </c>
      <c r="Z126" s="13">
        <v>18.399999999999999</v>
      </c>
      <c r="AA126" s="13">
        <v>7.4</v>
      </c>
      <c r="AB126" s="13">
        <v>13.2</v>
      </c>
      <c r="AC126" s="13">
        <v>39.200000000000003</v>
      </c>
      <c r="AD126" s="13">
        <v>42.6</v>
      </c>
      <c r="AE126" s="13">
        <v>33.4</v>
      </c>
      <c r="AF126" s="13">
        <v>20.399999999999999</v>
      </c>
      <c r="AG126" s="13"/>
      <c r="AH126" s="13">
        <f t="shared" si="18"/>
        <v>15</v>
      </c>
    </row>
    <row r="127" spans="1:34" x14ac:dyDescent="0.25">
      <c r="A127" s="13" t="s">
        <v>242</v>
      </c>
      <c r="B127" s="13" t="s">
        <v>35</v>
      </c>
      <c r="C127" s="13">
        <v>42.316000000000003</v>
      </c>
      <c r="D127" s="13">
        <v>1.3759999999999999</v>
      </c>
      <c r="E127" s="13">
        <v>8.032</v>
      </c>
      <c r="F127" s="13">
        <v>34.256999999999998</v>
      </c>
      <c r="G127" s="6">
        <v>1</v>
      </c>
      <c r="H127" s="13">
        <v>50</v>
      </c>
      <c r="I127" s="13" t="s">
        <v>36</v>
      </c>
      <c r="J127" s="13"/>
      <c r="K127" s="13">
        <v>7.8</v>
      </c>
      <c r="L127" s="13">
        <f t="shared" si="20"/>
        <v>0.23200000000000021</v>
      </c>
      <c r="M127" s="13"/>
      <c r="N127" s="13"/>
      <c r="O127" s="13">
        <v>0</v>
      </c>
      <c r="P127" s="13"/>
      <c r="Q127" s="13"/>
      <c r="R127" s="13">
        <f t="shared" si="21"/>
        <v>1.6064000000000001</v>
      </c>
      <c r="S127" s="4"/>
      <c r="T127" s="4">
        <f t="shared" si="19"/>
        <v>0</v>
      </c>
      <c r="U127" s="13">
        <f t="shared" si="16"/>
        <v>21.325323705179279</v>
      </c>
      <c r="V127" s="13">
        <f t="shared" si="17"/>
        <v>21.325323705179279</v>
      </c>
      <c r="W127" s="13">
        <v>2.1257999999999999</v>
      </c>
      <c r="X127" s="13">
        <v>2.6814</v>
      </c>
      <c r="Y127" s="13">
        <v>3.0156000000000001</v>
      </c>
      <c r="Z127" s="13">
        <v>2.7410000000000001</v>
      </c>
      <c r="AA127" s="13">
        <v>3.8424</v>
      </c>
      <c r="AB127" s="13">
        <v>3.2942</v>
      </c>
      <c r="AC127" s="13">
        <v>3.3081999999999998</v>
      </c>
      <c r="AD127" s="13">
        <v>3.577</v>
      </c>
      <c r="AE127" s="13">
        <v>3.5870000000000002</v>
      </c>
      <c r="AF127" s="13">
        <v>3.0451999999999999</v>
      </c>
      <c r="AG127" s="13"/>
      <c r="AH127" s="13">
        <f t="shared" si="18"/>
        <v>0</v>
      </c>
    </row>
    <row r="128" spans="1:34" x14ac:dyDescent="0.25">
      <c r="A128" s="13" t="s">
        <v>243</v>
      </c>
      <c r="B128" s="13" t="s">
        <v>44</v>
      </c>
      <c r="C128" s="13">
        <v>123</v>
      </c>
      <c r="D128" s="13">
        <v>15</v>
      </c>
      <c r="E128" s="13">
        <v>93</v>
      </c>
      <c r="F128" s="13">
        <v>36</v>
      </c>
      <c r="G128" s="6">
        <v>0.3</v>
      </c>
      <c r="H128" s="13">
        <v>40</v>
      </c>
      <c r="I128" s="15" t="s">
        <v>75</v>
      </c>
      <c r="J128" s="13"/>
      <c r="K128" s="13">
        <v>98</v>
      </c>
      <c r="L128" s="13">
        <f t="shared" si="20"/>
        <v>-5</v>
      </c>
      <c r="M128" s="13"/>
      <c r="N128" s="13"/>
      <c r="O128" s="13">
        <v>80</v>
      </c>
      <c r="P128" s="13">
        <v>0</v>
      </c>
      <c r="Q128" s="13"/>
      <c r="R128" s="13">
        <f t="shared" si="21"/>
        <v>18.600000000000001</v>
      </c>
      <c r="S128" s="4">
        <f>11*R128-Q128-O128-F128</f>
        <v>88.600000000000023</v>
      </c>
      <c r="T128" s="4">
        <f t="shared" si="19"/>
        <v>88.600000000000023</v>
      </c>
      <c r="U128" s="13">
        <f t="shared" si="16"/>
        <v>11</v>
      </c>
      <c r="V128" s="13">
        <f t="shared" si="17"/>
        <v>6.236559139784946</v>
      </c>
      <c r="W128" s="13">
        <v>19.600000000000001</v>
      </c>
      <c r="X128" s="13">
        <v>19.8</v>
      </c>
      <c r="Y128" s="13">
        <v>17.600000000000001</v>
      </c>
      <c r="Z128" s="13">
        <v>21.6</v>
      </c>
      <c r="AA128" s="13">
        <v>22.8</v>
      </c>
      <c r="AB128" s="13">
        <v>13.4</v>
      </c>
      <c r="AC128" s="13">
        <v>-0.8</v>
      </c>
      <c r="AD128" s="13">
        <v>11.6</v>
      </c>
      <c r="AE128" s="13">
        <v>28.8</v>
      </c>
      <c r="AF128" s="13">
        <v>24</v>
      </c>
      <c r="AG128" s="13"/>
      <c r="AH128" s="13">
        <f t="shared" si="18"/>
        <v>27</v>
      </c>
    </row>
    <row r="129" spans="1:34" x14ac:dyDescent="0.25">
      <c r="A129" s="13" t="s">
        <v>245</v>
      </c>
      <c r="B129" s="13" t="s">
        <v>44</v>
      </c>
      <c r="C129" s="13">
        <v>66</v>
      </c>
      <c r="D129" s="13">
        <v>82</v>
      </c>
      <c r="E129" s="13">
        <v>45</v>
      </c>
      <c r="F129" s="13">
        <v>62</v>
      </c>
      <c r="G129" s="6">
        <v>0.12</v>
      </c>
      <c r="H129" s="13">
        <v>45</v>
      </c>
      <c r="I129" s="13" t="s">
        <v>36</v>
      </c>
      <c r="J129" s="13"/>
      <c r="K129" s="13">
        <v>54</v>
      </c>
      <c r="L129" s="13">
        <f t="shared" si="20"/>
        <v>-9</v>
      </c>
      <c r="M129" s="13"/>
      <c r="N129" s="13"/>
      <c r="O129" s="13">
        <v>0</v>
      </c>
      <c r="P129" s="13"/>
      <c r="Q129" s="13"/>
      <c r="R129" s="13">
        <f t="shared" si="21"/>
        <v>9</v>
      </c>
      <c r="S129" s="4">
        <f>10*R129-Q129-O129-F129</f>
        <v>28</v>
      </c>
      <c r="T129" s="4">
        <f t="shared" si="19"/>
        <v>28</v>
      </c>
      <c r="U129" s="13">
        <f t="shared" si="16"/>
        <v>10</v>
      </c>
      <c r="V129" s="13">
        <f t="shared" si="17"/>
        <v>6.8888888888888893</v>
      </c>
      <c r="W129" s="13">
        <v>5.6</v>
      </c>
      <c r="X129" s="13">
        <v>5.4</v>
      </c>
      <c r="Y129" s="13">
        <v>8</v>
      </c>
      <c r="Z129" s="13">
        <v>11.2</v>
      </c>
      <c r="AA129" s="13">
        <v>9.1999999999999993</v>
      </c>
      <c r="AB129" s="13">
        <v>4.5999999999999996</v>
      </c>
      <c r="AC129" s="13">
        <v>8.1999999999999993</v>
      </c>
      <c r="AD129" s="13">
        <v>12.6</v>
      </c>
      <c r="AE129" s="13">
        <v>9.1999999999999993</v>
      </c>
      <c r="AF129" s="13">
        <v>8.6</v>
      </c>
      <c r="AG129" s="13"/>
      <c r="AH129" s="13">
        <f t="shared" si="18"/>
        <v>3</v>
      </c>
    </row>
    <row r="130" spans="1:34" x14ac:dyDescent="0.25">
      <c r="A130" s="10" t="s">
        <v>246</v>
      </c>
      <c r="B130" s="10" t="s">
        <v>44</v>
      </c>
      <c r="C130" s="10">
        <v>-5</v>
      </c>
      <c r="D130" s="10">
        <v>9</v>
      </c>
      <c r="E130" s="14">
        <v>4</v>
      </c>
      <c r="F130" s="10"/>
      <c r="G130" s="11">
        <v>0</v>
      </c>
      <c r="H130" s="10"/>
      <c r="I130" s="10" t="s">
        <v>247</v>
      </c>
      <c r="J130" s="10" t="s">
        <v>234</v>
      </c>
      <c r="K130" s="10">
        <v>4</v>
      </c>
      <c r="L130" s="10">
        <f t="shared" si="20"/>
        <v>0</v>
      </c>
      <c r="M130" s="10"/>
      <c r="N130" s="10"/>
      <c r="O130" s="10">
        <v>0</v>
      </c>
      <c r="P130" s="10"/>
      <c r="Q130" s="10"/>
      <c r="R130" s="10">
        <f t="shared" si="21"/>
        <v>0.8</v>
      </c>
      <c r="S130" s="12"/>
      <c r="T130" s="4">
        <f t="shared" si="19"/>
        <v>0</v>
      </c>
      <c r="U130" s="13">
        <f t="shared" si="16"/>
        <v>0</v>
      </c>
      <c r="V130" s="10">
        <f t="shared" si="17"/>
        <v>0</v>
      </c>
      <c r="W130" s="10">
        <v>1.8</v>
      </c>
      <c r="X130" s="10">
        <v>1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/>
      <c r="AH130" s="13">
        <f t="shared" si="18"/>
        <v>0</v>
      </c>
    </row>
    <row r="131" spans="1:34" x14ac:dyDescent="0.25">
      <c r="A131" s="10" t="s">
        <v>248</v>
      </c>
      <c r="B131" s="10" t="s">
        <v>44</v>
      </c>
      <c r="C131" s="10">
        <v>120</v>
      </c>
      <c r="D131" s="10"/>
      <c r="E131" s="10"/>
      <c r="F131" s="10"/>
      <c r="G131" s="11">
        <v>0</v>
      </c>
      <c r="H131" s="10"/>
      <c r="I131" s="10" t="s">
        <v>249</v>
      </c>
      <c r="J131" s="10" t="s">
        <v>97</v>
      </c>
      <c r="K131" s="10"/>
      <c r="L131" s="10">
        <f t="shared" si="20"/>
        <v>0</v>
      </c>
      <c r="M131" s="10"/>
      <c r="N131" s="10"/>
      <c r="O131" s="10">
        <v>0</v>
      </c>
      <c r="P131" s="10"/>
      <c r="Q131" s="10"/>
      <c r="R131" s="10">
        <f t="shared" si="21"/>
        <v>0</v>
      </c>
      <c r="S131" s="12"/>
      <c r="T131" s="4">
        <f t="shared" si="19"/>
        <v>0</v>
      </c>
      <c r="U131" s="13" t="e">
        <f t="shared" si="16"/>
        <v>#DIV/0!</v>
      </c>
      <c r="V131" s="10" t="e">
        <f t="shared" si="17"/>
        <v>#DIV/0!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/>
      <c r="AH131" s="13">
        <f t="shared" si="18"/>
        <v>0</v>
      </c>
    </row>
    <row r="132" spans="1:34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8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8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8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8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8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8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8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8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8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8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8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8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8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8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8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8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8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8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8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8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8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8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8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8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8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8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8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8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8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8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8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8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8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8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8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8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8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8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8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8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8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8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8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8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8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8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8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8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8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8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8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8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8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8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8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8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8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8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8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8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8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8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8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8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8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8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8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8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8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8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8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8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8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8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8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8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8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8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8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8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8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8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8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8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8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8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8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8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8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8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8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8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8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8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8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8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8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8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8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8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8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8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8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8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8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8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8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8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8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8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8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8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8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8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8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8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8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8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8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8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</sheetData>
  <autoFilter ref="A3:AH131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20C3-B49D-4BFD-A083-7A24875A1CA9}">
  <dimension ref="A1:E73"/>
  <sheetViews>
    <sheetView workbookViewId="0">
      <selection activeCell="K11" sqref="K11"/>
    </sheetView>
  </sheetViews>
  <sheetFormatPr defaultRowHeight="15" x14ac:dyDescent="0.25"/>
  <cols>
    <col min="1" max="1" width="21.7109375" bestFit="1" customWidth="1"/>
    <col min="2" max="2" width="120.5703125" bestFit="1" customWidth="1"/>
    <col min="3" max="3" width="9.5703125" bestFit="1" customWidth="1"/>
    <col min="4" max="4" width="12.85546875" bestFit="1" customWidth="1"/>
    <col min="5" max="5" width="10.140625" bestFit="1" customWidth="1"/>
  </cols>
  <sheetData>
    <row r="1" spans="1:5" x14ac:dyDescent="0.25">
      <c r="A1" s="24" t="s">
        <v>322</v>
      </c>
      <c r="B1" s="24" t="s">
        <v>323</v>
      </c>
      <c r="C1" s="24" t="s">
        <v>324</v>
      </c>
      <c r="D1" s="24" t="s">
        <v>325</v>
      </c>
      <c r="E1" s="24" t="s">
        <v>326</v>
      </c>
    </row>
    <row r="2" spans="1:5" x14ac:dyDescent="0.25">
      <c r="A2" s="22" t="s">
        <v>78</v>
      </c>
      <c r="B2" s="22" t="s">
        <v>250</v>
      </c>
      <c r="C2" s="23">
        <v>70.2</v>
      </c>
      <c r="D2" s="23">
        <v>70.2</v>
      </c>
      <c r="E2" s="23"/>
    </row>
    <row r="3" spans="1:5" x14ac:dyDescent="0.25">
      <c r="A3" s="22" t="s">
        <v>73</v>
      </c>
      <c r="B3" s="22" t="s">
        <v>251</v>
      </c>
      <c r="C3" s="23">
        <v>327.60000000000002</v>
      </c>
      <c r="D3" s="23">
        <v>327.60000000000002</v>
      </c>
      <c r="E3" s="23"/>
    </row>
    <row r="4" spans="1:5" x14ac:dyDescent="0.25">
      <c r="A4" s="22" t="s">
        <v>83</v>
      </c>
      <c r="B4" s="22" t="s">
        <v>252</v>
      </c>
      <c r="C4" s="23">
        <v>58.8</v>
      </c>
      <c r="D4" s="23">
        <v>58.8</v>
      </c>
      <c r="E4" s="23"/>
    </row>
    <row r="5" spans="1:5" x14ac:dyDescent="0.25">
      <c r="A5" s="22" t="s">
        <v>40</v>
      </c>
      <c r="B5" s="22" t="s">
        <v>253</v>
      </c>
      <c r="C5" s="23">
        <v>372.6</v>
      </c>
      <c r="D5" s="23">
        <v>372.6</v>
      </c>
      <c r="E5" s="23"/>
    </row>
    <row r="6" spans="1:5" x14ac:dyDescent="0.25">
      <c r="A6" s="22" t="s">
        <v>47</v>
      </c>
      <c r="B6" s="22" t="s">
        <v>254</v>
      </c>
      <c r="C6" s="23">
        <v>8.1</v>
      </c>
      <c r="D6" s="23">
        <v>8.1</v>
      </c>
      <c r="E6" s="23"/>
    </row>
    <row r="7" spans="1:5" x14ac:dyDescent="0.25">
      <c r="A7" s="22" t="s">
        <v>49</v>
      </c>
      <c r="B7" s="22" t="s">
        <v>255</v>
      </c>
      <c r="C7" s="23">
        <v>159.30000000000001</v>
      </c>
      <c r="D7" s="23">
        <v>159.30000000000001</v>
      </c>
      <c r="E7" s="23"/>
    </row>
    <row r="8" spans="1:5" x14ac:dyDescent="0.25">
      <c r="A8" s="22" t="s">
        <v>42</v>
      </c>
      <c r="B8" s="22" t="s">
        <v>256</v>
      </c>
      <c r="C8" s="23">
        <v>380.7</v>
      </c>
      <c r="D8" s="23">
        <v>380.7</v>
      </c>
      <c r="E8" s="23"/>
    </row>
    <row r="9" spans="1:5" x14ac:dyDescent="0.25">
      <c r="A9" s="22" t="s">
        <v>55</v>
      </c>
      <c r="B9" s="22" t="s">
        <v>257</v>
      </c>
      <c r="C9" s="23">
        <v>22.95</v>
      </c>
      <c r="D9" s="23">
        <v>22.95</v>
      </c>
      <c r="E9" s="23"/>
    </row>
    <row r="10" spans="1:5" x14ac:dyDescent="0.25">
      <c r="A10" s="22" t="s">
        <v>63</v>
      </c>
      <c r="B10" s="22" t="s">
        <v>258</v>
      </c>
      <c r="C10" s="23">
        <v>12.16</v>
      </c>
      <c r="D10" s="23">
        <v>12.16</v>
      </c>
      <c r="E10" s="23"/>
    </row>
    <row r="11" spans="1:5" x14ac:dyDescent="0.25">
      <c r="A11" s="22" t="s">
        <v>65</v>
      </c>
      <c r="B11" s="22" t="s">
        <v>259</v>
      </c>
      <c r="C11" s="23">
        <v>47.52</v>
      </c>
      <c r="D11" s="23">
        <v>47.52</v>
      </c>
      <c r="E11" s="23"/>
    </row>
    <row r="12" spans="1:5" x14ac:dyDescent="0.25">
      <c r="A12" s="22" t="s">
        <v>80</v>
      </c>
      <c r="B12" s="22" t="s">
        <v>260</v>
      </c>
      <c r="C12" s="23">
        <v>306</v>
      </c>
      <c r="D12" s="23"/>
      <c r="E12" s="23">
        <v>-306</v>
      </c>
    </row>
    <row r="13" spans="1:5" x14ac:dyDescent="0.25">
      <c r="A13" s="22" t="s">
        <v>51</v>
      </c>
      <c r="B13" s="22" t="s">
        <v>261</v>
      </c>
      <c r="C13" s="23">
        <v>7.65</v>
      </c>
      <c r="D13" s="23">
        <v>7.65</v>
      </c>
      <c r="E13" s="23"/>
    </row>
    <row r="14" spans="1:5" x14ac:dyDescent="0.25">
      <c r="A14" s="22" t="s">
        <v>61</v>
      </c>
      <c r="B14" s="22" t="s">
        <v>262</v>
      </c>
      <c r="C14" s="23">
        <v>58.08</v>
      </c>
      <c r="D14" s="23">
        <v>58.08</v>
      </c>
      <c r="E14" s="23"/>
    </row>
    <row r="15" spans="1:5" x14ac:dyDescent="0.25">
      <c r="A15" s="22" t="s">
        <v>53</v>
      </c>
      <c r="B15" s="22" t="s">
        <v>263</v>
      </c>
      <c r="C15" s="23">
        <v>23.4</v>
      </c>
      <c r="D15" s="23">
        <v>23.4</v>
      </c>
      <c r="E15" s="23"/>
    </row>
    <row r="16" spans="1:5" x14ac:dyDescent="0.25">
      <c r="A16" s="22" t="s">
        <v>76</v>
      </c>
      <c r="B16" s="22" t="s">
        <v>264</v>
      </c>
      <c r="C16" s="23">
        <v>153</v>
      </c>
      <c r="D16" s="23"/>
      <c r="E16" s="23">
        <v>-153</v>
      </c>
    </row>
    <row r="17" spans="1:5" x14ac:dyDescent="0.25">
      <c r="A17" s="22" t="s">
        <v>202</v>
      </c>
      <c r="B17" s="22" t="s">
        <v>265</v>
      </c>
      <c r="C17" s="23">
        <v>13.6</v>
      </c>
      <c r="D17" s="23">
        <v>13.6</v>
      </c>
      <c r="E17" s="23"/>
    </row>
    <row r="18" spans="1:5" x14ac:dyDescent="0.25">
      <c r="A18" s="22" t="s">
        <v>163</v>
      </c>
      <c r="B18" s="22" t="s">
        <v>266</v>
      </c>
      <c r="C18" s="23">
        <v>39.6</v>
      </c>
      <c r="D18" s="23">
        <v>39.6</v>
      </c>
      <c r="E18" s="23"/>
    </row>
    <row r="19" spans="1:5" x14ac:dyDescent="0.25">
      <c r="A19" s="22" t="s">
        <v>98</v>
      </c>
      <c r="B19" s="22" t="s">
        <v>267</v>
      </c>
      <c r="C19" s="23">
        <v>16</v>
      </c>
      <c r="D19" s="23">
        <v>16</v>
      </c>
      <c r="E19" s="23"/>
    </row>
    <row r="20" spans="1:5" x14ac:dyDescent="0.25">
      <c r="A20" s="22" t="s">
        <v>85</v>
      </c>
      <c r="B20" s="22" t="s">
        <v>268</v>
      </c>
      <c r="C20" s="23">
        <v>54</v>
      </c>
      <c r="D20" s="23">
        <v>54</v>
      </c>
      <c r="E20" s="23"/>
    </row>
    <row r="21" spans="1:5" x14ac:dyDescent="0.25">
      <c r="A21" s="22" t="s">
        <v>87</v>
      </c>
      <c r="B21" s="22" t="s">
        <v>269</v>
      </c>
      <c r="C21" s="23">
        <v>108</v>
      </c>
      <c r="D21" s="23">
        <v>108</v>
      </c>
      <c r="E21" s="23"/>
    </row>
    <row r="22" spans="1:5" x14ac:dyDescent="0.25">
      <c r="A22" s="22" t="s">
        <v>89</v>
      </c>
      <c r="B22" s="22" t="s">
        <v>270</v>
      </c>
      <c r="C22" s="23">
        <v>201.6</v>
      </c>
      <c r="D22" s="23">
        <v>201.6</v>
      </c>
      <c r="E22" s="23"/>
    </row>
    <row r="23" spans="1:5" x14ac:dyDescent="0.25">
      <c r="A23" s="22" t="s">
        <v>92</v>
      </c>
      <c r="B23" s="22" t="s">
        <v>271</v>
      </c>
      <c r="C23" s="23">
        <v>120</v>
      </c>
      <c r="D23" s="23">
        <v>120</v>
      </c>
      <c r="E23" s="23"/>
    </row>
    <row r="24" spans="1:5" x14ac:dyDescent="0.25">
      <c r="A24" s="22" t="s">
        <v>152</v>
      </c>
      <c r="B24" s="22" t="s">
        <v>272</v>
      </c>
      <c r="C24" s="23">
        <v>28.8</v>
      </c>
      <c r="D24" s="23">
        <v>28.8</v>
      </c>
      <c r="E24" s="23"/>
    </row>
    <row r="25" spans="1:5" x14ac:dyDescent="0.25">
      <c r="A25" s="22" t="s">
        <v>100</v>
      </c>
      <c r="B25" s="22" t="s">
        <v>273</v>
      </c>
      <c r="C25" s="23">
        <v>54.6</v>
      </c>
      <c r="D25" s="23"/>
      <c r="E25" s="23">
        <v>-54.6</v>
      </c>
    </row>
    <row r="26" spans="1:5" x14ac:dyDescent="0.25">
      <c r="A26" s="22" t="s">
        <v>111</v>
      </c>
      <c r="B26" s="22" t="s">
        <v>274</v>
      </c>
      <c r="C26" s="23">
        <v>48</v>
      </c>
      <c r="D26" s="23">
        <v>48</v>
      </c>
      <c r="E26" s="23"/>
    </row>
    <row r="27" spans="1:5" x14ac:dyDescent="0.25">
      <c r="A27" s="22" t="s">
        <v>96</v>
      </c>
      <c r="B27" s="22" t="s">
        <v>275</v>
      </c>
      <c r="C27" s="23">
        <v>52.2</v>
      </c>
      <c r="D27" s="23">
        <v>52.2</v>
      </c>
      <c r="E27" s="23"/>
    </row>
    <row r="28" spans="1:5" x14ac:dyDescent="0.25">
      <c r="A28" s="22" t="s">
        <v>165</v>
      </c>
      <c r="B28" s="22" t="s">
        <v>276</v>
      </c>
      <c r="C28" s="23">
        <v>19.2</v>
      </c>
      <c r="D28" s="23">
        <v>19.2</v>
      </c>
      <c r="E28" s="23"/>
    </row>
    <row r="29" spans="1:5" x14ac:dyDescent="0.25">
      <c r="A29" s="22" t="s">
        <v>102</v>
      </c>
      <c r="B29" s="22" t="s">
        <v>277</v>
      </c>
      <c r="C29" s="23">
        <v>58.8</v>
      </c>
      <c r="D29" s="23">
        <v>58.8</v>
      </c>
      <c r="E29" s="23"/>
    </row>
    <row r="30" spans="1:5" x14ac:dyDescent="0.25">
      <c r="A30" s="22" t="s">
        <v>119</v>
      </c>
      <c r="B30" s="22" t="s">
        <v>278</v>
      </c>
      <c r="C30" s="23">
        <v>19.2</v>
      </c>
      <c r="D30" s="23">
        <v>19.2</v>
      </c>
      <c r="E30" s="23"/>
    </row>
    <row r="31" spans="1:5" x14ac:dyDescent="0.25">
      <c r="A31" s="22" t="s">
        <v>121</v>
      </c>
      <c r="B31" s="22" t="s">
        <v>279</v>
      </c>
      <c r="C31" s="23">
        <v>16.8</v>
      </c>
      <c r="D31" s="23">
        <v>16.8</v>
      </c>
      <c r="E31" s="23"/>
    </row>
    <row r="32" spans="1:5" x14ac:dyDescent="0.25">
      <c r="A32" s="22" t="s">
        <v>107</v>
      </c>
      <c r="B32" s="22" t="s">
        <v>280</v>
      </c>
      <c r="C32" s="23">
        <v>33.6</v>
      </c>
      <c r="D32" s="23">
        <v>33.6</v>
      </c>
      <c r="E32" s="23"/>
    </row>
    <row r="33" spans="1:5" x14ac:dyDescent="0.25">
      <c r="A33" s="22" t="s">
        <v>105</v>
      </c>
      <c r="B33" s="22" t="s">
        <v>281</v>
      </c>
      <c r="C33" s="23">
        <v>28.8</v>
      </c>
      <c r="D33" s="23">
        <v>28.8</v>
      </c>
      <c r="E33" s="23"/>
    </row>
    <row r="34" spans="1:5" x14ac:dyDescent="0.25">
      <c r="A34" s="22" t="s">
        <v>113</v>
      </c>
      <c r="B34" s="22" t="s">
        <v>282</v>
      </c>
      <c r="C34" s="23">
        <v>10.8</v>
      </c>
      <c r="D34" s="23">
        <v>10.8</v>
      </c>
      <c r="E34" s="23"/>
    </row>
    <row r="35" spans="1:5" x14ac:dyDescent="0.25">
      <c r="A35" s="22" t="s">
        <v>123</v>
      </c>
      <c r="B35" s="22" t="s">
        <v>283</v>
      </c>
      <c r="C35" s="23">
        <v>32.4</v>
      </c>
      <c r="D35" s="23">
        <v>32.4</v>
      </c>
      <c r="E35" s="23"/>
    </row>
    <row r="36" spans="1:5" x14ac:dyDescent="0.25">
      <c r="A36" s="22" t="s">
        <v>128</v>
      </c>
      <c r="B36" s="22" t="s">
        <v>284</v>
      </c>
      <c r="C36" s="23">
        <v>43.2</v>
      </c>
      <c r="D36" s="23">
        <v>43.2</v>
      </c>
      <c r="E36" s="23"/>
    </row>
    <row r="37" spans="1:5" x14ac:dyDescent="0.25">
      <c r="A37" s="22" t="s">
        <v>150</v>
      </c>
      <c r="B37" s="22" t="s">
        <v>285</v>
      </c>
      <c r="C37" s="23">
        <v>156</v>
      </c>
      <c r="D37" s="23">
        <v>156</v>
      </c>
      <c r="E37" s="23"/>
    </row>
    <row r="38" spans="1:5" x14ac:dyDescent="0.25">
      <c r="A38" s="22" t="s">
        <v>130</v>
      </c>
      <c r="B38" s="22" t="s">
        <v>286</v>
      </c>
      <c r="C38" s="23">
        <v>8</v>
      </c>
      <c r="D38" s="23">
        <v>8</v>
      </c>
      <c r="E38" s="23"/>
    </row>
    <row r="39" spans="1:5" x14ac:dyDescent="0.25">
      <c r="A39" s="22" t="s">
        <v>125</v>
      </c>
      <c r="B39" s="22" t="s">
        <v>287</v>
      </c>
      <c r="C39" s="23">
        <v>22</v>
      </c>
      <c r="D39" s="23">
        <v>22</v>
      </c>
      <c r="E39" s="23"/>
    </row>
    <row r="40" spans="1:5" x14ac:dyDescent="0.25">
      <c r="A40" s="22" t="s">
        <v>138</v>
      </c>
      <c r="B40" s="22" t="s">
        <v>288</v>
      </c>
      <c r="C40" s="23">
        <v>31.2</v>
      </c>
      <c r="D40" s="23">
        <v>31.2</v>
      </c>
      <c r="E40" s="23"/>
    </row>
    <row r="41" spans="1:5" x14ac:dyDescent="0.25">
      <c r="A41" s="22" t="s">
        <v>133</v>
      </c>
      <c r="B41" s="22" t="s">
        <v>289</v>
      </c>
      <c r="C41" s="23">
        <v>218.7</v>
      </c>
      <c r="D41" s="23">
        <v>218.7</v>
      </c>
      <c r="E41" s="23"/>
    </row>
    <row r="42" spans="1:5" x14ac:dyDescent="0.25">
      <c r="A42" s="22" t="s">
        <v>140</v>
      </c>
      <c r="B42" s="22" t="s">
        <v>290</v>
      </c>
      <c r="C42" s="23">
        <v>48</v>
      </c>
      <c r="D42" s="23">
        <v>48</v>
      </c>
      <c r="E42" s="23"/>
    </row>
    <row r="43" spans="1:5" x14ac:dyDescent="0.25">
      <c r="A43" s="22" t="s">
        <v>136</v>
      </c>
      <c r="B43" s="22" t="s">
        <v>291</v>
      </c>
      <c r="C43" s="23">
        <v>24.3</v>
      </c>
      <c r="D43" s="23">
        <v>24.3</v>
      </c>
      <c r="E43" s="23"/>
    </row>
    <row r="44" spans="1:5" x14ac:dyDescent="0.25">
      <c r="A44" s="22" t="s">
        <v>241</v>
      </c>
      <c r="B44" s="22" t="s">
        <v>292</v>
      </c>
      <c r="C44" s="23">
        <v>54</v>
      </c>
      <c r="D44" s="23"/>
      <c r="E44" s="23">
        <v>-54</v>
      </c>
    </row>
    <row r="45" spans="1:5" x14ac:dyDescent="0.25">
      <c r="A45" s="22" t="s">
        <v>143</v>
      </c>
      <c r="B45" s="22" t="s">
        <v>293</v>
      </c>
      <c r="C45" s="23">
        <v>16.2</v>
      </c>
      <c r="D45" s="23"/>
      <c r="E45" s="23">
        <v>-16.2</v>
      </c>
    </row>
    <row r="46" spans="1:5" x14ac:dyDescent="0.25">
      <c r="A46" s="22" t="s">
        <v>239</v>
      </c>
      <c r="B46" s="22" t="s">
        <v>294</v>
      </c>
      <c r="C46" s="23">
        <v>45</v>
      </c>
      <c r="D46" s="23"/>
      <c r="E46" s="23">
        <v>-45</v>
      </c>
    </row>
    <row r="47" spans="1:5" x14ac:dyDescent="0.25">
      <c r="A47" s="22" t="s">
        <v>145</v>
      </c>
      <c r="B47" s="22" t="s">
        <v>295</v>
      </c>
      <c r="C47" s="23">
        <v>237.6</v>
      </c>
      <c r="D47" s="23">
        <v>237.6</v>
      </c>
      <c r="E47" s="23"/>
    </row>
    <row r="48" spans="1:5" x14ac:dyDescent="0.25">
      <c r="A48" s="22" t="s">
        <v>147</v>
      </c>
      <c r="B48" s="22" t="s">
        <v>296</v>
      </c>
      <c r="C48" s="23">
        <v>37.799999999999997</v>
      </c>
      <c r="D48" s="23">
        <v>37.799999999999997</v>
      </c>
      <c r="E48" s="23"/>
    </row>
    <row r="49" spans="1:5" x14ac:dyDescent="0.25">
      <c r="A49" s="22" t="s">
        <v>155</v>
      </c>
      <c r="B49" s="22" t="s">
        <v>297</v>
      </c>
      <c r="C49" s="23">
        <v>44.8</v>
      </c>
      <c r="D49" s="23">
        <v>44.8</v>
      </c>
      <c r="E49" s="23"/>
    </row>
    <row r="50" spans="1:5" x14ac:dyDescent="0.25">
      <c r="A50" s="22" t="s">
        <v>157</v>
      </c>
      <c r="B50" s="22" t="s">
        <v>298</v>
      </c>
      <c r="C50" s="23">
        <v>87.12</v>
      </c>
      <c r="D50" s="23">
        <v>87.12</v>
      </c>
      <c r="E50" s="23"/>
    </row>
    <row r="51" spans="1:5" x14ac:dyDescent="0.25">
      <c r="A51" s="22" t="s">
        <v>159</v>
      </c>
      <c r="B51" s="22" t="s">
        <v>299</v>
      </c>
      <c r="C51" s="23">
        <v>103.6</v>
      </c>
      <c r="D51" s="23">
        <v>103.6</v>
      </c>
      <c r="E51" s="23"/>
    </row>
    <row r="52" spans="1:5" x14ac:dyDescent="0.25">
      <c r="A52" s="22" t="s">
        <v>199</v>
      </c>
      <c r="B52" s="22" t="s">
        <v>300</v>
      </c>
      <c r="C52" s="23">
        <v>12</v>
      </c>
      <c r="D52" s="23">
        <v>12</v>
      </c>
      <c r="E52" s="23"/>
    </row>
    <row r="53" spans="1:5" x14ac:dyDescent="0.25">
      <c r="A53" s="22" t="s">
        <v>178</v>
      </c>
      <c r="B53" s="22" t="s">
        <v>301</v>
      </c>
      <c r="C53" s="23">
        <v>600</v>
      </c>
      <c r="D53" s="23">
        <v>600</v>
      </c>
      <c r="E53" s="23"/>
    </row>
    <row r="54" spans="1:5" x14ac:dyDescent="0.25">
      <c r="A54" s="22" t="s">
        <v>175</v>
      </c>
      <c r="B54" s="22" t="s">
        <v>302</v>
      </c>
      <c r="C54" s="23">
        <v>900</v>
      </c>
      <c r="D54" s="23">
        <v>900</v>
      </c>
      <c r="E54" s="23"/>
    </row>
    <row r="55" spans="1:5" x14ac:dyDescent="0.25">
      <c r="A55" s="22" t="s">
        <v>220</v>
      </c>
      <c r="B55" s="22" t="s">
        <v>303</v>
      </c>
      <c r="C55" s="23">
        <v>45</v>
      </c>
      <c r="D55" s="23">
        <v>45</v>
      </c>
      <c r="E55" s="23"/>
    </row>
    <row r="56" spans="1:5" x14ac:dyDescent="0.25">
      <c r="A56" s="22" t="s">
        <v>194</v>
      </c>
      <c r="B56" s="22" t="s">
        <v>304</v>
      </c>
      <c r="C56" s="23">
        <v>12.1</v>
      </c>
      <c r="D56" s="23">
        <v>12.1</v>
      </c>
      <c r="E56" s="23"/>
    </row>
    <row r="57" spans="1:5" x14ac:dyDescent="0.25">
      <c r="A57" s="22" t="s">
        <v>217</v>
      </c>
      <c r="B57" s="22" t="s">
        <v>305</v>
      </c>
      <c r="C57" s="23">
        <v>6.3</v>
      </c>
      <c r="D57" s="23">
        <v>6.3</v>
      </c>
      <c r="E57" s="23"/>
    </row>
    <row r="58" spans="1:5" x14ac:dyDescent="0.25">
      <c r="A58" s="22" t="s">
        <v>222</v>
      </c>
      <c r="B58" s="22" t="s">
        <v>306</v>
      </c>
      <c r="C58" s="23">
        <v>6.3</v>
      </c>
      <c r="D58" s="23">
        <v>6.3</v>
      </c>
      <c r="E58" s="23"/>
    </row>
    <row r="59" spans="1:5" x14ac:dyDescent="0.25">
      <c r="A59" s="22" t="s">
        <v>244</v>
      </c>
      <c r="B59" s="22" t="s">
        <v>307</v>
      </c>
      <c r="C59" s="23">
        <v>25.2</v>
      </c>
      <c r="D59" s="23">
        <v>25.2</v>
      </c>
      <c r="E59" s="23"/>
    </row>
    <row r="60" spans="1:5" x14ac:dyDescent="0.25">
      <c r="A60" s="22" t="s">
        <v>184</v>
      </c>
      <c r="B60" s="22" t="s">
        <v>308</v>
      </c>
      <c r="C60" s="23">
        <v>6.3</v>
      </c>
      <c r="D60" s="23">
        <v>6.3</v>
      </c>
      <c r="E60" s="23"/>
    </row>
    <row r="61" spans="1:5" x14ac:dyDescent="0.25">
      <c r="A61" s="22" t="s">
        <v>186</v>
      </c>
      <c r="B61" s="22" t="s">
        <v>309</v>
      </c>
      <c r="C61" s="23">
        <v>20.16</v>
      </c>
      <c r="D61" s="23"/>
      <c r="E61" s="23">
        <v>-20.16</v>
      </c>
    </row>
    <row r="62" spans="1:5" x14ac:dyDescent="0.25">
      <c r="A62" s="22" t="s">
        <v>188</v>
      </c>
      <c r="B62" s="22" t="s">
        <v>310</v>
      </c>
      <c r="C62" s="23">
        <v>6.3</v>
      </c>
      <c r="D62" s="23">
        <v>6.3</v>
      </c>
      <c r="E62" s="23"/>
    </row>
    <row r="63" spans="1:5" x14ac:dyDescent="0.25">
      <c r="A63" s="22" t="s">
        <v>224</v>
      </c>
      <c r="B63" s="22" t="s">
        <v>311</v>
      </c>
      <c r="C63" s="23">
        <v>6.3</v>
      </c>
      <c r="D63" s="23">
        <v>6.3</v>
      </c>
      <c r="E63" s="23"/>
    </row>
    <row r="64" spans="1:5" x14ac:dyDescent="0.25">
      <c r="A64" s="22" t="s">
        <v>197</v>
      </c>
      <c r="B64" s="22" t="s">
        <v>312</v>
      </c>
      <c r="C64" s="23">
        <v>6.4</v>
      </c>
      <c r="D64" s="23">
        <v>6.4</v>
      </c>
      <c r="E64" s="23"/>
    </row>
    <row r="65" spans="1:5" x14ac:dyDescent="0.25">
      <c r="A65" s="22" t="s">
        <v>211</v>
      </c>
      <c r="B65" s="22" t="s">
        <v>313</v>
      </c>
      <c r="C65" s="23">
        <v>30.24</v>
      </c>
      <c r="D65" s="23"/>
      <c r="E65" s="23">
        <v>-30.24</v>
      </c>
    </row>
    <row r="66" spans="1:5" x14ac:dyDescent="0.25">
      <c r="A66" s="22" t="s">
        <v>207</v>
      </c>
      <c r="B66" s="22" t="s">
        <v>314</v>
      </c>
      <c r="C66" s="23">
        <v>112</v>
      </c>
      <c r="D66" s="23">
        <v>2.0640000000000001</v>
      </c>
      <c r="E66" s="23">
        <v>-109.93600000000001</v>
      </c>
    </row>
    <row r="67" spans="1:5" x14ac:dyDescent="0.25">
      <c r="A67" s="22" t="s">
        <v>214</v>
      </c>
      <c r="B67" s="22" t="s">
        <v>315</v>
      </c>
      <c r="C67" s="23">
        <v>67.2</v>
      </c>
      <c r="D67" s="23">
        <v>67.2</v>
      </c>
      <c r="E67" s="23"/>
    </row>
    <row r="68" spans="1:5" x14ac:dyDescent="0.25">
      <c r="A68" s="22" t="s">
        <v>204</v>
      </c>
      <c r="B68" s="22" t="s">
        <v>316</v>
      </c>
      <c r="C68" s="23">
        <v>28</v>
      </c>
      <c r="D68" s="23">
        <v>27.861000000000001</v>
      </c>
      <c r="E68" s="23">
        <v>-0.13900000000000001</v>
      </c>
    </row>
    <row r="69" spans="1:5" x14ac:dyDescent="0.25">
      <c r="A69" s="22" t="s">
        <v>228</v>
      </c>
      <c r="B69" s="22" t="s">
        <v>317</v>
      </c>
      <c r="C69" s="23">
        <v>31.2</v>
      </c>
      <c r="D69" s="23">
        <v>31.2</v>
      </c>
      <c r="E69" s="23"/>
    </row>
    <row r="70" spans="1:5" x14ac:dyDescent="0.25">
      <c r="A70" s="22" t="s">
        <v>235</v>
      </c>
      <c r="B70" s="22" t="s">
        <v>318</v>
      </c>
      <c r="C70" s="23">
        <v>74.099999999999994</v>
      </c>
      <c r="D70" s="23"/>
      <c r="E70" s="23">
        <v>-74.099999999999994</v>
      </c>
    </row>
    <row r="71" spans="1:5" x14ac:dyDescent="0.25">
      <c r="A71" s="22" t="s">
        <v>237</v>
      </c>
      <c r="B71" s="22" t="s">
        <v>319</v>
      </c>
      <c r="C71" s="23">
        <v>153</v>
      </c>
      <c r="D71" s="23">
        <v>153</v>
      </c>
      <c r="E71" s="23"/>
    </row>
    <row r="72" spans="1:5" x14ac:dyDescent="0.25">
      <c r="A72" s="22" t="s">
        <v>233</v>
      </c>
      <c r="B72" s="22" t="s">
        <v>320</v>
      </c>
      <c r="C72" s="23">
        <v>150</v>
      </c>
      <c r="D72" s="23"/>
      <c r="E72" s="23">
        <v>-150</v>
      </c>
    </row>
    <row r="73" spans="1:5" x14ac:dyDescent="0.25">
      <c r="A73" s="22" t="s">
        <v>230</v>
      </c>
      <c r="B73" s="22" t="s">
        <v>321</v>
      </c>
      <c r="C73" s="23">
        <v>255</v>
      </c>
      <c r="D73" s="23">
        <v>255</v>
      </c>
      <c r="E7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2026-08-11T09:54:25Z</dcterms:created>
  <dcterms:modified xsi:type="dcterms:W3CDTF">2026-08-12T09:25:08Z</dcterms:modified>
</cp:coreProperties>
</file>