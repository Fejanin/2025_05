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ECE6274E-F1C2-4CF6-BBCD-8C11B24EF68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4" i="1" l="1"/>
  <c r="X553" i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Y547" i="1"/>
  <c r="X547" i="1"/>
  <c r="BP546" i="1"/>
  <c r="BO546" i="1"/>
  <c r="BN546" i="1"/>
  <c r="BM546" i="1"/>
  <c r="Z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X479" i="1"/>
  <c r="X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2" i="1"/>
  <c r="Y451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X415" i="1"/>
  <c r="Y414" i="1"/>
  <c r="X414" i="1"/>
  <c r="BP413" i="1"/>
  <c r="BO413" i="1"/>
  <c r="BN413" i="1"/>
  <c r="BM413" i="1"/>
  <c r="Z413" i="1"/>
  <c r="Y413" i="1"/>
  <c r="BP412" i="1"/>
  <c r="BO412" i="1"/>
  <c r="BN412" i="1"/>
  <c r="BM412" i="1"/>
  <c r="Z412" i="1"/>
  <c r="Z414" i="1" s="1"/>
  <c r="Y412" i="1"/>
  <c r="U564" i="1" s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Y396" i="1" s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8" i="1"/>
  <c r="X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X337" i="1"/>
  <c r="Y336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Y330" i="1" s="1"/>
  <c r="P324" i="1"/>
  <c r="X321" i="1"/>
  <c r="X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X315" i="1"/>
  <c r="Y314" i="1"/>
  <c r="X314" i="1"/>
  <c r="BP313" i="1"/>
  <c r="BO313" i="1"/>
  <c r="BN313" i="1"/>
  <c r="BM313" i="1"/>
  <c r="Z313" i="1"/>
  <c r="Z314" i="1" s="1"/>
  <c r="Y313" i="1"/>
  <c r="Y315" i="1" s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Y290" i="1" s="1"/>
  <c r="P278" i="1"/>
  <c r="X276" i="1"/>
  <c r="X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X265" i="1"/>
  <c r="Y264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BP189" i="1"/>
  <c r="BO189" i="1"/>
  <c r="BN189" i="1"/>
  <c r="BM189" i="1"/>
  <c r="Z189" i="1"/>
  <c r="Y189" i="1"/>
  <c r="Y193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Y172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X168" i="1"/>
  <c r="X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Z155" i="1"/>
  <c r="Y155" i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BP143" i="1" s="1"/>
  <c r="P143" i="1"/>
  <c r="BP142" i="1"/>
  <c r="BO142" i="1"/>
  <c r="BN142" i="1"/>
  <c r="BM142" i="1"/>
  <c r="Z142" i="1"/>
  <c r="Y142" i="1"/>
  <c r="Y146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Y140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BO129" i="1"/>
  <c r="BM129" i="1"/>
  <c r="Y129" i="1"/>
  <c r="H564" i="1" s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Y121" i="1" s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Y115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Y75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564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4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8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97" i="1" l="1"/>
  <c r="Y25" i="1"/>
  <c r="Y33" i="1"/>
  <c r="Y43" i="1"/>
  <c r="Y51" i="1"/>
  <c r="Y64" i="1"/>
  <c r="Y70" i="1"/>
  <c r="Y76" i="1"/>
  <c r="Y80" i="1"/>
  <c r="Y89" i="1"/>
  <c r="Y95" i="1"/>
  <c r="Y106" i="1"/>
  <c r="Y114" i="1"/>
  <c r="Y122" i="1"/>
  <c r="Y126" i="1"/>
  <c r="Y133" i="1"/>
  <c r="Y139" i="1"/>
  <c r="Y14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BP176" i="1"/>
  <c r="BN176" i="1"/>
  <c r="Z176" i="1"/>
  <c r="Z186" i="1" s="1"/>
  <c r="BP180" i="1"/>
  <c r="BN180" i="1"/>
  <c r="Z180" i="1"/>
  <c r="BP184" i="1"/>
  <c r="BN184" i="1"/>
  <c r="Z184" i="1"/>
  <c r="BP196" i="1"/>
  <c r="BN196" i="1"/>
  <c r="Z196" i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Y243" i="1"/>
  <c r="BP247" i="1"/>
  <c r="BN247" i="1"/>
  <c r="Z247" i="1"/>
  <c r="Z249" i="1" s="1"/>
  <c r="BP268" i="1"/>
  <c r="BN268" i="1"/>
  <c r="Z268" i="1"/>
  <c r="Z275" i="1" s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Z421" i="1" s="1"/>
  <c r="Y421" i="1"/>
  <c r="P564" i="1"/>
  <c r="H9" i="1"/>
  <c r="B564" i="1"/>
  <c r="X555" i="1"/>
  <c r="X557" i="1" s="1"/>
  <c r="X556" i="1"/>
  <c r="Z23" i="1"/>
  <c r="Z24" i="1" s="1"/>
  <c r="BN23" i="1"/>
  <c r="Y555" i="1" s="1"/>
  <c r="Y24" i="1"/>
  <c r="X554" i="1"/>
  <c r="Z27" i="1"/>
  <c r="Z32" i="1" s="1"/>
  <c r="BN27" i="1"/>
  <c r="BP27" i="1"/>
  <c r="Y556" i="1" s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4" i="1"/>
  <c r="Z56" i="1"/>
  <c r="Z63" i="1" s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Z88" i="1" s="1"/>
  <c r="BN85" i="1"/>
  <c r="Z87" i="1"/>
  <c r="BN87" i="1"/>
  <c r="Y88" i="1"/>
  <c r="Z91" i="1"/>
  <c r="BN91" i="1"/>
  <c r="BP91" i="1"/>
  <c r="Z93" i="1"/>
  <c r="BN93" i="1"/>
  <c r="G564" i="1"/>
  <c r="Z100" i="1"/>
  <c r="Z106" i="1" s="1"/>
  <c r="BN100" i="1"/>
  <c r="Z102" i="1"/>
  <c r="BN102" i="1"/>
  <c r="Z104" i="1"/>
  <c r="BN104" i="1"/>
  <c r="Y107" i="1"/>
  <c r="Z110" i="1"/>
  <c r="Z114" i="1" s="1"/>
  <c r="BN110" i="1"/>
  <c r="Z112" i="1"/>
  <c r="BN112" i="1"/>
  <c r="Z118" i="1"/>
  <c r="Z121" i="1" s="1"/>
  <c r="BN118" i="1"/>
  <c r="Z120" i="1"/>
  <c r="BN120" i="1"/>
  <c r="Z124" i="1"/>
  <c r="Z125" i="1" s="1"/>
  <c r="BN124" i="1"/>
  <c r="BP124" i="1"/>
  <c r="Z129" i="1"/>
  <c r="BN129" i="1"/>
  <c r="BP129" i="1"/>
  <c r="Z131" i="1"/>
  <c r="BN131" i="1"/>
  <c r="Y132" i="1"/>
  <c r="Z135" i="1"/>
  <c r="BN135" i="1"/>
  <c r="BP135" i="1"/>
  <c r="Z137" i="1"/>
  <c r="BN137" i="1"/>
  <c r="Z143" i="1"/>
  <c r="Z145" i="1" s="1"/>
  <c r="BN143" i="1"/>
  <c r="I564" i="1"/>
  <c r="Y156" i="1"/>
  <c r="Z150" i="1"/>
  <c r="Z156" i="1" s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Z172" i="1" s="1"/>
  <c r="Y187" i="1"/>
  <c r="BP178" i="1"/>
  <c r="BN178" i="1"/>
  <c r="Z178" i="1"/>
  <c r="BP182" i="1"/>
  <c r="BN182" i="1"/>
  <c r="Z182" i="1"/>
  <c r="Y186" i="1"/>
  <c r="Z192" i="1"/>
  <c r="BP190" i="1"/>
  <c r="BN190" i="1"/>
  <c r="Z190" i="1"/>
  <c r="Y197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4" i="1"/>
  <c r="BP241" i="1"/>
  <c r="BN241" i="1"/>
  <c r="Z241" i="1"/>
  <c r="Z243" i="1" s="1"/>
  <c r="Y250" i="1"/>
  <c r="Y249" i="1"/>
  <c r="BP258" i="1"/>
  <c r="BN258" i="1"/>
  <c r="Z258" i="1"/>
  <c r="Z259" i="1" s="1"/>
  <c r="Y260" i="1"/>
  <c r="Y265" i="1"/>
  <c r="BP262" i="1"/>
  <c r="BN262" i="1"/>
  <c r="Z262" i="1"/>
  <c r="Z264" i="1" s="1"/>
  <c r="BP270" i="1"/>
  <c r="BN270" i="1"/>
  <c r="Z270" i="1"/>
  <c r="BP302" i="1"/>
  <c r="BN302" i="1"/>
  <c r="Z302" i="1"/>
  <c r="Y306" i="1"/>
  <c r="Z320" i="1"/>
  <c r="BP318" i="1"/>
  <c r="BN318" i="1"/>
  <c r="Z318" i="1"/>
  <c r="Y320" i="1"/>
  <c r="BP341" i="1"/>
  <c r="BN341" i="1"/>
  <c r="Z341" i="1"/>
  <c r="Z345" i="1" s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BP387" i="1"/>
  <c r="BN387" i="1"/>
  <c r="Z387" i="1"/>
  <c r="Z389" i="1" s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Z306" i="1" s="1"/>
  <c r="BP304" i="1"/>
  <c r="BN304" i="1"/>
  <c r="Z304" i="1"/>
  <c r="Y321" i="1"/>
  <c r="BP325" i="1"/>
  <c r="BN325" i="1"/>
  <c r="Z325" i="1"/>
  <c r="Z329" i="1" s="1"/>
  <c r="Y329" i="1"/>
  <c r="Z336" i="1"/>
  <c r="BP334" i="1"/>
  <c r="BN334" i="1"/>
  <c r="Z334" i="1"/>
  <c r="BP343" i="1"/>
  <c r="BN343" i="1"/>
  <c r="Z343" i="1"/>
  <c r="Y350" i="1"/>
  <c r="BP356" i="1"/>
  <c r="BN356" i="1"/>
  <c r="Z356" i="1"/>
  <c r="T564" i="1"/>
  <c r="Y366" i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BP393" i="1"/>
  <c r="BN393" i="1"/>
  <c r="Z393" i="1"/>
  <c r="Z396" i="1" s="1"/>
  <c r="BP401" i="1"/>
  <c r="BN401" i="1"/>
  <c r="Z401" i="1"/>
  <c r="Y408" i="1"/>
  <c r="BP405" i="1"/>
  <c r="BN405" i="1"/>
  <c r="Z405" i="1"/>
  <c r="Z408" i="1" s="1"/>
  <c r="BP427" i="1"/>
  <c r="BN427" i="1"/>
  <c r="Z427" i="1"/>
  <c r="Z434" i="1" s="1"/>
  <c r="BP431" i="1"/>
  <c r="BN431" i="1"/>
  <c r="Z431" i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Z514" i="1" s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Y557" i="1" l="1"/>
  <c r="Z494" i="1"/>
  <c r="Z290" i="1"/>
  <c r="Z357" i="1"/>
  <c r="Y558" i="1"/>
  <c r="Z213" i="1"/>
  <c r="Z167" i="1"/>
  <c r="Z508" i="1"/>
  <c r="Z478" i="1"/>
  <c r="Z440" i="1"/>
  <c r="Z524" i="1"/>
  <c r="Z467" i="1"/>
  <c r="Z446" i="1"/>
  <c r="Z376" i="1"/>
  <c r="Z366" i="1"/>
  <c r="Z383" i="1"/>
  <c r="Z235" i="1"/>
  <c r="Z139" i="1"/>
  <c r="Z132" i="1"/>
  <c r="Z95" i="1"/>
  <c r="Z70" i="1"/>
  <c r="Z51" i="1"/>
  <c r="Z42" i="1"/>
  <c r="Z559" i="1" s="1"/>
  <c r="Z402" i="1"/>
  <c r="Y554" i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<sst xmlns="http://schemas.openxmlformats.org/spreadsheetml/2006/main" count="2515" uniqueCount="912">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</sst>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0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14" t="s">
        <v>0</v>
      </c>
      <c r="E1" s="669"/>
      <c r="F1" s="669"/>
      <c r="G1" s="12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58"/>
      <c r="P5" s="24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1"/>
      <c r="AC5" s="51"/>
      <c r="AD5" s="51"/>
      <c r="AE5" s="51"/>
    </row>
    <row r="6" spans="1:32" s="62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59"/>
      <c r="P6" s="24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60"/>
      <c r="P7" s="24"/>
      <c r="Q7" s="42"/>
      <c r="R7" s="42"/>
      <c r="T7" s="646"/>
      <c r="U7" s="732"/>
      <c r="V7" s="888"/>
      <c r="W7" s="889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5">
        <v>0.41666666666666669</v>
      </c>
      <c r="R8" s="696"/>
      <c r="T8" s="646"/>
      <c r="U8" s="732"/>
      <c r="V8" s="888"/>
      <c r="W8" s="889"/>
      <c r="AB8" s="51"/>
      <c r="AC8" s="51"/>
      <c r="AD8" s="51"/>
      <c r="AE8" s="51"/>
    </row>
    <row r="9" spans="1:32" s="62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5"/>
      <c r="P9" s="26" t="s">
        <v>19</v>
      </c>
      <c r="Q9" s="772"/>
      <c r="R9" s="773"/>
      <c r="T9" s="646"/>
      <c r="U9" s="732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26"/>
      <c r="P10" s="26" t="s">
        <v>20</v>
      </c>
      <c r="Q10" s="833"/>
      <c r="R10" s="834"/>
      <c r="U10" s="24" t="s">
        <v>21</v>
      </c>
      <c r="V10" s="716" t="s">
        <v>22</v>
      </c>
      <c r="W10" s="717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29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62"/>
      <c r="P12" s="24" t="s">
        <v>28</v>
      </c>
      <c r="Q12" s="785"/>
      <c r="R12" s="696"/>
      <c r="S12" s="23"/>
      <c r="U12" s="24"/>
      <c r="V12" s="669"/>
      <c r="W12" s="646"/>
      <c r="AB12" s="51"/>
      <c r="AC12" s="51"/>
      <c r="AD12" s="51"/>
      <c r="AE12" s="51"/>
    </row>
    <row r="13" spans="1:32" s="62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62"/>
      <c r="O13" s="26"/>
      <c r="P13" s="26" t="s">
        <v>30</v>
      </c>
      <c r="Q13" s="929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63"/>
      <c r="P15" s="809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67" t="s">
        <v>59</v>
      </c>
      <c r="V18" s="67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66"/>
      <c r="BD18" s="65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8"/>
      <c r="AB20" s="628"/>
      <c r="AC20" s="628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9"/>
      <c r="AB21" s="629"/>
      <c r="AC21" s="62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40">
        <v>4680115886643</v>
      </c>
      <c r="E22" s="641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40">
        <v>4680115889071</v>
      </c>
      <c r="E23" s="641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9"/>
      <c r="AB26" s="629"/>
      <c r="AC26" s="62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40">
        <v>4680115885912</v>
      </c>
      <c r="E27" s="641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40">
        <v>4607091388237</v>
      </c>
      <c r="E28" s="641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0">
        <v>4680115887350</v>
      </c>
      <c r="E29" s="641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4"/>
      <c r="V29" s="34"/>
      <c r="W29" s="35" t="s">
        <v>67</v>
      </c>
      <c r="X29" s="633">
        <v>34</v>
      </c>
      <c r="Y29" s="634">
        <f>IFERROR(IF(X29="",0,CEILING((X29/$H29),1)*$H29),"")</f>
        <v>34.200000000000003</v>
      </c>
      <c r="Z29" s="36">
        <f>IFERROR(IF(Y29=0,"",ROUNDUP(Y29/H29,0)*0.00651),"")</f>
        <v>0.12369000000000001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60.06666666666667</v>
      </c>
      <c r="BN29" s="64">
        <f>IFERROR(Y29*I29/H29,"0")</f>
        <v>60.420000000000009</v>
      </c>
      <c r="BO29" s="64">
        <f>IFERROR(1/J29*(X29/H29),"0")</f>
        <v>0.10378510378510379</v>
      </c>
      <c r="BP29" s="64">
        <f>IFERROR(1/J29*(Y29/H29),"0")</f>
        <v>0.1043956043956044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0">
        <v>4680115885905</v>
      </c>
      <c r="E30" s="641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40">
        <v>4680115887619</v>
      </c>
      <c r="E31" s="641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37" t="s">
        <v>73</v>
      </c>
      <c r="X32" s="635">
        <f>IFERROR(X27/H27,"0")+IFERROR(X28/H28,"0")+IFERROR(X29/H29,"0")+IFERROR(X30/H30,"0")+IFERROR(X31/H31,"0")</f>
        <v>18.888888888888889</v>
      </c>
      <c r="Y32" s="635">
        <f>IFERROR(Y27/H27,"0")+IFERROR(Y28/H28,"0")+IFERROR(Y29/H29,"0")+IFERROR(Y30/H30,"0")+IFERROR(Y31/H31,"0")</f>
        <v>19</v>
      </c>
      <c r="Z32" s="635">
        <f>IFERROR(IF(Z27="",0,Z27),"0")+IFERROR(IF(Z28="",0,Z28),"0")+IFERROR(IF(Z29="",0,Z29),"0")+IFERROR(IF(Z30="",0,Z30),"0")+IFERROR(IF(Z31="",0,Z31),"0")</f>
        <v>0.12369000000000001</v>
      </c>
      <c r="AA32" s="636"/>
      <c r="AB32" s="636"/>
      <c r="AC32" s="636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37" t="s">
        <v>67</v>
      </c>
      <c r="X33" s="635">
        <f>IFERROR(SUM(X27:X31),"0")</f>
        <v>34</v>
      </c>
      <c r="Y33" s="635">
        <f>IFERROR(SUM(Y27:Y31),"0")</f>
        <v>34.200000000000003</v>
      </c>
      <c r="Z33" s="37"/>
      <c r="AA33" s="636"/>
      <c r="AB33" s="636"/>
      <c r="AC33" s="636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8"/>
      <c r="AB35" s="628"/>
      <c r="AC35" s="628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29"/>
      <c r="AB36" s="629"/>
      <c r="AC36" s="62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40">
        <v>4680115889354</v>
      </c>
      <c r="E37" s="641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40">
        <v>4680115888463</v>
      </c>
      <c r="E38" s="641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4301052202</v>
      </c>
      <c r="D39" s="640">
        <v>4680115888494</v>
      </c>
      <c r="E39" s="641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40">
        <v>4680115888272</v>
      </c>
      <c r="E40" s="641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40">
        <v>4680115888364</v>
      </c>
      <c r="E41" s="641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48"/>
      <c r="AB44" s="48"/>
      <c r="AC44" s="48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8"/>
      <c r="AB45" s="628"/>
      <c r="AC45" s="628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0">
        <v>4607091385670</v>
      </c>
      <c r="E47" s="641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4"/>
      <c r="V47" s="34"/>
      <c r="W47" s="35" t="s">
        <v>67</v>
      </c>
      <c r="X47" s="633">
        <v>0</v>
      </c>
      <c r="Y47" s="63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40">
        <v>4680115887725</v>
      </c>
      <c r="E48" s="641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0">
        <v>4607091385687</v>
      </c>
      <c r="E49" s="641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0">
        <v>4680115882539</v>
      </c>
      <c r="E50" s="641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4"/>
      <c r="V50" s="34"/>
      <c r="W50" s="35" t="s">
        <v>67</v>
      </c>
      <c r="X50" s="633">
        <v>54</v>
      </c>
      <c r="Y50" s="634">
        <f>IFERROR(IF(X50="",0,CEILING((X50/$H50),1)*$H50),"")</f>
        <v>55.5</v>
      </c>
      <c r="Z50" s="36">
        <f>IFERROR(IF(Y50=0,"",ROUNDUP(Y50/H50,0)*0.00902),"")</f>
        <v>0.1353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56.772972972972973</v>
      </c>
      <c r="BN50" s="64">
        <f>IFERROR(Y50*I50/H50,"0")</f>
        <v>58.35</v>
      </c>
      <c r="BO50" s="64">
        <f>IFERROR(1/J50*(X50/H50),"0")</f>
        <v>0.11056511056511056</v>
      </c>
      <c r="BP50" s="64">
        <f>IFERROR(1/J50*(Y50/H50),"0")</f>
        <v>0.11363636363636365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37" t="s">
        <v>73</v>
      </c>
      <c r="X51" s="635">
        <f>IFERROR(X47/H47,"0")+IFERROR(X48/H48,"0")+IFERROR(X49/H49,"0")+IFERROR(X50/H50,"0")</f>
        <v>14.594594594594595</v>
      </c>
      <c r="Y51" s="635">
        <f>IFERROR(Y47/H47,"0")+IFERROR(Y48/H48,"0")+IFERROR(Y49/H49,"0")+IFERROR(Y50/H50,"0")</f>
        <v>15</v>
      </c>
      <c r="Z51" s="635">
        <f>IFERROR(IF(Z47="",0,Z47),"0")+IFERROR(IF(Z48="",0,Z48),"0")+IFERROR(IF(Z49="",0,Z49),"0")+IFERROR(IF(Z50="",0,Z50),"0")</f>
        <v>0.1353</v>
      </c>
      <c r="AA51" s="636"/>
      <c r="AB51" s="636"/>
      <c r="AC51" s="636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37" t="s">
        <v>67</v>
      </c>
      <c r="X52" s="635">
        <f>IFERROR(SUM(X47:X50),"0")</f>
        <v>54</v>
      </c>
      <c r="Y52" s="635">
        <f>IFERROR(SUM(Y47:Y50),"0")</f>
        <v>55.5</v>
      </c>
      <c r="Z52" s="37"/>
      <c r="AA52" s="636"/>
      <c r="AB52" s="636"/>
      <c r="AC52" s="636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8"/>
      <c r="AB53" s="628"/>
      <c r="AC53" s="628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0">
        <v>4680115885882</v>
      </c>
      <c r="E55" s="641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4"/>
      <c r="V55" s="34"/>
      <c r="W55" s="35" t="s">
        <v>67</v>
      </c>
      <c r="X55" s="633">
        <v>41</v>
      </c>
      <c r="Y55" s="634">
        <f t="shared" ref="Y55:Y62" si="0">IFERROR(IF(X55="",0,CEILING((X55/$H55),1)*$H55),"")</f>
        <v>44.8</v>
      </c>
      <c r="Z55" s="36">
        <f>IFERROR(IF(Y55=0,"",ROUNDUP(Y55/H55,0)*0.01898),"")</f>
        <v>7.5920000000000001E-2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42.500892857142858</v>
      </c>
      <c r="BN55" s="64">
        <f t="shared" ref="BN55:BN62" si="2">IFERROR(Y55*I55/H55,"0")</f>
        <v>46.44</v>
      </c>
      <c r="BO55" s="64">
        <f t="shared" ref="BO55:BO62" si="3">IFERROR(1/J55*(X55/H55),"0")</f>
        <v>5.7198660714285719E-2</v>
      </c>
      <c r="BP55" s="64">
        <f t="shared" ref="BP55:BP62" si="4">IFERROR(1/J55*(Y55/H55),"0")</f>
        <v>6.25E-2</v>
      </c>
    </row>
    <row r="56" spans="1:68" ht="27" customHeight="1" x14ac:dyDescent="0.25">
      <c r="A56" s="54" t="s">
        <v>127</v>
      </c>
      <c r="B56" s="54" t="s">
        <v>130</v>
      </c>
      <c r="C56" s="31">
        <v>4301012161</v>
      </c>
      <c r="D56" s="640">
        <v>4680115885882</v>
      </c>
      <c r="E56" s="641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0">
        <v>4680115881426</v>
      </c>
      <c r="E57" s="641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4"/>
      <c r="V57" s="34"/>
      <c r="W57" s="35" t="s">
        <v>67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4301011386</v>
      </c>
      <c r="D58" s="640">
        <v>4680115880283</v>
      </c>
      <c r="E58" s="641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135</v>
      </c>
      <c r="B59" s="54" t="s">
        <v>138</v>
      </c>
      <c r="C59" s="31">
        <v>4301012259</v>
      </c>
      <c r="D59" s="640">
        <v>4680115880283</v>
      </c>
      <c r="E59" s="641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0">
        <v>4680115881525</v>
      </c>
      <c r="E60" s="641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4"/>
      <c r="V60" s="34"/>
      <c r="W60" s="35" t="s">
        <v>67</v>
      </c>
      <c r="X60" s="633">
        <v>74</v>
      </c>
      <c r="Y60" s="634">
        <f t="shared" si="0"/>
        <v>76</v>
      </c>
      <c r="Z60" s="36">
        <f>IFERROR(IF(Y60=0,"",ROUNDUP(Y60/H60,0)*0.00902),"")</f>
        <v>0.17138</v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77.515000000000001</v>
      </c>
      <c r="BN60" s="64">
        <f t="shared" si="2"/>
        <v>79.610000000000014</v>
      </c>
      <c r="BO60" s="64">
        <f t="shared" si="3"/>
        <v>0.14015151515151517</v>
      </c>
      <c r="BP60" s="64">
        <f t="shared" si="4"/>
        <v>0.14393939393939395</v>
      </c>
    </row>
    <row r="61" spans="1:68" ht="27" customHeight="1" x14ac:dyDescent="0.25">
      <c r="A61" s="54" t="s">
        <v>142</v>
      </c>
      <c r="B61" s="54" t="s">
        <v>143</v>
      </c>
      <c r="C61" s="31">
        <v>4301012165</v>
      </c>
      <c r="D61" s="640">
        <v>4680115885899</v>
      </c>
      <c r="E61" s="641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0">
        <v>4680115881419</v>
      </c>
      <c r="E62" s="641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4"/>
      <c r="V62" s="34"/>
      <c r="W62" s="35" t="s">
        <v>67</v>
      </c>
      <c r="X62" s="633">
        <v>73</v>
      </c>
      <c r="Y62" s="634">
        <f t="shared" si="0"/>
        <v>76.5</v>
      </c>
      <c r="Z62" s="36">
        <f>IFERROR(IF(Y62=0,"",ROUNDUP(Y62/H62,0)*0.00902),"")</f>
        <v>0.15334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76.082222222222228</v>
      </c>
      <c r="BN62" s="64">
        <f t="shared" si="2"/>
        <v>79.73</v>
      </c>
      <c r="BO62" s="64">
        <f t="shared" si="3"/>
        <v>0.12289562289562289</v>
      </c>
      <c r="BP62" s="64">
        <f t="shared" si="4"/>
        <v>0.12878787878787878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38.382936507936506</v>
      </c>
      <c r="Y63" s="635">
        <f>IFERROR(Y55/H55,"0")+IFERROR(Y56/H56,"0")+IFERROR(Y57/H57,"0")+IFERROR(Y58/H58,"0")+IFERROR(Y59/H59,"0")+IFERROR(Y60/H60,"0")+IFERROR(Y61/H61,"0")+IFERROR(Y62/H62,"0")</f>
        <v>40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0.40064</v>
      </c>
      <c r="AA63" s="636"/>
      <c r="AB63" s="636"/>
      <c r="AC63" s="636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37" t="s">
        <v>67</v>
      </c>
      <c r="X64" s="635">
        <f>IFERROR(SUM(X55:X62),"0")</f>
        <v>188</v>
      </c>
      <c r="Y64" s="635">
        <f>IFERROR(SUM(Y55:Y62),"0")</f>
        <v>197.3</v>
      </c>
      <c r="Z64" s="37"/>
      <c r="AA64" s="636"/>
      <c r="AB64" s="636"/>
      <c r="AC64" s="636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0">
        <v>4680115881440</v>
      </c>
      <c r="E66" s="641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4"/>
      <c r="V66" s="34"/>
      <c r="W66" s="35" t="s">
        <v>67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151</v>
      </c>
      <c r="B67" s="54" t="s">
        <v>152</v>
      </c>
      <c r="C67" s="31">
        <v>4301020358</v>
      </c>
      <c r="D67" s="640">
        <v>4680115885950</v>
      </c>
      <c r="E67" s="641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153</v>
      </c>
      <c r="B68" s="54" t="s">
        <v>154</v>
      </c>
      <c r="C68" s="31">
        <v>4301020371</v>
      </c>
      <c r="D68" s="640">
        <v>4680115887688</v>
      </c>
      <c r="E68" s="641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156</v>
      </c>
      <c r="B69" s="54" t="s">
        <v>157</v>
      </c>
      <c r="C69" s="31">
        <v>4301020296</v>
      </c>
      <c r="D69" s="640">
        <v>4680115881433</v>
      </c>
      <c r="E69" s="641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37" t="s">
        <v>73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37" t="s">
        <v>67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40">
        <v>4680115884311</v>
      </c>
      <c r="E73" s="641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161</v>
      </c>
      <c r="B74" s="54" t="s">
        <v>162</v>
      </c>
      <c r="C74" s="31">
        <v>4301051929</v>
      </c>
      <c r="D74" s="640">
        <v>4680115884403</v>
      </c>
      <c r="E74" s="641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0">
        <v>4680115881532</v>
      </c>
      <c r="E78" s="641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168</v>
      </c>
      <c r="B79" s="54" t="s">
        <v>169</v>
      </c>
      <c r="C79" s="31">
        <v>4301060351</v>
      </c>
      <c r="D79" s="640">
        <v>4680115881464</v>
      </c>
      <c r="E79" s="641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8"/>
      <c r="AB82" s="628"/>
      <c r="AC82" s="628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0">
        <v>4680115881327</v>
      </c>
      <c r="E84" s="641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4"/>
      <c r="V84" s="34"/>
      <c r="W84" s="35" t="s">
        <v>67</v>
      </c>
      <c r="X84" s="633">
        <v>26</v>
      </c>
      <c r="Y84" s="634">
        <f>IFERROR(IF(X84="",0,CEILING((X84/$H84),1)*$H84),"")</f>
        <v>32.400000000000006</v>
      </c>
      <c r="Z84" s="36">
        <f>IFERROR(IF(Y84=0,"",ROUNDUP(Y84/H84,0)*0.01898),"")</f>
        <v>5.6940000000000004E-2</v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26.987037037037037</v>
      </c>
      <c r="BN84" s="64">
        <f>IFERROR(Y84*I84/H84,"0")</f>
        <v>33.630000000000003</v>
      </c>
      <c r="BO84" s="64">
        <f>IFERROR(1/J84*(X84/H84),"0")</f>
        <v>3.7615740740740741E-2</v>
      </c>
      <c r="BP84" s="64">
        <f>IFERROR(1/J84*(Y84/H84),"0")</f>
        <v>4.6875000000000007E-2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40">
        <v>4680115887732</v>
      </c>
      <c r="E85" s="641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4301011476</v>
      </c>
      <c r="D86" s="640">
        <v>4680115881518</v>
      </c>
      <c r="E86" s="641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0">
        <v>4680115881303</v>
      </c>
      <c r="E87" s="641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4"/>
      <c r="V87" s="34"/>
      <c r="W87" s="35" t="s">
        <v>67</v>
      </c>
      <c r="X87" s="633">
        <v>34</v>
      </c>
      <c r="Y87" s="634">
        <f>IFERROR(IF(X87="",0,CEILING((X87/$H87),1)*$H87),"")</f>
        <v>36</v>
      </c>
      <c r="Z87" s="36">
        <f>IFERROR(IF(Y87=0,"",ROUNDUP(Y87/H87,0)*0.00902),"")</f>
        <v>7.2160000000000002E-2</v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35.43555555555556</v>
      </c>
      <c r="BN87" s="64">
        <f>IFERROR(Y87*I87/H87,"0")</f>
        <v>37.520000000000003</v>
      </c>
      <c r="BO87" s="64">
        <f>IFERROR(1/J87*(X87/H87),"0")</f>
        <v>5.7239057239057242E-2</v>
      </c>
      <c r="BP87" s="64">
        <f>IFERROR(1/J87*(Y87/H87),"0")</f>
        <v>6.0606060606060608E-2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37" t="s">
        <v>73</v>
      </c>
      <c r="X88" s="635">
        <f>IFERROR(X84/H84,"0")+IFERROR(X85/H85,"0")+IFERROR(X86/H86,"0")+IFERROR(X87/H87,"0")</f>
        <v>9.9629629629629619</v>
      </c>
      <c r="Y88" s="635">
        <f>IFERROR(Y84/H84,"0")+IFERROR(Y85/H85,"0")+IFERROR(Y86/H86,"0")+IFERROR(Y87/H87,"0")</f>
        <v>11</v>
      </c>
      <c r="Z88" s="635">
        <f>IFERROR(IF(Z84="",0,Z84),"0")+IFERROR(IF(Z85="",0,Z85),"0")+IFERROR(IF(Z86="",0,Z86),"0")+IFERROR(IF(Z87="",0,Z87),"0")</f>
        <v>0.12909999999999999</v>
      </c>
      <c r="AA88" s="636"/>
      <c r="AB88" s="636"/>
      <c r="AC88" s="636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37" t="s">
        <v>67</v>
      </c>
      <c r="X89" s="635">
        <f>IFERROR(SUM(X84:X87),"0")</f>
        <v>60</v>
      </c>
      <c r="Y89" s="635">
        <f>IFERROR(SUM(Y84:Y87),"0")</f>
        <v>68.400000000000006</v>
      </c>
      <c r="Z89" s="37"/>
      <c r="AA89" s="636"/>
      <c r="AB89" s="636"/>
      <c r="AC89" s="636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0">
        <v>4607091386967</v>
      </c>
      <c r="E91" s="641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4"/>
      <c r="V91" s="34"/>
      <c r="W91" s="35" t="s">
        <v>67</v>
      </c>
      <c r="X91" s="633">
        <v>62</v>
      </c>
      <c r="Y91" s="634">
        <f>IFERROR(IF(X91="",0,CEILING((X91/$H91),1)*$H91),"")</f>
        <v>64.8</v>
      </c>
      <c r="Z91" s="36">
        <f>IFERROR(IF(Y91=0,"",ROUNDUP(Y91/H91,0)*0.01898),"")</f>
        <v>0.15184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65.781234567901237</v>
      </c>
      <c r="BN91" s="64">
        <f>IFERROR(Y91*I91/H91,"0")</f>
        <v>68.751999999999995</v>
      </c>
      <c r="BO91" s="64">
        <f>IFERROR(1/J91*(X91/H91),"0")</f>
        <v>0.11959876543209877</v>
      </c>
      <c r="BP91" s="64">
        <f>IFERROR(1/J91*(Y91/H91),"0")</f>
        <v>0.125</v>
      </c>
    </row>
    <row r="92" spans="1:68" ht="27" customHeight="1" x14ac:dyDescent="0.25">
      <c r="A92" s="54" t="s">
        <v>185</v>
      </c>
      <c r="B92" s="54" t="s">
        <v>186</v>
      </c>
      <c r="C92" s="31">
        <v>4301051788</v>
      </c>
      <c r="D92" s="640">
        <v>4680115884953</v>
      </c>
      <c r="E92" s="641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0">
        <v>4607091385731</v>
      </c>
      <c r="E93" s="641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4"/>
      <c r="V93" s="34"/>
      <c r="W93" s="35" t="s">
        <v>67</v>
      </c>
      <c r="X93" s="633">
        <v>85</v>
      </c>
      <c r="Y93" s="634">
        <f>IFERROR(IF(X93="",0,CEILING((X93/$H93),1)*$H93),"")</f>
        <v>86.4</v>
      </c>
      <c r="Z93" s="36">
        <f>IFERROR(IF(Y93=0,"",ROUNDUP(Y93/H93,0)*0.00651),"")</f>
        <v>0.20832000000000001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92.933333333333323</v>
      </c>
      <c r="BN93" s="64">
        <f>IFERROR(Y93*I93/H93,"0")</f>
        <v>94.463999999999999</v>
      </c>
      <c r="BO93" s="64">
        <f>IFERROR(1/J93*(X93/H93),"0")</f>
        <v>0.17297517297517298</v>
      </c>
      <c r="BP93" s="64">
        <f>IFERROR(1/J93*(Y93/H93),"0")</f>
        <v>0.17582417582417584</v>
      </c>
    </row>
    <row r="94" spans="1:68" ht="16.5" customHeight="1" x14ac:dyDescent="0.25">
      <c r="A94" s="54" t="s">
        <v>189</v>
      </c>
      <c r="B94" s="54" t="s">
        <v>190</v>
      </c>
      <c r="C94" s="31">
        <v>4301052092</v>
      </c>
      <c r="D94" s="640">
        <v>4680115880894</v>
      </c>
      <c r="E94" s="641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37" t="s">
        <v>73</v>
      </c>
      <c r="X95" s="635">
        <f>IFERROR(X91/H91,"0")+IFERROR(X92/H92,"0")+IFERROR(X93/H93,"0")+IFERROR(X94/H94,"0")</f>
        <v>39.135802469135804</v>
      </c>
      <c r="Y95" s="635">
        <f>IFERROR(Y91/H91,"0")+IFERROR(Y92/H92,"0")+IFERROR(Y93/H93,"0")+IFERROR(Y94/H94,"0")</f>
        <v>40</v>
      </c>
      <c r="Z95" s="635">
        <f>IFERROR(IF(Z91="",0,Z91),"0")+IFERROR(IF(Z92="",0,Z92),"0")+IFERROR(IF(Z93="",0,Z93),"0")+IFERROR(IF(Z94="",0,Z94),"0")</f>
        <v>0.36016000000000004</v>
      </c>
      <c r="AA95" s="636"/>
      <c r="AB95" s="636"/>
      <c r="AC95" s="636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37" t="s">
        <v>67</v>
      </c>
      <c r="X96" s="635">
        <f>IFERROR(SUM(X91:X94),"0")</f>
        <v>147</v>
      </c>
      <c r="Y96" s="635">
        <f>IFERROR(SUM(Y91:Y94),"0")</f>
        <v>151.19999999999999</v>
      </c>
      <c r="Z96" s="37"/>
      <c r="AA96" s="636"/>
      <c r="AB96" s="636"/>
      <c r="AC96" s="636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8"/>
      <c r="AB97" s="628"/>
      <c r="AC97" s="628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0">
        <v>4680115882133</v>
      </c>
      <c r="E99" s="641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4"/>
      <c r="V99" s="34"/>
      <c r="W99" s="35" t="s">
        <v>67</v>
      </c>
      <c r="X99" s="633">
        <v>239</v>
      </c>
      <c r="Y99" s="634">
        <f t="shared" ref="Y99:Y105" si="5">IFERROR(IF(X99="",0,CEILING((X99/$H99),1)*$H99),"")</f>
        <v>248.4</v>
      </c>
      <c r="Z99" s="36">
        <f>IFERROR(IF(Y99=0,"",ROUNDUP(Y99/H99,0)*0.01898),"")</f>
        <v>0.43653999999999998</v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248.07314814814814</v>
      </c>
      <c r="BN99" s="64">
        <f t="shared" ref="BN99:BN105" si="7">IFERROR(Y99*I99/H99,"0")</f>
        <v>257.83</v>
      </c>
      <c r="BO99" s="64">
        <f t="shared" ref="BO99:BO105" si="8">IFERROR(1/J99*(X99/H99),"0")</f>
        <v>0.34577546296296297</v>
      </c>
      <c r="BP99" s="64">
        <f t="shared" ref="BP99:BP105" si="9">IFERROR(1/J99*(Y99/H99),"0")</f>
        <v>0.359375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40">
        <v>4680115887718</v>
      </c>
      <c r="E100" s="641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customHeight="1" x14ac:dyDescent="0.25">
      <c r="A101" s="54" t="s">
        <v>196</v>
      </c>
      <c r="B101" s="54" t="s">
        <v>199</v>
      </c>
      <c r="C101" s="31">
        <v>4301012334</v>
      </c>
      <c r="D101" s="640">
        <v>4680115887718</v>
      </c>
      <c r="E101" s="641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196</v>
      </c>
      <c r="B102" s="54" t="s">
        <v>200</v>
      </c>
      <c r="C102" s="31">
        <v>4301012379</v>
      </c>
      <c r="D102" s="640">
        <v>4680115887718</v>
      </c>
      <c r="E102" s="641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4301011417</v>
      </c>
      <c r="D103" s="640">
        <v>4680115880269</v>
      </c>
      <c r="E103" s="641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0">
        <v>4680115880429</v>
      </c>
      <c r="E104" s="641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4"/>
      <c r="V104" s="34"/>
      <c r="W104" s="35" t="s">
        <v>67</v>
      </c>
      <c r="X104" s="633">
        <v>229</v>
      </c>
      <c r="Y104" s="634">
        <f t="shared" si="5"/>
        <v>229.5</v>
      </c>
      <c r="Z104" s="36">
        <f>IFERROR(IF(Y104=0,"",ROUNDUP(Y104/H104,0)*0.00902),"")</f>
        <v>0.46001999999999998</v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238.66888888888889</v>
      </c>
      <c r="BN104" s="64">
        <f t="shared" si="7"/>
        <v>239.19</v>
      </c>
      <c r="BO104" s="64">
        <f t="shared" si="8"/>
        <v>0.38552188552188549</v>
      </c>
      <c r="BP104" s="64">
        <f t="shared" si="9"/>
        <v>0.38636363636363635</v>
      </c>
    </row>
    <row r="105" spans="1:68" ht="37.5" customHeight="1" x14ac:dyDescent="0.25">
      <c r="A105" s="54" t="s">
        <v>205</v>
      </c>
      <c r="B105" s="54" t="s">
        <v>206</v>
      </c>
      <c r="C105" s="31">
        <v>4301011462</v>
      </c>
      <c r="D105" s="640">
        <v>4680115881457</v>
      </c>
      <c r="E105" s="641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37" t="s">
        <v>73</v>
      </c>
      <c r="X106" s="635">
        <f>IFERROR(X99/H99,"0")+IFERROR(X100/H100,"0")+IFERROR(X101/H101,"0")+IFERROR(X102/H102,"0")+IFERROR(X103/H103,"0")+IFERROR(X104/H104,"0")+IFERROR(X105/H105,"0")</f>
        <v>73.018518518518519</v>
      </c>
      <c r="Y106" s="635">
        <f>IFERROR(Y99/H99,"0")+IFERROR(Y100/H100,"0")+IFERROR(Y101/H101,"0")+IFERROR(Y102/H102,"0")+IFERROR(Y103/H103,"0")+IFERROR(Y104/H104,"0")+IFERROR(Y105/H105,"0")</f>
        <v>74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0.89656000000000002</v>
      </c>
      <c r="AA106" s="636"/>
      <c r="AB106" s="636"/>
      <c r="AC106" s="636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37" t="s">
        <v>67</v>
      </c>
      <c r="X107" s="635">
        <f>IFERROR(SUM(X99:X105),"0")</f>
        <v>468</v>
      </c>
      <c r="Y107" s="635">
        <f>IFERROR(SUM(Y99:Y105),"0")</f>
        <v>477.9</v>
      </c>
      <c r="Z107" s="37"/>
      <c r="AA107" s="636"/>
      <c r="AB107" s="636"/>
      <c r="AC107" s="636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0">
        <v>4680115881488</v>
      </c>
      <c r="E109" s="641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4"/>
      <c r="V109" s="34"/>
      <c r="W109" s="35" t="s">
        <v>67</v>
      </c>
      <c r="X109" s="633">
        <v>17</v>
      </c>
      <c r="Y109" s="634">
        <f>IFERROR(IF(X109="",0,CEILING((X109/$H109),1)*$H109),"")</f>
        <v>21.6</v>
      </c>
      <c r="Z109" s="36">
        <f>IFERROR(IF(Y109=0,"",ROUNDUP(Y109/H109,0)*0.01898),"")</f>
        <v>3.7960000000000001E-2</v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17.645370370370372</v>
      </c>
      <c r="BN109" s="64">
        <f>IFERROR(Y109*I109/H109,"0")</f>
        <v>22.42</v>
      </c>
      <c r="BO109" s="64">
        <f>IFERROR(1/J109*(X109/H109),"0")</f>
        <v>2.4594907407407406E-2</v>
      </c>
      <c r="BP109" s="64">
        <f>IFERROR(1/J109*(Y109/H109),"0")</f>
        <v>3.125E-2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40">
        <v>4680115887664</v>
      </c>
      <c r="E110" s="641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210</v>
      </c>
      <c r="B111" s="54" t="s">
        <v>214</v>
      </c>
      <c r="C111" s="31">
        <v>4301020430</v>
      </c>
      <c r="D111" s="640">
        <v>4680115887664</v>
      </c>
      <c r="E111" s="641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4301020393</v>
      </c>
      <c r="D112" s="640">
        <v>4680115882775</v>
      </c>
      <c r="E112" s="641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0">
        <v>4680115880658</v>
      </c>
      <c r="E113" s="641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4"/>
      <c r="V113" s="34"/>
      <c r="W113" s="35" t="s">
        <v>67</v>
      </c>
      <c r="X113" s="633">
        <v>109</v>
      </c>
      <c r="Y113" s="634">
        <f>IFERROR(IF(X113="",0,CEILING((X113/$H113),1)*$H113),"")</f>
        <v>110.39999999999999</v>
      </c>
      <c r="Z113" s="36">
        <f>IFERROR(IF(Y113=0,"",ROUNDUP(Y113/H113,0)*0.00651),"")</f>
        <v>0.29946</v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117.17500000000001</v>
      </c>
      <c r="BN113" s="64">
        <f>IFERROR(Y113*I113/H113,"0")</f>
        <v>118.68</v>
      </c>
      <c r="BO113" s="64">
        <f>IFERROR(1/J113*(X113/H113),"0")</f>
        <v>0.2495421245421246</v>
      </c>
      <c r="BP113" s="64">
        <f>IFERROR(1/J113*(Y113/H113),"0")</f>
        <v>0.25274725274725279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37" t="s">
        <v>73</v>
      </c>
      <c r="X114" s="635">
        <f>IFERROR(X109/H109,"0")+IFERROR(X110/H110,"0")+IFERROR(X111/H111,"0")+IFERROR(X112/H112,"0")+IFERROR(X113/H113,"0")</f>
        <v>46.990740740740748</v>
      </c>
      <c r="Y114" s="635">
        <f>IFERROR(Y109/H109,"0")+IFERROR(Y110/H110,"0")+IFERROR(Y111/H111,"0")+IFERROR(Y112/H112,"0")+IFERROR(Y113/H113,"0")</f>
        <v>48</v>
      </c>
      <c r="Z114" s="635">
        <f>IFERROR(IF(Z109="",0,Z109),"0")+IFERROR(IF(Z110="",0,Z110),"0")+IFERROR(IF(Z111="",0,Z111),"0")+IFERROR(IF(Z112="",0,Z112),"0")+IFERROR(IF(Z113="",0,Z113),"0")</f>
        <v>0.33742</v>
      </c>
      <c r="AA114" s="636"/>
      <c r="AB114" s="636"/>
      <c r="AC114" s="636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37" t="s">
        <v>67</v>
      </c>
      <c r="X115" s="635">
        <f>IFERROR(SUM(X109:X113),"0")</f>
        <v>126</v>
      </c>
      <c r="Y115" s="635">
        <f>IFERROR(SUM(Y109:Y113),"0")</f>
        <v>132</v>
      </c>
      <c r="Z115" s="37"/>
      <c r="AA115" s="636"/>
      <c r="AB115" s="636"/>
      <c r="AC115" s="636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0">
        <v>4607091385168</v>
      </c>
      <c r="E117" s="641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4301051730</v>
      </c>
      <c r="D118" s="640">
        <v>4607091383256</v>
      </c>
      <c r="E118" s="641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0">
        <v>4607091385748</v>
      </c>
      <c r="E119" s="641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4"/>
      <c r="V119" s="34"/>
      <c r="W119" s="35" t="s">
        <v>67</v>
      </c>
      <c r="X119" s="633">
        <v>71</v>
      </c>
      <c r="Y119" s="634">
        <f>IFERROR(IF(X119="",0,CEILING((X119/$H119),1)*$H119),"")</f>
        <v>72.900000000000006</v>
      </c>
      <c r="Z119" s="36">
        <f>IFERROR(IF(Y119=0,"",ROUNDUP(Y119/H119,0)*0.00651),"")</f>
        <v>0.17577000000000001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77.626666666666651</v>
      </c>
      <c r="BN119" s="64">
        <f>IFERROR(Y119*I119/H119,"0")</f>
        <v>79.703999999999994</v>
      </c>
      <c r="BO119" s="64">
        <f>IFERROR(1/J119*(X119/H119),"0")</f>
        <v>0.14448514448514449</v>
      </c>
      <c r="BP119" s="64">
        <f>IFERROR(1/J119*(Y119/H119),"0")</f>
        <v>0.14835164835164835</v>
      </c>
    </row>
    <row r="120" spans="1:68" ht="16.5" customHeight="1" x14ac:dyDescent="0.25">
      <c r="A120" s="54" t="s">
        <v>226</v>
      </c>
      <c r="B120" s="54" t="s">
        <v>227</v>
      </c>
      <c r="C120" s="31">
        <v>4301051740</v>
      </c>
      <c r="D120" s="640">
        <v>4680115884533</v>
      </c>
      <c r="E120" s="641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37" t="s">
        <v>73</v>
      </c>
      <c r="X121" s="635">
        <f>IFERROR(X117/H117,"0")+IFERROR(X118/H118,"0")+IFERROR(X119/H119,"0")+IFERROR(X120/H120,"0")</f>
        <v>26.296296296296294</v>
      </c>
      <c r="Y121" s="635">
        <f>IFERROR(Y117/H117,"0")+IFERROR(Y118/H118,"0")+IFERROR(Y119/H119,"0")+IFERROR(Y120/H120,"0")</f>
        <v>27</v>
      </c>
      <c r="Z121" s="635">
        <f>IFERROR(IF(Z117="",0,Z117),"0")+IFERROR(IF(Z118="",0,Z118),"0")+IFERROR(IF(Z119="",0,Z119),"0")+IFERROR(IF(Z120="",0,Z120),"0")</f>
        <v>0.17577000000000001</v>
      </c>
      <c r="AA121" s="636"/>
      <c r="AB121" s="636"/>
      <c r="AC121" s="636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37" t="s">
        <v>67</v>
      </c>
      <c r="X122" s="635">
        <f>IFERROR(SUM(X117:X120),"0")</f>
        <v>71</v>
      </c>
      <c r="Y122" s="635">
        <f>IFERROR(SUM(Y117:Y120),"0")</f>
        <v>72.900000000000006</v>
      </c>
      <c r="Z122" s="37"/>
      <c r="AA122" s="636"/>
      <c r="AB122" s="636"/>
      <c r="AC122" s="636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0">
        <v>4680115880238</v>
      </c>
      <c r="E124" s="641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37" t="s">
        <v>73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37" t="s">
        <v>67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8"/>
      <c r="AB127" s="628"/>
      <c r="AC127" s="628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29"/>
      <c r="AB128" s="629"/>
      <c r="AC128" s="629"/>
    </row>
    <row r="129" spans="1:68" ht="27" customHeight="1" x14ac:dyDescent="0.25">
      <c r="A129" s="54" t="s">
        <v>233</v>
      </c>
      <c r="B129" s="54" t="s">
        <v>234</v>
      </c>
      <c r="C129" s="31">
        <v>4301012347</v>
      </c>
      <c r="D129" s="640">
        <v>4680115888784</v>
      </c>
      <c r="E129" s="641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0">
        <v>4680115882577</v>
      </c>
      <c r="E130" s="641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4"/>
      <c r="V130" s="34"/>
      <c r="W130" s="35" t="s">
        <v>67</v>
      </c>
      <c r="X130" s="633">
        <v>48</v>
      </c>
      <c r="Y130" s="634">
        <f>IFERROR(IF(X130="",0,CEILING((X130/$H130),1)*$H130),"")</f>
        <v>48</v>
      </c>
      <c r="Z130" s="36">
        <f>IFERROR(IF(Y130=0,"",ROUNDUP(Y130/H130,0)*0.00651),"")</f>
        <v>9.7650000000000001E-2</v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50.7</v>
      </c>
      <c r="BN130" s="64">
        <f>IFERROR(Y130*I130/H130,"0")</f>
        <v>50.7</v>
      </c>
      <c r="BO130" s="64">
        <f>IFERROR(1/J130*(X130/H130),"0")</f>
        <v>8.241758241758243E-2</v>
      </c>
      <c r="BP130" s="64">
        <f>IFERROR(1/J130*(Y130/H130),"0")</f>
        <v>8.241758241758243E-2</v>
      </c>
    </row>
    <row r="131" spans="1:68" ht="27" customHeight="1" x14ac:dyDescent="0.25">
      <c r="A131" s="54" t="s">
        <v>237</v>
      </c>
      <c r="B131" s="54" t="s">
        <v>241</v>
      </c>
      <c r="C131" s="31">
        <v>4301011564</v>
      </c>
      <c r="D131" s="640">
        <v>4680115882577</v>
      </c>
      <c r="E131" s="641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37" t="s">
        <v>73</v>
      </c>
      <c r="X132" s="635">
        <f>IFERROR(X129/H129,"0")+IFERROR(X130/H130,"0")+IFERROR(X131/H131,"0")</f>
        <v>15</v>
      </c>
      <c r="Y132" s="635">
        <f>IFERROR(Y129/H129,"0")+IFERROR(Y130/H130,"0")+IFERROR(Y131/H131,"0")</f>
        <v>15</v>
      </c>
      <c r="Z132" s="635">
        <f>IFERROR(IF(Z129="",0,Z129),"0")+IFERROR(IF(Z130="",0,Z130),"0")+IFERROR(IF(Z131="",0,Z131),"0")</f>
        <v>9.7650000000000001E-2</v>
      </c>
      <c r="AA132" s="636"/>
      <c r="AB132" s="636"/>
      <c r="AC132" s="636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37" t="s">
        <v>67</v>
      </c>
      <c r="X133" s="635">
        <f>IFERROR(SUM(X129:X131),"0")</f>
        <v>48</v>
      </c>
      <c r="Y133" s="635">
        <f>IFERROR(SUM(Y129:Y131),"0")</f>
        <v>48</v>
      </c>
      <c r="Z133" s="37"/>
      <c r="AA133" s="636"/>
      <c r="AB133" s="636"/>
      <c r="AC133" s="636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29"/>
      <c r="AB134" s="629"/>
      <c r="AC134" s="629"/>
    </row>
    <row r="135" spans="1:68" ht="16.5" customHeight="1" x14ac:dyDescent="0.25">
      <c r="A135" s="54" t="s">
        <v>242</v>
      </c>
      <c r="B135" s="54" t="s">
        <v>243</v>
      </c>
      <c r="C135" s="31">
        <v>4301031506</v>
      </c>
      <c r="D135" s="640">
        <v>4680115888913</v>
      </c>
      <c r="E135" s="641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0">
        <v>4680115883444</v>
      </c>
      <c r="E136" s="641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4"/>
      <c r="V136" s="34"/>
      <c r="W136" s="35" t="s">
        <v>67</v>
      </c>
      <c r="X136" s="633">
        <v>25</v>
      </c>
      <c r="Y136" s="634">
        <f>IFERROR(IF(X136="",0,CEILING((X136/$H136),1)*$H136),"")</f>
        <v>25.2</v>
      </c>
      <c r="Z136" s="36">
        <f>IFERROR(IF(Y136=0,"",ROUNDUP(Y136/H136,0)*0.00651),"")</f>
        <v>5.8590000000000003E-2</v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27.392857142857146</v>
      </c>
      <c r="BN136" s="64">
        <f>IFERROR(Y136*I136/H136,"0")</f>
        <v>27.611999999999998</v>
      </c>
      <c r="BO136" s="64">
        <f>IFERROR(1/J136*(X136/H136),"0")</f>
        <v>4.9058084772370489E-2</v>
      </c>
      <c r="BP136" s="64">
        <f>IFERROR(1/J136*(Y136/H136),"0")</f>
        <v>4.9450549450549455E-2</v>
      </c>
    </row>
    <row r="137" spans="1:68" ht="27" customHeight="1" x14ac:dyDescent="0.25">
      <c r="A137" s="54" t="s">
        <v>245</v>
      </c>
      <c r="B137" s="54" t="s">
        <v>248</v>
      </c>
      <c r="C137" s="31">
        <v>4301031235</v>
      </c>
      <c r="D137" s="640">
        <v>4680115883444</v>
      </c>
      <c r="E137" s="641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249</v>
      </c>
      <c r="B138" s="54" t="s">
        <v>250</v>
      </c>
      <c r="C138" s="31">
        <v>4301031504</v>
      </c>
      <c r="D138" s="640">
        <v>4680115888920</v>
      </c>
      <c r="E138" s="641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37" t="s">
        <v>73</v>
      </c>
      <c r="X139" s="635">
        <f>IFERROR(X135/H135,"0")+IFERROR(X136/H136,"0")+IFERROR(X137/H137,"0")+IFERROR(X138/H138,"0")</f>
        <v>8.9285714285714288</v>
      </c>
      <c r="Y139" s="635">
        <f>IFERROR(Y135/H135,"0")+IFERROR(Y136/H136,"0")+IFERROR(Y137/H137,"0")+IFERROR(Y138/H138,"0")</f>
        <v>9</v>
      </c>
      <c r="Z139" s="635">
        <f>IFERROR(IF(Z135="",0,Z135),"0")+IFERROR(IF(Z136="",0,Z136),"0")+IFERROR(IF(Z137="",0,Z137),"0")+IFERROR(IF(Z138="",0,Z138),"0")</f>
        <v>5.8590000000000003E-2</v>
      </c>
      <c r="AA139" s="636"/>
      <c r="AB139" s="636"/>
      <c r="AC139" s="636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37" t="s">
        <v>67</v>
      </c>
      <c r="X140" s="635">
        <f>IFERROR(SUM(X135:X138),"0")</f>
        <v>25</v>
      </c>
      <c r="Y140" s="635">
        <f>IFERROR(SUM(Y135:Y138),"0")</f>
        <v>25.2</v>
      </c>
      <c r="Z140" s="37"/>
      <c r="AA140" s="636"/>
      <c r="AB140" s="636"/>
      <c r="AC140" s="636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29"/>
      <c r="AB141" s="629"/>
      <c r="AC141" s="629"/>
    </row>
    <row r="142" spans="1:68" ht="16.5" customHeight="1" x14ac:dyDescent="0.25">
      <c r="A142" s="54" t="s">
        <v>251</v>
      </c>
      <c r="B142" s="54" t="s">
        <v>252</v>
      </c>
      <c r="C142" s="31">
        <v>4301052219</v>
      </c>
      <c r="D142" s="640">
        <v>4680115888944</v>
      </c>
      <c r="E142" s="641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0">
        <v>4680115882584</v>
      </c>
      <c r="E143" s="641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4"/>
      <c r="V143" s="34"/>
      <c r="W143" s="35" t="s">
        <v>67</v>
      </c>
      <c r="X143" s="633">
        <v>35</v>
      </c>
      <c r="Y143" s="634">
        <f>IFERROR(IF(X143="",0,CEILING((X143/$H143),1)*$H143),"")</f>
        <v>36.96</v>
      </c>
      <c r="Z143" s="36">
        <f>IFERROR(IF(Y143=0,"",ROUNDUP(Y143/H143,0)*0.00651),"")</f>
        <v>9.1139999999999999E-2</v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38.553030303030305</v>
      </c>
      <c r="BN143" s="64">
        <f>IFERROR(Y143*I143/H143,"0")</f>
        <v>40.711999999999996</v>
      </c>
      <c r="BO143" s="64">
        <f>IFERROR(1/J143*(X143/H143),"0")</f>
        <v>7.2843822843822847E-2</v>
      </c>
      <c r="BP143" s="64">
        <f>IFERROR(1/J143*(Y143/H143),"0")</f>
        <v>7.6923076923076927E-2</v>
      </c>
    </row>
    <row r="144" spans="1:68" ht="16.5" customHeight="1" x14ac:dyDescent="0.25">
      <c r="A144" s="54" t="s">
        <v>253</v>
      </c>
      <c r="B144" s="54" t="s">
        <v>255</v>
      </c>
      <c r="C144" s="31">
        <v>4301051477</v>
      </c>
      <c r="D144" s="640">
        <v>4680115882584</v>
      </c>
      <c r="E144" s="641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37" t="s">
        <v>73</v>
      </c>
      <c r="X145" s="635">
        <f>IFERROR(X142/H142,"0")+IFERROR(X143/H143,"0")+IFERROR(X144/H144,"0")</f>
        <v>13.257575757575758</v>
      </c>
      <c r="Y145" s="635">
        <f>IFERROR(Y142/H142,"0")+IFERROR(Y143/H143,"0")+IFERROR(Y144/H144,"0")</f>
        <v>14</v>
      </c>
      <c r="Z145" s="635">
        <f>IFERROR(IF(Z142="",0,Z142),"0")+IFERROR(IF(Z143="",0,Z143),"0")+IFERROR(IF(Z144="",0,Z144),"0")</f>
        <v>9.1139999999999999E-2</v>
      </c>
      <c r="AA145" s="636"/>
      <c r="AB145" s="636"/>
      <c r="AC145" s="636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37" t="s">
        <v>67</v>
      </c>
      <c r="X146" s="635">
        <f>IFERROR(SUM(X142:X144),"0")</f>
        <v>35</v>
      </c>
      <c r="Y146" s="635">
        <f>IFERROR(SUM(Y142:Y144),"0")</f>
        <v>36.96</v>
      </c>
      <c r="Z146" s="37"/>
      <c r="AA146" s="636"/>
      <c r="AB146" s="636"/>
      <c r="AC146" s="636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8"/>
      <c r="AB147" s="628"/>
      <c r="AC147" s="628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29"/>
      <c r="AB148" s="629"/>
      <c r="AC148" s="629"/>
    </row>
    <row r="149" spans="1:68" ht="27" customHeight="1" x14ac:dyDescent="0.25">
      <c r="A149" s="54" t="s">
        <v>257</v>
      </c>
      <c r="B149" s="54" t="s">
        <v>258</v>
      </c>
      <c r="C149" s="31">
        <v>4301052254</v>
      </c>
      <c r="D149" s="640">
        <v>4680115888203</v>
      </c>
      <c r="E149" s="641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260</v>
      </c>
      <c r="B150" s="54" t="s">
        <v>261</v>
      </c>
      <c r="C150" s="31">
        <v>4301052172</v>
      </c>
      <c r="D150" s="640">
        <v>4680115888180</v>
      </c>
      <c r="E150" s="641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260</v>
      </c>
      <c r="B151" s="54" t="s">
        <v>263</v>
      </c>
      <c r="C151" s="31">
        <v>4301052252</v>
      </c>
      <c r="D151" s="640">
        <v>4680115888180</v>
      </c>
      <c r="E151" s="641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264</v>
      </c>
      <c r="B152" s="54" t="s">
        <v>265</v>
      </c>
      <c r="C152" s="31">
        <v>4301052173</v>
      </c>
      <c r="D152" s="640">
        <v>4680115888197</v>
      </c>
      <c r="E152" s="641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264</v>
      </c>
      <c r="B153" s="54" t="s">
        <v>267</v>
      </c>
      <c r="C153" s="31">
        <v>4301052253</v>
      </c>
      <c r="D153" s="640">
        <v>4680115888197</v>
      </c>
      <c r="E153" s="641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268</v>
      </c>
      <c r="B154" s="54" t="s">
        <v>269</v>
      </c>
      <c r="C154" s="31">
        <v>4301052175</v>
      </c>
      <c r="D154" s="640">
        <v>4680115888210</v>
      </c>
      <c r="E154" s="641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268</v>
      </c>
      <c r="B155" s="54" t="s">
        <v>271</v>
      </c>
      <c r="C155" s="31">
        <v>4301052255</v>
      </c>
      <c r="D155" s="640">
        <v>4680115888210</v>
      </c>
      <c r="E155" s="641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29"/>
      <c r="AB158" s="629"/>
      <c r="AC158" s="629"/>
    </row>
    <row r="159" spans="1:68" ht="27" customHeight="1" x14ac:dyDescent="0.25">
      <c r="A159" s="54" t="s">
        <v>273</v>
      </c>
      <c r="B159" s="54" t="s">
        <v>274</v>
      </c>
      <c r="C159" s="31">
        <v>4301032067</v>
      </c>
      <c r="D159" s="640">
        <v>4680115889132</v>
      </c>
      <c r="E159" s="641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8"/>
      <c r="AB162" s="628"/>
      <c r="AC162" s="628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0">
        <v>4680115887374</v>
      </c>
      <c r="E164" s="641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4"/>
      <c r="V164" s="34"/>
      <c r="W164" s="35" t="s">
        <v>67</v>
      </c>
      <c r="X164" s="633">
        <v>79</v>
      </c>
      <c r="Y164" s="634">
        <f>IFERROR(IF(X164="",0,CEILING((X164/$H164),1)*$H164),"")</f>
        <v>84</v>
      </c>
      <c r="Z164" s="36">
        <f>IFERROR(IF(Y164=0,"",ROUNDUP(Y164/H164,0)*0.01196),"")</f>
        <v>0.16744000000000001</v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83.608333333333334</v>
      </c>
      <c r="BN164" s="64">
        <f>IFERROR(Y164*I164/H164,"0")</f>
        <v>88.899999999999991</v>
      </c>
      <c r="BO164" s="64">
        <f>IFERROR(1/J164*(X164/H164),"0")</f>
        <v>0.1266025641025641</v>
      </c>
      <c r="BP164" s="64">
        <f>IFERROR(1/J164*(Y164/H164),"0")</f>
        <v>0.13461538461538464</v>
      </c>
    </row>
    <row r="165" spans="1:68" ht="27" customHeight="1" x14ac:dyDescent="0.25">
      <c r="A165" s="54" t="s">
        <v>282</v>
      </c>
      <c r="B165" s="54" t="s">
        <v>283</v>
      </c>
      <c r="C165" s="31">
        <v>4301011705</v>
      </c>
      <c r="D165" s="640">
        <v>4607091384604</v>
      </c>
      <c r="E165" s="641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285</v>
      </c>
      <c r="B166" s="54" t="s">
        <v>286</v>
      </c>
      <c r="C166" s="31">
        <v>4301012344</v>
      </c>
      <c r="D166" s="640">
        <v>4680115888876</v>
      </c>
      <c r="E166" s="641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37" t="s">
        <v>73</v>
      </c>
      <c r="X167" s="635">
        <f>IFERROR(X164/H164,"0")+IFERROR(X165/H165,"0")+IFERROR(X166/H166,"0")</f>
        <v>13.166666666666666</v>
      </c>
      <c r="Y167" s="635">
        <f>IFERROR(Y164/H164,"0")+IFERROR(Y165/H165,"0")+IFERROR(Y166/H166,"0")</f>
        <v>14</v>
      </c>
      <c r="Z167" s="635">
        <f>IFERROR(IF(Z164="",0,Z164),"0")+IFERROR(IF(Z165="",0,Z165),"0")+IFERROR(IF(Z166="",0,Z166),"0")</f>
        <v>0.16744000000000001</v>
      </c>
      <c r="AA167" s="636"/>
      <c r="AB167" s="636"/>
      <c r="AC167" s="636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37" t="s">
        <v>67</v>
      </c>
      <c r="X168" s="635">
        <f>IFERROR(SUM(X164:X166),"0")</f>
        <v>79</v>
      </c>
      <c r="Y168" s="635">
        <f>IFERROR(SUM(Y164:Y166),"0")</f>
        <v>84</v>
      </c>
      <c r="Z168" s="37"/>
      <c r="AA168" s="636"/>
      <c r="AB168" s="636"/>
      <c r="AC168" s="636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29"/>
      <c r="AB169" s="629"/>
      <c r="AC169" s="629"/>
    </row>
    <row r="170" spans="1:68" ht="16.5" customHeight="1" x14ac:dyDescent="0.25">
      <c r="A170" s="54" t="s">
        <v>288</v>
      </c>
      <c r="B170" s="54" t="s">
        <v>289</v>
      </c>
      <c r="C170" s="31">
        <v>4301020410</v>
      </c>
      <c r="D170" s="640">
        <v>4680115887695</v>
      </c>
      <c r="E170" s="641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4301020439</v>
      </c>
      <c r="D171" s="640">
        <v>4680115889491</v>
      </c>
      <c r="E171" s="641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0">
        <v>4680115887428</v>
      </c>
      <c r="E175" s="641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4"/>
      <c r="V175" s="34"/>
      <c r="W175" s="35" t="s">
        <v>67</v>
      </c>
      <c r="X175" s="633">
        <v>158</v>
      </c>
      <c r="Y175" s="634">
        <f t="shared" ref="Y175:Y185" si="16">IFERROR(IF(X175="",0,CEILING((X175/$H175),1)*$H175),"")</f>
        <v>161</v>
      </c>
      <c r="Z175" s="36">
        <f>IFERROR(IF(Y175=0,"",ROUNDUP(Y175/H175,0)*0.00902),"")</f>
        <v>0.41492000000000001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166.57714285714286</v>
      </c>
      <c r="BN175" s="64">
        <f t="shared" ref="BN175:BN185" si="18">IFERROR(Y175*I175/H175,"0")</f>
        <v>169.74</v>
      </c>
      <c r="BO175" s="64">
        <f t="shared" ref="BO175:BO185" si="19">IFERROR(1/J175*(X175/H175),"0")</f>
        <v>0.34199134199134201</v>
      </c>
      <c r="BP175" s="64">
        <f t="shared" ref="BP175:BP185" si="20">IFERROR(1/J175*(Y175/H175),"0")</f>
        <v>0.34848484848484851</v>
      </c>
    </row>
    <row r="176" spans="1:68" ht="27" customHeight="1" x14ac:dyDescent="0.25">
      <c r="A176" s="54" t="s">
        <v>297</v>
      </c>
      <c r="B176" s="54" t="s">
        <v>298</v>
      </c>
      <c r="C176" s="31">
        <v>4301031509</v>
      </c>
      <c r="D176" s="640">
        <v>4680115889170</v>
      </c>
      <c r="E176" s="641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0">
        <v>4680115887398</v>
      </c>
      <c r="E177" s="641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4"/>
      <c r="V177" s="34"/>
      <c r="W177" s="35" t="s">
        <v>67</v>
      </c>
      <c r="X177" s="633">
        <v>89</v>
      </c>
      <c r="Y177" s="634">
        <f t="shared" si="16"/>
        <v>91</v>
      </c>
      <c r="Z177" s="36">
        <f>IFERROR(IF(Y177=0,"",ROUNDUP(Y177/H177,0)*0.00902),"")</f>
        <v>0.23452000000000001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93.83142857142856</v>
      </c>
      <c r="BN177" s="64">
        <f t="shared" si="18"/>
        <v>95.940000000000012</v>
      </c>
      <c r="BO177" s="64">
        <f t="shared" si="19"/>
        <v>0.19264069264069264</v>
      </c>
      <c r="BP177" s="64">
        <f t="shared" si="20"/>
        <v>0.19696969696969696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0">
        <v>4680115887336</v>
      </c>
      <c r="E178" s="641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4"/>
      <c r="V178" s="34"/>
      <c r="W178" s="35" t="s">
        <v>67</v>
      </c>
      <c r="X178" s="633">
        <v>62</v>
      </c>
      <c r="Y178" s="634">
        <f t="shared" si="16"/>
        <v>63</v>
      </c>
      <c r="Z178" s="36">
        <f>IFERROR(IF(Y178=0,"",ROUNDUP(Y178/H178,0)*0.00902),"")</f>
        <v>0.16236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65.36571428571429</v>
      </c>
      <c r="BN178" s="64">
        <f t="shared" si="18"/>
        <v>66.42</v>
      </c>
      <c r="BO178" s="64">
        <f t="shared" si="19"/>
        <v>0.13419913419913421</v>
      </c>
      <c r="BP178" s="64">
        <f t="shared" si="20"/>
        <v>0.13636363636363635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0">
        <v>4680115887787</v>
      </c>
      <c r="E179" s="641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40">
        <v>4680115887503</v>
      </c>
      <c r="E180" s="641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4"/>
      <c r="V180" s="34"/>
      <c r="W180" s="35" t="s">
        <v>67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0">
        <v>4680115887763</v>
      </c>
      <c r="E181" s="641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customHeight="1" x14ac:dyDescent="0.25">
      <c r="A182" s="54" t="s">
        <v>311</v>
      </c>
      <c r="B182" s="54" t="s">
        <v>314</v>
      </c>
      <c r="C182" s="31">
        <v>4301031510</v>
      </c>
      <c r="D182" s="640">
        <v>4680115887763</v>
      </c>
      <c r="E182" s="641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40">
        <v>4680115887480</v>
      </c>
      <c r="E183" s="641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40">
        <v>4680115888067</v>
      </c>
      <c r="E184" s="641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0">
        <v>4680115887435</v>
      </c>
      <c r="E185" s="641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4"/>
      <c r="V185" s="34"/>
      <c r="W185" s="35" t="s">
        <v>67</v>
      </c>
      <c r="X185" s="633">
        <v>33</v>
      </c>
      <c r="Y185" s="634">
        <f t="shared" si="16"/>
        <v>33.6</v>
      </c>
      <c r="Z185" s="36">
        <f>IFERROR(IF(Y185=0,"",ROUNDUP(Y185/H185,0)*0.00502),"")</f>
        <v>0.1004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34.964285714285715</v>
      </c>
      <c r="BN185" s="64">
        <f t="shared" si="18"/>
        <v>35.600000000000009</v>
      </c>
      <c r="BO185" s="64">
        <f t="shared" si="19"/>
        <v>8.3943833943833951E-2</v>
      </c>
      <c r="BP185" s="64">
        <f t="shared" si="20"/>
        <v>8.5470085470085472E-2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107.92857142857142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110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0.91220000000000012</v>
      </c>
      <c r="AA186" s="636"/>
      <c r="AB186" s="636"/>
      <c r="AC186" s="636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37" t="s">
        <v>67</v>
      </c>
      <c r="X187" s="635">
        <f>IFERROR(SUM(X175:X185),"0")</f>
        <v>342</v>
      </c>
      <c r="Y187" s="635">
        <f>IFERROR(SUM(Y175:Y185),"0")</f>
        <v>348.6</v>
      </c>
      <c r="Z187" s="37"/>
      <c r="AA187" s="636"/>
      <c r="AB187" s="636"/>
      <c r="AC187" s="636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29"/>
      <c r="AB188" s="629"/>
      <c r="AC188" s="629"/>
    </row>
    <row r="189" spans="1:68" ht="16.5" customHeight="1" x14ac:dyDescent="0.25">
      <c r="A189" s="54" t="s">
        <v>322</v>
      </c>
      <c r="B189" s="54" t="s">
        <v>323</v>
      </c>
      <c r="C189" s="31">
        <v>4301052193</v>
      </c>
      <c r="D189" s="640">
        <v>4680115888395</v>
      </c>
      <c r="E189" s="641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325</v>
      </c>
      <c r="B190" s="54" t="s">
        <v>326</v>
      </c>
      <c r="C190" s="31">
        <v>4301052191</v>
      </c>
      <c r="D190" s="640">
        <v>4680115888371</v>
      </c>
      <c r="E190" s="641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328</v>
      </c>
      <c r="B191" s="54" t="s">
        <v>329</v>
      </c>
      <c r="C191" s="31">
        <v>4301052064</v>
      </c>
      <c r="D191" s="640">
        <v>4680115887459</v>
      </c>
      <c r="E191" s="641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29"/>
      <c r="AB194" s="629"/>
      <c r="AC194" s="629"/>
    </row>
    <row r="195" spans="1:68" ht="16.5" customHeight="1" x14ac:dyDescent="0.25">
      <c r="A195" s="54" t="s">
        <v>331</v>
      </c>
      <c r="B195" s="54" t="s">
        <v>332</v>
      </c>
      <c r="C195" s="31">
        <v>4301032058</v>
      </c>
      <c r="D195" s="640">
        <v>4680115889026</v>
      </c>
      <c r="E195" s="641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335</v>
      </c>
      <c r="B196" s="54" t="s">
        <v>336</v>
      </c>
      <c r="C196" s="31">
        <v>4301032057</v>
      </c>
      <c r="D196" s="640">
        <v>4680115889088</v>
      </c>
      <c r="E196" s="641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29"/>
      <c r="AB199" s="629"/>
      <c r="AC199" s="629"/>
    </row>
    <row r="200" spans="1:68" ht="27" customHeight="1" x14ac:dyDescent="0.25">
      <c r="A200" s="54" t="s">
        <v>339</v>
      </c>
      <c r="B200" s="54" t="s">
        <v>340</v>
      </c>
      <c r="C200" s="31">
        <v>4301041009</v>
      </c>
      <c r="D200" s="640">
        <v>4680115889033</v>
      </c>
      <c r="E200" s="641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48"/>
      <c r="AB203" s="48"/>
      <c r="AC203" s="48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8"/>
      <c r="AB204" s="628"/>
      <c r="AC204" s="628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29"/>
      <c r="AB205" s="629"/>
      <c r="AC205" s="629"/>
    </row>
    <row r="206" spans="1:68" ht="27" customHeight="1" x14ac:dyDescent="0.25">
      <c r="A206" s="54" t="s">
        <v>344</v>
      </c>
      <c r="B206" s="54" t="s">
        <v>345</v>
      </c>
      <c r="C206" s="31">
        <v>4301011223</v>
      </c>
      <c r="D206" s="640">
        <v>4607091383423</v>
      </c>
      <c r="E206" s="641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4301012340</v>
      </c>
      <c r="D207" s="640">
        <v>4680115888760</v>
      </c>
      <c r="E207" s="641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4301012341</v>
      </c>
      <c r="D208" s="640">
        <v>4680115888807</v>
      </c>
      <c r="E208" s="641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352</v>
      </c>
      <c r="B209" s="54" t="s">
        <v>353</v>
      </c>
      <c r="C209" s="31">
        <v>4301012342</v>
      </c>
      <c r="D209" s="640">
        <v>4680115888852</v>
      </c>
      <c r="E209" s="641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355</v>
      </c>
      <c r="B210" s="54" t="s">
        <v>356</v>
      </c>
      <c r="C210" s="31">
        <v>4301012370</v>
      </c>
      <c r="D210" s="640">
        <v>4680115886957</v>
      </c>
      <c r="E210" s="641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358</v>
      </c>
      <c r="B211" s="54" t="s">
        <v>359</v>
      </c>
      <c r="C211" s="31">
        <v>4301012098</v>
      </c>
      <c r="D211" s="640">
        <v>4680115885660</v>
      </c>
      <c r="E211" s="641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361</v>
      </c>
      <c r="B212" s="54" t="s">
        <v>362</v>
      </c>
      <c r="C212" s="31">
        <v>4301012369</v>
      </c>
      <c r="D212" s="640">
        <v>4680115886773</v>
      </c>
      <c r="E212" s="641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8"/>
      <c r="AB215" s="628"/>
      <c r="AC215" s="628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29"/>
      <c r="AB216" s="629"/>
      <c r="AC216" s="629"/>
    </row>
    <row r="217" spans="1:68" ht="27" customHeight="1" x14ac:dyDescent="0.25">
      <c r="A217" s="54" t="s">
        <v>365</v>
      </c>
      <c r="B217" s="54" t="s">
        <v>366</v>
      </c>
      <c r="C217" s="31">
        <v>4301020323</v>
      </c>
      <c r="D217" s="640">
        <v>4680115886223</v>
      </c>
      <c r="E217" s="641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0">
        <v>4680115880993</v>
      </c>
      <c r="E221" s="641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4"/>
      <c r="V221" s="34"/>
      <c r="W221" s="35" t="s">
        <v>67</v>
      </c>
      <c r="X221" s="633">
        <v>26</v>
      </c>
      <c r="Y221" s="634">
        <f t="shared" ref="Y221:Y234" si="27">IFERROR(IF(X221="",0,CEILING((X221/$H221),1)*$H221),"")</f>
        <v>29.400000000000002</v>
      </c>
      <c r="Z221" s="36">
        <f>IFERROR(IF(Y221=0,"",ROUNDUP(Y221/H221,0)*0.00902),"")</f>
        <v>6.3140000000000002E-2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27.547619047619047</v>
      </c>
      <c r="BN221" s="64">
        <f t="shared" ref="BN221:BN234" si="29">IFERROR(Y221*I221/H221,"0")</f>
        <v>31.150000000000002</v>
      </c>
      <c r="BO221" s="64">
        <f t="shared" ref="BO221:BO234" si="30">IFERROR(1/J221*(X221/H221),"0")</f>
        <v>4.6897546897546896E-2</v>
      </c>
      <c r="BP221" s="64">
        <f t="shared" ref="BP221:BP234" si="31">IFERROR(1/J221*(Y221/H221),"0")</f>
        <v>5.3030303030303032E-2</v>
      </c>
    </row>
    <row r="222" spans="1:68" ht="27" customHeight="1" x14ac:dyDescent="0.25">
      <c r="A222" s="54" t="s">
        <v>371</v>
      </c>
      <c r="B222" s="54" t="s">
        <v>372</v>
      </c>
      <c r="C222" s="31">
        <v>4301031204</v>
      </c>
      <c r="D222" s="640">
        <v>4680115881761</v>
      </c>
      <c r="E222" s="641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0">
        <v>4680115881563</v>
      </c>
      <c r="E223" s="641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0">
        <v>4680115887565</v>
      </c>
      <c r="E224" s="641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4"/>
      <c r="V224" s="34"/>
      <c r="W224" s="35" t="s">
        <v>67</v>
      </c>
      <c r="X224" s="633">
        <v>5</v>
      </c>
      <c r="Y224" s="634">
        <f t="shared" si="27"/>
        <v>5.6000000000000005</v>
      </c>
      <c r="Z224" s="36">
        <f>IFERROR(IF(Y224=0,"",ROUNDUP(Y224/H224,0)*0.00556),"")</f>
        <v>3.8919999999999996E-2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5.8125</v>
      </c>
      <c r="BN224" s="64">
        <f t="shared" si="29"/>
        <v>6.5100000000000007</v>
      </c>
      <c r="BO224" s="64">
        <f t="shared" si="30"/>
        <v>2.48015873015873E-2</v>
      </c>
      <c r="BP224" s="64">
        <f t="shared" si="31"/>
        <v>2.7777777777777776E-2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0">
        <v>4680115880986</v>
      </c>
      <c r="E225" s="641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4"/>
      <c r="V225" s="34"/>
      <c r="W225" s="35" t="s">
        <v>67</v>
      </c>
      <c r="X225" s="633">
        <v>35</v>
      </c>
      <c r="Y225" s="634">
        <f t="shared" si="27"/>
        <v>35.700000000000003</v>
      </c>
      <c r="Z225" s="36">
        <f t="shared" ref="Z225:Z230" si="32">IFERROR(IF(Y225=0,"",ROUNDUP(Y225/H225,0)*0.00502),"")</f>
        <v>8.5339999999999999E-2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37.166666666666664</v>
      </c>
      <c r="BN225" s="64">
        <f t="shared" si="29"/>
        <v>37.910000000000004</v>
      </c>
      <c r="BO225" s="64">
        <f t="shared" si="30"/>
        <v>7.1225071225071226E-2</v>
      </c>
      <c r="BP225" s="64">
        <f t="shared" si="31"/>
        <v>7.2649572649572655E-2</v>
      </c>
    </row>
    <row r="226" spans="1:68" ht="27" customHeight="1" x14ac:dyDescent="0.25">
      <c r="A226" s="54" t="s">
        <v>382</v>
      </c>
      <c r="B226" s="54" t="s">
        <v>383</v>
      </c>
      <c r="C226" s="31">
        <v>4301031443</v>
      </c>
      <c r="D226" s="640">
        <v>4680115887213</v>
      </c>
      <c r="E226" s="641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4301031205</v>
      </c>
      <c r="D227" s="640">
        <v>4680115881785</v>
      </c>
      <c r="E227" s="641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4301031499</v>
      </c>
      <c r="D228" s="640">
        <v>4680115888432</v>
      </c>
      <c r="E228" s="641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4301031427</v>
      </c>
      <c r="D229" s="640">
        <v>4680115888104</v>
      </c>
      <c r="E229" s="641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0">
        <v>4680115886537</v>
      </c>
      <c r="E230" s="641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4"/>
      <c r="V230" s="34"/>
      <c r="W230" s="35" t="s">
        <v>67</v>
      </c>
      <c r="X230" s="633">
        <v>60</v>
      </c>
      <c r="Y230" s="634">
        <f t="shared" si="27"/>
        <v>61.2</v>
      </c>
      <c r="Z230" s="36">
        <f t="shared" si="32"/>
        <v>0.17068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64.333333333333329</v>
      </c>
      <c r="BN230" s="64">
        <f t="shared" si="29"/>
        <v>65.62</v>
      </c>
      <c r="BO230" s="64">
        <f t="shared" si="30"/>
        <v>0.14245014245014248</v>
      </c>
      <c r="BP230" s="64">
        <f t="shared" si="31"/>
        <v>0.14529914529914531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0">
        <v>4680115887596</v>
      </c>
      <c r="E231" s="641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0">
        <v>4680115881679</v>
      </c>
      <c r="E232" s="641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4"/>
      <c r="V232" s="34"/>
      <c r="W232" s="35" t="s">
        <v>67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4301031158</v>
      </c>
      <c r="D233" s="640">
        <v>4680115880191</v>
      </c>
      <c r="E233" s="641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4301031245</v>
      </c>
      <c r="D234" s="640">
        <v>4680115883963</v>
      </c>
      <c r="E234" s="641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62.44047619047619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65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0.35808000000000001</v>
      </c>
      <c r="AA235" s="636"/>
      <c r="AB235" s="636"/>
      <c r="AC235" s="636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37" t="s">
        <v>67</v>
      </c>
      <c r="X236" s="635">
        <f>IFERROR(SUM(X221:X234),"0")</f>
        <v>126</v>
      </c>
      <c r="Y236" s="635">
        <f>IFERROR(SUM(Y221:Y234),"0")</f>
        <v>131.9</v>
      </c>
      <c r="Z236" s="37"/>
      <c r="AA236" s="636"/>
      <c r="AB236" s="636"/>
      <c r="AC236" s="636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29"/>
      <c r="AB237" s="629"/>
      <c r="AC237" s="629"/>
    </row>
    <row r="238" spans="1:68" ht="16.5" customHeight="1" x14ac:dyDescent="0.25">
      <c r="A238" s="54" t="s">
        <v>406</v>
      </c>
      <c r="B238" s="54" t="s">
        <v>407</v>
      </c>
      <c r="C238" s="31">
        <v>4301052209</v>
      </c>
      <c r="D238" s="640">
        <v>4680115888692</v>
      </c>
      <c r="E238" s="641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409</v>
      </c>
      <c r="B239" s="54" t="s">
        <v>410</v>
      </c>
      <c r="C239" s="31">
        <v>4301052213</v>
      </c>
      <c r="D239" s="640">
        <v>4680115888722</v>
      </c>
      <c r="E239" s="641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412</v>
      </c>
      <c r="B240" s="54" t="s">
        <v>413</v>
      </c>
      <c r="C240" s="31">
        <v>4301052177</v>
      </c>
      <c r="D240" s="640">
        <v>4680115888951</v>
      </c>
      <c r="E240" s="641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415</v>
      </c>
      <c r="B241" s="54" t="s">
        <v>416</v>
      </c>
      <c r="C241" s="31">
        <v>4301052178</v>
      </c>
      <c r="D241" s="640">
        <v>4680115888975</v>
      </c>
      <c r="E241" s="641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418</v>
      </c>
      <c r="B242" s="54" t="s">
        <v>419</v>
      </c>
      <c r="C242" s="31">
        <v>4301052176</v>
      </c>
      <c r="D242" s="640">
        <v>4680115888982</v>
      </c>
      <c r="E242" s="641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29"/>
      <c r="AB245" s="629"/>
      <c r="AC245" s="629"/>
    </row>
    <row r="246" spans="1:68" ht="27" customHeight="1" x14ac:dyDescent="0.25">
      <c r="A246" s="54" t="s">
        <v>420</v>
      </c>
      <c r="B246" s="54" t="s">
        <v>421</v>
      </c>
      <c r="C246" s="31">
        <v>4301032053</v>
      </c>
      <c r="D246" s="640">
        <v>4680115886780</v>
      </c>
      <c r="E246" s="641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40">
        <v>4680115886742</v>
      </c>
      <c r="E247" s="641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0">
        <v>4680115886766</v>
      </c>
      <c r="E248" s="641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40">
        <v>4680115886797</v>
      </c>
      <c r="E252" s="641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4"/>
      <c r="V252" s="34"/>
      <c r="W252" s="35" t="s">
        <v>67</v>
      </c>
      <c r="X252" s="633">
        <v>3</v>
      </c>
      <c r="Y252" s="634">
        <f>IFERROR(IF(X252="",0,CEILING((X252/$H252),1)*$H252),"")</f>
        <v>3.7800000000000002</v>
      </c>
      <c r="Z252" s="36">
        <f>IFERROR(IF(Y252=0,"",ROUNDUP(Y252/H252,0)*0.0059),"")</f>
        <v>1.77E-2</v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3.4523809523809521</v>
      </c>
      <c r="BN252" s="64">
        <f>IFERROR(Y252*I252/H252,"0")</f>
        <v>4.3499999999999996</v>
      </c>
      <c r="BO252" s="64">
        <f>IFERROR(1/J252*(X252/H252),"0")</f>
        <v>1.1022927689594356E-2</v>
      </c>
      <c r="BP252" s="64">
        <f>IFERROR(1/J252*(Y252/H252),"0")</f>
        <v>1.3888888888888888E-2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37" t="s">
        <v>73</v>
      </c>
      <c r="X253" s="635">
        <f>IFERROR(X252/H252,"0")</f>
        <v>2.3809523809523809</v>
      </c>
      <c r="Y253" s="635">
        <f>IFERROR(Y252/H252,"0")</f>
        <v>3</v>
      </c>
      <c r="Z253" s="635">
        <f>IFERROR(IF(Z252="",0,Z252),"0")</f>
        <v>1.77E-2</v>
      </c>
      <c r="AA253" s="636"/>
      <c r="AB253" s="636"/>
      <c r="AC253" s="636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37" t="s">
        <v>67</v>
      </c>
      <c r="X254" s="635">
        <f>IFERROR(SUM(X252:X252),"0")</f>
        <v>3</v>
      </c>
      <c r="Y254" s="635">
        <f>IFERROR(SUM(Y252:Y252),"0")</f>
        <v>3.7800000000000002</v>
      </c>
      <c r="Z254" s="37"/>
      <c r="AA254" s="636"/>
      <c r="AB254" s="636"/>
      <c r="AC254" s="636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8"/>
      <c r="AB255" s="628"/>
      <c r="AC255" s="628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29"/>
      <c r="AB256" s="629"/>
      <c r="AC256" s="629"/>
    </row>
    <row r="257" spans="1:68" ht="27" customHeight="1" x14ac:dyDescent="0.25">
      <c r="A257" s="54" t="s">
        <v>432</v>
      </c>
      <c r="B257" s="54" t="s">
        <v>433</v>
      </c>
      <c r="C257" s="31">
        <v>4301011450</v>
      </c>
      <c r="D257" s="640">
        <v>4680115881402</v>
      </c>
      <c r="E257" s="641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435</v>
      </c>
      <c r="B258" s="54" t="s">
        <v>436</v>
      </c>
      <c r="C258" s="31">
        <v>4301011768</v>
      </c>
      <c r="D258" s="640">
        <v>4680115881396</v>
      </c>
      <c r="E258" s="641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29"/>
      <c r="AB261" s="629"/>
      <c r="AC261" s="629"/>
    </row>
    <row r="262" spans="1:68" ht="16.5" customHeight="1" x14ac:dyDescent="0.25">
      <c r="A262" s="54" t="s">
        <v>437</v>
      </c>
      <c r="B262" s="54" t="s">
        <v>438</v>
      </c>
      <c r="C262" s="31">
        <v>4301020261</v>
      </c>
      <c r="D262" s="640">
        <v>4680115882935</v>
      </c>
      <c r="E262" s="641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440</v>
      </c>
      <c r="B263" s="54" t="s">
        <v>441</v>
      </c>
      <c r="C263" s="31">
        <v>4301020220</v>
      </c>
      <c r="D263" s="640">
        <v>4680115880764</v>
      </c>
      <c r="E263" s="641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0">
        <v>4680115882683</v>
      </c>
      <c r="E267" s="641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4"/>
      <c r="V267" s="34"/>
      <c r="W267" s="35" t="s">
        <v>67</v>
      </c>
      <c r="X267" s="633">
        <v>241</v>
      </c>
      <c r="Y267" s="634">
        <f t="shared" ref="Y267:Y274" si="33">IFERROR(IF(X267="",0,CEILING((X267/$H267),1)*$H267),"")</f>
        <v>243.00000000000003</v>
      </c>
      <c r="Z267" s="36">
        <f>IFERROR(IF(Y267=0,"",ROUNDUP(Y267/H267,0)*0.00902),"")</f>
        <v>0.40590000000000004</v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249.47962962962961</v>
      </c>
      <c r="BN267" s="64">
        <f t="shared" ref="BN267:BN274" si="35">IFERROR(Y267*I267/H267,"0")</f>
        <v>251.55</v>
      </c>
      <c r="BO267" s="64">
        <f t="shared" ref="BO267:BO274" si="36">IFERROR(1/J267*(X267/H267),"0")</f>
        <v>0.33810325476992142</v>
      </c>
      <c r="BP267" s="64">
        <f t="shared" ref="BP267:BP274" si="37">IFERROR(1/J267*(Y267/H267),"0")</f>
        <v>0.34090909090909094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0">
        <v>4680115882690</v>
      </c>
      <c r="E268" s="641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4"/>
      <c r="V268" s="34"/>
      <c r="W268" s="35" t="s">
        <v>67</v>
      </c>
      <c r="X268" s="633">
        <v>118</v>
      </c>
      <c r="Y268" s="634">
        <f t="shared" si="33"/>
        <v>118.80000000000001</v>
      </c>
      <c r="Z268" s="36">
        <f>IFERROR(IF(Y268=0,"",ROUNDUP(Y268/H268,0)*0.00902),"")</f>
        <v>0.19844000000000001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122.15185185185184</v>
      </c>
      <c r="BN268" s="64">
        <f t="shared" si="35"/>
        <v>122.98</v>
      </c>
      <c r="BO268" s="64">
        <f t="shared" si="36"/>
        <v>0.16554433221099887</v>
      </c>
      <c r="BP268" s="64">
        <f t="shared" si="37"/>
        <v>0.16666666666666669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0">
        <v>4680115882669</v>
      </c>
      <c r="E269" s="641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4"/>
      <c r="V269" s="34"/>
      <c r="W269" s="35" t="s">
        <v>67</v>
      </c>
      <c r="X269" s="633">
        <v>175</v>
      </c>
      <c r="Y269" s="634">
        <f t="shared" si="33"/>
        <v>178.20000000000002</v>
      </c>
      <c r="Z269" s="36">
        <f>IFERROR(IF(Y269=0,"",ROUNDUP(Y269/H269,0)*0.00902),"")</f>
        <v>0.29766000000000004</v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181.15740740740739</v>
      </c>
      <c r="BN269" s="64">
        <f t="shared" si="35"/>
        <v>184.47</v>
      </c>
      <c r="BO269" s="64">
        <f t="shared" si="36"/>
        <v>0.24551066217732884</v>
      </c>
      <c r="BP269" s="64">
        <f t="shared" si="37"/>
        <v>0.25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0">
        <v>4680115882676</v>
      </c>
      <c r="E270" s="641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4"/>
      <c r="V270" s="34"/>
      <c r="W270" s="35" t="s">
        <v>67</v>
      </c>
      <c r="X270" s="633">
        <v>54</v>
      </c>
      <c r="Y270" s="634">
        <f t="shared" si="33"/>
        <v>54</v>
      </c>
      <c r="Z270" s="36">
        <f>IFERROR(IF(Y270=0,"",ROUNDUP(Y270/H270,0)*0.00902),"")</f>
        <v>9.0200000000000002E-2</v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55.9</v>
      </c>
      <c r="BN270" s="64">
        <f t="shared" si="35"/>
        <v>55.9</v>
      </c>
      <c r="BO270" s="64">
        <f t="shared" si="36"/>
        <v>7.575757575757576E-2</v>
      </c>
      <c r="BP270" s="64">
        <f t="shared" si="37"/>
        <v>7.575757575757576E-2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0">
        <v>4680115884014</v>
      </c>
      <c r="E271" s="641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4"/>
      <c r="V271" s="34"/>
      <c r="W271" s="35" t="s">
        <v>67</v>
      </c>
      <c r="X271" s="633">
        <v>169</v>
      </c>
      <c r="Y271" s="634">
        <f t="shared" si="33"/>
        <v>169.20000000000002</v>
      </c>
      <c r="Z271" s="36">
        <f>IFERROR(IF(Y271=0,"",ROUNDUP(Y271/H271,0)*0.00502),"")</f>
        <v>0.47188000000000002</v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181.20555555555555</v>
      </c>
      <c r="BN271" s="64">
        <f t="shared" si="35"/>
        <v>181.42000000000002</v>
      </c>
      <c r="BO271" s="64">
        <f t="shared" si="36"/>
        <v>0.40123456790123457</v>
      </c>
      <c r="BP271" s="64">
        <f t="shared" si="37"/>
        <v>0.40170940170940184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0">
        <v>4680115884007</v>
      </c>
      <c r="E272" s="641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4"/>
      <c r="V272" s="34"/>
      <c r="W272" s="35" t="s">
        <v>67</v>
      </c>
      <c r="X272" s="633">
        <v>45</v>
      </c>
      <c r="Y272" s="634">
        <f t="shared" si="33"/>
        <v>45</v>
      </c>
      <c r="Z272" s="36">
        <f>IFERROR(IF(Y272=0,"",ROUNDUP(Y272/H272,0)*0.00502),"")</f>
        <v>0.1255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47.5</v>
      </c>
      <c r="BN272" s="64">
        <f t="shared" si="35"/>
        <v>47.5</v>
      </c>
      <c r="BO272" s="64">
        <f t="shared" si="36"/>
        <v>0.10683760683760685</v>
      </c>
      <c r="BP272" s="64">
        <f t="shared" si="37"/>
        <v>0.10683760683760685</v>
      </c>
    </row>
    <row r="273" spans="1:68" ht="27" customHeight="1" x14ac:dyDescent="0.25">
      <c r="A273" s="54" t="s">
        <v>458</v>
      </c>
      <c r="B273" s="54" t="s">
        <v>459</v>
      </c>
      <c r="C273" s="31">
        <v>4301031229</v>
      </c>
      <c r="D273" s="640">
        <v>4680115884038</v>
      </c>
      <c r="E273" s="641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0">
        <v>4680115884021</v>
      </c>
      <c r="E274" s="641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4"/>
      <c r="V274" s="34"/>
      <c r="W274" s="35" t="s">
        <v>67</v>
      </c>
      <c r="X274" s="633">
        <v>45</v>
      </c>
      <c r="Y274" s="634">
        <f t="shared" si="33"/>
        <v>45</v>
      </c>
      <c r="Z274" s="36">
        <f>IFERROR(IF(Y274=0,"",ROUNDUP(Y274/H274,0)*0.00502),"")</f>
        <v>0.1255</v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47.5</v>
      </c>
      <c r="BN274" s="64">
        <f t="shared" si="35"/>
        <v>47.5</v>
      </c>
      <c r="BO274" s="64">
        <f t="shared" si="36"/>
        <v>0.10683760683760685</v>
      </c>
      <c r="BP274" s="64">
        <f t="shared" si="37"/>
        <v>0.10683760683760685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252.77777777777777</v>
      </c>
      <c r="Y275" s="635">
        <f>IFERROR(Y267/H267,"0")+IFERROR(Y268/H268,"0")+IFERROR(Y269/H269,"0")+IFERROR(Y270/H270,"0")+IFERROR(Y271/H271,"0")+IFERROR(Y272/H272,"0")+IFERROR(Y273/H273,"0")+IFERROR(Y274/H274,"0")</f>
        <v>254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1.7150800000000002</v>
      </c>
      <c r="AA275" s="636"/>
      <c r="AB275" s="636"/>
      <c r="AC275" s="636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37" t="s">
        <v>67</v>
      </c>
      <c r="X276" s="635">
        <f>IFERROR(SUM(X267:X274),"0")</f>
        <v>847</v>
      </c>
      <c r="Y276" s="635">
        <f>IFERROR(SUM(Y267:Y274),"0")</f>
        <v>853.20000000000016</v>
      </c>
      <c r="Z276" s="37"/>
      <c r="AA276" s="636"/>
      <c r="AB276" s="636"/>
      <c r="AC276" s="636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0">
        <v>4680115881594</v>
      </c>
      <c r="E278" s="641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4"/>
      <c r="V278" s="34"/>
      <c r="W278" s="35" t="s">
        <v>67</v>
      </c>
      <c r="X278" s="633">
        <v>100</v>
      </c>
      <c r="Y278" s="634">
        <f t="shared" ref="Y278:Y289" si="38">IFERROR(IF(X278="",0,CEILING((X278/$H278),1)*$H278),"")</f>
        <v>105.3</v>
      </c>
      <c r="Z278" s="36">
        <f>IFERROR(IF(Y278=0,"",ROUNDUP(Y278/H278,0)*0.01898),"")</f>
        <v>0.24674000000000001</v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106.09876543209877</v>
      </c>
      <c r="BN278" s="64">
        <f t="shared" ref="BN278:BN289" si="40">IFERROR(Y278*I278/H278,"0")</f>
        <v>111.72199999999999</v>
      </c>
      <c r="BO278" s="64">
        <f t="shared" ref="BO278:BO289" si="41">IFERROR(1/J278*(X278/H278),"0")</f>
        <v>0.19290123456790123</v>
      </c>
      <c r="BP278" s="64">
        <f t="shared" ref="BP278:BP289" si="42">IFERROR(1/J278*(Y278/H278),"0")</f>
        <v>0.203125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0">
        <v>4680115881617</v>
      </c>
      <c r="E279" s="641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4"/>
      <c r="V279" s="34"/>
      <c r="W279" s="35" t="s">
        <v>67</v>
      </c>
      <c r="X279" s="633">
        <v>80</v>
      </c>
      <c r="Y279" s="634">
        <f t="shared" si="38"/>
        <v>81</v>
      </c>
      <c r="Z279" s="36">
        <f>IFERROR(IF(Y279=0,"",ROUNDUP(Y279/H279,0)*0.01898),"")</f>
        <v>0.1898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84.701234567901238</v>
      </c>
      <c r="BN279" s="64">
        <f t="shared" si="40"/>
        <v>85.76</v>
      </c>
      <c r="BO279" s="64">
        <f t="shared" si="41"/>
        <v>0.15432098765432101</v>
      </c>
      <c r="BP279" s="64">
        <f t="shared" si="42"/>
        <v>0.15625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0">
        <v>4680115880573</v>
      </c>
      <c r="E280" s="641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4"/>
      <c r="V280" s="34"/>
      <c r="W280" s="35" t="s">
        <v>67</v>
      </c>
      <c r="X280" s="633">
        <v>150</v>
      </c>
      <c r="Y280" s="634">
        <f t="shared" si="38"/>
        <v>156.6</v>
      </c>
      <c r="Z280" s="36">
        <f>IFERROR(IF(Y280=0,"",ROUNDUP(Y280/H280,0)*0.01898),"")</f>
        <v>0.34164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158.51724137931038</v>
      </c>
      <c r="BN280" s="64">
        <f t="shared" si="40"/>
        <v>165.49200000000002</v>
      </c>
      <c r="BO280" s="64">
        <f t="shared" si="41"/>
        <v>0.26939655172413796</v>
      </c>
      <c r="BP280" s="64">
        <f t="shared" si="42"/>
        <v>0.28125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0">
        <v>4680115882195</v>
      </c>
      <c r="E281" s="641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4"/>
      <c r="V281" s="34"/>
      <c r="W281" s="35" t="s">
        <v>67</v>
      </c>
      <c r="X281" s="633">
        <v>77</v>
      </c>
      <c r="Y281" s="634">
        <f t="shared" si="38"/>
        <v>79.2</v>
      </c>
      <c r="Z281" s="36">
        <f>IFERROR(IF(Y281=0,"",ROUNDUP(Y281/H281,0)*0.00651),"")</f>
        <v>0.21482999999999999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85.662500000000009</v>
      </c>
      <c r="BN281" s="64">
        <f t="shared" si="40"/>
        <v>88.11</v>
      </c>
      <c r="BO281" s="64">
        <f t="shared" si="41"/>
        <v>0.17628205128205132</v>
      </c>
      <c r="BP281" s="64">
        <f t="shared" si="42"/>
        <v>0.18131868131868134</v>
      </c>
    </row>
    <row r="282" spans="1:68" ht="27" customHeight="1" x14ac:dyDescent="0.25">
      <c r="A282" s="54" t="s">
        <v>473</v>
      </c>
      <c r="B282" s="54" t="s">
        <v>474</v>
      </c>
      <c r="C282" s="31">
        <v>4301051752</v>
      </c>
      <c r="D282" s="640">
        <v>4680115882607</v>
      </c>
      <c r="E282" s="641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4301052143</v>
      </c>
      <c r="D283" s="640">
        <v>4680115882607</v>
      </c>
      <c r="E283" s="641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0">
        <v>4680115880092</v>
      </c>
      <c r="E284" s="641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4"/>
      <c r="V284" s="34"/>
      <c r="W284" s="35" t="s">
        <v>67</v>
      </c>
      <c r="X284" s="633">
        <v>767</v>
      </c>
      <c r="Y284" s="634">
        <f t="shared" si="38"/>
        <v>768</v>
      </c>
      <c r="Z284" s="36">
        <f>IFERROR(IF(Y284=0,"",ROUNDUP(Y284/H284,0)*0.00651),"")</f>
        <v>2.0832000000000002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847.53500000000008</v>
      </c>
      <c r="BN284" s="64">
        <f t="shared" si="40"/>
        <v>848.6400000000001</v>
      </c>
      <c r="BO284" s="64">
        <f t="shared" si="41"/>
        <v>1.7559523809523814</v>
      </c>
      <c r="BP284" s="64">
        <f t="shared" si="42"/>
        <v>1.7582417582417584</v>
      </c>
    </row>
    <row r="285" spans="1:68" ht="27" customHeight="1" x14ac:dyDescent="0.25">
      <c r="A285" s="54" t="s">
        <v>480</v>
      </c>
      <c r="B285" s="54" t="s">
        <v>481</v>
      </c>
      <c r="C285" s="31">
        <v>4301052214</v>
      </c>
      <c r="D285" s="640">
        <v>4680115889064</v>
      </c>
      <c r="E285" s="641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0">
        <v>4680115880221</v>
      </c>
      <c r="E286" s="641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4"/>
      <c r="V286" s="34"/>
      <c r="W286" s="35" t="s">
        <v>67</v>
      </c>
      <c r="X286" s="633">
        <v>191</v>
      </c>
      <c r="Y286" s="634">
        <f t="shared" si="38"/>
        <v>192</v>
      </c>
      <c r="Z286" s="36">
        <f>IFERROR(IF(Y286=0,"",ROUNDUP(Y286/H286,0)*0.00651),"")</f>
        <v>0.52080000000000004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211.05500000000004</v>
      </c>
      <c r="BN286" s="64">
        <f t="shared" si="40"/>
        <v>212.16000000000003</v>
      </c>
      <c r="BO286" s="64">
        <f t="shared" si="41"/>
        <v>0.43727106227106238</v>
      </c>
      <c r="BP286" s="64">
        <f t="shared" si="42"/>
        <v>0.43956043956043961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0">
        <v>4680115880504</v>
      </c>
      <c r="E287" s="641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4"/>
      <c r="V287" s="34"/>
      <c r="W287" s="35" t="s">
        <v>67</v>
      </c>
      <c r="X287" s="633">
        <v>313</v>
      </c>
      <c r="Y287" s="634">
        <f t="shared" si="38"/>
        <v>314.39999999999998</v>
      </c>
      <c r="Z287" s="36">
        <f>IFERROR(IF(Y287=0,"",ROUNDUP(Y287/H287,0)*0.00651),"")</f>
        <v>0.85281000000000007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345.86500000000001</v>
      </c>
      <c r="BN287" s="64">
        <f t="shared" si="40"/>
        <v>347.41200000000003</v>
      </c>
      <c r="BO287" s="64">
        <f t="shared" si="41"/>
        <v>0.71657509157509169</v>
      </c>
      <c r="BP287" s="64">
        <f t="shared" si="42"/>
        <v>0.71978021978021989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0">
        <v>4680115882164</v>
      </c>
      <c r="E288" s="641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4"/>
      <c r="V288" s="34"/>
      <c r="W288" s="35" t="s">
        <v>67</v>
      </c>
      <c r="X288" s="633">
        <v>20</v>
      </c>
      <c r="Y288" s="634">
        <f t="shared" si="38"/>
        <v>21.599999999999998</v>
      </c>
      <c r="Z288" s="36">
        <f>IFERROR(IF(Y288=0,"",ROUNDUP(Y288/H288,0)*0.00651),"")</f>
        <v>5.8590000000000003E-2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22.15</v>
      </c>
      <c r="BN288" s="64">
        <f t="shared" si="40"/>
        <v>23.921999999999997</v>
      </c>
      <c r="BO288" s="64">
        <f t="shared" si="41"/>
        <v>4.5787545787545791E-2</v>
      </c>
      <c r="BP288" s="64">
        <f t="shared" si="42"/>
        <v>4.9450549450549455E-2</v>
      </c>
    </row>
    <row r="289" spans="1:68" ht="27" customHeight="1" x14ac:dyDescent="0.25">
      <c r="A289" s="54" t="s">
        <v>490</v>
      </c>
      <c r="B289" s="54" t="s">
        <v>491</v>
      </c>
      <c r="C289" s="31">
        <v>4301052180</v>
      </c>
      <c r="D289" s="640">
        <v>4680115888340</v>
      </c>
      <c r="E289" s="641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609.46360153256717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614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4.5084099999999996</v>
      </c>
      <c r="AA290" s="636"/>
      <c r="AB290" s="636"/>
      <c r="AC290" s="636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37" t="s">
        <v>67</v>
      </c>
      <c r="X291" s="635">
        <f>IFERROR(SUM(X278:X289),"0")</f>
        <v>1698</v>
      </c>
      <c r="Y291" s="635">
        <f>IFERROR(SUM(Y278:Y289),"0")</f>
        <v>1718.1</v>
      </c>
      <c r="Z291" s="37"/>
      <c r="AA291" s="636"/>
      <c r="AB291" s="636"/>
      <c r="AC291" s="636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0">
        <v>4680115880818</v>
      </c>
      <c r="E293" s="641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4"/>
      <c r="V293" s="34"/>
      <c r="W293" s="35" t="s">
        <v>67</v>
      </c>
      <c r="X293" s="633">
        <v>4</v>
      </c>
      <c r="Y293" s="634">
        <f>IFERROR(IF(X293="",0,CEILING((X293/$H293),1)*$H293),"")</f>
        <v>4.8</v>
      </c>
      <c r="Z293" s="36">
        <f>IFERROR(IF(Y293=0,"",ROUNDUP(Y293/H293,0)*0.00651),"")</f>
        <v>1.302E-2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4.4200000000000008</v>
      </c>
      <c r="BN293" s="64">
        <f>IFERROR(Y293*I293/H293,"0")</f>
        <v>5.3040000000000003</v>
      </c>
      <c r="BO293" s="64">
        <f>IFERROR(1/J293*(X293/H293),"0")</f>
        <v>9.1575091575091579E-3</v>
      </c>
      <c r="BP293" s="64">
        <f>IFERROR(1/J293*(Y293/H293),"0")</f>
        <v>1.098901098901099E-2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0">
        <v>4680115880801</v>
      </c>
      <c r="E294" s="641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37" t="s">
        <v>73</v>
      </c>
      <c r="X295" s="635">
        <f>IFERROR(X293/H293,"0")+IFERROR(X294/H294,"0")</f>
        <v>1.6666666666666667</v>
      </c>
      <c r="Y295" s="635">
        <f>IFERROR(Y293/H293,"0")+IFERROR(Y294/H294,"0")</f>
        <v>2</v>
      </c>
      <c r="Z295" s="635">
        <f>IFERROR(IF(Z293="",0,Z293),"0")+IFERROR(IF(Z294="",0,Z294),"0")</f>
        <v>1.302E-2</v>
      </c>
      <c r="AA295" s="636"/>
      <c r="AB295" s="636"/>
      <c r="AC295" s="636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37" t="s">
        <v>67</v>
      </c>
      <c r="X296" s="635">
        <f>IFERROR(SUM(X293:X294),"0")</f>
        <v>4</v>
      </c>
      <c r="Y296" s="635">
        <f>IFERROR(SUM(Y293:Y294),"0")</f>
        <v>4.8</v>
      </c>
      <c r="Z296" s="37"/>
      <c r="AA296" s="636"/>
      <c r="AB296" s="636"/>
      <c r="AC296" s="636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8"/>
      <c r="AB297" s="628"/>
      <c r="AC297" s="628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0">
        <v>4680115884137</v>
      </c>
      <c r="E299" s="641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4"/>
      <c r="V299" s="34"/>
      <c r="W299" s="35" t="s">
        <v>67</v>
      </c>
      <c r="X299" s="633">
        <v>168</v>
      </c>
      <c r="Y299" s="634">
        <f t="shared" ref="Y299:Y305" si="43">IFERROR(IF(X299="",0,CEILING((X299/$H299),1)*$H299),"")</f>
        <v>174</v>
      </c>
      <c r="Z299" s="36">
        <f>IFERROR(IF(Y299=0,"",ROUNDUP(Y299/H299,0)*0.01898),"")</f>
        <v>0.28470000000000001</v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173.93793103448277</v>
      </c>
      <c r="BN299" s="64">
        <f t="shared" ref="BN299:BN305" si="45">IFERROR(Y299*I299/H299,"0")</f>
        <v>180.14999999999998</v>
      </c>
      <c r="BO299" s="64">
        <f t="shared" ref="BO299:BO305" si="46">IFERROR(1/J299*(X299/H299),"0")</f>
        <v>0.22629310344827586</v>
      </c>
      <c r="BP299" s="64">
        <f t="shared" ref="BP299:BP305" si="47">IFERROR(1/J299*(Y299/H299),"0")</f>
        <v>0.234375</v>
      </c>
    </row>
    <row r="300" spans="1:68" ht="27" customHeight="1" x14ac:dyDescent="0.25">
      <c r="A300" s="54" t="s">
        <v>503</v>
      </c>
      <c r="B300" s="54" t="s">
        <v>504</v>
      </c>
      <c r="C300" s="31">
        <v>4301011724</v>
      </c>
      <c r="D300" s="640">
        <v>4680115884236</v>
      </c>
      <c r="E300" s="641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4301011721</v>
      </c>
      <c r="D301" s="640">
        <v>4680115884175</v>
      </c>
      <c r="E301" s="641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4301011824</v>
      </c>
      <c r="D302" s="640">
        <v>4680115884144</v>
      </c>
      <c r="E302" s="641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510</v>
      </c>
      <c r="B303" s="54" t="s">
        <v>511</v>
      </c>
      <c r="C303" s="31">
        <v>4301012149</v>
      </c>
      <c r="D303" s="640">
        <v>4680115886551</v>
      </c>
      <c r="E303" s="641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4301012228</v>
      </c>
      <c r="D304" s="640">
        <v>4680115887282</v>
      </c>
      <c r="E304" s="641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40">
        <v>4680115884205</v>
      </c>
      <c r="E305" s="641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37" t="s">
        <v>73</v>
      </c>
      <c r="X306" s="635">
        <f>IFERROR(X299/H299,"0")+IFERROR(X300/H300,"0")+IFERROR(X301/H301,"0")+IFERROR(X302/H302,"0")+IFERROR(X303/H303,"0")+IFERROR(X304/H304,"0")+IFERROR(X305/H305,"0")</f>
        <v>14.482758620689655</v>
      </c>
      <c r="Y306" s="635">
        <f>IFERROR(Y299/H299,"0")+IFERROR(Y300/H300,"0")+IFERROR(Y301/H301,"0")+IFERROR(Y302/H302,"0")+IFERROR(Y303/H303,"0")+IFERROR(Y304/H304,"0")+IFERROR(Y305/H305,"0")</f>
        <v>15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0.28470000000000001</v>
      </c>
      <c r="AA306" s="636"/>
      <c r="AB306" s="636"/>
      <c r="AC306" s="636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37" t="s">
        <v>67</v>
      </c>
      <c r="X307" s="635">
        <f>IFERROR(SUM(X299:X305),"0")</f>
        <v>168</v>
      </c>
      <c r="Y307" s="635">
        <f>IFERROR(SUM(Y299:Y305),"0")</f>
        <v>174</v>
      </c>
      <c r="Z307" s="37"/>
      <c r="AA307" s="636"/>
      <c r="AB307" s="636"/>
      <c r="AC307" s="636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29"/>
      <c r="AB308" s="629"/>
      <c r="AC308" s="629"/>
    </row>
    <row r="309" spans="1:68" ht="27" customHeight="1" x14ac:dyDescent="0.25">
      <c r="A309" s="54" t="s">
        <v>518</v>
      </c>
      <c r="B309" s="54" t="s">
        <v>519</v>
      </c>
      <c r="C309" s="31">
        <v>4301020377</v>
      </c>
      <c r="D309" s="640">
        <v>4680115885981</v>
      </c>
      <c r="E309" s="641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0">
        <v>4680115886803</v>
      </c>
      <c r="E313" s="641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4"/>
      <c r="V313" s="34"/>
      <c r="W313" s="35" t="s">
        <v>67</v>
      </c>
      <c r="X313" s="633">
        <v>10</v>
      </c>
      <c r="Y313" s="634">
        <f>IFERROR(IF(X313="",0,CEILING((X313/$H313),1)*$H313),"")</f>
        <v>10.8</v>
      </c>
      <c r="Z313" s="36">
        <f>IFERROR(IF(Y313=0,"",ROUNDUP(Y313/H313,0)*0.0059),"")</f>
        <v>3.5400000000000001E-2</v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10.972222222222221</v>
      </c>
      <c r="BN313" s="64">
        <f>IFERROR(Y313*I313/H313,"0")</f>
        <v>11.850000000000001</v>
      </c>
      <c r="BO313" s="64">
        <f>IFERROR(1/J313*(X313/H313),"0")</f>
        <v>2.5720164609053495E-2</v>
      </c>
      <c r="BP313" s="64">
        <f>IFERROR(1/J313*(Y313/H313),"0")</f>
        <v>2.7777777777777776E-2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37" t="s">
        <v>73</v>
      </c>
      <c r="X314" s="635">
        <f>IFERROR(X313/H313,"0")</f>
        <v>5.5555555555555554</v>
      </c>
      <c r="Y314" s="635">
        <f>IFERROR(Y313/H313,"0")</f>
        <v>6</v>
      </c>
      <c r="Z314" s="635">
        <f>IFERROR(IF(Z313="",0,Z313),"0")</f>
        <v>3.5400000000000001E-2</v>
      </c>
      <c r="AA314" s="636"/>
      <c r="AB314" s="636"/>
      <c r="AC314" s="636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37" t="s">
        <v>67</v>
      </c>
      <c r="X315" s="635">
        <f>IFERROR(SUM(X313:X313),"0")</f>
        <v>10</v>
      </c>
      <c r="Y315" s="635">
        <f>IFERROR(SUM(Y313:Y313),"0")</f>
        <v>10.8</v>
      </c>
      <c r="Z315" s="37"/>
      <c r="AA315" s="636"/>
      <c r="AB315" s="636"/>
      <c r="AC315" s="636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29"/>
      <c r="AB316" s="629"/>
      <c r="AC316" s="629"/>
    </row>
    <row r="317" spans="1:68" ht="27" customHeight="1" x14ac:dyDescent="0.25">
      <c r="A317" s="54" t="s">
        <v>525</v>
      </c>
      <c r="B317" s="54" t="s">
        <v>526</v>
      </c>
      <c r="C317" s="31">
        <v>4301041004</v>
      </c>
      <c r="D317" s="640">
        <v>4680115886704</v>
      </c>
      <c r="E317" s="641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528</v>
      </c>
      <c r="B318" s="54" t="s">
        <v>529</v>
      </c>
      <c r="C318" s="31">
        <v>4301041008</v>
      </c>
      <c r="D318" s="640">
        <v>4680115886681</v>
      </c>
      <c r="E318" s="641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530</v>
      </c>
      <c r="B319" s="54" t="s">
        <v>531</v>
      </c>
      <c r="C319" s="31">
        <v>4301041007</v>
      </c>
      <c r="D319" s="640">
        <v>4680115886735</v>
      </c>
      <c r="E319" s="641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8"/>
      <c r="AB322" s="628"/>
      <c r="AC322" s="628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29"/>
      <c r="AB323" s="629"/>
      <c r="AC323" s="629"/>
    </row>
    <row r="324" spans="1:68" ht="27" customHeight="1" x14ac:dyDescent="0.25">
      <c r="A324" s="54" t="s">
        <v>533</v>
      </c>
      <c r="B324" s="54" t="s">
        <v>534</v>
      </c>
      <c r="C324" s="31">
        <v>4301011855</v>
      </c>
      <c r="D324" s="640">
        <v>4680115885837</v>
      </c>
      <c r="E324" s="641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536</v>
      </c>
      <c r="B325" s="54" t="s">
        <v>537</v>
      </c>
      <c r="C325" s="31">
        <v>4301012234</v>
      </c>
      <c r="D325" s="640">
        <v>4680115887237</v>
      </c>
      <c r="E325" s="641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539</v>
      </c>
      <c r="B326" s="54" t="s">
        <v>540</v>
      </c>
      <c r="C326" s="31">
        <v>4301011850</v>
      </c>
      <c r="D326" s="640">
        <v>4680115885806</v>
      </c>
      <c r="E326" s="641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542</v>
      </c>
      <c r="B327" s="54" t="s">
        <v>543</v>
      </c>
      <c r="C327" s="31">
        <v>4301011852</v>
      </c>
      <c r="D327" s="640">
        <v>4680115885844</v>
      </c>
      <c r="E327" s="641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545</v>
      </c>
      <c r="B328" s="54" t="s">
        <v>546</v>
      </c>
      <c r="C328" s="31">
        <v>4301011851</v>
      </c>
      <c r="D328" s="640">
        <v>4680115885820</v>
      </c>
      <c r="E328" s="641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8"/>
      <c r="AB331" s="628"/>
      <c r="AC331" s="628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29"/>
      <c r="AB332" s="629"/>
      <c r="AC332" s="629"/>
    </row>
    <row r="333" spans="1:68" ht="27" customHeight="1" x14ac:dyDescent="0.25">
      <c r="A333" s="54" t="s">
        <v>549</v>
      </c>
      <c r="B333" s="54" t="s">
        <v>550</v>
      </c>
      <c r="C333" s="31">
        <v>4301051893</v>
      </c>
      <c r="D333" s="640">
        <v>4680115886186</v>
      </c>
      <c r="E333" s="641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0">
        <v>4680115881228</v>
      </c>
      <c r="E334" s="641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4"/>
      <c r="V334" s="34"/>
      <c r="W334" s="35" t="s">
        <v>67</v>
      </c>
      <c r="X334" s="633">
        <v>40</v>
      </c>
      <c r="Y334" s="634">
        <f>IFERROR(IF(X334="",0,CEILING((X334/$H334),1)*$H334),"")</f>
        <v>40.799999999999997</v>
      </c>
      <c r="Z334" s="36">
        <f>IFERROR(IF(Y334=0,"",ROUNDUP(Y334/H334,0)*0.00651),"")</f>
        <v>0.11067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44.20000000000001</v>
      </c>
      <c r="BN334" s="64">
        <f>IFERROR(Y334*I334/H334,"0")</f>
        <v>45.084000000000003</v>
      </c>
      <c r="BO334" s="64">
        <f>IFERROR(1/J334*(X334/H334),"0")</f>
        <v>9.1575091575091583E-2</v>
      </c>
      <c r="BP334" s="64">
        <f>IFERROR(1/J334*(Y334/H334),"0")</f>
        <v>9.3406593406593408E-2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0">
        <v>4680115881211</v>
      </c>
      <c r="E335" s="641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4"/>
      <c r="V335" s="34"/>
      <c r="W335" s="35" t="s">
        <v>67</v>
      </c>
      <c r="X335" s="633">
        <v>59</v>
      </c>
      <c r="Y335" s="634">
        <f>IFERROR(IF(X335="",0,CEILING((X335/$H335),1)*$H335),"")</f>
        <v>60</v>
      </c>
      <c r="Z335" s="36">
        <f>IFERROR(IF(Y335=0,"",ROUNDUP(Y335/H335,0)*0.00651),"")</f>
        <v>0.16275000000000001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63.425000000000004</v>
      </c>
      <c r="BN335" s="64">
        <f>IFERROR(Y335*I335/H335,"0")</f>
        <v>64.500000000000014</v>
      </c>
      <c r="BO335" s="64">
        <f>IFERROR(1/J335*(X335/H335),"0")</f>
        <v>0.13507326007326009</v>
      </c>
      <c r="BP335" s="64">
        <f>IFERROR(1/J335*(Y335/H335),"0")</f>
        <v>0.13736263736263737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37" t="s">
        <v>73</v>
      </c>
      <c r="X336" s="635">
        <f>IFERROR(X333/H333,"0")+IFERROR(X334/H334,"0")+IFERROR(X335/H335,"0")</f>
        <v>41.25</v>
      </c>
      <c r="Y336" s="635">
        <f>IFERROR(Y333/H333,"0")+IFERROR(Y334/H334,"0")+IFERROR(Y335/H335,"0")</f>
        <v>42</v>
      </c>
      <c r="Z336" s="635">
        <f>IFERROR(IF(Z333="",0,Z333),"0")+IFERROR(IF(Z334="",0,Z334),"0")+IFERROR(IF(Z335="",0,Z335),"0")</f>
        <v>0.27342</v>
      </c>
      <c r="AA336" s="636"/>
      <c r="AB336" s="636"/>
      <c r="AC336" s="636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37" t="s">
        <v>67</v>
      </c>
      <c r="X337" s="635">
        <f>IFERROR(SUM(X333:X335),"0")</f>
        <v>99</v>
      </c>
      <c r="Y337" s="635">
        <f>IFERROR(SUM(Y333:Y335),"0")</f>
        <v>100.8</v>
      </c>
      <c r="Z337" s="37"/>
      <c r="AA337" s="636"/>
      <c r="AB337" s="636"/>
      <c r="AC337" s="636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8"/>
      <c r="AB338" s="628"/>
      <c r="AC338" s="628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29"/>
      <c r="AB339" s="629"/>
      <c r="AC339" s="629"/>
    </row>
    <row r="340" spans="1:68" ht="27" customHeight="1" x14ac:dyDescent="0.25">
      <c r="A340" s="54" t="s">
        <v>558</v>
      </c>
      <c r="B340" s="54" t="s">
        <v>559</v>
      </c>
      <c r="C340" s="31">
        <v>4301031445</v>
      </c>
      <c r="D340" s="640">
        <v>4680115888319</v>
      </c>
      <c r="E340" s="641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4301031502</v>
      </c>
      <c r="D341" s="640">
        <v>4680115884700</v>
      </c>
      <c r="E341" s="641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563</v>
      </c>
      <c r="B342" s="54" t="s">
        <v>564</v>
      </c>
      <c r="C342" s="31">
        <v>4301031307</v>
      </c>
      <c r="D342" s="640">
        <v>4680115880344</v>
      </c>
      <c r="E342" s="641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566</v>
      </c>
      <c r="B343" s="54" t="s">
        <v>567</v>
      </c>
      <c r="C343" s="31">
        <v>4301031501</v>
      </c>
      <c r="D343" s="640">
        <v>4680115886919</v>
      </c>
      <c r="E343" s="641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569</v>
      </c>
      <c r="B344" s="54" t="s">
        <v>570</v>
      </c>
      <c r="C344" s="31">
        <v>4301031246</v>
      </c>
      <c r="D344" s="640">
        <v>4680115883970</v>
      </c>
      <c r="E344" s="641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29"/>
      <c r="AB347" s="629"/>
      <c r="AC347" s="629"/>
    </row>
    <row r="348" spans="1:68" ht="27" customHeight="1" x14ac:dyDescent="0.25">
      <c r="A348" s="54" t="s">
        <v>572</v>
      </c>
      <c r="B348" s="54" t="s">
        <v>573</v>
      </c>
      <c r="C348" s="31">
        <v>4301051782</v>
      </c>
      <c r="D348" s="640">
        <v>4680115884618</v>
      </c>
      <c r="E348" s="641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575</v>
      </c>
      <c r="B349" s="54" t="s">
        <v>576</v>
      </c>
      <c r="C349" s="31">
        <v>4301052057</v>
      </c>
      <c r="D349" s="640">
        <v>4680115887114</v>
      </c>
      <c r="E349" s="641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8"/>
      <c r="AB352" s="628"/>
      <c r="AC352" s="628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0">
        <v>4680115887947</v>
      </c>
      <c r="E354" s="641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4"/>
      <c r="V354" s="34"/>
      <c r="W354" s="35" t="s">
        <v>67</v>
      </c>
      <c r="X354" s="633">
        <v>95</v>
      </c>
      <c r="Y354" s="634">
        <f>IFERROR(IF(X354="",0,CEILING((X354/$H354),1)*$H354),"")</f>
        <v>101.39999999999999</v>
      </c>
      <c r="Z354" s="36">
        <f>IFERROR(IF(Y354=0,"",ROUNDUP(Y354/H354,0)*0.01898),"")</f>
        <v>0.24674000000000001</v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99.993589743589752</v>
      </c>
      <c r="BN354" s="64">
        <f>IFERROR(Y354*I354/H354,"0")</f>
        <v>106.73</v>
      </c>
      <c r="BO354" s="64">
        <f>IFERROR(1/J354*(X354/H354),"0")</f>
        <v>0.1903044871794872</v>
      </c>
      <c r="BP354" s="64">
        <f>IFERROR(1/J354*(Y354/H354),"0")</f>
        <v>0.203125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0">
        <v>4680115887978</v>
      </c>
      <c r="E355" s="641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4"/>
      <c r="V355" s="34"/>
      <c r="W355" s="35" t="s">
        <v>67</v>
      </c>
      <c r="X355" s="633">
        <v>170</v>
      </c>
      <c r="Y355" s="634">
        <f>IFERROR(IF(X355="",0,CEILING((X355/$H355),1)*$H355),"")</f>
        <v>171.6</v>
      </c>
      <c r="Z355" s="36">
        <f>IFERROR(IF(Y355=0,"",ROUNDUP(Y355/H355,0)*0.01898),"")</f>
        <v>0.41755999999999999</v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178.93589743589746</v>
      </c>
      <c r="BN355" s="64">
        <f>IFERROR(Y355*I355/H355,"0")</f>
        <v>180.62</v>
      </c>
      <c r="BO355" s="64">
        <f>IFERROR(1/J355*(X355/H355),"0")</f>
        <v>0.34054487179487181</v>
      </c>
      <c r="BP355" s="64">
        <f>IFERROR(1/J355*(Y355/H355),"0")</f>
        <v>0.34375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0">
        <v>4680115887992</v>
      </c>
      <c r="E356" s="641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4"/>
      <c r="V356" s="34"/>
      <c r="W356" s="35" t="s">
        <v>67</v>
      </c>
      <c r="X356" s="633">
        <v>76</v>
      </c>
      <c r="Y356" s="634">
        <f>IFERROR(IF(X356="",0,CEILING((X356/$H356),1)*$H356),"")</f>
        <v>78</v>
      </c>
      <c r="Z356" s="36">
        <f>IFERROR(IF(Y356=0,"",ROUNDUP(Y356/H356,0)*0.01898),"")</f>
        <v>0.1898</v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79.994871794871798</v>
      </c>
      <c r="BN356" s="64">
        <f>IFERROR(Y356*I356/H356,"0")</f>
        <v>82.100000000000023</v>
      </c>
      <c r="BO356" s="64">
        <f>IFERROR(1/J356*(X356/H356),"0")</f>
        <v>0.15224358974358976</v>
      </c>
      <c r="BP356" s="64">
        <f>IFERROR(1/J356*(Y356/H356),"0")</f>
        <v>0.15625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37" t="s">
        <v>73</v>
      </c>
      <c r="X357" s="635">
        <f>IFERROR(X354/H354,"0")+IFERROR(X355/H355,"0")+IFERROR(X356/H356,"0")</f>
        <v>43.717948717948723</v>
      </c>
      <c r="Y357" s="635">
        <f>IFERROR(Y354/H354,"0")+IFERROR(Y355/H355,"0")+IFERROR(Y356/H356,"0")</f>
        <v>45</v>
      </c>
      <c r="Z357" s="635">
        <f>IFERROR(IF(Z354="",0,Z354),"0")+IFERROR(IF(Z355="",0,Z355),"0")+IFERROR(IF(Z356="",0,Z356),"0")</f>
        <v>0.85409999999999997</v>
      </c>
      <c r="AA357" s="636"/>
      <c r="AB357" s="636"/>
      <c r="AC357" s="636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37" t="s">
        <v>67</v>
      </c>
      <c r="X358" s="635">
        <f>IFERROR(SUM(X354:X356),"0")</f>
        <v>341</v>
      </c>
      <c r="Y358" s="635">
        <f>IFERROR(SUM(Y354:Y356),"0")</f>
        <v>351</v>
      </c>
      <c r="Z358" s="37"/>
      <c r="AA358" s="636"/>
      <c r="AB358" s="636"/>
      <c r="AC358" s="636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8"/>
      <c r="AB359" s="628"/>
      <c r="AC359" s="628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9"/>
      <c r="AB360" s="629"/>
      <c r="AC360" s="629"/>
    </row>
    <row r="361" spans="1:68" ht="27" customHeight="1" x14ac:dyDescent="0.25">
      <c r="A361" s="54" t="s">
        <v>588</v>
      </c>
      <c r="B361" s="54" t="s">
        <v>589</v>
      </c>
      <c r="C361" s="31">
        <v>4301012235</v>
      </c>
      <c r="D361" s="640">
        <v>4680115887190</v>
      </c>
      <c r="E361" s="641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591</v>
      </c>
      <c r="B362" s="54" t="s">
        <v>592</v>
      </c>
      <c r="C362" s="31">
        <v>4301012233</v>
      </c>
      <c r="D362" s="640">
        <v>4680115887138</v>
      </c>
      <c r="E362" s="641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0">
        <v>4680115885554</v>
      </c>
      <c r="E363" s="641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4"/>
      <c r="V363" s="34"/>
      <c r="W363" s="35" t="s">
        <v>67</v>
      </c>
      <c r="X363" s="633">
        <v>7</v>
      </c>
      <c r="Y363" s="634">
        <f>IFERROR(IF(X363="",0,CEILING((X363/$H363),1)*$H363),"")</f>
        <v>10.8</v>
      </c>
      <c r="Z363" s="36">
        <f>IFERROR(IF(Y363=0,"",ROUNDUP(Y363/H363,0)*0.01898),"")</f>
        <v>1.898E-2</v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7.2657407407407399</v>
      </c>
      <c r="BN363" s="64">
        <f>IFERROR(Y363*I363/H363,"0")</f>
        <v>11.21</v>
      </c>
      <c r="BO363" s="64">
        <f>IFERROR(1/J363*(X363/H363),"0")</f>
        <v>1.0127314814814815E-2</v>
      </c>
      <c r="BP363" s="64">
        <f>IFERROR(1/J363*(Y363/H363),"0")</f>
        <v>1.5625E-2</v>
      </c>
    </row>
    <row r="364" spans="1:68" ht="27" customHeight="1" x14ac:dyDescent="0.25">
      <c r="A364" s="54" t="s">
        <v>597</v>
      </c>
      <c r="B364" s="54" t="s">
        <v>598</v>
      </c>
      <c r="C364" s="31">
        <v>4301012236</v>
      </c>
      <c r="D364" s="640">
        <v>4680115887220</v>
      </c>
      <c r="E364" s="641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4301011859</v>
      </c>
      <c r="D365" s="640">
        <v>4680115885608</v>
      </c>
      <c r="E365" s="641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37" t="s">
        <v>73</v>
      </c>
      <c r="X366" s="635">
        <f>IFERROR(X361/H361,"0")+IFERROR(X362/H362,"0")+IFERROR(X363/H363,"0")+IFERROR(X364/H364,"0")+IFERROR(X365/H365,"0")</f>
        <v>0.64814814814814814</v>
      </c>
      <c r="Y366" s="635">
        <f>IFERROR(Y361/H361,"0")+IFERROR(Y362/H362,"0")+IFERROR(Y363/H363,"0")+IFERROR(Y364/H364,"0")+IFERROR(Y365/H365,"0")</f>
        <v>1</v>
      </c>
      <c r="Z366" s="635">
        <f>IFERROR(IF(Z361="",0,Z361),"0")+IFERROR(IF(Z362="",0,Z362),"0")+IFERROR(IF(Z363="",0,Z363),"0")+IFERROR(IF(Z364="",0,Z364),"0")+IFERROR(IF(Z365="",0,Z365),"0")</f>
        <v>1.898E-2</v>
      </c>
      <c r="AA366" s="636"/>
      <c r="AB366" s="636"/>
      <c r="AC366" s="636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37" t="s">
        <v>67</v>
      </c>
      <c r="X367" s="635">
        <f>IFERROR(SUM(X361:X365),"0")</f>
        <v>7</v>
      </c>
      <c r="Y367" s="635">
        <f>IFERROR(SUM(Y361:Y365),"0")</f>
        <v>10.8</v>
      </c>
      <c r="Z367" s="37"/>
      <c r="AA367" s="636"/>
      <c r="AB367" s="636"/>
      <c r="AC367" s="636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29"/>
      <c r="AB368" s="629"/>
      <c r="AC368" s="629"/>
    </row>
    <row r="369" spans="1:68" ht="27" customHeight="1" x14ac:dyDescent="0.25">
      <c r="A369" s="54" t="s">
        <v>602</v>
      </c>
      <c r="B369" s="54" t="s">
        <v>603</v>
      </c>
      <c r="C369" s="31">
        <v>4301030878</v>
      </c>
      <c r="D369" s="640">
        <v>4607091387193</v>
      </c>
      <c r="E369" s="641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0">
        <v>4607091387230</v>
      </c>
      <c r="E370" s="641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4"/>
      <c r="V370" s="34"/>
      <c r="W370" s="35" t="s">
        <v>67</v>
      </c>
      <c r="X370" s="633">
        <v>79</v>
      </c>
      <c r="Y370" s="634">
        <f t="shared" si="48"/>
        <v>79.8</v>
      </c>
      <c r="Z370" s="36">
        <f>IFERROR(IF(Y370=0,"",ROUNDUP(Y370/H370,0)*0.00902),"")</f>
        <v>0.17138</v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83.702380952380949</v>
      </c>
      <c r="BN370" s="64">
        <f t="shared" si="50"/>
        <v>84.55</v>
      </c>
      <c r="BO370" s="64">
        <f t="shared" si="51"/>
        <v>0.14249639249639251</v>
      </c>
      <c r="BP370" s="64">
        <f t="shared" si="52"/>
        <v>0.14393939393939395</v>
      </c>
    </row>
    <row r="371" spans="1:68" ht="27" customHeight="1" x14ac:dyDescent="0.25">
      <c r="A371" s="54" t="s">
        <v>608</v>
      </c>
      <c r="B371" s="54" t="s">
        <v>609</v>
      </c>
      <c r="C371" s="31">
        <v>4301031154</v>
      </c>
      <c r="D371" s="640">
        <v>4607091387292</v>
      </c>
      <c r="E371" s="641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4301031152</v>
      </c>
      <c r="D372" s="640">
        <v>4607091387285</v>
      </c>
      <c r="E372" s="641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4301031305</v>
      </c>
      <c r="D373" s="640">
        <v>4607091389845</v>
      </c>
      <c r="E373" s="641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4301031460</v>
      </c>
      <c r="D374" s="640">
        <v>4680115887442</v>
      </c>
      <c r="E374" s="641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0">
        <v>4607091383836</v>
      </c>
      <c r="E375" s="641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37" t="s">
        <v>73</v>
      </c>
      <c r="X376" s="635">
        <f>IFERROR(X369/H369,"0")+IFERROR(X370/H370,"0")+IFERROR(X371/H371,"0")+IFERROR(X372/H372,"0")+IFERROR(X373/H373,"0")+IFERROR(X374/H374,"0")+IFERROR(X375/H375,"0")</f>
        <v>18.80952380952381</v>
      </c>
      <c r="Y376" s="635">
        <f>IFERROR(Y369/H369,"0")+IFERROR(Y370/H370,"0")+IFERROR(Y371/H371,"0")+IFERROR(Y372/H372,"0")+IFERROR(Y373/H373,"0")+IFERROR(Y374/H374,"0")+IFERROR(Y375/H375,"0")</f>
        <v>19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0.17138</v>
      </c>
      <c r="AA376" s="636"/>
      <c r="AB376" s="636"/>
      <c r="AC376" s="636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37" t="s">
        <v>67</v>
      </c>
      <c r="X377" s="635">
        <f>IFERROR(SUM(X369:X375),"0")</f>
        <v>79</v>
      </c>
      <c r="Y377" s="635">
        <f>IFERROR(SUM(Y369:Y375),"0")</f>
        <v>79.8</v>
      </c>
      <c r="Z377" s="37"/>
      <c r="AA377" s="636"/>
      <c r="AB377" s="636"/>
      <c r="AC377" s="636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29"/>
      <c r="AB378" s="629"/>
      <c r="AC378" s="629"/>
    </row>
    <row r="379" spans="1:68" ht="27" customHeight="1" x14ac:dyDescent="0.25">
      <c r="A379" s="54" t="s">
        <v>621</v>
      </c>
      <c r="B379" s="54" t="s">
        <v>622</v>
      </c>
      <c r="C379" s="31">
        <v>4301051100</v>
      </c>
      <c r="D379" s="640">
        <v>4607091387766</v>
      </c>
      <c r="E379" s="641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624</v>
      </c>
      <c r="B380" s="54" t="s">
        <v>625</v>
      </c>
      <c r="C380" s="31">
        <v>4301051818</v>
      </c>
      <c r="D380" s="640">
        <v>4607091387957</v>
      </c>
      <c r="E380" s="641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627</v>
      </c>
      <c r="B381" s="54" t="s">
        <v>628</v>
      </c>
      <c r="C381" s="31">
        <v>4301051819</v>
      </c>
      <c r="D381" s="640">
        <v>4607091387964</v>
      </c>
      <c r="E381" s="641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4301051734</v>
      </c>
      <c r="D382" s="640">
        <v>4680115884588</v>
      </c>
      <c r="E382" s="641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0">
        <v>4607091380880</v>
      </c>
      <c r="E386" s="641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4"/>
      <c r="V386" s="34"/>
      <c r="W386" s="35" t="s">
        <v>67</v>
      </c>
      <c r="X386" s="633">
        <v>29</v>
      </c>
      <c r="Y386" s="634">
        <f>IFERROR(IF(X386="",0,CEILING((X386/$H386),1)*$H386),"")</f>
        <v>33.6</v>
      </c>
      <c r="Z386" s="36">
        <f>IFERROR(IF(Y386=0,"",ROUNDUP(Y386/H386,0)*0.01898),"")</f>
        <v>7.5920000000000001E-2</v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30.705476190476187</v>
      </c>
      <c r="BN386" s="64">
        <f>IFERROR(Y386*I386/H386,"0")</f>
        <v>35.576000000000001</v>
      </c>
      <c r="BO386" s="64">
        <f>IFERROR(1/J386*(X386/H386),"0")</f>
        <v>5.3943452380952377E-2</v>
      </c>
      <c r="BP386" s="64">
        <f>IFERROR(1/J386*(Y386/H386),"0")</f>
        <v>6.25E-2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0">
        <v>4607091384482</v>
      </c>
      <c r="E387" s="641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4"/>
      <c r="V387" s="34"/>
      <c r="W387" s="35" t="s">
        <v>67</v>
      </c>
      <c r="X387" s="633">
        <v>1073</v>
      </c>
      <c r="Y387" s="634">
        <f>IFERROR(IF(X387="",0,CEILING((X387/$H387),1)*$H387),"")</f>
        <v>1076.3999999999999</v>
      </c>
      <c r="Z387" s="36">
        <f>IFERROR(IF(Y387=0,"",ROUNDUP(Y387/H387,0)*0.01898),"")</f>
        <v>2.61924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1140.9566666666669</v>
      </c>
      <c r="BN387" s="64">
        <f>IFERROR(Y387*I387/H387,"0")</f>
        <v>1144.5719999999999</v>
      </c>
      <c r="BO387" s="64">
        <f>IFERROR(1/J387*(X387/H387),"0")</f>
        <v>2.1494391025641026</v>
      </c>
      <c r="BP387" s="64">
        <f>IFERROR(1/J387*(Y387/H387),"0")</f>
        <v>2.1562499999999996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0">
        <v>4607091380897</v>
      </c>
      <c r="E388" s="641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4"/>
      <c r="V388" s="34"/>
      <c r="W388" s="35" t="s">
        <v>67</v>
      </c>
      <c r="X388" s="633">
        <v>50</v>
      </c>
      <c r="Y388" s="634">
        <f>IFERROR(IF(X388="",0,CEILING((X388/$H388),1)*$H388),"")</f>
        <v>50.400000000000006</v>
      </c>
      <c r="Z388" s="36">
        <f>IFERROR(IF(Y388=0,"",ROUNDUP(Y388/H388,0)*0.01898),"")</f>
        <v>0.11388000000000001</v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52.94047619047619</v>
      </c>
      <c r="BN388" s="64">
        <f>IFERROR(Y388*I388/H388,"0")</f>
        <v>53.364000000000004</v>
      </c>
      <c r="BO388" s="64">
        <f>IFERROR(1/J388*(X388/H388),"0")</f>
        <v>9.3005952380952384E-2</v>
      </c>
      <c r="BP388" s="64">
        <f>IFERROR(1/J388*(Y388/H388),"0")</f>
        <v>9.375E-2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37" t="s">
        <v>73</v>
      </c>
      <c r="X389" s="635">
        <f>IFERROR(X386/H386,"0")+IFERROR(X387/H387,"0")+IFERROR(X388/H388,"0")</f>
        <v>146.9688644688645</v>
      </c>
      <c r="Y389" s="635">
        <f>IFERROR(Y386/H386,"0")+IFERROR(Y387/H387,"0")+IFERROR(Y388/H388,"0")</f>
        <v>147.99999999999997</v>
      </c>
      <c r="Z389" s="635">
        <f>IFERROR(IF(Z386="",0,Z386),"0")+IFERROR(IF(Z387="",0,Z387),"0")+IFERROR(IF(Z388="",0,Z388),"0")</f>
        <v>2.80904</v>
      </c>
      <c r="AA389" s="636"/>
      <c r="AB389" s="636"/>
      <c r="AC389" s="636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37" t="s">
        <v>67</v>
      </c>
      <c r="X390" s="635">
        <f>IFERROR(SUM(X386:X388),"0")</f>
        <v>1152</v>
      </c>
      <c r="Y390" s="635">
        <f>IFERROR(SUM(Y386:Y388),"0")</f>
        <v>1160.3999999999999</v>
      </c>
      <c r="Z390" s="37"/>
      <c r="AA390" s="636"/>
      <c r="AB390" s="636"/>
      <c r="AC390" s="636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0">
        <v>4607091388381</v>
      </c>
      <c r="E392" s="641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0">
        <v>4607091388374</v>
      </c>
      <c r="E393" s="641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0">
        <v>4607091383102</v>
      </c>
      <c r="E394" s="641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4"/>
      <c r="V394" s="34"/>
      <c r="W394" s="35" t="s">
        <v>67</v>
      </c>
      <c r="X394" s="633">
        <v>1</v>
      </c>
      <c r="Y394" s="634">
        <f>IFERROR(IF(X394="",0,CEILING((X394/$H394),1)*$H394),"")</f>
        <v>2.5499999999999998</v>
      </c>
      <c r="Z394" s="36">
        <f>IFERROR(IF(Y394=0,"",ROUNDUP(Y394/H394,0)*0.00651),"")</f>
        <v>6.5100000000000002E-3</v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1.1588235294117648</v>
      </c>
      <c r="BN394" s="64">
        <f>IFERROR(Y394*I394/H394,"0")</f>
        <v>2.9550000000000001</v>
      </c>
      <c r="BO394" s="64">
        <f>IFERROR(1/J394*(X394/H394),"0")</f>
        <v>2.1547080370609788E-3</v>
      </c>
      <c r="BP394" s="64">
        <f>IFERROR(1/J394*(Y394/H394),"0")</f>
        <v>5.4945054945054949E-3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0">
        <v>4607091388404</v>
      </c>
      <c r="E395" s="641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4"/>
      <c r="V395" s="34"/>
      <c r="W395" s="35" t="s">
        <v>67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37" t="s">
        <v>73</v>
      </c>
      <c r="X396" s="635">
        <f>IFERROR(X392/H392,"0")+IFERROR(X393/H393,"0")+IFERROR(X394/H394,"0")+IFERROR(X395/H395,"0")</f>
        <v>0.39215686274509809</v>
      </c>
      <c r="Y396" s="635">
        <f>IFERROR(Y392/H392,"0")+IFERROR(Y393/H393,"0")+IFERROR(Y394/H394,"0")+IFERROR(Y395/H395,"0")</f>
        <v>1</v>
      </c>
      <c r="Z396" s="635">
        <f>IFERROR(IF(Z392="",0,Z392),"0")+IFERROR(IF(Z393="",0,Z393),"0")+IFERROR(IF(Z394="",0,Z394),"0")+IFERROR(IF(Z395="",0,Z395),"0")</f>
        <v>6.5100000000000002E-3</v>
      </c>
      <c r="AA396" s="636"/>
      <c r="AB396" s="636"/>
      <c r="AC396" s="636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37" t="s">
        <v>67</v>
      </c>
      <c r="X397" s="635">
        <f>IFERROR(SUM(X392:X395),"0")</f>
        <v>1</v>
      </c>
      <c r="Y397" s="635">
        <f>IFERROR(SUM(Y392:Y395),"0")</f>
        <v>2.5499999999999998</v>
      </c>
      <c r="Z397" s="37"/>
      <c r="AA397" s="636"/>
      <c r="AB397" s="636"/>
      <c r="AC397" s="636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0">
        <v>4680115881808</v>
      </c>
      <c r="E399" s="641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4"/>
      <c r="V399" s="34"/>
      <c r="W399" s="35" t="s">
        <v>67</v>
      </c>
      <c r="X399" s="633">
        <v>6</v>
      </c>
      <c r="Y399" s="634">
        <f>IFERROR(IF(X399="",0,CEILING((X399/$H399),1)*$H399),"")</f>
        <v>6</v>
      </c>
      <c r="Z399" s="36">
        <f>IFERROR(IF(Y399=0,"",ROUNDUP(Y399/H399,0)*0.00474),"")</f>
        <v>1.422E-2</v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6.7200000000000006</v>
      </c>
      <c r="BN399" s="64">
        <f>IFERROR(Y399*I399/H399,"0")</f>
        <v>6.7200000000000006</v>
      </c>
      <c r="BO399" s="64">
        <f>IFERROR(1/J399*(X399/H399),"0")</f>
        <v>1.2605042016806723E-2</v>
      </c>
      <c r="BP399" s="64">
        <f>IFERROR(1/J399*(Y399/H399),"0")</f>
        <v>1.2605042016806723E-2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0">
        <v>4680115881822</v>
      </c>
      <c r="E400" s="641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4"/>
      <c r="V400" s="34"/>
      <c r="W400" s="35" t="s">
        <v>67</v>
      </c>
      <c r="X400" s="633">
        <v>11</v>
      </c>
      <c r="Y400" s="634">
        <f>IFERROR(IF(X400="",0,CEILING((X400/$H400),1)*$H400),"")</f>
        <v>12</v>
      </c>
      <c r="Z400" s="36">
        <f>IFERROR(IF(Y400=0,"",ROUNDUP(Y400/H400,0)*0.00474),"")</f>
        <v>2.844E-2</v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12.32</v>
      </c>
      <c r="BN400" s="64">
        <f>IFERROR(Y400*I400/H400,"0")</f>
        <v>13.440000000000001</v>
      </c>
      <c r="BO400" s="64">
        <f>IFERROR(1/J400*(X400/H400),"0")</f>
        <v>2.3109243697478989E-2</v>
      </c>
      <c r="BP400" s="64">
        <f>IFERROR(1/J400*(Y400/H400),"0")</f>
        <v>2.5210084033613446E-2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40">
        <v>4680115880016</v>
      </c>
      <c r="E401" s="641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37" t="s">
        <v>73</v>
      </c>
      <c r="X402" s="635">
        <f>IFERROR(X399/H399,"0")+IFERROR(X400/H400,"0")+IFERROR(X401/H401,"0")</f>
        <v>8.5</v>
      </c>
      <c r="Y402" s="635">
        <f>IFERROR(Y399/H399,"0")+IFERROR(Y400/H400,"0")+IFERROR(Y401/H401,"0")</f>
        <v>9</v>
      </c>
      <c r="Z402" s="635">
        <f>IFERROR(IF(Z399="",0,Z399),"0")+IFERROR(IF(Z400="",0,Z400),"0")+IFERROR(IF(Z401="",0,Z401),"0")</f>
        <v>4.2660000000000003E-2</v>
      </c>
      <c r="AA402" s="636"/>
      <c r="AB402" s="636"/>
      <c r="AC402" s="636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37" t="s">
        <v>67</v>
      </c>
      <c r="X403" s="635">
        <f>IFERROR(SUM(X399:X401),"0")</f>
        <v>17</v>
      </c>
      <c r="Y403" s="635">
        <f>IFERROR(SUM(Y399:Y401),"0")</f>
        <v>18</v>
      </c>
      <c r="Z403" s="37"/>
      <c r="AA403" s="636"/>
      <c r="AB403" s="636"/>
      <c r="AC403" s="636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0">
        <v>4680115888678</v>
      </c>
      <c r="E405" s="641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4"/>
      <c r="V405" s="34"/>
      <c r="W405" s="35" t="s">
        <v>67</v>
      </c>
      <c r="X405" s="633">
        <v>50</v>
      </c>
      <c r="Y405" s="634">
        <f>IFERROR(IF(X405="",0,CEILING((X405/$H405),1)*$H405),"")</f>
        <v>51</v>
      </c>
      <c r="Z405" s="36">
        <f>IFERROR(IF(Y405=0,"",ROUNDUP(Y405/H405,0)*0.0045),"")</f>
        <v>7.6499999999999999E-2</v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53.666666666666664</v>
      </c>
      <c r="BN405" s="64">
        <f>IFERROR(Y405*I405/H405,"0")</f>
        <v>54.74</v>
      </c>
      <c r="BO405" s="64">
        <f>IFERROR(1/J405*(X405/H405),"0")</f>
        <v>7.4404761904761904E-2</v>
      </c>
      <c r="BP405" s="64">
        <f>IFERROR(1/J405*(Y405/H405),"0")</f>
        <v>7.5892857142857137E-2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0">
        <v>4680115888654</v>
      </c>
      <c r="E406" s="641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4"/>
      <c r="V406" s="34"/>
      <c r="W406" s="35" t="s">
        <v>67</v>
      </c>
      <c r="X406" s="633">
        <v>65</v>
      </c>
      <c r="Y406" s="634">
        <f>IFERROR(IF(X406="",0,CEILING((X406/$H406),1)*$H406),"")</f>
        <v>66.3</v>
      </c>
      <c r="Z406" s="36">
        <f>IFERROR(IF(Y406=0,"",ROUNDUP(Y406/H406,0)*0.006),"")</f>
        <v>0.10200000000000001</v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69.5</v>
      </c>
      <c r="BN406" s="64">
        <f>IFERROR(Y406*I406/H406,"0")</f>
        <v>70.89</v>
      </c>
      <c r="BO406" s="64">
        <f>IFERROR(1/J406*(X406/H406),"0")</f>
        <v>0.11574074074074074</v>
      </c>
      <c r="BP406" s="64">
        <f>IFERROR(1/J406*(Y406/H406),"0")</f>
        <v>0.11805555555555555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40">
        <v>4680115888753</v>
      </c>
      <c r="E407" s="641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37" t="s">
        <v>73</v>
      </c>
      <c r="X408" s="635">
        <f>IFERROR(X405/H405,"0")+IFERROR(X406/H406,"0")+IFERROR(X407/H407,"0")</f>
        <v>33.333333333333336</v>
      </c>
      <c r="Y408" s="635">
        <f>IFERROR(Y405/H405,"0")+IFERROR(Y406/H406,"0")+IFERROR(Y407/H407,"0")</f>
        <v>34</v>
      </c>
      <c r="Z408" s="635">
        <f>IFERROR(IF(Z405="",0,Z405),"0")+IFERROR(IF(Z406="",0,Z406),"0")+IFERROR(IF(Z407="",0,Z407),"0")</f>
        <v>0.17849999999999999</v>
      </c>
      <c r="AA408" s="636"/>
      <c r="AB408" s="636"/>
      <c r="AC408" s="636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37" t="s">
        <v>67</v>
      </c>
      <c r="X409" s="635">
        <f>IFERROR(SUM(X405:X407),"0")</f>
        <v>115</v>
      </c>
      <c r="Y409" s="635">
        <f>IFERROR(SUM(Y405:Y407),"0")</f>
        <v>117.3</v>
      </c>
      <c r="Z409" s="37"/>
      <c r="AA409" s="636"/>
      <c r="AB409" s="636"/>
      <c r="AC409" s="636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8"/>
      <c r="AB410" s="628"/>
      <c r="AC410" s="628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29"/>
      <c r="AB411" s="629"/>
      <c r="AC411" s="629"/>
    </row>
    <row r="412" spans="1:68" ht="16.5" customHeight="1" x14ac:dyDescent="0.25">
      <c r="A412" s="54" t="s">
        <v>669</v>
      </c>
      <c r="B412" s="54" t="s">
        <v>670</v>
      </c>
      <c r="C412" s="31">
        <v>4301052235</v>
      </c>
      <c r="D412" s="640">
        <v>4680115889415</v>
      </c>
      <c r="E412" s="641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3" t="s">
        <v>671</v>
      </c>
      <c r="Q412" s="638"/>
      <c r="R412" s="638"/>
      <c r="S412" s="638"/>
      <c r="T412" s="639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674</v>
      </c>
      <c r="B413" s="54" t="s">
        <v>675</v>
      </c>
      <c r="C413" s="31">
        <v>4301052236</v>
      </c>
      <c r="D413" s="640">
        <v>4680115889422</v>
      </c>
      <c r="E413" s="641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38"/>
      <c r="R413" s="638"/>
      <c r="S413" s="638"/>
      <c r="T413" s="639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8"/>
      <c r="AB416" s="628"/>
      <c r="AC416" s="628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29"/>
      <c r="AB417" s="629"/>
      <c r="AC417" s="629"/>
    </row>
    <row r="418" spans="1:68" ht="27" customHeight="1" x14ac:dyDescent="0.25">
      <c r="A418" s="54" t="s">
        <v>679</v>
      </c>
      <c r="B418" s="54" t="s">
        <v>680</v>
      </c>
      <c r="C418" s="31">
        <v>4301051489</v>
      </c>
      <c r="D418" s="640">
        <v>4607091387919</v>
      </c>
      <c r="E418" s="641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40">
        <v>4680115883604</v>
      </c>
      <c r="E419" s="641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4"/>
      <c r="V419" s="34"/>
      <c r="W419" s="35" t="s">
        <v>67</v>
      </c>
      <c r="X419" s="633">
        <v>35</v>
      </c>
      <c r="Y419" s="634">
        <f>IFERROR(IF(X419="",0,CEILING((X419/$H419),1)*$H419),"")</f>
        <v>35.700000000000003</v>
      </c>
      <c r="Z419" s="36">
        <f>IFERROR(IF(Y419=0,"",ROUNDUP(Y419/H419,0)*0.00651),"")</f>
        <v>0.11067</v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39.199999999999996</v>
      </c>
      <c r="BN419" s="64">
        <f>IFERROR(Y419*I419/H419,"0")</f>
        <v>39.984000000000002</v>
      </c>
      <c r="BO419" s="64">
        <f>IFERROR(1/J419*(X419/H419),"0")</f>
        <v>9.1575091575091569E-2</v>
      </c>
      <c r="BP419" s="64">
        <f>IFERROR(1/J419*(Y419/H419),"0")</f>
        <v>9.3406593406593408E-2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0">
        <v>4680115883567</v>
      </c>
      <c r="E420" s="641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4"/>
      <c r="V420" s="34"/>
      <c r="W420" s="35" t="s">
        <v>67</v>
      </c>
      <c r="X420" s="633">
        <v>53</v>
      </c>
      <c r="Y420" s="634">
        <f>IFERROR(IF(X420="",0,CEILING((X420/$H420),1)*$H420),"")</f>
        <v>54.6</v>
      </c>
      <c r="Z420" s="36">
        <f>IFERROR(IF(Y420=0,"",ROUNDUP(Y420/H420,0)*0.00651),"")</f>
        <v>0.16925999999999999</v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59.05714285714285</v>
      </c>
      <c r="BN420" s="64">
        <f>IFERROR(Y420*I420/H420,"0")</f>
        <v>60.839999999999996</v>
      </c>
      <c r="BO420" s="64">
        <f>IFERROR(1/J420*(X420/H420),"0")</f>
        <v>0.13867085295656725</v>
      </c>
      <c r="BP420" s="64">
        <f>IFERROR(1/J420*(Y420/H420),"0")</f>
        <v>0.14285714285714288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37" t="s">
        <v>73</v>
      </c>
      <c r="X421" s="635">
        <f>IFERROR(X418/H418,"0")+IFERROR(X419/H419,"0")+IFERROR(X420/H420,"0")</f>
        <v>41.904761904761898</v>
      </c>
      <c r="Y421" s="635">
        <f>IFERROR(Y418/H418,"0")+IFERROR(Y419/H419,"0")+IFERROR(Y420/H420,"0")</f>
        <v>43</v>
      </c>
      <c r="Z421" s="635">
        <f>IFERROR(IF(Z418="",0,Z418),"0")+IFERROR(IF(Z419="",0,Z419),"0")+IFERROR(IF(Z420="",0,Z420),"0")</f>
        <v>0.27993000000000001</v>
      </c>
      <c r="AA421" s="636"/>
      <c r="AB421" s="636"/>
      <c r="AC421" s="636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37" t="s">
        <v>67</v>
      </c>
      <c r="X422" s="635">
        <f>IFERROR(SUM(X418:X420),"0")</f>
        <v>88</v>
      </c>
      <c r="Y422" s="635">
        <f>IFERROR(SUM(Y418:Y420),"0")</f>
        <v>90.300000000000011</v>
      </c>
      <c r="Z422" s="37"/>
      <c r="AA422" s="636"/>
      <c r="AB422" s="636"/>
      <c r="AC422" s="636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48"/>
      <c r="AB423" s="48"/>
      <c r="AC423" s="48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8"/>
      <c r="AB424" s="628"/>
      <c r="AC424" s="628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40">
        <v>4680115888401</v>
      </c>
      <c r="E426" s="641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4"/>
      <c r="V426" s="34"/>
      <c r="W426" s="35" t="s">
        <v>67</v>
      </c>
      <c r="X426" s="633">
        <v>191</v>
      </c>
      <c r="Y426" s="634">
        <f t="shared" ref="Y426:Y433" si="53">IFERROR(IF(X426="",0,CEILING((X426/$H426),1)*$H426),"")</f>
        <v>195</v>
      </c>
      <c r="Z426" s="36">
        <f>IFERROR(IF(Y426=0,"",ROUNDUP(Y426/H426,0)*0.02175),"")</f>
        <v>0.28275</v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196.98466666666667</v>
      </c>
      <c r="BN426" s="64">
        <f t="shared" ref="BN426:BN433" si="55">IFERROR(Y426*I426/H426,"0")</f>
        <v>201.11</v>
      </c>
      <c r="BO426" s="64">
        <f t="shared" ref="BO426:BO433" si="56">IFERROR(1/J426*(X426/H426),"0")</f>
        <v>0.26527777777777772</v>
      </c>
      <c r="BP426" s="64">
        <f t="shared" ref="BP426:BP433" si="57">IFERROR(1/J426*(Y426/H426),"0")</f>
        <v>0.27083333333333331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40">
        <v>4680115884847</v>
      </c>
      <c r="E427" s="641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0">
        <v>4680115884854</v>
      </c>
      <c r="E428" s="641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4"/>
      <c r="V428" s="34"/>
      <c r="W428" s="35" t="s">
        <v>67</v>
      </c>
      <c r="X428" s="633">
        <v>0</v>
      </c>
      <c r="Y428" s="634">
        <f t="shared" si="53"/>
        <v>0</v>
      </c>
      <c r="Z428" s="36" t="str">
        <f>IFERROR(IF(Y428=0,"",ROUNDUP(Y428/H428,0)*0.02175),"")</f>
        <v/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0</v>
      </c>
      <c r="BN428" s="64">
        <f t="shared" si="55"/>
        <v>0</v>
      </c>
      <c r="BO428" s="64">
        <f t="shared" si="56"/>
        <v>0</v>
      </c>
      <c r="BP428" s="64">
        <f t="shared" si="57"/>
        <v>0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0">
        <v>4680115884830</v>
      </c>
      <c r="E429" s="641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4"/>
      <c r="V429" s="34"/>
      <c r="W429" s="35" t="s">
        <v>67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0">
        <v>4680115889231</v>
      </c>
      <c r="E430" s="641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705</v>
      </c>
      <c r="B431" s="54" t="s">
        <v>706</v>
      </c>
      <c r="C431" s="31">
        <v>4301011433</v>
      </c>
      <c r="D431" s="640">
        <v>4680115882638</v>
      </c>
      <c r="E431" s="641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708</v>
      </c>
      <c r="B432" s="54" t="s">
        <v>709</v>
      </c>
      <c r="C432" s="31">
        <v>4301011952</v>
      </c>
      <c r="D432" s="640">
        <v>4680115884922</v>
      </c>
      <c r="E432" s="641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711</v>
      </c>
      <c r="B433" s="54" t="s">
        <v>712</v>
      </c>
      <c r="C433" s="31">
        <v>4301011868</v>
      </c>
      <c r="D433" s="640">
        <v>4680115884861</v>
      </c>
      <c r="E433" s="641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12.733333333333333</v>
      </c>
      <c r="Y434" s="635">
        <f>IFERROR(Y426/H426,"0")+IFERROR(Y427/H427,"0")+IFERROR(Y428/H428,"0")+IFERROR(Y429/H429,"0")+IFERROR(Y430/H430,"0")+IFERROR(Y431/H431,"0")+IFERROR(Y432/H432,"0")+IFERROR(Y433/H433,"0")</f>
        <v>13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0.28275</v>
      </c>
      <c r="AA434" s="636"/>
      <c r="AB434" s="636"/>
      <c r="AC434" s="636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37" t="s">
        <v>67</v>
      </c>
      <c r="X435" s="635">
        <f>IFERROR(SUM(X426:X433),"0")</f>
        <v>191</v>
      </c>
      <c r="Y435" s="635">
        <f>IFERROR(SUM(Y426:Y433),"0")</f>
        <v>195</v>
      </c>
      <c r="Z435" s="37"/>
      <c r="AA435" s="636"/>
      <c r="AB435" s="636"/>
      <c r="AC435" s="636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0">
        <v>4607091383980</v>
      </c>
      <c r="E437" s="641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4"/>
      <c r="V437" s="34"/>
      <c r="W437" s="35" t="s">
        <v>67</v>
      </c>
      <c r="X437" s="633">
        <v>0</v>
      </c>
      <c r="Y437" s="634">
        <f>IFERROR(IF(X437="",0,CEILING((X437/$H437),1)*$H437),"")</f>
        <v>0</v>
      </c>
      <c r="Z437" s="36" t="str">
        <f>IFERROR(IF(Y437=0,"",ROUNDUP(Y437/H437,0)*0.02175),"")</f>
        <v/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40">
        <v>4680115888425</v>
      </c>
      <c r="E438" s="641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720</v>
      </c>
      <c r="B439" s="54" t="s">
        <v>721</v>
      </c>
      <c r="C439" s="31">
        <v>4301020179</v>
      </c>
      <c r="D439" s="640">
        <v>4607091384178</v>
      </c>
      <c r="E439" s="641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37" t="s">
        <v>73</v>
      </c>
      <c r="X440" s="635">
        <f>IFERROR(X437/H437,"0")+IFERROR(X438/H438,"0")+IFERROR(X439/H439,"0")</f>
        <v>0</v>
      </c>
      <c r="Y440" s="635">
        <f>IFERROR(Y437/H437,"0")+IFERROR(Y438/H438,"0")+IFERROR(Y439/H439,"0")</f>
        <v>0</v>
      </c>
      <c r="Z440" s="635">
        <f>IFERROR(IF(Z437="",0,Z437),"0")+IFERROR(IF(Z438="",0,Z438),"0")+IFERROR(IF(Z439="",0,Z439),"0")</f>
        <v>0</v>
      </c>
      <c r="AA440" s="636"/>
      <c r="AB440" s="636"/>
      <c r="AC440" s="636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37" t="s">
        <v>67</v>
      </c>
      <c r="X441" s="635">
        <f>IFERROR(SUM(X437:X439),"0")</f>
        <v>0</v>
      </c>
      <c r="Y441" s="635">
        <f>IFERROR(SUM(Y437:Y439),"0")</f>
        <v>0</v>
      </c>
      <c r="Z441" s="37"/>
      <c r="AA441" s="636"/>
      <c r="AB441" s="636"/>
      <c r="AC441" s="636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29"/>
      <c r="AB442" s="629"/>
      <c r="AC442" s="629"/>
    </row>
    <row r="443" spans="1:68" ht="27" customHeight="1" x14ac:dyDescent="0.25">
      <c r="A443" s="54" t="s">
        <v>723</v>
      </c>
      <c r="B443" s="54" t="s">
        <v>724</v>
      </c>
      <c r="C443" s="31">
        <v>4301051903</v>
      </c>
      <c r="D443" s="640">
        <v>4607091383928</v>
      </c>
      <c r="E443" s="641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0">
        <v>4607091384260</v>
      </c>
      <c r="E444" s="641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729</v>
      </c>
      <c r="B445" s="54" t="s">
        <v>730</v>
      </c>
      <c r="C445" s="31">
        <v>4301052220</v>
      </c>
      <c r="D445" s="640">
        <v>4680115889538</v>
      </c>
      <c r="E445" s="641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29"/>
      <c r="AB448" s="629"/>
      <c r="AC448" s="629"/>
    </row>
    <row r="449" spans="1:68" ht="27" customHeight="1" x14ac:dyDescent="0.25">
      <c r="A449" s="54" t="s">
        <v>732</v>
      </c>
      <c r="B449" s="54" t="s">
        <v>733</v>
      </c>
      <c r="C449" s="31">
        <v>4301060537</v>
      </c>
      <c r="D449" s="640">
        <v>4680115889545</v>
      </c>
      <c r="E449" s="641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0">
        <v>4607091384673</v>
      </c>
      <c r="E450" s="641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4"/>
      <c r="V450" s="34"/>
      <c r="W450" s="35" t="s">
        <v>67</v>
      </c>
      <c r="X450" s="633">
        <v>100</v>
      </c>
      <c r="Y450" s="634">
        <f>IFERROR(IF(X450="",0,CEILING((X450/$H450),1)*$H450),"")</f>
        <v>108</v>
      </c>
      <c r="Z450" s="36">
        <f>IFERROR(IF(Y450=0,"",ROUNDUP(Y450/H450,0)*0.01898),"")</f>
        <v>0.22776000000000002</v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105.48888888888888</v>
      </c>
      <c r="BN450" s="64">
        <f>IFERROR(Y450*I450/H450,"0")</f>
        <v>113.92799999999998</v>
      </c>
      <c r="BO450" s="64">
        <f>IFERROR(1/J450*(X450/H450),"0")</f>
        <v>0.1736111111111111</v>
      </c>
      <c r="BP450" s="64">
        <f>IFERROR(1/J450*(Y450/H450),"0")</f>
        <v>0.1875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37" t="s">
        <v>73</v>
      </c>
      <c r="X451" s="635">
        <f>IFERROR(X449/H449,"0")+IFERROR(X450/H450,"0")</f>
        <v>11.111111111111111</v>
      </c>
      <c r="Y451" s="635">
        <f>IFERROR(Y449/H449,"0")+IFERROR(Y450/H450,"0")</f>
        <v>12</v>
      </c>
      <c r="Z451" s="635">
        <f>IFERROR(IF(Z449="",0,Z449),"0")+IFERROR(IF(Z450="",0,Z450),"0")</f>
        <v>0.22776000000000002</v>
      </c>
      <c r="AA451" s="636"/>
      <c r="AB451" s="636"/>
      <c r="AC451" s="636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37" t="s">
        <v>67</v>
      </c>
      <c r="X452" s="635">
        <f>IFERROR(SUM(X449:X450),"0")</f>
        <v>100</v>
      </c>
      <c r="Y452" s="635">
        <f>IFERROR(SUM(Y449:Y450),"0")</f>
        <v>108</v>
      </c>
      <c r="Z452" s="37"/>
      <c r="AA452" s="636"/>
      <c r="AB452" s="636"/>
      <c r="AC452" s="636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8"/>
      <c r="AB453" s="628"/>
      <c r="AC453" s="628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29"/>
      <c r="AB454" s="629"/>
      <c r="AC454" s="629"/>
    </row>
    <row r="455" spans="1:68" ht="27" customHeight="1" x14ac:dyDescent="0.25">
      <c r="A455" s="54" t="s">
        <v>739</v>
      </c>
      <c r="B455" s="54" t="s">
        <v>740</v>
      </c>
      <c r="C455" s="31">
        <v>4301011875</v>
      </c>
      <c r="D455" s="640">
        <v>4680115884885</v>
      </c>
      <c r="E455" s="641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742</v>
      </c>
      <c r="B456" s="54" t="s">
        <v>743</v>
      </c>
      <c r="C456" s="31">
        <v>4301011871</v>
      </c>
      <c r="D456" s="640">
        <v>4680115884908</v>
      </c>
      <c r="E456" s="641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9"/>
      <c r="AB459" s="629"/>
      <c r="AC459" s="629"/>
    </row>
    <row r="460" spans="1:68" ht="27" customHeight="1" x14ac:dyDescent="0.25">
      <c r="A460" s="54" t="s">
        <v>744</v>
      </c>
      <c r="B460" s="54" t="s">
        <v>745</v>
      </c>
      <c r="C460" s="31">
        <v>4301031457</v>
      </c>
      <c r="D460" s="640">
        <v>4607091384802</v>
      </c>
      <c r="E460" s="641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0">
        <v>4607091384246</v>
      </c>
      <c r="E464" s="641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4"/>
      <c r="V464" s="34"/>
      <c r="W464" s="35" t="s">
        <v>67</v>
      </c>
      <c r="X464" s="633">
        <v>1000</v>
      </c>
      <c r="Y464" s="634">
        <f>IFERROR(IF(X464="",0,CEILING((X464/$H464),1)*$H464),"")</f>
        <v>1008</v>
      </c>
      <c r="Z464" s="36">
        <f>IFERROR(IF(Y464=0,"",ROUNDUP(Y464/H464,0)*0.01898),"")</f>
        <v>2.1257600000000001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1054.8888888888889</v>
      </c>
      <c r="BN464" s="64">
        <f>IFERROR(Y464*I464/H464,"0")</f>
        <v>1063.328</v>
      </c>
      <c r="BO464" s="64">
        <f>IFERROR(1/J464*(X464/H464),"0")</f>
        <v>1.7361111111111112</v>
      </c>
      <c r="BP464" s="64">
        <f>IFERROR(1/J464*(Y464/H464),"0")</f>
        <v>1.75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0">
        <v>4607091384253</v>
      </c>
      <c r="E465" s="641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4"/>
      <c r="V465" s="34"/>
      <c r="W465" s="35" t="s">
        <v>67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750</v>
      </c>
      <c r="B466" s="54" t="s">
        <v>752</v>
      </c>
      <c r="C466" s="31">
        <v>4301052069</v>
      </c>
      <c r="D466" s="640">
        <v>4607091384253</v>
      </c>
      <c r="E466" s="641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37" t="s">
        <v>73</v>
      </c>
      <c r="X467" s="635">
        <f>IFERROR(X464/H464,"0")+IFERROR(X465/H465,"0")+IFERROR(X466/H466,"0")</f>
        <v>111.11111111111111</v>
      </c>
      <c r="Y467" s="635">
        <f>IFERROR(Y464/H464,"0")+IFERROR(Y465/H465,"0")+IFERROR(Y466/H466,"0")</f>
        <v>112</v>
      </c>
      <c r="Z467" s="635">
        <f>IFERROR(IF(Z464="",0,Z464),"0")+IFERROR(IF(Z465="",0,Z465),"0")+IFERROR(IF(Z466="",0,Z466),"0")</f>
        <v>2.1257600000000001</v>
      </c>
      <c r="AA467" s="636"/>
      <c r="AB467" s="636"/>
      <c r="AC467" s="636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37" t="s">
        <v>67</v>
      </c>
      <c r="X468" s="635">
        <f>IFERROR(SUM(X464:X466),"0")</f>
        <v>1000</v>
      </c>
      <c r="Y468" s="635">
        <f>IFERROR(SUM(Y464:Y466),"0")</f>
        <v>1008</v>
      </c>
      <c r="Z468" s="37"/>
      <c r="AA468" s="636"/>
      <c r="AB468" s="636"/>
      <c r="AC468" s="636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48"/>
      <c r="AB469" s="48"/>
      <c r="AC469" s="48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8"/>
      <c r="AB470" s="628"/>
      <c r="AC470" s="628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0">
        <v>4680115886100</v>
      </c>
      <c r="E472" s="641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customHeight="1" x14ac:dyDescent="0.25">
      <c r="A473" s="54" t="s">
        <v>759</v>
      </c>
      <c r="B473" s="54" t="s">
        <v>760</v>
      </c>
      <c r="C473" s="31">
        <v>4301031402</v>
      </c>
      <c r="D473" s="640">
        <v>4680115886124</v>
      </c>
      <c r="E473" s="641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762</v>
      </c>
      <c r="B474" s="54" t="s">
        <v>763</v>
      </c>
      <c r="C474" s="31">
        <v>4301031362</v>
      </c>
      <c r="D474" s="640">
        <v>4607091384338</v>
      </c>
      <c r="E474" s="641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764</v>
      </c>
      <c r="B475" s="54" t="s">
        <v>765</v>
      </c>
      <c r="C475" s="31">
        <v>4301031364</v>
      </c>
      <c r="D475" s="640">
        <v>4680115883161</v>
      </c>
      <c r="E475" s="641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767</v>
      </c>
      <c r="B476" s="54" t="s">
        <v>768</v>
      </c>
      <c r="C476" s="31">
        <v>4301031358</v>
      </c>
      <c r="D476" s="640">
        <v>4607091389531</v>
      </c>
      <c r="E476" s="641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770</v>
      </c>
      <c r="B477" s="54" t="s">
        <v>771</v>
      </c>
      <c r="C477" s="31">
        <v>4301031360</v>
      </c>
      <c r="D477" s="640">
        <v>4607091384345</v>
      </c>
      <c r="E477" s="641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29"/>
      <c r="AB480" s="629"/>
      <c r="AC480" s="629"/>
    </row>
    <row r="481" spans="1:68" ht="27" customHeight="1" x14ac:dyDescent="0.25">
      <c r="A481" s="54" t="s">
        <v>772</v>
      </c>
      <c r="B481" s="54" t="s">
        <v>773</v>
      </c>
      <c r="C481" s="31">
        <v>4301051284</v>
      </c>
      <c r="D481" s="640">
        <v>4607091384352</v>
      </c>
      <c r="E481" s="641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775</v>
      </c>
      <c r="B482" s="54" t="s">
        <v>776</v>
      </c>
      <c r="C482" s="31">
        <v>4301051431</v>
      </c>
      <c r="D482" s="640">
        <v>4607091389654</v>
      </c>
      <c r="E482" s="641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8"/>
      <c r="AB485" s="628"/>
      <c r="AC485" s="628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9"/>
      <c r="AB486" s="629"/>
      <c r="AC486" s="629"/>
    </row>
    <row r="487" spans="1:68" ht="27" customHeight="1" x14ac:dyDescent="0.25">
      <c r="A487" s="54" t="s">
        <v>779</v>
      </c>
      <c r="B487" s="54" t="s">
        <v>780</v>
      </c>
      <c r="C487" s="31">
        <v>4301020416</v>
      </c>
      <c r="D487" s="640">
        <v>4680115885240</v>
      </c>
      <c r="E487" s="641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0">
        <v>4680115886094</v>
      </c>
      <c r="E491" s="641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4301031373</v>
      </c>
      <c r="D492" s="640">
        <v>4680115880771</v>
      </c>
      <c r="E492" s="641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788</v>
      </c>
      <c r="B493" s="54" t="s">
        <v>789</v>
      </c>
      <c r="C493" s="31">
        <v>4301031359</v>
      </c>
      <c r="D493" s="640">
        <v>4607091389500</v>
      </c>
      <c r="E493" s="641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48"/>
      <c r="AB496" s="48"/>
      <c r="AC496" s="48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8"/>
      <c r="AB497" s="628"/>
      <c r="AC497" s="628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0">
        <v>4607091389067</v>
      </c>
      <c r="E499" s="641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4"/>
      <c r="V499" s="34"/>
      <c r="W499" s="35" t="s">
        <v>67</v>
      </c>
      <c r="X499" s="633">
        <v>60</v>
      </c>
      <c r="Y499" s="634">
        <f t="shared" ref="Y499:Y507" si="63">IFERROR(IF(X499="",0,CEILING((X499/$H499),1)*$H499),"")</f>
        <v>63.36</v>
      </c>
      <c r="Z499" s="36">
        <f t="shared" ref="Z499:Z504" si="64">IFERROR(IF(Y499=0,"",ROUNDUP(Y499/H499,0)*0.01196),"")</f>
        <v>0.14352000000000001</v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63.977272727272727</v>
      </c>
      <c r="BN499" s="64">
        <f t="shared" ref="BN499:BN507" si="66">IFERROR(Y499*I499/H499,"0")</f>
        <v>67.559999999999988</v>
      </c>
      <c r="BO499" s="64">
        <f t="shared" ref="BO499:BO507" si="67">IFERROR(1/J499*(X499/H499),"0")</f>
        <v>0.10926573426573427</v>
      </c>
      <c r="BP499" s="64">
        <f t="shared" ref="BP499:BP507" si="68">IFERROR(1/J499*(Y499/H499),"0")</f>
        <v>0.11538461538461539</v>
      </c>
    </row>
    <row r="500" spans="1:68" ht="16.5" customHeight="1" x14ac:dyDescent="0.25">
      <c r="A500" s="54" t="s">
        <v>793</v>
      </c>
      <c r="B500" s="54" t="s">
        <v>794</v>
      </c>
      <c r="C500" s="31">
        <v>4301012380</v>
      </c>
      <c r="D500" s="640">
        <v>4680115889576</v>
      </c>
      <c r="E500" s="641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0">
        <v>4680115885271</v>
      </c>
      <c r="E501" s="641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4"/>
      <c r="V501" s="34"/>
      <c r="W501" s="35" t="s">
        <v>67</v>
      </c>
      <c r="X501" s="633">
        <v>76</v>
      </c>
      <c r="Y501" s="634">
        <f t="shared" si="63"/>
        <v>79.2</v>
      </c>
      <c r="Z501" s="36">
        <f t="shared" si="64"/>
        <v>0.1794</v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81.037878787878782</v>
      </c>
      <c r="BN501" s="64">
        <f t="shared" si="66"/>
        <v>84.45</v>
      </c>
      <c r="BO501" s="64">
        <f t="shared" si="67"/>
        <v>0.13840326340326339</v>
      </c>
      <c r="BP501" s="64">
        <f t="shared" si="68"/>
        <v>0.14423076923076925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0">
        <v>4680115885226</v>
      </c>
      <c r="E502" s="641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4"/>
      <c r="V502" s="34"/>
      <c r="W502" s="35" t="s">
        <v>67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customHeight="1" x14ac:dyDescent="0.25">
      <c r="A503" s="54" t="s">
        <v>802</v>
      </c>
      <c r="B503" s="54" t="s">
        <v>803</v>
      </c>
      <c r="C503" s="31">
        <v>4301011797</v>
      </c>
      <c r="D503" s="640">
        <v>4680115884502</v>
      </c>
      <c r="E503" s="641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0">
        <v>4607091389104</v>
      </c>
      <c r="E504" s="641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4"/>
      <c r="V504" s="34"/>
      <c r="W504" s="35" t="s">
        <v>67</v>
      </c>
      <c r="X504" s="633">
        <v>0</v>
      </c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customHeight="1" x14ac:dyDescent="0.25">
      <c r="A505" s="54" t="s">
        <v>808</v>
      </c>
      <c r="B505" s="54" t="s">
        <v>809</v>
      </c>
      <c r="C505" s="31">
        <v>4301012125</v>
      </c>
      <c r="D505" s="640">
        <v>4680115886391</v>
      </c>
      <c r="E505" s="641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0">
        <v>4680115880603</v>
      </c>
      <c r="E506" s="641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4"/>
      <c r="V506" s="34"/>
      <c r="W506" s="35" t="s">
        <v>67</v>
      </c>
      <c r="X506" s="633">
        <v>5</v>
      </c>
      <c r="Y506" s="634">
        <f t="shared" si="63"/>
        <v>9.6</v>
      </c>
      <c r="Z506" s="36">
        <f>IFERROR(IF(Y506=0,"",ROUNDUP(Y506/H506,0)*0.00902),"")</f>
        <v>1.804E-2</v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7.1979166666666661</v>
      </c>
      <c r="BN506" s="64">
        <f t="shared" si="66"/>
        <v>13.82</v>
      </c>
      <c r="BO506" s="64">
        <f t="shared" si="67"/>
        <v>7.8914141414141419E-3</v>
      </c>
      <c r="BP506" s="64">
        <f t="shared" si="68"/>
        <v>1.5151515151515152E-2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0">
        <v>4607091389982</v>
      </c>
      <c r="E507" s="641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26.799242424242426</v>
      </c>
      <c r="Y508" s="635">
        <f>IFERROR(Y499/H499,"0")+IFERROR(Y500/H500,"0")+IFERROR(Y501/H501,"0")+IFERROR(Y502/H502,"0")+IFERROR(Y503/H503,"0")+IFERROR(Y504/H504,"0")+IFERROR(Y505/H505,"0")+IFERROR(Y506/H506,"0")+IFERROR(Y507/H507,"0")</f>
        <v>29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0.34095999999999999</v>
      </c>
      <c r="AA508" s="636"/>
      <c r="AB508" s="636"/>
      <c r="AC508" s="636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37" t="s">
        <v>67</v>
      </c>
      <c r="X509" s="635">
        <f>IFERROR(SUM(X499:X507),"0")</f>
        <v>141</v>
      </c>
      <c r="Y509" s="635">
        <f>IFERROR(SUM(Y499:Y507),"0")</f>
        <v>152.16</v>
      </c>
      <c r="Z509" s="37"/>
      <c r="AA509" s="636"/>
      <c r="AB509" s="636"/>
      <c r="AC509" s="636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0">
        <v>4607091388930</v>
      </c>
      <c r="E511" s="641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4"/>
      <c r="V511" s="34"/>
      <c r="W511" s="35" t="s">
        <v>67</v>
      </c>
      <c r="X511" s="633">
        <v>141</v>
      </c>
      <c r="Y511" s="634">
        <f>IFERROR(IF(X511="",0,CEILING((X511/$H511),1)*$H511),"")</f>
        <v>142.56</v>
      </c>
      <c r="Z511" s="36">
        <f>IFERROR(IF(Y511=0,"",ROUNDUP(Y511/H511,0)*0.01196),"")</f>
        <v>0.32291999999999998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150.34659090909091</v>
      </c>
      <c r="BN511" s="64">
        <f>IFERROR(Y511*I511/H511,"0")</f>
        <v>152.01</v>
      </c>
      <c r="BO511" s="64">
        <f>IFERROR(1/J511*(X511/H511),"0")</f>
        <v>0.25677447552447552</v>
      </c>
      <c r="BP511" s="64">
        <f>IFERROR(1/J511*(Y511/H511),"0")</f>
        <v>0.25961538461538464</v>
      </c>
    </row>
    <row r="512" spans="1:68" ht="16.5" customHeight="1" x14ac:dyDescent="0.25">
      <c r="A512" s="54" t="s">
        <v>817</v>
      </c>
      <c r="B512" s="54" t="s">
        <v>818</v>
      </c>
      <c r="C512" s="31">
        <v>4301020374</v>
      </c>
      <c r="D512" s="640">
        <v>4680115886407</v>
      </c>
      <c r="E512" s="641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0">
        <v>4680115880054</v>
      </c>
      <c r="E513" s="641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4"/>
      <c r="V513" s="34"/>
      <c r="W513" s="35" t="s">
        <v>67</v>
      </c>
      <c r="X513" s="633">
        <v>76</v>
      </c>
      <c r="Y513" s="634">
        <f>IFERROR(IF(X513="",0,CEILING((X513/$H513),1)*$H513),"")</f>
        <v>76.8</v>
      </c>
      <c r="Z513" s="36">
        <f>IFERROR(IF(Y513=0,"",ROUNDUP(Y513/H513,0)*0.00902),"")</f>
        <v>0.14432</v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109.40833333333333</v>
      </c>
      <c r="BN513" s="64">
        <f>IFERROR(Y513*I513/H513,"0")</f>
        <v>110.56</v>
      </c>
      <c r="BO513" s="64">
        <f>IFERROR(1/J513*(X513/H513),"0")</f>
        <v>0.11994949494949496</v>
      </c>
      <c r="BP513" s="64">
        <f>IFERROR(1/J513*(Y513/H513),"0")</f>
        <v>0.12121212121212122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37" t="s">
        <v>73</v>
      </c>
      <c r="X514" s="635">
        <f>IFERROR(X511/H511,"0")+IFERROR(X512/H512,"0")+IFERROR(X513/H513,"0")</f>
        <v>42.537878787878789</v>
      </c>
      <c r="Y514" s="635">
        <f>IFERROR(Y511/H511,"0")+IFERROR(Y512/H512,"0")+IFERROR(Y513/H513,"0")</f>
        <v>43</v>
      </c>
      <c r="Z514" s="635">
        <f>IFERROR(IF(Z511="",0,Z511),"0")+IFERROR(IF(Z512="",0,Z512),"0")+IFERROR(IF(Z513="",0,Z513),"0")</f>
        <v>0.46723999999999999</v>
      </c>
      <c r="AA514" s="636"/>
      <c r="AB514" s="636"/>
      <c r="AC514" s="636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37" t="s">
        <v>67</v>
      </c>
      <c r="X515" s="635">
        <f>IFERROR(SUM(X511:X513),"0")</f>
        <v>217</v>
      </c>
      <c r="Y515" s="635">
        <f>IFERROR(SUM(Y511:Y513),"0")</f>
        <v>219.36</v>
      </c>
      <c r="Z515" s="37"/>
      <c r="AA515" s="636"/>
      <c r="AB515" s="636"/>
      <c r="AC515" s="636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0">
        <v>4680115883116</v>
      </c>
      <c r="E517" s="641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4"/>
      <c r="V517" s="34"/>
      <c r="W517" s="35" t="s">
        <v>67</v>
      </c>
      <c r="X517" s="633">
        <v>119</v>
      </c>
      <c r="Y517" s="634">
        <f t="shared" ref="Y517:Y523" si="69">IFERROR(IF(X517="",0,CEILING((X517/$H517),1)*$H517),"")</f>
        <v>121.44000000000001</v>
      </c>
      <c r="Z517" s="36">
        <f>IFERROR(IF(Y517=0,"",ROUNDUP(Y517/H517,0)*0.01196),"")</f>
        <v>0.27507999999999999</v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126.88825757575758</v>
      </c>
      <c r="BN517" s="64">
        <f t="shared" ref="BN517:BN523" si="71">IFERROR(Y517*I517/H517,"0")</f>
        <v>129.49</v>
      </c>
      <c r="BO517" s="64">
        <f t="shared" ref="BO517:BO523" si="72">IFERROR(1/J517*(X517/H517),"0")</f>
        <v>0.21671037296037296</v>
      </c>
      <c r="BP517" s="64">
        <f t="shared" ref="BP517:BP523" si="73">IFERROR(1/J517*(Y517/H517),"0")</f>
        <v>0.22115384615384617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0">
        <v>4680115883093</v>
      </c>
      <c r="E518" s="641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4"/>
      <c r="V518" s="34"/>
      <c r="W518" s="35" t="s">
        <v>67</v>
      </c>
      <c r="X518" s="633">
        <v>6</v>
      </c>
      <c r="Y518" s="634">
        <f t="shared" si="69"/>
        <v>10.56</v>
      </c>
      <c r="Z518" s="36">
        <f>IFERROR(IF(Y518=0,"",ROUNDUP(Y518/H518,0)*0.01196),"")</f>
        <v>2.392E-2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6.3977272727272725</v>
      </c>
      <c r="BN518" s="64">
        <f t="shared" si="71"/>
        <v>11.26</v>
      </c>
      <c r="BO518" s="64">
        <f t="shared" si="72"/>
        <v>1.0926573426573426E-2</v>
      </c>
      <c r="BP518" s="64">
        <f t="shared" si="73"/>
        <v>1.9230769230769232E-2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0">
        <v>4680115883109</v>
      </c>
      <c r="E519" s="641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4"/>
      <c r="V519" s="34"/>
      <c r="W519" s="35" t="s">
        <v>67</v>
      </c>
      <c r="X519" s="633">
        <v>452</v>
      </c>
      <c r="Y519" s="634">
        <f t="shared" si="69"/>
        <v>454.08000000000004</v>
      </c>
      <c r="Z519" s="36">
        <f>IFERROR(IF(Y519=0,"",ROUNDUP(Y519/H519,0)*0.01196),"")</f>
        <v>1.0285599999999999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481.96212121212113</v>
      </c>
      <c r="BN519" s="64">
        <f t="shared" si="71"/>
        <v>484.18</v>
      </c>
      <c r="BO519" s="64">
        <f t="shared" si="72"/>
        <v>0.8231351981351982</v>
      </c>
      <c r="BP519" s="64">
        <f t="shared" si="73"/>
        <v>0.82692307692307698</v>
      </c>
    </row>
    <row r="520" spans="1:68" ht="27" customHeight="1" x14ac:dyDescent="0.25">
      <c r="A520" s="54" t="s">
        <v>830</v>
      </c>
      <c r="B520" s="54" t="s">
        <v>831</v>
      </c>
      <c r="C520" s="31">
        <v>4301031419</v>
      </c>
      <c r="D520" s="640">
        <v>4680115882072</v>
      </c>
      <c r="E520" s="641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832</v>
      </c>
      <c r="B521" s="54" t="s">
        <v>833</v>
      </c>
      <c r="C521" s="31">
        <v>4301031352</v>
      </c>
      <c r="D521" s="640">
        <v>4680115882102</v>
      </c>
      <c r="E521" s="641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832</v>
      </c>
      <c r="B522" s="54" t="s">
        <v>834</v>
      </c>
      <c r="C522" s="31">
        <v>4301031418</v>
      </c>
      <c r="D522" s="640">
        <v>4680115882102</v>
      </c>
      <c r="E522" s="641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0">
        <v>4680115882096</v>
      </c>
      <c r="E523" s="641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4"/>
      <c r="V523" s="34"/>
      <c r="W523" s="35" t="s">
        <v>67</v>
      </c>
      <c r="X523" s="633">
        <v>5</v>
      </c>
      <c r="Y523" s="634">
        <f t="shared" si="69"/>
        <v>9.6</v>
      </c>
      <c r="Z523" s="36">
        <f>IFERROR(IF(Y523=0,"",ROUNDUP(Y523/H523,0)*0.00902),"")</f>
        <v>1.804E-2</v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6.947916666666667</v>
      </c>
      <c r="BN523" s="64">
        <f t="shared" si="71"/>
        <v>13.34</v>
      </c>
      <c r="BO523" s="64">
        <f t="shared" si="72"/>
        <v>7.8914141414141419E-3</v>
      </c>
      <c r="BP523" s="64">
        <f t="shared" si="73"/>
        <v>1.5151515151515152E-2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37" t="s">
        <v>73</v>
      </c>
      <c r="X524" s="635">
        <f>IFERROR(X517/H517,"0")+IFERROR(X518/H518,"0")+IFERROR(X519/H519,"0")+IFERROR(X520/H520,"0")+IFERROR(X521/H521,"0")+IFERROR(X522/H522,"0")+IFERROR(X523/H523,"0")</f>
        <v>110.3219696969697</v>
      </c>
      <c r="Y524" s="635">
        <f>IFERROR(Y517/H517,"0")+IFERROR(Y518/H518,"0")+IFERROR(Y519/H519,"0")+IFERROR(Y520/H520,"0")+IFERROR(Y521/H521,"0")+IFERROR(Y522/H522,"0")+IFERROR(Y523/H523,"0")</f>
        <v>113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1.3455999999999999</v>
      </c>
      <c r="AA524" s="636"/>
      <c r="AB524" s="636"/>
      <c r="AC524" s="636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37" t="s">
        <v>67</v>
      </c>
      <c r="X525" s="635">
        <f>IFERROR(SUM(X517:X523),"0")</f>
        <v>582</v>
      </c>
      <c r="Y525" s="635">
        <f>IFERROR(SUM(Y517:Y523),"0")</f>
        <v>595.68000000000006</v>
      </c>
      <c r="Z525" s="37"/>
      <c r="AA525" s="636"/>
      <c r="AB525" s="636"/>
      <c r="AC525" s="636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48"/>
      <c r="AB526" s="48"/>
      <c r="AC526" s="48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8"/>
      <c r="AB527" s="628"/>
      <c r="AC527" s="628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9"/>
      <c r="AB528" s="629"/>
      <c r="AC528" s="629"/>
    </row>
    <row r="529" spans="1:68" ht="27" customHeight="1" x14ac:dyDescent="0.25">
      <c r="A529" s="54" t="s">
        <v>838</v>
      </c>
      <c r="B529" s="54" t="s">
        <v>839</v>
      </c>
      <c r="C529" s="31">
        <v>4301011584</v>
      </c>
      <c r="D529" s="640">
        <v>4640242180564</v>
      </c>
      <c r="E529" s="641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9"/>
      <c r="AB532" s="629"/>
      <c r="AC532" s="629"/>
    </row>
    <row r="533" spans="1:68" ht="27" customHeight="1" x14ac:dyDescent="0.25">
      <c r="A533" s="54" t="s">
        <v>841</v>
      </c>
      <c r="B533" s="54" t="s">
        <v>842</v>
      </c>
      <c r="C533" s="31">
        <v>4301020400</v>
      </c>
      <c r="D533" s="640">
        <v>4640242180519</v>
      </c>
      <c r="E533" s="641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9"/>
      <c r="AB536" s="629"/>
      <c r="AC536" s="629"/>
    </row>
    <row r="537" spans="1:68" ht="27" customHeight="1" x14ac:dyDescent="0.25">
      <c r="A537" s="54" t="s">
        <v>844</v>
      </c>
      <c r="B537" s="54" t="s">
        <v>845</v>
      </c>
      <c r="C537" s="31">
        <v>4301031500</v>
      </c>
      <c r="D537" s="640">
        <v>4640242180595</v>
      </c>
      <c r="E537" s="641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0">
        <v>4640242180533</v>
      </c>
      <c r="E541" s="641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4"/>
      <c r="V541" s="34"/>
      <c r="W541" s="35" t="s">
        <v>67</v>
      </c>
      <c r="X541" s="633">
        <v>50</v>
      </c>
      <c r="Y541" s="634">
        <f>IFERROR(IF(X541="",0,CEILING((X541/$H541),1)*$H541),"")</f>
        <v>54</v>
      </c>
      <c r="Z541" s="36">
        <f>IFERROR(IF(Y541=0,"",ROUNDUP(Y541/H541,0)*0.01898),"")</f>
        <v>0.11388000000000001</v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52.74444444444444</v>
      </c>
      <c r="BN541" s="64">
        <f>IFERROR(Y541*I541/H541,"0")</f>
        <v>56.963999999999992</v>
      </c>
      <c r="BO541" s="64">
        <f>IFERROR(1/J541*(X541/H541),"0")</f>
        <v>8.6805555555555552E-2</v>
      </c>
      <c r="BP541" s="64">
        <f>IFERROR(1/J541*(Y541/H541),"0")</f>
        <v>9.375E-2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37" t="s">
        <v>73</v>
      </c>
      <c r="X542" s="635">
        <f>IFERROR(X541/H541,"0")</f>
        <v>5.5555555555555554</v>
      </c>
      <c r="Y542" s="635">
        <f>IFERROR(Y541/H541,"0")</f>
        <v>6</v>
      </c>
      <c r="Z542" s="635">
        <f>IFERROR(IF(Z541="",0,Z541),"0")</f>
        <v>0.11388000000000001</v>
      </c>
      <c r="AA542" s="636"/>
      <c r="AB542" s="636"/>
      <c r="AC542" s="636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37" t="s">
        <v>67</v>
      </c>
      <c r="X543" s="635">
        <f>IFERROR(SUM(X541:X541),"0")</f>
        <v>50</v>
      </c>
      <c r="Y543" s="635">
        <f>IFERROR(SUM(Y541:Y541),"0")</f>
        <v>54</v>
      </c>
      <c r="Z543" s="37"/>
      <c r="AA543" s="636"/>
      <c r="AB543" s="636"/>
      <c r="AC543" s="636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29"/>
      <c r="AB544" s="629"/>
      <c r="AC544" s="629"/>
    </row>
    <row r="545" spans="1:68" ht="27" customHeight="1" x14ac:dyDescent="0.25">
      <c r="A545" s="54" t="s">
        <v>850</v>
      </c>
      <c r="B545" s="54" t="s">
        <v>851</v>
      </c>
      <c r="C545" s="31">
        <v>4301060535</v>
      </c>
      <c r="D545" s="640">
        <v>4640242180120</v>
      </c>
      <c r="E545" s="641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853</v>
      </c>
      <c r="B546" s="54" t="s">
        <v>854</v>
      </c>
      <c r="C546" s="31">
        <v>4301060536</v>
      </c>
      <c r="D546" s="640">
        <v>4640242180137</v>
      </c>
      <c r="E546" s="641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8"/>
      <c r="AB549" s="628"/>
      <c r="AC549" s="628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29"/>
      <c r="AB550" s="629"/>
      <c r="AC550" s="629"/>
    </row>
    <row r="551" spans="1:68" ht="27" customHeight="1" x14ac:dyDescent="0.25">
      <c r="A551" s="54" t="s">
        <v>857</v>
      </c>
      <c r="B551" s="54" t="s">
        <v>858</v>
      </c>
      <c r="C551" s="31">
        <v>4301020428</v>
      </c>
      <c r="D551" s="640">
        <v>4640242180090</v>
      </c>
      <c r="E551" s="641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8713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8891.8900000000012</v>
      </c>
      <c r="Z554" s="37"/>
      <c r="AA554" s="636"/>
      <c r="AB554" s="636"/>
      <c r="AC554" s="636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37" t="s">
        <v>67</v>
      </c>
      <c r="X555" s="635">
        <f>IFERROR(SUM(BM22:BM551),"0")</f>
        <v>9336.3922573838827</v>
      </c>
      <c r="Y555" s="635">
        <f>IFERROR(SUM(BN22:BN551),"0")</f>
        <v>9529.621000000001</v>
      </c>
      <c r="Z555" s="37"/>
      <c r="AA555" s="636"/>
      <c r="AB555" s="636"/>
      <c r="AC555" s="636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37" t="s">
        <v>863</v>
      </c>
      <c r="X556" s="38">
        <f>ROUNDUP(SUM(BO22:BO551),0)</f>
        <v>17</v>
      </c>
      <c r="Y556" s="38">
        <f>ROUNDUP(SUM(BP22:BP551),0)</f>
        <v>17</v>
      </c>
      <c r="Z556" s="37"/>
      <c r="AA556" s="636"/>
      <c r="AB556" s="636"/>
      <c r="AC556" s="636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37" t="s">
        <v>67</v>
      </c>
      <c r="X557" s="635">
        <f>GrossWeightTotal+PalletQtyTotal*25</f>
        <v>9761.3922573838827</v>
      </c>
      <c r="Y557" s="635">
        <f>GrossWeightTotalR+PalletQtyTotalR*25</f>
        <v>9954.621000000001</v>
      </c>
      <c r="Z557" s="37"/>
      <c r="AA557" s="636"/>
      <c r="AB557" s="636"/>
      <c r="AC557" s="636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2030.0148542506731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2065</v>
      </c>
      <c r="Z558" s="37"/>
      <c r="AA558" s="636"/>
      <c r="AB558" s="636"/>
      <c r="AC558" s="636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20.35652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630" t="s">
        <v>790</v>
      </c>
      <c r="AB561" s="682" t="s">
        <v>837</v>
      </c>
      <c r="AC561" s="735"/>
      <c r="AF561" s="63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63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63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63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34.200000000000003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55.5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197.3</v>
      </c>
      <c r="F564" s="46">
        <f>IFERROR(Y84*1,"0")+IFERROR(Y85*1,"0")+IFERROR(Y86*1,"0")+IFERROR(Y87*1,"0")+IFERROR(Y91*1,"0")+IFERROR(Y92*1,"0")+IFERROR(Y93*1,"0")+IFERROR(Y94*1,"0")</f>
        <v>219.6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682.8</v>
      </c>
      <c r="H564" s="46">
        <f>IFERROR(Y129*1,"0")+IFERROR(Y130*1,"0")+IFERROR(Y131*1,"0")+IFERROR(Y135*1,"0")+IFERROR(Y136*1,"0")+IFERROR(Y137*1,"0")+IFERROR(Y138*1,"0")+IFERROR(Y142*1,"0")+IFERROR(Y143*1,"0")+IFERROR(Y144*1,"0")</f>
        <v>110.16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432.6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135.68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2576.1000000000004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184.8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100.8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351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1388.85</v>
      </c>
      <c r="U564" s="46">
        <f>IFERROR(Y412*1,"0")+IFERROR(Y413*1,"0")</f>
        <v>0</v>
      </c>
      <c r="V564" s="46">
        <f>IFERROR(Y418*1,"0")+IFERROR(Y419*1,"0")+IFERROR(Y420*1,"0")</f>
        <v>90.300000000000011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303</v>
      </c>
      <c r="X564" s="46">
        <f>IFERROR(Y455*1,"0")+IFERROR(Y456*1,"0")+IFERROR(Y460*1,"0")+IFERROR(Y464*1,"0")+IFERROR(Y465*1,"0")+IFERROR(Y466*1,"0")</f>
        <v>1008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967.20000000000016</v>
      </c>
      <c r="AB564" s="46">
        <f>IFERROR(Y529*1,"0")+IFERROR(Y533*1,"0")+IFERROR(Y537*1,"0")+IFERROR(Y541*1,"0")+IFERROR(Y545*1,"0")+IFERROR(Y546*1,"0")</f>
        <v>54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2026-08-12T09:50:14Z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