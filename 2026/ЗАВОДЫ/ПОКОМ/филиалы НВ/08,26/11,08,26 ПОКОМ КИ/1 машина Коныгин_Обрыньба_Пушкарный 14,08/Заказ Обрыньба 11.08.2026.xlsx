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EF7FB3-D69A-41E3-B1F7-5D5B6C90EA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Z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141" i="2" l="1"/>
  <c r="Z208" i="2"/>
  <c r="Z83" i="2"/>
  <c r="Z295" i="2"/>
  <c r="BN295" i="2"/>
  <c r="Z423" i="2"/>
  <c r="BN423" i="2"/>
  <c r="BP90" i="2"/>
  <c r="Z307" i="2"/>
  <c r="BN307" i="2"/>
  <c r="Z311" i="2"/>
  <c r="Z312" i="2" s="1"/>
  <c r="Y85" i="2"/>
  <c r="Z135" i="2"/>
  <c r="Z142" i="2"/>
  <c r="BN142" i="2"/>
  <c r="Z184" i="2"/>
  <c r="Z211" i="2"/>
  <c r="BN211" i="2"/>
  <c r="Z226" i="2"/>
  <c r="Z265" i="2"/>
  <c r="Z304" i="2"/>
  <c r="BP327" i="2"/>
  <c r="Z377" i="2"/>
  <c r="Z409" i="2"/>
  <c r="Z411" i="2" s="1"/>
  <c r="Z428" i="2"/>
  <c r="D561" i="2"/>
  <c r="BN52" i="2"/>
  <c r="BN64" i="2"/>
  <c r="Z72" i="2"/>
  <c r="BP83" i="2"/>
  <c r="BP88" i="2"/>
  <c r="BP141" i="2"/>
  <c r="Z149" i="2"/>
  <c r="Z181" i="2"/>
  <c r="Y203" i="2"/>
  <c r="Y204" i="2"/>
  <c r="BP226" i="2"/>
  <c r="BN235" i="2"/>
  <c r="Z240" i="2"/>
  <c r="Z249" i="2"/>
  <c r="BN260" i="2"/>
  <c r="Y298" i="2"/>
  <c r="BP304" i="2"/>
  <c r="BN305" i="2"/>
  <c r="Z306" i="2"/>
  <c r="Z319" i="2"/>
  <c r="Z329" i="2"/>
  <c r="Z330" i="2"/>
  <c r="Z366" i="2"/>
  <c r="BN417" i="2"/>
  <c r="Y437" i="2"/>
  <c r="BP457" i="2"/>
  <c r="BN479" i="2"/>
  <c r="Y531" i="2"/>
  <c r="BN54" i="2"/>
  <c r="BN121" i="2"/>
  <c r="BN140" i="2"/>
  <c r="BN202" i="2"/>
  <c r="BP240" i="2"/>
  <c r="BN241" i="2"/>
  <c r="BN264" i="2"/>
  <c r="BN269" i="2"/>
  <c r="BP269" i="2"/>
  <c r="BN284" i="2"/>
  <c r="BP329" i="2"/>
  <c r="BN342" i="2"/>
  <c r="BP342" i="2"/>
  <c r="BP366" i="2"/>
  <c r="BN375" i="2"/>
  <c r="Y412" i="2"/>
  <c r="BP408" i="2"/>
  <c r="BP426" i="2"/>
  <c r="BP428" i="2"/>
  <c r="BN429" i="2"/>
  <c r="BN453" i="2"/>
  <c r="Z457" i="2"/>
  <c r="Z458" i="2" s="1"/>
  <c r="BN489" i="2"/>
  <c r="Z503" i="2"/>
  <c r="BN503" i="2"/>
  <c r="BN504" i="2"/>
  <c r="Z367" i="2"/>
  <c r="Y369" i="2"/>
  <c r="BP273" i="2"/>
  <c r="BN273" i="2"/>
  <c r="Z198" i="2"/>
  <c r="Y200" i="2"/>
  <c r="Z161" i="2"/>
  <c r="Z162" i="2" s="1"/>
  <c r="Y163" i="2"/>
  <c r="BP161" i="2"/>
  <c r="BN156" i="2"/>
  <c r="Z88" i="2"/>
  <c r="BP64" i="2"/>
  <c r="Z538" i="2"/>
  <c r="Z539" i="2" s="1"/>
  <c r="BN515" i="2"/>
  <c r="Z501" i="2"/>
  <c r="BP501" i="2"/>
  <c r="BP484" i="2"/>
  <c r="Z478" i="2"/>
  <c r="Z480" i="2" s="1"/>
  <c r="BP478" i="2"/>
  <c r="BN470" i="2"/>
  <c r="Z469" i="2"/>
  <c r="W561" i="2"/>
  <c r="Z441" i="2"/>
  <c r="BP441" i="2"/>
  <c r="Z434" i="2"/>
  <c r="BP434" i="2"/>
  <c r="Z427" i="2"/>
  <c r="Z425" i="2"/>
  <c r="Z416" i="2"/>
  <c r="BP416" i="2"/>
  <c r="Z415" i="2"/>
  <c r="BN396" i="2"/>
  <c r="BP391" i="2"/>
  <c r="BP385" i="2"/>
  <c r="BN384" i="2"/>
  <c r="Z383" i="2"/>
  <c r="Y387" i="2"/>
  <c r="BN383" i="2"/>
  <c r="Z372" i="2"/>
  <c r="BP365" i="2"/>
  <c r="Y370" i="2"/>
  <c r="Z365" i="2"/>
  <c r="BN364" i="2"/>
  <c r="Z363" i="2"/>
  <c r="BP363" i="2"/>
  <c r="Z346" i="2"/>
  <c r="Z344" i="2"/>
  <c r="BP344" i="2"/>
  <c r="Z337" i="2"/>
  <c r="BN328" i="2"/>
  <c r="Y331" i="2"/>
  <c r="Z327" i="2"/>
  <c r="BN290" i="2"/>
  <c r="Z283" i="2"/>
  <c r="BP283" i="2"/>
  <c r="Z282" i="2"/>
  <c r="Z275" i="2"/>
  <c r="Z272" i="2"/>
  <c r="BP244" i="2"/>
  <c r="Z242" i="2"/>
  <c r="BP234" i="2"/>
  <c r="Z232" i="2"/>
  <c r="BN231" i="2"/>
  <c r="Z230" i="2"/>
  <c r="BP230" i="2"/>
  <c r="BP225" i="2"/>
  <c r="Z225" i="2"/>
  <c r="Z191" i="2"/>
  <c r="Z187" i="2"/>
  <c r="BP187" i="2"/>
  <c r="Z185" i="2"/>
  <c r="BN185" i="2"/>
  <c r="Z178" i="2"/>
  <c r="BN166" i="2"/>
  <c r="Z166" i="2"/>
  <c r="Y170" i="2"/>
  <c r="H561" i="2"/>
  <c r="Z139" i="2"/>
  <c r="Y143" i="2"/>
  <c r="Z132" i="2"/>
  <c r="BP132" i="2"/>
  <c r="BN120" i="2"/>
  <c r="Z116" i="2"/>
  <c r="BP98" i="2"/>
  <c r="Z98" i="2"/>
  <c r="Z95" i="2"/>
  <c r="Z91" i="2"/>
  <c r="Y93" i="2"/>
  <c r="BN77" i="2"/>
  <c r="BN65" i="2"/>
  <c r="Z62" i="2"/>
  <c r="Z53" i="2"/>
  <c r="BN53" i="2"/>
  <c r="Z51" i="2"/>
  <c r="X555" i="2"/>
  <c r="Y55" i="2"/>
  <c r="BN42" i="2"/>
  <c r="Y47" i="2"/>
  <c r="BN41" i="2"/>
  <c r="Z41" i="2"/>
  <c r="BN29" i="2"/>
  <c r="BN30" i="2"/>
  <c r="Z28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97" i="2" l="1"/>
  <c r="Z347" i="2"/>
  <c r="Z338" i="2"/>
  <c r="Z251" i="2"/>
  <c r="Z199" i="2"/>
  <c r="Z322" i="2"/>
  <c r="Z454" i="2"/>
  <c r="Z437" i="2"/>
  <c r="Z331" i="2"/>
  <c r="Z99" i="2"/>
  <c r="Z55" i="2"/>
  <c r="Z136" i="2"/>
  <c r="Z431" i="2"/>
  <c r="Z386" i="2"/>
  <c r="Z369" i="2"/>
  <c r="Z379" i="2"/>
  <c r="Z292" i="2"/>
  <c r="Z277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<sst xmlns="http://schemas.openxmlformats.org/spreadsheetml/2006/main" count="4201" uniqueCount="895">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</sst>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topLeftCell="A521" zoomScaleNormal="100" zoomScaleSheetLayoutView="100" workbookViewId="0">
      <selection activeCell="AA557" sqref="AA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3.8</v>
      </c>
      <c r="Y23" s="55">
        <f>IFERROR(IF(X23="",0,CEILING((X23/$H23),1)*$H23),"")</f>
        <v>5.4</v>
      </c>
      <c r="Z23" s="41">
        <f>IFERROR(IF(Y23=0,"",ROUNDUP(Y23/H23,0)*0.00502),"")</f>
        <v>1.506E-2</v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4.0744444444444445</v>
      </c>
      <c r="BN23" s="78">
        <f>IFERROR(Y23*I23/H23,"0")</f>
        <v>5.79</v>
      </c>
      <c r="BO23" s="78">
        <f>IFERROR(1/J23*(X23/H23),"0")</f>
        <v>9.0218423551756896E-3</v>
      </c>
      <c r="BP23" s="78">
        <f>IFERROR(1/J23*(Y23/H23),"0")</f>
        <v>1.2820512820512822E-2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4.1111111111111107</v>
      </c>
      <c r="Y24" s="43">
        <f>IFERROR(Y22/H22,"0")+IFERROR(Y23/H23,"0")</f>
        <v>5</v>
      </c>
      <c r="Z24" s="43">
        <f>IFERROR(IF(Z22="",0,Z22),"0")+IFERROR(IF(Z23="",0,Z23),"0")</f>
        <v>2.5100000000000001E-2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7.6</v>
      </c>
      <c r="Y25" s="43">
        <f>IFERROR(SUM(Y22:Y23),"0")</f>
        <v>9.1999999999999993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1.98</v>
      </c>
      <c r="Y31" s="55">
        <f>IFERROR(IF(X31="",0,CEILING((X31/$H31),1)*$H31),"")</f>
        <v>1.98</v>
      </c>
      <c r="Z31" s="41">
        <f>IFERROR(IF(Y31=0,"",ROUNDUP(Y31/H31,0)*0.00651),"")</f>
        <v>6.5100000000000002E-3</v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2.16</v>
      </c>
      <c r="BN31" s="78">
        <f>IFERROR(Y31*I31/H31,"0")</f>
        <v>2.16</v>
      </c>
      <c r="BO31" s="78">
        <f>IFERROR(1/J31*(X31/H31),"0")</f>
        <v>5.4945054945054949E-3</v>
      </c>
      <c r="BP31" s="78">
        <f>IFERROR(1/J31*(Y31/H31),"0")</f>
        <v>5.4945054945054949E-3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4</v>
      </c>
      <c r="Y32" s="43">
        <f>IFERROR(Y27/H27,"0")+IFERROR(Y28/H28,"0")+IFERROR(Y29/H29,"0")+IFERROR(Y30/H30,"0")+IFERROR(Y31/H31,"0")</f>
        <v>4</v>
      </c>
      <c r="Z32" s="43">
        <f>IFERROR(IF(Z27="",0,Z27),"0")+IFERROR(IF(Z28="",0,Z28),"0")+IFERROR(IF(Z29="",0,Z29),"0")+IFERROR(IF(Z30="",0,Z30),"0")+IFERROR(IF(Z31="",0,Z31),"0")</f>
        <v>2.6040000000000001E-2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8.1</v>
      </c>
      <c r="Y33" s="43">
        <f>IFERROR(SUM(Y27:Y31),"0")</f>
        <v>8.1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1.2</v>
      </c>
      <c r="Y35" s="55">
        <f>IFERROR(IF(X35="",0,CEILING((X35/$H35),1)*$H35),"")</f>
        <v>1.2</v>
      </c>
      <c r="Z35" s="41">
        <f>IFERROR(IF(Y35=0,"",ROUNDUP(Y35/H35,0)*0.00651),"")</f>
        <v>1.302E-2</v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1.6439999999999999</v>
      </c>
      <c r="BN35" s="78">
        <f>IFERROR(Y35*I35/H35,"0")</f>
        <v>1.6439999999999999</v>
      </c>
      <c r="BO35" s="78">
        <f>IFERROR(1/J35*(X35/H35),"0")</f>
        <v>1.098901098901099E-2</v>
      </c>
      <c r="BP35" s="78">
        <f>IFERROR(1/J35*(Y35/H35),"0")</f>
        <v>1.098901098901099E-2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2</v>
      </c>
      <c r="Y36" s="43">
        <f>IFERROR(Y35/H35,"0")</f>
        <v>2</v>
      </c>
      <c r="Z36" s="43">
        <f>IFERROR(IF(Z35="",0,Z35),"0")</f>
        <v>1.302E-2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1.2</v>
      </c>
      <c r="Y37" s="43">
        <f>IFERROR(SUM(Y35:Y35),"0")</f>
        <v>1.2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1.92</v>
      </c>
      <c r="Y41" s="55">
        <f>IFERROR(IF(X41="",0,CEILING((X41/$H41),1)*$H41),"")</f>
        <v>1.92</v>
      </c>
      <c r="Z41" s="41">
        <f>IFERROR(IF(Y41=0,"",ROUNDUP(Y41/H41,0)*0.00651),"")</f>
        <v>6.5100000000000002E-3</v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2.1</v>
      </c>
      <c r="BN41" s="78">
        <f>IFERROR(Y41*I41/H41,"0")</f>
        <v>2.1</v>
      </c>
      <c r="BO41" s="78">
        <f>IFERROR(1/J41*(X41/H41),"0")</f>
        <v>5.4945054945054949E-3</v>
      </c>
      <c r="BP41" s="78">
        <f>IFERROR(1/J41*(Y41/H41),"0")</f>
        <v>5.4945054945054949E-3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1.92</v>
      </c>
      <c r="Y42" s="55">
        <f>IFERROR(IF(X42="",0,CEILING((X42/$H42),1)*$H42),"")</f>
        <v>1.92</v>
      </c>
      <c r="Z42" s="41">
        <f>IFERROR(IF(Y42=0,"",ROUNDUP(Y42/H42,0)*0.00651),"")</f>
        <v>6.5100000000000002E-3</v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2.1</v>
      </c>
      <c r="BN42" s="78">
        <f>IFERROR(Y42*I42/H42,"0")</f>
        <v>2.1</v>
      </c>
      <c r="BO42" s="78">
        <f>IFERROR(1/J42*(X42/H42),"0")</f>
        <v>5.4945054945054949E-3</v>
      </c>
      <c r="BP42" s="78">
        <f>IFERROR(1/J42*(Y42/H42),"0")</f>
        <v>5.4945054945054949E-3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1.92</v>
      </c>
      <c r="Y43" s="55">
        <f>IFERROR(IF(X43="",0,CEILING((X43/$H43),1)*$H43),"")</f>
        <v>1.92</v>
      </c>
      <c r="Z43" s="41">
        <f>IFERROR(IF(Y43=0,"",ROUNDUP(Y43/H43,0)*0.00651),"")</f>
        <v>6.5100000000000002E-3</v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2.1</v>
      </c>
      <c r="BN43" s="78">
        <f>IFERROR(Y43*I43/H43,"0")</f>
        <v>2.1</v>
      </c>
      <c r="BO43" s="78">
        <f>IFERROR(1/J43*(X43/H43),"0")</f>
        <v>5.4945054945054949E-3</v>
      </c>
      <c r="BP43" s="78">
        <f>IFERROR(1/J43*(Y43/H43),"0")</f>
        <v>5.4945054945054949E-3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3</v>
      </c>
      <c r="Y46" s="43">
        <f>IFERROR(Y41/H41,"0")+IFERROR(Y42/H42,"0")+IFERROR(Y43/H43,"0")+IFERROR(Y44/H44,"0")+IFERROR(Y45/H45,"0")</f>
        <v>3</v>
      </c>
      <c r="Z46" s="43">
        <f>IFERROR(IF(Z41="",0,Z41),"0")+IFERROR(IF(Z42="",0,Z42),"0")+IFERROR(IF(Z43="",0,Z43),"0")+IFERROR(IF(Z44="",0,Z44),"0")+IFERROR(IF(Z45="",0,Z45),"0")</f>
        <v>1.9529999999999999E-2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5.76</v>
      </c>
      <c r="Y47" s="43">
        <f>IFERROR(SUM(Y41:Y45),"0")</f>
        <v>5.76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162</v>
      </c>
      <c r="Y51" s="55">
        <f>IFERROR(IF(X51="",0,CEILING((X51/$H51),1)*$H51),"")</f>
        <v>162</v>
      </c>
      <c r="Z51" s="41">
        <f>IFERROR(IF(Y51=0,"",ROUNDUP(Y51/H51,0)*0.01898),"")</f>
        <v>0.28470000000000001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168.15</v>
      </c>
      <c r="BN51" s="78">
        <f>IFERROR(Y51*I51/H51,"0")</f>
        <v>168.15</v>
      </c>
      <c r="BO51" s="78">
        <f>IFERROR(1/J51*(X51/H51),"0")</f>
        <v>0.23437499999999997</v>
      </c>
      <c r="BP51" s="78">
        <f>IFERROR(1/J51*(Y51/H51),"0")</f>
        <v>0.23437499999999997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28</v>
      </c>
      <c r="Y53" s="55">
        <f>IFERROR(IF(X53="",0,CEILING((X53/$H53),1)*$H53),"")</f>
        <v>28</v>
      </c>
      <c r="Z53" s="41">
        <f>IFERROR(IF(Y53=0,"",ROUNDUP(Y53/H53,0)*0.00902),"")</f>
        <v>6.3140000000000002E-2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29.330000000000002</v>
      </c>
      <c r="BN53" s="78">
        <f>IFERROR(Y53*I53/H53,"0")</f>
        <v>29.330000000000002</v>
      </c>
      <c r="BO53" s="78">
        <f>IFERROR(1/J53*(X53/H53),"0")</f>
        <v>5.3030303030303032E-2</v>
      </c>
      <c r="BP53" s="78">
        <f>IFERROR(1/J53*(Y53/H53),"0")</f>
        <v>5.3030303030303032E-2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22</v>
      </c>
      <c r="Y55" s="43">
        <f>IFERROR(Y51/H51,"0")+IFERROR(Y52/H52,"0")+IFERROR(Y53/H53,"0")+IFERROR(Y54/H54,"0")</f>
        <v>22</v>
      </c>
      <c r="Z55" s="43">
        <f>IFERROR(IF(Z51="",0,Z51),"0")+IFERROR(IF(Z52="",0,Z52),"0")+IFERROR(IF(Z53="",0,Z53),"0")+IFERROR(IF(Z54="",0,Z54),"0")</f>
        <v>0.34784000000000004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190</v>
      </c>
      <c r="Y56" s="43">
        <f>IFERROR(SUM(Y51:Y54),"0")</f>
        <v>190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33.6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34.830000000000005</v>
      </c>
      <c r="BN59" s="78">
        <f t="shared" ref="BN59:BN66" si="2">IFERROR(Y59*I59/H59,"0")</f>
        <v>34.829999999999991</v>
      </c>
      <c r="BO59" s="78">
        <f t="shared" ref="BO59:BO66" si="3">IFERROR(1/J59*(X59/H59),"0")</f>
        <v>4.6875000000000007E-2</v>
      </c>
      <c r="BP59" s="78">
        <f t="shared" ref="BP59:BP66" si="4">IFERROR(1/J59*(Y59/H59),"0")</f>
        <v>4.6874999999999993E-2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54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56.05</v>
      </c>
      <c r="BN61" s="78">
        <f t="shared" si="2"/>
        <v>56.05</v>
      </c>
      <c r="BO61" s="78">
        <f t="shared" si="3"/>
        <v>7.8125E-2</v>
      </c>
      <c r="BP61" s="78">
        <f t="shared" si="4"/>
        <v>7.8125E-2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14.4</v>
      </c>
      <c r="Y62" s="55">
        <f t="shared" si="0"/>
        <v>14.399999999999999</v>
      </c>
      <c r="Z62" s="41">
        <f>IFERROR(IF(Y62=0,"",ROUNDUP(Y62/H62,0)*0.00902),"")</f>
        <v>2.7060000000000001E-2</v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14.970000000000002</v>
      </c>
      <c r="BN62" s="78">
        <f t="shared" si="2"/>
        <v>14.969999999999999</v>
      </c>
      <c r="BO62" s="78">
        <f t="shared" si="3"/>
        <v>2.2727272727272728E-2</v>
      </c>
      <c r="BP62" s="78">
        <f t="shared" si="4"/>
        <v>2.2727272727272728E-2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/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4.2</v>
      </c>
      <c r="Y65" s="55">
        <f t="shared" si="0"/>
        <v>4.2</v>
      </c>
      <c r="Z65" s="41">
        <f>IFERROR(IF(Y65=0,"",ROUNDUP(Y65/H65,0)*0.00651),"")</f>
        <v>1.302E-2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4.5599999999999996</v>
      </c>
      <c r="BN65" s="78">
        <f t="shared" si="2"/>
        <v>4.5599999999999996</v>
      </c>
      <c r="BO65" s="78">
        <f t="shared" si="3"/>
        <v>1.098901098901099E-2</v>
      </c>
      <c r="BP65" s="78">
        <f t="shared" si="4"/>
        <v>1.098901098901099E-2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18</v>
      </c>
      <c r="Y67" s="43">
        <f>IFERROR(Y59/H59,"0")+IFERROR(Y60/H60,"0")+IFERROR(Y61/H61,"0")+IFERROR(Y62/H62,"0")+IFERROR(Y63/H63,"0")+IFERROR(Y64/H64,"0")+IFERROR(Y65/H65,"0")+IFERROR(Y66/H66,"0")</f>
        <v>18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0.23702000000000001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128.69999999999999</v>
      </c>
      <c r="Y68" s="43">
        <f>IFERROR(SUM(Y59:Y66),"0")</f>
        <v>128.69999999999999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25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0.3498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189</v>
      </c>
      <c r="Y75" s="43">
        <f>IFERROR(SUM(Y70:Y73),"0")</f>
        <v>189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1.8</v>
      </c>
      <c r="Y77" s="55">
        <f>IFERROR(IF(X77="",0,CEILING((X77/$H77),1)*$H77),"")</f>
        <v>1.8</v>
      </c>
      <c r="Z77" s="41">
        <f>IFERROR(IF(Y77=0,"",ROUNDUP(Y77/H77,0)*0.00651),"")</f>
        <v>6.5100000000000002E-3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2.0459999999999998</v>
      </c>
      <c r="BN77" s="78">
        <f>IFERROR(Y77*I77/H77,"0")</f>
        <v>2.0459999999999998</v>
      </c>
      <c r="BO77" s="78">
        <f>IFERROR(1/J77*(X77/H77),"0")</f>
        <v>5.4945054945054949E-3</v>
      </c>
      <c r="BP77" s="78">
        <f>IFERROR(1/J77*(Y77/H77),"0")</f>
        <v>5.4945054945054949E-3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1.8</v>
      </c>
      <c r="Y78" s="55">
        <f>IFERROR(IF(X78="",0,CEILING((X78/$H78),1)*$H78),"")</f>
        <v>1.8</v>
      </c>
      <c r="Z78" s="41">
        <f>IFERROR(IF(Y78=0,"",ROUNDUP(Y78/H78,0)*0.00651),"")</f>
        <v>6.5100000000000002E-3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1.98</v>
      </c>
      <c r="BN78" s="78">
        <f>IFERROR(Y78*I78/H78,"0")</f>
        <v>1.98</v>
      </c>
      <c r="BO78" s="78">
        <f>IFERROR(1/J78*(X78/H78),"0")</f>
        <v>5.4945054945054949E-3</v>
      </c>
      <c r="BP78" s="78">
        <f>IFERROR(1/J78*(Y78/H78),"0")</f>
        <v>5.4945054945054949E-3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2</v>
      </c>
      <c r="Y79" s="43">
        <f>IFERROR(Y77/H77,"0")+IFERROR(Y78/H78,"0")</f>
        <v>2</v>
      </c>
      <c r="Z79" s="43">
        <f>IFERROR(IF(Z77="",0,Z77),"0")+IFERROR(IF(Z78="",0,Z78),"0")</f>
        <v>1.302E-2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3.6</v>
      </c>
      <c r="Y80" s="43">
        <f>IFERROR(SUM(Y77:Y78),"0")</f>
        <v>3.6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108</v>
      </c>
      <c r="Y88" s="55">
        <f>IFERROR(IF(X88="",0,CEILING((X88/$H88),1)*$H88),"")</f>
        <v>108</v>
      </c>
      <c r="Z88" s="41">
        <f>IFERROR(IF(Y88=0,"",ROUNDUP(Y88/H88,0)*0.01898),"")</f>
        <v>0.1898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112.1</v>
      </c>
      <c r="BN88" s="78">
        <f>IFERROR(Y88*I88/H88,"0")</f>
        <v>112.1</v>
      </c>
      <c r="BO88" s="78">
        <f>IFERROR(1/J88*(X88/H88),"0")</f>
        <v>0.15625</v>
      </c>
      <c r="BP88" s="78">
        <f>IFERROR(1/J88*(Y88/H88),"0")</f>
        <v>0.15625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15</v>
      </c>
      <c r="Y92" s="43">
        <f>IFERROR(Y88/H88,"0")+IFERROR(Y89/H89,"0")+IFERROR(Y90/H90,"0")+IFERROR(Y91/H91,"0")</f>
        <v>15</v>
      </c>
      <c r="Z92" s="43">
        <f>IFERROR(IF(Z88="",0,Z88),"0")+IFERROR(IF(Z89="",0,Z89),"0")+IFERROR(IF(Z90="",0,Z90),"0")+IFERROR(IF(Z91="",0,Z91),"0")</f>
        <v>0.2349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130.5</v>
      </c>
      <c r="Y93" s="43">
        <f>IFERROR(SUM(Y88:Y91),"0")</f>
        <v>130.5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81</v>
      </c>
      <c r="Y95" s="55">
        <f>IFERROR(IF(X95="",0,CEILING((X95/$H95),1)*$H95),"")</f>
        <v>81</v>
      </c>
      <c r="Z95" s="41">
        <f>IFERROR(IF(Y95=0,"",ROUNDUP(Y95/H95,0)*0.01898),"")</f>
        <v>0.1898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85.94</v>
      </c>
      <c r="BN95" s="78">
        <f>IFERROR(Y95*I95/H95,"0")</f>
        <v>85.94</v>
      </c>
      <c r="BO95" s="78">
        <f>IFERROR(1/J95*(X95/H95),"0")</f>
        <v>0.15625</v>
      </c>
      <c r="BP95" s="78">
        <f>IFERROR(1/J95*(Y95/H95),"0")</f>
        <v>0.15625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13</v>
      </c>
      <c r="Y99" s="43">
        <f>IFERROR(Y95/H95,"0")+IFERROR(Y96/H96,"0")+IFERROR(Y97/H97,"0")+IFERROR(Y98/H98,"0")</f>
        <v>13</v>
      </c>
      <c r="Z99" s="43">
        <f>IFERROR(IF(Z95="",0,Z95),"0")+IFERROR(IF(Z96="",0,Z96),"0")+IFERROR(IF(Z97="",0,Z97),"0")+IFERROR(IF(Z98="",0,Z98),"0")</f>
        <v>0.20932999999999999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88.38000000000001</v>
      </c>
      <c r="Y100" s="43">
        <f>IFERROR(SUM(Y95:Y98),"0")</f>
        <v>88.38000000000001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32.4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33.629999999999995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4.6874999999999993E-2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22.5</v>
      </c>
      <c r="Y107" s="55">
        <f t="shared" si="5"/>
        <v>22.5</v>
      </c>
      <c r="Z107" s="41">
        <f>IFERROR(IF(Y107=0,"",ROUNDUP(Y107/H107,0)*0.00902),"")</f>
        <v>4.5100000000000001E-2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23.450000000000003</v>
      </c>
      <c r="BN107" s="78">
        <f t="shared" si="7"/>
        <v>23.450000000000003</v>
      </c>
      <c r="BO107" s="78">
        <f t="shared" si="8"/>
        <v>3.787878787878788E-2</v>
      </c>
      <c r="BP107" s="78">
        <f t="shared" si="9"/>
        <v>3.787878787878788E-2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9</v>
      </c>
      <c r="Y108" s="55">
        <f t="shared" si="5"/>
        <v>9</v>
      </c>
      <c r="Z108" s="41">
        <f>IFERROR(IF(Y108=0,"",ROUNDUP(Y108/H108,0)*0.00902),"")</f>
        <v>1.804E-2</v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9.3800000000000008</v>
      </c>
      <c r="BN108" s="78">
        <f t="shared" si="7"/>
        <v>9.3800000000000008</v>
      </c>
      <c r="BO108" s="78">
        <f t="shared" si="8"/>
        <v>1.5151515151515152E-2</v>
      </c>
      <c r="BP108" s="78">
        <f t="shared" si="9"/>
        <v>1.5151515151515152E-2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10</v>
      </c>
      <c r="Y109" s="43">
        <f>IFERROR(Y103/H103,"0")+IFERROR(Y104/H104,"0")+IFERROR(Y105/H105,"0")+IFERROR(Y106/H106,"0")+IFERROR(Y107/H107,"0")+IFERROR(Y108/H108,"0")</f>
        <v>10</v>
      </c>
      <c r="Z109" s="43">
        <f>IFERROR(IF(Z103="",0,Z103),"0")+IFERROR(IF(Z104="",0,Z104),"0")+IFERROR(IF(Z105="",0,Z105),"0")+IFERROR(IF(Z106="",0,Z106),"0")+IFERROR(IF(Z107="",0,Z107),"0")+IFERROR(IF(Z108="",0,Z108),"0")</f>
        <v>0.12008000000000001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63.9</v>
      </c>
      <c r="Y110" s="43">
        <f>IFERROR(SUM(Y103:Y108),"0")</f>
        <v>63.900000000000006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32.4</v>
      </c>
      <c r="Y112" s="55">
        <f>IFERROR(IF(X112="",0,CEILING((X112/$H112),1)*$H112),"")</f>
        <v>32.400000000000006</v>
      </c>
      <c r="Z112" s="41">
        <f>IFERROR(IF(Y112=0,"",ROUNDUP(Y112/H112,0)*0.01898),"")</f>
        <v>5.6940000000000004E-2</v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33.629999999999995</v>
      </c>
      <c r="BN112" s="78">
        <f>IFERROR(Y112*I112/H112,"0")</f>
        <v>33.630000000000003</v>
      </c>
      <c r="BO112" s="78">
        <f>IFERROR(1/J112*(X112/H112),"0")</f>
        <v>4.6874999999999993E-2</v>
      </c>
      <c r="BP112" s="78">
        <f>IFERROR(1/J112*(Y112/H112),"0")</f>
        <v>4.6875000000000007E-2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7.2</v>
      </c>
      <c r="Y116" s="55">
        <f>IFERROR(IF(X116="",0,CEILING((X116/$H116),1)*$H116),"")</f>
        <v>7.1999999999999993</v>
      </c>
      <c r="Z116" s="41">
        <f>IFERROR(IF(Y116=0,"",ROUNDUP(Y116/H116,0)*0.00651),"")</f>
        <v>1.9529999999999999E-2</v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7.74</v>
      </c>
      <c r="BN116" s="78">
        <f>IFERROR(Y116*I116/H116,"0")</f>
        <v>7.7399999999999993</v>
      </c>
      <c r="BO116" s="78">
        <f>IFERROR(1/J116*(X116/H116),"0")</f>
        <v>1.6483516483516484E-2</v>
      </c>
      <c r="BP116" s="78">
        <f>IFERROR(1/J116*(Y116/H116),"0")</f>
        <v>1.6483516483516484E-2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6</v>
      </c>
      <c r="Y117" s="43">
        <f>IFERROR(Y112/H112,"0")+IFERROR(Y113/H113,"0")+IFERROR(Y114/H114,"0")+IFERROR(Y115/H115,"0")+IFERROR(Y116/H116,"0")</f>
        <v>6</v>
      </c>
      <c r="Z117" s="43">
        <f>IFERROR(IF(Z112="",0,Z112),"0")+IFERROR(IF(Z113="",0,Z113),"0")+IFERROR(IF(Z114="",0,Z114),"0")+IFERROR(IF(Z115="",0,Z115),"0")+IFERROR(IF(Z116="",0,Z116),"0")</f>
        <v>7.647000000000001E-2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39.6</v>
      </c>
      <c r="Y118" s="43">
        <f>IFERROR(SUM(Y112:Y116),"0")</f>
        <v>39.600000000000009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81</v>
      </c>
      <c r="Y120" s="55">
        <f>IFERROR(IF(X120="",0,CEILING((X120/$H120),1)*$H120),"")</f>
        <v>81</v>
      </c>
      <c r="Z120" s="41">
        <f>IFERROR(IF(Y120=0,"",ROUNDUP(Y120/H120,0)*0.01898),"")</f>
        <v>0.1898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85.88</v>
      </c>
      <c r="BN120" s="78">
        <f>IFERROR(Y120*I120/H120,"0")</f>
        <v>85.88</v>
      </c>
      <c r="BO120" s="78">
        <f>IFERROR(1/J120*(X120/H120),"0")</f>
        <v>0.15625</v>
      </c>
      <c r="BP120" s="78">
        <f>IFERROR(1/J120*(Y120/H120),"0")</f>
        <v>0.15625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5.4</v>
      </c>
      <c r="Y122" s="55">
        <f>IFERROR(IF(X122="",0,CEILING((X122/$H122),1)*$H122),"")</f>
        <v>5.4</v>
      </c>
      <c r="Z122" s="41">
        <f>IFERROR(IF(Y122=0,"",ROUNDUP(Y122/H122,0)*0.00651),"")</f>
        <v>1.302E-2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5.9039999999999999</v>
      </c>
      <c r="BN122" s="78">
        <f>IFERROR(Y122*I122/H122,"0")</f>
        <v>5.9039999999999999</v>
      </c>
      <c r="BO122" s="78">
        <f>IFERROR(1/J122*(X122/H122),"0")</f>
        <v>1.098901098901099E-2</v>
      </c>
      <c r="BP122" s="78">
        <f>IFERROR(1/J122*(Y122/H122),"0")</f>
        <v>1.098901098901099E-2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1.8</v>
      </c>
      <c r="Y123" s="55">
        <f>IFERROR(IF(X123="",0,CEILING((X123/$H123),1)*$H123),"")</f>
        <v>1.8</v>
      </c>
      <c r="Z123" s="41">
        <f>IFERROR(IF(Y123=0,"",ROUNDUP(Y123/H123,0)*0.00651),"")</f>
        <v>6.5100000000000002E-3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1.98</v>
      </c>
      <c r="BN123" s="78">
        <f>IFERROR(Y123*I123/H123,"0")</f>
        <v>1.98</v>
      </c>
      <c r="BO123" s="78">
        <f>IFERROR(1/J123*(X123/H123),"0")</f>
        <v>5.4945054945054949E-3</v>
      </c>
      <c r="BP123" s="78">
        <f>IFERROR(1/J123*(Y123/H123),"0")</f>
        <v>5.4945054945054949E-3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13</v>
      </c>
      <c r="Y124" s="43">
        <f>IFERROR(Y120/H120,"0")+IFERROR(Y121/H121,"0")+IFERROR(Y122/H122,"0")+IFERROR(Y123/H123,"0")</f>
        <v>13</v>
      </c>
      <c r="Z124" s="43">
        <f>IFERROR(IF(Z120="",0,Z120),"0")+IFERROR(IF(Z121="",0,Z121),"0")+IFERROR(IF(Z122="",0,Z122),"0")+IFERROR(IF(Z123="",0,Z123),"0")</f>
        <v>0.20932999999999999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88.2</v>
      </c>
      <c r="Y125" s="43">
        <f>IFERROR(SUM(Y120:Y123),"0")</f>
        <v>88.2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/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/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/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1.32</v>
      </c>
      <c r="Y154" s="55">
        <f>IFERROR(IF(X154="",0,CEILING((X154/$H154),1)*$H154),"")</f>
        <v>1.32</v>
      </c>
      <c r="Z154" s="41">
        <f>IFERROR(IF(Y154=0,"",ROUNDUP(Y154/H154,0)*0.00651),"")</f>
        <v>6.5100000000000002E-3</v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1.5660000000000001</v>
      </c>
      <c r="BN154" s="78">
        <f>IFERROR(Y154*I154/H154,"0")</f>
        <v>1.5660000000000001</v>
      </c>
      <c r="BO154" s="78">
        <f>IFERROR(1/J154*(X154/H154),"0")</f>
        <v>5.4945054945054949E-3</v>
      </c>
      <c r="BP154" s="78">
        <f>IFERROR(1/J154*(Y154/H154),"0")</f>
        <v>5.4945054945054949E-3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1.98</v>
      </c>
      <c r="Y155" s="55">
        <f>IFERROR(IF(X155="",0,CEILING((X155/$H155),1)*$H155),"")</f>
        <v>1.98</v>
      </c>
      <c r="Z155" s="41">
        <f>IFERROR(IF(Y155=0,"",ROUNDUP(Y155/H155,0)*0.00651),"")</f>
        <v>6.5100000000000002E-3</v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2.2589999999999999</v>
      </c>
      <c r="BN155" s="78">
        <f>IFERROR(Y155*I155/H155,"0")</f>
        <v>2.2589999999999999</v>
      </c>
      <c r="BO155" s="78">
        <f>IFERROR(1/J155*(X155/H155),"0")</f>
        <v>5.4945054945054949E-3</v>
      </c>
      <c r="BP155" s="78">
        <f>IFERROR(1/J155*(Y155/H155),"0")</f>
        <v>5.4945054945054949E-3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1.98</v>
      </c>
      <c r="Y156" s="55">
        <f>IFERROR(IF(X156="",0,CEILING((X156/$H156),1)*$H156),"")</f>
        <v>1.98</v>
      </c>
      <c r="Z156" s="41">
        <f>IFERROR(IF(Y156=0,"",ROUNDUP(Y156/H156,0)*0.00651),"")</f>
        <v>6.5100000000000002E-3</v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2.2589999999999999</v>
      </c>
      <c r="BN156" s="78">
        <f>IFERROR(Y156*I156/H156,"0")</f>
        <v>2.2589999999999999</v>
      </c>
      <c r="BO156" s="78">
        <f>IFERROR(1/J156*(X156/H156),"0")</f>
        <v>5.4945054945054949E-3</v>
      </c>
      <c r="BP156" s="78">
        <f>IFERROR(1/J156*(Y156/H156),"0")</f>
        <v>5.4945054945054949E-3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3</v>
      </c>
      <c r="Y158" s="43">
        <f>IFERROR(Y154/H154,"0")+IFERROR(Y155/H155,"0")+IFERROR(Y156/H156,"0")+IFERROR(Y157/H157,"0")</f>
        <v>3</v>
      </c>
      <c r="Z158" s="43">
        <f>IFERROR(IF(Z154="",0,Z154),"0")+IFERROR(IF(Z155="",0,Z155),"0")+IFERROR(IF(Z156="",0,Z156),"0")+IFERROR(IF(Z157="",0,Z157),"0")</f>
        <v>1.9529999999999999E-2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5.2799999999999994</v>
      </c>
      <c r="Y159" s="43">
        <f>IFERROR(SUM(Y154:Y157),"0")</f>
        <v>5.2799999999999994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0.64</v>
      </c>
      <c r="Y161" s="55">
        <f>IFERROR(IF(X161="",0,CEILING((X161/$H161),1)*$H161),"")</f>
        <v>0.64</v>
      </c>
      <c r="Z161" s="41">
        <f>IFERROR(IF(Y161=0,"",ROUNDUP(Y161/H161,0)*0.00337),"")</f>
        <v>6.7400000000000003E-3</v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1</v>
      </c>
      <c r="BN161" s="78">
        <f>IFERROR(Y161*I161/H161,"0")</f>
        <v>1</v>
      </c>
      <c r="BO161" s="78">
        <f>IFERROR(1/J161*(X161/H161),"0")</f>
        <v>6.0606060606060606E-3</v>
      </c>
      <c r="BP161" s="78">
        <f>IFERROR(1/J161*(Y161/H161),"0")</f>
        <v>6.0606060606060606E-3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2</v>
      </c>
      <c r="Y162" s="43">
        <f>IFERROR(Y161/H161,"0")</f>
        <v>2</v>
      </c>
      <c r="Z162" s="43">
        <f>IFERROR(IF(Z161="",0,Z161),"0")</f>
        <v>6.7400000000000003E-3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0.64</v>
      </c>
      <c r="Y163" s="43">
        <f>IFERROR(SUM(Y161:Y161),"0")</f>
        <v>0.64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7.74</v>
      </c>
      <c r="Y166" s="55">
        <f>IFERROR(IF(X166="",0,CEILING((X166/$H166),1)*$H166),"")</f>
        <v>7.74</v>
      </c>
      <c r="Z166" s="41">
        <f>IFERROR(IF(Y166=0,"",ROUNDUP(Y166/H166,0)*0.00651),"")</f>
        <v>1.9529999999999999E-2</v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8.2799999999999994</v>
      </c>
      <c r="BN166" s="78">
        <f>IFERROR(Y166*I166/H166,"0")</f>
        <v>8.2799999999999994</v>
      </c>
      <c r="BO166" s="78">
        <f>IFERROR(1/J166*(X166/H166),"0")</f>
        <v>1.6483516483516484E-2</v>
      </c>
      <c r="BP166" s="78">
        <f>IFERROR(1/J166*(Y166/H166),"0")</f>
        <v>1.6483516483516484E-2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20</v>
      </c>
      <c r="Y168" s="55">
        <f>IFERROR(IF(X168="",0,CEILING((X168/$H168),1)*$H168),"")</f>
        <v>20</v>
      </c>
      <c r="Z168" s="41">
        <f>IFERROR(IF(Y168=0,"",ROUNDUP(Y168/H168,0)*0.00902),"")</f>
        <v>4.5100000000000001E-2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20.950000000000003</v>
      </c>
      <c r="BN168" s="78">
        <f>IFERROR(Y168*I168/H168,"0")</f>
        <v>20.950000000000003</v>
      </c>
      <c r="BO168" s="78">
        <f>IFERROR(1/J168*(X168/H168),"0")</f>
        <v>3.787878787878788E-2</v>
      </c>
      <c r="BP168" s="78">
        <f>IFERROR(1/J168*(Y168/H168),"0")</f>
        <v>3.787878787878788E-2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8</v>
      </c>
      <c r="Y169" s="43">
        <f>IFERROR(Y166/H166,"0")+IFERROR(Y167/H167,"0")+IFERROR(Y168/H168,"0")</f>
        <v>8</v>
      </c>
      <c r="Z169" s="43">
        <f>IFERROR(IF(Z166="",0,Z166),"0")+IFERROR(IF(Z167="",0,Z167),"0")+IFERROR(IF(Z168="",0,Z168),"0")</f>
        <v>6.4629999999999993E-2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27.740000000000002</v>
      </c>
      <c r="Y170" s="43">
        <f>IFERROR(SUM(Y166:Y168),"0")</f>
        <v>27.740000000000002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24.5</v>
      </c>
      <c r="Y177" s="55">
        <f t="shared" ref="Y177:Y187" si="10">IFERROR(IF(X177="",0,CEILING((X177/$H177),1)*$H177),"")</f>
        <v>24.5</v>
      </c>
      <c r="Z177" s="41">
        <f>IFERROR(IF(Y177=0,"",ROUNDUP(Y177/H177,0)*0.00902),"")</f>
        <v>6.3140000000000002E-2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25.830000000000002</v>
      </c>
      <c r="BN177" s="78">
        <f t="shared" ref="BN177:BN187" si="12">IFERROR(Y177*I177/H177,"0")</f>
        <v>25.830000000000002</v>
      </c>
      <c r="BO177" s="78">
        <f t="shared" ref="BO177:BO187" si="13">IFERROR(1/J177*(X177/H177),"0")</f>
        <v>5.3030303030303032E-2</v>
      </c>
      <c r="BP177" s="78">
        <f t="shared" ref="BP177:BP187" si="14">IFERROR(1/J177*(Y177/H177),"0")</f>
        <v>5.3030303030303032E-2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10.5</v>
      </c>
      <c r="Y178" s="55">
        <f t="shared" si="10"/>
        <v>10.5</v>
      </c>
      <c r="Z178" s="41">
        <f>IFERROR(IF(Y178=0,"",ROUNDUP(Y178/H178,0)*0.00902),"")</f>
        <v>2.7060000000000001E-2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11.295</v>
      </c>
      <c r="BN178" s="78">
        <f t="shared" si="12"/>
        <v>11.295</v>
      </c>
      <c r="BO178" s="78">
        <f t="shared" si="13"/>
        <v>2.2727272727272728E-2</v>
      </c>
      <c r="BP178" s="78">
        <f t="shared" si="14"/>
        <v>2.2727272727272728E-2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10.5</v>
      </c>
      <c r="Y179" s="55">
        <f t="shared" si="10"/>
        <v>10.5</v>
      </c>
      <c r="Z179" s="41">
        <f>IFERROR(IF(Y179=0,"",ROUNDUP(Y179/H179,0)*0.00902),"")</f>
        <v>2.7060000000000001E-2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11.069999999999999</v>
      </c>
      <c r="BN179" s="78">
        <f t="shared" si="12"/>
        <v>11.069999999999999</v>
      </c>
      <c r="BO179" s="78">
        <f t="shared" si="13"/>
        <v>2.2727272727272728E-2</v>
      </c>
      <c r="BP179" s="78">
        <f t="shared" si="14"/>
        <v>2.2727272727272728E-2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24.5</v>
      </c>
      <c r="Y180" s="55">
        <f t="shared" si="10"/>
        <v>24.5</v>
      </c>
      <c r="Z180" s="41">
        <f>IFERROR(IF(Y180=0,"",ROUNDUP(Y180/H180,0)*0.00902),"")</f>
        <v>6.3140000000000002E-2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25.830000000000002</v>
      </c>
      <c r="BN180" s="78">
        <f t="shared" si="12"/>
        <v>25.830000000000002</v>
      </c>
      <c r="BO180" s="78">
        <f t="shared" si="13"/>
        <v>5.3030303030303032E-2</v>
      </c>
      <c r="BP180" s="78">
        <f t="shared" si="14"/>
        <v>5.3030303030303032E-2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8.4</v>
      </c>
      <c r="Y182" s="55">
        <f t="shared" si="10"/>
        <v>8.4</v>
      </c>
      <c r="Z182" s="41">
        <f>IFERROR(IF(Y182=0,"",ROUNDUP(Y182/H182,0)*0.00502),"")</f>
        <v>2.5100000000000001E-2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8.9000000000000021</v>
      </c>
      <c r="BN182" s="78">
        <f t="shared" si="12"/>
        <v>8.9000000000000021</v>
      </c>
      <c r="BO182" s="78">
        <f t="shared" si="13"/>
        <v>2.1367521367521368E-2</v>
      </c>
      <c r="BP182" s="78">
        <f t="shared" si="14"/>
        <v>2.1367521367521368E-2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8.4</v>
      </c>
      <c r="Y185" s="55">
        <f t="shared" si="10"/>
        <v>8.4</v>
      </c>
      <c r="Z185" s="41">
        <f>IFERROR(IF(Y185=0,"",ROUNDUP(Y185/H185,0)*0.00502),"")</f>
        <v>2.5100000000000001E-2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8.9000000000000021</v>
      </c>
      <c r="BN185" s="78">
        <f t="shared" si="12"/>
        <v>8.9000000000000021</v>
      </c>
      <c r="BO185" s="78">
        <f t="shared" si="13"/>
        <v>2.1367521367521368E-2</v>
      </c>
      <c r="BP185" s="78">
        <f t="shared" si="14"/>
        <v>2.1367521367521368E-2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8.4</v>
      </c>
      <c r="Y187" s="55">
        <f t="shared" si="10"/>
        <v>8.4</v>
      </c>
      <c r="Z187" s="41">
        <f>IFERROR(IF(Y187=0,"",ROUNDUP(Y187/H187,0)*0.00502),"")</f>
        <v>2.5100000000000001E-2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8.9000000000000021</v>
      </c>
      <c r="BN187" s="78">
        <f t="shared" si="12"/>
        <v>8.9000000000000021</v>
      </c>
      <c r="BO187" s="78">
        <f t="shared" si="13"/>
        <v>2.1367521367521368E-2</v>
      </c>
      <c r="BP187" s="78">
        <f t="shared" si="14"/>
        <v>2.1367521367521368E-2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35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0.25570000000000004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95.200000000000017</v>
      </c>
      <c r="Y189" s="43">
        <f>IFERROR(SUM(Y177:Y187),"0")</f>
        <v>95.200000000000017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2.52</v>
      </c>
      <c r="Y191" s="55">
        <f>IFERROR(IF(X191="",0,CEILING((X191/$H191),1)*$H191),"")</f>
        <v>2.52</v>
      </c>
      <c r="Z191" s="41">
        <f>IFERROR(IF(Y191=0,"",ROUNDUP(Y191/H191,0)*0.00651),"")</f>
        <v>6.5100000000000002E-3</v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2.766</v>
      </c>
      <c r="BN191" s="78">
        <f>IFERROR(Y191*I191/H191,"0")</f>
        <v>2.766</v>
      </c>
      <c r="BO191" s="78">
        <f>IFERROR(1/J191*(X191/H191),"0")</f>
        <v>5.4945054945054949E-3</v>
      </c>
      <c r="BP191" s="78">
        <f>IFERROR(1/J191*(Y191/H191),"0")</f>
        <v>5.4945054945054949E-3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2.52</v>
      </c>
      <c r="Y192" s="55">
        <f>IFERROR(IF(X192="",0,CEILING((X192/$H192),1)*$H192),"")</f>
        <v>2.52</v>
      </c>
      <c r="Z192" s="41">
        <f>IFERROR(IF(Y192=0,"",ROUNDUP(Y192/H192,0)*0.00651),"")</f>
        <v>6.5100000000000002E-3</v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2.766</v>
      </c>
      <c r="BN192" s="78">
        <f>IFERROR(Y192*I192/H192,"0")</f>
        <v>2.766</v>
      </c>
      <c r="BO192" s="78">
        <f>IFERROR(1/J192*(X192/H192),"0")</f>
        <v>5.4945054945054949E-3</v>
      </c>
      <c r="BP192" s="78">
        <f>IFERROR(1/J192*(Y192/H192),"0")</f>
        <v>5.4945054945054949E-3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1.8</v>
      </c>
      <c r="Y193" s="55">
        <f>IFERROR(IF(X193="",0,CEILING((X193/$H193),1)*$H193),"")</f>
        <v>1.8</v>
      </c>
      <c r="Z193" s="41">
        <f>IFERROR(IF(Y193=0,"",ROUNDUP(Y193/H193,0)*0.00651),"")</f>
        <v>6.5100000000000002E-3</v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2.0579999999999998</v>
      </c>
      <c r="BN193" s="78">
        <f>IFERROR(Y193*I193/H193,"0")</f>
        <v>2.0579999999999998</v>
      </c>
      <c r="BO193" s="78">
        <f>IFERROR(1/J193*(X193/H193),"0")</f>
        <v>5.4945054945054949E-3</v>
      </c>
      <c r="BP193" s="78">
        <f>IFERROR(1/J193*(Y193/H193),"0")</f>
        <v>5.4945054945054949E-3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3</v>
      </c>
      <c r="Y194" s="43">
        <f>IFERROR(Y191/H191,"0")+IFERROR(Y192/H192,"0")+IFERROR(Y193/H193,"0")</f>
        <v>3</v>
      </c>
      <c r="Z194" s="43">
        <f>IFERROR(IF(Z191="",0,Z191),"0")+IFERROR(IF(Z192="",0,Z192),"0")+IFERROR(IF(Z193="",0,Z193),"0")</f>
        <v>1.9529999999999999E-2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6.84</v>
      </c>
      <c r="Y195" s="43">
        <f>IFERROR(SUM(Y191:Y193),"0")</f>
        <v>6.84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1.08</v>
      </c>
      <c r="Y197" s="55">
        <f>IFERROR(IF(X197="",0,CEILING((X197/$H197),1)*$H197),"")</f>
        <v>1.08</v>
      </c>
      <c r="Z197" s="41">
        <f>IFERROR(IF(Y197=0,"",ROUNDUP(Y197/H197,0)*0.0059),"")</f>
        <v>5.8999999999999999E-3</v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1.36</v>
      </c>
      <c r="BN197" s="78">
        <f>IFERROR(Y197*I197/H197,"0")</f>
        <v>1.36</v>
      </c>
      <c r="BO197" s="78">
        <f>IFERROR(1/J197*(X197/H197),"0")</f>
        <v>4.6296296296296294E-3</v>
      </c>
      <c r="BP197" s="78">
        <f>IFERROR(1/J197*(Y197/H197),"0")</f>
        <v>4.6296296296296294E-3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1.08</v>
      </c>
      <c r="Y198" s="55">
        <f>IFERROR(IF(X198="",0,CEILING((X198/$H198),1)*$H198),"")</f>
        <v>1.08</v>
      </c>
      <c r="Z198" s="41">
        <f>IFERROR(IF(Y198=0,"",ROUNDUP(Y198/H198,0)*0.0059),"")</f>
        <v>5.8999999999999999E-3</v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1.36</v>
      </c>
      <c r="BN198" s="78">
        <f>IFERROR(Y198*I198/H198,"0")</f>
        <v>1.36</v>
      </c>
      <c r="BO198" s="78">
        <f>IFERROR(1/J198*(X198/H198),"0")</f>
        <v>4.6296296296296294E-3</v>
      </c>
      <c r="BP198" s="78">
        <f>IFERROR(1/J198*(Y198/H198),"0")</f>
        <v>4.6296296296296294E-3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2</v>
      </c>
      <c r="Y199" s="43">
        <f>IFERROR(Y197/H197,"0")+IFERROR(Y198/H198,"0")</f>
        <v>2</v>
      </c>
      <c r="Z199" s="43">
        <f>IFERROR(IF(Z197="",0,Z197),"0")+IFERROR(IF(Z198="",0,Z198),"0")</f>
        <v>1.18E-2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2.16</v>
      </c>
      <c r="Y200" s="43">
        <f>IFERROR(SUM(Y197:Y198),"0")</f>
        <v>2.16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25.2</v>
      </c>
      <c r="Y223" s="55">
        <f t="shared" ref="Y223:Y236" si="21">IFERROR(IF(X223="",0,CEILING((X223/$H223),1)*$H223),"")</f>
        <v>25.200000000000003</v>
      </c>
      <c r="Z223" s="41">
        <f>IFERROR(IF(Y223=0,"",ROUNDUP(Y223/H223,0)*0.00902),"")</f>
        <v>5.4120000000000001E-2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26.7</v>
      </c>
      <c r="BN223" s="78">
        <f t="shared" ref="BN223:BN236" si="23">IFERROR(Y223*I223/H223,"0")</f>
        <v>26.700000000000003</v>
      </c>
      <c r="BO223" s="78">
        <f t="shared" ref="BO223:BO236" si="24">IFERROR(1/J223*(X223/H223),"0")</f>
        <v>4.5454545454545456E-2</v>
      </c>
      <c r="BP223" s="78">
        <f t="shared" ref="BP223:BP236" si="25">IFERROR(1/J223*(Y223/H223),"0")</f>
        <v>4.5454545454545456E-2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21</v>
      </c>
      <c r="Y224" s="55">
        <f t="shared" si="21"/>
        <v>21</v>
      </c>
      <c r="Z224" s="41">
        <f>IFERROR(IF(Y224=0,"",ROUNDUP(Y224/H224,0)*0.00902),"")</f>
        <v>4.5100000000000001E-2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22.25</v>
      </c>
      <c r="BN224" s="78">
        <f t="shared" si="23"/>
        <v>22.25</v>
      </c>
      <c r="BO224" s="78">
        <f t="shared" si="24"/>
        <v>3.787878787878788E-2</v>
      </c>
      <c r="BP224" s="78">
        <f t="shared" si="25"/>
        <v>3.787878787878788E-2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25.2</v>
      </c>
      <c r="Y225" s="55">
        <f t="shared" si="21"/>
        <v>25.200000000000003</v>
      </c>
      <c r="Z225" s="41">
        <f>IFERROR(IF(Y225=0,"",ROUNDUP(Y225/H225,0)*0.00902),"")</f>
        <v>5.4120000000000001E-2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26.339999999999996</v>
      </c>
      <c r="BN225" s="78">
        <f t="shared" si="23"/>
        <v>26.34</v>
      </c>
      <c r="BO225" s="78">
        <f t="shared" si="24"/>
        <v>4.5454545454545456E-2</v>
      </c>
      <c r="BP225" s="78">
        <f t="shared" si="25"/>
        <v>4.5454545454545456E-2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9</v>
      </c>
      <c r="Y228" s="55">
        <f t="shared" si="21"/>
        <v>9</v>
      </c>
      <c r="Z228" s="41">
        <f t="shared" si="26"/>
        <v>2.5100000000000001E-2</v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9.4999999999999982</v>
      </c>
      <c r="BN228" s="78">
        <f t="shared" si="23"/>
        <v>9.4999999999999982</v>
      </c>
      <c r="BO228" s="78">
        <f t="shared" si="24"/>
        <v>2.1367521367521368E-2</v>
      </c>
      <c r="BP228" s="78">
        <f t="shared" si="25"/>
        <v>2.1367521367521368E-2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10.5</v>
      </c>
      <c r="Y229" s="55">
        <f t="shared" si="21"/>
        <v>10.5</v>
      </c>
      <c r="Z229" s="41">
        <f t="shared" si="26"/>
        <v>2.5100000000000001E-2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11.149999999999999</v>
      </c>
      <c r="BN229" s="78">
        <f t="shared" si="23"/>
        <v>11.149999999999999</v>
      </c>
      <c r="BO229" s="78">
        <f t="shared" si="24"/>
        <v>2.1367521367521368E-2</v>
      </c>
      <c r="BP229" s="78">
        <f t="shared" si="25"/>
        <v>2.1367521367521368E-2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/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10.5</v>
      </c>
      <c r="Y231" s="55">
        <f t="shared" si="21"/>
        <v>10.5</v>
      </c>
      <c r="Z231" s="41">
        <f t="shared" si="26"/>
        <v>2.5100000000000001E-2</v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11</v>
      </c>
      <c r="BN231" s="78">
        <f t="shared" si="23"/>
        <v>11</v>
      </c>
      <c r="BO231" s="78">
        <f t="shared" si="24"/>
        <v>2.1367521367521368E-2</v>
      </c>
      <c r="BP231" s="78">
        <f t="shared" si="25"/>
        <v>2.1367521367521368E-2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9</v>
      </c>
      <c r="Y232" s="55">
        <f t="shared" si="21"/>
        <v>9</v>
      </c>
      <c r="Z232" s="41">
        <f t="shared" si="26"/>
        <v>2.5100000000000001E-2</v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9.65</v>
      </c>
      <c r="BN232" s="78">
        <f t="shared" si="23"/>
        <v>9.65</v>
      </c>
      <c r="BO232" s="78">
        <f t="shared" si="24"/>
        <v>2.1367521367521368E-2</v>
      </c>
      <c r="BP232" s="78">
        <f t="shared" si="25"/>
        <v>2.1367521367521368E-2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10.5</v>
      </c>
      <c r="Y234" s="55">
        <f t="shared" si="21"/>
        <v>10.5</v>
      </c>
      <c r="Z234" s="41">
        <f>IFERROR(IF(Y234=0,"",ROUNDUP(Y234/H234,0)*0.00502),"")</f>
        <v>2.5100000000000001E-2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11</v>
      </c>
      <c r="BN234" s="78">
        <f t="shared" si="23"/>
        <v>11</v>
      </c>
      <c r="BO234" s="78">
        <f t="shared" si="24"/>
        <v>2.1367521367521368E-2</v>
      </c>
      <c r="BP234" s="78">
        <f t="shared" si="25"/>
        <v>2.1367521367521368E-2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42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42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0.27884000000000003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120.9</v>
      </c>
      <c r="Y238" s="43">
        <f>IFERROR(SUM(Y223:Y236),"0")</f>
        <v>120.9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2.16</v>
      </c>
      <c r="Y242" s="55">
        <f>IFERROR(IF(X242="",0,CEILING((X242/$H242),1)*$H242),"")</f>
        <v>2.16</v>
      </c>
      <c r="Z242" s="41">
        <f>IFERROR(IF(Y242=0,"",ROUNDUP(Y242/H242,0)*0.00902),"")</f>
        <v>9.0200000000000002E-3</v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2.4220000000000002</v>
      </c>
      <c r="BN242" s="78">
        <f>IFERROR(Y242*I242/H242,"0")</f>
        <v>2.4220000000000002</v>
      </c>
      <c r="BO242" s="78">
        <f>IFERROR(1/J242*(X242/H242),"0")</f>
        <v>7.575757575757576E-3</v>
      </c>
      <c r="BP242" s="78">
        <f>IFERROR(1/J242*(Y242/H242),"0")</f>
        <v>7.575757575757576E-3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1.92</v>
      </c>
      <c r="Y243" s="55">
        <f>IFERROR(IF(X243="",0,CEILING((X243/$H243),1)*$H243),"")</f>
        <v>1.92</v>
      </c>
      <c r="Z243" s="41">
        <f>IFERROR(IF(Y243=0,"",ROUNDUP(Y243/H243,0)*0.00902),"")</f>
        <v>9.0200000000000002E-3</v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2.1819999999999999</v>
      </c>
      <c r="BN243" s="78">
        <f>IFERROR(Y243*I243/H243,"0")</f>
        <v>2.1819999999999999</v>
      </c>
      <c r="BO243" s="78">
        <f>IFERROR(1/J243*(X243/H243),"0")</f>
        <v>7.575757575757576E-3</v>
      </c>
      <c r="BP243" s="78">
        <f>IFERROR(1/J243*(Y243/H243),"0")</f>
        <v>7.575757575757576E-3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2.16</v>
      </c>
      <c r="Y244" s="55">
        <f>IFERROR(IF(X244="",0,CEILING((X244/$H244),1)*$H244),"")</f>
        <v>2.16</v>
      </c>
      <c r="Z244" s="41">
        <f>IFERROR(IF(Y244=0,"",ROUNDUP(Y244/H244,0)*0.00902),"")</f>
        <v>9.0200000000000002E-3</v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2.4220000000000002</v>
      </c>
      <c r="BN244" s="78">
        <f>IFERROR(Y244*I244/H244,"0")</f>
        <v>2.4220000000000002</v>
      </c>
      <c r="BO244" s="78">
        <f>IFERROR(1/J244*(X244/H244),"0")</f>
        <v>7.575757575757576E-3</v>
      </c>
      <c r="BP244" s="78">
        <f>IFERROR(1/J244*(Y244/H244),"0")</f>
        <v>7.575757575757576E-3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3</v>
      </c>
      <c r="Y245" s="43">
        <f>IFERROR(Y240/H240,"0")+IFERROR(Y241/H241,"0")+IFERROR(Y242/H242,"0")+IFERROR(Y243/H243,"0")+IFERROR(Y244/H244,"0")</f>
        <v>3</v>
      </c>
      <c r="Z245" s="43">
        <f>IFERROR(IF(Z240="",0,Z240),"0")+IFERROR(IF(Z241="",0,Z241),"0")+IFERROR(IF(Z242="",0,Z242),"0")+IFERROR(IF(Z243="",0,Z243),"0")+IFERROR(IF(Z244="",0,Z244),"0")</f>
        <v>2.7060000000000001E-2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6.24</v>
      </c>
      <c r="Y246" s="43">
        <f>IFERROR(SUM(Y240:Y244),"0")</f>
        <v>6.24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27</v>
      </c>
      <c r="Y269" s="55">
        <f t="shared" ref="Y269:Y276" si="27">IFERROR(IF(X269="",0,CEILING((X269/$H269),1)*$H269),"")</f>
        <v>27</v>
      </c>
      <c r="Z269" s="41">
        <f>IFERROR(IF(Y269=0,"",ROUNDUP(Y269/H269,0)*0.00902),"")</f>
        <v>4.5100000000000001E-2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27.95</v>
      </c>
      <c r="BN269" s="78">
        <f t="shared" ref="BN269:BN276" si="29">IFERROR(Y269*I269/H269,"0")</f>
        <v>27.95</v>
      </c>
      <c r="BO269" s="78">
        <f t="shared" ref="BO269:BO276" si="30">IFERROR(1/J269*(X269/H269),"0")</f>
        <v>3.787878787878788E-2</v>
      </c>
      <c r="BP269" s="78">
        <f t="shared" ref="BP269:BP276" si="31">IFERROR(1/J269*(Y269/H269),"0")</f>
        <v>3.787878787878788E-2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27</v>
      </c>
      <c r="Y270" s="55">
        <f t="shared" si="27"/>
        <v>27</v>
      </c>
      <c r="Z270" s="41">
        <f>IFERROR(IF(Y270=0,"",ROUNDUP(Y270/H270,0)*0.00902),"")</f>
        <v>4.5100000000000001E-2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27.95</v>
      </c>
      <c r="BN270" s="78">
        <f t="shared" si="29"/>
        <v>27.95</v>
      </c>
      <c r="BO270" s="78">
        <f t="shared" si="30"/>
        <v>3.787878787878788E-2</v>
      </c>
      <c r="BP270" s="78">
        <f t="shared" si="31"/>
        <v>3.787878787878788E-2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27</v>
      </c>
      <c r="Y271" s="55">
        <f t="shared" si="27"/>
        <v>27</v>
      </c>
      <c r="Z271" s="41">
        <f>IFERROR(IF(Y271=0,"",ROUNDUP(Y271/H271,0)*0.00902),"")</f>
        <v>4.5100000000000001E-2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27.95</v>
      </c>
      <c r="BN271" s="78">
        <f t="shared" si="29"/>
        <v>27.95</v>
      </c>
      <c r="BO271" s="78">
        <f t="shared" si="30"/>
        <v>3.787878787878788E-2</v>
      </c>
      <c r="BP271" s="78">
        <f t="shared" si="31"/>
        <v>3.787878787878788E-2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27</v>
      </c>
      <c r="Y272" s="55">
        <f t="shared" si="27"/>
        <v>27</v>
      </c>
      <c r="Z272" s="41">
        <f>IFERROR(IF(Y272=0,"",ROUNDUP(Y272/H272,0)*0.00902),"")</f>
        <v>4.5100000000000001E-2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27.95</v>
      </c>
      <c r="BN272" s="78">
        <f t="shared" si="29"/>
        <v>27.95</v>
      </c>
      <c r="BO272" s="78">
        <f t="shared" si="30"/>
        <v>3.787878787878788E-2</v>
      </c>
      <c r="BP272" s="78">
        <f t="shared" si="31"/>
        <v>3.787878787878788E-2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9</v>
      </c>
      <c r="Y273" s="55">
        <f t="shared" si="27"/>
        <v>9</v>
      </c>
      <c r="Z273" s="41">
        <f>IFERROR(IF(Y273=0,"",ROUNDUP(Y273/H273,0)*0.00502),"")</f>
        <v>2.5100000000000001E-2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9.65</v>
      </c>
      <c r="BN273" s="78">
        <f t="shared" si="29"/>
        <v>9.65</v>
      </c>
      <c r="BO273" s="78">
        <f t="shared" si="30"/>
        <v>2.1367521367521368E-2</v>
      </c>
      <c r="BP273" s="78">
        <f t="shared" si="31"/>
        <v>2.1367521367521368E-2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9</v>
      </c>
      <c r="Y274" s="55">
        <f t="shared" si="27"/>
        <v>9</v>
      </c>
      <c r="Z274" s="41">
        <f>IFERROR(IF(Y274=0,"",ROUNDUP(Y274/H274,0)*0.00502),"")</f>
        <v>2.5100000000000001E-2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9.4999999999999982</v>
      </c>
      <c r="BN274" s="78">
        <f t="shared" si="29"/>
        <v>9.4999999999999982</v>
      </c>
      <c r="BO274" s="78">
        <f t="shared" si="30"/>
        <v>2.1367521367521368E-2</v>
      </c>
      <c r="BP274" s="78">
        <f t="shared" si="31"/>
        <v>2.1367521367521368E-2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9</v>
      </c>
      <c r="Y275" s="55">
        <f t="shared" si="27"/>
        <v>9</v>
      </c>
      <c r="Z275" s="41">
        <f>IFERROR(IF(Y275=0,"",ROUNDUP(Y275/H275,0)*0.00502),"")</f>
        <v>2.5100000000000001E-2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9.4999999999999982</v>
      </c>
      <c r="BN275" s="78">
        <f t="shared" si="29"/>
        <v>9.4999999999999982</v>
      </c>
      <c r="BO275" s="78">
        <f t="shared" si="30"/>
        <v>2.1367521367521368E-2</v>
      </c>
      <c r="BP275" s="78">
        <f t="shared" si="31"/>
        <v>2.1367521367521368E-2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9</v>
      </c>
      <c r="Y276" s="55">
        <f t="shared" si="27"/>
        <v>9</v>
      </c>
      <c r="Z276" s="41">
        <f>IFERROR(IF(Y276=0,"",ROUNDUP(Y276/H276,0)*0.00502),"")</f>
        <v>2.5100000000000001E-2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9.4999999999999982</v>
      </c>
      <c r="BN276" s="78">
        <f t="shared" si="29"/>
        <v>9.4999999999999982</v>
      </c>
      <c r="BO276" s="78">
        <f t="shared" si="30"/>
        <v>2.1367521367521368E-2</v>
      </c>
      <c r="BP276" s="78">
        <f t="shared" si="31"/>
        <v>2.1367521367521368E-2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40</v>
      </c>
      <c r="Y277" s="43">
        <f>IFERROR(Y269/H269,"0")+IFERROR(Y270/H270,"0")+IFERROR(Y271/H271,"0")+IFERROR(Y272/H272,"0")+IFERROR(Y273/H273,"0")+IFERROR(Y274/H274,"0")+IFERROR(Y275/H275,"0")+IFERROR(Y276/H276,"0")</f>
        <v>40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0.28080000000000005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144</v>
      </c>
      <c r="Y278" s="43">
        <f>IFERROR(SUM(Y269:Y276),"0")</f>
        <v>144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24.3</v>
      </c>
      <c r="Y280" s="55">
        <f t="shared" ref="Y280:Y291" si="32">IFERROR(IF(X280="",0,CEILING((X280/$H280),1)*$H280),"")</f>
        <v>24.299999999999997</v>
      </c>
      <c r="Z280" s="41">
        <f>IFERROR(IF(Y280=0,"",ROUNDUP(Y280/H280,0)*0.01898),"")</f>
        <v>5.6940000000000004E-2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25.782</v>
      </c>
      <c r="BN280" s="78">
        <f t="shared" ref="BN280:BN291" si="34">IFERROR(Y280*I280/H280,"0")</f>
        <v>25.781999999999996</v>
      </c>
      <c r="BO280" s="78">
        <f t="shared" ref="BO280:BO291" si="35">IFERROR(1/J280*(X280/H280),"0")</f>
        <v>4.6875E-2</v>
      </c>
      <c r="BP280" s="78">
        <f t="shared" ref="BP280:BP291" si="36">IFERROR(1/J280*(Y280/H280),"0")</f>
        <v>4.6875E-2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24.3</v>
      </c>
      <c r="Y281" s="55">
        <f t="shared" si="32"/>
        <v>24.299999999999997</v>
      </c>
      <c r="Z281" s="41">
        <f>IFERROR(IF(Y281=0,"",ROUNDUP(Y281/H281,0)*0.01898),"")</f>
        <v>5.6940000000000004E-2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25.728000000000002</v>
      </c>
      <c r="BN281" s="78">
        <f t="shared" si="34"/>
        <v>25.727999999999998</v>
      </c>
      <c r="BO281" s="78">
        <f t="shared" si="35"/>
        <v>4.6875E-2</v>
      </c>
      <c r="BP281" s="78">
        <f t="shared" si="36"/>
        <v>4.6875E-2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26.1</v>
      </c>
      <c r="Y282" s="55">
        <f t="shared" si="32"/>
        <v>26.099999999999998</v>
      </c>
      <c r="Z282" s="41">
        <f>IFERROR(IF(Y282=0,"",ROUNDUP(Y282/H282,0)*0.01898),"")</f>
        <v>5.6940000000000004E-2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27.582000000000008</v>
      </c>
      <c r="BN282" s="78">
        <f t="shared" si="34"/>
        <v>27.582000000000004</v>
      </c>
      <c r="BO282" s="78">
        <f t="shared" si="35"/>
        <v>4.6875000000000007E-2</v>
      </c>
      <c r="BP282" s="78">
        <f t="shared" si="36"/>
        <v>4.6875E-2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2.4</v>
      </c>
      <c r="Y283" s="55">
        <f t="shared" si="32"/>
        <v>2.4</v>
      </c>
      <c r="Z283" s="41">
        <f>IFERROR(IF(Y283=0,"",ROUNDUP(Y283/H283,0)*0.00651),"")</f>
        <v>6.5100000000000002E-3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2.67</v>
      </c>
      <c r="BN283" s="78">
        <f t="shared" si="34"/>
        <v>2.67</v>
      </c>
      <c r="BO283" s="78">
        <f t="shared" si="35"/>
        <v>5.4945054945054949E-3</v>
      </c>
      <c r="BP283" s="78">
        <f t="shared" si="36"/>
        <v>5.4945054945054949E-3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2.4</v>
      </c>
      <c r="Y286" s="55">
        <f t="shared" si="32"/>
        <v>2.4</v>
      </c>
      <c r="Z286" s="41">
        <f>IFERROR(IF(Y286=0,"",ROUNDUP(Y286/H286,0)*0.00651),"")</f>
        <v>6.5100000000000002E-3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2.6520000000000001</v>
      </c>
      <c r="BN286" s="78">
        <f t="shared" si="34"/>
        <v>2.6520000000000001</v>
      </c>
      <c r="BO286" s="78">
        <f t="shared" si="35"/>
        <v>5.4945054945054949E-3</v>
      </c>
      <c r="BP286" s="78">
        <f t="shared" si="36"/>
        <v>5.4945054945054949E-3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2.4</v>
      </c>
      <c r="Y288" s="55">
        <f t="shared" si="32"/>
        <v>2.4</v>
      </c>
      <c r="Z288" s="41">
        <f>IFERROR(IF(Y288=0,"",ROUNDUP(Y288/H288,0)*0.00651),"")</f>
        <v>6.5100000000000002E-3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2.6520000000000001</v>
      </c>
      <c r="BN288" s="78">
        <f t="shared" si="34"/>
        <v>2.6520000000000001</v>
      </c>
      <c r="BO288" s="78">
        <f t="shared" si="35"/>
        <v>5.4945054945054949E-3</v>
      </c>
      <c r="BP288" s="78">
        <f t="shared" si="36"/>
        <v>5.4945054945054949E-3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2.4</v>
      </c>
      <c r="Y289" s="55">
        <f t="shared" si="32"/>
        <v>2.4</v>
      </c>
      <c r="Z289" s="41">
        <f>IFERROR(IF(Y289=0,"",ROUNDUP(Y289/H289,0)*0.00651),"")</f>
        <v>6.5100000000000002E-3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2.6520000000000001</v>
      </c>
      <c r="BN289" s="78">
        <f t="shared" si="34"/>
        <v>2.6520000000000001</v>
      </c>
      <c r="BO289" s="78">
        <f t="shared" si="35"/>
        <v>5.4945054945054949E-3</v>
      </c>
      <c r="BP289" s="78">
        <f t="shared" si="36"/>
        <v>5.4945054945054949E-3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2.4</v>
      </c>
      <c r="Y290" s="55">
        <f t="shared" si="32"/>
        <v>2.4</v>
      </c>
      <c r="Z290" s="41">
        <f>IFERROR(IF(Y290=0,"",ROUNDUP(Y290/H290,0)*0.00651),"")</f>
        <v>6.5100000000000002E-3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2.6579999999999999</v>
      </c>
      <c r="BN290" s="78">
        <f t="shared" si="34"/>
        <v>2.6579999999999999</v>
      </c>
      <c r="BO290" s="78">
        <f t="shared" si="35"/>
        <v>5.4945054945054949E-3</v>
      </c>
      <c r="BP290" s="78">
        <f t="shared" si="36"/>
        <v>5.4945054945054949E-3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2.4</v>
      </c>
      <c r="Y291" s="55">
        <f t="shared" si="32"/>
        <v>2.4</v>
      </c>
      <c r="Z291" s="41">
        <f>IFERROR(IF(Y291=0,"",ROUNDUP(Y291/H291,0)*0.00651),"")</f>
        <v>6.5100000000000002E-3</v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2.6520000000000001</v>
      </c>
      <c r="BN291" s="78">
        <f t="shared" si="34"/>
        <v>2.6520000000000001</v>
      </c>
      <c r="BO291" s="78">
        <f t="shared" si="35"/>
        <v>5.4945054945054949E-3</v>
      </c>
      <c r="BP291" s="78">
        <f t="shared" si="36"/>
        <v>5.4945054945054949E-3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15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0.20987999999999996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89.100000000000037</v>
      </c>
      <c r="Y293" s="43">
        <f>IFERROR(SUM(Y280:Y291),"0")</f>
        <v>89.100000000000023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/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54</v>
      </c>
      <c r="Y327" s="55">
        <f>IFERROR(IF(X327="",0,CEILING((X327/$H327),1)*$H327),"")</f>
        <v>54</v>
      </c>
      <c r="Z327" s="41">
        <f>IFERROR(IF(Y327=0,"",ROUNDUP(Y327/H327,0)*0.01898),"")</f>
        <v>9.4899999999999998E-2</v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56.05</v>
      </c>
      <c r="BN327" s="78">
        <f>IFERROR(Y327*I327/H327,"0")</f>
        <v>56.05</v>
      </c>
      <c r="BO327" s="78">
        <f>IFERROR(1/J327*(X327/H327),"0")</f>
        <v>7.8125E-2</v>
      </c>
      <c r="BP327" s="78">
        <f>IFERROR(1/J327*(Y327/H327),"0")</f>
        <v>7.8125E-2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15</v>
      </c>
      <c r="Y331" s="43">
        <f>IFERROR(Y326/H326,"0")+IFERROR(Y327/H327,"0")+IFERROR(Y328/H328,"0")+IFERROR(Y329/H329,"0")+IFERROR(Y330/H330,"0")</f>
        <v>15</v>
      </c>
      <c r="Z331" s="43">
        <f>IFERROR(IF(Z326="",0,Z326),"0")+IFERROR(IF(Z327="",0,Z327),"0")+IFERROR(IF(Z328="",0,Z328),"0")+IFERROR(IF(Z329="",0,Z329),"0")+IFERROR(IF(Z330="",0,Z330),"0")</f>
        <v>0.28470000000000001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162</v>
      </c>
      <c r="Y332" s="43">
        <f>IFERROR(SUM(Y326:Y330),"0")</f>
        <v>162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7.2</v>
      </c>
      <c r="Y336" s="55">
        <f>IFERROR(IF(X336="",0,CEILING((X336/$H336),1)*$H336),"")</f>
        <v>7.1999999999999993</v>
      </c>
      <c r="Z336" s="41">
        <f>IFERROR(IF(Y336=0,"",ROUNDUP(Y336/H336,0)*0.00651),"")</f>
        <v>1.9529999999999999E-2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7.9560000000000004</v>
      </c>
      <c r="BN336" s="78">
        <f>IFERROR(Y336*I336/H336,"0")</f>
        <v>7.9560000000000004</v>
      </c>
      <c r="BO336" s="78">
        <f>IFERROR(1/J336*(X336/H336),"0")</f>
        <v>1.6483516483516484E-2</v>
      </c>
      <c r="BP336" s="78">
        <f>IFERROR(1/J336*(Y336/H336),"0")</f>
        <v>1.6483516483516484E-2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7.2</v>
      </c>
      <c r="Y337" s="55">
        <f>IFERROR(IF(X337="",0,CEILING((X337/$H337),1)*$H337),"")</f>
        <v>7.1999999999999993</v>
      </c>
      <c r="Z337" s="41">
        <f>IFERROR(IF(Y337=0,"",ROUNDUP(Y337/H337,0)*0.00651),"")</f>
        <v>1.9529999999999999E-2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7.74</v>
      </c>
      <c r="BN337" s="78">
        <f>IFERROR(Y337*I337/H337,"0")</f>
        <v>7.7399999999999993</v>
      </c>
      <c r="BO337" s="78">
        <f>IFERROR(1/J337*(X337/H337),"0")</f>
        <v>1.6483516483516484E-2</v>
      </c>
      <c r="BP337" s="78">
        <f>IFERROR(1/J337*(Y337/H337),"0")</f>
        <v>1.6483516483516484E-2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6</v>
      </c>
      <c r="Y338" s="43">
        <f>IFERROR(Y335/H335,"0")+IFERROR(Y336/H336,"0")+IFERROR(Y337/H337,"0")</f>
        <v>6</v>
      </c>
      <c r="Z338" s="43">
        <f>IFERROR(IF(Z335="",0,Z335),"0")+IFERROR(IF(Z336="",0,Z336),"0")+IFERROR(IF(Z337="",0,Z337),"0")</f>
        <v>3.9059999999999997E-2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14.4</v>
      </c>
      <c r="Y339" s="43">
        <f>IFERROR(SUM(Y335:Y337),"0")</f>
        <v>14.399999999999999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10.5</v>
      </c>
      <c r="Y342" s="55">
        <f>IFERROR(IF(X342="",0,CEILING((X342/$H342),1)*$H342),"")</f>
        <v>10.5</v>
      </c>
      <c r="Z342" s="41">
        <f>IFERROR(IF(Y342=0,"",ROUNDUP(Y342/H342,0)*0.00502),"")</f>
        <v>2.5100000000000001E-2</v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11.149999999999999</v>
      </c>
      <c r="BN342" s="78">
        <f>IFERROR(Y342*I342/H342,"0")</f>
        <v>11.149999999999999</v>
      </c>
      <c r="BO342" s="78">
        <f>IFERROR(1/J342*(X342/H342),"0")</f>
        <v>2.1367521367521368E-2</v>
      </c>
      <c r="BP342" s="78">
        <f>IFERROR(1/J342*(Y342/H342),"0")</f>
        <v>2.1367521367521368E-2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2.3199999999999998</v>
      </c>
      <c r="Y343" s="55">
        <f>IFERROR(IF(X343="",0,CEILING((X343/$H343),1)*$H343),"")</f>
        <v>2.3199999999999998</v>
      </c>
      <c r="Z343" s="41">
        <f>IFERROR(IF(Y343=0,"",ROUNDUP(Y343/H343,0)*0.00502),"")</f>
        <v>5.0200000000000002E-3</v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2.42</v>
      </c>
      <c r="BN343" s="78">
        <f>IFERROR(Y343*I343/H343,"0")</f>
        <v>2.42</v>
      </c>
      <c r="BO343" s="78">
        <f>IFERROR(1/J343*(X343/H343),"0")</f>
        <v>4.2735042735042739E-3</v>
      </c>
      <c r="BP343" s="78">
        <f>IFERROR(1/J343*(Y343/H343),"0")</f>
        <v>4.2735042735042739E-3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8.4</v>
      </c>
      <c r="Y344" s="55">
        <f>IFERROR(IF(X344="",0,CEILING((X344/$H344),1)*$H344),"")</f>
        <v>8.4</v>
      </c>
      <c r="Z344" s="41">
        <f>IFERROR(IF(Y344=0,"",ROUNDUP(Y344/H344,0)*0.00502),"")</f>
        <v>2.5100000000000001E-2</v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8.9000000000000021</v>
      </c>
      <c r="BN344" s="78">
        <f>IFERROR(Y344*I344/H344,"0")</f>
        <v>8.9000000000000021</v>
      </c>
      <c r="BO344" s="78">
        <f>IFERROR(1/J344*(X344/H344),"0")</f>
        <v>2.1367521367521368E-2</v>
      </c>
      <c r="BP344" s="78">
        <f>IFERROR(1/J344*(Y344/H344),"0")</f>
        <v>2.1367521367521368E-2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12</v>
      </c>
      <c r="Y345" s="55">
        <f>IFERROR(IF(X345="",0,CEILING((X345/$H345),1)*$H345),"")</f>
        <v>12</v>
      </c>
      <c r="Z345" s="41">
        <f>IFERROR(IF(Y345=0,"",ROUNDUP(Y345/H345,0)*0.00651),"")</f>
        <v>3.2550000000000003E-2</v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12.9</v>
      </c>
      <c r="BN345" s="78">
        <f>IFERROR(Y345*I345/H345,"0")</f>
        <v>12.9</v>
      </c>
      <c r="BO345" s="78">
        <f>IFERROR(1/J345*(X345/H345),"0")</f>
        <v>2.7472527472527476E-2</v>
      </c>
      <c r="BP345" s="78">
        <f>IFERROR(1/J345*(Y345/H345),"0")</f>
        <v>2.7472527472527476E-2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8.4</v>
      </c>
      <c r="Y346" s="55">
        <f>IFERROR(IF(X346="",0,CEILING((X346/$H346),1)*$H346),"")</f>
        <v>8.4</v>
      </c>
      <c r="Z346" s="41">
        <f>IFERROR(IF(Y346=0,"",ROUNDUP(Y346/H346,0)*0.00502),"")</f>
        <v>2.5100000000000001E-2</v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12.5</v>
      </c>
      <c r="BN346" s="78">
        <f>IFERROR(Y346*I346/H346,"0")</f>
        <v>12.5</v>
      </c>
      <c r="BO346" s="78">
        <f>IFERROR(1/J346*(X346/H346),"0")</f>
        <v>2.1367521367521368E-2</v>
      </c>
      <c r="BP346" s="78">
        <f>IFERROR(1/J346*(Y346/H346),"0")</f>
        <v>2.1367521367521368E-2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21</v>
      </c>
      <c r="Y347" s="43">
        <f>IFERROR(Y342/H342,"0")+IFERROR(Y343/H343,"0")+IFERROR(Y344/H344,"0")+IFERROR(Y345/H345,"0")+IFERROR(Y346/H346,"0")</f>
        <v>21</v>
      </c>
      <c r="Z347" s="43">
        <f>IFERROR(IF(Z342="",0,Z342),"0")+IFERROR(IF(Z343="",0,Z343),"0")+IFERROR(IF(Z344="",0,Z344),"0")+IFERROR(IF(Z345="",0,Z345),"0")+IFERROR(IF(Z346="",0,Z346),"0")</f>
        <v>0.11287000000000001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41.62</v>
      </c>
      <c r="Y348" s="43">
        <f>IFERROR(SUM(Y342:Y346),"0")</f>
        <v>41.62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23.4</v>
      </c>
      <c r="Y356" s="55">
        <f>IFERROR(IF(X356="",0,CEILING((X356/$H356),1)*$H356),"")</f>
        <v>23.4</v>
      </c>
      <c r="Z356" s="41">
        <f>IFERROR(IF(Y356=0,"",ROUNDUP(Y356/H356,0)*0.01898),"")</f>
        <v>5.6940000000000004E-2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24.630000000000003</v>
      </c>
      <c r="BN356" s="78">
        <f>IFERROR(Y356*I356/H356,"0")</f>
        <v>24.630000000000003</v>
      </c>
      <c r="BO356" s="78">
        <f>IFERROR(1/J356*(X356/H356),"0")</f>
        <v>4.6875E-2</v>
      </c>
      <c r="BP356" s="78">
        <f>IFERROR(1/J356*(Y356/H356),"0")</f>
        <v>4.6875E-2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23.4</v>
      </c>
      <c r="Y357" s="55">
        <f>IFERROR(IF(X357="",0,CEILING((X357/$H357),1)*$H357),"")</f>
        <v>23.4</v>
      </c>
      <c r="Z357" s="41">
        <f>IFERROR(IF(Y357=0,"",ROUNDUP(Y357/H357,0)*0.01898),"")</f>
        <v>5.6940000000000004E-2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24.630000000000003</v>
      </c>
      <c r="BN357" s="78">
        <f>IFERROR(Y357*I357/H357,"0")</f>
        <v>24.630000000000003</v>
      </c>
      <c r="BO357" s="78">
        <f>IFERROR(1/J357*(X357/H357),"0")</f>
        <v>4.6875E-2</v>
      </c>
      <c r="BP357" s="78">
        <f>IFERROR(1/J357*(Y357/H357),"0")</f>
        <v>4.6875E-2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23.4</v>
      </c>
      <c r="Y358" s="55">
        <f>IFERROR(IF(X358="",0,CEILING((X358/$H358),1)*$H358),"")</f>
        <v>23.4</v>
      </c>
      <c r="Z358" s="41">
        <f>IFERROR(IF(Y358=0,"",ROUNDUP(Y358/H358,0)*0.01898),"")</f>
        <v>5.6940000000000004E-2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24.630000000000003</v>
      </c>
      <c r="BN358" s="78">
        <f>IFERROR(Y358*I358/H358,"0")</f>
        <v>24.630000000000003</v>
      </c>
      <c r="BO358" s="78">
        <f>IFERROR(1/J358*(X358/H358),"0")</f>
        <v>4.6875E-2</v>
      </c>
      <c r="BP358" s="78">
        <f>IFERROR(1/J358*(Y358/H358),"0")</f>
        <v>4.6875E-2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9</v>
      </c>
      <c r="Y359" s="43">
        <f>IFERROR(Y356/H356,"0")+IFERROR(Y357/H357,"0")+IFERROR(Y358/H358,"0")</f>
        <v>9</v>
      </c>
      <c r="Z359" s="43">
        <f>IFERROR(IF(Z356="",0,Z356),"0")+IFERROR(IF(Z357="",0,Z357),"0")+IFERROR(IF(Z358="",0,Z358),"0")</f>
        <v>0.17082000000000003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70.199999999999989</v>
      </c>
      <c r="Y360" s="43">
        <f>IFERROR(SUM(Y356:Y358),"0")</f>
        <v>70.199999999999989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324</v>
      </c>
      <c r="Y363" s="55">
        <f t="shared" ref="Y363:Y368" si="42">IFERROR(IF(X363="",0,CEILING((X363/$H363),1)*$H363),"")</f>
        <v>324</v>
      </c>
      <c r="Z363" s="41">
        <f>IFERROR(IF(Y363=0,"",ROUNDUP(Y363/H363,0)*0.01898),"")</f>
        <v>0.56940000000000002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336.3</v>
      </c>
      <c r="BN363" s="78">
        <f t="shared" ref="BN363:BN368" si="44">IFERROR(Y363*I363/H363,"0")</f>
        <v>336.3</v>
      </c>
      <c r="BO363" s="78">
        <f t="shared" ref="BO363:BO368" si="45">IFERROR(1/J363*(X363/H363),"0")</f>
        <v>0.46874999999999994</v>
      </c>
      <c r="BP363" s="78">
        <f t="shared" ref="BP363:BP368" si="46">IFERROR(1/J363*(Y363/H363),"0")</f>
        <v>0.46874999999999994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108</v>
      </c>
      <c r="Y364" s="55">
        <f t="shared" si="42"/>
        <v>108</v>
      </c>
      <c r="Z364" s="41">
        <f>IFERROR(IF(Y364=0,"",ROUNDUP(Y364/H364,0)*0.01898),"")</f>
        <v>0.1898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112.1</v>
      </c>
      <c r="BN364" s="78">
        <f t="shared" si="44"/>
        <v>112.1</v>
      </c>
      <c r="BO364" s="78">
        <f t="shared" si="45"/>
        <v>0.15625</v>
      </c>
      <c r="BP364" s="78">
        <f t="shared" si="46"/>
        <v>0.15625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108</v>
      </c>
      <c r="Y365" s="55">
        <f t="shared" si="42"/>
        <v>108</v>
      </c>
      <c r="Z365" s="41">
        <f>IFERROR(IF(Y365=0,"",ROUNDUP(Y365/H365,0)*0.01898),"")</f>
        <v>0.1898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112.1</v>
      </c>
      <c r="BN365" s="78">
        <f t="shared" si="44"/>
        <v>112.1</v>
      </c>
      <c r="BO365" s="78">
        <f t="shared" si="45"/>
        <v>0.15625</v>
      </c>
      <c r="BP365" s="78">
        <f t="shared" si="46"/>
        <v>0.15625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20</v>
      </c>
      <c r="Y367" s="55">
        <f t="shared" si="42"/>
        <v>20</v>
      </c>
      <c r="Z367" s="41">
        <f>IFERROR(IF(Y367=0,"",ROUNDUP(Y367/H367,0)*0.00902),"")</f>
        <v>4.5100000000000001E-2</v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20.950000000000003</v>
      </c>
      <c r="BN367" s="78">
        <f t="shared" si="44"/>
        <v>20.950000000000003</v>
      </c>
      <c r="BO367" s="78">
        <f t="shared" si="45"/>
        <v>3.787878787878788E-2</v>
      </c>
      <c r="BP367" s="78">
        <f t="shared" si="46"/>
        <v>3.787878787878788E-2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32</v>
      </c>
      <c r="Y368" s="55">
        <f t="shared" si="42"/>
        <v>32</v>
      </c>
      <c r="Z368" s="41">
        <f>IFERROR(IF(Y368=0,"",ROUNDUP(Y368/H368,0)*0.00902),"")</f>
        <v>7.2160000000000002E-2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33.520000000000003</v>
      </c>
      <c r="BN368" s="78">
        <f t="shared" si="44"/>
        <v>33.520000000000003</v>
      </c>
      <c r="BO368" s="78">
        <f t="shared" si="45"/>
        <v>6.0606060606060608E-2</v>
      </c>
      <c r="BP368" s="78">
        <f t="shared" si="46"/>
        <v>6.0606060606060608E-2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63</v>
      </c>
      <c r="Y369" s="43">
        <f>IFERROR(Y363/H363,"0")+IFERROR(Y364/H364,"0")+IFERROR(Y365/H365,"0")+IFERROR(Y366/H366,"0")+IFERROR(Y367/H367,"0")+IFERROR(Y368/H368,"0")</f>
        <v>63</v>
      </c>
      <c r="Z369" s="43">
        <f>IFERROR(IF(Z363="",0,Z363),"0")+IFERROR(IF(Z364="",0,Z364),"0")+IFERROR(IF(Z365="",0,Z365),"0")+IFERROR(IF(Z366="",0,Z366),"0")+IFERROR(IF(Z367="",0,Z367),"0")+IFERROR(IF(Z368="",0,Z368),"0")</f>
        <v>1.06626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592</v>
      </c>
      <c r="Y370" s="43">
        <f>IFERROR(SUM(Y363:Y368),"0")</f>
        <v>592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21.9</v>
      </c>
      <c r="Y374" s="55">
        <f t="shared" si="47"/>
        <v>21.9</v>
      </c>
      <c r="Z374" s="41">
        <f>IFERROR(IF(Y374=0,"",ROUNDUP(Y374/H374,0)*0.00902),"")</f>
        <v>4.5100000000000001E-2</v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23.15</v>
      </c>
      <c r="BN374" s="78">
        <f t="shared" si="49"/>
        <v>23.15</v>
      </c>
      <c r="BO374" s="78">
        <f t="shared" si="50"/>
        <v>3.787878787878788E-2</v>
      </c>
      <c r="BP374" s="78">
        <f t="shared" si="51"/>
        <v>3.787878787878788E-2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21</v>
      </c>
      <c r="Y375" s="55">
        <f t="shared" si="47"/>
        <v>21</v>
      </c>
      <c r="Z375" s="41">
        <f>IFERROR(IF(Y375=0,"",ROUNDUP(Y375/H375,0)*0.00502),"")</f>
        <v>5.0200000000000002E-2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22.299999999999997</v>
      </c>
      <c r="BN375" s="78">
        <f t="shared" si="49"/>
        <v>22.299999999999997</v>
      </c>
      <c r="BO375" s="78">
        <f t="shared" si="50"/>
        <v>4.2735042735042736E-2</v>
      </c>
      <c r="BP375" s="78">
        <f t="shared" si="51"/>
        <v>4.2735042735042736E-2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21</v>
      </c>
      <c r="Y376" s="55">
        <f t="shared" si="47"/>
        <v>21</v>
      </c>
      <c r="Z376" s="41">
        <f>IFERROR(IF(Y376=0,"",ROUNDUP(Y376/H376,0)*0.00502),"")</f>
        <v>5.0200000000000002E-2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22</v>
      </c>
      <c r="BN376" s="78">
        <f t="shared" si="49"/>
        <v>22</v>
      </c>
      <c r="BO376" s="78">
        <f t="shared" si="50"/>
        <v>4.2735042735042736E-2</v>
      </c>
      <c r="BP376" s="78">
        <f t="shared" si="51"/>
        <v>4.2735042735042736E-2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45</v>
      </c>
      <c r="Y379" s="43">
        <f>IFERROR(Y372/H372,"0")+IFERROR(Y373/H373,"0")+IFERROR(Y374/H374,"0")+IFERROR(Y375/H375,"0")+IFERROR(Y376/H376,"0")+IFERROR(Y377/H377,"0")+IFERROR(Y378/H378,"0")</f>
        <v>45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0.32590000000000002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147.9</v>
      </c>
      <c r="Y380" s="43">
        <f>IFERROR(SUM(Y372:Y378),"0")</f>
        <v>147.9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39</v>
      </c>
      <c r="Y383" s="55">
        <f>IFERROR(IF(X383="",0,CEILING((X383/$H383),1)*$H383),"")</f>
        <v>39</v>
      </c>
      <c r="Z383" s="41">
        <f>IFERROR(IF(Y383=0,"",ROUNDUP(Y383/H383,0)*0.01898),"")</f>
        <v>9.4899999999999998E-2</v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41.47</v>
      </c>
      <c r="BN383" s="78">
        <f>IFERROR(Y383*I383/H383,"0")</f>
        <v>41.47</v>
      </c>
      <c r="BO383" s="78">
        <f>IFERROR(1/J383*(X383/H383),"0")</f>
        <v>7.8125E-2</v>
      </c>
      <c r="BP383" s="78">
        <f>IFERROR(1/J383*(Y383/H383),"0")</f>
        <v>7.8125E-2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40.5</v>
      </c>
      <c r="Y384" s="55">
        <f>IFERROR(IF(X384="",0,CEILING((X384/$H384),1)*$H384),"")</f>
        <v>40.5</v>
      </c>
      <c r="Z384" s="41">
        <f>IFERROR(IF(Y384=0,"",ROUNDUP(Y384/H384,0)*0.01898),"")</f>
        <v>9.4899999999999998E-2</v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42.88</v>
      </c>
      <c r="BN384" s="78">
        <f>IFERROR(Y384*I384/H384,"0")</f>
        <v>42.88</v>
      </c>
      <c r="BO384" s="78">
        <f>IFERROR(1/J384*(X384/H384),"0")</f>
        <v>7.8125E-2</v>
      </c>
      <c r="BP384" s="78">
        <f>IFERROR(1/J384*(Y384/H384),"0")</f>
        <v>7.8125E-2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15</v>
      </c>
      <c r="Y385" s="55">
        <f>IFERROR(IF(X385="",0,CEILING((X385/$H385),1)*$H385),"")</f>
        <v>15</v>
      </c>
      <c r="Z385" s="41">
        <f>IFERROR(IF(Y385=0,"",ROUNDUP(Y385/H385,0)*0.00651),"")</f>
        <v>3.2550000000000003E-2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16.23</v>
      </c>
      <c r="BN385" s="78">
        <f>IFERROR(Y385*I385/H385,"0")</f>
        <v>16.23</v>
      </c>
      <c r="BO385" s="78">
        <f>IFERROR(1/J385*(X385/H385),"0")</f>
        <v>2.7472527472527476E-2</v>
      </c>
      <c r="BP385" s="78">
        <f>IFERROR(1/J385*(Y385/H385),"0")</f>
        <v>2.7472527472527476E-2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15</v>
      </c>
      <c r="Y386" s="43">
        <f>IFERROR(Y382/H382,"0")+IFERROR(Y383/H383,"0")+IFERROR(Y384/H384,"0")+IFERROR(Y385/H385,"0")</f>
        <v>15</v>
      </c>
      <c r="Z386" s="43">
        <f>IFERROR(IF(Z382="",0,Z382),"0")+IFERROR(IF(Z383="",0,Z383),"0")+IFERROR(IF(Z384="",0,Z384),"0")+IFERROR(IF(Z385="",0,Z385),"0")</f>
        <v>0.22234999999999999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94.5</v>
      </c>
      <c r="Y387" s="43">
        <f>IFERROR(SUM(Y382:Y385),"0")</f>
        <v>94.5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58.8</v>
      </c>
      <c r="Y389" s="55">
        <f>IFERROR(IF(X389="",0,CEILING((X389/$H389),1)*$H389),"")</f>
        <v>58.800000000000004</v>
      </c>
      <c r="Z389" s="41">
        <f>IFERROR(IF(Y389=0,"",ROUNDUP(Y389/H389,0)*0.01898),"")</f>
        <v>0.13286000000000001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62.257999999999988</v>
      </c>
      <c r="BN389" s="78">
        <f>IFERROR(Y389*I389/H389,"0")</f>
        <v>62.258000000000003</v>
      </c>
      <c r="BO389" s="78">
        <f>IFERROR(1/J389*(X389/H389),"0")</f>
        <v>0.10937499999999999</v>
      </c>
      <c r="BP389" s="78">
        <f>IFERROR(1/J389*(Y389/H389),"0")</f>
        <v>0.109375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54.6</v>
      </c>
      <c r="Y390" s="55">
        <f>IFERROR(IF(X390="",0,CEILING((X390/$H390),1)*$H390),"")</f>
        <v>54.6</v>
      </c>
      <c r="Z390" s="41">
        <f>IFERROR(IF(Y390=0,"",ROUNDUP(Y390/H390,0)*0.01898),"")</f>
        <v>0.13286000000000001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58.058000000000007</v>
      </c>
      <c r="BN390" s="78">
        <f>IFERROR(Y390*I390/H390,"0")</f>
        <v>58.058000000000007</v>
      </c>
      <c r="BO390" s="78">
        <f>IFERROR(1/J390*(X390/H390),"0")</f>
        <v>0.109375</v>
      </c>
      <c r="BP390" s="78">
        <f>IFERROR(1/J390*(Y390/H390),"0")</f>
        <v>0.109375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84</v>
      </c>
      <c r="Y391" s="55">
        <f>IFERROR(IF(X391="",0,CEILING((X391/$H391),1)*$H391),"")</f>
        <v>84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88.94</v>
      </c>
      <c r="BN391" s="78">
        <f>IFERROR(Y391*I391/H391,"0")</f>
        <v>88.94</v>
      </c>
      <c r="BO391" s="78">
        <f>IFERROR(1/J391*(X391/H391),"0")</f>
        <v>0.15625</v>
      </c>
      <c r="BP391" s="78">
        <f>IFERROR(1/J391*(Y391/H391),"0")</f>
        <v>0.15625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24</v>
      </c>
      <c r="Y392" s="43">
        <f>IFERROR(Y389/H389,"0")+IFERROR(Y390/H390,"0")+IFERROR(Y391/H391,"0")</f>
        <v>24</v>
      </c>
      <c r="Z392" s="43">
        <f>IFERROR(IF(Z389="",0,Z389),"0")+IFERROR(IF(Z390="",0,Z390),"0")+IFERROR(IF(Z391="",0,Z391),"0")</f>
        <v>0.45552000000000004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197.4</v>
      </c>
      <c r="Y393" s="43">
        <f>IFERROR(SUM(Y389:Y391),"0")</f>
        <v>197.4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6.08</v>
      </c>
      <c r="Y395" s="55">
        <f>IFERROR(IF(X395="",0,CEILING((X395/$H395),1)*$H395),"")</f>
        <v>6.08</v>
      </c>
      <c r="Z395" s="41">
        <f>IFERROR(IF(Y395=0,"",ROUNDUP(Y395/H395,0)*0.00902),"")</f>
        <v>1.804E-2</v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6.62</v>
      </c>
      <c r="BN395" s="78">
        <f>IFERROR(Y395*I395/H395,"0")</f>
        <v>6.62</v>
      </c>
      <c r="BO395" s="78">
        <f>IFERROR(1/J395*(X395/H395),"0")</f>
        <v>1.5151515151515152E-2</v>
      </c>
      <c r="BP395" s="78">
        <f>IFERROR(1/J395*(Y395/H395),"0")</f>
        <v>1.5151515151515152E-2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6.08</v>
      </c>
      <c r="Y396" s="55">
        <f>IFERROR(IF(X396="",0,CEILING((X396/$H396),1)*$H396),"")</f>
        <v>6.08</v>
      </c>
      <c r="Z396" s="41">
        <f>IFERROR(IF(Y396=0,"",ROUNDUP(Y396/H396,0)*0.00902),"")</f>
        <v>1.804E-2</v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6.5399999999999991</v>
      </c>
      <c r="BN396" s="78">
        <f>IFERROR(Y396*I396/H396,"0")</f>
        <v>6.5399999999999991</v>
      </c>
      <c r="BO396" s="78">
        <f>IFERROR(1/J396*(X396/H396),"0")</f>
        <v>1.5151515151515152E-2</v>
      </c>
      <c r="BP396" s="78">
        <f>IFERROR(1/J396*(Y396/H396),"0")</f>
        <v>1.5151515151515152E-2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5.0999999999999996</v>
      </c>
      <c r="Y397" s="55">
        <f>IFERROR(IF(X397="",0,CEILING((X397/$H397),1)*$H397),"")</f>
        <v>5.0999999999999996</v>
      </c>
      <c r="Z397" s="41">
        <f>IFERROR(IF(Y397=0,"",ROUNDUP(Y397/H397,0)*0.00651),"")</f>
        <v>1.302E-2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5.91</v>
      </c>
      <c r="BN397" s="78">
        <f>IFERROR(Y397*I397/H397,"0")</f>
        <v>5.91</v>
      </c>
      <c r="BO397" s="78">
        <f>IFERROR(1/J397*(X397/H397),"0")</f>
        <v>1.098901098901099E-2</v>
      </c>
      <c r="BP397" s="78">
        <f>IFERROR(1/J397*(Y397/H397),"0")</f>
        <v>1.098901098901099E-2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5.0999999999999996</v>
      </c>
      <c r="Y398" s="55">
        <f>IFERROR(IF(X398="",0,CEILING((X398/$H398),1)*$H398),"")</f>
        <v>5.0999999999999996</v>
      </c>
      <c r="Z398" s="41">
        <f>IFERROR(IF(Y398=0,"",ROUNDUP(Y398/H398,0)*0.00651),"")</f>
        <v>1.302E-2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5.76</v>
      </c>
      <c r="BN398" s="78">
        <f>IFERROR(Y398*I398/H398,"0")</f>
        <v>5.76</v>
      </c>
      <c r="BO398" s="78">
        <f>IFERROR(1/J398*(X398/H398),"0")</f>
        <v>1.098901098901099E-2</v>
      </c>
      <c r="BP398" s="78">
        <f>IFERROR(1/J398*(Y398/H398),"0")</f>
        <v>1.098901098901099E-2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8</v>
      </c>
      <c r="Y399" s="43">
        <f>IFERROR(Y395/H395,"0")+IFERROR(Y396/H396,"0")+IFERROR(Y397/H397,"0")+IFERROR(Y398/H398,"0")</f>
        <v>8</v>
      </c>
      <c r="Z399" s="43">
        <f>IFERROR(IF(Z395="",0,Z395),"0")+IFERROR(IF(Z396="",0,Z396),"0")+IFERROR(IF(Z397="",0,Z397),"0")+IFERROR(IF(Z398="",0,Z398),"0")</f>
        <v>6.2120000000000009E-2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22.36</v>
      </c>
      <c r="Y400" s="43">
        <f>IFERROR(SUM(Y395:Y398),"0")</f>
        <v>22.36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10.5</v>
      </c>
      <c r="Y416" s="55">
        <f>IFERROR(IF(X416="",0,CEILING((X416/$H416),1)*$H416),"")</f>
        <v>10.5</v>
      </c>
      <c r="Z416" s="41">
        <f>IFERROR(IF(Y416=0,"",ROUNDUP(Y416/H416,0)*0.00651),"")</f>
        <v>3.2550000000000003E-2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11.759999999999998</v>
      </c>
      <c r="BN416" s="78">
        <f>IFERROR(Y416*I416/H416,"0")</f>
        <v>11.759999999999998</v>
      </c>
      <c r="BO416" s="78">
        <f>IFERROR(1/J416*(X416/H416),"0")</f>
        <v>2.7472527472527476E-2</v>
      </c>
      <c r="BP416" s="78">
        <f>IFERROR(1/J416*(Y416/H416),"0")</f>
        <v>2.7472527472527476E-2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10.5</v>
      </c>
      <c r="Y417" s="55">
        <f>IFERROR(IF(X417="",0,CEILING((X417/$H417),1)*$H417),"")</f>
        <v>10.5</v>
      </c>
      <c r="Z417" s="41">
        <f>IFERROR(IF(Y417=0,"",ROUNDUP(Y417/H417,0)*0.00651),"")</f>
        <v>3.2550000000000003E-2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11.7</v>
      </c>
      <c r="BN417" s="78">
        <f>IFERROR(Y417*I417/H417,"0")</f>
        <v>11.7</v>
      </c>
      <c r="BO417" s="78">
        <f>IFERROR(1/J417*(X417/H417),"0")</f>
        <v>2.7472527472527476E-2</v>
      </c>
      <c r="BP417" s="78">
        <f>IFERROR(1/J417*(Y417/H417),"0")</f>
        <v>2.7472527472527476E-2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0.25490000000000002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102</v>
      </c>
      <c r="Y419" s="43">
        <f>IFERROR(SUM(Y415:Y417),"0")</f>
        <v>102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/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/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720</v>
      </c>
      <c r="Y427" s="55">
        <f t="shared" si="52"/>
        <v>720</v>
      </c>
      <c r="Z427" s="41">
        <f>IFERROR(IF(Y427=0,"",ROUNDUP(Y427/H427,0)*0.02175),"")</f>
        <v>1.044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742.56</v>
      </c>
      <c r="BN427" s="78">
        <f t="shared" si="54"/>
        <v>742.56</v>
      </c>
      <c r="BO427" s="78">
        <f t="shared" si="55"/>
        <v>1</v>
      </c>
      <c r="BP427" s="78">
        <f t="shared" si="56"/>
        <v>1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48</v>
      </c>
      <c r="Y431" s="43">
        <f>IFERROR(Y423/H423,"0")+IFERROR(Y424/H424,"0")+IFERROR(Y425/H425,"0")+IFERROR(Y426/H426,"0")+IFERROR(Y427/H427,"0")+IFERROR(Y428/H428,"0")+IFERROR(Y429/H429,"0")+IFERROR(Y430/H430,"0")</f>
        <v>48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1.044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720</v>
      </c>
      <c r="Y432" s="43">
        <f>IFERROR(SUM(Y423:Y430),"0")</f>
        <v>720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720</v>
      </c>
      <c r="Y434" s="55">
        <f>IFERROR(IF(X434="",0,CEILING((X434/$H434),1)*$H434),"")</f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742.56</v>
      </c>
      <c r="BN434" s="78">
        <f>IFERROR(Y434*I434/H434,"0")</f>
        <v>742.56</v>
      </c>
      <c r="BO434" s="78">
        <f>IFERROR(1/J434*(X434/H434),"0")</f>
        <v>1</v>
      </c>
      <c r="BP434" s="78">
        <f>IFERROR(1/J434*(Y434/H434),"0")</f>
        <v>1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48</v>
      </c>
      <c r="Y437" s="43">
        <f>IFERROR(Y434/H434,"0")+IFERROR(Y435/H435,"0")+IFERROR(Y436/H436,"0")</f>
        <v>48</v>
      </c>
      <c r="Z437" s="43">
        <f>IFERROR(IF(Z434="",0,Z434),"0")+IFERROR(IF(Z435="",0,Z435),"0")+IFERROR(IF(Z436="",0,Z436),"0")</f>
        <v>1.044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720</v>
      </c>
      <c r="Y438" s="43">
        <f>IFERROR(SUM(Y434:Y436),"0")</f>
        <v>720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45</v>
      </c>
      <c r="Y440" s="55">
        <f>IFERROR(IF(X440="",0,CEILING((X440/$H440),1)*$H440),"")</f>
        <v>45</v>
      </c>
      <c r="Z440" s="41">
        <f>IFERROR(IF(Y440=0,"",ROUNDUP(Y440/H440,0)*0.01898),"")</f>
        <v>9.4899999999999998E-2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47.5</v>
      </c>
      <c r="BN440" s="78">
        <f>IFERROR(Y440*I440/H440,"0")</f>
        <v>47.5</v>
      </c>
      <c r="BO440" s="78">
        <f>IFERROR(1/J440*(X440/H440),"0")</f>
        <v>7.8125E-2</v>
      </c>
      <c r="BP440" s="78">
        <f>IFERROR(1/J440*(Y440/H440),"0")</f>
        <v>7.8125E-2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9</v>
      </c>
      <c r="Y441" s="55">
        <f>IFERROR(IF(X441="",0,CEILING((X441/$H441),1)*$H441),"")</f>
        <v>9</v>
      </c>
      <c r="Z441" s="41">
        <f>IFERROR(IF(Y441=0,"",ROUNDUP(Y441/H441,0)*0.01898),"")</f>
        <v>1.898E-2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9.4939999999999998</v>
      </c>
      <c r="BN441" s="78">
        <f>IFERROR(Y441*I441/H441,"0")</f>
        <v>9.4939999999999998</v>
      </c>
      <c r="BO441" s="78">
        <f>IFERROR(1/J441*(X441/H441),"0")</f>
        <v>1.5625E-2</v>
      </c>
      <c r="BP441" s="78">
        <f>IFERROR(1/J441*(Y441/H441),"0")</f>
        <v>1.5625E-2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9.6</v>
      </c>
      <c r="Y442" s="55">
        <f>IFERROR(IF(X442="",0,CEILING((X442/$H442),1)*$H442),"")</f>
        <v>9.6</v>
      </c>
      <c r="Z442" s="41">
        <f>IFERROR(IF(Y442=0,"",ROUNDUP(Y442/H442,0)*0.01196),"")</f>
        <v>2.392E-2</v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10.432</v>
      </c>
      <c r="BN442" s="78">
        <f>IFERROR(Y442*I442/H442,"0")</f>
        <v>10.432</v>
      </c>
      <c r="BO442" s="78">
        <f>IFERROR(1/J442*(X442/H442),"0")</f>
        <v>1.9230769230769232E-2</v>
      </c>
      <c r="BP442" s="78">
        <f>IFERROR(1/J442*(Y442/H442),"0")</f>
        <v>1.9230769230769232E-2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8</v>
      </c>
      <c r="Y443" s="43">
        <f>IFERROR(Y440/H440,"0")+IFERROR(Y441/H441,"0")+IFERROR(Y442/H442,"0")</f>
        <v>8</v>
      </c>
      <c r="Z443" s="43">
        <f>IFERROR(IF(Z440="",0,Z440),"0")+IFERROR(IF(Z441="",0,Z441),"0")+IFERROR(IF(Z442="",0,Z442),"0")</f>
        <v>0.13780000000000001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63.6</v>
      </c>
      <c r="Y444" s="43">
        <f>IFERROR(SUM(Y440:Y442),"0")</f>
        <v>63.6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8.4</v>
      </c>
      <c r="Y446" s="55">
        <f>IFERROR(IF(X446="",0,CEILING((X446/$H446),1)*$H446),"")</f>
        <v>8.4</v>
      </c>
      <c r="Z446" s="41">
        <f>IFERROR(IF(Y446=0,"",ROUNDUP(Y446/H446,0)*0.01196),"")</f>
        <v>2.392E-2</v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9.2319999999999993</v>
      </c>
      <c r="BN446" s="78">
        <f>IFERROR(Y446*I446/H446,"0")</f>
        <v>9.2319999999999993</v>
      </c>
      <c r="BO446" s="78">
        <f>IFERROR(1/J446*(X446/H446),"0")</f>
        <v>1.9230769230769232E-2</v>
      </c>
      <c r="BP446" s="78">
        <f>IFERROR(1/J446*(Y446/H446),"0")</f>
        <v>1.9230769230769232E-2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18</v>
      </c>
      <c r="Y447" s="55">
        <f>IFERROR(IF(X447="",0,CEILING((X447/$H447),1)*$H447),"")</f>
        <v>18</v>
      </c>
      <c r="Z447" s="41">
        <f>IFERROR(IF(Y447=0,"",ROUNDUP(Y447/H447,0)*0.01898),"")</f>
        <v>3.7960000000000001E-2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18.988</v>
      </c>
      <c r="BN447" s="78">
        <f>IFERROR(Y447*I447/H447,"0")</f>
        <v>18.988</v>
      </c>
      <c r="BO447" s="78">
        <f>IFERROR(1/J447*(X447/H447),"0")</f>
        <v>3.125E-2</v>
      </c>
      <c r="BP447" s="78">
        <f>IFERROR(1/J447*(Y447/H447),"0")</f>
        <v>3.125E-2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4</v>
      </c>
      <c r="Y448" s="43">
        <f>IFERROR(Y446/H446,"0")+IFERROR(Y447/H447,"0")</f>
        <v>4</v>
      </c>
      <c r="Z448" s="43">
        <f>IFERROR(IF(Z446="",0,Z446),"0")+IFERROR(IF(Z447="",0,Z447),"0")</f>
        <v>6.1880000000000004E-2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26.4</v>
      </c>
      <c r="Y449" s="43">
        <f>IFERROR(SUM(Y446:Y447),"0")</f>
        <v>26.4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18</v>
      </c>
      <c r="Y461" s="55">
        <f>IFERROR(IF(X461="",0,CEILING((X461/$H461),1)*$H461),"")</f>
        <v>18</v>
      </c>
      <c r="Z461" s="41">
        <f>IFERROR(IF(Y461=0,"",ROUNDUP(Y461/H461,0)*0.01898),"")</f>
        <v>3.7960000000000001E-2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18.988</v>
      </c>
      <c r="BN461" s="78">
        <f>IFERROR(Y461*I461/H461,"0")</f>
        <v>18.988</v>
      </c>
      <c r="BO461" s="78">
        <f>IFERROR(1/J461*(X461/H461),"0")</f>
        <v>3.125E-2</v>
      </c>
      <c r="BP461" s="78">
        <f>IFERROR(1/J461*(Y461/H461),"0")</f>
        <v>3.125E-2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2</v>
      </c>
      <c r="Y464" s="43">
        <f>IFERROR(Y461/H461,"0")+IFERROR(Y462/H462,"0")+IFERROR(Y463/H463,"0")</f>
        <v>2</v>
      </c>
      <c r="Z464" s="43">
        <f>IFERROR(IF(Z461="",0,Z461),"0")+IFERROR(IF(Z462="",0,Z462),"0")+IFERROR(IF(Z463="",0,Z463),"0")</f>
        <v>3.7960000000000001E-2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18</v>
      </c>
      <c r="Y465" s="43">
        <f>IFERROR(SUM(Y461:Y463),"0")</f>
        <v>18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16.2</v>
      </c>
      <c r="Y469" s="55">
        <f t="shared" ref="Y469:Y474" si="57">IFERROR(IF(X469="",0,CEILING((X469/$H469),1)*$H469),"")</f>
        <v>16.200000000000003</v>
      </c>
      <c r="Z469" s="41">
        <f>IFERROR(IF(Y469=0,"",ROUNDUP(Y469/H469,0)*0.00902),"")</f>
        <v>2.7060000000000001E-2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16.769999999999996</v>
      </c>
      <c r="BN469" s="78">
        <f t="shared" ref="BN469:BN474" si="59">IFERROR(Y469*I469/H469,"0")</f>
        <v>16.77</v>
      </c>
      <c r="BO469" s="78">
        <f t="shared" ref="BO469:BO474" si="60">IFERROR(1/J469*(X469/H469),"0")</f>
        <v>2.2727272727272724E-2</v>
      </c>
      <c r="BP469" s="78">
        <f t="shared" ref="BP469:BP474" si="61">IFERROR(1/J469*(Y469/H469),"0")</f>
        <v>2.2727272727272731E-2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16.2</v>
      </c>
      <c r="Y470" s="55">
        <f t="shared" si="57"/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16.769999999999996</v>
      </c>
      <c r="BN470" s="78">
        <f t="shared" si="59"/>
        <v>16.77</v>
      </c>
      <c r="BO470" s="78">
        <f t="shared" si="60"/>
        <v>2.2727272727272724E-2</v>
      </c>
      <c r="BP470" s="78">
        <f t="shared" si="61"/>
        <v>2.2727272727272731E-2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5.9999999999999991</v>
      </c>
      <c r="Y475" s="43">
        <f>IFERROR(Y469/H469,"0")+IFERROR(Y470/H470,"0")+IFERROR(Y471/H471,"0")+IFERROR(Y472/H472,"0")+IFERROR(Y473/H473,"0")+IFERROR(Y474/H474,"0")</f>
        <v>6.0000000000000009</v>
      </c>
      <c r="Z475" s="43">
        <f>IFERROR(IF(Z469="",0,Z469),"0")+IFERROR(IF(Z470="",0,Z470),"0")+IFERROR(IF(Z471="",0,Z471),"0")+IFERROR(IF(Z472="",0,Z472),"0")+IFERROR(IF(Z473="",0,Z473),"0")+IFERROR(IF(Z474="",0,Z474),"0")</f>
        <v>5.4120000000000001E-2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32.4</v>
      </c>
      <c r="Y476" s="43">
        <f>IFERROR(SUM(Y469:Y474),"0")</f>
        <v>32.400000000000006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7.2</v>
      </c>
      <c r="Y478" s="55">
        <f>IFERROR(IF(X478="",0,CEILING((X478/$H478),1)*$H478),"")</f>
        <v>7.1999999999999993</v>
      </c>
      <c r="Z478" s="41">
        <f>IFERROR(IF(Y478=0,"",ROUNDUP(Y478/H478,0)*0.00902),"")</f>
        <v>2.7060000000000001E-2</v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7.8780000000000001</v>
      </c>
      <c r="BN478" s="78">
        <f>IFERROR(Y478*I478/H478,"0")</f>
        <v>7.8779999999999983</v>
      </c>
      <c r="BO478" s="78">
        <f>IFERROR(1/J478*(X478/H478),"0")</f>
        <v>2.2727272727272728E-2</v>
      </c>
      <c r="BP478" s="78">
        <f>IFERROR(1/J478*(Y478/H478),"0")</f>
        <v>2.2727272727272728E-2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3</v>
      </c>
      <c r="Y480" s="43">
        <f>IFERROR(Y478/H478,"0")+IFERROR(Y479/H479,"0")</f>
        <v>3</v>
      </c>
      <c r="Z480" s="43">
        <f>IFERROR(IF(Z478="",0,Z478),"0")+IFERROR(IF(Z479="",0,Z479),"0")</f>
        <v>2.7060000000000001E-2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7.2</v>
      </c>
      <c r="Y481" s="43">
        <f>IFERROR(SUM(Y478:Y479),"0")</f>
        <v>7.1999999999999993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6.3</v>
      </c>
      <c r="Y484" s="55">
        <f>IFERROR(IF(X484="",0,CEILING((X484/$H484),1)*$H484),"")</f>
        <v>6.3000000000000007</v>
      </c>
      <c r="Z484" s="41">
        <f>IFERROR(IF(Y484=0,"",ROUNDUP(Y484/H484,0)*0.00651),"")</f>
        <v>1.9529999999999999E-2</v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6.9299999999999988</v>
      </c>
      <c r="BN484" s="78">
        <f>IFERROR(Y484*I484/H484,"0")</f>
        <v>6.9300000000000006</v>
      </c>
      <c r="BO484" s="78">
        <f>IFERROR(1/J484*(X484/H484),"0")</f>
        <v>1.6483516483516484E-2</v>
      </c>
      <c r="BP484" s="78">
        <f>IFERROR(1/J484*(Y484/H484),"0")</f>
        <v>1.6483516483516484E-2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3</v>
      </c>
      <c r="Y485" s="43">
        <f>IFERROR(Y484/H484,"0")</f>
        <v>3</v>
      </c>
      <c r="Z485" s="43">
        <f>IFERROR(IF(Z484="",0,Z484),"0")</f>
        <v>1.9529999999999999E-2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6.3</v>
      </c>
      <c r="Y486" s="43">
        <f>IFERROR(SUM(Y484:Y484),"0")</f>
        <v>6.3000000000000007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16.2</v>
      </c>
      <c r="Y488" s="55">
        <f>IFERROR(IF(X488="",0,CEILING((X488/$H488),1)*$H488),"")</f>
        <v>16.200000000000003</v>
      </c>
      <c r="Z488" s="41">
        <f>IFERROR(IF(Y488=0,"",ROUNDUP(Y488/H488,0)*0.00902),"")</f>
        <v>2.7060000000000001E-2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16.769999999999996</v>
      </c>
      <c r="BN488" s="78">
        <f>IFERROR(Y488*I488/H488,"0")</f>
        <v>16.77</v>
      </c>
      <c r="BO488" s="78">
        <f>IFERROR(1/J488*(X488/H488),"0")</f>
        <v>2.2727272727272724E-2</v>
      </c>
      <c r="BP488" s="78">
        <f>IFERROR(1/J488*(Y488/H488),"0")</f>
        <v>2.2727272727272731E-2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6.3</v>
      </c>
      <c r="Y490" s="55">
        <f>IFERROR(IF(X490="",0,CEILING((X490/$H490),1)*$H490),"")</f>
        <v>6.3000000000000007</v>
      </c>
      <c r="Z490" s="41">
        <f>IFERROR(IF(Y490=0,"",ROUNDUP(Y490/H490,0)*0.00502),"")</f>
        <v>1.506E-2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6.6899999999999995</v>
      </c>
      <c r="BN490" s="78">
        <f>IFERROR(Y490*I490/H490,"0")</f>
        <v>6.69</v>
      </c>
      <c r="BO490" s="78">
        <f>IFERROR(1/J490*(X490/H490),"0")</f>
        <v>1.2820512820512822E-2</v>
      </c>
      <c r="BP490" s="78">
        <f>IFERROR(1/J490*(Y490/H490),"0")</f>
        <v>1.2820512820512822E-2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6</v>
      </c>
      <c r="Y491" s="43">
        <f>IFERROR(Y488/H488,"0")+IFERROR(Y489/H489,"0")+IFERROR(Y490/H490,"0")</f>
        <v>6</v>
      </c>
      <c r="Z491" s="43">
        <f>IFERROR(IF(Z488="",0,Z488),"0")+IFERROR(IF(Z489="",0,Z489),"0")+IFERROR(IF(Z490="",0,Z490),"0")</f>
        <v>4.2120000000000005E-2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22.5</v>
      </c>
      <c r="Y492" s="43">
        <f>IFERROR(SUM(Y488:Y490),"0")</f>
        <v>22.500000000000004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15.84</v>
      </c>
      <c r="Y496" s="55">
        <f t="shared" ref="Y496:Y504" si="62">IFERROR(IF(X496="",0,CEILING((X496/$H496),1)*$H496),"")</f>
        <v>15.84</v>
      </c>
      <c r="Z496" s="41">
        <f t="shared" ref="Z496:Z501" si="63">IFERROR(IF(Y496=0,"",ROUNDUP(Y496/H496,0)*0.01196),"")</f>
        <v>3.5880000000000002E-2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16.889999999999997</v>
      </c>
      <c r="BN496" s="78">
        <f t="shared" ref="BN496:BN504" si="65">IFERROR(Y496*I496/H496,"0")</f>
        <v>16.889999999999997</v>
      </c>
      <c r="BO496" s="78">
        <f t="shared" ref="BO496:BO504" si="66">IFERROR(1/J496*(X496/H496),"0")</f>
        <v>2.8846153846153848E-2</v>
      </c>
      <c r="BP496" s="78">
        <f t="shared" ref="BP496:BP504" si="67">IFERROR(1/J496*(Y496/H496),"0")</f>
        <v>2.8846153846153848E-2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15.84</v>
      </c>
      <c r="Y497" s="55">
        <f t="shared" si="62"/>
        <v>15.84</v>
      </c>
      <c r="Z497" s="41">
        <f t="shared" si="63"/>
        <v>3.5880000000000002E-2</v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16.889999999999997</v>
      </c>
      <c r="BN497" s="78">
        <f t="shared" si="65"/>
        <v>16.889999999999997</v>
      </c>
      <c r="BO497" s="78">
        <f t="shared" si="66"/>
        <v>2.8846153846153848E-2</v>
      </c>
      <c r="BP497" s="78">
        <f t="shared" si="67"/>
        <v>2.8846153846153848E-2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15.84</v>
      </c>
      <c r="Y499" s="55">
        <f t="shared" si="62"/>
        <v>15.84</v>
      </c>
      <c r="Z499" s="41">
        <f t="shared" si="63"/>
        <v>3.5880000000000002E-2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16.889999999999997</v>
      </c>
      <c r="BN499" s="78">
        <f t="shared" si="65"/>
        <v>16.889999999999997</v>
      </c>
      <c r="BO499" s="78">
        <f t="shared" si="66"/>
        <v>2.8846153846153848E-2</v>
      </c>
      <c r="BP499" s="78">
        <f t="shared" si="67"/>
        <v>2.8846153846153848E-2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/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15.84</v>
      </c>
      <c r="Y501" s="55">
        <f t="shared" si="62"/>
        <v>15.84</v>
      </c>
      <c r="Z501" s="41">
        <f t="shared" si="63"/>
        <v>3.5880000000000002E-2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16.889999999999997</v>
      </c>
      <c r="BN501" s="78">
        <f t="shared" si="65"/>
        <v>16.889999999999997</v>
      </c>
      <c r="BO501" s="78">
        <f t="shared" si="66"/>
        <v>2.8846153846153848E-2</v>
      </c>
      <c r="BP501" s="78">
        <f t="shared" si="67"/>
        <v>2.8846153846153848E-2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12</v>
      </c>
      <c r="Y505" s="43">
        <f>IFERROR(Y496/H496,"0")+IFERROR(Y497/H497,"0")+IFERROR(Y498/H498,"0")+IFERROR(Y499/H499,"0")+IFERROR(Y500/H500,"0")+IFERROR(Y501/H501,"0")+IFERROR(Y502/H502,"0")+IFERROR(Y503/H503,"0")+IFERROR(Y504/H504,"0")</f>
        <v>12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0.14352000000000001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63.36</v>
      </c>
      <c r="Y506" s="43">
        <f>IFERROR(SUM(Y496:Y504),"0")</f>
        <v>63.36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15.84</v>
      </c>
      <c r="Y508" s="55">
        <f>IFERROR(IF(X508="",0,CEILING((X508/$H508),1)*$H508),"")</f>
        <v>15.84</v>
      </c>
      <c r="Z508" s="41">
        <f>IFERROR(IF(Y508=0,"",ROUNDUP(Y508/H508,0)*0.01196),"")</f>
        <v>3.5880000000000002E-2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16.889999999999997</v>
      </c>
      <c r="BN508" s="78">
        <f>IFERROR(Y508*I508/H508,"0")</f>
        <v>16.889999999999997</v>
      </c>
      <c r="BO508" s="78">
        <f>IFERROR(1/J508*(X508/H508),"0")</f>
        <v>2.8846153846153848E-2</v>
      </c>
      <c r="BP508" s="78">
        <f>IFERROR(1/J508*(Y508/H508),"0")</f>
        <v>2.8846153846153848E-2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</v>
      </c>
      <c r="Y511" s="43">
        <f>IFERROR(Y508/H508,"0")+IFERROR(Y509/H509,"0")+IFERROR(Y510/H510,"0")</f>
        <v>3</v>
      </c>
      <c r="Z511" s="43">
        <f>IFERROR(IF(Z508="",0,Z508),"0")+IFERROR(IF(Z509="",0,Z509),"0")+IFERROR(IF(Z510="",0,Z510),"0")</f>
        <v>3.5880000000000002E-2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15.84</v>
      </c>
      <c r="Y512" s="43">
        <f>IFERROR(SUM(Y508:Y510),"0")</f>
        <v>15.84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15.84</v>
      </c>
      <c r="Y514" s="55">
        <f t="shared" ref="Y514:Y520" si="68">IFERROR(IF(X514="",0,CEILING((X514/$H514),1)*$H514),"")</f>
        <v>15.84</v>
      </c>
      <c r="Z514" s="41">
        <f>IFERROR(IF(Y514=0,"",ROUNDUP(Y514/H514,0)*0.01196),"")</f>
        <v>3.5880000000000002E-2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16.889999999999997</v>
      </c>
      <c r="BN514" s="78">
        <f t="shared" ref="BN514:BN520" si="70">IFERROR(Y514*I514/H514,"0")</f>
        <v>16.889999999999997</v>
      </c>
      <c r="BO514" s="78">
        <f t="shared" ref="BO514:BO520" si="71">IFERROR(1/J514*(X514/H514),"0")</f>
        <v>2.8846153846153848E-2</v>
      </c>
      <c r="BP514" s="78">
        <f t="shared" ref="BP514:BP520" si="72">IFERROR(1/J514*(Y514/H514),"0")</f>
        <v>2.8846153846153848E-2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15.84</v>
      </c>
      <c r="Y515" s="55">
        <f t="shared" si="68"/>
        <v>15.84</v>
      </c>
      <c r="Z515" s="41">
        <f>IFERROR(IF(Y515=0,"",ROUNDUP(Y515/H515,0)*0.01196),"")</f>
        <v>3.5880000000000002E-2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16.889999999999997</v>
      </c>
      <c r="BN515" s="78">
        <f t="shared" si="70"/>
        <v>16.889999999999997</v>
      </c>
      <c r="BO515" s="78">
        <f t="shared" si="71"/>
        <v>2.8846153846153848E-2</v>
      </c>
      <c r="BP515" s="78">
        <f t="shared" si="72"/>
        <v>2.8846153846153848E-2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15.84</v>
      </c>
      <c r="Y516" s="55">
        <f t="shared" si="68"/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16.889999999999997</v>
      </c>
      <c r="BN516" s="78">
        <f t="shared" si="70"/>
        <v>16.889999999999997</v>
      </c>
      <c r="BO516" s="78">
        <f t="shared" si="71"/>
        <v>2.8846153846153848E-2</v>
      </c>
      <c r="BP516" s="78">
        <f t="shared" si="72"/>
        <v>2.8846153846153848E-2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9</v>
      </c>
      <c r="Y521" s="43">
        <f>IFERROR(Y514/H514,"0")+IFERROR(Y515/H515,"0")+IFERROR(Y516/H516,"0")+IFERROR(Y517/H517,"0")+IFERROR(Y518/H518,"0")+IFERROR(Y519/H519,"0")+IFERROR(Y520/H520,"0")</f>
        <v>9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0.10764000000000001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47.519999999999996</v>
      </c>
      <c r="Y522" s="43">
        <f>IFERROR(SUM(Y514:Y520),"0")</f>
        <v>47.519999999999996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25.2</v>
      </c>
      <c r="Y534" s="55">
        <f>IFERROR(IF(X534="",0,CEILING((X534/$H534),1)*$H534),"")</f>
        <v>25.200000000000003</v>
      </c>
      <c r="Z534" s="41">
        <f>IFERROR(IF(Y534=0,"",ROUNDUP(Y534/H534,0)*0.00902),"")</f>
        <v>5.4120000000000001E-2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26.7</v>
      </c>
      <c r="BN534" s="78">
        <f>IFERROR(Y534*I534/H534,"0")</f>
        <v>26.700000000000003</v>
      </c>
      <c r="BO534" s="78">
        <f>IFERROR(1/J534*(X534/H534),"0")</f>
        <v>4.5454545454545456E-2</v>
      </c>
      <c r="BP534" s="78">
        <f>IFERROR(1/J534*(Y534/H534),"0")</f>
        <v>4.5454545454545456E-2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6</v>
      </c>
      <c r="Y535" s="43">
        <f>IFERROR(Y534/H534,"0")</f>
        <v>6</v>
      </c>
      <c r="Z535" s="43">
        <f>IFERROR(IF(Z534="",0,Z534),"0")</f>
        <v>5.4120000000000001E-2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25.2</v>
      </c>
      <c r="Y536" s="43">
        <f>IFERROR(SUM(Y534:Y534),"0")</f>
        <v>25.200000000000003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45</v>
      </c>
      <c r="Y538" s="55">
        <f>IFERROR(IF(X538="",0,CEILING((X538/$H538),1)*$H538),"")</f>
        <v>45</v>
      </c>
      <c r="Z538" s="41">
        <f>IFERROR(IF(Y538=0,"",ROUNDUP(Y538/H538,0)*0.01898),"")</f>
        <v>9.4899999999999998E-2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47.47</v>
      </c>
      <c r="BN538" s="78">
        <f>IFERROR(Y538*I538/H538,"0")</f>
        <v>47.47</v>
      </c>
      <c r="BO538" s="78">
        <f>IFERROR(1/J538*(X538/H538),"0")</f>
        <v>7.8125E-2</v>
      </c>
      <c r="BP538" s="78">
        <f>IFERROR(1/J538*(Y538/H538),"0")</f>
        <v>7.8125E-2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5</v>
      </c>
      <c r="Y539" s="43">
        <f>IFERROR(Y538/H538,"0")</f>
        <v>5</v>
      </c>
      <c r="Z539" s="43">
        <f>IFERROR(IF(Z538="",0,Z538),"0")</f>
        <v>9.4899999999999998E-2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45</v>
      </c>
      <c r="Y540" s="43">
        <f>IFERROR(SUM(Y538:Y538),"0")</f>
        <v>45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9</v>
      </c>
      <c r="Y542" s="55">
        <f>IFERROR(IF(X542="",0,CEILING((X542/$H542),1)*$H542),"")</f>
        <v>9</v>
      </c>
      <c r="Z542" s="41">
        <f>IFERROR(IF(Y542=0,"",ROUNDUP(Y542/H542,0)*0.01898),"")</f>
        <v>1.898E-2</v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9.41</v>
      </c>
      <c r="BN542" s="78">
        <f>IFERROR(Y542*I542/H542,"0")</f>
        <v>9.41</v>
      </c>
      <c r="BO542" s="78">
        <f>IFERROR(1/J542*(X542/H542),"0")</f>
        <v>1.5625E-2</v>
      </c>
      <c r="BP542" s="78">
        <f>IFERROR(1/J542*(Y542/H542),"0")</f>
        <v>1.5625E-2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9</v>
      </c>
      <c r="Y543" s="55">
        <f>IFERROR(IF(X543="",0,CEILING((X543/$H543),1)*$H543),"")</f>
        <v>9</v>
      </c>
      <c r="Z543" s="41">
        <f>IFERROR(IF(Y543=0,"",ROUNDUP(Y543/H543,0)*0.01898),"")</f>
        <v>1.898E-2</v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9.41</v>
      </c>
      <c r="BN543" s="78">
        <f>IFERROR(Y543*I543/H543,"0")</f>
        <v>9.41</v>
      </c>
      <c r="BO543" s="78">
        <f>IFERROR(1/J543*(X543/H543),"0")</f>
        <v>1.5625E-2</v>
      </c>
      <c r="BP543" s="78">
        <f>IFERROR(1/J543*(Y543/H543),"0")</f>
        <v>1.5625E-2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2</v>
      </c>
      <c r="Y544" s="43">
        <f>IFERROR(Y542/H542,"0")+IFERROR(Y543/H543,"0")</f>
        <v>2</v>
      </c>
      <c r="Z544" s="43">
        <f>IFERROR(IF(Z542="",0,Z542),"0")+IFERROR(IF(Z543="",0,Z543),"0")</f>
        <v>3.7960000000000001E-2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18</v>
      </c>
      <c r="Y545" s="43">
        <f>IFERROR(SUM(Y542:Y543),"0")</f>
        <v>18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4726.1400000000003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4727.74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4946.7634444444484</v>
      </c>
      <c r="Y552" s="43">
        <f>IFERROR(SUM(BN22:BN548),"0")</f>
        <v>4948.4790000000048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8</v>
      </c>
      <c r="Y553" s="44">
        <f>ROUNDUP(SUM(BP22:BP548),0)</f>
        <v>8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5146.7634444444484</v>
      </c>
      <c r="Y554" s="43">
        <f>GrossWeightTotalR+PalletQtyTotalR*25</f>
        <v>5148.4790000000048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682.11111111111109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683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9.0119600000000037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18.5</v>
      </c>
      <c r="C561" s="52">
        <f>IFERROR(Y41*1,"0")+IFERROR(Y42*1,"0")+IFERROR(Y43*1,"0")+IFERROR(Y44*1,"0")+IFERROR(Y45*1,"0")</f>
        <v>5.76</v>
      </c>
      <c r="D561" s="52">
        <f>IFERROR(Y51*1,"0")+IFERROR(Y52*1,"0")+IFERROR(Y53*1,"0")+IFERROR(Y54*1,"0")</f>
        <v>190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329.1</v>
      </c>
      <c r="F561" s="52">
        <f>IFERROR(Y88*1,"0")+IFERROR(Y89*1,"0")+IFERROR(Y90*1,"0")+IFERROR(Y91*1,"0")+IFERROR(Y95*1,"0")+IFERROR(Y96*1,"0")+IFERROR(Y97*1,"0")+IFERROR(Y98*1,"0")</f>
        <v>218.88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191.70000000000002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5.919999999999999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131.94000000000005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127.14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233.10000000000005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162</v>
      </c>
      <c r="Q561" s="52">
        <f>IFERROR(Y335*1,"0")+IFERROR(Y336*1,"0")+IFERROR(Y337*1,"0")</f>
        <v>14.399999999999999</v>
      </c>
      <c r="R561" s="52">
        <f>IFERROR(Y342*1,"0")+IFERROR(Y343*1,"0")+IFERROR(Y344*1,"0")+IFERROR(Y345*1,"0")+IFERROR(Y346*1,"0")+IFERROR(Y350*1,"0")+IFERROR(Y351*1,"0")</f>
        <v>41.62</v>
      </c>
      <c r="S561" s="52">
        <f>IFERROR(Y356*1,"0")+IFERROR(Y357*1,"0")+IFERROR(Y358*1,"0")</f>
        <v>70.199999999999989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1054.1599999999996</v>
      </c>
      <c r="U561" s="52">
        <f>IFERROR(Y415*1,"0")+IFERROR(Y416*1,"0")+IFERROR(Y417*1,"0")</f>
        <v>102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1530</v>
      </c>
      <c r="W561" s="52">
        <f>IFERROR(Y452*1,"0")+IFERROR(Y453*1,"0")+IFERROR(Y457*1,"0")+IFERROR(Y461*1,"0")+IFERROR(Y462*1,"0")+IFERROR(Y463*1,"0")</f>
        <v>18</v>
      </c>
      <c r="X561" s="52">
        <f>IFERROR(Y469*1,"0")+IFERROR(Y470*1,"0")+IFERROR(Y471*1,"0")+IFERROR(Y472*1,"0")+IFERROR(Y473*1,"0")+IFERROR(Y474*1,"0")+IFERROR(Y478*1,"0")+IFERROR(Y479*1,"0")</f>
        <v>39.600000000000009</v>
      </c>
      <c r="Y561" s="52">
        <f>IFERROR(Y484*1,"0")+IFERROR(Y488*1,"0")+IFERROR(Y489*1,"0")+IFERROR(Y490*1,"0")</f>
        <v>28.800000000000004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126.72000000000001</v>
      </c>
      <c r="AA561" s="52">
        <f>IFERROR(Y526*1,"0")+IFERROR(Y530*1,"0")+IFERROR(Y534*1,"0")+IFERROR(Y538*1,"0")+IFERROR(Y542*1,"0")+IFERROR(Y543*1,"0")</f>
        <v>88.2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4"/>
        <filter val="1,00"/>
        <filter val="1,08"/>
        <filter val="1,20"/>
        <filter val="1,32"/>
        <filter val="1,80"/>
        <filter val="1,92"/>
        <filter val="1,98"/>
        <filter val="10,00"/>
        <filter val="10,50"/>
        <filter val="102,00"/>
        <filter val="108,00"/>
        <filter val="12,00"/>
        <filter val="120,90"/>
        <filter val="128,70"/>
        <filter val="13,00"/>
        <filter val="130,50"/>
        <filter val="14,40"/>
        <filter val="144,00"/>
        <filter val="147,90"/>
        <filter val="15,00"/>
        <filter val="15,84"/>
        <filter val="16,20"/>
        <filter val="162,00"/>
        <filter val="18,00"/>
        <filter val="189,00"/>
        <filter val="190,00"/>
        <filter val="197,40"/>
        <filter val="2,00"/>
        <filter val="2,16"/>
        <filter val="2,32"/>
        <filter val="2,40"/>
        <filter val="2,52"/>
        <filter val="20,00"/>
        <filter val="21,00"/>
        <filter val="21,90"/>
        <filter val="22,00"/>
        <filter val="22,36"/>
        <filter val="22,50"/>
        <filter val="23,40"/>
        <filter val="24,00"/>
        <filter val="24,30"/>
        <filter val="24,50"/>
        <filter val="25,00"/>
        <filter val="25,20"/>
        <filter val="26,10"/>
        <filter val="26,40"/>
        <filter val="27,00"/>
        <filter val="27,74"/>
        <filter val="28,00"/>
        <filter val="3,00"/>
        <filter val="3,60"/>
        <filter val="3,80"/>
        <filter val="32,00"/>
        <filter val="32,40"/>
        <filter val="324,00"/>
        <filter val="33,60"/>
        <filter val="35,00"/>
        <filter val="39,00"/>
        <filter val="39,60"/>
        <filter val="4 726,14"/>
        <filter val="4 946,76"/>
        <filter val="4,00"/>
        <filter val="4,11"/>
        <filter val="4,20"/>
        <filter val="40,00"/>
        <filter val="40,50"/>
        <filter val="41,62"/>
        <filter val="42,00"/>
        <filter val="45,00"/>
        <filter val="47,52"/>
        <filter val="48,00"/>
        <filter val="5 146,76"/>
        <filter val="5,00"/>
        <filter val="5,10"/>
        <filter val="5,28"/>
        <filter val="5,40"/>
        <filter val="5,76"/>
        <filter val="54,00"/>
        <filter val="54,60"/>
        <filter val="58,80"/>
        <filter val="592,00"/>
        <filter val="6,00"/>
        <filter val="6,08"/>
        <filter val="6,24"/>
        <filter val="6,30"/>
        <filter val="6,84"/>
        <filter val="63,00"/>
        <filter val="63,36"/>
        <filter val="63,60"/>
        <filter val="63,90"/>
        <filter val="682,11"/>
        <filter val="7,20"/>
        <filter val="7,60"/>
        <filter val="7,74"/>
        <filter val="7,80"/>
        <filter val="70,20"/>
        <filter val="720,00"/>
        <filter val="8"/>
        <filter val="8,00"/>
        <filter val="8,10"/>
        <filter val="8,40"/>
        <filter val="81,00"/>
        <filter val="84,00"/>
        <filter val="88,20"/>
        <filter val="88,38"/>
        <filter val="89,10"/>
        <filter val="9,00"/>
        <filter val="9,60"/>
        <filter val="94,50"/>
        <filter val="95,2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bb0b2827-4eb3-461f-8866-28597c48f47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2026-08-11T13:48:00Z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