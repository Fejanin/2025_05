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ЗПФ\"/>
    </mc:Choice>
  </mc:AlternateContent>
  <xr:revisionPtr revIDLastSave="0" documentId="13_ncr:1_{129071E2-3513-4F19-B4D6-D40FC6E0634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Sheet!$A$3:$AN$69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8" i="1" l="1"/>
  <c r="R65" i="1"/>
  <c r="R61" i="1"/>
  <c r="R51" i="1"/>
  <c r="R50" i="1"/>
  <c r="R38" i="1"/>
  <c r="R33" i="1"/>
  <c r="R32" i="1"/>
  <c r="R21" i="1"/>
  <c r="S1" i="1" l="1"/>
  <c r="T25" i="1" l="1"/>
  <c r="T29" i="1"/>
  <c r="T48" i="1"/>
  <c r="T53" i="1"/>
  <c r="T69" i="1"/>
  <c r="AJ42" i="1" l="1"/>
  <c r="AN42" i="1" s="1"/>
  <c r="AJ30" i="1"/>
  <c r="AN30" i="1" s="1"/>
  <c r="AJ11" i="1"/>
  <c r="AK11" i="1" s="1"/>
  <c r="P69" i="1"/>
  <c r="V69" i="1" s="1"/>
  <c r="L69" i="1"/>
  <c r="P68" i="1"/>
  <c r="V68" i="1" s="1"/>
  <c r="R68" i="1" s="1"/>
  <c r="L68" i="1"/>
  <c r="P67" i="1"/>
  <c r="V67" i="1" s="1"/>
  <c r="L67" i="1"/>
  <c r="P66" i="1"/>
  <c r="V66" i="1" s="1"/>
  <c r="R66" i="1" s="1"/>
  <c r="L66" i="1"/>
  <c r="P65" i="1"/>
  <c r="V65" i="1" s="1"/>
  <c r="L65" i="1"/>
  <c r="P64" i="1"/>
  <c r="V64" i="1" s="1"/>
  <c r="R64" i="1" s="1"/>
  <c r="L64" i="1"/>
  <c r="P63" i="1"/>
  <c r="V63" i="1" s="1"/>
  <c r="R63" i="1" s="1"/>
  <c r="L63" i="1"/>
  <c r="P62" i="1"/>
  <c r="V62" i="1" s="1"/>
  <c r="R62" i="1" s="1"/>
  <c r="L62" i="1"/>
  <c r="P61" i="1"/>
  <c r="V61" i="1" s="1"/>
  <c r="L61" i="1"/>
  <c r="P60" i="1"/>
  <c r="V60" i="1" s="1"/>
  <c r="L60" i="1"/>
  <c r="AJ59" i="1"/>
  <c r="AK59" i="1" s="1"/>
  <c r="AH59" i="1"/>
  <c r="P59" i="1"/>
  <c r="V59" i="1" s="1"/>
  <c r="L59" i="1"/>
  <c r="P58" i="1"/>
  <c r="V58" i="1" s="1"/>
  <c r="L58" i="1"/>
  <c r="P57" i="1"/>
  <c r="V57" i="1" s="1"/>
  <c r="L57" i="1"/>
  <c r="P56" i="1"/>
  <c r="L56" i="1"/>
  <c r="P55" i="1"/>
  <c r="V55" i="1" s="1"/>
  <c r="L55" i="1"/>
  <c r="F54" i="1"/>
  <c r="E54" i="1"/>
  <c r="P54" i="1" s="1"/>
  <c r="P53" i="1"/>
  <c r="V53" i="1" s="1"/>
  <c r="L53" i="1"/>
  <c r="P52" i="1"/>
  <c r="V52" i="1" s="1"/>
  <c r="R52" i="1" s="1"/>
  <c r="L52" i="1"/>
  <c r="P51" i="1"/>
  <c r="L51" i="1"/>
  <c r="P50" i="1"/>
  <c r="V50" i="1" s="1"/>
  <c r="L50" i="1"/>
  <c r="P49" i="1"/>
  <c r="V49" i="1" s="1"/>
  <c r="R49" i="1" s="1"/>
  <c r="L49" i="1"/>
  <c r="P48" i="1"/>
  <c r="V48" i="1" s="1"/>
  <c r="L48" i="1"/>
  <c r="P47" i="1"/>
  <c r="V47" i="1" s="1"/>
  <c r="R47" i="1" s="1"/>
  <c r="L47" i="1"/>
  <c r="P46" i="1"/>
  <c r="V46" i="1" s="1"/>
  <c r="R46" i="1" s="1"/>
  <c r="L46" i="1"/>
  <c r="P45" i="1"/>
  <c r="L45" i="1"/>
  <c r="P44" i="1"/>
  <c r="V44" i="1" s="1"/>
  <c r="L44" i="1"/>
  <c r="P43" i="1"/>
  <c r="V43" i="1" s="1"/>
  <c r="L43" i="1"/>
  <c r="AH42" i="1"/>
  <c r="P42" i="1"/>
  <c r="V42" i="1" s="1"/>
  <c r="L42" i="1"/>
  <c r="P41" i="1"/>
  <c r="V41" i="1" s="1"/>
  <c r="L41" i="1"/>
  <c r="P40" i="1"/>
  <c r="V40" i="1" s="1"/>
  <c r="R40" i="1" s="1"/>
  <c r="L40" i="1"/>
  <c r="P39" i="1"/>
  <c r="V39" i="1" s="1"/>
  <c r="R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R35" i="1" s="1"/>
  <c r="L35" i="1"/>
  <c r="P34" i="1"/>
  <c r="V34" i="1" s="1"/>
  <c r="R34" i="1" s="1"/>
  <c r="AJ34" i="1" s="1"/>
  <c r="AN34" i="1" s="1"/>
  <c r="L34" i="1"/>
  <c r="P33" i="1"/>
  <c r="L33" i="1"/>
  <c r="P32" i="1"/>
  <c r="V32" i="1" s="1"/>
  <c r="L32" i="1"/>
  <c r="P31" i="1"/>
  <c r="V31" i="1" s="1"/>
  <c r="R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R27" i="1" s="1"/>
  <c r="L27" i="1"/>
  <c r="P26" i="1"/>
  <c r="L26" i="1"/>
  <c r="P25" i="1"/>
  <c r="L25" i="1"/>
  <c r="P24" i="1"/>
  <c r="V24" i="1" s="1"/>
  <c r="R24" i="1" s="1"/>
  <c r="L24" i="1"/>
  <c r="P23" i="1"/>
  <c r="V23" i="1" s="1"/>
  <c r="L23" i="1"/>
  <c r="P22" i="1"/>
  <c r="V22" i="1" s="1"/>
  <c r="L22" i="1"/>
  <c r="P21" i="1"/>
  <c r="L21" i="1"/>
  <c r="P20" i="1"/>
  <c r="V20" i="1" s="1"/>
  <c r="L20" i="1"/>
  <c r="P19" i="1"/>
  <c r="V19" i="1" s="1"/>
  <c r="R19" i="1" s="1"/>
  <c r="L19" i="1"/>
  <c r="P18" i="1"/>
  <c r="V18" i="1" s="1"/>
  <c r="L18" i="1"/>
  <c r="P17" i="1"/>
  <c r="V17" i="1" s="1"/>
  <c r="L17" i="1"/>
  <c r="P16" i="1"/>
  <c r="L16" i="1"/>
  <c r="F16" i="1"/>
  <c r="P15" i="1"/>
  <c r="L15" i="1"/>
  <c r="P14" i="1"/>
  <c r="L14" i="1"/>
  <c r="P13" i="1"/>
  <c r="V13" i="1" s="1"/>
  <c r="R13" i="1" s="1"/>
  <c r="L13" i="1"/>
  <c r="P12" i="1"/>
  <c r="V12" i="1" s="1"/>
  <c r="R12" i="1" s="1"/>
  <c r="L12" i="1"/>
  <c r="P11" i="1"/>
  <c r="V11" i="1" s="1"/>
  <c r="L11" i="1"/>
  <c r="P10" i="1"/>
  <c r="V10" i="1" s="1"/>
  <c r="L10" i="1"/>
  <c r="P9" i="1"/>
  <c r="V9" i="1" s="1"/>
  <c r="L9" i="1"/>
  <c r="P8" i="1"/>
  <c r="V8" i="1" s="1"/>
  <c r="L8" i="1"/>
  <c r="P7" i="1"/>
  <c r="V7" i="1" s="1"/>
  <c r="L7" i="1"/>
  <c r="AJ6" i="1"/>
  <c r="AK6" i="1" s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AH34" i="1" l="1"/>
  <c r="R44" i="1"/>
  <c r="AJ44" i="1" s="1"/>
  <c r="AJ50" i="1"/>
  <c r="AN50" i="1" s="1"/>
  <c r="V26" i="1"/>
  <c r="V14" i="1"/>
  <c r="V33" i="1"/>
  <c r="V15" i="1"/>
  <c r="V25" i="1"/>
  <c r="V21" i="1"/>
  <c r="E5" i="1"/>
  <c r="V51" i="1"/>
  <c r="F5" i="1"/>
  <c r="V45" i="1"/>
  <c r="S42" i="1"/>
  <c r="U42" i="1" s="1"/>
  <c r="AH58" i="1"/>
  <c r="AJ58" i="1"/>
  <c r="AK58" i="1" s="1"/>
  <c r="AJ28" i="1"/>
  <c r="AN28" i="1" s="1"/>
  <c r="AH28" i="1"/>
  <c r="AH25" i="1"/>
  <c r="AJ25" i="1"/>
  <c r="S25" i="1" s="1"/>
  <c r="U25" i="1" s="1"/>
  <c r="AJ27" i="1"/>
  <c r="S27" i="1" s="1"/>
  <c r="U27" i="1" s="1"/>
  <c r="AH27" i="1"/>
  <c r="AJ54" i="1"/>
  <c r="AN54" i="1" s="1"/>
  <c r="AH54" i="1"/>
  <c r="AH6" i="1"/>
  <c r="V16" i="1"/>
  <c r="V56" i="1"/>
  <c r="U22" i="1"/>
  <c r="V54" i="1"/>
  <c r="AH11" i="1"/>
  <c r="S34" i="1"/>
  <c r="U34" i="1" s="1"/>
  <c r="AH30" i="1"/>
  <c r="S11" i="1"/>
  <c r="U11" i="1" s="1"/>
  <c r="L54" i="1"/>
  <c r="L5" i="1" s="1"/>
  <c r="AN11" i="1"/>
  <c r="AK42" i="1"/>
  <c r="AN6" i="1"/>
  <c r="AN59" i="1"/>
  <c r="U20" i="1"/>
  <c r="U8" i="1"/>
  <c r="AK34" i="1"/>
  <c r="S30" i="1"/>
  <c r="U30" i="1" s="1"/>
  <c r="S6" i="1"/>
  <c r="S59" i="1"/>
  <c r="U59" i="1" s="1"/>
  <c r="P5" i="1"/>
  <c r="U9" i="1"/>
  <c r="AK30" i="1"/>
  <c r="AH44" i="1" l="1"/>
  <c r="AN44" i="1"/>
  <c r="AK44" i="1"/>
  <c r="S44" i="1"/>
  <c r="U44" i="1" s="1"/>
  <c r="R56" i="1"/>
  <c r="AJ56" i="1" s="1"/>
  <c r="AH33" i="1"/>
  <c r="R26" i="1"/>
  <c r="AJ26" i="1" s="1"/>
  <c r="AK26" i="1" s="1"/>
  <c r="R16" i="1"/>
  <c r="AH16" i="1" s="1"/>
  <c r="R45" i="1"/>
  <c r="AJ45" i="1" s="1"/>
  <c r="S45" i="1" s="1"/>
  <c r="U45" i="1" s="1"/>
  <c r="AH51" i="1"/>
  <c r="AH21" i="1"/>
  <c r="R15" i="1"/>
  <c r="AH15" i="1" s="1"/>
  <c r="R14" i="1"/>
  <c r="AJ14" i="1" s="1"/>
  <c r="AN14" i="1" s="1"/>
  <c r="AJ51" i="1"/>
  <c r="AK51" i="1" s="1"/>
  <c r="AH50" i="1"/>
  <c r="AK50" i="1"/>
  <c r="S50" i="1"/>
  <c r="U50" i="1" s="1"/>
  <c r="AJ16" i="1"/>
  <c r="S16" i="1" s="1"/>
  <c r="U16" i="1" s="1"/>
  <c r="AN27" i="1"/>
  <c r="AK25" i="1"/>
  <c r="AJ64" i="1"/>
  <c r="AH64" i="1"/>
  <c r="AK27" i="1"/>
  <c r="S58" i="1"/>
  <c r="U58" i="1" s="1"/>
  <c r="AK28" i="1"/>
  <c r="AJ53" i="1"/>
  <c r="AH53" i="1"/>
  <c r="AJ23" i="1"/>
  <c r="AH23" i="1"/>
  <c r="AJ62" i="1"/>
  <c r="AH62" i="1"/>
  <c r="AJ52" i="1"/>
  <c r="AH52" i="1"/>
  <c r="AJ61" i="1"/>
  <c r="AH61" i="1"/>
  <c r="AJ32" i="1"/>
  <c r="AH32" i="1"/>
  <c r="AH41" i="1"/>
  <c r="AJ41" i="1"/>
  <c r="AJ10" i="1"/>
  <c r="AH10" i="1"/>
  <c r="AJ69" i="1"/>
  <c r="AH69" i="1"/>
  <c r="AJ19" i="1"/>
  <c r="AH19" i="1"/>
  <c r="AJ49" i="1"/>
  <c r="AH49" i="1"/>
  <c r="AJ60" i="1"/>
  <c r="AH60" i="1"/>
  <c r="AJ29" i="1"/>
  <c r="AH29" i="1"/>
  <c r="AJ40" i="1"/>
  <c r="AH40" i="1"/>
  <c r="AJ31" i="1"/>
  <c r="AH31" i="1"/>
  <c r="AH18" i="1"/>
  <c r="AJ18" i="1"/>
  <c r="AJ7" i="1"/>
  <c r="AH7" i="1"/>
  <c r="AJ12" i="1"/>
  <c r="AH12" i="1"/>
  <c r="AJ68" i="1"/>
  <c r="AH68" i="1"/>
  <c r="AJ39" i="1"/>
  <c r="AH39" i="1"/>
  <c r="AJ63" i="1"/>
  <c r="AH63" i="1"/>
  <c r="AJ48" i="1"/>
  <c r="AH48" i="1"/>
  <c r="AJ17" i="1"/>
  <c r="AH17" i="1"/>
  <c r="AJ13" i="1"/>
  <c r="AH13" i="1"/>
  <c r="AJ38" i="1"/>
  <c r="AH38" i="1"/>
  <c r="AK54" i="1"/>
  <c r="S54" i="1"/>
  <c r="U54" i="1" s="1"/>
  <c r="AJ43" i="1"/>
  <c r="AH43" i="1"/>
  <c r="AJ47" i="1"/>
  <c r="AH47" i="1"/>
  <c r="AJ57" i="1"/>
  <c r="AH57" i="1"/>
  <c r="S28" i="1"/>
  <c r="U28" i="1" s="1"/>
  <c r="AN25" i="1"/>
  <c r="AH66" i="1"/>
  <c r="AJ66" i="1"/>
  <c r="AJ37" i="1"/>
  <c r="AH37" i="1"/>
  <c r="AJ67" i="1"/>
  <c r="AH67" i="1"/>
  <c r="AN58" i="1"/>
  <c r="AJ46" i="1"/>
  <c r="AH46" i="1"/>
  <c r="AJ36" i="1"/>
  <c r="AH36" i="1"/>
  <c r="AJ65" i="1"/>
  <c r="AH65" i="1"/>
  <c r="AJ55" i="1"/>
  <c r="AH55" i="1"/>
  <c r="AJ24" i="1"/>
  <c r="AH24" i="1"/>
  <c r="AH35" i="1"/>
  <c r="AJ35" i="1"/>
  <c r="U6" i="1"/>
  <c r="AK45" i="1" l="1"/>
  <c r="AN26" i="1"/>
  <c r="AK14" i="1"/>
  <c r="AN45" i="1"/>
  <c r="R5" i="1"/>
  <c r="AK56" i="1"/>
  <c r="AN56" i="1"/>
  <c r="S26" i="1"/>
  <c r="U26" i="1" s="1"/>
  <c r="S14" i="1"/>
  <c r="U14" i="1" s="1"/>
  <c r="AH56" i="1"/>
  <c r="AJ33" i="1"/>
  <c r="AK33" i="1" s="1"/>
  <c r="AH14" i="1"/>
  <c r="AJ15" i="1"/>
  <c r="AJ21" i="1"/>
  <c r="AH45" i="1"/>
  <c r="AH26" i="1"/>
  <c r="S56" i="1"/>
  <c r="U56" i="1" s="1"/>
  <c r="AN21" i="1"/>
  <c r="AN51" i="1"/>
  <c r="AK16" i="1"/>
  <c r="AN16" i="1"/>
  <c r="S51" i="1"/>
  <c r="U51" i="1" s="1"/>
  <c r="AN64" i="1"/>
  <c r="S64" i="1"/>
  <c r="U64" i="1" s="1"/>
  <c r="AK64" i="1"/>
  <c r="S36" i="1"/>
  <c r="U36" i="1" s="1"/>
  <c r="AN36" i="1"/>
  <c r="AK36" i="1"/>
  <c r="AN13" i="1"/>
  <c r="S13" i="1"/>
  <c r="U13" i="1" s="1"/>
  <c r="AK13" i="1"/>
  <c r="AN41" i="1"/>
  <c r="AK41" i="1"/>
  <c r="S41" i="1"/>
  <c r="U41" i="1" s="1"/>
  <c r="AK32" i="1"/>
  <c r="S32" i="1"/>
  <c r="U32" i="1" s="1"/>
  <c r="AN32" i="1"/>
  <c r="S46" i="1"/>
  <c r="U46" i="1" s="1"/>
  <c r="AN46" i="1"/>
  <c r="AK46" i="1"/>
  <c r="S65" i="1"/>
  <c r="U65" i="1" s="1"/>
  <c r="AK65" i="1"/>
  <c r="AN65" i="1"/>
  <c r="AK61" i="1"/>
  <c r="AN61" i="1"/>
  <c r="S61" i="1"/>
  <c r="U61" i="1" s="1"/>
  <c r="S40" i="1"/>
  <c r="U40" i="1" s="1"/>
  <c r="AK40" i="1"/>
  <c r="AN40" i="1"/>
  <c r="AN66" i="1"/>
  <c r="S66" i="1"/>
  <c r="U66" i="1" s="1"/>
  <c r="AK66" i="1"/>
  <c r="S38" i="1"/>
  <c r="U38" i="1" s="1"/>
  <c r="AN38" i="1"/>
  <c r="AK38" i="1"/>
  <c r="AK52" i="1"/>
  <c r="AN52" i="1"/>
  <c r="S52" i="1"/>
  <c r="U52" i="1" s="1"/>
  <c r="S29" i="1"/>
  <c r="U29" i="1" s="1"/>
  <c r="AK29" i="1"/>
  <c r="AN29" i="1"/>
  <c r="AN10" i="1"/>
  <c r="S10" i="1"/>
  <c r="U10" i="1" s="1"/>
  <c r="AK10" i="1"/>
  <c r="AN31" i="1"/>
  <c r="AK31" i="1"/>
  <c r="S31" i="1"/>
  <c r="U31" i="1" s="1"/>
  <c r="AN35" i="1"/>
  <c r="S35" i="1"/>
  <c r="U35" i="1" s="1"/>
  <c r="AK35" i="1"/>
  <c r="AN49" i="1"/>
  <c r="S49" i="1"/>
  <c r="U49" i="1" s="1"/>
  <c r="AK49" i="1"/>
  <c r="AN62" i="1"/>
  <c r="S62" i="1"/>
  <c r="U62" i="1" s="1"/>
  <c r="AK62" i="1"/>
  <c r="S17" i="1"/>
  <c r="U17" i="1" s="1"/>
  <c r="AN17" i="1"/>
  <c r="AK17" i="1"/>
  <c r="AK60" i="1"/>
  <c r="S60" i="1"/>
  <c r="U60" i="1" s="1"/>
  <c r="AN60" i="1"/>
  <c r="AN7" i="1"/>
  <c r="S7" i="1"/>
  <c r="AK7" i="1"/>
  <c r="S67" i="1"/>
  <c r="U67" i="1" s="1"/>
  <c r="AN67" i="1"/>
  <c r="AK67" i="1"/>
  <c r="AK63" i="1"/>
  <c r="S63" i="1"/>
  <c r="U63" i="1" s="1"/>
  <c r="AN63" i="1"/>
  <c r="AN24" i="1"/>
  <c r="AK24" i="1"/>
  <c r="S24" i="1"/>
  <c r="U24" i="1" s="1"/>
  <c r="S68" i="1"/>
  <c r="U68" i="1" s="1"/>
  <c r="AK68" i="1"/>
  <c r="AN68" i="1"/>
  <c r="S19" i="1"/>
  <c r="U19" i="1" s="1"/>
  <c r="AK19" i="1"/>
  <c r="AN19" i="1"/>
  <c r="AN23" i="1"/>
  <c r="AK23" i="1"/>
  <c r="S23" i="1"/>
  <c r="U23" i="1" s="1"/>
  <c r="AN43" i="1"/>
  <c r="AK43" i="1"/>
  <c r="S43" i="1"/>
  <c r="U43" i="1" s="1"/>
  <c r="AN48" i="1"/>
  <c r="S48" i="1"/>
  <c r="U48" i="1" s="1"/>
  <c r="AK48" i="1"/>
  <c r="AK39" i="1"/>
  <c r="AN39" i="1"/>
  <c r="S39" i="1"/>
  <c r="U39" i="1" s="1"/>
  <c r="AN55" i="1"/>
  <c r="S55" i="1"/>
  <c r="U55" i="1" s="1"/>
  <c r="AK55" i="1"/>
  <c r="AN18" i="1"/>
  <c r="S18" i="1"/>
  <c r="U18" i="1" s="1"/>
  <c r="AK18" i="1"/>
  <c r="AK37" i="1"/>
  <c r="S37" i="1"/>
  <c r="U37" i="1" s="1"/>
  <c r="AN37" i="1"/>
  <c r="AN57" i="1"/>
  <c r="AK57" i="1"/>
  <c r="S57" i="1"/>
  <c r="U57" i="1" s="1"/>
  <c r="AN47" i="1"/>
  <c r="S47" i="1"/>
  <c r="U47" i="1" s="1"/>
  <c r="AK47" i="1"/>
  <c r="AK12" i="1"/>
  <c r="AN12" i="1"/>
  <c r="S12" i="1"/>
  <c r="U12" i="1" s="1"/>
  <c r="AK69" i="1"/>
  <c r="S69" i="1"/>
  <c r="U69" i="1" s="1"/>
  <c r="AN69" i="1"/>
  <c r="AK53" i="1"/>
  <c r="S53" i="1"/>
  <c r="U53" i="1" s="1"/>
  <c r="AN53" i="1"/>
  <c r="AN33" i="1" l="1"/>
  <c r="S33" i="1"/>
  <c r="U33" i="1" s="1"/>
  <c r="AH5" i="1"/>
  <c r="S21" i="1"/>
  <c r="U21" i="1" s="1"/>
  <c r="AK21" i="1"/>
  <c r="AJ5" i="1"/>
  <c r="AK15" i="1"/>
  <c r="AK5" i="1" s="1"/>
  <c r="AN15" i="1"/>
  <c r="S15" i="1"/>
  <c r="U15" i="1" s="1"/>
  <c r="U7" i="1"/>
  <c r="AN5" i="1" l="1"/>
  <c r="S5" i="1"/>
  <c r="AJ1" i="1" l="1"/>
</calcChain>
</file>

<file path=xl/sharedStrings.xml><?xml version="1.0" encoding="utf-8"?>
<sst xmlns="http://schemas.openxmlformats.org/spreadsheetml/2006/main" count="265" uniqueCount="180">
  <si>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</si>
  <si>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</si>
  <si>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</si>
  <si>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</si>
  <si>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</si>
  <si>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</si>
  <si>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</si>
  <si>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</si>
  <si>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</si>
  <si>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</si>
  <si>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</si>
  <si>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</si>
  <si>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</si>
  <si>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</si>
  <si>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</si>
  <si>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</si>
  <si>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</si>
  <si>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</si>
  <si>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</si>
  <si>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</si>
  <si>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</si>
  <si>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</si>
  <si>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</si>
  <si>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</si>
  <si>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</si>
  <si>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</si>
  <si>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</si>
  <si>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</si>
  <si>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</si>
  <si>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</si>
  <si>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</si>
  <si>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</si>
  <si>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</si>
  <si>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</si>
  <si>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</si>
  <si>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</si>
  <si>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</si>
  <si>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</si>
  <si>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</si>
  <si>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</si>
  <si>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</si>
  <si>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</si>
  <si>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</si>
  <si>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</si>
  <si>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</si>
  <si>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</si>
  <si>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</si>
  <si>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</si>
  <si>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</si>
  <si>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</si>
  <si>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</si>
  <si>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</si>
  <si>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</si>
  <si>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</si>
  <si>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</si>
  <si>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</si>
  <si>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</si>
  <si>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</si>
  <si>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</si>
  <si>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</si>
  <si>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</si>
  <si>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</si>
  <si>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</si>
  <si>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</si>
  <si>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</si>
  <si>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</si>
  <si>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</si>
  <si>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</si>
  <si>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</si>
  <si>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</si>
  <si>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</si>
  <si>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</si>
  <si>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</si>
  <si>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</si>
  <si>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</si>
  <si>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</si>
  <si>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</si>
  <si>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</si>
  <si>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</si>
  <si>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</si>
  <si>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</si>
  <si>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</si>
  <si>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</si>
  <si>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</si>
  <si>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</si>
  <si>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</si>
  <si>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</si>
  <si>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</si>
  <si>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</si>
  <si>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</si>
  <si>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</si>
  <si>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</si>
  <si>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</si>
  <si>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нужно увеличить продажи!!!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</si>
  <si>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</si>
  <si>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</si>
  <si>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</si>
  <si>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</si>
  <si>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</si>
  <si>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</si>
  <si>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</si>
  <si>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</si>
  <si>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</si>
  <si>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</si>
  <si>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</si>
  <si>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</si>
  <si>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</si>
  <si>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</si>
  <si>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</si>
  <si>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</si>
  <si>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</si>
  <si>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</si>
  <si>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</si>
  <si>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</si>
  <si>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</si>
  <si>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</si>
  <si>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</si>
  <si>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</si>
  <si>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</si>
  <si>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</si>
  <si>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</si>
  <si>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</si>
  <si>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</si>
  <si>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</si>
  <si>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</si>
  <si>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</si>
  <si>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</si>
  <si>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</si>
  <si>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</si>
  <si>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</si>
  <si>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</si>
  <si>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</si>
  <si>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</si>
  <si>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</si>
  <si>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</si>
  <si>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</si>
  <si>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</si>
  <si>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</si>
  <si>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</si>
  <si>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</si>
  <si>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</si>
  <si>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</si>
  <si>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</si>
  <si>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</si>
  <si>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</si>
  <si>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</si>
  <si>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</si>
  <si>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</si>
  <si>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</si>
  <si>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</si>
  <si>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</si>
  <si>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</si>
  <si>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</si>
  <si>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</si>
  <si>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</si>
  <si>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</si>
  <si>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</si>
  <si>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</si>
  <si>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</si>
  <si>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</si>
  <si>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</si>
  <si>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</si>
  <si>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</si>
  <si>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</si>
  <si>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</si>
  <si>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</si>
  <si>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</si>
  <si>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</si>
  <si>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</si>
  <si>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</si>
  <si>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</si>
  <si>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</si>
  <si>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</si>
  <si>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</si>
  <si>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</si>
  <si>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итого</t>
  </si>
  <si>
    <t>ТК</t>
  </si>
  <si>
    <t>Боярко</t>
  </si>
  <si>
    <t>дн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</si>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</sst>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1" xfId="1" applyNumberFormat="1" applyFill="1"/>
    <xf numFmtId="164" fontId="6" fillId="0" borderId="1" xfId="1" applyNumberFormat="1" applyFont="1"/>
    <xf numFmtId="164" fontId="1" fillId="7" borderId="2" xfId="1" applyNumberFormat="1" applyFill="1" applyBorder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7,08,26%20&#1084;&#1083;&#1088;&#1089;&#1095;%20&#1087;&#1086;&#1082;%20&#1079;&#1087;&#10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270826%20&#1073;&#1088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J5">
            <v>628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24,08,</v>
          </cell>
          <cell r="P4" t="str">
            <v>27,08,</v>
          </cell>
        </row>
        <row r="5">
          <cell r="E5">
            <v>10396</v>
          </cell>
          <cell r="F5">
            <v>9373.1</v>
          </cell>
          <cell r="K5">
            <v>12007.1</v>
          </cell>
          <cell r="L5">
            <v>-1611.1</v>
          </cell>
          <cell r="M5">
            <v>0</v>
          </cell>
          <cell r="N5">
            <v>0</v>
          </cell>
          <cell r="O5">
            <v>20416</v>
          </cell>
          <cell r="P5">
            <v>2079.2000000000003</v>
          </cell>
          <cell r="Q5">
            <v>5604.9800000000014</v>
          </cell>
          <cell r="R5">
            <v>6049.6</v>
          </cell>
        </row>
        <row r="6">
          <cell r="A6" t="str">
            <v>SU004031 Чебупицца со вкусом Утка по-пекински ТМ Горячая штучка ТС Чебупицца ф/в 0,23 кг.</v>
          </cell>
          <cell r="B6" t="str">
            <v>шт</v>
          </cell>
          <cell r="G6">
            <v>0.23</v>
          </cell>
          <cell r="I6" t="str">
            <v>матрица</v>
          </cell>
          <cell r="L6">
            <v>0</v>
          </cell>
          <cell r="O6">
            <v>504</v>
          </cell>
          <cell r="P6">
            <v>0</v>
          </cell>
          <cell r="R6">
            <v>0</v>
          </cell>
        </row>
        <row r="7">
          <cell r="A7" t="str">
            <v>SU004097 Чебупели со вкусом Фо Бо ТМ Горячая штучка ф/в 0,22 кг УМК МГ</v>
          </cell>
          <cell r="B7" t="str">
            <v>шт</v>
          </cell>
          <cell r="G7">
            <v>0.22</v>
          </cell>
          <cell r="I7" t="str">
            <v>матрица</v>
          </cell>
          <cell r="L7">
            <v>0</v>
          </cell>
          <cell r="O7">
            <v>252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-27</v>
          </cell>
          <cell r="F8">
            <v>-27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L8">
            <v>0</v>
          </cell>
          <cell r="P8">
            <v>0</v>
          </cell>
        </row>
        <row r="9">
          <cell r="A9" t="str">
            <v>БОНУС_Пирожки с мясом 3,7кг ВЕС ТМ Зареченские  ПОКОМ</v>
          </cell>
          <cell r="B9" t="str">
            <v>кг</v>
          </cell>
          <cell r="C9">
            <v>7.4</v>
          </cell>
          <cell r="E9">
            <v>3.7</v>
          </cell>
          <cell r="F9">
            <v>3.7</v>
          </cell>
          <cell r="G9">
            <v>0</v>
          </cell>
          <cell r="I9" t="str">
            <v>бонус</v>
          </cell>
          <cell r="J9" t="str">
            <v>Пирожки с мясом 3,7кг ВЕС ТМ Зареченские  ПОКОМ</v>
          </cell>
          <cell r="K9">
            <v>3.7</v>
          </cell>
          <cell r="L9">
            <v>0</v>
          </cell>
          <cell r="P9">
            <v>0.74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75</v>
          </cell>
          <cell r="E10">
            <v>14</v>
          </cell>
          <cell r="F10">
            <v>61</v>
          </cell>
          <cell r="G10">
            <v>0.22</v>
          </cell>
          <cell r="H10">
            <v>180</v>
          </cell>
          <cell r="I10" t="str">
            <v>P005065</v>
          </cell>
          <cell r="K10">
            <v>14</v>
          </cell>
          <cell r="L10">
            <v>0</v>
          </cell>
          <cell r="O10">
            <v>168</v>
          </cell>
          <cell r="P10">
            <v>2.8</v>
          </cell>
          <cell r="R10">
            <v>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162</v>
          </cell>
          <cell r="E11">
            <v>62</v>
          </cell>
          <cell r="F11">
            <v>89</v>
          </cell>
          <cell r="G11">
            <v>0.3</v>
          </cell>
          <cell r="H11">
            <v>180</v>
          </cell>
          <cell r="I11" t="str">
            <v>P004598</v>
          </cell>
          <cell r="K11">
            <v>62</v>
          </cell>
          <cell r="L11">
            <v>0</v>
          </cell>
          <cell r="O11">
            <v>168</v>
          </cell>
          <cell r="P11">
            <v>12.4</v>
          </cell>
          <cell r="R11">
            <v>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426</v>
          </cell>
          <cell r="D12">
            <v>2</v>
          </cell>
          <cell r="E12">
            <v>176</v>
          </cell>
          <cell r="F12">
            <v>163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208</v>
          </cell>
          <cell r="L12">
            <v>-32</v>
          </cell>
          <cell r="O12">
            <v>420</v>
          </cell>
          <cell r="P12">
            <v>35.200000000000003</v>
          </cell>
          <cell r="R12">
            <v>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447</v>
          </cell>
          <cell r="D13">
            <v>28</v>
          </cell>
          <cell r="E13">
            <v>327</v>
          </cell>
          <cell r="F13">
            <v>26</v>
          </cell>
          <cell r="G13">
            <v>0.24</v>
          </cell>
          <cell r="H13">
            <v>180</v>
          </cell>
          <cell r="I13" t="str">
            <v>P004969</v>
          </cell>
          <cell r="K13">
            <v>355</v>
          </cell>
          <cell r="L13">
            <v>-28</v>
          </cell>
          <cell r="O13">
            <v>672</v>
          </cell>
          <cell r="P13">
            <v>65.400000000000006</v>
          </cell>
          <cell r="Q13">
            <v>217.60000000000014</v>
          </cell>
          <cell r="R13">
            <v>168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568</v>
          </cell>
          <cell r="D14">
            <v>28</v>
          </cell>
          <cell r="E14">
            <v>411</v>
          </cell>
          <cell r="F14">
            <v>148</v>
          </cell>
          <cell r="G14">
            <v>0.24</v>
          </cell>
          <cell r="H14">
            <v>180</v>
          </cell>
          <cell r="I14" t="str">
            <v>P004971</v>
          </cell>
          <cell r="K14">
            <v>405</v>
          </cell>
          <cell r="L14">
            <v>6</v>
          </cell>
          <cell r="O14">
            <v>840</v>
          </cell>
          <cell r="P14">
            <v>82.2</v>
          </cell>
          <cell r="Q14">
            <v>162.79999999999995</v>
          </cell>
          <cell r="R14">
            <v>168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339</v>
          </cell>
          <cell r="D15">
            <v>3</v>
          </cell>
          <cell r="E15">
            <v>212</v>
          </cell>
          <cell r="F15">
            <v>85</v>
          </cell>
          <cell r="G15">
            <v>0.24</v>
          </cell>
          <cell r="H15">
            <v>180</v>
          </cell>
          <cell r="I15" t="str">
            <v>P004974</v>
          </cell>
          <cell r="K15">
            <v>221</v>
          </cell>
          <cell r="L15">
            <v>-9</v>
          </cell>
          <cell r="O15">
            <v>168</v>
          </cell>
          <cell r="P15">
            <v>42.4</v>
          </cell>
          <cell r="Q15">
            <v>340.6</v>
          </cell>
          <cell r="R15">
            <v>336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1076</v>
          </cell>
          <cell r="D16">
            <v>5</v>
          </cell>
          <cell r="E16">
            <v>462</v>
          </cell>
          <cell r="F16">
            <v>496</v>
          </cell>
          <cell r="G16">
            <v>0.24</v>
          </cell>
          <cell r="H16">
            <v>180</v>
          </cell>
          <cell r="I16" t="str">
            <v>P004966</v>
          </cell>
          <cell r="K16">
            <v>490</v>
          </cell>
          <cell r="L16">
            <v>-28</v>
          </cell>
          <cell r="O16">
            <v>168</v>
          </cell>
          <cell r="P16">
            <v>92.4</v>
          </cell>
          <cell r="Q16">
            <v>629.60000000000014</v>
          </cell>
          <cell r="R16">
            <v>672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C17">
            <v>179</v>
          </cell>
          <cell r="D17">
            <v>14</v>
          </cell>
          <cell r="E17">
            <v>57</v>
          </cell>
          <cell r="F17">
            <v>120</v>
          </cell>
          <cell r="G17">
            <v>0.48</v>
          </cell>
          <cell r="H17">
            <v>180</v>
          </cell>
          <cell r="I17" t="str">
            <v>P004595</v>
          </cell>
          <cell r="K17">
            <v>57</v>
          </cell>
          <cell r="L17">
            <v>0</v>
          </cell>
          <cell r="O17">
            <v>112</v>
          </cell>
          <cell r="P17">
            <v>11.4</v>
          </cell>
          <cell r="R17">
            <v>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321</v>
          </cell>
          <cell r="E18">
            <v>203</v>
          </cell>
          <cell r="F18">
            <v>68</v>
          </cell>
          <cell r="G18">
            <v>0.09</v>
          </cell>
          <cell r="H18">
            <v>180</v>
          </cell>
          <cell r="I18" t="str">
            <v>P004138</v>
          </cell>
          <cell r="K18">
            <v>195</v>
          </cell>
          <cell r="L18">
            <v>8</v>
          </cell>
          <cell r="O18">
            <v>336</v>
          </cell>
          <cell r="P18">
            <v>40.6</v>
          </cell>
          <cell r="Q18">
            <v>205</v>
          </cell>
          <cell r="R18">
            <v>336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236</v>
          </cell>
          <cell r="D19">
            <v>1</v>
          </cell>
          <cell r="E19">
            <v>79</v>
          </cell>
          <cell r="F19">
            <v>151</v>
          </cell>
          <cell r="G19">
            <v>0.36</v>
          </cell>
          <cell r="H19">
            <v>180</v>
          </cell>
          <cell r="I19" t="str">
            <v>P004583</v>
          </cell>
          <cell r="K19">
            <v>82</v>
          </cell>
          <cell r="L19">
            <v>-3</v>
          </cell>
          <cell r="O19">
            <v>140</v>
          </cell>
          <cell r="P19">
            <v>15.8</v>
          </cell>
          <cell r="R19">
            <v>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7</v>
          </cell>
          <cell r="L20">
            <v>-7</v>
          </cell>
          <cell r="P20">
            <v>0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C21">
            <v>140</v>
          </cell>
          <cell r="E21">
            <v>49</v>
          </cell>
          <cell r="F21">
            <v>83</v>
          </cell>
          <cell r="G21">
            <v>0.2</v>
          </cell>
          <cell r="H21">
            <v>180</v>
          </cell>
          <cell r="I21" t="str">
            <v>P005129</v>
          </cell>
          <cell r="K21">
            <v>49</v>
          </cell>
          <cell r="L21">
            <v>0</v>
          </cell>
          <cell r="O21">
            <v>0</v>
          </cell>
          <cell r="P21">
            <v>9.8000000000000007</v>
          </cell>
          <cell r="Q21">
            <v>93.4</v>
          </cell>
          <cell r="R21">
            <v>168</v>
          </cell>
        </row>
        <row r="22">
          <cell r="A22" t="str">
            <v>Круггетсы с сырным соусом ТМ Горячая штучка 0,25 кг зам  ПОКОМ</v>
          </cell>
          <cell r="B22" t="str">
            <v>шт</v>
          </cell>
          <cell r="C22">
            <v>836</v>
          </cell>
          <cell r="G22">
            <v>0</v>
          </cell>
          <cell r="I22" t="str">
            <v>дубль</v>
          </cell>
          <cell r="J22" t="str">
            <v>Круггетсы с сырным соусом ТМ Горячая штучка ТС Круггетсы флоу-пак 0,2 кг  ПОКОМ</v>
          </cell>
          <cell r="L22">
            <v>0</v>
          </cell>
          <cell r="P22">
            <v>0</v>
          </cell>
        </row>
        <row r="23">
          <cell r="A23" t="str">
            <v>Круггетсы с сырным соусом ТМ Горячая штучка ТС Круггетсы флоу-пак 0,2 кг  ПОКОМ</v>
          </cell>
          <cell r="B23" t="str">
            <v>шт</v>
          </cell>
          <cell r="C23">
            <v>-214</v>
          </cell>
          <cell r="D23">
            <v>955</v>
          </cell>
          <cell r="E23">
            <v>162</v>
          </cell>
          <cell r="F23">
            <v>538</v>
          </cell>
          <cell r="G23">
            <v>0.2</v>
          </cell>
          <cell r="H23">
            <v>180</v>
          </cell>
          <cell r="I23" t="str">
            <v>P004956</v>
          </cell>
          <cell r="K23">
            <v>167</v>
          </cell>
          <cell r="L23">
            <v>-5</v>
          </cell>
          <cell r="O23">
            <v>168</v>
          </cell>
          <cell r="P23">
            <v>32.4</v>
          </cell>
          <cell r="R23">
            <v>0</v>
          </cell>
        </row>
        <row r="24">
          <cell r="A24" t="str">
            <v>Круггетсы сочные ТМ Горячая штучка ТС Круггетсы флоу-пак  0,2 кг.  ПОКОМ</v>
          </cell>
          <cell r="B24" t="str">
            <v>шт</v>
          </cell>
          <cell r="C24">
            <v>237</v>
          </cell>
          <cell r="D24">
            <v>32</v>
          </cell>
          <cell r="E24">
            <v>215</v>
          </cell>
          <cell r="F24">
            <v>43</v>
          </cell>
          <cell r="G24">
            <v>0.2</v>
          </cell>
          <cell r="H24">
            <v>180</v>
          </cell>
          <cell r="I24" t="str">
            <v>P004953</v>
          </cell>
          <cell r="K24">
            <v>217</v>
          </cell>
          <cell r="L24">
            <v>-2</v>
          </cell>
          <cell r="O24">
            <v>168</v>
          </cell>
          <cell r="P24">
            <v>43</v>
          </cell>
          <cell r="Q24">
            <v>391</v>
          </cell>
          <cell r="R24">
            <v>336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180</v>
          </cell>
          <cell r="E25">
            <v>50</v>
          </cell>
          <cell r="F25">
            <v>125</v>
          </cell>
          <cell r="G25">
            <v>1</v>
          </cell>
          <cell r="H25">
            <v>180</v>
          </cell>
          <cell r="I25" t="str">
            <v>P005235</v>
          </cell>
          <cell r="K25">
            <v>50</v>
          </cell>
          <cell r="L25">
            <v>0</v>
          </cell>
          <cell r="O25">
            <v>0</v>
          </cell>
          <cell r="P25">
            <v>10</v>
          </cell>
          <cell r="Q25">
            <v>35</v>
          </cell>
          <cell r="R25">
            <v>60</v>
          </cell>
          <cell r="S25" t="str">
            <v>250кг</v>
          </cell>
        </row>
        <row r="26">
          <cell r="A26" t="str">
            <v>Мини-шарики с курочкой и сыром ТМ Зареченские ВЕС ПОКОМ</v>
          </cell>
          <cell r="B26" t="str">
            <v>кг</v>
          </cell>
          <cell r="C26">
            <v>126</v>
          </cell>
          <cell r="D26">
            <v>3</v>
          </cell>
          <cell r="E26">
            <v>39</v>
          </cell>
          <cell r="F26">
            <v>69</v>
          </cell>
          <cell r="G26">
            <v>1</v>
          </cell>
          <cell r="H26">
            <v>180</v>
          </cell>
          <cell r="I26" t="str">
            <v>P004394</v>
          </cell>
          <cell r="K26">
            <v>45</v>
          </cell>
          <cell r="L26">
            <v>-6</v>
          </cell>
          <cell r="O26">
            <v>0</v>
          </cell>
          <cell r="P26">
            <v>7.8</v>
          </cell>
          <cell r="Q26">
            <v>40.200000000000003</v>
          </cell>
          <cell r="R26">
            <v>42</v>
          </cell>
        </row>
        <row r="27">
          <cell r="A27" t="str">
            <v>Наггетсы Нагетосы Сочная курочка ТМ Горячая штучка 0,25 кг зам  ПОКОМ</v>
          </cell>
          <cell r="B27" t="str">
            <v>шт</v>
          </cell>
          <cell r="C27">
            <v>636</v>
          </cell>
          <cell r="D27">
            <v>15</v>
          </cell>
          <cell r="E27">
            <v>389</v>
          </cell>
          <cell r="F27">
            <v>192</v>
          </cell>
          <cell r="G27">
            <v>0.25</v>
          </cell>
          <cell r="H27">
            <v>365</v>
          </cell>
          <cell r="I27" t="str">
            <v>P004602</v>
          </cell>
          <cell r="K27">
            <v>390</v>
          </cell>
          <cell r="L27">
            <v>-1</v>
          </cell>
          <cell r="O27">
            <v>1008</v>
          </cell>
          <cell r="P27">
            <v>77.8</v>
          </cell>
          <cell r="R27">
            <v>0</v>
          </cell>
        </row>
        <row r="28">
          <cell r="A28" t="str">
            <v>Наггетсы Нагетосы Сочная курочка со сметаной и зеленью ТМ Горячая штучка флоу-пак 0,25 кг  Поком</v>
          </cell>
          <cell r="B28" t="str">
            <v>шт</v>
          </cell>
          <cell r="C28">
            <v>15</v>
          </cell>
          <cell r="E28">
            <v>16</v>
          </cell>
          <cell r="G28">
            <v>0.25</v>
          </cell>
          <cell r="H28">
            <v>365</v>
          </cell>
          <cell r="I28" t="str">
            <v>P004600</v>
          </cell>
          <cell r="K28">
            <v>108</v>
          </cell>
          <cell r="L28">
            <v>-92</v>
          </cell>
          <cell r="O28">
            <v>504</v>
          </cell>
          <cell r="P28">
            <v>3.2</v>
          </cell>
          <cell r="R28">
            <v>0</v>
          </cell>
        </row>
        <row r="29">
          <cell r="A29" t="str">
            <v>Наггетсы Хрустящие ТМ Зареченские ТС Зареченские продукты. Поком</v>
          </cell>
          <cell r="B29" t="str">
            <v>кг</v>
          </cell>
          <cell r="C29">
            <v>378</v>
          </cell>
          <cell r="E29">
            <v>96</v>
          </cell>
          <cell r="F29">
            <v>264</v>
          </cell>
          <cell r="G29">
            <v>1</v>
          </cell>
          <cell r="H29">
            <v>180</v>
          </cell>
          <cell r="I29" t="str">
            <v>P003486</v>
          </cell>
          <cell r="K29">
            <v>97</v>
          </cell>
          <cell r="L29">
            <v>-1</v>
          </cell>
          <cell r="O29">
            <v>0</v>
          </cell>
          <cell r="P29">
            <v>19.2</v>
          </cell>
          <cell r="R29">
            <v>0</v>
          </cell>
          <cell r="S29" t="str">
            <v>300кг</v>
          </cell>
        </row>
        <row r="30">
          <cell r="A30" t="str">
            <v>Наггетсы Хрустящие ТМ Стародворье с сочной курочкой 0,23 кг  ПОКОМ</v>
          </cell>
          <cell r="B30" t="str">
            <v>шт</v>
          </cell>
          <cell r="C30">
            <v>349</v>
          </cell>
          <cell r="E30">
            <v>35</v>
          </cell>
          <cell r="F30">
            <v>298</v>
          </cell>
          <cell r="G30">
            <v>0.23</v>
          </cell>
          <cell r="H30">
            <v>180</v>
          </cell>
          <cell r="I30" t="str">
            <v>P005043</v>
          </cell>
          <cell r="K30">
            <v>35</v>
          </cell>
          <cell r="L30">
            <v>0</v>
          </cell>
          <cell r="O30">
            <v>0</v>
          </cell>
          <cell r="P30">
            <v>7</v>
          </cell>
          <cell r="R30">
            <v>0</v>
          </cell>
        </row>
        <row r="31">
          <cell r="A31" t="str">
            <v>Наггетсы из печи 0,25кг ТМ Вязанка замор.  ПОКОМ</v>
          </cell>
          <cell r="B31" t="str">
            <v>шт</v>
          </cell>
          <cell r="C31">
            <v>670</v>
          </cell>
          <cell r="D31">
            <v>69</v>
          </cell>
          <cell r="E31">
            <v>298</v>
          </cell>
          <cell r="F31">
            <v>352</v>
          </cell>
          <cell r="G31">
            <v>0.25</v>
          </cell>
          <cell r="H31">
            <v>365</v>
          </cell>
          <cell r="I31" t="str">
            <v>P004497</v>
          </cell>
          <cell r="K31">
            <v>332</v>
          </cell>
          <cell r="L31">
            <v>-34</v>
          </cell>
          <cell r="O31">
            <v>504</v>
          </cell>
          <cell r="P31">
            <v>59.6</v>
          </cell>
          <cell r="R31">
            <v>0</v>
          </cell>
        </row>
        <row r="32">
          <cell r="A32" t="str">
            <v>Наггетсы с индейкой 0,25кг ТМ Вязанка ТС Из печи Сливушки ПОКОМ</v>
          </cell>
          <cell r="B32" t="str">
            <v>шт</v>
          </cell>
          <cell r="C32">
            <v>372</v>
          </cell>
          <cell r="D32">
            <v>68</v>
          </cell>
          <cell r="E32">
            <v>235</v>
          </cell>
          <cell r="F32">
            <v>130</v>
          </cell>
          <cell r="G32">
            <v>0.25</v>
          </cell>
          <cell r="H32">
            <v>365</v>
          </cell>
          <cell r="I32" t="str">
            <v>P004496</v>
          </cell>
          <cell r="K32">
            <v>277</v>
          </cell>
          <cell r="L32">
            <v>-42</v>
          </cell>
          <cell r="O32">
            <v>504</v>
          </cell>
          <cell r="P32">
            <v>47</v>
          </cell>
          <cell r="Q32">
            <v>118</v>
          </cell>
          <cell r="R32">
            <v>168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220</v>
          </cell>
          <cell r="D33">
            <v>5</v>
          </cell>
          <cell r="E33">
            <v>156</v>
          </cell>
          <cell r="F33">
            <v>46</v>
          </cell>
          <cell r="G33">
            <v>0.25</v>
          </cell>
          <cell r="H33">
            <v>180</v>
          </cell>
          <cell r="I33" t="str">
            <v>P004535</v>
          </cell>
          <cell r="K33">
            <v>169</v>
          </cell>
          <cell r="L33">
            <v>-13</v>
          </cell>
          <cell r="O33">
            <v>336</v>
          </cell>
          <cell r="P33">
            <v>31.2</v>
          </cell>
          <cell r="Q33">
            <v>86</v>
          </cell>
          <cell r="R33">
            <v>168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187</v>
          </cell>
          <cell r="D34">
            <v>32</v>
          </cell>
          <cell r="E34">
            <v>115</v>
          </cell>
          <cell r="F34">
            <v>95</v>
          </cell>
          <cell r="G34">
            <v>0.25</v>
          </cell>
          <cell r="H34">
            <v>180</v>
          </cell>
          <cell r="I34" t="str">
            <v>P004594</v>
          </cell>
          <cell r="K34">
            <v>119</v>
          </cell>
          <cell r="L34">
            <v>-4</v>
          </cell>
          <cell r="O34">
            <v>336</v>
          </cell>
          <cell r="P34">
            <v>23</v>
          </cell>
          <cell r="R34">
            <v>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146</v>
          </cell>
          <cell r="E35">
            <v>87</v>
          </cell>
          <cell r="F35">
            <v>49</v>
          </cell>
          <cell r="G35">
            <v>0.7</v>
          </cell>
          <cell r="H35">
            <v>180</v>
          </cell>
          <cell r="I35" t="str">
            <v>P004887</v>
          </cell>
          <cell r="K35">
            <v>78</v>
          </cell>
          <cell r="L35">
            <v>9</v>
          </cell>
          <cell r="O35">
            <v>192</v>
          </cell>
          <cell r="P35">
            <v>17.399999999999999</v>
          </cell>
          <cell r="R35">
            <v>0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42</v>
          </cell>
          <cell r="E36">
            <v>38</v>
          </cell>
          <cell r="F36">
            <v>3</v>
          </cell>
          <cell r="G36">
            <v>0.7</v>
          </cell>
          <cell r="H36">
            <v>180</v>
          </cell>
          <cell r="I36" t="str">
            <v>P004889</v>
          </cell>
          <cell r="K36">
            <v>52</v>
          </cell>
          <cell r="L36">
            <v>-14</v>
          </cell>
          <cell r="O36">
            <v>192</v>
          </cell>
          <cell r="P36">
            <v>7.6</v>
          </cell>
          <cell r="R36">
            <v>0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7</v>
          </cell>
          <cell r="D37">
            <v>5</v>
          </cell>
          <cell r="E37">
            <v>7</v>
          </cell>
          <cell r="F37">
            <v>3</v>
          </cell>
          <cell r="G37">
            <v>0.7</v>
          </cell>
          <cell r="H37">
            <v>180</v>
          </cell>
          <cell r="I37" t="str">
            <v>P004888</v>
          </cell>
          <cell r="K37">
            <v>75</v>
          </cell>
          <cell r="L37">
            <v>-68</v>
          </cell>
          <cell r="O37">
            <v>0</v>
          </cell>
          <cell r="P37">
            <v>1.4</v>
          </cell>
          <cell r="Q37">
            <v>0</v>
          </cell>
          <cell r="R37">
            <v>0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309</v>
          </cell>
          <cell r="D38">
            <v>43</v>
          </cell>
          <cell r="E38">
            <v>248</v>
          </cell>
          <cell r="F38">
            <v>41</v>
          </cell>
          <cell r="G38">
            <v>0.7</v>
          </cell>
          <cell r="H38">
            <v>180</v>
          </cell>
          <cell r="I38" t="str">
            <v>P004440</v>
          </cell>
          <cell r="K38">
            <v>261</v>
          </cell>
          <cell r="L38">
            <v>-13</v>
          </cell>
          <cell r="O38">
            <v>600</v>
          </cell>
          <cell r="P38">
            <v>49.6</v>
          </cell>
          <cell r="Q38">
            <v>103</v>
          </cell>
          <cell r="R38">
            <v>120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166</v>
          </cell>
          <cell r="D39">
            <v>33</v>
          </cell>
          <cell r="E39">
            <v>165</v>
          </cell>
          <cell r="F39">
            <v>7</v>
          </cell>
          <cell r="G39">
            <v>0.7</v>
          </cell>
          <cell r="H39">
            <v>180</v>
          </cell>
          <cell r="I39" t="str">
            <v>P004442</v>
          </cell>
          <cell r="K39">
            <v>167</v>
          </cell>
          <cell r="L39">
            <v>-2</v>
          </cell>
          <cell r="O39">
            <v>360</v>
          </cell>
          <cell r="P39">
            <v>33</v>
          </cell>
          <cell r="Q39">
            <v>95</v>
          </cell>
          <cell r="R39">
            <v>120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226</v>
          </cell>
          <cell r="D40">
            <v>34</v>
          </cell>
          <cell r="E40">
            <v>230</v>
          </cell>
          <cell r="F40">
            <v>5</v>
          </cell>
          <cell r="G40">
            <v>0.7</v>
          </cell>
          <cell r="H40">
            <v>180</v>
          </cell>
          <cell r="I40" t="str">
            <v>P004203</v>
          </cell>
          <cell r="K40">
            <v>343</v>
          </cell>
          <cell r="L40">
            <v>-113</v>
          </cell>
          <cell r="O40">
            <v>840</v>
          </cell>
          <cell r="P40">
            <v>46</v>
          </cell>
          <cell r="R40">
            <v>0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214</v>
          </cell>
          <cell r="D41">
            <v>27</v>
          </cell>
          <cell r="E41">
            <v>59</v>
          </cell>
          <cell r="F41">
            <v>120</v>
          </cell>
          <cell r="G41">
            <v>0.7</v>
          </cell>
          <cell r="H41">
            <v>180</v>
          </cell>
          <cell r="I41" t="str">
            <v>P004819</v>
          </cell>
          <cell r="K41">
            <v>62</v>
          </cell>
          <cell r="L41">
            <v>-3</v>
          </cell>
          <cell r="O41">
            <v>240</v>
          </cell>
          <cell r="P41">
            <v>11.8</v>
          </cell>
          <cell r="R41">
            <v>0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100</v>
          </cell>
          <cell r="D42">
            <v>5</v>
          </cell>
          <cell r="E42">
            <v>50</v>
          </cell>
          <cell r="G42">
            <v>1</v>
          </cell>
          <cell r="H42">
            <v>180</v>
          </cell>
          <cell r="I42" t="str">
            <v>ВНИМАНИЕ / P003697</v>
          </cell>
          <cell r="K42">
            <v>735</v>
          </cell>
          <cell r="L42">
            <v>-685</v>
          </cell>
          <cell r="O42">
            <v>1320</v>
          </cell>
          <cell r="P42">
            <v>10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1348</v>
          </cell>
          <cell r="D43">
            <v>37</v>
          </cell>
          <cell r="E43">
            <v>188</v>
          </cell>
          <cell r="F43">
            <v>1163</v>
          </cell>
          <cell r="G43">
            <v>0.4</v>
          </cell>
          <cell r="H43">
            <v>180</v>
          </cell>
          <cell r="I43" t="str">
            <v>P004474</v>
          </cell>
          <cell r="K43">
            <v>340</v>
          </cell>
          <cell r="L43">
            <v>-152</v>
          </cell>
          <cell r="O43">
            <v>0</v>
          </cell>
          <cell r="P43">
            <v>37.6</v>
          </cell>
          <cell r="R43">
            <v>0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1063</v>
          </cell>
          <cell r="D44">
            <v>2</v>
          </cell>
          <cell r="E44">
            <v>458</v>
          </cell>
          <cell r="F44">
            <v>471</v>
          </cell>
          <cell r="G44">
            <v>0.7</v>
          </cell>
          <cell r="H44">
            <v>180</v>
          </cell>
          <cell r="I44" t="str">
            <v>P004345</v>
          </cell>
          <cell r="K44">
            <v>449</v>
          </cell>
          <cell r="L44">
            <v>9</v>
          </cell>
          <cell r="O44">
            <v>840</v>
          </cell>
          <cell r="P44">
            <v>91.6</v>
          </cell>
          <cell r="R44">
            <v>0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616</v>
          </cell>
          <cell r="D45">
            <v>18</v>
          </cell>
          <cell r="E45">
            <v>399</v>
          </cell>
          <cell r="F45">
            <v>137</v>
          </cell>
          <cell r="G45">
            <v>0.4</v>
          </cell>
          <cell r="H45">
            <v>180</v>
          </cell>
          <cell r="I45" t="str">
            <v>P004444</v>
          </cell>
          <cell r="K45">
            <v>405</v>
          </cell>
          <cell r="L45">
            <v>-6</v>
          </cell>
          <cell r="O45">
            <v>576</v>
          </cell>
          <cell r="P45">
            <v>79.8</v>
          </cell>
          <cell r="Q45">
            <v>404.20000000000005</v>
          </cell>
          <cell r="R45">
            <v>384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1245</v>
          </cell>
          <cell r="D46">
            <v>4</v>
          </cell>
          <cell r="E46">
            <v>687</v>
          </cell>
          <cell r="F46">
            <v>403</v>
          </cell>
          <cell r="G46">
            <v>0.7</v>
          </cell>
          <cell r="H46">
            <v>180</v>
          </cell>
          <cell r="I46" t="str">
            <v>P004346</v>
          </cell>
          <cell r="K46">
            <v>681</v>
          </cell>
          <cell r="L46">
            <v>6</v>
          </cell>
          <cell r="O46">
            <v>1200</v>
          </cell>
          <cell r="P46">
            <v>137.4</v>
          </cell>
          <cell r="Q46">
            <v>320.60000000000014</v>
          </cell>
          <cell r="R46">
            <v>360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126</v>
          </cell>
          <cell r="E47">
            <v>86</v>
          </cell>
          <cell r="F47">
            <v>49</v>
          </cell>
          <cell r="G47">
            <v>0.7</v>
          </cell>
          <cell r="H47">
            <v>180</v>
          </cell>
          <cell r="I47" t="str">
            <v>P004060</v>
          </cell>
          <cell r="K47">
            <v>76</v>
          </cell>
          <cell r="L47">
            <v>10</v>
          </cell>
          <cell r="O47">
            <v>240</v>
          </cell>
          <cell r="P47">
            <v>17.2</v>
          </cell>
          <cell r="R47">
            <v>0</v>
          </cell>
        </row>
        <row r="48">
          <cell r="A48" t="str">
            <v>Пельмени Медвежье ушко Премиум Мясные ТМ Медвежье ушко классическая форма флоу-пак 0,8 кг. ПОКОМ</v>
          </cell>
          <cell r="B48" t="str">
            <v>шт</v>
          </cell>
          <cell r="C48">
            <v>136</v>
          </cell>
          <cell r="D48">
            <v>1</v>
          </cell>
          <cell r="E48">
            <v>20</v>
          </cell>
          <cell r="F48">
            <v>91</v>
          </cell>
          <cell r="G48">
            <v>0.8</v>
          </cell>
          <cell r="H48">
            <v>180</v>
          </cell>
          <cell r="I48" t="str">
            <v>P005158</v>
          </cell>
          <cell r="K48">
            <v>21</v>
          </cell>
          <cell r="L48">
            <v>-1</v>
          </cell>
          <cell r="O48">
            <v>0</v>
          </cell>
          <cell r="P48">
            <v>4</v>
          </cell>
          <cell r="R48">
            <v>0</v>
          </cell>
          <cell r="S48" t="str">
            <v>150шт</v>
          </cell>
        </row>
        <row r="49">
          <cell r="A49" t="str">
            <v>Пельмени Мясные с говядиной ТМ Стародворье сфера флоу-пак 1 кг  ПОКОМ</v>
          </cell>
          <cell r="B49" t="str">
            <v>шт</v>
          </cell>
          <cell r="C49">
            <v>219</v>
          </cell>
          <cell r="D49">
            <v>5</v>
          </cell>
          <cell r="E49">
            <v>176</v>
          </cell>
          <cell r="F49">
            <v>17</v>
          </cell>
          <cell r="G49">
            <v>1</v>
          </cell>
          <cell r="H49">
            <v>180</v>
          </cell>
          <cell r="I49" t="str">
            <v>P005048</v>
          </cell>
          <cell r="K49">
            <v>196</v>
          </cell>
          <cell r="L49">
            <v>-20</v>
          </cell>
          <cell r="O49">
            <v>300</v>
          </cell>
          <cell r="P49">
            <v>35.200000000000003</v>
          </cell>
          <cell r="Q49">
            <v>175.80000000000007</v>
          </cell>
          <cell r="R49">
            <v>180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>
            <v>168</v>
          </cell>
          <cell r="D50">
            <v>2</v>
          </cell>
          <cell r="E50">
            <v>77</v>
          </cell>
          <cell r="F50">
            <v>72</v>
          </cell>
          <cell r="G50">
            <v>0.9</v>
          </cell>
          <cell r="H50">
            <v>180</v>
          </cell>
          <cell r="I50" t="str">
            <v>P005107</v>
          </cell>
          <cell r="K50">
            <v>75</v>
          </cell>
          <cell r="L50">
            <v>2</v>
          </cell>
          <cell r="O50">
            <v>96</v>
          </cell>
          <cell r="P50">
            <v>15.4</v>
          </cell>
          <cell r="Q50">
            <v>63</v>
          </cell>
          <cell r="R50">
            <v>96</v>
          </cell>
        </row>
        <row r="51">
          <cell r="A51" t="str">
            <v>Пельмени Отборные с говядиной 0,9 кг НОВА ТМ Стародворье ТС Медвежье ушко  ПОКОМ</v>
          </cell>
          <cell r="B51" t="str">
            <v>шт</v>
          </cell>
          <cell r="C51">
            <v>153</v>
          </cell>
          <cell r="D51">
            <v>2</v>
          </cell>
          <cell r="E51">
            <v>38</v>
          </cell>
          <cell r="F51">
            <v>93</v>
          </cell>
          <cell r="G51">
            <v>0.9</v>
          </cell>
          <cell r="H51">
            <v>180</v>
          </cell>
          <cell r="I51" t="str">
            <v>P005105</v>
          </cell>
          <cell r="K51">
            <v>42</v>
          </cell>
          <cell r="L51">
            <v>-4</v>
          </cell>
          <cell r="O51">
            <v>0</v>
          </cell>
          <cell r="P51">
            <v>7.6</v>
          </cell>
          <cell r="Q51">
            <v>51.400000000000006</v>
          </cell>
          <cell r="R51">
            <v>96</v>
          </cell>
        </row>
        <row r="52">
          <cell r="A52" t="str">
            <v>Пельмени С говядиной и свининой, ВЕС, ТМ Славница сфера пуговки  ПОКОМ</v>
          </cell>
          <cell r="B52" t="str">
            <v>кг</v>
          </cell>
          <cell r="C52">
            <v>460</v>
          </cell>
          <cell r="E52">
            <v>230</v>
          </cell>
          <cell r="F52">
            <v>150</v>
          </cell>
          <cell r="G52">
            <v>1</v>
          </cell>
          <cell r="H52">
            <v>180</v>
          </cell>
          <cell r="I52" t="str">
            <v>P004472</v>
          </cell>
          <cell r="K52">
            <v>225</v>
          </cell>
          <cell r="L52">
            <v>5</v>
          </cell>
          <cell r="O52">
            <v>60</v>
          </cell>
          <cell r="P52">
            <v>46</v>
          </cell>
          <cell r="Q52">
            <v>434</v>
          </cell>
          <cell r="R52">
            <v>420</v>
          </cell>
        </row>
        <row r="53">
          <cell r="A53" t="str">
            <v>Пельмени Со свининой и говядиной ТМ Особый рецепт Любимая ложка 1,0 кг  ПОКОМ</v>
          </cell>
          <cell r="B53" t="str">
            <v>шт</v>
          </cell>
          <cell r="C53">
            <v>27</v>
          </cell>
          <cell r="D53">
            <v>7</v>
          </cell>
          <cell r="E53">
            <v>16</v>
          </cell>
          <cell r="F53">
            <v>6</v>
          </cell>
          <cell r="G53">
            <v>1</v>
          </cell>
          <cell r="H53">
            <v>180</v>
          </cell>
          <cell r="I53" t="str">
            <v>P004081</v>
          </cell>
          <cell r="K53">
            <v>57</v>
          </cell>
          <cell r="L53">
            <v>-41</v>
          </cell>
          <cell r="O53">
            <v>180</v>
          </cell>
          <cell r="P53">
            <v>3.2</v>
          </cell>
          <cell r="R53">
            <v>0</v>
          </cell>
          <cell r="S53" t="str">
            <v>300шт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>
            <v>55.5</v>
          </cell>
          <cell r="E54">
            <v>3.7</v>
          </cell>
          <cell r="F54">
            <v>55.5</v>
          </cell>
          <cell r="G54">
            <v>1</v>
          </cell>
          <cell r="H54">
            <v>180</v>
          </cell>
          <cell r="I54" t="str">
            <v>P004359</v>
          </cell>
          <cell r="L54">
            <v>3.7</v>
          </cell>
          <cell r="O54">
            <v>0</v>
          </cell>
          <cell r="P54">
            <v>0.74</v>
          </cell>
          <cell r="R54">
            <v>0</v>
          </cell>
        </row>
        <row r="55">
          <cell r="A55" t="str">
            <v>Хотстеры Васаби-чили ТМ Горячая штучка ТС Хотстеры 0,23кг жареные ПОКОМ</v>
          </cell>
          <cell r="B55" t="str">
            <v>шт</v>
          </cell>
          <cell r="C55">
            <v>-3</v>
          </cell>
          <cell r="F55">
            <v>-3</v>
          </cell>
          <cell r="G55">
            <v>0.23</v>
          </cell>
          <cell r="H55">
            <v>180</v>
          </cell>
          <cell r="I55" t="str">
            <v>P005182</v>
          </cell>
          <cell r="K55">
            <v>37</v>
          </cell>
          <cell r="L55">
            <v>-37</v>
          </cell>
          <cell r="O55">
            <v>168</v>
          </cell>
          <cell r="P55">
            <v>0</v>
          </cell>
          <cell r="R55">
            <v>0</v>
          </cell>
        </row>
        <row r="56">
          <cell r="A56" t="str">
            <v>Хотстеры ТМ Горячая штучка ТС Хотстеры 0,25 кг зам  ПОКОМ</v>
          </cell>
          <cell r="B56" t="str">
            <v>шт</v>
          </cell>
          <cell r="C56">
            <v>742</v>
          </cell>
          <cell r="D56">
            <v>62</v>
          </cell>
          <cell r="E56">
            <v>502</v>
          </cell>
          <cell r="F56">
            <v>241</v>
          </cell>
          <cell r="G56">
            <v>0.25</v>
          </cell>
          <cell r="H56">
            <v>180</v>
          </cell>
          <cell r="I56" t="str">
            <v>P004489</v>
          </cell>
          <cell r="K56">
            <v>530</v>
          </cell>
          <cell r="L56">
            <v>-28</v>
          </cell>
          <cell r="O56">
            <v>1008</v>
          </cell>
          <cell r="P56">
            <v>100.4</v>
          </cell>
          <cell r="Q56">
            <v>156.60000000000014</v>
          </cell>
          <cell r="R56">
            <v>168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>
            <v>125</v>
          </cell>
          <cell r="D57">
            <v>14</v>
          </cell>
          <cell r="E57">
            <v>130</v>
          </cell>
          <cell r="F57">
            <v>-1</v>
          </cell>
          <cell r="G57">
            <v>0.25</v>
          </cell>
          <cell r="H57">
            <v>180</v>
          </cell>
          <cell r="I57" t="str">
            <v>P005058</v>
          </cell>
          <cell r="K57">
            <v>168</v>
          </cell>
          <cell r="L57">
            <v>-38</v>
          </cell>
          <cell r="O57">
            <v>672</v>
          </cell>
          <cell r="P57">
            <v>26</v>
          </cell>
          <cell r="R57">
            <v>0</v>
          </cell>
        </row>
        <row r="58">
          <cell r="A58" t="str">
            <v>Хрустипай апельсин имбирь ТМ Горячая штучка 0,18 кг  ПОКОМ</v>
          </cell>
          <cell r="B58" t="str">
            <v>шт</v>
          </cell>
          <cell r="C58">
            <v>89</v>
          </cell>
          <cell r="D58">
            <v>4</v>
          </cell>
          <cell r="F58">
            <v>93</v>
          </cell>
          <cell r="G58">
            <v>0.18</v>
          </cell>
          <cell r="H58">
            <v>180</v>
          </cell>
          <cell r="I58" t="str">
            <v>P005201</v>
          </cell>
          <cell r="L58">
            <v>0</v>
          </cell>
          <cell r="O58">
            <v>0</v>
          </cell>
          <cell r="P58">
            <v>0</v>
          </cell>
          <cell r="R58">
            <v>0</v>
          </cell>
        </row>
        <row r="59">
          <cell r="A59" t="str">
            <v>Хрустипай манго маракуйя ТМ Горячая штучка 0,18 кг  ПОКОМ</v>
          </cell>
          <cell r="B59" t="str">
            <v>шт</v>
          </cell>
          <cell r="C59">
            <v>45</v>
          </cell>
          <cell r="F59">
            <v>45</v>
          </cell>
          <cell r="G59">
            <v>0.18</v>
          </cell>
          <cell r="H59">
            <v>180</v>
          </cell>
          <cell r="I59" t="str">
            <v>P005199</v>
          </cell>
          <cell r="L59">
            <v>0</v>
          </cell>
          <cell r="O59">
            <v>0</v>
          </cell>
          <cell r="P59">
            <v>0</v>
          </cell>
          <cell r="R59">
            <v>0</v>
          </cell>
        </row>
        <row r="60">
          <cell r="A60" t="str">
            <v>Хрустипай манго чили ТМ Горячая штучка 0,18кг с начинкой ПОКОМ</v>
          </cell>
          <cell r="B60" t="str">
            <v>шт</v>
          </cell>
          <cell r="C60">
            <v>57</v>
          </cell>
          <cell r="F60">
            <v>57</v>
          </cell>
          <cell r="G60">
            <v>0.18</v>
          </cell>
          <cell r="H60">
            <v>180</v>
          </cell>
          <cell r="I60" t="str">
            <v>P005200</v>
          </cell>
          <cell r="L60">
            <v>0</v>
          </cell>
          <cell r="O60">
            <v>0</v>
          </cell>
          <cell r="P60">
            <v>0</v>
          </cell>
          <cell r="R60">
            <v>0</v>
          </cell>
        </row>
        <row r="61">
          <cell r="A61" t="str">
            <v>Хрустящие крылышки ТМ Горячая штучка 0,3 кг зам  ПОКОМ</v>
          </cell>
          <cell r="B61" t="str">
            <v>шт</v>
          </cell>
          <cell r="C61">
            <v>609</v>
          </cell>
          <cell r="D61">
            <v>33</v>
          </cell>
          <cell r="E61">
            <v>349</v>
          </cell>
          <cell r="F61">
            <v>240</v>
          </cell>
          <cell r="G61">
            <v>0.3</v>
          </cell>
          <cell r="H61">
            <v>180</v>
          </cell>
          <cell r="I61" t="str">
            <v>P004588</v>
          </cell>
          <cell r="K61">
            <v>356</v>
          </cell>
          <cell r="L61">
            <v>-7</v>
          </cell>
          <cell r="O61">
            <v>672</v>
          </cell>
          <cell r="P61">
            <v>69.8</v>
          </cell>
          <cell r="Q61">
            <v>135</v>
          </cell>
          <cell r="R61">
            <v>168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>
            <v>829</v>
          </cell>
          <cell r="D62">
            <v>6</v>
          </cell>
          <cell r="E62">
            <v>338</v>
          </cell>
          <cell r="F62">
            <v>398</v>
          </cell>
          <cell r="G62">
            <v>0.3</v>
          </cell>
          <cell r="H62">
            <v>180</v>
          </cell>
          <cell r="I62" t="str">
            <v>P004589</v>
          </cell>
          <cell r="K62">
            <v>378</v>
          </cell>
          <cell r="L62">
            <v>-40</v>
          </cell>
          <cell r="O62">
            <v>336</v>
          </cell>
          <cell r="P62">
            <v>67.599999999999994</v>
          </cell>
          <cell r="Q62">
            <v>212.39999999999986</v>
          </cell>
          <cell r="R62">
            <v>168</v>
          </cell>
        </row>
        <row r="63">
          <cell r="A63" t="str">
            <v>Чебупели Курочка гриль Базовый ассортимент Фикс.вес 0,3 Пакет Горячая штучка  Поком</v>
          </cell>
          <cell r="B63" t="str">
            <v>шт</v>
          </cell>
          <cell r="C63">
            <v>274</v>
          </cell>
          <cell r="D63">
            <v>20</v>
          </cell>
          <cell r="E63">
            <v>191</v>
          </cell>
          <cell r="F63">
            <v>98</v>
          </cell>
          <cell r="G63">
            <v>0.3</v>
          </cell>
          <cell r="H63">
            <v>180</v>
          </cell>
          <cell r="I63" t="str">
            <v>P004113</v>
          </cell>
          <cell r="K63">
            <v>181</v>
          </cell>
          <cell r="L63">
            <v>10</v>
          </cell>
          <cell r="O63">
            <v>196</v>
          </cell>
          <cell r="P63">
            <v>38.200000000000003</v>
          </cell>
          <cell r="Q63">
            <v>240.80000000000007</v>
          </cell>
          <cell r="R63">
            <v>196</v>
          </cell>
        </row>
        <row r="64">
          <cell r="A64" t="str">
            <v>Чебупицца Пепперони ТМ Горячая штучка ТС Чебупицца 0.25кг зам  ПОКОМ</v>
          </cell>
          <cell r="B64" t="str">
            <v>шт</v>
          </cell>
          <cell r="C64">
            <v>1533</v>
          </cell>
          <cell r="D64">
            <v>46</v>
          </cell>
          <cell r="E64">
            <v>748</v>
          </cell>
          <cell r="F64">
            <v>649</v>
          </cell>
          <cell r="G64">
            <v>0.25</v>
          </cell>
          <cell r="H64">
            <v>180</v>
          </cell>
          <cell r="I64" t="str">
            <v>P004486</v>
          </cell>
          <cell r="K64">
            <v>793</v>
          </cell>
          <cell r="L64">
            <v>-45</v>
          </cell>
          <cell r="O64">
            <v>1008</v>
          </cell>
          <cell r="P64">
            <v>149.6</v>
          </cell>
          <cell r="Q64">
            <v>437.40000000000009</v>
          </cell>
          <cell r="R64">
            <v>504</v>
          </cell>
        </row>
        <row r="65">
          <cell r="A65" t="str">
            <v>Чебупицца курочка по-итальянски Горячая штучка 0,25 кг зам  ПОКОМ</v>
          </cell>
          <cell r="B65" t="str">
            <v>шт</v>
          </cell>
          <cell r="C65">
            <v>970</v>
          </cell>
          <cell r="D65">
            <v>59</v>
          </cell>
          <cell r="E65">
            <v>600</v>
          </cell>
          <cell r="F65">
            <v>314</v>
          </cell>
          <cell r="G65">
            <v>0.25</v>
          </cell>
          <cell r="H65">
            <v>180</v>
          </cell>
          <cell r="I65" t="str">
            <v>P004484</v>
          </cell>
          <cell r="K65">
            <v>620</v>
          </cell>
          <cell r="L65">
            <v>-20</v>
          </cell>
          <cell r="O65">
            <v>1344</v>
          </cell>
          <cell r="P65">
            <v>120</v>
          </cell>
          <cell r="Q65">
            <v>142</v>
          </cell>
          <cell r="R65">
            <v>168</v>
          </cell>
        </row>
        <row r="66">
          <cell r="A66" t="str">
            <v>Чебупицца со вкусом 4 сыра 0,2кг ТМ Горячая штучка ТС Foodgital  ПОКОМ</v>
          </cell>
          <cell r="B66" t="str">
            <v>шт</v>
          </cell>
          <cell r="C66">
            <v>242</v>
          </cell>
          <cell r="E66">
            <v>78</v>
          </cell>
          <cell r="F66">
            <v>126</v>
          </cell>
          <cell r="G66">
            <v>0.2</v>
          </cell>
          <cell r="H66">
            <v>365</v>
          </cell>
          <cell r="I66" t="str">
            <v>P004818</v>
          </cell>
          <cell r="K66">
            <v>84</v>
          </cell>
          <cell r="L66">
            <v>-6</v>
          </cell>
          <cell r="O66">
            <v>0</v>
          </cell>
          <cell r="P66">
            <v>15.6</v>
          </cell>
          <cell r="Q66">
            <v>92.4</v>
          </cell>
          <cell r="R66">
            <v>84</v>
          </cell>
        </row>
        <row r="67">
          <cell r="A67" t="str">
            <v>Чебупицца со вкусом Том ям ТМ Горячая штучка ТС Чебупицца 0,23кг жареные ПОКОМ</v>
          </cell>
          <cell r="B67" t="str">
            <v>шт</v>
          </cell>
          <cell r="C67">
            <v>373</v>
          </cell>
          <cell r="E67">
            <v>72</v>
          </cell>
          <cell r="F67">
            <v>290</v>
          </cell>
          <cell r="G67">
            <v>0.23</v>
          </cell>
          <cell r="H67">
            <v>180</v>
          </cell>
          <cell r="I67" t="str">
            <v>P005180</v>
          </cell>
          <cell r="K67">
            <v>72</v>
          </cell>
          <cell r="L67">
            <v>0</v>
          </cell>
          <cell r="O67">
            <v>0</v>
          </cell>
          <cell r="P67">
            <v>14.4</v>
          </cell>
          <cell r="R67">
            <v>0</v>
          </cell>
        </row>
        <row r="68">
          <cell r="A68" t="str">
            <v>Чебуреки Мясные вес 2,7 кг ТМ Зареченские ТС Зареченские продукты   Поком</v>
          </cell>
          <cell r="B68" t="str">
            <v>кг</v>
          </cell>
          <cell r="C68">
            <v>105.3</v>
          </cell>
          <cell r="E68">
            <v>48.6</v>
          </cell>
          <cell r="F68">
            <v>45.9</v>
          </cell>
          <cell r="G68">
            <v>1</v>
          </cell>
          <cell r="H68">
            <v>180</v>
          </cell>
          <cell r="I68" t="str">
            <v>P003478</v>
          </cell>
          <cell r="K68">
            <v>48.4</v>
          </cell>
          <cell r="L68">
            <v>0.20000000000000284</v>
          </cell>
          <cell r="O68">
            <v>0</v>
          </cell>
          <cell r="P68">
            <v>9.7200000000000006</v>
          </cell>
          <cell r="Q68">
            <v>90.18</v>
          </cell>
          <cell r="R68">
            <v>75.600000000000009</v>
          </cell>
        </row>
        <row r="69">
          <cell r="A69" t="str">
            <v>Чебуреки сочные ТМ Зареченские ТС Зареченские продукты.  Поком</v>
          </cell>
          <cell r="B69" t="str">
            <v>кг</v>
          </cell>
          <cell r="C69">
            <v>465</v>
          </cell>
          <cell r="D69">
            <v>5</v>
          </cell>
          <cell r="E69">
            <v>215</v>
          </cell>
          <cell r="F69">
            <v>170</v>
          </cell>
          <cell r="G69">
            <v>1</v>
          </cell>
          <cell r="H69">
            <v>180</v>
          </cell>
          <cell r="I69" t="str">
            <v>P003476</v>
          </cell>
          <cell r="K69">
            <v>245</v>
          </cell>
          <cell r="L69">
            <v>-30</v>
          </cell>
          <cell r="O69">
            <v>300</v>
          </cell>
          <cell r="P69">
            <v>43</v>
          </cell>
          <cell r="Q69">
            <v>132</v>
          </cell>
          <cell r="R69">
            <v>120</v>
          </cell>
          <cell r="S69" t="str">
            <v>250кг</v>
          </cell>
        </row>
        <row r="70">
          <cell r="A70" t="str">
            <v>Мини-сосиски в тесте ТМ Зареченские . ВЕС  Поком</v>
          </cell>
          <cell r="B70" t="str">
            <v>кг</v>
          </cell>
          <cell r="I70" t="str">
            <v>SU003454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5" sqref="AJ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7" style="23" customWidth="1"/>
    <col min="21" max="22" width="5" customWidth="1"/>
    <col min="23" max="32" width="6" customWidth="1"/>
    <col min="33" max="33" width="21.710937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5">
        <v>14</v>
      </c>
      <c r="R1" s="25">
        <v>0</v>
      </c>
      <c r="S1" s="25">
        <f>Q1+R1</f>
        <v>14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>
        <f>AJ5+[1]Sheet!$AJ$5</f>
        <v>1448</v>
      </c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21" t="s">
        <v>178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175</v>
      </c>
      <c r="S3" s="3" t="s">
        <v>17</v>
      </c>
      <c r="T3" s="3" t="s">
        <v>176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177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 t="s">
        <v>179</v>
      </c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10396</v>
      </c>
      <c r="F5" s="4">
        <f>SUM(F6:F500)</f>
        <v>9373.1</v>
      </c>
      <c r="G5" s="7"/>
      <c r="H5" s="1"/>
      <c r="I5" s="1"/>
      <c r="J5" s="1"/>
      <c r="K5" s="4">
        <f t="shared" ref="K5:S5" si="0">SUM(K6:K500)</f>
        <v>12007.1</v>
      </c>
      <c r="L5" s="4">
        <f t="shared" si="0"/>
        <v>-1611.1</v>
      </c>
      <c r="M5" s="4">
        <f t="shared" si="0"/>
        <v>0</v>
      </c>
      <c r="N5" s="4">
        <f t="shared" si="0"/>
        <v>0</v>
      </c>
      <c r="O5" s="4">
        <f t="shared" si="0"/>
        <v>20416</v>
      </c>
      <c r="P5" s="4">
        <f t="shared" si="0"/>
        <v>2079.2000000000003</v>
      </c>
      <c r="Q5" s="4">
        <v>5604.9800000000014</v>
      </c>
      <c r="R5" s="4">
        <f t="shared" si="0"/>
        <v>6690.579999999999</v>
      </c>
      <c r="S5" s="4">
        <f t="shared" si="0"/>
        <v>7129.6</v>
      </c>
      <c r="T5" s="4"/>
      <c r="U5" s="1"/>
      <c r="V5" s="1"/>
      <c r="W5" s="4">
        <f t="shared" ref="W5:AF5" si="1">SUM(W6:W500)</f>
        <v>2910.6599999999994</v>
      </c>
      <c r="X5" s="4">
        <f t="shared" si="1"/>
        <v>2291.9799999999996</v>
      </c>
      <c r="Y5" s="4">
        <f t="shared" si="1"/>
        <v>2000.2999999999995</v>
      </c>
      <c r="Z5" s="4">
        <f t="shared" si="1"/>
        <v>2045.2400000000002</v>
      </c>
      <c r="AA5" s="4">
        <f t="shared" si="1"/>
        <v>3263.2599999999998</v>
      </c>
      <c r="AB5" s="4">
        <f t="shared" si="1"/>
        <v>2657.86</v>
      </c>
      <c r="AC5" s="4">
        <f t="shared" si="1"/>
        <v>3306.6200000000003</v>
      </c>
      <c r="AD5" s="4">
        <f t="shared" si="1"/>
        <v>3193.8599999999992</v>
      </c>
      <c r="AE5" s="4">
        <f t="shared" si="1"/>
        <v>2485.46</v>
      </c>
      <c r="AF5" s="4">
        <f t="shared" si="1"/>
        <v>2230.9800000000005</v>
      </c>
      <c r="AG5" s="1"/>
      <c r="AH5" s="4">
        <f>SUM(AH6:AH500)</f>
        <v>3459.0740000000001</v>
      </c>
      <c r="AI5" s="7"/>
      <c r="AJ5" s="11">
        <f>SUM(AJ6:AJ500)</f>
        <v>820</v>
      </c>
      <c r="AK5" s="4">
        <f>SUM(AK6:AK500)</f>
        <v>3609.6000000000004</v>
      </c>
      <c r="AL5" s="1"/>
      <c r="AM5" s="1"/>
      <c r="AN5" s="11">
        <f>SUM(AN6:AN500)</f>
        <v>9.7563492063492063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/>
      <c r="S6" s="5">
        <f>AI6*AJ6</f>
        <v>0</v>
      </c>
      <c r="T6" s="24"/>
      <c r="U6" s="1" t="e">
        <f t="shared" ref="U6:U37" si="4">(F6+O6+S6)/P6</f>
        <v>#DIV/0!</v>
      </c>
      <c r="V6" s="1" t="e">
        <f t="shared" ref="V6:V37" si="5">(F6+O6)/P6</f>
        <v>#DIV/0!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44</v>
      </c>
      <c r="AH6" s="1">
        <f>G6*R6</f>
        <v>0</v>
      </c>
      <c r="AI6" s="7">
        <v>6</v>
      </c>
      <c r="AJ6" s="9">
        <f>MROUND(R6, AI6*AL6)/AI6</f>
        <v>0</v>
      </c>
      <c r="AK6" s="1">
        <f>AJ6*AI6*G6</f>
        <v>0</v>
      </c>
      <c r="AL6" s="1">
        <v>14</v>
      </c>
      <c r="AM6" s="1">
        <v>140</v>
      </c>
      <c r="AN6" s="9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/>
      <c r="S7" s="5">
        <f>AI7*AJ7</f>
        <v>0</v>
      </c>
      <c r="T7" s="24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44</v>
      </c>
      <c r="AH7" s="1">
        <f>G7*R7</f>
        <v>0</v>
      </c>
      <c r="AI7" s="7">
        <v>6</v>
      </c>
      <c r="AJ7" s="9">
        <f>MROUND(R7, AI7*AL7)/AI7</f>
        <v>0</v>
      </c>
      <c r="AK7" s="1">
        <f>AJ7*AI7*G7</f>
        <v>0</v>
      </c>
      <c r="AL7" s="1">
        <v>14</v>
      </c>
      <c r="AM7" s="1">
        <v>140</v>
      </c>
      <c r="AN7" s="9">
        <f>AJ7/AM7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46</v>
      </c>
      <c r="B8" s="13" t="s">
        <v>42</v>
      </c>
      <c r="C8" s="13">
        <v>-27</v>
      </c>
      <c r="D8" s="13"/>
      <c r="E8" s="13"/>
      <c r="F8" s="18">
        <v>-27</v>
      </c>
      <c r="G8" s="14">
        <v>0</v>
      </c>
      <c r="H8" s="13"/>
      <c r="I8" s="13" t="s">
        <v>47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5"/>
      <c r="T8" s="24"/>
      <c r="U8" s="13" t="e">
        <f t="shared" si="4"/>
        <v>#DIV/0!</v>
      </c>
      <c r="V8" s="13" t="e">
        <f t="shared" si="5"/>
        <v>#DIV/0!</v>
      </c>
      <c r="W8" s="13">
        <v>4.4000000000000004</v>
      </c>
      <c r="X8" s="13">
        <v>3.8</v>
      </c>
      <c r="Y8" s="13">
        <v>2.8</v>
      </c>
      <c r="Z8" s="13">
        <v>7.8</v>
      </c>
      <c r="AA8" s="13">
        <v>10.199999999999999</v>
      </c>
      <c r="AB8" s="13">
        <v>16.399999999999999</v>
      </c>
      <c r="AC8" s="13">
        <v>16.600000000000001</v>
      </c>
      <c r="AD8" s="13">
        <v>14.4</v>
      </c>
      <c r="AE8" s="13">
        <v>9.1999999999999993</v>
      </c>
      <c r="AF8" s="13">
        <v>4.2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50</v>
      </c>
      <c r="C9" s="13">
        <v>7.4</v>
      </c>
      <c r="D9" s="13"/>
      <c r="E9" s="18">
        <v>3.7</v>
      </c>
      <c r="F9" s="18">
        <v>3.7</v>
      </c>
      <c r="G9" s="14">
        <v>0</v>
      </c>
      <c r="H9" s="13"/>
      <c r="I9" s="13" t="s">
        <v>47</v>
      </c>
      <c r="J9" s="13" t="s">
        <v>51</v>
      </c>
      <c r="K9" s="13">
        <v>3.7</v>
      </c>
      <c r="L9" s="13">
        <f t="shared" si="2"/>
        <v>0</v>
      </c>
      <c r="M9" s="13"/>
      <c r="N9" s="13"/>
      <c r="O9" s="13"/>
      <c r="P9" s="13">
        <f t="shared" si="3"/>
        <v>0.74</v>
      </c>
      <c r="Q9" s="15"/>
      <c r="R9" s="15"/>
      <c r="S9" s="15"/>
      <c r="T9" s="24"/>
      <c r="U9" s="13">
        <f t="shared" si="4"/>
        <v>5</v>
      </c>
      <c r="V9" s="13">
        <f t="shared" si="5"/>
        <v>5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42</v>
      </c>
      <c r="C10" s="1">
        <v>75</v>
      </c>
      <c r="D10" s="1"/>
      <c r="E10" s="1">
        <v>14</v>
      </c>
      <c r="F10" s="1">
        <v>61</v>
      </c>
      <c r="G10" s="7">
        <v>0.22</v>
      </c>
      <c r="H10" s="1">
        <v>180</v>
      </c>
      <c r="I10" s="1" t="s">
        <v>53</v>
      </c>
      <c r="J10" s="1"/>
      <c r="K10" s="1">
        <v>14</v>
      </c>
      <c r="L10" s="1">
        <f t="shared" si="2"/>
        <v>0</v>
      </c>
      <c r="M10" s="1"/>
      <c r="N10" s="1"/>
      <c r="O10" s="1">
        <v>168</v>
      </c>
      <c r="P10" s="1">
        <f t="shared" si="3"/>
        <v>2.8</v>
      </c>
      <c r="Q10" s="5"/>
      <c r="R10" s="5"/>
      <c r="S10" s="5">
        <f t="shared" ref="S10:S19" si="6">AI10*AJ10</f>
        <v>0</v>
      </c>
      <c r="T10" s="24"/>
      <c r="U10" s="1">
        <f t="shared" si="4"/>
        <v>81.785714285714292</v>
      </c>
      <c r="V10" s="1">
        <f t="shared" si="5"/>
        <v>81.785714285714292</v>
      </c>
      <c r="W10" s="1">
        <v>11.6</v>
      </c>
      <c r="X10" s="1">
        <v>12.4</v>
      </c>
      <c r="Y10" s="1">
        <v>4</v>
      </c>
      <c r="Z10" s="1">
        <v>4.2</v>
      </c>
      <c r="AA10" s="1">
        <v>7</v>
      </c>
      <c r="AB10" s="1">
        <v>9.4</v>
      </c>
      <c r="AC10" s="1">
        <v>13.6</v>
      </c>
      <c r="AD10" s="1">
        <v>13.6</v>
      </c>
      <c r="AE10" s="1">
        <v>6</v>
      </c>
      <c r="AF10" s="1">
        <v>5.2</v>
      </c>
      <c r="AG10" s="17" t="s">
        <v>93</v>
      </c>
      <c r="AH10" s="1">
        <f t="shared" ref="AH10:AH19" si="7">G10*R10</f>
        <v>0</v>
      </c>
      <c r="AI10" s="7">
        <v>12</v>
      </c>
      <c r="AJ10" s="9">
        <f t="shared" ref="AJ10:AJ19" si="8">MROUND(R10, AI10*AL10)/AI10</f>
        <v>0</v>
      </c>
      <c r="AK10" s="1">
        <f t="shared" ref="AK10:AK19" si="9">AJ10*AI10*G10</f>
        <v>0</v>
      </c>
      <c r="AL10" s="1">
        <v>14</v>
      </c>
      <c r="AM10" s="1">
        <v>70</v>
      </c>
      <c r="AN10" s="9">
        <f t="shared" ref="AN10:AN19" si="10">AJ10/AM10</f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162</v>
      </c>
      <c r="D11" s="1"/>
      <c r="E11" s="1">
        <v>62</v>
      </c>
      <c r="F11" s="1">
        <v>89</v>
      </c>
      <c r="G11" s="7">
        <v>0.3</v>
      </c>
      <c r="H11" s="1">
        <v>180</v>
      </c>
      <c r="I11" s="1" t="s">
        <v>55</v>
      </c>
      <c r="J11" s="1"/>
      <c r="K11" s="1">
        <v>62</v>
      </c>
      <c r="L11" s="1">
        <f t="shared" si="2"/>
        <v>0</v>
      </c>
      <c r="M11" s="1"/>
      <c r="N11" s="1"/>
      <c r="O11" s="1">
        <v>168</v>
      </c>
      <c r="P11" s="1">
        <f t="shared" si="3"/>
        <v>12.4</v>
      </c>
      <c r="Q11" s="5"/>
      <c r="R11" s="5"/>
      <c r="S11" s="5">
        <f t="shared" si="6"/>
        <v>0</v>
      </c>
      <c r="T11" s="24"/>
      <c r="U11" s="1">
        <f t="shared" si="4"/>
        <v>20.725806451612904</v>
      </c>
      <c r="V11" s="1">
        <f t="shared" si="5"/>
        <v>20.725806451612904</v>
      </c>
      <c r="W11" s="1">
        <v>17.600000000000001</v>
      </c>
      <c r="X11" s="1">
        <v>15.2</v>
      </c>
      <c r="Y11" s="1">
        <v>12.2</v>
      </c>
      <c r="Z11" s="1">
        <v>15</v>
      </c>
      <c r="AA11" s="1">
        <v>23.8</v>
      </c>
      <c r="AB11" s="1">
        <v>25.6</v>
      </c>
      <c r="AC11" s="1">
        <v>26.4</v>
      </c>
      <c r="AD11" s="1">
        <v>27.6</v>
      </c>
      <c r="AE11" s="1">
        <v>35.799999999999997</v>
      </c>
      <c r="AF11" s="1">
        <v>43.8</v>
      </c>
      <c r="AH11" s="1">
        <f t="shared" si="7"/>
        <v>0</v>
      </c>
      <c r="AI11" s="7">
        <v>12</v>
      </c>
      <c r="AJ11" s="9">
        <f t="shared" si="8"/>
        <v>0</v>
      </c>
      <c r="AK11" s="1">
        <f t="shared" si="9"/>
        <v>0</v>
      </c>
      <c r="AL11" s="1">
        <v>14</v>
      </c>
      <c r="AM11" s="1">
        <v>70</v>
      </c>
      <c r="AN11" s="9">
        <f t="shared" si="10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56</v>
      </c>
      <c r="B12" s="1" t="s">
        <v>42</v>
      </c>
      <c r="C12" s="1">
        <v>426</v>
      </c>
      <c r="D12" s="1">
        <v>2</v>
      </c>
      <c r="E12" s="1">
        <v>176</v>
      </c>
      <c r="F12" s="1">
        <v>163</v>
      </c>
      <c r="G12" s="7">
        <v>0.28000000000000003</v>
      </c>
      <c r="H12" s="1">
        <v>180</v>
      </c>
      <c r="I12" s="1" t="s">
        <v>57</v>
      </c>
      <c r="J12" s="1"/>
      <c r="K12" s="1">
        <v>208</v>
      </c>
      <c r="L12" s="1">
        <f t="shared" si="2"/>
        <v>-32</v>
      </c>
      <c r="M12" s="1"/>
      <c r="N12" s="1"/>
      <c r="O12" s="1">
        <v>420</v>
      </c>
      <c r="P12" s="1">
        <f t="shared" si="3"/>
        <v>35.200000000000003</v>
      </c>
      <c r="Q12" s="5"/>
      <c r="R12" s="5">
        <f>IF(($S$1-V12)*P12&lt;0,0,($S$1-V12)*P12)</f>
        <v>0</v>
      </c>
      <c r="S12" s="5">
        <f t="shared" si="6"/>
        <v>0</v>
      </c>
      <c r="T12" s="24"/>
      <c r="U12" s="1">
        <f t="shared" si="4"/>
        <v>16.5625</v>
      </c>
      <c r="V12" s="1">
        <f t="shared" si="5"/>
        <v>16.5625</v>
      </c>
      <c r="W12" s="1">
        <v>61.4</v>
      </c>
      <c r="X12" s="1">
        <v>38.4</v>
      </c>
      <c r="Y12" s="1">
        <v>33.4</v>
      </c>
      <c r="Z12" s="1">
        <v>40.799999999999997</v>
      </c>
      <c r="AA12" s="1">
        <v>64.599999999999994</v>
      </c>
      <c r="AB12" s="1">
        <v>24.4</v>
      </c>
      <c r="AC12" s="1">
        <v>72.2</v>
      </c>
      <c r="AD12" s="1">
        <v>74.400000000000006</v>
      </c>
      <c r="AE12" s="1">
        <v>40.4</v>
      </c>
      <c r="AF12" s="1">
        <v>31.8</v>
      </c>
      <c r="AG12" s="1"/>
      <c r="AH12" s="1">
        <f t="shared" si="7"/>
        <v>0</v>
      </c>
      <c r="AI12" s="7">
        <v>6</v>
      </c>
      <c r="AJ12" s="9">
        <f t="shared" si="8"/>
        <v>0</v>
      </c>
      <c r="AK12" s="1">
        <f t="shared" si="9"/>
        <v>0</v>
      </c>
      <c r="AL12" s="1">
        <v>14</v>
      </c>
      <c r="AM12" s="1">
        <v>140</v>
      </c>
      <c r="AN12" s="9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42</v>
      </c>
      <c r="C13" s="1">
        <v>447</v>
      </c>
      <c r="D13" s="1">
        <v>28</v>
      </c>
      <c r="E13" s="1">
        <v>327</v>
      </c>
      <c r="F13" s="1">
        <v>26</v>
      </c>
      <c r="G13" s="7">
        <v>0.24</v>
      </c>
      <c r="H13" s="1">
        <v>180</v>
      </c>
      <c r="I13" s="1" t="s">
        <v>59</v>
      </c>
      <c r="J13" s="1"/>
      <c r="K13" s="1">
        <v>355</v>
      </c>
      <c r="L13" s="1">
        <f t="shared" si="2"/>
        <v>-28</v>
      </c>
      <c r="M13" s="1"/>
      <c r="N13" s="1"/>
      <c r="O13" s="1">
        <v>672</v>
      </c>
      <c r="P13" s="1">
        <f t="shared" si="3"/>
        <v>65.400000000000006</v>
      </c>
      <c r="Q13" s="5">
        <v>217.60000000000014</v>
      </c>
      <c r="R13" s="5">
        <f t="shared" ref="R13:R16" si="11">IF(($S$1-V13)*P13&lt;0,0,($S$1-V13)*P13)</f>
        <v>217.60000000000008</v>
      </c>
      <c r="S13" s="5">
        <f t="shared" si="6"/>
        <v>168</v>
      </c>
      <c r="T13" s="24"/>
      <c r="U13" s="1">
        <f t="shared" si="4"/>
        <v>13.241590214067276</v>
      </c>
      <c r="V13" s="1">
        <f t="shared" si="5"/>
        <v>10.672782874617736</v>
      </c>
      <c r="W13" s="1">
        <v>83.2</v>
      </c>
      <c r="X13" s="1">
        <v>71.599999999999994</v>
      </c>
      <c r="Y13" s="1">
        <v>68.2</v>
      </c>
      <c r="Z13" s="1">
        <v>44.6</v>
      </c>
      <c r="AA13" s="1">
        <v>89.6</v>
      </c>
      <c r="AB13" s="1">
        <v>80.2</v>
      </c>
      <c r="AC13" s="1">
        <v>85</v>
      </c>
      <c r="AD13" s="1">
        <v>108.4</v>
      </c>
      <c r="AE13" s="1">
        <v>80.400000000000006</v>
      </c>
      <c r="AF13" s="1">
        <v>100.2</v>
      </c>
      <c r="AG13" s="1"/>
      <c r="AH13" s="1">
        <f t="shared" si="7"/>
        <v>52.224000000000018</v>
      </c>
      <c r="AI13" s="7">
        <v>12</v>
      </c>
      <c r="AJ13" s="9">
        <f t="shared" si="8"/>
        <v>14</v>
      </c>
      <c r="AK13" s="1">
        <f t="shared" si="9"/>
        <v>40.32</v>
      </c>
      <c r="AL13" s="1">
        <v>14</v>
      </c>
      <c r="AM13" s="1">
        <v>70</v>
      </c>
      <c r="AN13" s="9">
        <f t="shared" si="10"/>
        <v>0.2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60</v>
      </c>
      <c r="B14" s="1" t="s">
        <v>42</v>
      </c>
      <c r="C14" s="1">
        <v>568</v>
      </c>
      <c r="D14" s="1">
        <v>28</v>
      </c>
      <c r="E14" s="1">
        <v>411</v>
      </c>
      <c r="F14" s="1">
        <v>148</v>
      </c>
      <c r="G14" s="7">
        <v>0.24</v>
      </c>
      <c r="H14" s="1">
        <v>180</v>
      </c>
      <c r="I14" s="1" t="s">
        <v>61</v>
      </c>
      <c r="J14" s="1"/>
      <c r="K14" s="1">
        <v>405</v>
      </c>
      <c r="L14" s="1">
        <f t="shared" si="2"/>
        <v>6</v>
      </c>
      <c r="M14" s="1"/>
      <c r="N14" s="1"/>
      <c r="O14" s="1">
        <v>840</v>
      </c>
      <c r="P14" s="1">
        <f t="shared" si="3"/>
        <v>82.2</v>
      </c>
      <c r="Q14" s="5">
        <v>162.79999999999995</v>
      </c>
      <c r="R14" s="5">
        <f t="shared" si="11"/>
        <v>162.80000000000007</v>
      </c>
      <c r="S14" s="5">
        <f t="shared" si="6"/>
        <v>168</v>
      </c>
      <c r="T14" s="24"/>
      <c r="U14" s="1">
        <f t="shared" si="4"/>
        <v>14.063260340632603</v>
      </c>
      <c r="V14" s="1">
        <f t="shared" si="5"/>
        <v>12.019464720194646</v>
      </c>
      <c r="W14" s="1">
        <v>98.6</v>
      </c>
      <c r="X14" s="1">
        <v>87.6</v>
      </c>
      <c r="Y14" s="1">
        <v>74.8</v>
      </c>
      <c r="Z14" s="1">
        <v>87.8</v>
      </c>
      <c r="AA14" s="1">
        <v>111.8</v>
      </c>
      <c r="AB14" s="1">
        <v>106</v>
      </c>
      <c r="AC14" s="1">
        <v>91.8</v>
      </c>
      <c r="AD14" s="1">
        <v>95.4</v>
      </c>
      <c r="AE14" s="1">
        <v>59.8</v>
      </c>
      <c r="AF14" s="1">
        <v>82.8</v>
      </c>
      <c r="AG14" s="1"/>
      <c r="AH14" s="1">
        <f t="shared" si="7"/>
        <v>39.072000000000017</v>
      </c>
      <c r="AI14" s="7">
        <v>12</v>
      </c>
      <c r="AJ14" s="9">
        <f t="shared" si="8"/>
        <v>14</v>
      </c>
      <c r="AK14" s="1">
        <f t="shared" si="9"/>
        <v>40.32</v>
      </c>
      <c r="AL14" s="1">
        <v>14</v>
      </c>
      <c r="AM14" s="1">
        <v>70</v>
      </c>
      <c r="AN14" s="9">
        <f t="shared" si="10"/>
        <v>0.2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62</v>
      </c>
      <c r="B15" s="1" t="s">
        <v>42</v>
      </c>
      <c r="C15" s="1">
        <v>339</v>
      </c>
      <c r="D15" s="1">
        <v>3</v>
      </c>
      <c r="E15" s="1">
        <v>212</v>
      </c>
      <c r="F15" s="1">
        <v>85</v>
      </c>
      <c r="G15" s="7">
        <v>0.24</v>
      </c>
      <c r="H15" s="1">
        <v>180</v>
      </c>
      <c r="I15" s="1" t="s">
        <v>63</v>
      </c>
      <c r="J15" s="1"/>
      <c r="K15" s="1">
        <v>221</v>
      </c>
      <c r="L15" s="1">
        <f t="shared" si="2"/>
        <v>-9</v>
      </c>
      <c r="M15" s="1"/>
      <c r="N15" s="1"/>
      <c r="O15" s="1">
        <v>168</v>
      </c>
      <c r="P15" s="1">
        <f t="shared" si="3"/>
        <v>42.4</v>
      </c>
      <c r="Q15" s="5">
        <v>340.6</v>
      </c>
      <c r="R15" s="5">
        <f t="shared" si="11"/>
        <v>340.6</v>
      </c>
      <c r="S15" s="5">
        <f t="shared" si="6"/>
        <v>336</v>
      </c>
      <c r="T15" s="24"/>
      <c r="U15" s="1">
        <f t="shared" si="4"/>
        <v>13.891509433962264</v>
      </c>
      <c r="V15" s="1">
        <f t="shared" si="5"/>
        <v>5.966981132075472</v>
      </c>
      <c r="W15" s="1">
        <v>40.799999999999997</v>
      </c>
      <c r="X15" s="1">
        <v>48</v>
      </c>
      <c r="Y15" s="1">
        <v>40.200000000000003</v>
      </c>
      <c r="Z15" s="1">
        <v>38</v>
      </c>
      <c r="AA15" s="1">
        <v>57.2</v>
      </c>
      <c r="AB15" s="1">
        <v>46.8</v>
      </c>
      <c r="AC15" s="1">
        <v>58</v>
      </c>
      <c r="AD15" s="1">
        <v>68.599999999999994</v>
      </c>
      <c r="AE15" s="1">
        <v>63.2</v>
      </c>
      <c r="AF15" s="1">
        <v>48.6</v>
      </c>
      <c r="AG15" s="1"/>
      <c r="AH15" s="1">
        <f t="shared" si="7"/>
        <v>81.744</v>
      </c>
      <c r="AI15" s="7">
        <v>12</v>
      </c>
      <c r="AJ15" s="9">
        <f t="shared" si="8"/>
        <v>28</v>
      </c>
      <c r="AK15" s="1">
        <f t="shared" si="9"/>
        <v>80.64</v>
      </c>
      <c r="AL15" s="1">
        <v>14</v>
      </c>
      <c r="AM15" s="1">
        <v>70</v>
      </c>
      <c r="AN15" s="9">
        <f t="shared" si="10"/>
        <v>0.4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42</v>
      </c>
      <c r="C16" s="1">
        <v>1076</v>
      </c>
      <c r="D16" s="1">
        <v>5</v>
      </c>
      <c r="E16" s="1">
        <v>462</v>
      </c>
      <c r="F16" s="18">
        <f>523+F8</f>
        <v>496</v>
      </c>
      <c r="G16" s="7">
        <v>0.24</v>
      </c>
      <c r="H16" s="1">
        <v>180</v>
      </c>
      <c r="I16" s="1" t="s">
        <v>64</v>
      </c>
      <c r="J16" s="1"/>
      <c r="K16" s="1">
        <v>490</v>
      </c>
      <c r="L16" s="1">
        <f t="shared" si="2"/>
        <v>-28</v>
      </c>
      <c r="M16" s="1"/>
      <c r="N16" s="1"/>
      <c r="O16" s="1">
        <v>168</v>
      </c>
      <c r="P16" s="1">
        <f t="shared" si="3"/>
        <v>92.4</v>
      </c>
      <c r="Q16" s="5">
        <v>629.60000000000014</v>
      </c>
      <c r="R16" s="5">
        <f t="shared" si="11"/>
        <v>629.6</v>
      </c>
      <c r="S16" s="5">
        <f t="shared" si="6"/>
        <v>672</v>
      </c>
      <c r="T16" s="24"/>
      <c r="U16" s="1">
        <f t="shared" si="4"/>
        <v>14.458874458874458</v>
      </c>
      <c r="V16" s="1">
        <f t="shared" si="5"/>
        <v>7.1861471861471857</v>
      </c>
      <c r="W16" s="1">
        <v>87.4</v>
      </c>
      <c r="X16" s="1">
        <v>83.6</v>
      </c>
      <c r="Y16" s="1">
        <v>77.8</v>
      </c>
      <c r="Z16" s="1">
        <v>58</v>
      </c>
      <c r="AA16" s="1">
        <v>130.80000000000001</v>
      </c>
      <c r="AB16" s="1">
        <v>93.4</v>
      </c>
      <c r="AC16" s="1">
        <v>121.8</v>
      </c>
      <c r="AD16" s="1">
        <v>109.8</v>
      </c>
      <c r="AE16" s="1">
        <v>80.2</v>
      </c>
      <c r="AF16" s="1">
        <v>89.2</v>
      </c>
      <c r="AG16" s="1"/>
      <c r="AH16" s="1">
        <f t="shared" si="7"/>
        <v>151.10400000000001</v>
      </c>
      <c r="AI16" s="7">
        <v>12</v>
      </c>
      <c r="AJ16" s="9">
        <f t="shared" si="8"/>
        <v>56</v>
      </c>
      <c r="AK16" s="1">
        <f t="shared" si="9"/>
        <v>161.28</v>
      </c>
      <c r="AL16" s="1">
        <v>14</v>
      </c>
      <c r="AM16" s="1">
        <v>70</v>
      </c>
      <c r="AN16" s="9">
        <f t="shared" si="10"/>
        <v>0.8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65</v>
      </c>
      <c r="B17" s="1" t="s">
        <v>42</v>
      </c>
      <c r="C17" s="1">
        <v>179</v>
      </c>
      <c r="D17" s="1">
        <v>14</v>
      </c>
      <c r="E17" s="1">
        <v>57</v>
      </c>
      <c r="F17" s="1">
        <v>120</v>
      </c>
      <c r="G17" s="7">
        <v>0.48</v>
      </c>
      <c r="H17" s="1">
        <v>180</v>
      </c>
      <c r="I17" s="1" t="s">
        <v>66</v>
      </c>
      <c r="J17" s="1"/>
      <c r="K17" s="1">
        <v>57</v>
      </c>
      <c r="L17" s="1">
        <f t="shared" si="2"/>
        <v>0</v>
      </c>
      <c r="M17" s="1"/>
      <c r="N17" s="1"/>
      <c r="O17" s="1">
        <v>112</v>
      </c>
      <c r="P17" s="1">
        <f t="shared" si="3"/>
        <v>11.4</v>
      </c>
      <c r="Q17" s="5"/>
      <c r="R17" s="5"/>
      <c r="S17" s="5">
        <f t="shared" si="6"/>
        <v>0</v>
      </c>
      <c r="T17" s="24"/>
      <c r="U17" s="1">
        <f t="shared" si="4"/>
        <v>20.350877192982455</v>
      </c>
      <c r="V17" s="1">
        <f t="shared" si="5"/>
        <v>20.350877192982455</v>
      </c>
      <c r="W17" s="1">
        <v>16.399999999999999</v>
      </c>
      <c r="X17" s="1">
        <v>14.2</v>
      </c>
      <c r="Y17" s="1">
        <v>15.4</v>
      </c>
      <c r="Z17" s="1">
        <v>12</v>
      </c>
      <c r="AA17" s="1">
        <v>31</v>
      </c>
      <c r="AB17" s="1">
        <v>24.4</v>
      </c>
      <c r="AC17" s="1">
        <v>22.4</v>
      </c>
      <c r="AD17" s="1">
        <v>25.8</v>
      </c>
      <c r="AE17" s="1">
        <v>26.8</v>
      </c>
      <c r="AF17" s="1">
        <v>0.6</v>
      </c>
      <c r="AG17" s="1"/>
      <c r="AH17" s="1">
        <f t="shared" si="7"/>
        <v>0</v>
      </c>
      <c r="AI17" s="7">
        <v>8</v>
      </c>
      <c r="AJ17" s="9">
        <f t="shared" si="8"/>
        <v>0</v>
      </c>
      <c r="AK17" s="1">
        <f t="shared" si="9"/>
        <v>0</v>
      </c>
      <c r="AL17" s="1">
        <v>14</v>
      </c>
      <c r="AM17" s="1">
        <v>70</v>
      </c>
      <c r="AN17" s="9">
        <f t="shared" si="10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67</v>
      </c>
      <c r="B18" s="1" t="s">
        <v>42</v>
      </c>
      <c r="C18" s="1">
        <v>321</v>
      </c>
      <c r="D18" s="1"/>
      <c r="E18" s="1">
        <v>203</v>
      </c>
      <c r="F18" s="1">
        <v>68</v>
      </c>
      <c r="G18" s="7">
        <v>0.09</v>
      </c>
      <c r="H18" s="1">
        <v>180</v>
      </c>
      <c r="I18" s="1" t="s">
        <v>68</v>
      </c>
      <c r="J18" s="1"/>
      <c r="K18" s="1">
        <v>195</v>
      </c>
      <c r="L18" s="1">
        <f t="shared" si="2"/>
        <v>8</v>
      </c>
      <c r="M18" s="1"/>
      <c r="N18" s="1"/>
      <c r="O18" s="1">
        <v>336</v>
      </c>
      <c r="P18" s="1">
        <f t="shared" si="3"/>
        <v>40.6</v>
      </c>
      <c r="Q18" s="5">
        <v>205</v>
      </c>
      <c r="R18" s="5">
        <f>Q18</f>
        <v>205</v>
      </c>
      <c r="S18" s="5">
        <f t="shared" si="6"/>
        <v>336</v>
      </c>
      <c r="T18" s="24"/>
      <c r="U18" s="1">
        <f t="shared" si="4"/>
        <v>18.226600985221673</v>
      </c>
      <c r="V18" s="1">
        <f t="shared" si="5"/>
        <v>9.9507389162561566</v>
      </c>
      <c r="W18" s="1">
        <v>37</v>
      </c>
      <c r="X18" s="1">
        <v>32.799999999999997</v>
      </c>
      <c r="Y18" s="1">
        <v>23.2</v>
      </c>
      <c r="Z18" s="1">
        <v>27.4</v>
      </c>
      <c r="AA18" s="1">
        <v>37.799999999999997</v>
      </c>
      <c r="AB18" s="1">
        <v>17.399999999999999</v>
      </c>
      <c r="AC18" s="1">
        <v>39.4</v>
      </c>
      <c r="AD18" s="1">
        <v>42</v>
      </c>
      <c r="AE18" s="1">
        <v>27.8</v>
      </c>
      <c r="AF18" s="1">
        <v>0</v>
      </c>
      <c r="AG18" s="1"/>
      <c r="AH18" s="1">
        <f t="shared" si="7"/>
        <v>18.45</v>
      </c>
      <c r="AI18" s="7">
        <v>24</v>
      </c>
      <c r="AJ18" s="9">
        <f t="shared" si="8"/>
        <v>14</v>
      </c>
      <c r="AK18" s="1">
        <f t="shared" si="9"/>
        <v>30.24</v>
      </c>
      <c r="AL18" s="1">
        <v>14</v>
      </c>
      <c r="AM18" s="1">
        <v>126</v>
      </c>
      <c r="AN18" s="9">
        <f t="shared" si="10"/>
        <v>0.1111111111111111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69</v>
      </c>
      <c r="B19" s="1" t="s">
        <v>42</v>
      </c>
      <c r="C19" s="1">
        <v>236</v>
      </c>
      <c r="D19" s="1">
        <v>1</v>
      </c>
      <c r="E19" s="1">
        <v>79</v>
      </c>
      <c r="F19" s="1">
        <v>151</v>
      </c>
      <c r="G19" s="7">
        <v>0.36</v>
      </c>
      <c r="H19" s="1">
        <v>180</v>
      </c>
      <c r="I19" s="1" t="s">
        <v>70</v>
      </c>
      <c r="J19" s="1"/>
      <c r="K19" s="1">
        <v>82</v>
      </c>
      <c r="L19" s="1">
        <f t="shared" si="2"/>
        <v>-3</v>
      </c>
      <c r="M19" s="1"/>
      <c r="N19" s="1"/>
      <c r="O19" s="1">
        <v>140</v>
      </c>
      <c r="P19" s="1">
        <f t="shared" si="3"/>
        <v>15.8</v>
      </c>
      <c r="Q19" s="5"/>
      <c r="R19" s="5">
        <f t="shared" ref="R19" si="12">IF(($S$1-V19)*P19&lt;0,0,($S$1-V19)*P19)</f>
        <v>0</v>
      </c>
      <c r="S19" s="5">
        <f t="shared" si="6"/>
        <v>0</v>
      </c>
      <c r="T19" s="24"/>
      <c r="U19" s="1">
        <f t="shared" si="4"/>
        <v>18.417721518987342</v>
      </c>
      <c r="V19" s="1">
        <f t="shared" si="5"/>
        <v>18.417721518987342</v>
      </c>
      <c r="W19" s="1">
        <v>18.399999999999999</v>
      </c>
      <c r="X19" s="1">
        <v>9.8000000000000007</v>
      </c>
      <c r="Y19" s="1">
        <v>12</v>
      </c>
      <c r="Z19" s="1">
        <v>18.399999999999999</v>
      </c>
      <c r="AA19" s="1">
        <v>32</v>
      </c>
      <c r="AB19" s="1">
        <v>27.2</v>
      </c>
      <c r="AC19" s="1">
        <v>15.8</v>
      </c>
      <c r="AD19" s="1">
        <v>12</v>
      </c>
      <c r="AE19" s="1">
        <v>20.8</v>
      </c>
      <c r="AF19" s="1">
        <v>45</v>
      </c>
      <c r="AG19" s="20" t="s">
        <v>110</v>
      </c>
      <c r="AH19" s="1">
        <f t="shared" si="7"/>
        <v>0</v>
      </c>
      <c r="AI19" s="7">
        <v>10</v>
      </c>
      <c r="AJ19" s="9">
        <f t="shared" si="8"/>
        <v>0</v>
      </c>
      <c r="AK19" s="1">
        <f t="shared" si="9"/>
        <v>0</v>
      </c>
      <c r="AL19" s="1">
        <v>14</v>
      </c>
      <c r="AM19" s="1">
        <v>70</v>
      </c>
      <c r="AN19" s="9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72</v>
      </c>
      <c r="J20" s="13"/>
      <c r="K20" s="13">
        <v>7</v>
      </c>
      <c r="L20" s="13">
        <f t="shared" si="2"/>
        <v>-7</v>
      </c>
      <c r="M20" s="13"/>
      <c r="N20" s="13"/>
      <c r="O20" s="13"/>
      <c r="P20" s="13">
        <f t="shared" si="3"/>
        <v>0</v>
      </c>
      <c r="Q20" s="15"/>
      <c r="R20" s="15"/>
      <c r="S20" s="15"/>
      <c r="T20" s="24"/>
      <c r="U20" s="13" t="e">
        <f t="shared" si="4"/>
        <v>#DIV/0!</v>
      </c>
      <c r="V20" s="13" t="e">
        <f t="shared" si="5"/>
        <v>#DIV/0!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7" t="s">
        <v>73</v>
      </c>
      <c r="AH20" s="13"/>
      <c r="AI20" s="14"/>
      <c r="AJ20" s="16"/>
      <c r="AK20" s="13"/>
      <c r="AL20" s="13"/>
      <c r="AM20" s="13"/>
      <c r="AN20" s="16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74</v>
      </c>
      <c r="B21" s="1" t="s">
        <v>42</v>
      </c>
      <c r="C21" s="1">
        <v>140</v>
      </c>
      <c r="D21" s="1"/>
      <c r="E21" s="1">
        <v>49</v>
      </c>
      <c r="F21" s="1">
        <v>83</v>
      </c>
      <c r="G21" s="7">
        <v>0.2</v>
      </c>
      <c r="H21" s="1">
        <v>180</v>
      </c>
      <c r="I21" s="1" t="s">
        <v>75</v>
      </c>
      <c r="J21" s="1"/>
      <c r="K21" s="1">
        <v>49</v>
      </c>
      <c r="L21" s="1">
        <f t="shared" si="2"/>
        <v>0</v>
      </c>
      <c r="M21" s="1"/>
      <c r="N21" s="1"/>
      <c r="O21" s="1">
        <v>0</v>
      </c>
      <c r="P21" s="1">
        <f t="shared" si="3"/>
        <v>9.8000000000000007</v>
      </c>
      <c r="Q21" s="5">
        <v>93.4</v>
      </c>
      <c r="R21" s="5">
        <f>Q21</f>
        <v>93.4</v>
      </c>
      <c r="S21" s="5">
        <f>AI21*AJ21</f>
        <v>168</v>
      </c>
      <c r="T21" s="24"/>
      <c r="U21" s="1">
        <f t="shared" si="4"/>
        <v>25.612244897959183</v>
      </c>
      <c r="V21" s="1">
        <f t="shared" si="5"/>
        <v>8.4693877551020407</v>
      </c>
      <c r="W21" s="1">
        <v>7.4</v>
      </c>
      <c r="X21" s="1">
        <v>4.8</v>
      </c>
      <c r="Y21" s="1">
        <v>7</v>
      </c>
      <c r="Z21" s="1">
        <v>2.2000000000000002</v>
      </c>
      <c r="AA21" s="1">
        <v>10.199999999999999</v>
      </c>
      <c r="AB21" s="1">
        <v>15.2</v>
      </c>
      <c r="AC21" s="1">
        <v>12.2</v>
      </c>
      <c r="AD21" s="1">
        <v>20.8</v>
      </c>
      <c r="AE21" s="1">
        <v>20.6</v>
      </c>
      <c r="AF21" s="1">
        <v>0</v>
      </c>
      <c r="AG21" s="1"/>
      <c r="AH21" s="1">
        <f>G21*R21</f>
        <v>18.680000000000003</v>
      </c>
      <c r="AI21" s="7">
        <v>12</v>
      </c>
      <c r="AJ21" s="9">
        <f>MROUND(R21, AI21*AL21)/AI21</f>
        <v>14</v>
      </c>
      <c r="AK21" s="1">
        <f>AJ21*AI21*G21</f>
        <v>33.6</v>
      </c>
      <c r="AL21" s="1">
        <v>14</v>
      </c>
      <c r="AM21" s="1">
        <v>70</v>
      </c>
      <c r="AN21" s="9">
        <f>AJ21/AM21</f>
        <v>0.2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3" t="s">
        <v>77</v>
      </c>
      <c r="B22" s="13" t="s">
        <v>42</v>
      </c>
      <c r="C22" s="13">
        <v>836</v>
      </c>
      <c r="D22" s="13"/>
      <c r="E22" s="13"/>
      <c r="F22" s="13"/>
      <c r="G22" s="14">
        <v>0</v>
      </c>
      <c r="H22" s="13"/>
      <c r="I22" s="13" t="s">
        <v>78</v>
      </c>
      <c r="J22" s="13" t="s">
        <v>79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5"/>
      <c r="T22" s="24"/>
      <c r="U22" s="13" t="e">
        <f t="shared" si="4"/>
        <v>#DIV/0!</v>
      </c>
      <c r="V22" s="13" t="e">
        <f t="shared" si="5"/>
        <v>#DIV/0!</v>
      </c>
      <c r="W22" s="13">
        <v>0</v>
      </c>
      <c r="X22" s="13">
        <v>0.8</v>
      </c>
      <c r="Y22" s="13">
        <v>0.8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/>
      <c r="AH22" s="13"/>
      <c r="AI22" s="14"/>
      <c r="AJ22" s="16"/>
      <c r="AK22" s="13"/>
      <c r="AL22" s="13"/>
      <c r="AM22" s="13"/>
      <c r="AN22" s="16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79</v>
      </c>
      <c r="B23" s="1" t="s">
        <v>42</v>
      </c>
      <c r="C23" s="1">
        <v>-214</v>
      </c>
      <c r="D23" s="1">
        <v>955</v>
      </c>
      <c r="E23" s="1">
        <v>162</v>
      </c>
      <c r="F23" s="1">
        <v>538</v>
      </c>
      <c r="G23" s="7">
        <v>0.2</v>
      </c>
      <c r="H23" s="1">
        <v>180</v>
      </c>
      <c r="I23" s="1" t="s">
        <v>80</v>
      </c>
      <c r="J23" s="1"/>
      <c r="K23" s="1">
        <v>167</v>
      </c>
      <c r="L23" s="1">
        <f t="shared" si="2"/>
        <v>-5</v>
      </c>
      <c r="M23" s="1"/>
      <c r="N23" s="1"/>
      <c r="O23" s="1">
        <v>168</v>
      </c>
      <c r="P23" s="1">
        <f t="shared" si="3"/>
        <v>32.4</v>
      </c>
      <c r="Q23" s="5"/>
      <c r="R23" s="5"/>
      <c r="S23" s="5">
        <f t="shared" ref="S23:S69" si="13">AI23*AJ23</f>
        <v>0</v>
      </c>
      <c r="T23" s="24"/>
      <c r="U23" s="1">
        <f t="shared" si="4"/>
        <v>21.790123456790123</v>
      </c>
      <c r="V23" s="1">
        <f t="shared" si="5"/>
        <v>21.790123456790123</v>
      </c>
      <c r="W23" s="1">
        <v>52</v>
      </c>
      <c r="X23" s="1">
        <v>53.2</v>
      </c>
      <c r="Y23" s="1">
        <v>43.6</v>
      </c>
      <c r="Z23" s="1">
        <v>46.4</v>
      </c>
      <c r="AA23" s="1">
        <v>74.8</v>
      </c>
      <c r="AB23" s="1">
        <v>46.6</v>
      </c>
      <c r="AC23" s="1">
        <v>71.2</v>
      </c>
      <c r="AD23" s="1">
        <v>55.6</v>
      </c>
      <c r="AE23" s="1">
        <v>33.6</v>
      </c>
      <c r="AF23" s="1">
        <v>79.8</v>
      </c>
      <c r="AG23" s="1"/>
      <c r="AH23" s="1">
        <f t="shared" ref="AH23:AH69" si="14">G23*R23</f>
        <v>0</v>
      </c>
      <c r="AI23" s="7">
        <v>12</v>
      </c>
      <c r="AJ23" s="9">
        <f t="shared" ref="AJ23:AJ69" si="15">MROUND(R23, AI23*AL23)/AI23</f>
        <v>0</v>
      </c>
      <c r="AK23" s="1">
        <f t="shared" ref="AK23:AK69" si="16">AJ23*AI23*G23</f>
        <v>0</v>
      </c>
      <c r="AL23" s="1">
        <v>14</v>
      </c>
      <c r="AM23" s="1">
        <v>70</v>
      </c>
      <c r="AN23" s="9">
        <f t="shared" ref="AN23:AN69" si="17">AJ23/AM23</f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81</v>
      </c>
      <c r="B24" s="1" t="s">
        <v>42</v>
      </c>
      <c r="C24" s="1">
        <v>237</v>
      </c>
      <c r="D24" s="1">
        <v>32</v>
      </c>
      <c r="E24" s="1">
        <v>215</v>
      </c>
      <c r="F24" s="1">
        <v>43</v>
      </c>
      <c r="G24" s="7">
        <v>0.2</v>
      </c>
      <c r="H24" s="1">
        <v>180</v>
      </c>
      <c r="I24" s="1" t="s">
        <v>82</v>
      </c>
      <c r="J24" s="1"/>
      <c r="K24" s="1">
        <v>217</v>
      </c>
      <c r="L24" s="1">
        <f t="shared" si="2"/>
        <v>-2</v>
      </c>
      <c r="M24" s="1"/>
      <c r="N24" s="1"/>
      <c r="O24" s="1">
        <v>168</v>
      </c>
      <c r="P24" s="1">
        <f t="shared" si="3"/>
        <v>43</v>
      </c>
      <c r="Q24" s="5">
        <v>391</v>
      </c>
      <c r="R24" s="5">
        <f>IF(($S$1-V24)*P24&lt;0,0,($S$1-V24)*P24)</f>
        <v>391</v>
      </c>
      <c r="S24" s="5">
        <f t="shared" si="13"/>
        <v>336</v>
      </c>
      <c r="T24" s="24"/>
      <c r="U24" s="1">
        <f t="shared" si="4"/>
        <v>12.720930232558139</v>
      </c>
      <c r="V24" s="1">
        <f t="shared" si="5"/>
        <v>4.9069767441860463</v>
      </c>
      <c r="W24" s="1">
        <v>30.6</v>
      </c>
      <c r="X24" s="1">
        <v>42.2</v>
      </c>
      <c r="Y24" s="1">
        <v>38.799999999999997</v>
      </c>
      <c r="Z24" s="1">
        <v>17.399999999999999</v>
      </c>
      <c r="AA24" s="1">
        <v>40.4</v>
      </c>
      <c r="AB24" s="1">
        <v>37.799999999999997</v>
      </c>
      <c r="AC24" s="1">
        <v>49.4</v>
      </c>
      <c r="AD24" s="1">
        <v>54.8</v>
      </c>
      <c r="AE24" s="1">
        <v>36.799999999999997</v>
      </c>
      <c r="AF24" s="1">
        <v>41.2</v>
      </c>
      <c r="AG24" s="1"/>
      <c r="AH24" s="1">
        <f t="shared" si="14"/>
        <v>78.2</v>
      </c>
      <c r="AI24" s="7">
        <v>12</v>
      </c>
      <c r="AJ24" s="9">
        <f t="shared" si="15"/>
        <v>28</v>
      </c>
      <c r="AK24" s="1">
        <f t="shared" si="16"/>
        <v>67.2</v>
      </c>
      <c r="AL24" s="1">
        <v>14</v>
      </c>
      <c r="AM24" s="1">
        <v>70</v>
      </c>
      <c r="AN24" s="9">
        <f t="shared" si="17"/>
        <v>0.4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83</v>
      </c>
      <c r="B25" s="1" t="s">
        <v>50</v>
      </c>
      <c r="C25" s="1">
        <v>180</v>
      </c>
      <c r="D25" s="1"/>
      <c r="E25" s="1">
        <v>50</v>
      </c>
      <c r="F25" s="1">
        <v>125</v>
      </c>
      <c r="G25" s="7">
        <v>1</v>
      </c>
      <c r="H25" s="1">
        <v>180</v>
      </c>
      <c r="I25" s="1" t="s">
        <v>84</v>
      </c>
      <c r="J25" s="1"/>
      <c r="K25" s="1">
        <v>50</v>
      </c>
      <c r="L25" s="1">
        <f t="shared" si="2"/>
        <v>0</v>
      </c>
      <c r="M25" s="1"/>
      <c r="N25" s="1"/>
      <c r="O25" s="1">
        <v>0</v>
      </c>
      <c r="P25" s="1">
        <f t="shared" si="3"/>
        <v>10</v>
      </c>
      <c r="Q25" s="5">
        <v>35</v>
      </c>
      <c r="R25" s="5">
        <v>250</v>
      </c>
      <c r="S25" s="5">
        <f t="shared" si="13"/>
        <v>240</v>
      </c>
      <c r="T25" s="24" t="str">
        <f>VLOOKUP(A25,[2]Sheet!$A:$S,19,0)</f>
        <v>250кг</v>
      </c>
      <c r="U25" s="1">
        <f t="shared" si="4"/>
        <v>36.5</v>
      </c>
      <c r="V25" s="1">
        <f t="shared" si="5"/>
        <v>12.5</v>
      </c>
      <c r="W25" s="1">
        <v>12</v>
      </c>
      <c r="X25" s="1">
        <v>7</v>
      </c>
      <c r="Y25" s="1">
        <v>6</v>
      </c>
      <c r="Z25" s="1">
        <v>5</v>
      </c>
      <c r="AA25" s="1">
        <v>25</v>
      </c>
      <c r="AB25" s="1">
        <v>0</v>
      </c>
      <c r="AC25" s="1">
        <v>5</v>
      </c>
      <c r="AD25" s="1">
        <v>13</v>
      </c>
      <c r="AE25" s="1">
        <v>8</v>
      </c>
      <c r="AF25" s="1">
        <v>0</v>
      </c>
      <c r="AG25" s="1"/>
      <c r="AH25" s="1">
        <f t="shared" si="14"/>
        <v>250</v>
      </c>
      <c r="AI25" s="7">
        <v>5</v>
      </c>
      <c r="AJ25" s="9">
        <f t="shared" si="15"/>
        <v>48</v>
      </c>
      <c r="AK25" s="1">
        <f t="shared" si="16"/>
        <v>240</v>
      </c>
      <c r="AL25" s="1">
        <v>12</v>
      </c>
      <c r="AM25" s="1">
        <v>84</v>
      </c>
      <c r="AN25" s="9">
        <f t="shared" si="17"/>
        <v>0.5714285714285714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85</v>
      </c>
      <c r="B26" s="1" t="s">
        <v>50</v>
      </c>
      <c r="C26" s="1">
        <v>126</v>
      </c>
      <c r="D26" s="1">
        <v>3</v>
      </c>
      <c r="E26" s="1">
        <v>39</v>
      </c>
      <c r="F26" s="1">
        <v>69</v>
      </c>
      <c r="G26" s="7">
        <v>1</v>
      </c>
      <c r="H26" s="1">
        <v>180</v>
      </c>
      <c r="I26" s="1" t="s">
        <v>86</v>
      </c>
      <c r="J26" s="1"/>
      <c r="K26" s="1">
        <v>45</v>
      </c>
      <c r="L26" s="1">
        <f t="shared" si="2"/>
        <v>-6</v>
      </c>
      <c r="M26" s="1"/>
      <c r="N26" s="1"/>
      <c r="O26" s="1">
        <v>0</v>
      </c>
      <c r="P26" s="1">
        <f t="shared" si="3"/>
        <v>7.8</v>
      </c>
      <c r="Q26" s="5">
        <v>40.200000000000003</v>
      </c>
      <c r="R26" s="5">
        <f t="shared" ref="R26:R27" si="18">IF(($S$1-V26)*P26&lt;0,0,($S$1-V26)*P26)</f>
        <v>40.199999999999996</v>
      </c>
      <c r="S26" s="5">
        <f t="shared" si="13"/>
        <v>42</v>
      </c>
      <c r="T26" s="24"/>
      <c r="U26" s="1">
        <f t="shared" si="4"/>
        <v>14.230769230769232</v>
      </c>
      <c r="V26" s="1">
        <f t="shared" si="5"/>
        <v>8.8461538461538467</v>
      </c>
      <c r="W26" s="1">
        <v>6</v>
      </c>
      <c r="X26" s="1">
        <v>6</v>
      </c>
      <c r="Y26" s="1">
        <v>4.2</v>
      </c>
      <c r="Z26" s="1">
        <v>4.2</v>
      </c>
      <c r="AA26" s="1">
        <v>14.6</v>
      </c>
      <c r="AB26" s="1">
        <v>16.8</v>
      </c>
      <c r="AC26" s="1">
        <v>16.2</v>
      </c>
      <c r="AD26" s="1">
        <v>15.6</v>
      </c>
      <c r="AE26" s="1">
        <v>11.4</v>
      </c>
      <c r="AF26" s="1">
        <v>8.4</v>
      </c>
      <c r="AG26" s="1"/>
      <c r="AH26" s="1">
        <f t="shared" si="14"/>
        <v>40.199999999999996</v>
      </c>
      <c r="AI26" s="7">
        <v>3</v>
      </c>
      <c r="AJ26" s="9">
        <f t="shared" si="15"/>
        <v>14</v>
      </c>
      <c r="AK26" s="1">
        <f t="shared" si="16"/>
        <v>42</v>
      </c>
      <c r="AL26" s="1">
        <v>14</v>
      </c>
      <c r="AM26" s="1">
        <v>126</v>
      </c>
      <c r="AN26" s="9">
        <f t="shared" si="17"/>
        <v>0.1111111111111111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87</v>
      </c>
      <c r="B27" s="1" t="s">
        <v>42</v>
      </c>
      <c r="C27" s="1">
        <v>636</v>
      </c>
      <c r="D27" s="1">
        <v>15</v>
      </c>
      <c r="E27" s="1">
        <v>389</v>
      </c>
      <c r="F27" s="1">
        <v>192</v>
      </c>
      <c r="G27" s="7">
        <v>0.25</v>
      </c>
      <c r="H27" s="1">
        <v>365</v>
      </c>
      <c r="I27" s="1" t="s">
        <v>88</v>
      </c>
      <c r="J27" s="1"/>
      <c r="K27" s="1">
        <v>390</v>
      </c>
      <c r="L27" s="1">
        <f t="shared" si="2"/>
        <v>-1</v>
      </c>
      <c r="M27" s="1"/>
      <c r="N27" s="1"/>
      <c r="O27" s="1">
        <v>1008</v>
      </c>
      <c r="P27" s="1">
        <f t="shared" si="3"/>
        <v>77.8</v>
      </c>
      <c r="Q27" s="5"/>
      <c r="R27" s="5">
        <f t="shared" si="18"/>
        <v>0</v>
      </c>
      <c r="S27" s="5">
        <f t="shared" si="13"/>
        <v>0</v>
      </c>
      <c r="T27" s="24"/>
      <c r="U27" s="1">
        <f t="shared" si="4"/>
        <v>15.424164524421595</v>
      </c>
      <c r="V27" s="1">
        <f t="shared" si="5"/>
        <v>15.424164524421595</v>
      </c>
      <c r="W27" s="1">
        <v>119.2</v>
      </c>
      <c r="X27" s="1">
        <v>90.6</v>
      </c>
      <c r="Y27" s="1">
        <v>78</v>
      </c>
      <c r="Z27" s="1">
        <v>77.2</v>
      </c>
      <c r="AA27" s="1">
        <v>116.2</v>
      </c>
      <c r="AB27" s="1">
        <v>94.8</v>
      </c>
      <c r="AC27" s="1">
        <v>115.8</v>
      </c>
      <c r="AD27" s="1">
        <v>107</v>
      </c>
      <c r="AE27" s="1">
        <v>87.4</v>
      </c>
      <c r="AF27" s="1">
        <v>51.4</v>
      </c>
      <c r="AG27" s="1"/>
      <c r="AH27" s="1">
        <f t="shared" si="14"/>
        <v>0</v>
      </c>
      <c r="AI27" s="7">
        <v>6</v>
      </c>
      <c r="AJ27" s="9">
        <f t="shared" si="15"/>
        <v>0</v>
      </c>
      <c r="AK27" s="1">
        <f t="shared" si="16"/>
        <v>0</v>
      </c>
      <c r="AL27" s="1">
        <v>14</v>
      </c>
      <c r="AM27" s="1">
        <v>140</v>
      </c>
      <c r="AN27" s="9">
        <f t="shared" si="17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89</v>
      </c>
      <c r="B28" s="1" t="s">
        <v>42</v>
      </c>
      <c r="C28" s="1">
        <v>15</v>
      </c>
      <c r="D28" s="1"/>
      <c r="E28" s="1">
        <v>16</v>
      </c>
      <c r="F28" s="1"/>
      <c r="G28" s="7">
        <v>0.25</v>
      </c>
      <c r="H28" s="1">
        <v>365</v>
      </c>
      <c r="I28" s="1" t="s">
        <v>90</v>
      </c>
      <c r="J28" s="1"/>
      <c r="K28" s="1">
        <v>108</v>
      </c>
      <c r="L28" s="1">
        <f t="shared" si="2"/>
        <v>-92</v>
      </c>
      <c r="M28" s="1"/>
      <c r="N28" s="1"/>
      <c r="O28" s="1">
        <v>504</v>
      </c>
      <c r="P28" s="1">
        <f t="shared" si="3"/>
        <v>3.2</v>
      </c>
      <c r="Q28" s="5"/>
      <c r="R28" s="5"/>
      <c r="S28" s="5">
        <f t="shared" si="13"/>
        <v>0</v>
      </c>
      <c r="T28" s="24"/>
      <c r="U28" s="1">
        <f t="shared" si="4"/>
        <v>157.5</v>
      </c>
      <c r="V28" s="1">
        <f t="shared" si="5"/>
        <v>157.5</v>
      </c>
      <c r="W28" s="1">
        <v>51</v>
      </c>
      <c r="X28" s="1">
        <v>61.4</v>
      </c>
      <c r="Y28" s="1">
        <v>45.2</v>
      </c>
      <c r="Z28" s="1">
        <v>29.2</v>
      </c>
      <c r="AA28" s="1">
        <v>47.2</v>
      </c>
      <c r="AB28" s="1">
        <v>54.4</v>
      </c>
      <c r="AC28" s="1">
        <v>26.6</v>
      </c>
      <c r="AD28" s="1">
        <v>18.8</v>
      </c>
      <c r="AE28" s="1">
        <v>15</v>
      </c>
      <c r="AF28" s="1">
        <v>41.4</v>
      </c>
      <c r="AG28" s="1"/>
      <c r="AH28" s="1">
        <f t="shared" si="14"/>
        <v>0</v>
      </c>
      <c r="AI28" s="7">
        <v>6</v>
      </c>
      <c r="AJ28" s="9">
        <f t="shared" si="15"/>
        <v>0</v>
      </c>
      <c r="AK28" s="1">
        <f t="shared" si="16"/>
        <v>0</v>
      </c>
      <c r="AL28" s="1">
        <v>14</v>
      </c>
      <c r="AM28" s="1">
        <v>140</v>
      </c>
      <c r="AN28" s="9">
        <f t="shared" si="17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91</v>
      </c>
      <c r="B29" s="1" t="s">
        <v>50</v>
      </c>
      <c r="C29" s="1">
        <v>378</v>
      </c>
      <c r="D29" s="1"/>
      <c r="E29" s="1">
        <v>96</v>
      </c>
      <c r="F29" s="1">
        <v>264</v>
      </c>
      <c r="G29" s="7">
        <v>1</v>
      </c>
      <c r="H29" s="1">
        <v>180</v>
      </c>
      <c r="I29" s="1" t="s">
        <v>92</v>
      </c>
      <c r="J29" s="1"/>
      <c r="K29" s="1">
        <v>97</v>
      </c>
      <c r="L29" s="1">
        <f t="shared" si="2"/>
        <v>-1</v>
      </c>
      <c r="M29" s="1"/>
      <c r="N29" s="1"/>
      <c r="O29" s="1">
        <v>0</v>
      </c>
      <c r="P29" s="1">
        <f t="shared" si="3"/>
        <v>19.2</v>
      </c>
      <c r="Q29" s="5"/>
      <c r="R29" s="5">
        <v>300</v>
      </c>
      <c r="S29" s="5">
        <f t="shared" si="13"/>
        <v>288</v>
      </c>
      <c r="T29" s="24" t="str">
        <f>VLOOKUP(A29,[2]Sheet!$A:$S,19,0)</f>
        <v>300кг</v>
      </c>
      <c r="U29" s="1">
        <f t="shared" si="4"/>
        <v>28.75</v>
      </c>
      <c r="V29" s="1">
        <f t="shared" si="5"/>
        <v>13.75</v>
      </c>
      <c r="W29" s="1">
        <v>13.2</v>
      </c>
      <c r="X29" s="1">
        <v>8.4</v>
      </c>
      <c r="Y29" s="1">
        <v>6</v>
      </c>
      <c r="Z29" s="1">
        <v>7.2</v>
      </c>
      <c r="AA29" s="1">
        <v>21.6</v>
      </c>
      <c r="AB29" s="1">
        <v>30</v>
      </c>
      <c r="AC29" s="1">
        <v>48</v>
      </c>
      <c r="AD29" s="1">
        <v>58.8</v>
      </c>
      <c r="AE29" s="1">
        <v>25.2</v>
      </c>
      <c r="AF29" s="1">
        <v>0</v>
      </c>
      <c r="AG29" s="1"/>
      <c r="AH29" s="1">
        <f t="shared" si="14"/>
        <v>300</v>
      </c>
      <c r="AI29" s="7">
        <v>6</v>
      </c>
      <c r="AJ29" s="9">
        <f t="shared" si="15"/>
        <v>48</v>
      </c>
      <c r="AK29" s="1">
        <f t="shared" si="16"/>
        <v>288</v>
      </c>
      <c r="AL29" s="1">
        <v>12</v>
      </c>
      <c r="AM29" s="1">
        <v>84</v>
      </c>
      <c r="AN29" s="9">
        <f t="shared" si="17"/>
        <v>0.5714285714285714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94</v>
      </c>
      <c r="B30" s="1" t="s">
        <v>42</v>
      </c>
      <c r="C30" s="1">
        <v>349</v>
      </c>
      <c r="D30" s="1"/>
      <c r="E30" s="1">
        <v>35</v>
      </c>
      <c r="F30" s="1">
        <v>298</v>
      </c>
      <c r="G30" s="7">
        <v>0.23</v>
      </c>
      <c r="H30" s="1">
        <v>180</v>
      </c>
      <c r="I30" s="1" t="s">
        <v>95</v>
      </c>
      <c r="J30" s="1"/>
      <c r="K30" s="1">
        <v>35</v>
      </c>
      <c r="L30" s="1">
        <f t="shared" si="2"/>
        <v>0</v>
      </c>
      <c r="M30" s="1"/>
      <c r="N30" s="1"/>
      <c r="O30" s="1">
        <v>0</v>
      </c>
      <c r="P30" s="1">
        <f t="shared" si="3"/>
        <v>7</v>
      </c>
      <c r="Q30" s="5"/>
      <c r="R30" s="5"/>
      <c r="S30" s="5">
        <f t="shared" si="13"/>
        <v>0</v>
      </c>
      <c r="T30" s="24"/>
      <c r="U30" s="1">
        <f t="shared" si="4"/>
        <v>42.571428571428569</v>
      </c>
      <c r="V30" s="1">
        <f t="shared" si="5"/>
        <v>42.571428571428569</v>
      </c>
      <c r="W30" s="1">
        <v>8.6</v>
      </c>
      <c r="X30" s="1">
        <v>8.8000000000000007</v>
      </c>
      <c r="Y30" s="1">
        <v>6.8</v>
      </c>
      <c r="Z30" s="1">
        <v>5.2</v>
      </c>
      <c r="AA30" s="1">
        <v>13.2</v>
      </c>
      <c r="AB30" s="1">
        <v>25.4</v>
      </c>
      <c r="AC30" s="1">
        <v>25</v>
      </c>
      <c r="AD30" s="1">
        <v>21.2</v>
      </c>
      <c r="AE30" s="1">
        <v>23.4</v>
      </c>
      <c r="AF30" s="1">
        <v>6.4</v>
      </c>
      <c r="AG30" s="17" t="s">
        <v>93</v>
      </c>
      <c r="AH30" s="1">
        <f t="shared" si="14"/>
        <v>0</v>
      </c>
      <c r="AI30" s="7">
        <v>12</v>
      </c>
      <c r="AJ30" s="9">
        <f t="shared" si="15"/>
        <v>0</v>
      </c>
      <c r="AK30" s="1">
        <f t="shared" si="16"/>
        <v>0</v>
      </c>
      <c r="AL30" s="1">
        <v>14</v>
      </c>
      <c r="AM30" s="1">
        <v>70</v>
      </c>
      <c r="AN30" s="9">
        <f t="shared" si="17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96</v>
      </c>
      <c r="B31" s="1" t="s">
        <v>42</v>
      </c>
      <c r="C31" s="1">
        <v>670</v>
      </c>
      <c r="D31" s="1">
        <v>69</v>
      </c>
      <c r="E31" s="1">
        <v>298</v>
      </c>
      <c r="F31" s="1">
        <v>352</v>
      </c>
      <c r="G31" s="7">
        <v>0.25</v>
      </c>
      <c r="H31" s="1">
        <v>365</v>
      </c>
      <c r="I31" s="1" t="s">
        <v>97</v>
      </c>
      <c r="J31" s="1"/>
      <c r="K31" s="1">
        <v>332</v>
      </c>
      <c r="L31" s="1">
        <f t="shared" si="2"/>
        <v>-34</v>
      </c>
      <c r="M31" s="1"/>
      <c r="N31" s="1"/>
      <c r="O31" s="1">
        <v>504</v>
      </c>
      <c r="P31" s="1">
        <f t="shared" si="3"/>
        <v>59.6</v>
      </c>
      <c r="Q31" s="5"/>
      <c r="R31" s="5">
        <f t="shared" ref="R31:R35" si="19">IF(($S$1-V31)*P31&lt;0,0,($S$1-V31)*P31)</f>
        <v>0</v>
      </c>
      <c r="S31" s="5">
        <f t="shared" si="13"/>
        <v>0</v>
      </c>
      <c r="T31" s="24"/>
      <c r="U31" s="1">
        <f t="shared" si="4"/>
        <v>14.36241610738255</v>
      </c>
      <c r="V31" s="1">
        <f t="shared" si="5"/>
        <v>14.36241610738255</v>
      </c>
      <c r="W31" s="1">
        <v>80.599999999999994</v>
      </c>
      <c r="X31" s="1">
        <v>53.4</v>
      </c>
      <c r="Y31" s="1">
        <v>50.4</v>
      </c>
      <c r="Z31" s="1">
        <v>46.6</v>
      </c>
      <c r="AA31" s="1">
        <v>91.2</v>
      </c>
      <c r="AB31" s="1">
        <v>59</v>
      </c>
      <c r="AC31" s="1">
        <v>84.4</v>
      </c>
      <c r="AD31" s="1">
        <v>81.8</v>
      </c>
      <c r="AE31" s="1">
        <v>50</v>
      </c>
      <c r="AF31" s="1">
        <v>39.4</v>
      </c>
      <c r="AG31" s="1"/>
      <c r="AH31" s="1">
        <f t="shared" si="14"/>
        <v>0</v>
      </c>
      <c r="AI31" s="7">
        <v>12</v>
      </c>
      <c r="AJ31" s="9">
        <f t="shared" si="15"/>
        <v>0</v>
      </c>
      <c r="AK31" s="1">
        <f t="shared" si="16"/>
        <v>0</v>
      </c>
      <c r="AL31" s="1">
        <v>14</v>
      </c>
      <c r="AM31" s="1">
        <v>70</v>
      </c>
      <c r="AN31" s="9">
        <f t="shared" si="17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98</v>
      </c>
      <c r="B32" s="1" t="s">
        <v>42</v>
      </c>
      <c r="C32" s="1">
        <v>372</v>
      </c>
      <c r="D32" s="1">
        <v>68</v>
      </c>
      <c r="E32" s="1">
        <v>235</v>
      </c>
      <c r="F32" s="1">
        <v>130</v>
      </c>
      <c r="G32" s="7">
        <v>0.25</v>
      </c>
      <c r="H32" s="1">
        <v>365</v>
      </c>
      <c r="I32" s="1" t="s">
        <v>99</v>
      </c>
      <c r="J32" s="1"/>
      <c r="K32" s="1">
        <v>277</v>
      </c>
      <c r="L32" s="1">
        <f t="shared" si="2"/>
        <v>-42</v>
      </c>
      <c r="M32" s="1"/>
      <c r="N32" s="1"/>
      <c r="O32" s="1">
        <v>504</v>
      </c>
      <c r="P32" s="1">
        <f t="shared" si="3"/>
        <v>47</v>
      </c>
      <c r="Q32" s="5">
        <v>118</v>
      </c>
      <c r="R32" s="5">
        <f>Q32</f>
        <v>118</v>
      </c>
      <c r="S32" s="5">
        <f t="shared" si="13"/>
        <v>168</v>
      </c>
      <c r="T32" s="24"/>
      <c r="U32" s="1">
        <f t="shared" si="4"/>
        <v>17.063829787234042</v>
      </c>
      <c r="V32" s="1">
        <f t="shared" si="5"/>
        <v>13.48936170212766</v>
      </c>
      <c r="W32" s="1">
        <v>61.8</v>
      </c>
      <c r="X32" s="1">
        <v>47.8</v>
      </c>
      <c r="Y32" s="1">
        <v>49.8</v>
      </c>
      <c r="Z32" s="1">
        <v>41.8</v>
      </c>
      <c r="AA32" s="1">
        <v>66.2</v>
      </c>
      <c r="AB32" s="1">
        <v>62.2</v>
      </c>
      <c r="AC32" s="1">
        <v>52</v>
      </c>
      <c r="AD32" s="1">
        <v>62.6</v>
      </c>
      <c r="AE32" s="1">
        <v>64.599999999999994</v>
      </c>
      <c r="AF32" s="1">
        <v>80</v>
      </c>
      <c r="AG32" s="1"/>
      <c r="AH32" s="1">
        <f t="shared" si="14"/>
        <v>29.5</v>
      </c>
      <c r="AI32" s="7">
        <v>12</v>
      </c>
      <c r="AJ32" s="9">
        <f t="shared" si="15"/>
        <v>14</v>
      </c>
      <c r="AK32" s="1">
        <f t="shared" si="16"/>
        <v>42</v>
      </c>
      <c r="AL32" s="1">
        <v>14</v>
      </c>
      <c r="AM32" s="1">
        <v>70</v>
      </c>
      <c r="AN32" s="9">
        <f t="shared" si="17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100</v>
      </c>
      <c r="B33" s="1" t="s">
        <v>42</v>
      </c>
      <c r="C33" s="1">
        <v>220</v>
      </c>
      <c r="D33" s="1">
        <v>5</v>
      </c>
      <c r="E33" s="1">
        <v>156</v>
      </c>
      <c r="F33" s="1">
        <v>46</v>
      </c>
      <c r="G33" s="7">
        <v>0.25</v>
      </c>
      <c r="H33" s="1">
        <v>180</v>
      </c>
      <c r="I33" s="1" t="s">
        <v>101</v>
      </c>
      <c r="J33" s="1"/>
      <c r="K33" s="1">
        <v>169</v>
      </c>
      <c r="L33" s="1">
        <f t="shared" si="2"/>
        <v>-13</v>
      </c>
      <c r="M33" s="1"/>
      <c r="N33" s="1"/>
      <c r="O33" s="1">
        <v>336</v>
      </c>
      <c r="P33" s="1">
        <f t="shared" si="3"/>
        <v>31.2</v>
      </c>
      <c r="Q33" s="5">
        <v>86</v>
      </c>
      <c r="R33" s="5">
        <f>Q33</f>
        <v>86</v>
      </c>
      <c r="S33" s="5">
        <f t="shared" si="13"/>
        <v>168</v>
      </c>
      <c r="T33" s="24"/>
      <c r="U33" s="1">
        <f t="shared" si="4"/>
        <v>17.628205128205128</v>
      </c>
      <c r="V33" s="1">
        <f t="shared" si="5"/>
        <v>12.243589743589745</v>
      </c>
      <c r="W33" s="1">
        <v>44.6</v>
      </c>
      <c r="X33" s="1">
        <v>29</v>
      </c>
      <c r="Y33" s="1">
        <v>24.2</v>
      </c>
      <c r="Z33" s="1">
        <v>36.6</v>
      </c>
      <c r="AA33" s="1">
        <v>44.4</v>
      </c>
      <c r="AB33" s="1">
        <v>50.8</v>
      </c>
      <c r="AC33" s="1">
        <v>44.8</v>
      </c>
      <c r="AD33" s="1">
        <v>46.8</v>
      </c>
      <c r="AE33" s="1">
        <v>47.2</v>
      </c>
      <c r="AF33" s="1">
        <v>38.6</v>
      </c>
      <c r="AG33" s="1"/>
      <c r="AH33" s="1">
        <f t="shared" si="14"/>
        <v>21.5</v>
      </c>
      <c r="AI33" s="7">
        <v>12</v>
      </c>
      <c r="AJ33" s="9">
        <f t="shared" si="15"/>
        <v>14</v>
      </c>
      <c r="AK33" s="1">
        <f t="shared" si="16"/>
        <v>42</v>
      </c>
      <c r="AL33" s="1">
        <v>14</v>
      </c>
      <c r="AM33" s="1">
        <v>70</v>
      </c>
      <c r="AN33" s="9">
        <f t="shared" si="17"/>
        <v>0.2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102</v>
      </c>
      <c r="B34" s="1" t="s">
        <v>42</v>
      </c>
      <c r="C34" s="1">
        <v>187</v>
      </c>
      <c r="D34" s="1">
        <v>32</v>
      </c>
      <c r="E34" s="1">
        <v>115</v>
      </c>
      <c r="F34" s="1">
        <v>95</v>
      </c>
      <c r="G34" s="7">
        <v>0.25</v>
      </c>
      <c r="H34" s="1">
        <v>180</v>
      </c>
      <c r="I34" s="1" t="s">
        <v>103</v>
      </c>
      <c r="J34" s="1"/>
      <c r="K34" s="1">
        <v>119</v>
      </c>
      <c r="L34" s="1">
        <f t="shared" si="2"/>
        <v>-4</v>
      </c>
      <c r="M34" s="1"/>
      <c r="N34" s="1"/>
      <c r="O34" s="1">
        <v>336</v>
      </c>
      <c r="P34" s="1">
        <f t="shared" si="3"/>
        <v>23</v>
      </c>
      <c r="Q34" s="5"/>
      <c r="R34" s="5">
        <f t="shared" si="19"/>
        <v>0</v>
      </c>
      <c r="S34" s="5">
        <f t="shared" si="13"/>
        <v>0</v>
      </c>
      <c r="T34" s="24"/>
      <c r="U34" s="1">
        <f t="shared" si="4"/>
        <v>18.739130434782609</v>
      </c>
      <c r="V34" s="1">
        <f t="shared" si="5"/>
        <v>18.739130434782609</v>
      </c>
      <c r="W34" s="1">
        <v>41</v>
      </c>
      <c r="X34" s="1">
        <v>20.6</v>
      </c>
      <c r="Y34" s="1">
        <v>20.399999999999999</v>
      </c>
      <c r="Z34" s="1">
        <v>19.2</v>
      </c>
      <c r="AA34" s="1">
        <v>41.2</v>
      </c>
      <c r="AB34" s="1">
        <v>17.600000000000001</v>
      </c>
      <c r="AC34" s="1">
        <v>35</v>
      </c>
      <c r="AD34" s="1">
        <v>31.6</v>
      </c>
      <c r="AE34" s="1">
        <v>20.8</v>
      </c>
      <c r="AF34" s="1">
        <v>0</v>
      </c>
      <c r="AG34" s="1"/>
      <c r="AH34" s="1">
        <f t="shared" si="14"/>
        <v>0</v>
      </c>
      <c r="AI34" s="7">
        <v>12</v>
      </c>
      <c r="AJ34" s="9">
        <f t="shared" si="15"/>
        <v>0</v>
      </c>
      <c r="AK34" s="1">
        <f t="shared" si="16"/>
        <v>0</v>
      </c>
      <c r="AL34" s="1">
        <v>14</v>
      </c>
      <c r="AM34" s="1">
        <v>70</v>
      </c>
      <c r="AN34" s="9">
        <f t="shared" si="17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104</v>
      </c>
      <c r="B35" s="1" t="s">
        <v>42</v>
      </c>
      <c r="C35" s="1">
        <v>146</v>
      </c>
      <c r="D35" s="1"/>
      <c r="E35" s="1">
        <v>87</v>
      </c>
      <c r="F35" s="1">
        <v>49</v>
      </c>
      <c r="G35" s="7">
        <v>0.7</v>
      </c>
      <c r="H35" s="1">
        <v>180</v>
      </c>
      <c r="I35" s="1" t="s">
        <v>105</v>
      </c>
      <c r="J35" s="1"/>
      <c r="K35" s="1">
        <v>78</v>
      </c>
      <c r="L35" s="1">
        <f t="shared" si="2"/>
        <v>9</v>
      </c>
      <c r="M35" s="1"/>
      <c r="N35" s="1"/>
      <c r="O35" s="1">
        <v>192</v>
      </c>
      <c r="P35" s="1">
        <f t="shared" si="3"/>
        <v>17.399999999999999</v>
      </c>
      <c r="Q35" s="5"/>
      <c r="R35" s="5">
        <f t="shared" si="19"/>
        <v>2.5999999999999832</v>
      </c>
      <c r="S35" s="5">
        <f t="shared" si="13"/>
        <v>0</v>
      </c>
      <c r="T35" s="24"/>
      <c r="U35" s="1">
        <f t="shared" si="4"/>
        <v>13.850574712643679</v>
      </c>
      <c r="V35" s="1">
        <f t="shared" si="5"/>
        <v>13.850574712643679</v>
      </c>
      <c r="W35" s="1">
        <v>23.4</v>
      </c>
      <c r="X35" s="1">
        <v>19</v>
      </c>
      <c r="Y35" s="1">
        <v>16.399999999999999</v>
      </c>
      <c r="Z35" s="1">
        <v>13.6</v>
      </c>
      <c r="AA35" s="1">
        <v>27.4</v>
      </c>
      <c r="AB35" s="1">
        <v>20.6</v>
      </c>
      <c r="AC35" s="1">
        <v>32.6</v>
      </c>
      <c r="AD35" s="1">
        <v>27.6</v>
      </c>
      <c r="AE35" s="1">
        <v>18.399999999999999</v>
      </c>
      <c r="AF35" s="1">
        <v>13</v>
      </c>
      <c r="AG35" s="1"/>
      <c r="AH35" s="1">
        <f t="shared" si="14"/>
        <v>1.8199999999999881</v>
      </c>
      <c r="AI35" s="7">
        <v>8</v>
      </c>
      <c r="AJ35" s="9">
        <f t="shared" si="15"/>
        <v>0</v>
      </c>
      <c r="AK35" s="1">
        <f t="shared" si="16"/>
        <v>0</v>
      </c>
      <c r="AL35" s="1">
        <v>12</v>
      </c>
      <c r="AM35" s="1">
        <v>84</v>
      </c>
      <c r="AN35" s="9">
        <f t="shared" si="17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106</v>
      </c>
      <c r="B36" s="1" t="s">
        <v>42</v>
      </c>
      <c r="C36" s="1">
        <v>42</v>
      </c>
      <c r="D36" s="1"/>
      <c r="E36" s="1">
        <v>38</v>
      </c>
      <c r="F36" s="1">
        <v>3</v>
      </c>
      <c r="G36" s="7">
        <v>0.7</v>
      </c>
      <c r="H36" s="1">
        <v>180</v>
      </c>
      <c r="I36" s="1" t="s">
        <v>107</v>
      </c>
      <c r="J36" s="1"/>
      <c r="K36" s="1">
        <v>52</v>
      </c>
      <c r="L36" s="1">
        <f t="shared" si="2"/>
        <v>-14</v>
      </c>
      <c r="M36" s="1"/>
      <c r="N36" s="1"/>
      <c r="O36" s="1">
        <v>192</v>
      </c>
      <c r="P36" s="1">
        <f t="shared" si="3"/>
        <v>7.6</v>
      </c>
      <c r="Q36" s="5"/>
      <c r="R36" s="5"/>
      <c r="S36" s="5">
        <f t="shared" si="13"/>
        <v>0</v>
      </c>
      <c r="T36" s="24"/>
      <c r="U36" s="1">
        <f t="shared" si="4"/>
        <v>25.657894736842106</v>
      </c>
      <c r="V36" s="1">
        <f t="shared" si="5"/>
        <v>25.657894736842106</v>
      </c>
      <c r="W36" s="1">
        <v>17</v>
      </c>
      <c r="X36" s="1">
        <v>24.4</v>
      </c>
      <c r="Y36" s="1">
        <v>22.6</v>
      </c>
      <c r="Z36" s="1">
        <v>12.4</v>
      </c>
      <c r="AA36" s="1">
        <v>22.2</v>
      </c>
      <c r="AB36" s="1">
        <v>17.8</v>
      </c>
      <c r="AC36" s="1">
        <v>31.4</v>
      </c>
      <c r="AD36" s="1">
        <v>30.4</v>
      </c>
      <c r="AE36" s="1">
        <v>13.6</v>
      </c>
      <c r="AF36" s="1">
        <v>22</v>
      </c>
      <c r="AG36" s="1"/>
      <c r="AH36" s="1">
        <f t="shared" si="14"/>
        <v>0</v>
      </c>
      <c r="AI36" s="7">
        <v>8</v>
      </c>
      <c r="AJ36" s="9">
        <f t="shared" si="15"/>
        <v>0</v>
      </c>
      <c r="AK36" s="1">
        <f t="shared" si="16"/>
        <v>0</v>
      </c>
      <c r="AL36" s="1">
        <v>12</v>
      </c>
      <c r="AM36" s="1">
        <v>84</v>
      </c>
      <c r="AN36" s="9">
        <f t="shared" si="17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108</v>
      </c>
      <c r="B37" s="1" t="s">
        <v>42</v>
      </c>
      <c r="C37" s="1">
        <v>7</v>
      </c>
      <c r="D37" s="1">
        <v>5</v>
      </c>
      <c r="E37" s="1">
        <v>7</v>
      </c>
      <c r="F37" s="1">
        <v>3</v>
      </c>
      <c r="G37" s="7">
        <v>0.7</v>
      </c>
      <c r="H37" s="1">
        <v>180</v>
      </c>
      <c r="I37" s="1" t="s">
        <v>109</v>
      </c>
      <c r="J37" s="1"/>
      <c r="K37" s="1">
        <v>75</v>
      </c>
      <c r="L37" s="1">
        <f t="shared" si="2"/>
        <v>-68</v>
      </c>
      <c r="M37" s="1"/>
      <c r="N37" s="1"/>
      <c r="O37" s="1">
        <v>0</v>
      </c>
      <c r="P37" s="1">
        <f t="shared" si="3"/>
        <v>1.4</v>
      </c>
      <c r="Q37" s="22">
        <v>0</v>
      </c>
      <c r="R37" s="22">
        <v>0</v>
      </c>
      <c r="S37" s="22">
        <f t="shared" si="13"/>
        <v>0</v>
      </c>
      <c r="T37" s="24"/>
      <c r="U37" s="1">
        <f t="shared" si="4"/>
        <v>2.1428571428571428</v>
      </c>
      <c r="V37" s="1">
        <f t="shared" si="5"/>
        <v>2.1428571428571428</v>
      </c>
      <c r="W37" s="1">
        <v>16.8</v>
      </c>
      <c r="X37" s="1">
        <v>19.2</v>
      </c>
      <c r="Y37" s="1">
        <v>20.399999999999999</v>
      </c>
      <c r="Z37" s="1">
        <v>20.2</v>
      </c>
      <c r="AA37" s="1">
        <v>29</v>
      </c>
      <c r="AB37" s="1">
        <v>18.399999999999999</v>
      </c>
      <c r="AC37" s="1">
        <v>28.8</v>
      </c>
      <c r="AD37" s="1">
        <v>29.8</v>
      </c>
      <c r="AE37" s="1">
        <v>28.8</v>
      </c>
      <c r="AF37" s="1">
        <v>21.2</v>
      </c>
      <c r="AG37" s="20" t="s">
        <v>110</v>
      </c>
      <c r="AH37" s="1">
        <f t="shared" si="14"/>
        <v>0</v>
      </c>
      <c r="AI37" s="7">
        <v>8</v>
      </c>
      <c r="AJ37" s="9">
        <f t="shared" si="15"/>
        <v>0</v>
      </c>
      <c r="AK37" s="1">
        <f t="shared" si="16"/>
        <v>0</v>
      </c>
      <c r="AL37" s="1">
        <v>12</v>
      </c>
      <c r="AM37" s="1">
        <v>84</v>
      </c>
      <c r="AN37" s="9">
        <f t="shared" si="17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111</v>
      </c>
      <c r="B38" s="1" t="s">
        <v>42</v>
      </c>
      <c r="C38" s="1">
        <v>309</v>
      </c>
      <c r="D38" s="1">
        <v>43</v>
      </c>
      <c r="E38" s="1">
        <v>248</v>
      </c>
      <c r="F38" s="1">
        <v>41</v>
      </c>
      <c r="G38" s="7">
        <v>0.7</v>
      </c>
      <c r="H38" s="1">
        <v>180</v>
      </c>
      <c r="I38" s="1" t="s">
        <v>112</v>
      </c>
      <c r="J38" s="1"/>
      <c r="K38" s="1">
        <v>261</v>
      </c>
      <c r="L38" s="1">
        <f t="shared" ref="L38:L69" si="20">E38-K38</f>
        <v>-13</v>
      </c>
      <c r="M38" s="1"/>
      <c r="N38" s="1"/>
      <c r="O38" s="1">
        <v>600</v>
      </c>
      <c r="P38" s="1">
        <f t="shared" ref="P38:P69" si="21">E38/5</f>
        <v>49.6</v>
      </c>
      <c r="Q38" s="5">
        <v>103</v>
      </c>
      <c r="R38" s="5">
        <f>Q38</f>
        <v>103</v>
      </c>
      <c r="S38" s="5">
        <f t="shared" si="13"/>
        <v>120</v>
      </c>
      <c r="T38" s="24"/>
      <c r="U38" s="1">
        <f t="shared" ref="U38:U69" si="22">(F38+O38+S38)/P38</f>
        <v>15.34274193548387</v>
      </c>
      <c r="V38" s="1">
        <f t="shared" ref="V38:V69" si="23">(F38+O38)/P38</f>
        <v>12.923387096774194</v>
      </c>
      <c r="W38" s="1">
        <v>69.2</v>
      </c>
      <c r="X38" s="1">
        <v>49.2</v>
      </c>
      <c r="Y38" s="1">
        <v>42.8</v>
      </c>
      <c r="Z38" s="1">
        <v>37.200000000000003</v>
      </c>
      <c r="AA38" s="1">
        <v>62</v>
      </c>
      <c r="AB38" s="1">
        <v>46</v>
      </c>
      <c r="AC38" s="1">
        <v>64.8</v>
      </c>
      <c r="AD38" s="1">
        <v>56</v>
      </c>
      <c r="AE38" s="1">
        <v>50</v>
      </c>
      <c r="AF38" s="1">
        <v>66.400000000000006</v>
      </c>
      <c r="AG38" s="1"/>
      <c r="AH38" s="1">
        <f t="shared" si="14"/>
        <v>72.099999999999994</v>
      </c>
      <c r="AI38" s="7">
        <v>10</v>
      </c>
      <c r="AJ38" s="9">
        <f t="shared" si="15"/>
        <v>12</v>
      </c>
      <c r="AK38" s="1">
        <f t="shared" si="16"/>
        <v>84</v>
      </c>
      <c r="AL38" s="1">
        <v>12</v>
      </c>
      <c r="AM38" s="1">
        <v>84</v>
      </c>
      <c r="AN38" s="9">
        <f t="shared" si="17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113</v>
      </c>
      <c r="B39" s="1" t="s">
        <v>42</v>
      </c>
      <c r="C39" s="1">
        <v>166</v>
      </c>
      <c r="D39" s="1">
        <v>33</v>
      </c>
      <c r="E39" s="1">
        <v>165</v>
      </c>
      <c r="F39" s="1">
        <v>7</v>
      </c>
      <c r="G39" s="7">
        <v>0.7</v>
      </c>
      <c r="H39" s="1">
        <v>180</v>
      </c>
      <c r="I39" s="1" t="s">
        <v>114</v>
      </c>
      <c r="J39" s="1"/>
      <c r="K39" s="1">
        <v>167</v>
      </c>
      <c r="L39" s="1">
        <f t="shared" si="20"/>
        <v>-2</v>
      </c>
      <c r="M39" s="1"/>
      <c r="N39" s="1"/>
      <c r="O39" s="1">
        <v>360</v>
      </c>
      <c r="P39" s="1">
        <f t="shared" si="21"/>
        <v>33</v>
      </c>
      <c r="Q39" s="5">
        <v>95</v>
      </c>
      <c r="R39" s="5">
        <f t="shared" ref="R39:R40" si="24">IF(($S$1-V39)*P39&lt;0,0,($S$1-V39)*P39)</f>
        <v>95</v>
      </c>
      <c r="S39" s="5">
        <f t="shared" si="13"/>
        <v>120</v>
      </c>
      <c r="T39" s="24"/>
      <c r="U39" s="1">
        <f t="shared" si="22"/>
        <v>14.757575757575758</v>
      </c>
      <c r="V39" s="1">
        <f t="shared" si="23"/>
        <v>11.121212121212121</v>
      </c>
      <c r="W39" s="1">
        <v>39.6</v>
      </c>
      <c r="X39" s="1">
        <v>29.8</v>
      </c>
      <c r="Y39" s="1">
        <v>23</v>
      </c>
      <c r="Z39" s="1">
        <v>25.8</v>
      </c>
      <c r="AA39" s="1">
        <v>40.200000000000003</v>
      </c>
      <c r="AB39" s="1">
        <v>14.8</v>
      </c>
      <c r="AC39" s="1">
        <v>46.4</v>
      </c>
      <c r="AD39" s="1">
        <v>40.6</v>
      </c>
      <c r="AE39" s="1">
        <v>25.6</v>
      </c>
      <c r="AF39" s="1">
        <v>15</v>
      </c>
      <c r="AG39" s="1"/>
      <c r="AH39" s="1">
        <f t="shared" si="14"/>
        <v>66.5</v>
      </c>
      <c r="AI39" s="7">
        <v>10</v>
      </c>
      <c r="AJ39" s="9">
        <f t="shared" si="15"/>
        <v>12</v>
      </c>
      <c r="AK39" s="1">
        <f t="shared" si="16"/>
        <v>84</v>
      </c>
      <c r="AL39" s="1">
        <v>12</v>
      </c>
      <c r="AM39" s="1">
        <v>84</v>
      </c>
      <c r="AN39" s="9">
        <f t="shared" si="17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115</v>
      </c>
      <c r="B40" s="1" t="s">
        <v>42</v>
      </c>
      <c r="C40" s="1">
        <v>226</v>
      </c>
      <c r="D40" s="1">
        <v>34</v>
      </c>
      <c r="E40" s="1">
        <v>230</v>
      </c>
      <c r="F40" s="1">
        <v>5</v>
      </c>
      <c r="G40" s="7">
        <v>0.7</v>
      </c>
      <c r="H40" s="1">
        <v>180</v>
      </c>
      <c r="I40" s="1" t="s">
        <v>116</v>
      </c>
      <c r="J40" s="1"/>
      <c r="K40" s="1">
        <v>343</v>
      </c>
      <c r="L40" s="1">
        <f t="shared" si="20"/>
        <v>-113</v>
      </c>
      <c r="M40" s="1"/>
      <c r="N40" s="1"/>
      <c r="O40" s="1">
        <v>840</v>
      </c>
      <c r="P40" s="1">
        <f t="shared" si="21"/>
        <v>46</v>
      </c>
      <c r="Q40" s="5"/>
      <c r="R40" s="5">
        <f t="shared" si="24"/>
        <v>0</v>
      </c>
      <c r="S40" s="5">
        <f t="shared" si="13"/>
        <v>0</v>
      </c>
      <c r="T40" s="24"/>
      <c r="U40" s="1">
        <f t="shared" si="22"/>
        <v>18.369565217391305</v>
      </c>
      <c r="V40" s="1">
        <f t="shared" si="23"/>
        <v>18.369565217391305</v>
      </c>
      <c r="W40" s="1">
        <v>85</v>
      </c>
      <c r="X40" s="1">
        <v>57.8</v>
      </c>
      <c r="Y40" s="1">
        <v>45.2</v>
      </c>
      <c r="Z40" s="1">
        <v>40.200000000000003</v>
      </c>
      <c r="AA40" s="1">
        <v>68</v>
      </c>
      <c r="AB40" s="1">
        <v>35.799999999999997</v>
      </c>
      <c r="AC40" s="1">
        <v>66.2</v>
      </c>
      <c r="AD40" s="1">
        <v>68.400000000000006</v>
      </c>
      <c r="AE40" s="1">
        <v>34</v>
      </c>
      <c r="AF40" s="1">
        <v>13.2</v>
      </c>
      <c r="AG40" s="1"/>
      <c r="AH40" s="1">
        <f t="shared" si="14"/>
        <v>0</v>
      </c>
      <c r="AI40" s="7">
        <v>10</v>
      </c>
      <c r="AJ40" s="9">
        <f t="shared" si="15"/>
        <v>0</v>
      </c>
      <c r="AK40" s="1">
        <f t="shared" si="16"/>
        <v>0</v>
      </c>
      <c r="AL40" s="1">
        <v>12</v>
      </c>
      <c r="AM40" s="1">
        <v>84</v>
      </c>
      <c r="AN40" s="9">
        <f t="shared" si="17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117</v>
      </c>
      <c r="B41" s="1" t="s">
        <v>42</v>
      </c>
      <c r="C41" s="1">
        <v>214</v>
      </c>
      <c r="D41" s="1">
        <v>27</v>
      </c>
      <c r="E41" s="1">
        <v>59</v>
      </c>
      <c r="F41" s="1">
        <v>120</v>
      </c>
      <c r="G41" s="7">
        <v>0.7</v>
      </c>
      <c r="H41" s="1">
        <v>180</v>
      </c>
      <c r="I41" s="1" t="s">
        <v>118</v>
      </c>
      <c r="J41" s="1"/>
      <c r="K41" s="1">
        <v>62</v>
      </c>
      <c r="L41" s="1">
        <f t="shared" si="20"/>
        <v>-3</v>
      </c>
      <c r="M41" s="1"/>
      <c r="N41" s="1"/>
      <c r="O41" s="1">
        <v>240</v>
      </c>
      <c r="P41" s="1">
        <f t="shared" si="21"/>
        <v>11.8</v>
      </c>
      <c r="Q41" s="5"/>
      <c r="R41" s="5"/>
      <c r="S41" s="5">
        <f t="shared" si="13"/>
        <v>0</v>
      </c>
      <c r="T41" s="24"/>
      <c r="U41" s="1">
        <f t="shared" si="22"/>
        <v>30.508474576271183</v>
      </c>
      <c r="V41" s="1">
        <f t="shared" si="23"/>
        <v>30.508474576271183</v>
      </c>
      <c r="W41" s="1">
        <v>29.8</v>
      </c>
      <c r="X41" s="1">
        <v>10</v>
      </c>
      <c r="Y41" s="1">
        <v>13.4</v>
      </c>
      <c r="Z41" s="1">
        <v>29.8</v>
      </c>
      <c r="AA41" s="1">
        <v>37.6</v>
      </c>
      <c r="AB41" s="1">
        <v>20.6</v>
      </c>
      <c r="AC41" s="1">
        <v>24.6</v>
      </c>
      <c r="AD41" s="1">
        <v>17</v>
      </c>
      <c r="AE41" s="1">
        <v>23</v>
      </c>
      <c r="AF41" s="1">
        <v>33</v>
      </c>
      <c r="AG41" s="19" t="s">
        <v>76</v>
      </c>
      <c r="AH41" s="1">
        <f t="shared" si="14"/>
        <v>0</v>
      </c>
      <c r="AI41" s="7">
        <v>10</v>
      </c>
      <c r="AJ41" s="9">
        <f t="shared" si="15"/>
        <v>0</v>
      </c>
      <c r="AK41" s="1">
        <f t="shared" si="16"/>
        <v>0</v>
      </c>
      <c r="AL41" s="1">
        <v>12</v>
      </c>
      <c r="AM41" s="1">
        <v>84</v>
      </c>
      <c r="AN41" s="9">
        <f t="shared" si="17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119</v>
      </c>
      <c r="B42" s="1" t="s">
        <v>50</v>
      </c>
      <c r="C42" s="1">
        <v>100</v>
      </c>
      <c r="D42" s="1">
        <v>5</v>
      </c>
      <c r="E42" s="1">
        <v>50</v>
      </c>
      <c r="F42" s="1"/>
      <c r="G42" s="7">
        <v>1</v>
      </c>
      <c r="H42" s="1">
        <v>180</v>
      </c>
      <c r="I42" s="20" t="s">
        <v>120</v>
      </c>
      <c r="J42" s="1"/>
      <c r="K42" s="1">
        <v>735</v>
      </c>
      <c r="L42" s="1">
        <f t="shared" si="20"/>
        <v>-685</v>
      </c>
      <c r="M42" s="1"/>
      <c r="N42" s="1"/>
      <c r="O42" s="1">
        <v>1320</v>
      </c>
      <c r="P42" s="1">
        <f t="shared" si="21"/>
        <v>10</v>
      </c>
      <c r="Q42" s="5"/>
      <c r="R42" s="5"/>
      <c r="S42" s="5">
        <f t="shared" si="13"/>
        <v>0</v>
      </c>
      <c r="T42" s="24"/>
      <c r="U42" s="1">
        <f t="shared" si="22"/>
        <v>132</v>
      </c>
      <c r="V42" s="1">
        <f t="shared" si="23"/>
        <v>132</v>
      </c>
      <c r="W42" s="1">
        <v>158</v>
      </c>
      <c r="X42" s="1">
        <v>126</v>
      </c>
      <c r="Y42" s="1">
        <v>97</v>
      </c>
      <c r="Z42" s="1">
        <v>130</v>
      </c>
      <c r="AA42" s="1">
        <v>108</v>
      </c>
      <c r="AB42" s="1">
        <v>87</v>
      </c>
      <c r="AC42" s="1">
        <v>100</v>
      </c>
      <c r="AD42" s="1">
        <v>95</v>
      </c>
      <c r="AE42" s="1">
        <v>42</v>
      </c>
      <c r="AF42" s="1">
        <v>70</v>
      </c>
      <c r="AG42" s="1" t="s">
        <v>121</v>
      </c>
      <c r="AH42" s="1">
        <f t="shared" si="14"/>
        <v>0</v>
      </c>
      <c r="AI42" s="7">
        <v>5</v>
      </c>
      <c r="AJ42" s="9">
        <f t="shared" si="15"/>
        <v>0</v>
      </c>
      <c r="AK42" s="1">
        <f t="shared" si="16"/>
        <v>0</v>
      </c>
      <c r="AL42" s="1">
        <v>12</v>
      </c>
      <c r="AM42" s="1">
        <v>144</v>
      </c>
      <c r="AN42" s="9">
        <f t="shared" si="17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122</v>
      </c>
      <c r="B43" s="1" t="s">
        <v>42</v>
      </c>
      <c r="C43" s="1">
        <v>1348</v>
      </c>
      <c r="D43" s="1">
        <v>37</v>
      </c>
      <c r="E43" s="1">
        <v>188</v>
      </c>
      <c r="F43" s="1">
        <v>1163</v>
      </c>
      <c r="G43" s="7">
        <v>0.4</v>
      </c>
      <c r="H43" s="1">
        <v>180</v>
      </c>
      <c r="I43" s="1" t="s">
        <v>123</v>
      </c>
      <c r="J43" s="1"/>
      <c r="K43" s="1">
        <v>340</v>
      </c>
      <c r="L43" s="1">
        <f t="shared" si="20"/>
        <v>-152</v>
      </c>
      <c r="M43" s="1"/>
      <c r="N43" s="1"/>
      <c r="O43" s="1">
        <v>0</v>
      </c>
      <c r="P43" s="1">
        <f t="shared" si="21"/>
        <v>37.6</v>
      </c>
      <c r="Q43" s="5"/>
      <c r="R43" s="5"/>
      <c r="S43" s="5">
        <f t="shared" si="13"/>
        <v>0</v>
      </c>
      <c r="T43" s="24"/>
      <c r="U43" s="1">
        <f t="shared" si="22"/>
        <v>30.930851063829785</v>
      </c>
      <c r="V43" s="1">
        <f t="shared" si="23"/>
        <v>30.930851063829785</v>
      </c>
      <c r="W43" s="1">
        <v>78.599999999999994</v>
      </c>
      <c r="X43" s="1">
        <v>60</v>
      </c>
      <c r="Y43" s="1">
        <v>48.8</v>
      </c>
      <c r="Z43" s="1">
        <v>9</v>
      </c>
      <c r="AA43" s="1">
        <v>57.2</v>
      </c>
      <c r="AB43" s="1">
        <v>31.8</v>
      </c>
      <c r="AC43" s="1">
        <v>77.599999999999994</v>
      </c>
      <c r="AD43" s="1">
        <v>64.8</v>
      </c>
      <c r="AE43" s="1">
        <v>46.2</v>
      </c>
      <c r="AF43" s="1">
        <v>41.8</v>
      </c>
      <c r="AG43" s="1"/>
      <c r="AH43" s="1">
        <f t="shared" si="14"/>
        <v>0</v>
      </c>
      <c r="AI43" s="7">
        <v>16</v>
      </c>
      <c r="AJ43" s="9">
        <f t="shared" si="15"/>
        <v>0</v>
      </c>
      <c r="AK43" s="1">
        <f t="shared" si="16"/>
        <v>0</v>
      </c>
      <c r="AL43" s="1">
        <v>12</v>
      </c>
      <c r="AM43" s="1">
        <v>84</v>
      </c>
      <c r="AN43" s="9">
        <f t="shared" si="17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124</v>
      </c>
      <c r="B44" s="1" t="s">
        <v>42</v>
      </c>
      <c r="C44" s="1">
        <v>1063</v>
      </c>
      <c r="D44" s="1">
        <v>2</v>
      </c>
      <c r="E44" s="1">
        <v>458</v>
      </c>
      <c r="F44" s="1">
        <v>471</v>
      </c>
      <c r="G44" s="7">
        <v>0.7</v>
      </c>
      <c r="H44" s="1">
        <v>180</v>
      </c>
      <c r="I44" s="1" t="s">
        <v>125</v>
      </c>
      <c r="J44" s="1"/>
      <c r="K44" s="1">
        <v>449</v>
      </c>
      <c r="L44" s="1">
        <f t="shared" si="20"/>
        <v>9</v>
      </c>
      <c r="M44" s="1"/>
      <c r="N44" s="1"/>
      <c r="O44" s="1">
        <v>840</v>
      </c>
      <c r="P44" s="1">
        <f t="shared" si="21"/>
        <v>91.6</v>
      </c>
      <c r="Q44" s="5"/>
      <c r="R44" s="5">
        <f t="shared" ref="R44:R47" si="25">IF(($S$1-V44)*P44&lt;0,0,($S$1-V44)*P44)</f>
        <v>0</v>
      </c>
      <c r="S44" s="5">
        <f t="shared" si="13"/>
        <v>0</v>
      </c>
      <c r="T44" s="24"/>
      <c r="U44" s="1">
        <f t="shared" si="22"/>
        <v>14.312227074235809</v>
      </c>
      <c r="V44" s="1">
        <f t="shared" si="23"/>
        <v>14.312227074235809</v>
      </c>
      <c r="W44" s="1">
        <v>139.6</v>
      </c>
      <c r="X44" s="1">
        <v>103.6</v>
      </c>
      <c r="Y44" s="1">
        <v>97.6</v>
      </c>
      <c r="Z44" s="1">
        <v>87.4</v>
      </c>
      <c r="AA44" s="1">
        <v>151</v>
      </c>
      <c r="AB44" s="1">
        <v>111.2</v>
      </c>
      <c r="AC44" s="1">
        <v>136.19999999999999</v>
      </c>
      <c r="AD44" s="1">
        <v>114.8</v>
      </c>
      <c r="AE44" s="1">
        <v>119.8</v>
      </c>
      <c r="AF44" s="1">
        <v>92.6</v>
      </c>
      <c r="AG44" s="1"/>
      <c r="AH44" s="1">
        <f t="shared" si="14"/>
        <v>0</v>
      </c>
      <c r="AI44" s="7">
        <v>10</v>
      </c>
      <c r="AJ44" s="9">
        <f t="shared" si="15"/>
        <v>0</v>
      </c>
      <c r="AK44" s="1">
        <f t="shared" si="16"/>
        <v>0</v>
      </c>
      <c r="AL44" s="1">
        <v>12</v>
      </c>
      <c r="AM44" s="1">
        <v>84</v>
      </c>
      <c r="AN44" s="9">
        <f t="shared" si="17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126</v>
      </c>
      <c r="B45" s="1" t="s">
        <v>42</v>
      </c>
      <c r="C45" s="1">
        <v>616</v>
      </c>
      <c r="D45" s="1">
        <v>18</v>
      </c>
      <c r="E45" s="1">
        <v>399</v>
      </c>
      <c r="F45" s="1">
        <v>137</v>
      </c>
      <c r="G45" s="7">
        <v>0.4</v>
      </c>
      <c r="H45" s="1">
        <v>180</v>
      </c>
      <c r="I45" s="1" t="s">
        <v>127</v>
      </c>
      <c r="J45" s="1"/>
      <c r="K45" s="1">
        <v>405</v>
      </c>
      <c r="L45" s="1">
        <f t="shared" si="20"/>
        <v>-6</v>
      </c>
      <c r="M45" s="1"/>
      <c r="N45" s="1"/>
      <c r="O45" s="1">
        <v>576</v>
      </c>
      <c r="P45" s="1">
        <f t="shared" si="21"/>
        <v>79.8</v>
      </c>
      <c r="Q45" s="5">
        <v>404.20000000000005</v>
      </c>
      <c r="R45" s="5">
        <f t="shared" si="25"/>
        <v>404.2</v>
      </c>
      <c r="S45" s="5">
        <f t="shared" si="13"/>
        <v>384</v>
      </c>
      <c r="T45" s="24"/>
      <c r="U45" s="1">
        <f t="shared" si="22"/>
        <v>13.746867167919801</v>
      </c>
      <c r="V45" s="1">
        <f t="shared" si="23"/>
        <v>8.9348370927318292</v>
      </c>
      <c r="W45" s="1">
        <v>78.400000000000006</v>
      </c>
      <c r="X45" s="1">
        <v>53.2</v>
      </c>
      <c r="Y45" s="1">
        <v>48.6</v>
      </c>
      <c r="Z45" s="1">
        <v>54.8</v>
      </c>
      <c r="AA45" s="1">
        <v>88</v>
      </c>
      <c r="AB45" s="1">
        <v>41.2</v>
      </c>
      <c r="AC45" s="1">
        <v>81.2</v>
      </c>
      <c r="AD45" s="1">
        <v>73.400000000000006</v>
      </c>
      <c r="AE45" s="1">
        <v>38.6</v>
      </c>
      <c r="AF45" s="1">
        <v>43.2</v>
      </c>
      <c r="AG45" s="1"/>
      <c r="AH45" s="1">
        <f t="shared" si="14"/>
        <v>161.68</v>
      </c>
      <c r="AI45" s="7">
        <v>16</v>
      </c>
      <c r="AJ45" s="9">
        <f t="shared" si="15"/>
        <v>24</v>
      </c>
      <c r="AK45" s="1">
        <f t="shared" si="16"/>
        <v>153.60000000000002</v>
      </c>
      <c r="AL45" s="1">
        <v>12</v>
      </c>
      <c r="AM45" s="1">
        <v>84</v>
      </c>
      <c r="AN45" s="9">
        <f t="shared" si="17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128</v>
      </c>
      <c r="B46" s="1" t="s">
        <v>42</v>
      </c>
      <c r="C46" s="1">
        <v>1245</v>
      </c>
      <c r="D46" s="1">
        <v>4</v>
      </c>
      <c r="E46" s="1">
        <v>687</v>
      </c>
      <c r="F46" s="1">
        <v>403</v>
      </c>
      <c r="G46" s="7">
        <v>0.7</v>
      </c>
      <c r="H46" s="1">
        <v>180</v>
      </c>
      <c r="I46" s="1" t="s">
        <v>129</v>
      </c>
      <c r="J46" s="1"/>
      <c r="K46" s="1">
        <v>681</v>
      </c>
      <c r="L46" s="1">
        <f t="shared" si="20"/>
        <v>6</v>
      </c>
      <c r="M46" s="1"/>
      <c r="N46" s="1"/>
      <c r="O46" s="1">
        <v>1200</v>
      </c>
      <c r="P46" s="1">
        <f t="shared" si="21"/>
        <v>137.4</v>
      </c>
      <c r="Q46" s="5">
        <v>320.60000000000014</v>
      </c>
      <c r="R46" s="5">
        <f t="shared" si="25"/>
        <v>320.60000000000008</v>
      </c>
      <c r="S46" s="5">
        <f t="shared" si="13"/>
        <v>360</v>
      </c>
      <c r="T46" s="24"/>
      <c r="U46" s="1">
        <f t="shared" si="22"/>
        <v>14.286754002911207</v>
      </c>
      <c r="V46" s="1">
        <f t="shared" si="23"/>
        <v>11.666666666666666</v>
      </c>
      <c r="W46" s="1">
        <v>176.4</v>
      </c>
      <c r="X46" s="1">
        <v>133</v>
      </c>
      <c r="Y46" s="1">
        <v>132.6</v>
      </c>
      <c r="Z46" s="1">
        <v>149.80000000000001</v>
      </c>
      <c r="AA46" s="1">
        <v>205.2</v>
      </c>
      <c r="AB46" s="1">
        <v>184.2</v>
      </c>
      <c r="AC46" s="1">
        <v>200</v>
      </c>
      <c r="AD46" s="1">
        <v>183.8</v>
      </c>
      <c r="AE46" s="1">
        <v>151</v>
      </c>
      <c r="AF46" s="1">
        <v>169.4</v>
      </c>
      <c r="AG46" s="1"/>
      <c r="AH46" s="1">
        <f t="shared" si="14"/>
        <v>224.42000000000004</v>
      </c>
      <c r="AI46" s="7">
        <v>10</v>
      </c>
      <c r="AJ46" s="9">
        <f t="shared" si="15"/>
        <v>36</v>
      </c>
      <c r="AK46" s="1">
        <f t="shared" si="16"/>
        <v>251.99999999999997</v>
      </c>
      <c r="AL46" s="1">
        <v>12</v>
      </c>
      <c r="AM46" s="1">
        <v>84</v>
      </c>
      <c r="AN46" s="9">
        <f t="shared" si="17"/>
        <v>0.42857142857142855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130</v>
      </c>
      <c r="B47" s="1" t="s">
        <v>42</v>
      </c>
      <c r="C47" s="1">
        <v>126</v>
      </c>
      <c r="D47" s="1"/>
      <c r="E47" s="1">
        <v>86</v>
      </c>
      <c r="F47" s="1">
        <v>49</v>
      </c>
      <c r="G47" s="7">
        <v>0.7</v>
      </c>
      <c r="H47" s="1">
        <v>180</v>
      </c>
      <c r="I47" s="1" t="s">
        <v>131</v>
      </c>
      <c r="J47" s="1"/>
      <c r="K47" s="1">
        <v>76</v>
      </c>
      <c r="L47" s="1">
        <f t="shared" si="20"/>
        <v>10</v>
      </c>
      <c r="M47" s="1"/>
      <c r="N47" s="1"/>
      <c r="O47" s="1">
        <v>240</v>
      </c>
      <c r="P47" s="1">
        <f t="shared" si="21"/>
        <v>17.2</v>
      </c>
      <c r="Q47" s="5"/>
      <c r="R47" s="5">
        <f t="shared" si="25"/>
        <v>0</v>
      </c>
      <c r="S47" s="5">
        <f t="shared" si="13"/>
        <v>0</v>
      </c>
      <c r="T47" s="24"/>
      <c r="U47" s="1">
        <f t="shared" si="22"/>
        <v>16.802325581395351</v>
      </c>
      <c r="V47" s="1">
        <f t="shared" si="23"/>
        <v>16.802325581395351</v>
      </c>
      <c r="W47" s="1">
        <v>26.6</v>
      </c>
      <c r="X47" s="1">
        <v>18.399999999999999</v>
      </c>
      <c r="Y47" s="1">
        <v>28.2</v>
      </c>
      <c r="Z47" s="1">
        <v>35.200000000000003</v>
      </c>
      <c r="AA47" s="1">
        <v>18.2</v>
      </c>
      <c r="AB47" s="1">
        <v>46.6</v>
      </c>
      <c r="AC47" s="1">
        <v>61.6</v>
      </c>
      <c r="AD47" s="1">
        <v>47</v>
      </c>
      <c r="AE47" s="1">
        <v>50</v>
      </c>
      <c r="AF47" s="1">
        <v>65</v>
      </c>
      <c r="AG47" s="1"/>
      <c r="AH47" s="1">
        <f t="shared" si="14"/>
        <v>0</v>
      </c>
      <c r="AI47" s="7">
        <v>10</v>
      </c>
      <c r="AJ47" s="9">
        <f t="shared" si="15"/>
        <v>0</v>
      </c>
      <c r="AK47" s="1">
        <f t="shared" si="16"/>
        <v>0</v>
      </c>
      <c r="AL47" s="1">
        <v>12</v>
      </c>
      <c r="AM47" s="1">
        <v>84</v>
      </c>
      <c r="AN47" s="9">
        <f t="shared" si="17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132</v>
      </c>
      <c r="B48" s="1" t="s">
        <v>42</v>
      </c>
      <c r="C48" s="1">
        <v>136</v>
      </c>
      <c r="D48" s="1">
        <v>1</v>
      </c>
      <c r="E48" s="1">
        <v>20</v>
      </c>
      <c r="F48" s="1">
        <v>91</v>
      </c>
      <c r="G48" s="7">
        <v>0.8</v>
      </c>
      <c r="H48" s="1">
        <v>180</v>
      </c>
      <c r="I48" s="1" t="s">
        <v>133</v>
      </c>
      <c r="J48" s="1"/>
      <c r="K48" s="1">
        <v>21</v>
      </c>
      <c r="L48" s="1">
        <f t="shared" si="20"/>
        <v>-1</v>
      </c>
      <c r="M48" s="1"/>
      <c r="N48" s="1"/>
      <c r="O48" s="1">
        <v>0</v>
      </c>
      <c r="P48" s="1">
        <f t="shared" si="21"/>
        <v>4</v>
      </c>
      <c r="Q48" s="5"/>
      <c r="R48" s="5">
        <v>150</v>
      </c>
      <c r="S48" s="5">
        <f t="shared" si="13"/>
        <v>192</v>
      </c>
      <c r="T48" s="24" t="str">
        <f>VLOOKUP(A48,[2]Sheet!$A:$S,19,0)</f>
        <v>150шт</v>
      </c>
      <c r="U48" s="1">
        <f t="shared" si="22"/>
        <v>70.75</v>
      </c>
      <c r="V48" s="1">
        <f t="shared" si="23"/>
        <v>22.75</v>
      </c>
      <c r="W48" s="1">
        <v>2.8</v>
      </c>
      <c r="X48" s="1">
        <v>3.6</v>
      </c>
      <c r="Y48" s="1">
        <v>3.8</v>
      </c>
      <c r="Z48" s="1">
        <v>6</v>
      </c>
      <c r="AA48" s="1">
        <v>3.8</v>
      </c>
      <c r="AB48" s="1">
        <v>11.4</v>
      </c>
      <c r="AC48" s="1">
        <v>3.6</v>
      </c>
      <c r="AD48" s="1">
        <v>0</v>
      </c>
      <c r="AE48" s="1">
        <v>0</v>
      </c>
      <c r="AF48" s="1">
        <v>0</v>
      </c>
      <c r="AG48" s="21" t="s">
        <v>44</v>
      </c>
      <c r="AH48" s="1">
        <f t="shared" si="14"/>
        <v>120</v>
      </c>
      <c r="AI48" s="7">
        <v>8</v>
      </c>
      <c r="AJ48" s="9">
        <f t="shared" si="15"/>
        <v>24</v>
      </c>
      <c r="AK48" s="1">
        <f t="shared" si="16"/>
        <v>153.60000000000002</v>
      </c>
      <c r="AL48" s="1">
        <v>12</v>
      </c>
      <c r="AM48" s="1">
        <v>84</v>
      </c>
      <c r="AN48" s="9">
        <f t="shared" si="17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134</v>
      </c>
      <c r="B49" s="1" t="s">
        <v>42</v>
      </c>
      <c r="C49" s="1">
        <v>219</v>
      </c>
      <c r="D49" s="1">
        <v>5</v>
      </c>
      <c r="E49" s="1">
        <v>176</v>
      </c>
      <c r="F49" s="1">
        <v>17</v>
      </c>
      <c r="G49" s="7">
        <v>1</v>
      </c>
      <c r="H49" s="1">
        <v>180</v>
      </c>
      <c r="I49" s="1" t="s">
        <v>135</v>
      </c>
      <c r="J49" s="1"/>
      <c r="K49" s="1">
        <v>196</v>
      </c>
      <c r="L49" s="1">
        <f t="shared" si="20"/>
        <v>-20</v>
      </c>
      <c r="M49" s="1"/>
      <c r="N49" s="1"/>
      <c r="O49" s="1">
        <v>300</v>
      </c>
      <c r="P49" s="1">
        <f t="shared" si="21"/>
        <v>35.200000000000003</v>
      </c>
      <c r="Q49" s="5">
        <v>175.80000000000007</v>
      </c>
      <c r="R49" s="5">
        <f t="shared" ref="R49:R52" si="26">IF(($S$1-V49)*P49&lt;0,0,($S$1-V49)*P49)</f>
        <v>175.80000000000007</v>
      </c>
      <c r="S49" s="5">
        <f t="shared" si="13"/>
        <v>180</v>
      </c>
      <c r="T49" s="24"/>
      <c r="U49" s="1">
        <f t="shared" si="22"/>
        <v>14.11931818181818</v>
      </c>
      <c r="V49" s="1">
        <f t="shared" si="23"/>
        <v>9.0056818181818166</v>
      </c>
      <c r="W49" s="1">
        <v>36.6</v>
      </c>
      <c r="X49" s="1">
        <v>35.6</v>
      </c>
      <c r="Y49" s="1">
        <v>28.6</v>
      </c>
      <c r="Z49" s="1">
        <v>24</v>
      </c>
      <c r="AA49" s="1">
        <v>40.4</v>
      </c>
      <c r="AB49" s="1">
        <v>44.2</v>
      </c>
      <c r="AC49" s="1">
        <v>58.8</v>
      </c>
      <c r="AD49" s="1">
        <v>67.2</v>
      </c>
      <c r="AE49" s="1">
        <v>44.4</v>
      </c>
      <c r="AF49" s="1">
        <v>3.4</v>
      </c>
      <c r="AG49" s="1"/>
      <c r="AH49" s="1">
        <f t="shared" si="14"/>
        <v>175.80000000000007</v>
      </c>
      <c r="AI49" s="7">
        <v>5</v>
      </c>
      <c r="AJ49" s="9">
        <f t="shared" si="15"/>
        <v>36</v>
      </c>
      <c r="AK49" s="1">
        <f t="shared" si="16"/>
        <v>180</v>
      </c>
      <c r="AL49" s="1">
        <v>12</v>
      </c>
      <c r="AM49" s="1">
        <v>84</v>
      </c>
      <c r="AN49" s="9">
        <f t="shared" si="17"/>
        <v>0.42857142857142855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136</v>
      </c>
      <c r="B50" s="1" t="s">
        <v>42</v>
      </c>
      <c r="C50" s="1">
        <v>168</v>
      </c>
      <c r="D50" s="1">
        <v>2</v>
      </c>
      <c r="E50" s="1">
        <v>77</v>
      </c>
      <c r="F50" s="1">
        <v>72</v>
      </c>
      <c r="G50" s="7">
        <v>0.9</v>
      </c>
      <c r="H50" s="1">
        <v>180</v>
      </c>
      <c r="I50" s="1" t="s">
        <v>137</v>
      </c>
      <c r="J50" s="1"/>
      <c r="K50" s="1">
        <v>75</v>
      </c>
      <c r="L50" s="1">
        <f t="shared" si="20"/>
        <v>2</v>
      </c>
      <c r="M50" s="1"/>
      <c r="N50" s="1"/>
      <c r="O50" s="1">
        <v>96</v>
      </c>
      <c r="P50" s="1">
        <f t="shared" si="21"/>
        <v>15.4</v>
      </c>
      <c r="Q50" s="5">
        <v>63</v>
      </c>
      <c r="R50" s="5">
        <f>Q50</f>
        <v>63</v>
      </c>
      <c r="S50" s="5">
        <f t="shared" si="13"/>
        <v>96</v>
      </c>
      <c r="T50" s="24"/>
      <c r="U50" s="1">
        <f t="shared" si="22"/>
        <v>17.142857142857142</v>
      </c>
      <c r="V50" s="1">
        <f t="shared" si="23"/>
        <v>10.909090909090908</v>
      </c>
      <c r="W50" s="1">
        <v>13.6</v>
      </c>
      <c r="X50" s="1">
        <v>12</v>
      </c>
      <c r="Y50" s="1">
        <v>13</v>
      </c>
      <c r="Z50" s="1">
        <v>16.2</v>
      </c>
      <c r="AA50" s="1">
        <v>14.8</v>
      </c>
      <c r="AB50" s="1">
        <v>23</v>
      </c>
      <c r="AC50" s="1">
        <v>34.4</v>
      </c>
      <c r="AD50" s="1">
        <v>42.2</v>
      </c>
      <c r="AE50" s="1">
        <v>29</v>
      </c>
      <c r="AF50" s="1">
        <v>8.1999999999999993</v>
      </c>
      <c r="AG50" s="1"/>
      <c r="AH50" s="1">
        <f t="shared" si="14"/>
        <v>56.7</v>
      </c>
      <c r="AI50" s="7">
        <v>8</v>
      </c>
      <c r="AJ50" s="9">
        <f t="shared" si="15"/>
        <v>12</v>
      </c>
      <c r="AK50" s="1">
        <f t="shared" si="16"/>
        <v>86.4</v>
      </c>
      <c r="AL50" s="1">
        <v>12</v>
      </c>
      <c r="AM50" s="1">
        <v>84</v>
      </c>
      <c r="AN50" s="9">
        <f t="shared" si="17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138</v>
      </c>
      <c r="B51" s="1" t="s">
        <v>42</v>
      </c>
      <c r="C51" s="1">
        <v>153</v>
      </c>
      <c r="D51" s="1">
        <v>2</v>
      </c>
      <c r="E51" s="1">
        <v>38</v>
      </c>
      <c r="F51" s="1">
        <v>93</v>
      </c>
      <c r="G51" s="7">
        <v>0.9</v>
      </c>
      <c r="H51" s="1">
        <v>180</v>
      </c>
      <c r="I51" s="1" t="s">
        <v>139</v>
      </c>
      <c r="J51" s="1"/>
      <c r="K51" s="1">
        <v>42</v>
      </c>
      <c r="L51" s="1">
        <f t="shared" si="20"/>
        <v>-4</v>
      </c>
      <c r="M51" s="1"/>
      <c r="N51" s="1"/>
      <c r="O51" s="1">
        <v>0</v>
      </c>
      <c r="P51" s="1">
        <f t="shared" si="21"/>
        <v>7.6</v>
      </c>
      <c r="Q51" s="5">
        <v>51.400000000000006</v>
      </c>
      <c r="R51" s="5">
        <f>Q51</f>
        <v>51.400000000000006</v>
      </c>
      <c r="S51" s="5">
        <f t="shared" si="13"/>
        <v>96</v>
      </c>
      <c r="T51" s="24"/>
      <c r="U51" s="1">
        <f t="shared" si="22"/>
        <v>24.868421052631579</v>
      </c>
      <c r="V51" s="1">
        <f t="shared" si="23"/>
        <v>12.236842105263159</v>
      </c>
      <c r="W51" s="1">
        <v>7.8</v>
      </c>
      <c r="X51" s="1">
        <v>3.4</v>
      </c>
      <c r="Y51" s="1">
        <v>0</v>
      </c>
      <c r="Z51" s="1">
        <v>0</v>
      </c>
      <c r="AA51" s="1">
        <v>13.4</v>
      </c>
      <c r="AB51" s="1">
        <v>12.4</v>
      </c>
      <c r="AC51" s="1">
        <v>16.600000000000001</v>
      </c>
      <c r="AD51" s="1">
        <v>10.199999999999999</v>
      </c>
      <c r="AE51" s="1">
        <v>2.6</v>
      </c>
      <c r="AF51" s="1">
        <v>6.2</v>
      </c>
      <c r="AG51" s="1"/>
      <c r="AH51" s="1">
        <f t="shared" si="14"/>
        <v>46.260000000000005</v>
      </c>
      <c r="AI51" s="7">
        <v>8</v>
      </c>
      <c r="AJ51" s="9">
        <f t="shared" si="15"/>
        <v>12</v>
      </c>
      <c r="AK51" s="1">
        <f t="shared" si="16"/>
        <v>86.4</v>
      </c>
      <c r="AL51" s="1">
        <v>12</v>
      </c>
      <c r="AM51" s="1">
        <v>84</v>
      </c>
      <c r="AN51" s="9">
        <f t="shared" si="17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140</v>
      </c>
      <c r="B52" s="1" t="s">
        <v>50</v>
      </c>
      <c r="C52" s="1">
        <v>460</v>
      </c>
      <c r="D52" s="1"/>
      <c r="E52" s="1">
        <v>230</v>
      </c>
      <c r="F52" s="1">
        <v>150</v>
      </c>
      <c r="G52" s="7">
        <v>1</v>
      </c>
      <c r="H52" s="1">
        <v>180</v>
      </c>
      <c r="I52" s="1" t="s">
        <v>141</v>
      </c>
      <c r="J52" s="1"/>
      <c r="K52" s="1">
        <v>225</v>
      </c>
      <c r="L52" s="1">
        <f t="shared" si="20"/>
        <v>5</v>
      </c>
      <c r="M52" s="1"/>
      <c r="N52" s="1"/>
      <c r="O52" s="1">
        <v>60</v>
      </c>
      <c r="P52" s="1">
        <f t="shared" si="21"/>
        <v>46</v>
      </c>
      <c r="Q52" s="5">
        <v>434</v>
      </c>
      <c r="R52" s="5">
        <f t="shared" si="26"/>
        <v>434</v>
      </c>
      <c r="S52" s="5">
        <f t="shared" si="13"/>
        <v>420</v>
      </c>
      <c r="T52" s="24"/>
      <c r="U52" s="1">
        <f t="shared" si="22"/>
        <v>13.695652173913043</v>
      </c>
      <c r="V52" s="1">
        <f t="shared" si="23"/>
        <v>4.5652173913043477</v>
      </c>
      <c r="W52" s="1">
        <v>37</v>
      </c>
      <c r="X52" s="1">
        <v>27</v>
      </c>
      <c r="Y52" s="1">
        <v>25</v>
      </c>
      <c r="Z52" s="1">
        <v>44</v>
      </c>
      <c r="AA52" s="1">
        <v>67</v>
      </c>
      <c r="AB52" s="1">
        <v>80</v>
      </c>
      <c r="AC52" s="1">
        <v>92</v>
      </c>
      <c r="AD52" s="1">
        <v>94</v>
      </c>
      <c r="AE52" s="1">
        <v>109</v>
      </c>
      <c r="AF52" s="1">
        <v>120</v>
      </c>
      <c r="AG52" s="1"/>
      <c r="AH52" s="1">
        <f t="shared" si="14"/>
        <v>434</v>
      </c>
      <c r="AI52" s="7">
        <v>5</v>
      </c>
      <c r="AJ52" s="9">
        <f t="shared" si="15"/>
        <v>84</v>
      </c>
      <c r="AK52" s="1">
        <f t="shared" si="16"/>
        <v>420</v>
      </c>
      <c r="AL52" s="1">
        <v>12</v>
      </c>
      <c r="AM52" s="1">
        <v>144</v>
      </c>
      <c r="AN52" s="9">
        <f t="shared" si="17"/>
        <v>0.58333333333333337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142</v>
      </c>
      <c r="B53" s="1" t="s">
        <v>42</v>
      </c>
      <c r="C53" s="1">
        <v>27</v>
      </c>
      <c r="D53" s="1">
        <v>7</v>
      </c>
      <c r="E53" s="1">
        <v>16</v>
      </c>
      <c r="F53" s="1">
        <v>6</v>
      </c>
      <c r="G53" s="7">
        <v>1</v>
      </c>
      <c r="H53" s="1">
        <v>180</v>
      </c>
      <c r="I53" s="1" t="s">
        <v>143</v>
      </c>
      <c r="J53" s="1"/>
      <c r="K53" s="1">
        <v>57</v>
      </c>
      <c r="L53" s="1">
        <f t="shared" si="20"/>
        <v>-41</v>
      </c>
      <c r="M53" s="1"/>
      <c r="N53" s="1"/>
      <c r="O53" s="1">
        <v>180</v>
      </c>
      <c r="P53" s="1">
        <f t="shared" si="21"/>
        <v>3.2</v>
      </c>
      <c r="Q53" s="5"/>
      <c r="R53" s="5">
        <v>300</v>
      </c>
      <c r="S53" s="5">
        <f t="shared" si="13"/>
        <v>300</v>
      </c>
      <c r="T53" s="24" t="str">
        <f>VLOOKUP(A53,[2]Sheet!$A:$S,19,0)</f>
        <v>300шт</v>
      </c>
      <c r="U53" s="1">
        <f t="shared" si="22"/>
        <v>151.875</v>
      </c>
      <c r="V53" s="1">
        <f t="shared" si="23"/>
        <v>58.125</v>
      </c>
      <c r="W53" s="1">
        <v>18.2</v>
      </c>
      <c r="X53" s="1">
        <v>21.6</v>
      </c>
      <c r="Y53" s="1">
        <v>17.600000000000001</v>
      </c>
      <c r="Z53" s="1">
        <v>22.2</v>
      </c>
      <c r="AA53" s="1">
        <v>20</v>
      </c>
      <c r="AB53" s="1">
        <v>29</v>
      </c>
      <c r="AC53" s="1">
        <v>22.4</v>
      </c>
      <c r="AD53" s="1">
        <v>24.8</v>
      </c>
      <c r="AE53" s="1">
        <v>24.6</v>
      </c>
      <c r="AF53" s="1">
        <v>27.8</v>
      </c>
      <c r="AG53" s="1"/>
      <c r="AH53" s="1">
        <f t="shared" si="14"/>
        <v>300</v>
      </c>
      <c r="AI53" s="7">
        <v>5</v>
      </c>
      <c r="AJ53" s="9">
        <f t="shared" si="15"/>
        <v>60</v>
      </c>
      <c r="AK53" s="1">
        <f t="shared" si="16"/>
        <v>300</v>
      </c>
      <c r="AL53" s="1">
        <v>12</v>
      </c>
      <c r="AM53" s="1">
        <v>84</v>
      </c>
      <c r="AN53" s="9">
        <f t="shared" si="17"/>
        <v>0.7142857142857143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51</v>
      </c>
      <c r="B54" s="1" t="s">
        <v>50</v>
      </c>
      <c r="C54" s="1">
        <v>55.5</v>
      </c>
      <c r="D54" s="1"/>
      <c r="E54" s="18">
        <f>0+E9</f>
        <v>3.7</v>
      </c>
      <c r="F54" s="18">
        <f>51.8+F9</f>
        <v>55.5</v>
      </c>
      <c r="G54" s="7">
        <v>1</v>
      </c>
      <c r="H54" s="1">
        <v>180</v>
      </c>
      <c r="I54" s="1" t="s">
        <v>144</v>
      </c>
      <c r="J54" s="1"/>
      <c r="K54" s="1"/>
      <c r="L54" s="1">
        <f t="shared" si="20"/>
        <v>3.7</v>
      </c>
      <c r="M54" s="1"/>
      <c r="N54" s="1"/>
      <c r="O54" s="1">
        <v>0</v>
      </c>
      <c r="P54" s="1">
        <f t="shared" si="21"/>
        <v>0.74</v>
      </c>
      <c r="Q54" s="5"/>
      <c r="R54" s="5"/>
      <c r="S54" s="5">
        <f t="shared" si="13"/>
        <v>0</v>
      </c>
      <c r="T54" s="24"/>
      <c r="U54" s="1">
        <f t="shared" si="22"/>
        <v>75</v>
      </c>
      <c r="V54" s="1">
        <f t="shared" si="23"/>
        <v>75</v>
      </c>
      <c r="W54" s="1">
        <v>0</v>
      </c>
      <c r="X54" s="1">
        <v>0</v>
      </c>
      <c r="Y54" s="1">
        <v>0</v>
      </c>
      <c r="Z54" s="1">
        <v>0.74</v>
      </c>
      <c r="AA54" s="1">
        <v>0.74</v>
      </c>
      <c r="AB54" s="1">
        <v>2.08</v>
      </c>
      <c r="AC54" s="1">
        <v>3.56</v>
      </c>
      <c r="AD54" s="1">
        <v>3.56</v>
      </c>
      <c r="AE54" s="1">
        <v>3.56</v>
      </c>
      <c r="AF54" s="1">
        <v>5.18</v>
      </c>
      <c r="AG54" s="17" t="s">
        <v>93</v>
      </c>
      <c r="AH54" s="1">
        <f t="shared" si="14"/>
        <v>0</v>
      </c>
      <c r="AI54" s="7">
        <v>3.7</v>
      </c>
      <c r="AJ54" s="9">
        <f t="shared" si="15"/>
        <v>0</v>
      </c>
      <c r="AK54" s="1">
        <f t="shared" si="16"/>
        <v>0</v>
      </c>
      <c r="AL54" s="1">
        <v>14</v>
      </c>
      <c r="AM54" s="1">
        <v>126</v>
      </c>
      <c r="AN54" s="9">
        <f t="shared" si="17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145</v>
      </c>
      <c r="B55" s="1" t="s">
        <v>42</v>
      </c>
      <c r="C55" s="1">
        <v>-3</v>
      </c>
      <c r="D55" s="1"/>
      <c r="E55" s="1"/>
      <c r="F55" s="1">
        <v>-3</v>
      </c>
      <c r="G55" s="7">
        <v>0.23</v>
      </c>
      <c r="H55" s="1">
        <v>180</v>
      </c>
      <c r="I55" s="1" t="s">
        <v>146</v>
      </c>
      <c r="J55" s="1"/>
      <c r="K55" s="1">
        <v>37</v>
      </c>
      <c r="L55" s="1">
        <f t="shared" si="20"/>
        <v>-37</v>
      </c>
      <c r="M55" s="1"/>
      <c r="N55" s="1"/>
      <c r="O55" s="1">
        <v>168</v>
      </c>
      <c r="P55" s="1">
        <f t="shared" si="21"/>
        <v>0</v>
      </c>
      <c r="Q55" s="5"/>
      <c r="R55" s="5"/>
      <c r="S55" s="5">
        <f t="shared" si="13"/>
        <v>0</v>
      </c>
      <c r="T55" s="24"/>
      <c r="U55" s="1" t="e">
        <f t="shared" si="22"/>
        <v>#DIV/0!</v>
      </c>
      <c r="V55" s="1" t="e">
        <f t="shared" si="23"/>
        <v>#DIV/0!</v>
      </c>
      <c r="W55" s="1">
        <v>11.4</v>
      </c>
      <c r="X55" s="1">
        <v>14.2</v>
      </c>
      <c r="Y55" s="1">
        <v>12.6</v>
      </c>
      <c r="Z55" s="1">
        <v>19.2</v>
      </c>
      <c r="AA55" s="1">
        <v>14.4</v>
      </c>
      <c r="AB55" s="1">
        <v>26.2</v>
      </c>
      <c r="AC55" s="1">
        <v>27.2</v>
      </c>
      <c r="AD55" s="1">
        <v>22</v>
      </c>
      <c r="AE55" s="1">
        <v>19.399999999999999</v>
      </c>
      <c r="AF55" s="1">
        <v>19</v>
      </c>
      <c r="AG55" s="1"/>
      <c r="AH55" s="1">
        <f t="shared" si="14"/>
        <v>0</v>
      </c>
      <c r="AI55" s="7">
        <v>6</v>
      </c>
      <c r="AJ55" s="9">
        <f t="shared" si="15"/>
        <v>0</v>
      </c>
      <c r="AK55" s="1">
        <f t="shared" si="16"/>
        <v>0</v>
      </c>
      <c r="AL55" s="1">
        <v>14</v>
      </c>
      <c r="AM55" s="1">
        <v>140</v>
      </c>
      <c r="AN55" s="9">
        <f t="shared" si="17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147</v>
      </c>
      <c r="B56" s="1" t="s">
        <v>42</v>
      </c>
      <c r="C56" s="1">
        <v>742</v>
      </c>
      <c r="D56" s="1">
        <v>62</v>
      </c>
      <c r="E56" s="1">
        <v>502</v>
      </c>
      <c r="F56" s="1">
        <v>241</v>
      </c>
      <c r="G56" s="7">
        <v>0.25</v>
      </c>
      <c r="H56" s="1">
        <v>180</v>
      </c>
      <c r="I56" s="1" t="s">
        <v>148</v>
      </c>
      <c r="J56" s="1"/>
      <c r="K56" s="1">
        <v>530</v>
      </c>
      <c r="L56" s="1">
        <f t="shared" si="20"/>
        <v>-28</v>
      </c>
      <c r="M56" s="1"/>
      <c r="N56" s="1"/>
      <c r="O56" s="1">
        <v>1008</v>
      </c>
      <c r="P56" s="1">
        <f t="shared" si="21"/>
        <v>100.4</v>
      </c>
      <c r="Q56" s="5">
        <v>156.60000000000014</v>
      </c>
      <c r="R56" s="5">
        <f>IF(($S$1-V56)*P56&lt;0,0,($S$1-V56)*P56)</f>
        <v>156.60000000000008</v>
      </c>
      <c r="S56" s="5">
        <f t="shared" si="13"/>
        <v>168</v>
      </c>
      <c r="T56" s="24"/>
      <c r="U56" s="1">
        <f t="shared" si="22"/>
        <v>14.113545816733067</v>
      </c>
      <c r="V56" s="1">
        <f t="shared" si="23"/>
        <v>12.4402390438247</v>
      </c>
      <c r="W56" s="1">
        <v>121</v>
      </c>
      <c r="X56" s="1">
        <v>58.6</v>
      </c>
      <c r="Y56" s="1">
        <v>38</v>
      </c>
      <c r="Z56" s="1">
        <v>80.400000000000006</v>
      </c>
      <c r="AA56" s="1">
        <v>116.2</v>
      </c>
      <c r="AB56" s="1">
        <v>46.4</v>
      </c>
      <c r="AC56" s="1">
        <v>138.6</v>
      </c>
      <c r="AD56" s="1">
        <v>108</v>
      </c>
      <c r="AE56" s="1">
        <v>60.4</v>
      </c>
      <c r="AF56" s="1">
        <v>33.799999999999997</v>
      </c>
      <c r="AG56" s="1"/>
      <c r="AH56" s="1">
        <f t="shared" si="14"/>
        <v>39.15000000000002</v>
      </c>
      <c r="AI56" s="7">
        <v>12</v>
      </c>
      <c r="AJ56" s="9">
        <f t="shared" si="15"/>
        <v>14</v>
      </c>
      <c r="AK56" s="1">
        <f t="shared" si="16"/>
        <v>42</v>
      </c>
      <c r="AL56" s="1">
        <v>14</v>
      </c>
      <c r="AM56" s="1">
        <v>70</v>
      </c>
      <c r="AN56" s="9">
        <f t="shared" si="17"/>
        <v>0.2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149</v>
      </c>
      <c r="B57" s="1" t="s">
        <v>42</v>
      </c>
      <c r="C57" s="1">
        <v>125</v>
      </c>
      <c r="D57" s="1">
        <v>14</v>
      </c>
      <c r="E57" s="1">
        <v>130</v>
      </c>
      <c r="F57" s="1">
        <v>-1</v>
      </c>
      <c r="G57" s="7">
        <v>0.25</v>
      </c>
      <c r="H57" s="1">
        <v>180</v>
      </c>
      <c r="I57" s="1" t="s">
        <v>150</v>
      </c>
      <c r="J57" s="1"/>
      <c r="K57" s="1">
        <v>168</v>
      </c>
      <c r="L57" s="1">
        <f t="shared" si="20"/>
        <v>-38</v>
      </c>
      <c r="M57" s="1"/>
      <c r="N57" s="1"/>
      <c r="O57" s="1">
        <v>672</v>
      </c>
      <c r="P57" s="1">
        <f t="shared" si="21"/>
        <v>26</v>
      </c>
      <c r="Q57" s="5"/>
      <c r="R57" s="5"/>
      <c r="S57" s="5">
        <f t="shared" si="13"/>
        <v>0</v>
      </c>
      <c r="T57" s="24"/>
      <c r="U57" s="1">
        <f t="shared" si="22"/>
        <v>25.807692307692307</v>
      </c>
      <c r="V57" s="1">
        <f t="shared" si="23"/>
        <v>25.807692307692307</v>
      </c>
      <c r="W57" s="1">
        <v>70.8</v>
      </c>
      <c r="X57" s="1">
        <v>64.2</v>
      </c>
      <c r="Y57" s="1">
        <v>53.8</v>
      </c>
      <c r="Z57" s="1">
        <v>54.6</v>
      </c>
      <c r="AA57" s="1">
        <v>63.8</v>
      </c>
      <c r="AB57" s="1">
        <v>65.8</v>
      </c>
      <c r="AC57" s="1">
        <v>73.8</v>
      </c>
      <c r="AD57" s="1">
        <v>56.4</v>
      </c>
      <c r="AE57" s="1">
        <v>37.799999999999997</v>
      </c>
      <c r="AF57" s="1">
        <v>52.4</v>
      </c>
      <c r="AG57" s="1"/>
      <c r="AH57" s="1">
        <f t="shared" si="14"/>
        <v>0</v>
      </c>
      <c r="AI57" s="7">
        <v>12</v>
      </c>
      <c r="AJ57" s="9">
        <f t="shared" si="15"/>
        <v>0</v>
      </c>
      <c r="AK57" s="1">
        <f t="shared" si="16"/>
        <v>0</v>
      </c>
      <c r="AL57" s="1">
        <v>14</v>
      </c>
      <c r="AM57" s="1">
        <v>70</v>
      </c>
      <c r="AN57" s="9">
        <f t="shared" si="17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151</v>
      </c>
      <c r="B58" s="1" t="s">
        <v>42</v>
      </c>
      <c r="C58" s="1">
        <v>89</v>
      </c>
      <c r="D58" s="1">
        <v>4</v>
      </c>
      <c r="E58" s="1"/>
      <c r="F58" s="1">
        <v>93</v>
      </c>
      <c r="G58" s="7">
        <v>0.18</v>
      </c>
      <c r="H58" s="1">
        <v>180</v>
      </c>
      <c r="I58" s="1" t="s">
        <v>152</v>
      </c>
      <c r="J58" s="1"/>
      <c r="K58" s="1"/>
      <c r="L58" s="1">
        <f t="shared" si="20"/>
        <v>0</v>
      </c>
      <c r="M58" s="1"/>
      <c r="N58" s="1"/>
      <c r="O58" s="1">
        <v>0</v>
      </c>
      <c r="P58" s="1">
        <f t="shared" si="21"/>
        <v>0</v>
      </c>
      <c r="Q58" s="5"/>
      <c r="R58" s="5"/>
      <c r="S58" s="5">
        <f t="shared" si="13"/>
        <v>0</v>
      </c>
      <c r="T58" s="24"/>
      <c r="U58" s="1" t="e">
        <f t="shared" si="22"/>
        <v>#DIV/0!</v>
      </c>
      <c r="V58" s="1" t="e">
        <f t="shared" si="23"/>
        <v>#DIV/0!</v>
      </c>
      <c r="W58" s="1">
        <v>1.2</v>
      </c>
      <c r="X58" s="1">
        <v>0</v>
      </c>
      <c r="Y58" s="1">
        <v>0</v>
      </c>
      <c r="Z58" s="1">
        <v>1.2</v>
      </c>
      <c r="AA58" s="1">
        <v>2.4</v>
      </c>
      <c r="AB58" s="1">
        <v>2.8</v>
      </c>
      <c r="AC58" s="1">
        <v>2</v>
      </c>
      <c r="AD58" s="1">
        <v>2.8</v>
      </c>
      <c r="AE58" s="1">
        <v>4</v>
      </c>
      <c r="AF58" s="1">
        <v>4.2</v>
      </c>
      <c r="AG58" s="17" t="s">
        <v>93</v>
      </c>
      <c r="AH58" s="1">
        <f t="shared" si="14"/>
        <v>0</v>
      </c>
      <c r="AI58" s="7">
        <v>6</v>
      </c>
      <c r="AJ58" s="9">
        <f t="shared" si="15"/>
        <v>0</v>
      </c>
      <c r="AK58" s="1">
        <f t="shared" si="16"/>
        <v>0</v>
      </c>
      <c r="AL58" s="1">
        <v>14</v>
      </c>
      <c r="AM58" s="1">
        <v>140</v>
      </c>
      <c r="AN58" s="9">
        <f t="shared" si="17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153</v>
      </c>
      <c r="B59" s="1" t="s">
        <v>42</v>
      </c>
      <c r="C59" s="1">
        <v>45</v>
      </c>
      <c r="D59" s="1"/>
      <c r="E59" s="1"/>
      <c r="F59" s="1">
        <v>45</v>
      </c>
      <c r="G59" s="7">
        <v>0.18</v>
      </c>
      <c r="H59" s="1">
        <v>180</v>
      </c>
      <c r="I59" s="1" t="s">
        <v>154</v>
      </c>
      <c r="J59" s="1"/>
      <c r="K59" s="1"/>
      <c r="L59" s="1">
        <f t="shared" si="20"/>
        <v>0</v>
      </c>
      <c r="M59" s="1"/>
      <c r="N59" s="1"/>
      <c r="O59" s="1">
        <v>0</v>
      </c>
      <c r="P59" s="1">
        <f t="shared" si="21"/>
        <v>0</v>
      </c>
      <c r="Q59" s="5"/>
      <c r="R59" s="5"/>
      <c r="S59" s="5">
        <f t="shared" si="13"/>
        <v>0</v>
      </c>
      <c r="T59" s="24"/>
      <c r="U59" s="1" t="e">
        <f t="shared" si="22"/>
        <v>#DIV/0!</v>
      </c>
      <c r="V59" s="1" t="e">
        <f t="shared" si="23"/>
        <v>#DIV/0!</v>
      </c>
      <c r="W59" s="1">
        <v>0.8</v>
      </c>
      <c r="X59" s="1">
        <v>0</v>
      </c>
      <c r="Y59" s="1">
        <v>0.2</v>
      </c>
      <c r="Z59" s="1">
        <v>0.6</v>
      </c>
      <c r="AA59" s="1">
        <v>3.2</v>
      </c>
      <c r="AB59" s="1">
        <v>3.4</v>
      </c>
      <c r="AC59" s="1">
        <v>2.6</v>
      </c>
      <c r="AD59" s="1">
        <v>1.6</v>
      </c>
      <c r="AE59" s="1">
        <v>4.4000000000000004</v>
      </c>
      <c r="AF59" s="1">
        <v>2.8</v>
      </c>
      <c r="AG59" s="17" t="s">
        <v>93</v>
      </c>
      <c r="AH59" s="1">
        <f t="shared" si="14"/>
        <v>0</v>
      </c>
      <c r="AI59" s="7">
        <v>6</v>
      </c>
      <c r="AJ59" s="9">
        <f t="shared" si="15"/>
        <v>0</v>
      </c>
      <c r="AK59" s="1">
        <f t="shared" si="16"/>
        <v>0</v>
      </c>
      <c r="AL59" s="1">
        <v>14</v>
      </c>
      <c r="AM59" s="1">
        <v>140</v>
      </c>
      <c r="AN59" s="9">
        <f t="shared" si="17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155</v>
      </c>
      <c r="B60" s="1" t="s">
        <v>42</v>
      </c>
      <c r="C60" s="1">
        <v>57</v>
      </c>
      <c r="D60" s="1"/>
      <c r="E60" s="1"/>
      <c r="F60" s="1">
        <v>57</v>
      </c>
      <c r="G60" s="7">
        <v>0.18</v>
      </c>
      <c r="H60" s="1">
        <v>180</v>
      </c>
      <c r="I60" s="1" t="s">
        <v>156</v>
      </c>
      <c r="J60" s="1"/>
      <c r="K60" s="1"/>
      <c r="L60" s="1">
        <f t="shared" si="20"/>
        <v>0</v>
      </c>
      <c r="M60" s="1"/>
      <c r="N60" s="1"/>
      <c r="O60" s="1">
        <v>0</v>
      </c>
      <c r="P60" s="1">
        <f t="shared" si="21"/>
        <v>0</v>
      </c>
      <c r="Q60" s="5"/>
      <c r="R60" s="5"/>
      <c r="S60" s="5">
        <f t="shared" si="13"/>
        <v>0</v>
      </c>
      <c r="T60" s="24"/>
      <c r="U60" s="1" t="e">
        <f t="shared" si="22"/>
        <v>#DIV/0!</v>
      </c>
      <c r="V60" s="1" t="e">
        <f t="shared" si="23"/>
        <v>#DIV/0!</v>
      </c>
      <c r="W60" s="1">
        <v>0.2</v>
      </c>
      <c r="X60" s="1">
        <v>0</v>
      </c>
      <c r="Y60" s="1">
        <v>0</v>
      </c>
      <c r="Z60" s="1">
        <v>0</v>
      </c>
      <c r="AA60" s="1">
        <v>0</v>
      </c>
      <c r="AB60" s="1">
        <v>1.4</v>
      </c>
      <c r="AC60" s="1">
        <v>1.2</v>
      </c>
      <c r="AD60" s="1">
        <v>1.6</v>
      </c>
      <c r="AE60" s="1">
        <v>1.2</v>
      </c>
      <c r="AF60" s="1">
        <v>0.2</v>
      </c>
      <c r="AG60" s="17" t="s">
        <v>93</v>
      </c>
      <c r="AH60" s="1">
        <f t="shared" si="14"/>
        <v>0</v>
      </c>
      <c r="AI60" s="7">
        <v>6</v>
      </c>
      <c r="AJ60" s="9">
        <f t="shared" si="15"/>
        <v>0</v>
      </c>
      <c r="AK60" s="1">
        <f t="shared" si="16"/>
        <v>0</v>
      </c>
      <c r="AL60" s="1">
        <v>14</v>
      </c>
      <c r="AM60" s="1">
        <v>140</v>
      </c>
      <c r="AN60" s="9">
        <f t="shared" si="17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157</v>
      </c>
      <c r="B61" s="1" t="s">
        <v>42</v>
      </c>
      <c r="C61" s="1">
        <v>609</v>
      </c>
      <c r="D61" s="1">
        <v>33</v>
      </c>
      <c r="E61" s="1">
        <v>349</v>
      </c>
      <c r="F61" s="1">
        <v>240</v>
      </c>
      <c r="G61" s="7">
        <v>0.3</v>
      </c>
      <c r="H61" s="1">
        <v>180</v>
      </c>
      <c r="I61" s="1" t="s">
        <v>158</v>
      </c>
      <c r="J61" s="1"/>
      <c r="K61" s="1">
        <v>356</v>
      </c>
      <c r="L61" s="1">
        <f t="shared" si="20"/>
        <v>-7</v>
      </c>
      <c r="M61" s="1"/>
      <c r="N61" s="1"/>
      <c r="O61" s="1">
        <v>672</v>
      </c>
      <c r="P61" s="1">
        <f t="shared" si="21"/>
        <v>69.8</v>
      </c>
      <c r="Q61" s="5">
        <v>135</v>
      </c>
      <c r="R61" s="5">
        <f>Q61</f>
        <v>135</v>
      </c>
      <c r="S61" s="5">
        <f t="shared" si="13"/>
        <v>168</v>
      </c>
      <c r="T61" s="24"/>
      <c r="U61" s="1">
        <f t="shared" si="22"/>
        <v>15.472779369627508</v>
      </c>
      <c r="V61" s="1">
        <f t="shared" si="23"/>
        <v>13.065902578796562</v>
      </c>
      <c r="W61" s="1">
        <v>93.6</v>
      </c>
      <c r="X61" s="1">
        <v>71.400000000000006</v>
      </c>
      <c r="Y61" s="1">
        <v>60.4</v>
      </c>
      <c r="Z61" s="1">
        <v>47.8</v>
      </c>
      <c r="AA61" s="1">
        <v>94.6</v>
      </c>
      <c r="AB61" s="1">
        <v>80.8</v>
      </c>
      <c r="AC61" s="1">
        <v>88.6</v>
      </c>
      <c r="AD61" s="1">
        <v>109</v>
      </c>
      <c r="AE61" s="1">
        <v>92</v>
      </c>
      <c r="AF61" s="1">
        <v>69.599999999999994</v>
      </c>
      <c r="AG61" s="1"/>
      <c r="AH61" s="1">
        <f t="shared" si="14"/>
        <v>40.5</v>
      </c>
      <c r="AI61" s="7">
        <v>12</v>
      </c>
      <c r="AJ61" s="9">
        <f t="shared" si="15"/>
        <v>14</v>
      </c>
      <c r="AK61" s="1">
        <f t="shared" si="16"/>
        <v>50.4</v>
      </c>
      <c r="AL61" s="1">
        <v>14</v>
      </c>
      <c r="AM61" s="1">
        <v>70</v>
      </c>
      <c r="AN61" s="9">
        <f t="shared" si="17"/>
        <v>0.2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159</v>
      </c>
      <c r="B62" s="1" t="s">
        <v>42</v>
      </c>
      <c r="C62" s="1">
        <v>829</v>
      </c>
      <c r="D62" s="1">
        <v>6</v>
      </c>
      <c r="E62" s="1">
        <v>338</v>
      </c>
      <c r="F62" s="1">
        <v>398</v>
      </c>
      <c r="G62" s="7">
        <v>0.3</v>
      </c>
      <c r="H62" s="1">
        <v>180</v>
      </c>
      <c r="I62" s="1" t="s">
        <v>160</v>
      </c>
      <c r="J62" s="1"/>
      <c r="K62" s="1">
        <v>378</v>
      </c>
      <c r="L62" s="1">
        <f t="shared" si="20"/>
        <v>-40</v>
      </c>
      <c r="M62" s="1"/>
      <c r="N62" s="1"/>
      <c r="O62" s="1">
        <v>336</v>
      </c>
      <c r="P62" s="1">
        <f t="shared" si="21"/>
        <v>67.599999999999994</v>
      </c>
      <c r="Q62" s="5">
        <v>212.39999999999986</v>
      </c>
      <c r="R62" s="5">
        <f t="shared" ref="R62:R66" si="27">IF(($S$1-V62)*P62&lt;0,0,($S$1-V62)*P62)</f>
        <v>212.39999999999992</v>
      </c>
      <c r="S62" s="5">
        <f t="shared" si="13"/>
        <v>168</v>
      </c>
      <c r="T62" s="24"/>
      <c r="U62" s="1">
        <f t="shared" si="22"/>
        <v>13.34319526627219</v>
      </c>
      <c r="V62" s="1">
        <f t="shared" si="23"/>
        <v>10.857988165680474</v>
      </c>
      <c r="W62" s="1">
        <v>78.8</v>
      </c>
      <c r="X62" s="1">
        <v>62.6</v>
      </c>
      <c r="Y62" s="1">
        <v>49.8</v>
      </c>
      <c r="Z62" s="1">
        <v>55.6</v>
      </c>
      <c r="AA62" s="1">
        <v>105</v>
      </c>
      <c r="AB62" s="1">
        <v>95</v>
      </c>
      <c r="AC62" s="1">
        <v>85.4</v>
      </c>
      <c r="AD62" s="1">
        <v>107.8</v>
      </c>
      <c r="AE62" s="1">
        <v>92</v>
      </c>
      <c r="AF62" s="1">
        <v>85.2</v>
      </c>
      <c r="AG62" s="1"/>
      <c r="AH62" s="1">
        <f t="shared" si="14"/>
        <v>63.71999999999997</v>
      </c>
      <c r="AI62" s="7">
        <v>12</v>
      </c>
      <c r="AJ62" s="9">
        <f t="shared" si="15"/>
        <v>14</v>
      </c>
      <c r="AK62" s="1">
        <f t="shared" si="16"/>
        <v>50.4</v>
      </c>
      <c r="AL62" s="1">
        <v>14</v>
      </c>
      <c r="AM62" s="1">
        <v>70</v>
      </c>
      <c r="AN62" s="9">
        <f t="shared" si="17"/>
        <v>0.2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161</v>
      </c>
      <c r="B63" s="1" t="s">
        <v>42</v>
      </c>
      <c r="C63" s="1">
        <v>274</v>
      </c>
      <c r="D63" s="1">
        <v>20</v>
      </c>
      <c r="E63" s="1">
        <v>191</v>
      </c>
      <c r="F63" s="1">
        <v>98</v>
      </c>
      <c r="G63" s="7">
        <v>0.3</v>
      </c>
      <c r="H63" s="1">
        <v>180</v>
      </c>
      <c r="I63" s="1" t="s">
        <v>162</v>
      </c>
      <c r="J63" s="1"/>
      <c r="K63" s="1">
        <v>181</v>
      </c>
      <c r="L63" s="1">
        <f t="shared" si="20"/>
        <v>10</v>
      </c>
      <c r="M63" s="1"/>
      <c r="N63" s="1"/>
      <c r="O63" s="1">
        <v>196</v>
      </c>
      <c r="P63" s="1">
        <f t="shared" si="21"/>
        <v>38.200000000000003</v>
      </c>
      <c r="Q63" s="5">
        <v>240.80000000000007</v>
      </c>
      <c r="R63" s="5">
        <f t="shared" si="27"/>
        <v>240.80000000000004</v>
      </c>
      <c r="S63" s="5">
        <f t="shared" si="13"/>
        <v>196</v>
      </c>
      <c r="T63" s="24"/>
      <c r="U63" s="1">
        <f t="shared" si="22"/>
        <v>12.827225130890051</v>
      </c>
      <c r="V63" s="1">
        <f t="shared" si="23"/>
        <v>7.6963350785340312</v>
      </c>
      <c r="W63" s="1">
        <v>26.8</v>
      </c>
      <c r="X63" s="1">
        <v>31.6</v>
      </c>
      <c r="Y63" s="1">
        <v>31.2</v>
      </c>
      <c r="Z63" s="1">
        <v>14.8</v>
      </c>
      <c r="AA63" s="1">
        <v>47</v>
      </c>
      <c r="AB63" s="1">
        <v>23.2</v>
      </c>
      <c r="AC63" s="1">
        <v>59.8</v>
      </c>
      <c r="AD63" s="1">
        <v>28.4</v>
      </c>
      <c r="AE63" s="1">
        <v>10.4</v>
      </c>
      <c r="AF63" s="1">
        <v>0</v>
      </c>
      <c r="AG63" s="1"/>
      <c r="AH63" s="1">
        <f t="shared" si="14"/>
        <v>72.240000000000009</v>
      </c>
      <c r="AI63" s="7">
        <v>14</v>
      </c>
      <c r="AJ63" s="9">
        <f t="shared" si="15"/>
        <v>14</v>
      </c>
      <c r="AK63" s="1">
        <f t="shared" si="16"/>
        <v>58.8</v>
      </c>
      <c r="AL63" s="1">
        <v>14</v>
      </c>
      <c r="AM63" s="1">
        <v>70</v>
      </c>
      <c r="AN63" s="9">
        <f t="shared" si="17"/>
        <v>0.2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163</v>
      </c>
      <c r="B64" s="1" t="s">
        <v>42</v>
      </c>
      <c r="C64" s="1">
        <v>1533</v>
      </c>
      <c r="D64" s="1">
        <v>46</v>
      </c>
      <c r="E64" s="1">
        <v>748</v>
      </c>
      <c r="F64" s="1">
        <v>649</v>
      </c>
      <c r="G64" s="7">
        <v>0.25</v>
      </c>
      <c r="H64" s="1">
        <v>180</v>
      </c>
      <c r="I64" s="1" t="s">
        <v>164</v>
      </c>
      <c r="J64" s="1"/>
      <c r="K64" s="1">
        <v>793</v>
      </c>
      <c r="L64" s="1">
        <f t="shared" si="20"/>
        <v>-45</v>
      </c>
      <c r="M64" s="1"/>
      <c r="N64" s="1"/>
      <c r="O64" s="1">
        <v>1008</v>
      </c>
      <c r="P64" s="1">
        <f t="shared" si="21"/>
        <v>149.6</v>
      </c>
      <c r="Q64" s="5">
        <v>437.40000000000009</v>
      </c>
      <c r="R64" s="5">
        <f t="shared" si="27"/>
        <v>437.4</v>
      </c>
      <c r="S64" s="5">
        <f t="shared" si="13"/>
        <v>504</v>
      </c>
      <c r="T64" s="24"/>
      <c r="U64" s="1">
        <f t="shared" si="22"/>
        <v>14.445187165775401</v>
      </c>
      <c r="V64" s="1">
        <f t="shared" si="23"/>
        <v>11.07620320855615</v>
      </c>
      <c r="W64" s="1">
        <v>187.6</v>
      </c>
      <c r="X64" s="1">
        <v>139</v>
      </c>
      <c r="Y64" s="1">
        <v>118</v>
      </c>
      <c r="Z64" s="1">
        <v>132.4</v>
      </c>
      <c r="AA64" s="1">
        <v>225.4</v>
      </c>
      <c r="AB64" s="1">
        <v>164.4</v>
      </c>
      <c r="AC64" s="1">
        <v>172</v>
      </c>
      <c r="AD64" s="1">
        <v>171.6</v>
      </c>
      <c r="AE64" s="1">
        <v>160</v>
      </c>
      <c r="AF64" s="1">
        <v>134.4</v>
      </c>
      <c r="AG64" s="1"/>
      <c r="AH64" s="1">
        <f t="shared" si="14"/>
        <v>109.35</v>
      </c>
      <c r="AI64" s="7">
        <v>12</v>
      </c>
      <c r="AJ64" s="9">
        <f t="shared" si="15"/>
        <v>42</v>
      </c>
      <c r="AK64" s="1">
        <f t="shared" si="16"/>
        <v>126</v>
      </c>
      <c r="AL64" s="1">
        <v>14</v>
      </c>
      <c r="AM64" s="1">
        <v>70</v>
      </c>
      <c r="AN64" s="9">
        <f t="shared" si="17"/>
        <v>0.6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165</v>
      </c>
      <c r="B65" s="1" t="s">
        <v>42</v>
      </c>
      <c r="C65" s="1">
        <v>970</v>
      </c>
      <c r="D65" s="1">
        <v>59</v>
      </c>
      <c r="E65" s="1">
        <v>600</v>
      </c>
      <c r="F65" s="1">
        <v>314</v>
      </c>
      <c r="G65" s="7">
        <v>0.25</v>
      </c>
      <c r="H65" s="1">
        <v>180</v>
      </c>
      <c r="I65" s="1" t="s">
        <v>166</v>
      </c>
      <c r="J65" s="1"/>
      <c r="K65" s="1">
        <v>620</v>
      </c>
      <c r="L65" s="1">
        <f t="shared" si="20"/>
        <v>-20</v>
      </c>
      <c r="M65" s="1"/>
      <c r="N65" s="1"/>
      <c r="O65" s="1">
        <v>1344</v>
      </c>
      <c r="P65" s="1">
        <f t="shared" si="21"/>
        <v>120</v>
      </c>
      <c r="Q65" s="5">
        <v>142</v>
      </c>
      <c r="R65" s="5">
        <f>Q65</f>
        <v>142</v>
      </c>
      <c r="S65" s="5">
        <f t="shared" si="13"/>
        <v>168</v>
      </c>
      <c r="T65" s="24"/>
      <c r="U65" s="1">
        <f t="shared" si="22"/>
        <v>15.216666666666667</v>
      </c>
      <c r="V65" s="1">
        <f t="shared" si="23"/>
        <v>13.816666666666666</v>
      </c>
      <c r="W65" s="1">
        <v>168</v>
      </c>
      <c r="X65" s="1">
        <v>118</v>
      </c>
      <c r="Y65" s="1">
        <v>97</v>
      </c>
      <c r="Z65" s="1">
        <v>111.2</v>
      </c>
      <c r="AA65" s="1">
        <v>171.2</v>
      </c>
      <c r="AB65" s="1">
        <v>152.19999999999999</v>
      </c>
      <c r="AC65" s="1">
        <v>189.8</v>
      </c>
      <c r="AD65" s="1">
        <v>190.2</v>
      </c>
      <c r="AE65" s="1">
        <v>123.2</v>
      </c>
      <c r="AF65" s="1">
        <v>47.8</v>
      </c>
      <c r="AG65" s="1"/>
      <c r="AH65" s="1">
        <f t="shared" si="14"/>
        <v>35.5</v>
      </c>
      <c r="AI65" s="7">
        <v>12</v>
      </c>
      <c r="AJ65" s="9">
        <f t="shared" si="15"/>
        <v>14</v>
      </c>
      <c r="AK65" s="1">
        <f t="shared" si="16"/>
        <v>42</v>
      </c>
      <c r="AL65" s="1">
        <v>14</v>
      </c>
      <c r="AM65" s="1">
        <v>70</v>
      </c>
      <c r="AN65" s="9">
        <f t="shared" si="17"/>
        <v>0.2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167</v>
      </c>
      <c r="B66" s="1" t="s">
        <v>42</v>
      </c>
      <c r="C66" s="1">
        <v>242</v>
      </c>
      <c r="D66" s="1"/>
      <c r="E66" s="1">
        <v>78</v>
      </c>
      <c r="F66" s="1">
        <v>126</v>
      </c>
      <c r="G66" s="7">
        <v>0.2</v>
      </c>
      <c r="H66" s="1">
        <v>365</v>
      </c>
      <c r="I66" s="1" t="s">
        <v>168</v>
      </c>
      <c r="J66" s="1"/>
      <c r="K66" s="1">
        <v>84</v>
      </c>
      <c r="L66" s="1">
        <f t="shared" si="20"/>
        <v>-6</v>
      </c>
      <c r="M66" s="1"/>
      <c r="N66" s="1"/>
      <c r="O66" s="1">
        <v>0</v>
      </c>
      <c r="P66" s="1">
        <f t="shared" si="21"/>
        <v>15.6</v>
      </c>
      <c r="Q66" s="5">
        <v>92.4</v>
      </c>
      <c r="R66" s="5">
        <f t="shared" si="27"/>
        <v>92.4</v>
      </c>
      <c r="S66" s="5">
        <f t="shared" si="13"/>
        <v>84</v>
      </c>
      <c r="T66" s="24"/>
      <c r="U66" s="1">
        <f t="shared" si="22"/>
        <v>13.461538461538462</v>
      </c>
      <c r="V66" s="1">
        <f t="shared" si="23"/>
        <v>8.0769230769230766</v>
      </c>
      <c r="W66" s="1">
        <v>14.2</v>
      </c>
      <c r="X66" s="1">
        <v>9.1999999999999993</v>
      </c>
      <c r="Y66" s="1">
        <v>11</v>
      </c>
      <c r="Z66" s="1">
        <v>12.4</v>
      </c>
      <c r="AA66" s="1">
        <v>29.2</v>
      </c>
      <c r="AB66" s="1">
        <v>25.4</v>
      </c>
      <c r="AC66" s="1">
        <v>27.6</v>
      </c>
      <c r="AD66" s="1">
        <v>15</v>
      </c>
      <c r="AE66" s="1">
        <v>8.8000000000000007</v>
      </c>
      <c r="AF66" s="1">
        <v>29.6</v>
      </c>
      <c r="AG66" s="1"/>
      <c r="AH66" s="1">
        <f t="shared" si="14"/>
        <v>18.48</v>
      </c>
      <c r="AI66" s="7">
        <v>6</v>
      </c>
      <c r="AJ66" s="9">
        <f t="shared" si="15"/>
        <v>14</v>
      </c>
      <c r="AK66" s="1">
        <f t="shared" si="16"/>
        <v>16.8</v>
      </c>
      <c r="AL66" s="1">
        <v>14</v>
      </c>
      <c r="AM66" s="1">
        <v>140</v>
      </c>
      <c r="AN66" s="9">
        <f t="shared" si="17"/>
        <v>0.1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169</v>
      </c>
      <c r="B67" s="1" t="s">
        <v>42</v>
      </c>
      <c r="C67" s="1">
        <v>373</v>
      </c>
      <c r="D67" s="1"/>
      <c r="E67" s="1">
        <v>72</v>
      </c>
      <c r="F67" s="1">
        <v>290</v>
      </c>
      <c r="G67" s="7">
        <v>0.23</v>
      </c>
      <c r="H67" s="1">
        <v>180</v>
      </c>
      <c r="I67" s="1" t="s">
        <v>170</v>
      </c>
      <c r="J67" s="1"/>
      <c r="K67" s="1">
        <v>72</v>
      </c>
      <c r="L67" s="1">
        <f t="shared" si="20"/>
        <v>0</v>
      </c>
      <c r="M67" s="1"/>
      <c r="N67" s="1"/>
      <c r="O67" s="1">
        <v>0</v>
      </c>
      <c r="P67" s="1">
        <f t="shared" si="21"/>
        <v>14.4</v>
      </c>
      <c r="Q67" s="5"/>
      <c r="R67" s="5"/>
      <c r="S67" s="5">
        <f t="shared" si="13"/>
        <v>0</v>
      </c>
      <c r="T67" s="24"/>
      <c r="U67" s="1">
        <f t="shared" si="22"/>
        <v>20.138888888888889</v>
      </c>
      <c r="V67" s="1">
        <f t="shared" si="23"/>
        <v>20.138888888888889</v>
      </c>
      <c r="W67" s="1">
        <v>19.2</v>
      </c>
      <c r="X67" s="1">
        <v>15.2</v>
      </c>
      <c r="Y67" s="1">
        <v>14.8</v>
      </c>
      <c r="Z67" s="1">
        <v>17.600000000000001</v>
      </c>
      <c r="AA67" s="1">
        <v>45.6</v>
      </c>
      <c r="AB67" s="1">
        <v>33.4</v>
      </c>
      <c r="AC67" s="1">
        <v>28.4</v>
      </c>
      <c r="AD67" s="1">
        <v>37.4</v>
      </c>
      <c r="AE67" s="1">
        <v>35.200000000000003</v>
      </c>
      <c r="AF67" s="1">
        <v>12.6</v>
      </c>
      <c r="AG67" s="19" t="s">
        <v>76</v>
      </c>
      <c r="AH67" s="1">
        <f t="shared" si="14"/>
        <v>0</v>
      </c>
      <c r="AI67" s="7">
        <v>6</v>
      </c>
      <c r="AJ67" s="9">
        <f t="shared" si="15"/>
        <v>0</v>
      </c>
      <c r="AK67" s="1">
        <f t="shared" si="16"/>
        <v>0</v>
      </c>
      <c r="AL67" s="1">
        <v>14</v>
      </c>
      <c r="AM67" s="1">
        <v>140</v>
      </c>
      <c r="AN67" s="9">
        <f t="shared" si="17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171</v>
      </c>
      <c r="B68" s="1" t="s">
        <v>50</v>
      </c>
      <c r="C68" s="1">
        <v>105.3</v>
      </c>
      <c r="D68" s="1"/>
      <c r="E68" s="1">
        <v>48.6</v>
      </c>
      <c r="F68" s="1">
        <v>45.9</v>
      </c>
      <c r="G68" s="7">
        <v>1</v>
      </c>
      <c r="H68" s="1">
        <v>180</v>
      </c>
      <c r="I68" s="1" t="s">
        <v>172</v>
      </c>
      <c r="J68" s="1"/>
      <c r="K68" s="1">
        <v>48.4</v>
      </c>
      <c r="L68" s="1">
        <f t="shared" si="20"/>
        <v>0.20000000000000284</v>
      </c>
      <c r="M68" s="1"/>
      <c r="N68" s="1"/>
      <c r="O68" s="1">
        <v>0</v>
      </c>
      <c r="P68" s="1">
        <f t="shared" si="21"/>
        <v>9.7200000000000006</v>
      </c>
      <c r="Q68" s="5">
        <v>90.18</v>
      </c>
      <c r="R68" s="5">
        <f>IF(($S$1-V68)*P68&lt;0,0,($S$1-V68)*P68)</f>
        <v>90.18</v>
      </c>
      <c r="S68" s="5">
        <f t="shared" si="13"/>
        <v>75.600000000000009</v>
      </c>
      <c r="T68" s="24"/>
      <c r="U68" s="1">
        <f t="shared" si="22"/>
        <v>12.5</v>
      </c>
      <c r="V68" s="1">
        <f t="shared" si="23"/>
        <v>4.7222222222222214</v>
      </c>
      <c r="W68" s="1">
        <v>4.8600000000000003</v>
      </c>
      <c r="X68" s="1">
        <v>3.78</v>
      </c>
      <c r="Y68" s="1">
        <v>2.7</v>
      </c>
      <c r="Z68" s="1">
        <v>2.16</v>
      </c>
      <c r="AA68" s="1">
        <v>0.54</v>
      </c>
      <c r="AB68" s="1">
        <v>14.58</v>
      </c>
      <c r="AC68" s="1">
        <v>10.26</v>
      </c>
      <c r="AD68" s="1">
        <v>8.1</v>
      </c>
      <c r="AE68" s="1">
        <v>8.1</v>
      </c>
      <c r="AF68" s="1">
        <v>10.26</v>
      </c>
      <c r="AG68" s="1"/>
      <c r="AH68" s="1">
        <f t="shared" si="14"/>
        <v>90.18</v>
      </c>
      <c r="AI68" s="7">
        <v>2.7</v>
      </c>
      <c r="AJ68" s="9">
        <f t="shared" si="15"/>
        <v>28</v>
      </c>
      <c r="AK68" s="1">
        <f t="shared" si="16"/>
        <v>75.600000000000009</v>
      </c>
      <c r="AL68" s="1">
        <v>14</v>
      </c>
      <c r="AM68" s="1">
        <v>126</v>
      </c>
      <c r="AN68" s="9">
        <f t="shared" si="17"/>
        <v>0.22222222222222221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173</v>
      </c>
      <c r="B69" s="1" t="s">
        <v>50</v>
      </c>
      <c r="C69" s="1">
        <v>465</v>
      </c>
      <c r="D69" s="1">
        <v>5</v>
      </c>
      <c r="E69" s="1">
        <v>215</v>
      </c>
      <c r="F69" s="1">
        <v>170</v>
      </c>
      <c r="G69" s="7">
        <v>1</v>
      </c>
      <c r="H69" s="1">
        <v>180</v>
      </c>
      <c r="I69" s="1" t="s">
        <v>174</v>
      </c>
      <c r="J69" s="1"/>
      <c r="K69" s="1">
        <v>245</v>
      </c>
      <c r="L69" s="1">
        <f t="shared" si="20"/>
        <v>-30</v>
      </c>
      <c r="M69" s="1"/>
      <c r="N69" s="1"/>
      <c r="O69" s="1">
        <v>300</v>
      </c>
      <c r="P69" s="1">
        <f t="shared" si="21"/>
        <v>43</v>
      </c>
      <c r="Q69" s="5">
        <v>132</v>
      </c>
      <c r="R69" s="5">
        <v>250</v>
      </c>
      <c r="S69" s="5">
        <f t="shared" si="13"/>
        <v>240</v>
      </c>
      <c r="T69" s="24" t="str">
        <f>VLOOKUP(A69,[2]Sheet!$A:$S,19,0)</f>
        <v>250кг</v>
      </c>
      <c r="U69" s="1">
        <f t="shared" si="22"/>
        <v>16.511627906976745</v>
      </c>
      <c r="V69" s="1">
        <f t="shared" si="23"/>
        <v>10.930232558139535</v>
      </c>
      <c r="W69" s="1">
        <v>53</v>
      </c>
      <c r="X69" s="1">
        <v>46</v>
      </c>
      <c r="Y69" s="1">
        <v>41</v>
      </c>
      <c r="Z69" s="1">
        <v>44.54</v>
      </c>
      <c r="AA69" s="1">
        <v>68.58</v>
      </c>
      <c r="AB69" s="1">
        <v>63</v>
      </c>
      <c r="AC69" s="1">
        <v>68</v>
      </c>
      <c r="AD69" s="1">
        <v>63</v>
      </c>
      <c r="AE69" s="1">
        <v>80</v>
      </c>
      <c r="AF69" s="1">
        <v>54.54</v>
      </c>
      <c r="AG69" s="1"/>
      <c r="AH69" s="1">
        <f t="shared" si="14"/>
        <v>250</v>
      </c>
      <c r="AI69" s="7">
        <v>5</v>
      </c>
      <c r="AJ69" s="9">
        <f t="shared" si="15"/>
        <v>48</v>
      </c>
      <c r="AK69" s="1">
        <f t="shared" si="16"/>
        <v>240</v>
      </c>
      <c r="AL69" s="1">
        <v>12</v>
      </c>
      <c r="AM69" s="1">
        <v>84</v>
      </c>
      <c r="AN69" s="9">
        <f t="shared" si="17"/>
        <v>0.5714285714285714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9"/>
      <c r="AK70" s="1"/>
      <c r="AL70" s="1"/>
      <c r="AM70" s="1"/>
      <c r="AN70" s="9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9"/>
      <c r="AK71" s="1"/>
      <c r="AL71" s="1"/>
      <c r="AM71" s="1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9"/>
      <c r="AK500" s="1"/>
      <c r="AL500" s="1"/>
      <c r="AM500" s="1"/>
      <c r="AN500" s="9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2026-08-27T15:44:16Z</dcterms:created>
  <dcterms:modified xsi:type="dcterms:W3CDTF">2026-08-31T13:20:00Z</dcterms:modified>
</cp:coreProperties>
</file>