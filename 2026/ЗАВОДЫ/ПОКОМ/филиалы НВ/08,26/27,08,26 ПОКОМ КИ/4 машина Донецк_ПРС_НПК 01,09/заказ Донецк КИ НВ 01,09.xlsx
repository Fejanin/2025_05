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0FC9B0A-5577-46A9-A5A9-FBB3CF3F748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9" i="1" l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Y426" i="1" s="1"/>
  <c r="P424" i="1"/>
  <c r="BP423" i="1"/>
  <c r="BO423" i="1"/>
  <c r="BN423" i="1"/>
  <c r="BM423" i="1"/>
  <c r="Z423" i="1"/>
  <c r="Y423" i="1"/>
  <c r="P423" i="1"/>
  <c r="X420" i="1"/>
  <c r="Y419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Y414" i="1" s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Y402" i="1" s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Y382" i="1" s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Y341" i="1" s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Y326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1" i="1"/>
  <c r="Y300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70" i="1"/>
  <c r="X269" i="1"/>
  <c r="BP268" i="1"/>
  <c r="BO268" i="1"/>
  <c r="BN268" i="1"/>
  <c r="BM268" i="1"/>
  <c r="Z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Y254" i="1"/>
  <c r="X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Y255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BP243" i="1"/>
  <c r="BO243" i="1"/>
  <c r="BN243" i="1"/>
  <c r="BM243" i="1"/>
  <c r="Z243" i="1"/>
  <c r="Y243" i="1"/>
  <c r="Y249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BP186" i="1"/>
  <c r="BO186" i="1"/>
  <c r="BN186" i="1"/>
  <c r="BM186" i="1"/>
  <c r="Z186" i="1"/>
  <c r="Y186" i="1"/>
  <c r="BP185" i="1"/>
  <c r="BO185" i="1"/>
  <c r="BN185" i="1"/>
  <c r="BM185" i="1"/>
  <c r="Z185" i="1"/>
  <c r="Y185" i="1"/>
  <c r="P185" i="1"/>
  <c r="BO184" i="1"/>
  <c r="BM184" i="1"/>
  <c r="Y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9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Y161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H569" i="1" s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9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BP23" i="1"/>
  <c r="BO23" i="1"/>
  <c r="BN23" i="1"/>
  <c r="BM23" i="1"/>
  <c r="Z23" i="1"/>
  <c r="Y23" i="1"/>
  <c r="P23" i="1"/>
  <c r="BO22" i="1"/>
  <c r="X561" i="1" s="1"/>
  <c r="BM22" i="1"/>
  <c r="X560" i="1" s="1"/>
  <c r="X562" i="1" s="1"/>
  <c r="Y22" i="1"/>
  <c r="B569" i="1" s="1"/>
  <c r="P22" i="1"/>
  <c r="H10" i="1"/>
  <c r="A9" i="1"/>
  <c r="F10" i="1" s="1"/>
  <c r="D7" i="1"/>
  <c r="Q6" i="1"/>
  <c r="P2" i="1"/>
  <c r="Z111" i="1" l="1"/>
  <c r="Z161" i="1"/>
  <c r="H9" i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73" i="1"/>
  <c r="Y178" i="1"/>
  <c r="BP175" i="1"/>
  <c r="BN175" i="1"/>
  <c r="Z175" i="1"/>
  <c r="Z177" i="1" s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Z269" i="1" s="1"/>
  <c r="BP275" i="1"/>
  <c r="BN275" i="1"/>
  <c r="Z275" i="1"/>
  <c r="BP279" i="1"/>
  <c r="BN279" i="1"/>
  <c r="Z279" i="1"/>
  <c r="BP284" i="1"/>
  <c r="BN284" i="1"/>
  <c r="Z284" i="1"/>
  <c r="Y296" i="1"/>
  <c r="BP288" i="1"/>
  <c r="BN288" i="1"/>
  <c r="Z288" i="1"/>
  <c r="BP292" i="1"/>
  <c r="BN292" i="1"/>
  <c r="Z292" i="1"/>
  <c r="BP305" i="1"/>
  <c r="BN305" i="1"/>
  <c r="Z305" i="1"/>
  <c r="Z311" i="1" s="1"/>
  <c r="Y311" i="1"/>
  <c r="BP309" i="1"/>
  <c r="BN309" i="1"/>
  <c r="Z309" i="1"/>
  <c r="F9" i="1"/>
  <c r="J9" i="1"/>
  <c r="Z22" i="1"/>
  <c r="Z24" i="1" s="1"/>
  <c r="BN22" i="1"/>
  <c r="BP22" i="1"/>
  <c r="X563" i="1"/>
  <c r="Y25" i="1"/>
  <c r="Z28" i="1"/>
  <c r="Z32" i="1" s="1"/>
  <c r="BN28" i="1"/>
  <c r="Z30" i="1"/>
  <c r="BN30" i="1"/>
  <c r="C569" i="1"/>
  <c r="Z38" i="1"/>
  <c r="Z42" i="1" s="1"/>
  <c r="BN38" i="1"/>
  <c r="Z40" i="1"/>
  <c r="BN40" i="1"/>
  <c r="Y43" i="1"/>
  <c r="D569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69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G569" i="1"/>
  <c r="Z104" i="1"/>
  <c r="BN104" i="1"/>
  <c r="Z106" i="1"/>
  <c r="BN106" i="1"/>
  <c r="Z108" i="1"/>
  <c r="BN108" i="1"/>
  <c r="Z109" i="1"/>
  <c r="BN109" i="1"/>
  <c r="Y112" i="1"/>
  <c r="Z115" i="1"/>
  <c r="Z119" i="1" s="1"/>
  <c r="BN115" i="1"/>
  <c r="Z117" i="1"/>
  <c r="BN117" i="1"/>
  <c r="Z124" i="1"/>
  <c r="Z129" i="1" s="1"/>
  <c r="BN124" i="1"/>
  <c r="Z127" i="1"/>
  <c r="BN127" i="1"/>
  <c r="Z128" i="1"/>
  <c r="BN128" i="1"/>
  <c r="Z132" i="1"/>
  <c r="Z134" i="1" s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Y172" i="1"/>
  <c r="Z170" i="1"/>
  <c r="Z172" i="1" s="1"/>
  <c r="BN170" i="1"/>
  <c r="BP171" i="1"/>
  <c r="BN171" i="1"/>
  <c r="Y177" i="1"/>
  <c r="BP181" i="1"/>
  <c r="BN181" i="1"/>
  <c r="Z181" i="1"/>
  <c r="BP184" i="1"/>
  <c r="BN184" i="1"/>
  <c r="Z184" i="1"/>
  <c r="Z192" i="1" s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Z218" i="1" s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Z248" i="1"/>
  <c r="BP244" i="1"/>
  <c r="BN244" i="1"/>
  <c r="Z244" i="1"/>
  <c r="Y248" i="1"/>
  <c r="BP252" i="1"/>
  <c r="BN252" i="1"/>
  <c r="Z252" i="1"/>
  <c r="Z254" i="1" s="1"/>
  <c r="Y269" i="1"/>
  <c r="BP273" i="1"/>
  <c r="BN273" i="1"/>
  <c r="Z273" i="1"/>
  <c r="Z280" i="1" s="1"/>
  <c r="BP277" i="1"/>
  <c r="BN277" i="1"/>
  <c r="Z277" i="1"/>
  <c r="BP330" i="1"/>
  <c r="BN330" i="1"/>
  <c r="Z330" i="1"/>
  <c r="P569" i="1"/>
  <c r="Y334" i="1"/>
  <c r="Z341" i="1"/>
  <c r="M569" i="1"/>
  <c r="Y264" i="1"/>
  <c r="Y281" i="1"/>
  <c r="Y280" i="1"/>
  <c r="Y295" i="1"/>
  <c r="BP286" i="1"/>
  <c r="BN286" i="1"/>
  <c r="Z286" i="1"/>
  <c r="BP290" i="1"/>
  <c r="BN290" i="1"/>
  <c r="Z290" i="1"/>
  <c r="Z295" i="1" s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Z325" i="1" s="1"/>
  <c r="Y335" i="1"/>
  <c r="BP332" i="1"/>
  <c r="BN332" i="1"/>
  <c r="Z332" i="1"/>
  <c r="Z334" i="1" s="1"/>
  <c r="BP346" i="1"/>
  <c r="BN346" i="1"/>
  <c r="Z346" i="1"/>
  <c r="Z350" i="1" s="1"/>
  <c r="Y350" i="1"/>
  <c r="BP354" i="1"/>
  <c r="BN354" i="1"/>
  <c r="Z354" i="1"/>
  <c r="Z355" i="1" s="1"/>
  <c r="Y356" i="1"/>
  <c r="S569" i="1"/>
  <c r="Y362" i="1"/>
  <c r="BP359" i="1"/>
  <c r="BN359" i="1"/>
  <c r="Z359" i="1"/>
  <c r="Z362" i="1" s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Z407" i="1" s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Z439" i="1" s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BP339" i="1"/>
  <c r="BN339" i="1"/>
  <c r="Z339" i="1"/>
  <c r="BP348" i="1"/>
  <c r="BN348" i="1"/>
  <c r="Z348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BP398" i="1"/>
  <c r="BN398" i="1"/>
  <c r="Z398" i="1"/>
  <c r="Z401" i="1" s="1"/>
  <c r="BP406" i="1"/>
  <c r="BN406" i="1"/>
  <c r="Z406" i="1"/>
  <c r="Y408" i="1"/>
  <c r="Y413" i="1"/>
  <c r="BP410" i="1"/>
  <c r="BN410" i="1"/>
  <c r="Z410" i="1"/>
  <c r="Z413" i="1" s="1"/>
  <c r="BP424" i="1"/>
  <c r="BN424" i="1"/>
  <c r="Z424" i="1"/>
  <c r="Z426" i="1" s="1"/>
  <c r="BP434" i="1"/>
  <c r="BN434" i="1"/>
  <c r="Z434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499" i="1" l="1"/>
  <c r="Y559" i="1"/>
  <c r="Y561" i="1"/>
  <c r="Z198" i="1"/>
  <c r="Z513" i="1"/>
  <c r="Z483" i="1"/>
  <c r="Z445" i="1"/>
  <c r="Z381" i="1"/>
  <c r="Z371" i="1"/>
  <c r="Z529" i="1"/>
  <c r="Z472" i="1"/>
  <c r="Z451" i="1"/>
  <c r="Z388" i="1"/>
  <c r="Z99" i="1"/>
  <c r="Z74" i="1"/>
  <c r="Z61" i="1"/>
  <c r="Z564" i="1" s="1"/>
  <c r="Y560" i="1"/>
  <c r="Z240" i="1"/>
  <c r="Y563" i="1"/>
  <c r="Y562" i="1" l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<sst xmlns="http://schemas.openxmlformats.org/spreadsheetml/2006/main" count="2556" uniqueCount="916">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</sst>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4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0</v>
      </c>
      <c r="Y51" s="645">
        <f>IFERROR(Y47/H47,"0")+IFERROR(Y48/H48,"0")+IFERROR(Y49/H49,"0")+IFERROR(Y50/H50,"0")</f>
        <v>0</v>
      </c>
      <c r="Z51" s="645">
        <f>IFERROR(IF(Z47="",0,Z47),"0")+IFERROR(IF(Z48="",0,Z48),"0")+IFERROR(IF(Z49="",0,Z49),"0")+IFERROR(IF(Z50="",0,Z50),"0")</f>
        <v>0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0</v>
      </c>
      <c r="Y52" s="645">
        <f>IFERROR(SUM(Y47:Y50),"0")</f>
        <v>0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138</v>
      </c>
      <c r="Y56" s="644">
        <f t="shared" si="0"/>
        <v>140.4</v>
      </c>
      <c r="Z56" s="36">
        <f>IFERROR(IF(Y56=0,"",ROUNDUP(Y56/H56,0)*0.01898),"")</f>
        <v>0.24674000000000001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143.23888888888888</v>
      </c>
      <c r="BN56" s="64">
        <f t="shared" si="2"/>
        <v>145.73000000000002</v>
      </c>
      <c r="BO56" s="64">
        <f t="shared" si="3"/>
        <v>0.19965277777777776</v>
      </c>
      <c r="BP56" s="64">
        <f t="shared" si="4"/>
        <v>0.203125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12.777777777777777</v>
      </c>
      <c r="Y61" s="645">
        <f>IFERROR(Y55/H55,"0")+IFERROR(Y56/H56,"0")+IFERROR(Y57/H57,"0")+IFERROR(Y58/H58,"0")+IFERROR(Y59/H59,"0")+IFERROR(Y60/H60,"0")</f>
        <v>13</v>
      </c>
      <c r="Z61" s="645">
        <f>IFERROR(IF(Z55="",0,Z55),"0")+IFERROR(IF(Z56="",0,Z56),"0")+IFERROR(IF(Z57="",0,Z57),"0")+IFERROR(IF(Z58="",0,Z58),"0")+IFERROR(IF(Z59="",0,Z59),"0")+IFERROR(IF(Z60="",0,Z60),"0")</f>
        <v>0.24674000000000001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138</v>
      </c>
      <c r="Y62" s="645">
        <f>IFERROR(SUM(Y55:Y60),"0")</f>
        <v>140.4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172</v>
      </c>
      <c r="Y77" s="644">
        <f>IFERROR(IF(X77="",0,CEILING((X77/$H77),1)*$H77),"")</f>
        <v>179.4</v>
      </c>
      <c r="Z77" s="36">
        <f>IFERROR(IF(Y77=0,"",ROUNDUP(Y77/H77,0)*0.01898),"")</f>
        <v>0.43653999999999998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181.04102564102567</v>
      </c>
      <c r="BN77" s="64">
        <f>IFERROR(Y77*I77/H77,"0")</f>
        <v>188.83000000000004</v>
      </c>
      <c r="BO77" s="64">
        <f>IFERROR(1/J77*(X77/H77),"0")</f>
        <v>0.34455128205128205</v>
      </c>
      <c r="BP77" s="64">
        <f>IFERROR(1/J77*(Y77/H77),"0")</f>
        <v>0.359375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22.051282051282051</v>
      </c>
      <c r="Y81" s="645">
        <f>IFERROR(Y77/H77,"0")+IFERROR(Y78/H78,"0")+IFERROR(Y79/H79,"0")+IFERROR(Y80/H80,"0")</f>
        <v>23</v>
      </c>
      <c r="Z81" s="645">
        <f>IFERROR(IF(Z77="",0,Z77),"0")+IFERROR(IF(Z78="",0,Z78),"0")+IFERROR(IF(Z79="",0,Z79),"0")+IFERROR(IF(Z80="",0,Z80),"0")</f>
        <v>0.43653999999999998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172</v>
      </c>
      <c r="Y82" s="645">
        <f>IFERROR(SUM(Y77:Y80),"0")</f>
        <v>179.4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0</v>
      </c>
      <c r="Y90" s="645">
        <f>IFERROR(Y85/H85,"0")+IFERROR(Y86/H86,"0")+IFERROR(Y87/H87,"0")+IFERROR(Y88/H88,"0")+IFERROR(Y89/H89,"0")</f>
        <v>0</v>
      </c>
      <c r="Z90" s="645">
        <f>IFERROR(IF(Z85="",0,Z85),"0")+IFERROR(IF(Z86="",0,Z86),"0")+IFERROR(IF(Z87="",0,Z87),"0")+IFERROR(IF(Z88="",0,Z88),"0")+IFERROR(IF(Z89="",0,Z89),"0")</f>
        <v>0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0</v>
      </c>
      <c r="Y91" s="645">
        <f>IFERROR(SUM(Y85:Y89),"0")</f>
        <v>0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1032</v>
      </c>
      <c r="Y93" s="644">
        <f t="shared" ref="Y93:Y98" si="5">IFERROR(IF(X93="",0,CEILING((X93/$H93),1)*$H93),"")</f>
        <v>1036.8</v>
      </c>
      <c r="Z93" s="36">
        <f>IFERROR(IF(Y93=0,"",ROUNDUP(Y93/H93,0)*0.01898),"")</f>
        <v>2.42944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1094.9392592592592</v>
      </c>
      <c r="BN93" s="64">
        <f t="shared" ref="BN93:BN98" si="7">IFERROR(Y93*I93/H93,"0")</f>
        <v>1100.0319999999999</v>
      </c>
      <c r="BO93" s="64">
        <f t="shared" ref="BO93:BO98" si="8">IFERROR(1/J93*(X93/H93),"0")</f>
        <v>1.9907407407407409</v>
      </c>
      <c r="BP93" s="64">
        <f t="shared" ref="BP93:BP98" si="9">IFERROR(1/J93*(Y93/H93),"0")</f>
        <v>2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128</v>
      </c>
      <c r="Y96" s="644">
        <f t="shared" si="5"/>
        <v>129.60000000000002</v>
      </c>
      <c r="Z96" s="36">
        <f>IFERROR(IF(Y96=0,"",ROUNDUP(Y96/H96,0)*0.00651),"")</f>
        <v>0.31247999999999998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139.94666666666666</v>
      </c>
      <c r="BN96" s="64">
        <f t="shared" si="7"/>
        <v>141.69600000000003</v>
      </c>
      <c r="BO96" s="64">
        <f t="shared" si="8"/>
        <v>0.26048026048026046</v>
      </c>
      <c r="BP96" s="64">
        <f t="shared" si="9"/>
        <v>0.2637362637362638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174.81481481481484</v>
      </c>
      <c r="Y99" s="645">
        <f>IFERROR(Y93/H93,"0")+IFERROR(Y94/H94,"0")+IFERROR(Y95/H95,"0")+IFERROR(Y96/H96,"0")+IFERROR(Y97/H97,"0")+IFERROR(Y98/H98,"0")</f>
        <v>176</v>
      </c>
      <c r="Z99" s="645">
        <f>IFERROR(IF(Z93="",0,Z93),"0")+IFERROR(IF(Z94="",0,Z94),"0")+IFERROR(IF(Z95="",0,Z95),"0")+IFERROR(IF(Z96="",0,Z96),"0")+IFERROR(IF(Z97="",0,Z97),"0")+IFERROR(IF(Z98="",0,Z98),"0")</f>
        <v>2.7419199999999999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1160</v>
      </c>
      <c r="Y100" s="645">
        <f>IFERROR(SUM(Y93:Y98),"0")</f>
        <v>1166.4000000000001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74</v>
      </c>
      <c r="Y103" s="644">
        <f t="shared" ref="Y103:Y110" si="10">IFERROR(IF(X103="",0,CEILING((X103/$H103),1)*$H103),"")</f>
        <v>75.600000000000009</v>
      </c>
      <c r="Z103" s="36">
        <f>IFERROR(IF(Y103=0,"",ROUNDUP(Y103/H103,0)*0.01898),"")</f>
        <v>0.13286000000000001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76.809259259259264</v>
      </c>
      <c r="BN103" s="64">
        <f t="shared" ref="BN103:BN110" si="12">IFERROR(Y103*I103/H103,"0")</f>
        <v>78.47</v>
      </c>
      <c r="BO103" s="64">
        <f t="shared" ref="BO103:BO110" si="13">IFERROR(1/J103*(X103/H103),"0")</f>
        <v>0.10706018518518517</v>
      </c>
      <c r="BP103" s="64">
        <f t="shared" ref="BP103:BP110" si="14">IFERROR(1/J103*(Y103/H103),"0")</f>
        <v>0.109375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6.8518518518518512</v>
      </c>
      <c r="Y111" s="645">
        <f>IFERROR(Y103/H103,"0")+IFERROR(Y104/H104,"0")+IFERROR(Y105/H105,"0")+IFERROR(Y106/H106,"0")+IFERROR(Y107/H107,"0")+IFERROR(Y108/H108,"0")+IFERROR(Y109/H109,"0")+IFERROR(Y110/H110,"0")</f>
        <v>7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0.13286000000000001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74</v>
      </c>
      <c r="Y112" s="645">
        <f>IFERROR(SUM(Y103:Y110),"0")</f>
        <v>75.600000000000009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1376</v>
      </c>
      <c r="Y122" s="644">
        <f t="shared" ref="Y122:Y128" si="15">IFERROR(IF(X122="",0,CEILING((X122/$H122),1)*$H122),"")</f>
        <v>1377</v>
      </c>
      <c r="Z122" s="36">
        <f>IFERROR(IF(Y122=0,"",ROUNDUP(Y122/H122,0)*0.01898),"")</f>
        <v>3.2265999999999999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1458.8997530864199</v>
      </c>
      <c r="BN122" s="64">
        <f t="shared" ref="BN122:BN128" si="17">IFERROR(Y122*I122/H122,"0")</f>
        <v>1459.96</v>
      </c>
      <c r="BO122" s="64">
        <f t="shared" ref="BO122:BO128" si="18">IFERROR(1/J122*(X122/H122),"0")</f>
        <v>2.6543209876543212</v>
      </c>
      <c r="BP122" s="64">
        <f t="shared" ref="BP122:BP128" si="19">IFERROR(1/J122*(Y122/H122),"0")</f>
        <v>2.65625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465</v>
      </c>
      <c r="Y125" s="644">
        <f t="shared" si="15"/>
        <v>467.1</v>
      </c>
      <c r="Z125" s="36">
        <f>IFERROR(IF(Y125=0,"",ROUNDUP(Y125/H125,0)*0.00651),"")</f>
        <v>1.1262300000000001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508.4</v>
      </c>
      <c r="BN125" s="64">
        <f t="shared" si="17"/>
        <v>510.69599999999997</v>
      </c>
      <c r="BO125" s="64">
        <f t="shared" si="18"/>
        <v>0.94627594627594624</v>
      </c>
      <c r="BP125" s="64">
        <f t="shared" si="19"/>
        <v>0.95054945054945061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342.09876543209873</v>
      </c>
      <c r="Y129" s="645">
        <f>IFERROR(Y122/H122,"0")+IFERROR(Y123/H123,"0")+IFERROR(Y124/H124,"0")+IFERROR(Y125/H125,"0")+IFERROR(Y126/H126,"0")+IFERROR(Y127/H127,"0")+IFERROR(Y128/H128,"0")</f>
        <v>343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4.35283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1841</v>
      </c>
      <c r="Y130" s="645">
        <f>IFERROR(SUM(Y122:Y128),"0")</f>
        <v>1844.1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51</v>
      </c>
      <c r="Y132" s="644">
        <f>IFERROR(IF(X132="",0,CEILING((X132/$H132),1)*$H132),"")</f>
        <v>51.48</v>
      </c>
      <c r="Z132" s="36">
        <f>IFERROR(IF(Y132=0,"",ROUNDUP(Y132/H132,0)*0.00651),"")</f>
        <v>0.16925999999999999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57.645454545454548</v>
      </c>
      <c r="BN132" s="64">
        <f>IFERROR(Y132*I132/H132,"0")</f>
        <v>58.187999999999995</v>
      </c>
      <c r="BO132" s="64">
        <f>IFERROR(1/J132*(X132/H132),"0")</f>
        <v>0.14152514152514153</v>
      </c>
      <c r="BP132" s="64">
        <f>IFERROR(1/J132*(Y132/H132),"0")</f>
        <v>0.14285714285714288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25.757575757575758</v>
      </c>
      <c r="Y134" s="645">
        <f>IFERROR(Y132/H132,"0")+IFERROR(Y133/H133,"0")</f>
        <v>26</v>
      </c>
      <c r="Z134" s="645">
        <f>IFERROR(IF(Z132="",0,Z132),"0")+IFERROR(IF(Z133="",0,Z133),"0")</f>
        <v>0.16925999999999999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51</v>
      </c>
      <c r="Y135" s="645">
        <f>IFERROR(SUM(Y132:Y133),"0")</f>
        <v>51.48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0</v>
      </c>
      <c r="Y180" s="644">
        <f t="shared" ref="Y180:Y191" si="26">IFERROR(IF(X180="",0,CEILING((X180/$H180),1)*$H180),"")</f>
        <v>0</v>
      </c>
      <c r="Z180" s="36" t="str">
        <f>IFERROR(IF(Y180=0,"",ROUNDUP(Y180/H180,0)*0.00902),"")</f>
        <v/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0</v>
      </c>
      <c r="BN180" s="64">
        <f t="shared" ref="BN180:BN191" si="28">IFERROR(Y180*I180/H180,"0")</f>
        <v>0</v>
      </c>
      <c r="BO180" s="64">
        <f t="shared" ref="BO180:BO191" si="29">IFERROR(1/J180*(X180/H180),"0")</f>
        <v>0</v>
      </c>
      <c r="BP180" s="64">
        <f t="shared" ref="BP180:BP191" si="30">IFERROR(1/J180*(Y180/H180),"0")</f>
        <v>0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0</v>
      </c>
      <c r="Y193" s="645">
        <f>IFERROR(SUM(Y180:Y191),"0")</f>
        <v>0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0</v>
      </c>
      <c r="Y230" s="644">
        <f t="shared" si="37"/>
        <v>0</v>
      </c>
      <c r="Z230" s="36" t="str">
        <f t="shared" ref="Z230:Z235" si="42">IFERROR(IF(Y230=0,"",ROUNDUP(Y230/H230,0)*0.00502),"")</f>
        <v/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0</v>
      </c>
      <c r="BN230" s="64">
        <f t="shared" si="39"/>
        <v>0</v>
      </c>
      <c r="BO230" s="64">
        <f t="shared" si="40"/>
        <v>0</v>
      </c>
      <c r="BP230" s="64">
        <f t="shared" si="41"/>
        <v>0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0</v>
      </c>
      <c r="Y235" s="644">
        <f t="shared" si="37"/>
        <v>0</v>
      </c>
      <c r="Z235" s="36" t="str">
        <f t="shared" si="42"/>
        <v/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30</v>
      </c>
      <c r="Y237" s="644">
        <f t="shared" si="37"/>
        <v>31.5</v>
      </c>
      <c r="Z237" s="36">
        <f>IFERROR(IF(Y237=0,"",ROUNDUP(Y237/H237,0)*0.00502),"")</f>
        <v>7.5300000000000006E-2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31.428571428571427</v>
      </c>
      <c r="BN237" s="64">
        <f t="shared" si="39"/>
        <v>33.000000000000007</v>
      </c>
      <c r="BO237" s="64">
        <f t="shared" si="40"/>
        <v>6.1050061050061055E-2</v>
      </c>
      <c r="BP237" s="64">
        <f t="shared" si="41"/>
        <v>6.4102564102564111E-2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14.285714285714285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15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7.5300000000000006E-2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30</v>
      </c>
      <c r="Y241" s="645">
        <f>IFERROR(SUM(Y226:Y239),"0")</f>
        <v>31.5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0</v>
      </c>
      <c r="Y280" s="645">
        <f>IFERROR(Y272/H272,"0")+IFERROR(Y273/H273,"0")+IFERROR(Y274/H274,"0")+IFERROR(Y275/H275,"0")+IFERROR(Y276/H276,"0")+IFERROR(Y277/H277,"0")+IFERROR(Y278/H278,"0")+IFERROR(Y279/H279,"0")</f>
        <v>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0</v>
      </c>
      <c r="Y281" s="645">
        <f>IFERROR(SUM(Y272:Y279),"0")</f>
        <v>0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29</v>
      </c>
      <c r="Y286" s="644">
        <f t="shared" si="48"/>
        <v>31.2</v>
      </c>
      <c r="Z286" s="36">
        <f>IFERROR(IF(Y286=0,"",ROUNDUP(Y286/H286,0)*0.00651),"")</f>
        <v>8.4629999999999997E-2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32.262499999999996</v>
      </c>
      <c r="BN286" s="64">
        <f t="shared" si="50"/>
        <v>34.71</v>
      </c>
      <c r="BO286" s="64">
        <f t="shared" si="51"/>
        <v>6.6391941391941406E-2</v>
      </c>
      <c r="BP286" s="64">
        <f t="shared" si="52"/>
        <v>7.1428571428571438E-2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317</v>
      </c>
      <c r="Y289" s="644">
        <f t="shared" si="48"/>
        <v>319.2</v>
      </c>
      <c r="Z289" s="36">
        <f>IFERROR(IF(Y289=0,"",ROUNDUP(Y289/H289,0)*0.00651),"")</f>
        <v>0.86582999999999999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350.28500000000003</v>
      </c>
      <c r="BN289" s="64">
        <f t="shared" si="50"/>
        <v>352.71600000000001</v>
      </c>
      <c r="BO289" s="64">
        <f t="shared" si="51"/>
        <v>0.72573260073260082</v>
      </c>
      <c r="BP289" s="64">
        <f t="shared" si="52"/>
        <v>0.73076923076923084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34</v>
      </c>
      <c r="Y291" s="644">
        <f t="shared" si="48"/>
        <v>36</v>
      </c>
      <c r="Z291" s="36">
        <f>IFERROR(IF(Y291=0,"",ROUNDUP(Y291/H291,0)*0.00651),"")</f>
        <v>9.7650000000000001E-2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37.570000000000007</v>
      </c>
      <c r="BN291" s="64">
        <f t="shared" si="50"/>
        <v>39.780000000000008</v>
      </c>
      <c r="BO291" s="64">
        <f t="shared" si="51"/>
        <v>7.7838827838827854E-2</v>
      </c>
      <c r="BP291" s="64">
        <f t="shared" si="52"/>
        <v>8.241758241758243E-2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48</v>
      </c>
      <c r="Y292" s="644">
        <f t="shared" si="48"/>
        <v>48</v>
      </c>
      <c r="Z292" s="36">
        <f>IFERROR(IF(Y292=0,"",ROUNDUP(Y292/H292,0)*0.00651),"")</f>
        <v>0.13020000000000001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53.040000000000006</v>
      </c>
      <c r="BN292" s="64">
        <f t="shared" si="50"/>
        <v>53.040000000000006</v>
      </c>
      <c r="BO292" s="64">
        <f t="shared" si="51"/>
        <v>0.1098901098901099</v>
      </c>
      <c r="BP292" s="64">
        <f t="shared" si="52"/>
        <v>0.1098901098901099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178.33333333333334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181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1.17831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428</v>
      </c>
      <c r="Y296" s="645">
        <f>IFERROR(SUM(Y283:Y294),"0")</f>
        <v>434.4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0</v>
      </c>
      <c r="Y340" s="644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0</v>
      </c>
      <c r="Y341" s="645">
        <f>IFERROR(Y338/H338,"0")+IFERROR(Y339/H339,"0")+IFERROR(Y340/H340,"0")</f>
        <v>0</v>
      </c>
      <c r="Z341" s="645">
        <f>IFERROR(IF(Z338="",0,Z338),"0")+IFERROR(IF(Z339="",0,Z339),"0")+IFERROR(IF(Z340="",0,Z340),"0")</f>
        <v>0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0</v>
      </c>
      <c r="Y342" s="645">
        <f>IFERROR(SUM(Y338:Y340),"0")</f>
        <v>0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174</v>
      </c>
      <c r="Y360" s="644">
        <f>IFERROR(IF(X360="",0,CEILING((X360/$H360),1)*$H360),"")</f>
        <v>179.4</v>
      </c>
      <c r="Z360" s="36">
        <f>IFERROR(IF(Y360=0,"",ROUNDUP(Y360/H360,0)*0.01898),"")</f>
        <v>0.43653999999999998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183.14615384615388</v>
      </c>
      <c r="BN360" s="64">
        <f>IFERROR(Y360*I360/H360,"0")</f>
        <v>188.83000000000004</v>
      </c>
      <c r="BO360" s="64">
        <f>IFERROR(1/J360*(X360/H360),"0")</f>
        <v>0.34855769230769229</v>
      </c>
      <c r="BP360" s="64">
        <f>IFERROR(1/J360*(Y360/H360),"0")</f>
        <v>0.359375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22.307692307692307</v>
      </c>
      <c r="Y362" s="645">
        <f>IFERROR(Y359/H359,"0")+IFERROR(Y360/H360,"0")+IFERROR(Y361/H361,"0")</f>
        <v>23</v>
      </c>
      <c r="Z362" s="645">
        <f>IFERROR(IF(Z359="",0,Z359),"0")+IFERROR(IF(Z360="",0,Z360),"0")+IFERROR(IF(Z361="",0,Z361),"0")</f>
        <v>0.43653999999999998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174</v>
      </c>
      <c r="Y363" s="645">
        <f>IFERROR(SUM(Y359:Y361),"0")</f>
        <v>179.4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155</v>
      </c>
      <c r="Y392" s="644">
        <f>IFERROR(IF(X392="",0,CEILING((X392/$H392),1)*$H392),"")</f>
        <v>156</v>
      </c>
      <c r="Z392" s="36">
        <f>IFERROR(IF(Y392=0,"",ROUNDUP(Y392/H392,0)*0.01898),"")</f>
        <v>0.37959999999999999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164.81666666666669</v>
      </c>
      <c r="BN392" s="64">
        <f>IFERROR(Y392*I392/H392,"0")</f>
        <v>165.88</v>
      </c>
      <c r="BO392" s="64">
        <f>IFERROR(1/J392*(X392/H392),"0")</f>
        <v>0.31049679487179488</v>
      </c>
      <c r="BP392" s="64">
        <f>IFERROR(1/J392*(Y392/H392),"0")</f>
        <v>0.3125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19.871794871794872</v>
      </c>
      <c r="Y394" s="645">
        <f>IFERROR(Y391/H391,"0")+IFERROR(Y392/H392,"0")+IFERROR(Y393/H393,"0")</f>
        <v>20</v>
      </c>
      <c r="Z394" s="645">
        <f>IFERROR(IF(Z391="",0,Z391),"0")+IFERROR(IF(Z392="",0,Z392),"0")+IFERROR(IF(Z393="",0,Z393),"0")</f>
        <v>0.37959999999999999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155</v>
      </c>
      <c r="Y395" s="645">
        <f>IFERROR(SUM(Y391:Y393),"0")</f>
        <v>156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0</v>
      </c>
      <c r="Y401" s="645">
        <f>IFERROR(Y397/H397,"0")+IFERROR(Y398/H398,"0")+IFERROR(Y399/H399,"0")+IFERROR(Y400/H400,"0")</f>
        <v>0</v>
      </c>
      <c r="Z401" s="645">
        <f>IFERROR(IF(Z397="",0,Z397),"0")+IFERROR(IF(Z398="",0,Z398),"0")+IFERROR(IF(Z399="",0,Z399),"0")+IFERROR(IF(Z400="",0,Z400),"0")</f>
        <v>0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0</v>
      </c>
      <c r="Y402" s="645">
        <f>IFERROR(SUM(Y397:Y400),"0")</f>
        <v>0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0</v>
      </c>
      <c r="Y432" s="644">
        <f t="shared" si="63"/>
        <v>0</v>
      </c>
      <c r="Z432" s="36" t="str">
        <f>IFERROR(IF(Y432=0,"",ROUNDUP(Y432/H432,0)*0.02175),"")</f>
        <v/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0</v>
      </c>
      <c r="Y439" s="645">
        <f>IFERROR(Y431/H431,"0")+IFERROR(Y432/H432,"0")+IFERROR(Y433/H433,"0")+IFERROR(Y434/H434,"0")+IFERROR(Y435/H435,"0")+IFERROR(Y436/H436,"0")+IFERROR(Y437/H437,"0")+IFERROR(Y438/H438,"0")</f>
        <v>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0</v>
      </c>
      <c r="Y440" s="645">
        <f>IFERROR(SUM(Y431:Y438),"0")</f>
        <v>0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890</v>
      </c>
      <c r="Y442" s="644">
        <f>IFERROR(IF(X442="",0,CEILING((X442/$H442),1)*$H442),"")</f>
        <v>900</v>
      </c>
      <c r="Z442" s="36">
        <f>IFERROR(IF(Y442=0,"",ROUNDUP(Y442/H442,0)*0.02175),"")</f>
        <v>1.3049999999999999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917.88666666666677</v>
      </c>
      <c r="BN442" s="64">
        <f>IFERROR(Y442*I442/H442,"0")</f>
        <v>928.2</v>
      </c>
      <c r="BO442" s="64">
        <f>IFERROR(1/J442*(X442/H442),"0")</f>
        <v>1.2361111111111112</v>
      </c>
      <c r="BP442" s="64">
        <f>IFERROR(1/J442*(Y442/H442),"0")</f>
        <v>1.25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59.333333333333336</v>
      </c>
      <c r="Y445" s="645">
        <f>IFERROR(Y442/H442,"0")+IFERROR(Y443/H443,"0")+IFERROR(Y444/H444,"0")</f>
        <v>60</v>
      </c>
      <c r="Z445" s="645">
        <f>IFERROR(IF(Z442="",0,Z442),"0")+IFERROR(IF(Z443="",0,Z443),"0")+IFERROR(IF(Z444="",0,Z444),"0")</f>
        <v>1.3049999999999999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890</v>
      </c>
      <c r="Y446" s="645">
        <f>IFERROR(SUM(Y442:Y444),"0")</f>
        <v>900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172</v>
      </c>
      <c r="Y469" s="644">
        <f>IFERROR(IF(X469="",0,CEILING((X469/$H469),1)*$H469),"")</f>
        <v>180</v>
      </c>
      <c r="Z469" s="36">
        <f>IFERROR(IF(Y469=0,"",ROUNDUP(Y469/H469,0)*0.01898),"")</f>
        <v>0.37959999999999999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181.44088888888888</v>
      </c>
      <c r="BN469" s="64">
        <f>IFERROR(Y469*I469/H469,"0")</f>
        <v>189.88</v>
      </c>
      <c r="BO469" s="64">
        <f>IFERROR(1/J469*(X469/H469),"0")</f>
        <v>0.2986111111111111</v>
      </c>
      <c r="BP469" s="64">
        <f>IFERROR(1/J469*(Y469/H469),"0")</f>
        <v>0.3125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19.111111111111111</v>
      </c>
      <c r="Y472" s="645">
        <f>IFERROR(Y469/H469,"0")+IFERROR(Y470/H470,"0")+IFERROR(Y471/H471,"0")</f>
        <v>20</v>
      </c>
      <c r="Z472" s="645">
        <f>IFERROR(IF(Z469="",0,Z469),"0")+IFERROR(IF(Z470="",0,Z470),"0")+IFERROR(IF(Z471="",0,Z471),"0")</f>
        <v>0.37959999999999999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172</v>
      </c>
      <c r="Y473" s="645">
        <f>IFERROR(SUM(Y469:Y471),"0")</f>
        <v>180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0</v>
      </c>
      <c r="Y509" s="644">
        <f t="shared" si="73"/>
        <v>0</v>
      </c>
      <c r="Z509" s="36" t="str">
        <f t="shared" si="74"/>
        <v/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73</v>
      </c>
      <c r="Y511" s="644">
        <f t="shared" si="73"/>
        <v>76.8</v>
      </c>
      <c r="Z511" s="36">
        <f>IFERROR(IF(Y511=0,"",ROUNDUP(Y511/H511,0)*0.00902),"")</f>
        <v>0.14432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105.08958333333334</v>
      </c>
      <c r="BN511" s="64">
        <f t="shared" si="76"/>
        <v>110.56</v>
      </c>
      <c r="BO511" s="64">
        <f t="shared" si="77"/>
        <v>0.11521464646464648</v>
      </c>
      <c r="BP511" s="64">
        <f t="shared" si="78"/>
        <v>0.12121212121212122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98</v>
      </c>
      <c r="Y512" s="644">
        <f t="shared" si="73"/>
        <v>100.8</v>
      </c>
      <c r="Z512" s="36">
        <f>IFERROR(IF(Y512=0,"",ROUNDUP(Y512/H512,0)*0.00902),"")</f>
        <v>0.18942000000000001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141.07916666666668</v>
      </c>
      <c r="BN512" s="64">
        <f t="shared" si="76"/>
        <v>145.11000000000001</v>
      </c>
      <c r="BO512" s="64">
        <f t="shared" si="77"/>
        <v>0.15467171717171718</v>
      </c>
      <c r="BP512" s="64">
        <f t="shared" si="78"/>
        <v>0.15909090909090909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35.625</v>
      </c>
      <c r="Y513" s="645">
        <f>IFERROR(Y504/H504,"0")+IFERROR(Y505/H505,"0")+IFERROR(Y506/H506,"0")+IFERROR(Y507/H507,"0")+IFERROR(Y508/H508,"0")+IFERROR(Y509/H509,"0")+IFERROR(Y510/H510,"0")+IFERROR(Y511/H511,"0")+IFERROR(Y512/H512,"0")</f>
        <v>37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0.33374000000000004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171</v>
      </c>
      <c r="Y514" s="645">
        <f>IFERROR(SUM(Y504:Y512),"0")</f>
        <v>177.6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860</v>
      </c>
      <c r="Y516" s="644">
        <f>IFERROR(IF(X516="",0,CEILING((X516/$H516),1)*$H516),"")</f>
        <v>860.64</v>
      </c>
      <c r="Z516" s="36">
        <f>IFERROR(IF(Y516=0,"",ROUNDUP(Y516/H516,0)*0.01196),"")</f>
        <v>1.9494800000000001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917.00757575757575</v>
      </c>
      <c r="BN516" s="64">
        <f>IFERROR(Y516*I516/H516,"0")</f>
        <v>917.68999999999994</v>
      </c>
      <c r="BO516" s="64">
        <f>IFERROR(1/J516*(X516/H516),"0")</f>
        <v>1.5661421911421911</v>
      </c>
      <c r="BP516" s="64">
        <f>IFERROR(1/J516*(Y516/H516),"0")</f>
        <v>1.5673076923076923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162.87878787878788</v>
      </c>
      <c r="Y519" s="645">
        <f>IFERROR(Y516/H516,"0")+IFERROR(Y517/H517,"0")+IFERROR(Y518/H518,"0")</f>
        <v>163</v>
      </c>
      <c r="Z519" s="645">
        <f>IFERROR(IF(Z516="",0,Z516),"0")+IFERROR(IF(Z517="",0,Z517),"0")+IFERROR(IF(Z518="",0,Z518),"0")</f>
        <v>1.9494800000000001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860</v>
      </c>
      <c r="Y520" s="645">
        <f>IFERROR(SUM(Y516:Y518),"0")</f>
        <v>860.64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551</v>
      </c>
      <c r="Y523" s="644">
        <f t="shared" si="79"/>
        <v>554.4</v>
      </c>
      <c r="Z523" s="36">
        <f>IFERROR(IF(Y523=0,"",ROUNDUP(Y523/H523,0)*0.01196),"")</f>
        <v>1.2558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587.52462121212125</v>
      </c>
      <c r="BN523" s="64">
        <f t="shared" si="81"/>
        <v>591.15</v>
      </c>
      <c r="BO523" s="64">
        <f t="shared" si="82"/>
        <v>1.0034236596736597</v>
      </c>
      <c r="BP523" s="64">
        <f t="shared" si="83"/>
        <v>1.0096153846153846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860</v>
      </c>
      <c r="Y524" s="644">
        <f t="shared" si="79"/>
        <v>860.64</v>
      </c>
      <c r="Z524" s="36">
        <f>IFERROR(IF(Y524=0,"",ROUNDUP(Y524/H524,0)*0.01196),"")</f>
        <v>1.9494800000000001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917.00757575757575</v>
      </c>
      <c r="BN524" s="64">
        <f t="shared" si="81"/>
        <v>917.68999999999994</v>
      </c>
      <c r="BO524" s="64">
        <f t="shared" si="82"/>
        <v>1.5661421911421911</v>
      </c>
      <c r="BP524" s="64">
        <f t="shared" si="83"/>
        <v>1.5673076923076923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267.2348484848485</v>
      </c>
      <c r="Y529" s="645">
        <f>IFERROR(Y522/H522,"0")+IFERROR(Y523/H523,"0")+IFERROR(Y524/H524,"0")+IFERROR(Y525/H525,"0")+IFERROR(Y526/H526,"0")+IFERROR(Y527/H527,"0")+IFERROR(Y528/H528,"0")</f>
        <v>268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3.2052800000000001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1411</v>
      </c>
      <c r="Y530" s="645">
        <f>IFERROR(SUM(Y522:Y528),"0")</f>
        <v>1415.04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7727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7791.96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8280.5052775711938</v>
      </c>
      <c r="Y560" s="645">
        <f>IFERROR(SUM(BN22:BN556),"0")</f>
        <v>8351.8379999999997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15</v>
      </c>
      <c r="Y561" s="38">
        <f>ROUNDUP(SUM(BP22:BP556),0)</f>
        <v>15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8655.5052775711938</v>
      </c>
      <c r="Y562" s="645">
        <f>GrossWeightTotalR+PalletQtyTotalR*25</f>
        <v>8726.8379999999997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1363.3336832920168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1375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17.323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0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319.8</v>
      </c>
      <c r="F569" s="46">
        <f>IFERROR(Y85*1,"0")+IFERROR(Y86*1,"0")+IFERROR(Y87*1,"0")+IFERROR(Y88*1,"0")+IFERROR(Y89*1,"0")+IFERROR(Y93*1,"0")+IFERROR(Y94*1,"0")+IFERROR(Y95*1,"0")+IFERROR(Y96*1,"0")+IFERROR(Y97*1,"0")+IFERROR(Y98*1,"0")</f>
        <v>1166.4000000000001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1971.1799999999998</v>
      </c>
      <c r="H569" s="46">
        <f>IFERROR(Y138*1,"0")+IFERROR(Y139*1,"0")+IFERROR(Y143*1,"0")+IFERROR(Y144*1,"0")+IFERROR(Y148*1,"0")+IFERROR(Y149*1,"0")</f>
        <v>0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31.5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434.4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0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179.4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156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900</v>
      </c>
      <c r="X569" s="46">
        <f>IFERROR(Y460*1,"0")+IFERROR(Y461*1,"0")+IFERROR(Y465*1,"0")+IFERROR(Y469*1,"0")+IFERROR(Y470*1,"0")+IFERROR(Y471*1,"0")</f>
        <v>180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2453.2799999999997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2026-08-28T09:55:16Z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