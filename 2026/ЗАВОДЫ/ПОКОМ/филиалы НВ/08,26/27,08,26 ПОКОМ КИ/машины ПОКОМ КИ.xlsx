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27,08,26 ПОКОМ КИ\"/>
    </mc:Choice>
  </mc:AlternateContent>
  <xr:revisionPtr revIDLastSave="0" documentId="13_ncr:1_{99B77795-CF54-4445-B127-7DB6C04970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10" i="1" l="1"/>
  <c r="W4" i="1"/>
  <c r="W5" i="1"/>
  <c r="W6" i="1"/>
  <c r="W7" i="1"/>
  <c r="W8" i="1"/>
  <c r="W9" i="1"/>
  <c r="W11" i="1"/>
  <c r="W3" i="1"/>
  <c r="S12" i="1"/>
  <c r="R12" i="1"/>
  <c r="Q12" i="1"/>
  <c r="P12" i="1" l="1"/>
  <c r="O12" i="1"/>
  <c r="N12" i="1"/>
  <c r="W12" i="1" l="1"/>
  <c r="B15" i="1"/>
  <c r="C12" i="1" l="1"/>
  <c r="D12" i="1"/>
  <c r="E12" i="1" l="1"/>
  <c r="V12" i="1" l="1"/>
  <c r="U12" i="1"/>
  <c r="T12" i="1"/>
  <c r="F12" i="1" l="1"/>
  <c r="G12" i="1"/>
  <c r="H12" i="1"/>
  <c r="I12" i="1"/>
  <c r="J12" i="1"/>
  <c r="K12" i="1"/>
  <c r="L12" i="1"/>
  <c r="M12" i="1"/>
  <c r="B12" i="1" l="1"/>
</calcChain>
</file>

<file path=xl/sharedStrings.xml><?xml version="1.0" encoding="utf-8"?>
<sst xmlns="http://schemas.openxmlformats.org/spreadsheetml/2006/main" count="51" uniqueCount="28">
  <si>
    <t>Бердянск</t>
  </si>
  <si>
    <t>Донецк</t>
  </si>
  <si>
    <t>Луганск</t>
  </si>
  <si>
    <t>Мелитополь</t>
  </si>
  <si>
    <t>ПОЛУЧАТЕЛЬ</t>
  </si>
  <si>
    <t>Остаток</t>
  </si>
  <si>
    <t>ИТОГОВЫЕ ДАННЫЕ</t>
  </si>
  <si>
    <t>нетто</t>
  </si>
  <si>
    <t>брутто</t>
  </si>
  <si>
    <t>паллеты</t>
  </si>
  <si>
    <t>ПРС</t>
  </si>
  <si>
    <t>НПК ЛП</t>
  </si>
  <si>
    <t>ВЕС НЕТТО</t>
  </si>
  <si>
    <t>ВЕС БРУТТО</t>
  </si>
  <si>
    <t>ПАЛЛЕТЫ</t>
  </si>
  <si>
    <t>СЫРЫ</t>
  </si>
  <si>
    <t>1 машина на 31,08</t>
  </si>
  <si>
    <t>2 машина на 31,08</t>
  </si>
  <si>
    <t>3 машина на 31,08</t>
  </si>
  <si>
    <t>1 машина на 01,09</t>
  </si>
  <si>
    <t>2 машина на 01,09</t>
  </si>
  <si>
    <t>Павленко</t>
  </si>
  <si>
    <t>НВ_ЛП</t>
  </si>
  <si>
    <t>НВ</t>
  </si>
  <si>
    <t>3 машина на 01,09</t>
  </si>
  <si>
    <t>Кочевой</t>
  </si>
  <si>
    <t>Кочевой дефицит</t>
  </si>
  <si>
    <t>отдельно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</si>
</sst>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6" xfId="0" applyFill="1" applyBorder="1"/>
    <xf numFmtId="0" fontId="0" fillId="3" borderId="18" xfId="0" applyFill="1" applyBorder="1"/>
    <xf numFmtId="0" fontId="0" fillId="3" borderId="6" xfId="0" applyFill="1" applyBorder="1"/>
    <xf numFmtId="0" fontId="0" fillId="4" borderId="11" xfId="0" applyFill="1" applyBorder="1"/>
    <xf numFmtId="0" fontId="0" fillId="4" borderId="6" xfId="0" applyFill="1" applyBorder="1"/>
    <xf numFmtId="0" fontId="0" fillId="4" borderId="18" xfId="0" applyFill="1" applyBorder="1"/>
    <xf numFmtId="0" fontId="0" fillId="5" borderId="6" xfId="0" applyFill="1" applyBorder="1"/>
    <xf numFmtId="0" fontId="0" fillId="6" borderId="18" xfId="0" applyFill="1" applyBorder="1"/>
    <xf numFmtId="0" fontId="0" fillId="6" borderId="6" xfId="0" applyFill="1" applyBorder="1"/>
    <xf numFmtId="0" fontId="0" fillId="6" borderId="1" xfId="0" applyFill="1" applyBorder="1"/>
    <xf numFmtId="0" fontId="0" fillId="6" borderId="7" xfId="0" applyFill="1" applyBorder="1"/>
    <xf numFmtId="0" fontId="0" fillId="6" borderId="19" xfId="0" applyFill="1" applyBorder="1"/>
    <xf numFmtId="0" fontId="0" fillId="6" borderId="20" xfId="0" applyFill="1" applyBorder="1"/>
    <xf numFmtId="0" fontId="0" fillId="6" borderId="17" xfId="0" applyFill="1" applyBorder="1"/>
    <xf numFmtId="0" fontId="0" fillId="6" borderId="0" xfId="0" applyFill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"/>
  <sheetViews>
    <sheetView tabSelected="1" zoomScale="115" zoomScaleNormal="115" workbookViewId="0">
      <selection activeCell="Y16" sqref="Y16"/>
    </sheetView>
  </sheetViews>
  <sheetFormatPr defaultRowHeight="15" x14ac:dyDescent="0.25"/>
  <cols>
    <col min="1" max="1" width="23.7109375" bestFit="1" customWidth="1"/>
    <col min="2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8" width="7.28515625" customWidth="1"/>
    <col min="19" max="19" width="6" customWidth="1"/>
    <col min="20" max="21" width="7.28515625" customWidth="1"/>
    <col min="22" max="22" width="6" customWidth="1"/>
    <col min="23" max="23" width="8.140625" bestFit="1" customWidth="1"/>
  </cols>
  <sheetData>
    <row r="1" spans="1:24" ht="15" customHeight="1" x14ac:dyDescent="0.25">
      <c r="A1" s="46" t="s">
        <v>4</v>
      </c>
      <c r="B1" s="48" t="s">
        <v>12</v>
      </c>
      <c r="C1" s="48" t="s">
        <v>13</v>
      </c>
      <c r="D1" s="48" t="s">
        <v>14</v>
      </c>
      <c r="E1" s="46" t="s">
        <v>16</v>
      </c>
      <c r="F1" s="50"/>
      <c r="G1" s="51"/>
      <c r="H1" s="46" t="s">
        <v>17</v>
      </c>
      <c r="I1" s="50"/>
      <c r="J1" s="51"/>
      <c r="K1" s="46" t="s">
        <v>18</v>
      </c>
      <c r="L1" s="50"/>
      <c r="M1" s="51"/>
      <c r="N1" s="46" t="s">
        <v>19</v>
      </c>
      <c r="O1" s="50"/>
      <c r="P1" s="51"/>
      <c r="Q1" s="46" t="s">
        <v>20</v>
      </c>
      <c r="R1" s="50"/>
      <c r="S1" s="51"/>
      <c r="T1" s="46" t="s">
        <v>24</v>
      </c>
      <c r="U1" s="50"/>
      <c r="V1" s="51"/>
      <c r="W1" s="44" t="s">
        <v>5</v>
      </c>
    </row>
    <row r="2" spans="1:24" ht="30.75" thickBot="1" x14ac:dyDescent="0.3">
      <c r="A2" s="47"/>
      <c r="B2" s="49"/>
      <c r="C2" s="49"/>
      <c r="D2" s="49"/>
      <c r="E2" s="17" t="s">
        <v>7</v>
      </c>
      <c r="F2" s="18" t="s">
        <v>8</v>
      </c>
      <c r="G2" s="19" t="s">
        <v>9</v>
      </c>
      <c r="H2" s="17" t="s">
        <v>7</v>
      </c>
      <c r="I2" s="18" t="s">
        <v>8</v>
      </c>
      <c r="J2" s="19" t="s">
        <v>9</v>
      </c>
      <c r="K2" s="17" t="s">
        <v>7</v>
      </c>
      <c r="L2" s="18" t="s">
        <v>8</v>
      </c>
      <c r="M2" s="19" t="s">
        <v>9</v>
      </c>
      <c r="N2" s="17" t="s">
        <v>7</v>
      </c>
      <c r="O2" s="18" t="s">
        <v>8</v>
      </c>
      <c r="P2" s="19" t="s">
        <v>9</v>
      </c>
      <c r="Q2" s="17" t="s">
        <v>7</v>
      </c>
      <c r="R2" s="18" t="s">
        <v>8</v>
      </c>
      <c r="S2" s="19" t="s">
        <v>9</v>
      </c>
      <c r="T2" s="17" t="s">
        <v>7</v>
      </c>
      <c r="U2" s="18" t="s">
        <v>8</v>
      </c>
      <c r="V2" s="19" t="s">
        <v>9</v>
      </c>
      <c r="W2" s="45"/>
    </row>
    <row r="3" spans="1:24" x14ac:dyDescent="0.25">
      <c r="A3" s="32" t="s">
        <v>0</v>
      </c>
      <c r="B3" s="20">
        <v>12069</v>
      </c>
      <c r="C3" s="21"/>
      <c r="D3" s="22"/>
      <c r="E3" s="20"/>
      <c r="F3" s="21"/>
      <c r="G3" s="22"/>
      <c r="H3" s="6">
        <v>8505</v>
      </c>
      <c r="I3" s="3">
        <v>9617</v>
      </c>
      <c r="J3" s="7">
        <v>16</v>
      </c>
      <c r="K3" s="6"/>
      <c r="L3" s="3"/>
      <c r="M3" s="7"/>
      <c r="N3" s="6"/>
      <c r="O3" s="3"/>
      <c r="P3" s="7"/>
      <c r="Q3" s="6">
        <v>3564</v>
      </c>
      <c r="R3" s="3">
        <v>3938</v>
      </c>
      <c r="S3" s="7">
        <v>6</v>
      </c>
      <c r="T3" s="6"/>
      <c r="U3" s="3"/>
      <c r="V3" s="7"/>
      <c r="W3" s="8">
        <f>B3-E3-H3-K3-T3-N3-Q3</f>
        <v>0</v>
      </c>
    </row>
    <row r="4" spans="1:24" x14ac:dyDescent="0.25">
      <c r="A4" s="31" t="s">
        <v>1</v>
      </c>
      <c r="B4" s="23">
        <v>33620</v>
      </c>
      <c r="C4" s="24"/>
      <c r="D4" s="25"/>
      <c r="E4" s="23">
        <v>17201</v>
      </c>
      <c r="F4" s="24">
        <v>19430</v>
      </c>
      <c r="G4" s="25">
        <v>33</v>
      </c>
      <c r="H4" s="4"/>
      <c r="I4" s="2"/>
      <c r="J4" s="5"/>
      <c r="K4" s="4"/>
      <c r="L4" s="2"/>
      <c r="M4" s="5"/>
      <c r="N4" s="4">
        <v>7727</v>
      </c>
      <c r="O4" s="2">
        <v>8726</v>
      </c>
      <c r="P4" s="5">
        <v>15</v>
      </c>
      <c r="Q4" s="4"/>
      <c r="R4" s="2"/>
      <c r="S4" s="5"/>
      <c r="T4" s="4">
        <v>8692</v>
      </c>
      <c r="U4" s="2">
        <v>9787</v>
      </c>
      <c r="V4" s="5">
        <v>16</v>
      </c>
      <c r="W4" s="8">
        <f t="shared" ref="W4:W11" si="0">B4-E4-H4-K4-T4-N4-Q4</f>
        <v>0</v>
      </c>
    </row>
    <row r="5" spans="1:24" x14ac:dyDescent="0.25">
      <c r="A5" s="35" t="s">
        <v>2</v>
      </c>
      <c r="B5" s="23">
        <v>17002</v>
      </c>
      <c r="C5" s="2">
        <v>19160</v>
      </c>
      <c r="D5" s="5">
        <v>32</v>
      </c>
      <c r="E5" s="23"/>
      <c r="F5" s="24"/>
      <c r="G5" s="25"/>
      <c r="H5" s="4"/>
      <c r="I5" s="2"/>
      <c r="J5" s="5"/>
      <c r="K5" s="4">
        <v>17002</v>
      </c>
      <c r="L5" s="2">
        <v>19160</v>
      </c>
      <c r="M5" s="5">
        <v>32</v>
      </c>
      <c r="N5" s="4"/>
      <c r="O5" s="2"/>
      <c r="P5" s="5"/>
      <c r="Q5" s="4"/>
      <c r="R5" s="2"/>
      <c r="S5" s="5"/>
      <c r="T5" s="4"/>
      <c r="U5" s="2"/>
      <c r="V5" s="5"/>
      <c r="W5" s="8">
        <f t="shared" si="0"/>
        <v>0</v>
      </c>
    </row>
    <row r="6" spans="1:24" x14ac:dyDescent="0.25">
      <c r="A6" s="33" t="s">
        <v>3</v>
      </c>
      <c r="B6" s="23">
        <v>13851</v>
      </c>
      <c r="C6" s="24"/>
      <c r="D6" s="25"/>
      <c r="E6" s="23"/>
      <c r="F6" s="24"/>
      <c r="G6" s="25"/>
      <c r="H6" s="4">
        <v>9094</v>
      </c>
      <c r="I6" s="2">
        <v>10198</v>
      </c>
      <c r="J6" s="5">
        <v>17</v>
      </c>
      <c r="K6" s="4"/>
      <c r="L6" s="2"/>
      <c r="M6" s="5"/>
      <c r="N6" s="4"/>
      <c r="O6" s="2"/>
      <c r="P6" s="5"/>
      <c r="Q6" s="4">
        <v>4757</v>
      </c>
      <c r="R6" s="2">
        <v>5240</v>
      </c>
      <c r="S6" s="5">
        <v>8</v>
      </c>
      <c r="T6" s="4"/>
      <c r="U6" s="2"/>
      <c r="V6" s="5"/>
      <c r="W6" s="8">
        <f t="shared" si="0"/>
        <v>0</v>
      </c>
    </row>
    <row r="7" spans="1:24" x14ac:dyDescent="0.25">
      <c r="A7" s="30" t="s">
        <v>10</v>
      </c>
      <c r="B7" s="26">
        <v>1564</v>
      </c>
      <c r="C7" s="27">
        <v>1917</v>
      </c>
      <c r="D7" s="28">
        <v>4</v>
      </c>
      <c r="E7" s="26"/>
      <c r="F7" s="27"/>
      <c r="G7" s="28"/>
      <c r="H7" s="26"/>
      <c r="I7" s="27"/>
      <c r="J7" s="28"/>
      <c r="K7" s="9"/>
      <c r="L7" s="10"/>
      <c r="M7" s="11"/>
      <c r="N7" s="26">
        <v>1564</v>
      </c>
      <c r="O7" s="27">
        <v>1917</v>
      </c>
      <c r="P7" s="28">
        <v>4</v>
      </c>
      <c r="Q7" s="9"/>
      <c r="R7" s="10"/>
      <c r="S7" s="11"/>
      <c r="T7" s="9"/>
      <c r="U7" s="10"/>
      <c r="V7" s="11"/>
      <c r="W7" s="8">
        <f t="shared" si="0"/>
        <v>0</v>
      </c>
    </row>
    <row r="8" spans="1:24" x14ac:dyDescent="0.25">
      <c r="A8" s="30" t="s">
        <v>11</v>
      </c>
      <c r="B8" s="26">
        <v>8170</v>
      </c>
      <c r="C8" s="27">
        <v>9199</v>
      </c>
      <c r="D8" s="28">
        <v>16</v>
      </c>
      <c r="E8" s="26"/>
      <c r="F8" s="27"/>
      <c r="G8" s="28"/>
      <c r="H8" s="26"/>
      <c r="I8" s="27"/>
      <c r="J8" s="28"/>
      <c r="K8" s="9"/>
      <c r="L8" s="10"/>
      <c r="M8" s="11"/>
      <c r="N8" s="26">
        <v>8170</v>
      </c>
      <c r="O8" s="27">
        <v>9199</v>
      </c>
      <c r="P8" s="28">
        <v>16</v>
      </c>
      <c r="Q8" s="9"/>
      <c r="R8" s="10"/>
      <c r="S8" s="11"/>
      <c r="T8" s="9"/>
      <c r="U8" s="10"/>
      <c r="V8" s="11"/>
      <c r="W8" s="8">
        <f t="shared" si="0"/>
        <v>0</v>
      </c>
    </row>
    <row r="9" spans="1:24" x14ac:dyDescent="0.25">
      <c r="A9" s="34" t="s">
        <v>21</v>
      </c>
      <c r="B9" s="26">
        <v>8100</v>
      </c>
      <c r="C9" s="27">
        <v>8681</v>
      </c>
      <c r="D9" s="28">
        <v>12</v>
      </c>
      <c r="E9" s="26"/>
      <c r="F9" s="27"/>
      <c r="G9" s="28"/>
      <c r="H9" s="9"/>
      <c r="I9" s="10"/>
      <c r="J9" s="11"/>
      <c r="K9" s="9"/>
      <c r="L9" s="10"/>
      <c r="M9" s="11"/>
      <c r="N9" s="9"/>
      <c r="O9" s="10"/>
      <c r="P9" s="11"/>
      <c r="Q9" s="26">
        <v>8100</v>
      </c>
      <c r="R9" s="27">
        <v>8681</v>
      </c>
      <c r="S9" s="28">
        <v>12</v>
      </c>
      <c r="T9" s="26"/>
      <c r="U9" s="27"/>
      <c r="V9" s="28"/>
      <c r="W9" s="8">
        <f t="shared" si="0"/>
        <v>0</v>
      </c>
    </row>
    <row r="10" spans="1:24" x14ac:dyDescent="0.25">
      <c r="A10" s="30" t="s">
        <v>25</v>
      </c>
      <c r="B10" s="26">
        <v>8835</v>
      </c>
      <c r="C10" s="27">
        <v>9795</v>
      </c>
      <c r="D10" s="28">
        <v>17</v>
      </c>
      <c r="E10" s="26"/>
      <c r="F10" s="27"/>
      <c r="G10" s="28"/>
      <c r="H10" s="9"/>
      <c r="I10" s="10"/>
      <c r="J10" s="11"/>
      <c r="K10" s="9"/>
      <c r="L10" s="10"/>
      <c r="M10" s="11"/>
      <c r="N10" s="9"/>
      <c r="O10" s="10"/>
      <c r="P10" s="11"/>
      <c r="Q10" s="26"/>
      <c r="R10" s="27"/>
      <c r="S10" s="28"/>
      <c r="T10" s="26">
        <v>8835</v>
      </c>
      <c r="U10" s="27">
        <v>9795</v>
      </c>
      <c r="V10" s="28">
        <v>17</v>
      </c>
      <c r="W10" s="8">
        <f t="shared" si="0"/>
        <v>0</v>
      </c>
    </row>
    <row r="11" spans="1:24" ht="15.75" thickBot="1" x14ac:dyDescent="0.3">
      <c r="A11" s="36" t="s">
        <v>26</v>
      </c>
      <c r="B11" s="37">
        <v>8001</v>
      </c>
      <c r="C11" s="38">
        <v>8790</v>
      </c>
      <c r="D11" s="39">
        <v>14</v>
      </c>
      <c r="E11" s="37"/>
      <c r="F11" s="38"/>
      <c r="G11" s="39"/>
      <c r="H11" s="37"/>
      <c r="I11" s="38"/>
      <c r="J11" s="39"/>
      <c r="K11" s="36"/>
      <c r="L11" s="40"/>
      <c r="M11" s="41"/>
      <c r="N11" s="36"/>
      <c r="O11" s="40"/>
      <c r="P11" s="41"/>
      <c r="Q11" s="36"/>
      <c r="R11" s="40"/>
      <c r="S11" s="41"/>
      <c r="T11" s="36"/>
      <c r="U11" s="40"/>
      <c r="V11" s="41"/>
      <c r="W11" s="42">
        <f t="shared" si="0"/>
        <v>8001</v>
      </c>
      <c r="X11" s="43" t="s">
        <v>27</v>
      </c>
    </row>
    <row r="12" spans="1:24" s="1" customFormat="1" ht="15.75" thickBot="1" x14ac:dyDescent="0.3">
      <c r="A12" s="12" t="s">
        <v>6</v>
      </c>
      <c r="B12" s="13">
        <f t="shared" ref="B12:W12" si="1">SUM(B3:B11)</f>
        <v>111212</v>
      </c>
      <c r="C12" s="13">
        <f t="shared" si="1"/>
        <v>57542</v>
      </c>
      <c r="D12" s="13">
        <f t="shared" si="1"/>
        <v>95</v>
      </c>
      <c r="E12" s="12">
        <f t="shared" si="1"/>
        <v>17201</v>
      </c>
      <c r="F12" s="14">
        <f t="shared" si="1"/>
        <v>19430</v>
      </c>
      <c r="G12" s="15">
        <f t="shared" si="1"/>
        <v>33</v>
      </c>
      <c r="H12" s="12">
        <f t="shared" si="1"/>
        <v>17599</v>
      </c>
      <c r="I12" s="14">
        <f t="shared" si="1"/>
        <v>19815</v>
      </c>
      <c r="J12" s="15">
        <f t="shared" si="1"/>
        <v>33</v>
      </c>
      <c r="K12" s="12">
        <f t="shared" si="1"/>
        <v>17002</v>
      </c>
      <c r="L12" s="14">
        <f t="shared" si="1"/>
        <v>19160</v>
      </c>
      <c r="M12" s="15">
        <f t="shared" si="1"/>
        <v>32</v>
      </c>
      <c r="N12" s="12">
        <f t="shared" ref="N12:S12" si="2">SUM(N3:N11)</f>
        <v>17461</v>
      </c>
      <c r="O12" s="14">
        <f t="shared" si="2"/>
        <v>19842</v>
      </c>
      <c r="P12" s="15">
        <f t="shared" si="2"/>
        <v>35</v>
      </c>
      <c r="Q12" s="12">
        <f t="shared" si="2"/>
        <v>16421</v>
      </c>
      <c r="R12" s="14">
        <f t="shared" si="2"/>
        <v>17859</v>
      </c>
      <c r="S12" s="15">
        <f t="shared" si="2"/>
        <v>26</v>
      </c>
      <c r="T12" s="12">
        <f t="shared" si="1"/>
        <v>17527</v>
      </c>
      <c r="U12" s="14">
        <f t="shared" si="1"/>
        <v>19582</v>
      </c>
      <c r="V12" s="15">
        <f t="shared" si="1"/>
        <v>33</v>
      </c>
      <c r="W12" s="16">
        <f t="shared" si="1"/>
        <v>8001</v>
      </c>
    </row>
    <row r="13" spans="1:24" x14ac:dyDescent="0.25">
      <c r="A13" s="29" t="s">
        <v>15</v>
      </c>
      <c r="E13">
        <v>17200</v>
      </c>
      <c r="G13">
        <v>31</v>
      </c>
      <c r="K13">
        <v>17000</v>
      </c>
      <c r="M13">
        <v>31</v>
      </c>
      <c r="Q13">
        <v>16500</v>
      </c>
      <c r="S13">
        <v>30</v>
      </c>
    </row>
    <row r="14" spans="1:24" x14ac:dyDescent="0.25">
      <c r="A14" t="s">
        <v>0</v>
      </c>
      <c r="B14">
        <v>613</v>
      </c>
      <c r="D14">
        <v>1</v>
      </c>
      <c r="Q14">
        <v>613</v>
      </c>
      <c r="S14">
        <v>1</v>
      </c>
    </row>
    <row r="15" spans="1:24" x14ac:dyDescent="0.25">
      <c r="A15" t="s">
        <v>1</v>
      </c>
      <c r="B15">
        <f>177+116</f>
        <v>293</v>
      </c>
      <c r="D15">
        <v>1</v>
      </c>
      <c r="E15">
        <v>293</v>
      </c>
      <c r="G15">
        <v>1</v>
      </c>
    </row>
    <row r="16" spans="1:24" x14ac:dyDescent="0.25">
      <c r="A16" t="s">
        <v>2</v>
      </c>
      <c r="B16">
        <v>569</v>
      </c>
      <c r="D16">
        <v>1</v>
      </c>
      <c r="K16">
        <v>569</v>
      </c>
      <c r="M16">
        <v>1</v>
      </c>
    </row>
    <row r="17" spans="1:20" x14ac:dyDescent="0.25">
      <c r="A17" t="s">
        <v>3</v>
      </c>
      <c r="B17">
        <v>321</v>
      </c>
      <c r="D17">
        <v>1</v>
      </c>
      <c r="Q17">
        <v>321</v>
      </c>
      <c r="S17">
        <v>1</v>
      </c>
    </row>
    <row r="18" spans="1:20" x14ac:dyDescent="0.25">
      <c r="E18" t="s">
        <v>23</v>
      </c>
      <c r="H18" t="s">
        <v>23</v>
      </c>
      <c r="K18" t="s">
        <v>23</v>
      </c>
      <c r="N18" t="s">
        <v>22</v>
      </c>
      <c r="Q18" t="s">
        <v>23</v>
      </c>
      <c r="T18" t="s">
        <v>22</v>
      </c>
    </row>
  </sheetData>
  <mergeCells count="11">
    <mergeCell ref="W1:W2"/>
    <mergeCell ref="A1:A2"/>
    <mergeCell ref="B1:B2"/>
    <mergeCell ref="E1:G1"/>
    <mergeCell ref="H1:J1"/>
    <mergeCell ref="K1:M1"/>
    <mergeCell ref="T1:V1"/>
    <mergeCell ref="C1:C2"/>
    <mergeCell ref="D1:D2"/>
    <mergeCell ref="N1:P1"/>
    <mergeCell ref="Q1:S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2026-08-28T13:00:29Z</dcterms:modified>
</cp:coreProperties>
</file>